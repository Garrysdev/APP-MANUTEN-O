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M" sheetId="1" r:id="rId5"/>
    <sheet state="hidden" name="PM (2)" sheetId="2" r:id="rId6"/>
    <sheet state="hidden" name="SEMANAL" sheetId="3" r:id="rId7"/>
    <sheet state="hidden" name="JAN" sheetId="4" r:id="rId8"/>
    <sheet state="hidden" name="FEV" sheetId="5" r:id="rId9"/>
    <sheet state="hidden" name="MAR" sheetId="6" r:id="rId10"/>
    <sheet state="hidden" name="ABR" sheetId="7" r:id="rId11"/>
    <sheet state="hidden" name="MAI" sheetId="8" r:id="rId12"/>
    <sheet state="hidden" name="JUN" sheetId="9" r:id="rId13"/>
    <sheet state="hidden" name="JUL" sheetId="10" r:id="rId14"/>
    <sheet state="hidden" name="AGO" sheetId="11" r:id="rId15"/>
    <sheet state="hidden" name="SET" sheetId="12" r:id="rId16"/>
    <sheet state="hidden" name="OUT" sheetId="13" r:id="rId17"/>
    <sheet state="hidden" name="NOV" sheetId="14" r:id="rId18"/>
    <sheet state="hidden" name="DEZ" sheetId="15" r:id="rId19"/>
  </sheets>
  <definedNames>
    <definedName localSheetId="2" name="_Hlk184289454">SEMANAL!$A$370</definedName>
    <definedName localSheetId="13" name="_Hlk184289024">NOV!$A$357</definedName>
    <definedName localSheetId="10" name="_Hlk184289454">AGO!$A$366</definedName>
    <definedName localSheetId="6" name="_Hlk184289024">ABR!$A$357</definedName>
    <definedName localSheetId="12" name="_Hlk184289024">OUT!$A$357</definedName>
    <definedName localSheetId="13" name="_Hlk184289454">NOV!$A$368</definedName>
    <definedName localSheetId="11" name="_Hlk184289454">SET!$A$368</definedName>
    <definedName localSheetId="4" name="_Hlk184289024">FEV!$A$359</definedName>
    <definedName localSheetId="5" name="_Hlk184289024">MAR!$A$357</definedName>
    <definedName localSheetId="4" name="_Hlk184289454">FEV!$A$370</definedName>
    <definedName localSheetId="8" name="_Hlk184289454">JUN!$A$368</definedName>
    <definedName localSheetId="14" name="_Hlk184289454">DEZ!$A$366</definedName>
    <definedName localSheetId="3" name="_Hlk184289024">JAN!$A$359</definedName>
    <definedName localSheetId="1" name="_Hlk184289454">'PM (2)'!$A$363</definedName>
    <definedName localSheetId="10" name="_Hlk184289024">AGO!$A$355</definedName>
    <definedName localSheetId="0" name="_Hlk184289454">PM!$A$366</definedName>
    <definedName localSheetId="9" name="_Hlk184289454">JUL!$A$368</definedName>
    <definedName localSheetId="6" name="_Hlk184289454">ABR!$A$368</definedName>
    <definedName localSheetId="0" name="_Hlk184289024">PM!$A$355</definedName>
    <definedName localSheetId="2" name="_Hlk184289024">SEMANAL!$A$359</definedName>
    <definedName localSheetId="14" name="_Hlk184289024">DEZ!$A$355</definedName>
    <definedName localSheetId="7" name="_Hlk184289024">MAI!$A$357</definedName>
    <definedName localSheetId="3" name="_Hlk184289454">JAN!$A$370</definedName>
    <definedName localSheetId="11" name="_Hlk184289024">SET!$A$357</definedName>
    <definedName localSheetId="12" name="_Hlk184289454">OUT!$A$368</definedName>
    <definedName localSheetId="1" name="_Hlk184289024">'PM (2)'!$A$352</definedName>
    <definedName localSheetId="8" name="_Hlk184289024">JUN!$A$357</definedName>
    <definedName localSheetId="7" name="_Hlk184289454">MAI!$A$368</definedName>
    <definedName localSheetId="5" name="_Hlk184289454">MAR!$A$368</definedName>
    <definedName localSheetId="9" name="_Hlk184289024">JUL!$A$357</definedName>
    <definedName hidden="1" localSheetId="0" name="_xlnm._FilterDatabase">PM!$A$3:$IP$609</definedName>
    <definedName hidden="1" localSheetId="1" name="_xlnm._FilterDatabase">'PM (2)'!$A$3:$HB$605</definedName>
    <definedName hidden="1" localSheetId="2" name="_xlnm._FilterDatabase">SEMANAL!$A$4:$GD$615</definedName>
    <definedName hidden="1" localSheetId="3" name="_xlnm._FilterDatabase">JAN!$A$4:$GF$615</definedName>
    <definedName hidden="1" localSheetId="4" name="_xlnm._FilterDatabase">FEV!$A$4:$GF$615</definedName>
    <definedName hidden="1" localSheetId="5" name="_xlnm._FilterDatabase">MAR!$A$4:$GF$611</definedName>
    <definedName hidden="1" localSheetId="6" name="_xlnm._FilterDatabase">ABR!$A$4:$GF$611</definedName>
    <definedName hidden="1" localSheetId="7" name="_xlnm._FilterDatabase">MAI!$A$4:$GF$611</definedName>
    <definedName hidden="1" localSheetId="8" name="_xlnm._FilterDatabase">JUN!$A$4:$GF$611</definedName>
    <definedName hidden="1" localSheetId="9" name="_xlnm._FilterDatabase">JUL!$A$4:$GF$611</definedName>
    <definedName hidden="1" localSheetId="10" name="_xlnm._FilterDatabase">AGO!$A$4:$GF$609</definedName>
    <definedName hidden="1" localSheetId="11" name="_xlnm._FilterDatabase">SET!$A$4:$GF$611</definedName>
    <definedName hidden="1" localSheetId="12" name="_xlnm._FilterDatabase">OUT!$A$4:$GF$611</definedName>
    <definedName hidden="1" localSheetId="13" name="_xlnm._FilterDatabase">NOV!$A$4:$GF$611</definedName>
    <definedName hidden="1" localSheetId="14" name="_xlnm._FilterDatabase">DEZ!$A$4:$GF$609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2025
======</t>
      </text>
    </comment>
    <comment authorId="0" ref="BO17">
      <text>
        <t xml:space="preserve">FOI FEITA A INSPECÇÃO</t>
      </text>
    </comment>
    <comment authorId="0" ref="P202">
      <text>
        <t xml:space="preserve">Troca de bloco + rolamentos motor
======</t>
      </text>
    </comment>
    <comment authorId="0" ref="J1">
      <text>
        <t xml:space="preserve">======
ID#AAAAMJpsRTU
Toshiba    (2021-05-24 09:57:50)
GV - ANTÓNIO VELOSO
RG - RUI GARRIDO
DP - DIOGO PEREIRA
DR - DIOGO RAMOS
MS - MARCO SILVA
CB - CARLOS BRANCO
LM - LEANDRO MAIA
LI - LICINIO
TI - TIAGO</t>
      </text>
    </comment>
    <comment authorId="0" ref="F508">
      <text>
        <t xml:space="preserve">PRÓXIMA VERIFICAÇÃO IBEROLEVA:
2023
======</t>
      </text>
    </comment>
    <comment authorId="0" ref="BB202">
      <text>
        <t xml:space="preserve">Troca do motor Siemens que foi reparado na Kaeser.
======</t>
      </text>
    </comment>
    <comment authorId="0" ref="F506">
      <text>
        <t xml:space="preserve">PRÓXIMA VERIFICAÇÃO IBEROLEVA:
2023
======</t>
      </text>
    </comment>
    <comment authorId="0" ref="O1">
      <text>
        <t xml:space="preserve">======
ID#AAAAMJpsRTQ
Toshiba    (2021-05-24 09:57:50)
GV - ANTÓNIO VELOSO
RG - RUI GARRIDO
DP - DIOGO PEREIRA
MS - MARCO SILVA
CB - CARLOS BRANCO
LM - LEANDRO MAIA
LI - LICINIO
MF - MIGUEL FERREIRA</t>
      </text>
    </comment>
    <comment authorId="0" ref="F71">
      <text>
        <t xml:space="preserve">2023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2025
======</t>
      </text>
    </comment>
    <comment authorId="0" ref="J1">
      <text>
        <t xml:space="preserve">======
ID#AAAAMJpsRTU
Toshiba    (2021-05-24 09:57:50)
GV - ANTÓNIO VELOSO
RG - RUI GARRIDO
DP - DIOGO PEREIRA
DR - DIOGO RAMOS
MS - MARCO SILVA
CB - CARLOS BRANCO
LM - LEANDRO MAIA
LI - LICINIO
TI - TIAGO</t>
      </text>
    </comment>
    <comment authorId="0" ref="P199">
      <text>
        <t xml:space="preserve">Troca de bloco + rolamentos motor
======</t>
      </text>
    </comment>
    <comment authorId="0" ref="O1">
      <text>
        <t xml:space="preserve">======
ID#AAAAMJpsRTQ
Toshiba    (2021-05-24 09:57:50)
GV - ANTÓNIO VELOSO
RG - RUI GARRIDO
DP - DIOGO PEREIRA
MS - MARCO SILVA
CB - CARLOS BRANCO
LM - LEANDRO MAIA
LI - LICINIO
MF - MIGUEL FERREIRA</t>
      </text>
    </comment>
    <comment authorId="0" ref="F71">
      <text>
        <t xml:space="preserve">2023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04">
      <text>
        <t xml:space="preserve">Troca de bloco + rolamentos motor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04">
      <text>
        <t xml:space="preserve">Troca de bloco + rolamentos motor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04">
      <text>
        <t xml:space="preserve">Troca de bloco + rolamentos motor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02">
      <text>
        <t xml:space="preserve">Troca de bloco + rolamentos motor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02">
      <text>
        <t xml:space="preserve">Troca de bloco + rolamentos motor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02">
      <text>
        <t xml:space="preserve">Troca de bloco + rolamentos motor
======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02">
      <text>
        <t xml:space="preserve">Troca de bloco + rolamentos motor
======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02">
      <text>
        <t xml:space="preserve">Troca de bloco + rolamentos motor
======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02">
      <text>
        <t xml:space="preserve">Troca de bloco + rolamentos motor
======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02">
      <text>
        <t xml:space="preserve">Troca de bloco + rolamentos motor
======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02">
      <text>
        <t xml:space="preserve">Troca de bloco + rolamentos motor
======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02">
      <text>
        <t xml:space="preserve">Troca de bloco + rolamentos motor
======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02">
      <text>
        <t xml:space="preserve">Troca de bloco + rolamentos motor
======</t>
      </text>
    </comment>
  </commentList>
</comments>
</file>

<file path=xl/sharedStrings.xml><?xml version="1.0" encoding="utf-8"?>
<sst xmlns="http://schemas.openxmlformats.org/spreadsheetml/2006/main" count="58434" uniqueCount="887">
  <si>
    <t>TÉCNICOS</t>
  </si>
  <si>
    <t>PARAGEM DEZ 2019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</si>
  <si>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</si>
  <si>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</si>
  <si>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</si>
  <si>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</si>
  <si>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</si>
  <si>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</si>
  <si>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</si>
  <si>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</si>
  <si>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</si>
  <si>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</si>
  <si>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</si>
  <si>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</si>
  <si>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</t>
  </si>
  <si>
    <t>SEMANAL</t>
  </si>
  <si>
    <t>CONCLUIDAS</t>
  </si>
  <si>
    <t>AREA</t>
  </si>
  <si>
    <t>TAG</t>
  </si>
  <si>
    <t>SISTEMA</t>
  </si>
  <si>
    <t>EQUIPAMENTO</t>
  </si>
  <si>
    <t>ACÇÃO</t>
  </si>
  <si>
    <t>MÊS</t>
  </si>
  <si>
    <t>DATA / TECNICO / OBSERVAÇÃO</t>
  </si>
  <si>
    <t>OBS</t>
  </si>
  <si>
    <t>DATA / TECNICO / OBS</t>
  </si>
  <si>
    <t>DETALHE</t>
  </si>
  <si>
    <t xml:space="preserve">10 Y3  </t>
  </si>
  <si>
    <t>W01</t>
  </si>
  <si>
    <t>BASCULA</t>
  </si>
  <si>
    <t>W02</t>
  </si>
  <si>
    <t>W03</t>
  </si>
  <si>
    <t>verificação metrológica legal</t>
  </si>
  <si>
    <t>W04</t>
  </si>
  <si>
    <t>AGO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</si>
  <si>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</si>
  <si>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</si>
  <si>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</si>
  <si>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</si>
  <si>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</si>
  <si>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</si>
  <si>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</si>
  <si>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</si>
  <si>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</si>
  <si>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</si>
  <si>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</si>
  <si>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</si>
  <si>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</si>
  <si>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</si>
  <si>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</si>
  <si>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</si>
  <si>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</si>
  <si>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</si>
  <si>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</si>
  <si>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</si>
  <si>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</si>
  <si>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</si>
  <si>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</si>
  <si>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</si>
  <si>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</si>
  <si>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</si>
  <si>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</si>
  <si>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</si>
  <si>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</si>
  <si>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</si>
  <si>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</si>
  <si>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</si>
  <si>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</si>
  <si>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</si>
  <si>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</si>
  <si>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</si>
  <si>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</si>
  <si>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</si>
  <si>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</si>
  <si>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</si>
  <si>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</si>
  <si>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</si>
  <si>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</si>
  <si>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</si>
  <si>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</si>
  <si>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</si>
  <si>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</si>
  <si>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</si>
  <si>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20 I1 Q20</t>
  </si>
  <si>
    <t>UPS</t>
  </si>
  <si>
    <t>UPS 1</t>
  </si>
  <si>
    <t>verificar estado conservação/funcionamento, registar valores</t>
  </si>
  <si>
    <t>JAN, FEV, MAR, ABR, MAI, JUN, JUL, AGO, SET, OUT, NOV, DEZ</t>
  </si>
  <si>
    <t xml:space="preserve">Ficha de Registo - </t>
  </si>
  <si>
    <t xml:space="preserve">20 Y1  </t>
  </si>
  <si>
    <t>AGUAS</t>
  </si>
  <si>
    <t>SISTEMA AGUAS QUENTES</t>
  </si>
  <si>
    <t>TIPO</t>
  </si>
  <si>
    <t>RACIO %</t>
  </si>
  <si>
    <t>CAT</t>
  </si>
  <si>
    <t xml:space="preserve">20 Y1 H1 </t>
  </si>
  <si>
    <t>CALDEIRA GAS</t>
  </si>
  <si>
    <t>Externo - verificar estado conservação/funcionamento</t>
  </si>
  <si>
    <t xml:space="preserve">20 Y1 O1 </t>
  </si>
  <si>
    <t>PAINEL SOLAR</t>
  </si>
  <si>
    <t xml:space="preserve">20 Y2  </t>
  </si>
  <si>
    <t>ESGOTO</t>
  </si>
  <si>
    <t>ESTAÇÃO ELEVATORIA EFLUENTE DOMESTICO</t>
  </si>
  <si>
    <t>verificação funcionamento das bombas e fossas</t>
  </si>
  <si>
    <t>INTERVENÇÕES DEVIDAS</t>
  </si>
  <si>
    <t>INTERVENÇÕES REALIZADAS</t>
  </si>
  <si>
    <t>FEITO 100%</t>
  </si>
  <si>
    <t>TOTAL</t>
  </si>
  <si>
    <t xml:space="preserve">30 Q1  </t>
  </si>
  <si>
    <t>PT</t>
  </si>
  <si>
    <t>SECCIONADOR MEDIA TENSÃO</t>
  </si>
  <si>
    <t>verificar estado conservação/funcionamento</t>
  </si>
  <si>
    <t>ANUAL-legal</t>
  </si>
  <si>
    <t xml:space="preserve">30 Q2  </t>
  </si>
  <si>
    <t>TRANSFORMADOR</t>
  </si>
  <si>
    <t>A</t>
  </si>
  <si>
    <t xml:space="preserve">30 Q3  </t>
  </si>
  <si>
    <t>GERADOR ELECTRICO</t>
  </si>
  <si>
    <t>verificar estado conservação, nível óleo, gasóleo e limpeza</t>
  </si>
  <si>
    <t>Simulação de corte de energia</t>
  </si>
  <si>
    <t xml:space="preserve">30 Q4  </t>
  </si>
  <si>
    <t>QUADRO GERAL BAIXA TENSÃO</t>
  </si>
  <si>
    <t>Externo - medição valores terra</t>
  </si>
  <si>
    <t xml:space="preserve">30 Q5  </t>
  </si>
  <si>
    <t>BATERIA DE CONDENSADORES</t>
  </si>
  <si>
    <t>FICHA REGISTO</t>
  </si>
  <si>
    <t>31Y1</t>
  </si>
  <si>
    <t>GAS</t>
  </si>
  <si>
    <t>SECCIONADOR/REDUTOR GAS NATURAL</t>
  </si>
  <si>
    <t>verificação PRM</t>
  </si>
  <si>
    <t>B</t>
  </si>
  <si>
    <t>RG</t>
  </si>
  <si>
    <t>verificar fugas na instalação jusante PRM</t>
  </si>
  <si>
    <t>Plano manutenção legal obrigatório. Empresa exterior</t>
  </si>
  <si>
    <t>medição valores terra</t>
  </si>
  <si>
    <t>40 Y1</t>
  </si>
  <si>
    <t>SEPARADOR</t>
  </si>
  <si>
    <t>SEPARADOR DE HIDROCARBONETOS</t>
  </si>
  <si>
    <t>BIENAL-ano par</t>
  </si>
  <si>
    <t xml:space="preserve">40 Y2  </t>
  </si>
  <si>
    <t>40 Y3</t>
  </si>
  <si>
    <t>RETENÇÃO</t>
  </si>
  <si>
    <t>BACIA DE RETENÇÃO</t>
  </si>
  <si>
    <t>40 Y4</t>
  </si>
  <si>
    <t>DRENAGEM</t>
  </si>
  <si>
    <t>REDE DE DRENAGEM</t>
  </si>
  <si>
    <t>STP</t>
  </si>
  <si>
    <t xml:space="preserve">50 N1  </t>
  </si>
  <si>
    <t>CAIS</t>
  </si>
  <si>
    <t>CAIS CARGA 3</t>
  </si>
  <si>
    <t>verificar estado conservação/funcionamento, nível óleo</t>
  </si>
  <si>
    <t xml:space="preserve">50 N2  </t>
  </si>
  <si>
    <t>MONTA CARGAS</t>
  </si>
  <si>
    <t>limpeza dos sensores e verificar fugas</t>
  </si>
  <si>
    <t>AGO, DEZ</t>
  </si>
  <si>
    <t>lubrificar correntes</t>
  </si>
  <si>
    <t xml:space="preserve">50 N2 Q1 </t>
  </si>
  <si>
    <t>QUADRO ELEC. MAQUINA</t>
  </si>
  <si>
    <t>limpeza com ar seco do interior do quadro</t>
  </si>
  <si>
    <t>LUBRIFICANTE CORRENTES - WD 40 CORRENTES</t>
  </si>
  <si>
    <t xml:space="preserve"> </t>
  </si>
  <si>
    <t xml:space="preserve">50 N2 Y1 </t>
  </si>
  <si>
    <t>CENTRAL HIDRAULICA</t>
  </si>
  <si>
    <t>verificar/reparar fugas</t>
  </si>
  <si>
    <t xml:space="preserve">60 A1  </t>
  </si>
  <si>
    <t>MPR-GRANEL</t>
  </si>
  <si>
    <t>DESCARGA CISTERNAS</t>
  </si>
  <si>
    <t>verificar fugas</t>
  </si>
  <si>
    <t>ANUAL</t>
  </si>
  <si>
    <t xml:space="preserve">60 A1 B1 </t>
  </si>
  <si>
    <t>BOMBA DESCARGA CISTERNAS</t>
  </si>
  <si>
    <t xml:space="preserve">60 A2  </t>
  </si>
  <si>
    <t>CIRCUITO VAPOR E CONDENSADOS</t>
  </si>
  <si>
    <t>MENSAL</t>
  </si>
  <si>
    <t xml:space="preserve">60 T1  </t>
  </si>
  <si>
    <t>DEPOSITO NONYL</t>
  </si>
  <si>
    <t>verificar equipamentos controlo</t>
  </si>
  <si>
    <t xml:space="preserve">60 T1 B1 </t>
  </si>
  <si>
    <t>BOMBA TRANSFEGA A DEPOSITO</t>
  </si>
  <si>
    <t xml:space="preserve">60 T2  </t>
  </si>
  <si>
    <t>DEPOSITO GLICERINA KOSHER</t>
  </si>
  <si>
    <t xml:space="preserve">60 T2 B1 </t>
  </si>
  <si>
    <t xml:space="preserve">60 T3  </t>
  </si>
  <si>
    <t>DEPOSITO SOJA</t>
  </si>
  <si>
    <t xml:space="preserve">60 T3 B1 </t>
  </si>
  <si>
    <t xml:space="preserve">60 T4  </t>
  </si>
  <si>
    <t>DEPOSITO GLICERINA</t>
  </si>
  <si>
    <t xml:space="preserve">60 T4 B1 </t>
  </si>
  <si>
    <t xml:space="preserve">80 A2 B1 </t>
  </si>
  <si>
    <t>FUNDIÇÃO</t>
  </si>
  <si>
    <t>BOMBA TRANSFEGA A DEPOSITOS DO 122A</t>
  </si>
  <si>
    <t>limpar, mudar cordão se necessário e acoplamento</t>
  </si>
  <si>
    <t>ABR, AGO, DEZ</t>
  </si>
  <si>
    <t>ANUAL-STP</t>
  </si>
  <si>
    <t>mudar equipamentos se se justificar</t>
  </si>
  <si>
    <t>verificar nível óleo do redutor</t>
  </si>
  <si>
    <t>lubrificar bomba</t>
  </si>
  <si>
    <t>ÓLEO - OMALA S2 - 320</t>
  </si>
  <si>
    <t xml:space="preserve">80 A5  </t>
  </si>
  <si>
    <t>CIRCUITO OLEO TERMICO</t>
  </si>
  <si>
    <t>TEMPERATURA - DELTAPLEX 2EP</t>
  </si>
  <si>
    <t>1 rolamento bomba - 4un Alta Temp.</t>
  </si>
  <si>
    <t>PLANO</t>
  </si>
  <si>
    <t xml:space="preserve">80 A6 E1 </t>
  </si>
  <si>
    <t>FUNDIDOR</t>
  </si>
  <si>
    <t>EXAUSTÃO</t>
  </si>
  <si>
    <t>lubrificar ventilador</t>
  </si>
  <si>
    <t>a</t>
  </si>
  <si>
    <t>limpar ventilador</t>
  </si>
  <si>
    <t>SEM LUBRIFICAÇÃO</t>
  </si>
  <si>
    <t>80 A6 T1</t>
  </si>
  <si>
    <t>1 empanque - 4un</t>
  </si>
  <si>
    <t>DEPOSITO CONDENSADOS</t>
  </si>
  <si>
    <t>vazar deposito condensados</t>
  </si>
  <si>
    <t xml:space="preserve">80 F1  </t>
  </si>
  <si>
    <t>FUNDIDOR 1</t>
  </si>
  <si>
    <t>limpeza interior</t>
  </si>
  <si>
    <t>limpeza exterior</t>
  </si>
  <si>
    <t xml:space="preserve">80 F1 B1 </t>
  </si>
  <si>
    <t>BOMBA DESCARGA FUNDIDOR</t>
  </si>
  <si>
    <t>80 F1 M1</t>
  </si>
  <si>
    <t>DIFERENCIAL</t>
  </si>
  <si>
    <t>limpeza corrente diferencial elétrico</t>
  </si>
  <si>
    <t xml:space="preserve">80 F1 Y1 </t>
  </si>
  <si>
    <t>CENTRAL HIDRAULICA DA PRENSA RESINA</t>
  </si>
  <si>
    <t>limpeza do filtro de óleo</t>
  </si>
  <si>
    <t>atesto ou substituição de óleo</t>
  </si>
  <si>
    <t xml:space="preserve">80 L1  </t>
  </si>
  <si>
    <t>FILTRO ROSIN</t>
  </si>
  <si>
    <t>FILTRO COLOFONIA - HACCP</t>
  </si>
  <si>
    <t>ficha de registo-verificação filtro russell</t>
  </si>
  <si>
    <t xml:space="preserve">FILTRO COLOFONIA </t>
  </si>
  <si>
    <t>lubrificar chumaceira</t>
  </si>
  <si>
    <t xml:space="preserve">92 K1  </t>
  </si>
  <si>
    <t>AR/AZOTO</t>
  </si>
  <si>
    <t>COMPRESSOR 1 - Atlas Copco GA 11VSD+FF</t>
  </si>
  <si>
    <t xml:space="preserve">90 H1  </t>
  </si>
  <si>
    <t>VAPOR</t>
  </si>
  <si>
    <t>GERADOR VAPOR 1</t>
  </si>
  <si>
    <t>abertura, limpeza do interior e fecho</t>
  </si>
  <si>
    <t>1 chumaceira - 4un Alta Temp.</t>
  </si>
  <si>
    <t>revisão equipamentos de controlo</t>
  </si>
  <si>
    <t>prova hidráulica</t>
  </si>
  <si>
    <t>plano horas maquina</t>
  </si>
  <si>
    <t>prova hidráulica legal intercalar</t>
  </si>
  <si>
    <t>empresa exterior</t>
  </si>
  <si>
    <t>BIANUAL</t>
  </si>
  <si>
    <t>prova hidráulica legal</t>
  </si>
  <si>
    <t>verificação do manómetro</t>
  </si>
  <si>
    <t>TRIMESTRAL</t>
  </si>
  <si>
    <t>MAR, JUN, SET, DEZ</t>
  </si>
  <si>
    <t>33 - LUBRIFICANTE CORRENTES - WD 40 CORRENTES</t>
  </si>
  <si>
    <t>verificação das válvulas de segurança</t>
  </si>
  <si>
    <t xml:space="preserve">92 K2  </t>
  </si>
  <si>
    <t>COMPRESSOR 2 - Atlas Copco GA 22VSD+FF</t>
  </si>
  <si>
    <t>92 T5</t>
  </si>
  <si>
    <t>DEPOSITO IBC CONDENSADOS AR COMPRIMIDO</t>
  </si>
  <si>
    <t>verificar linhas de purga e vazar IBC</t>
  </si>
  <si>
    <t xml:space="preserve">110 I 1 Q20 </t>
  </si>
  <si>
    <t>MONITOR</t>
  </si>
  <si>
    <t xml:space="preserve">110 I 1 Q21 </t>
  </si>
  <si>
    <t>UPS 2</t>
  </si>
  <si>
    <t xml:space="preserve">12 Y1  </t>
  </si>
  <si>
    <t>ELEVADOR</t>
  </si>
  <si>
    <t>verificação legal</t>
  </si>
  <si>
    <t xml:space="preserve">90 H1 G1 </t>
  </si>
  <si>
    <t>QUEIMADOR</t>
  </si>
  <si>
    <t>limpar célula de queima</t>
  </si>
  <si>
    <t>revisão geral</t>
  </si>
  <si>
    <t>140 BL301</t>
  </si>
  <si>
    <t>MBBR</t>
  </si>
  <si>
    <t>SOPRADOR MBBR 1 - BLOWER</t>
  </si>
  <si>
    <t>verificar estado conservação/funcionamento e fugas</t>
  </si>
  <si>
    <t>schindler - contracto (SC)</t>
  </si>
  <si>
    <t xml:space="preserve">90 H1 P1 </t>
  </si>
  <si>
    <t>RECUPERADOR CALOR</t>
  </si>
  <si>
    <t>limpeza e se necessário substituição dos filtros do ar</t>
  </si>
  <si>
    <t xml:space="preserve">90 H2  </t>
  </si>
  <si>
    <t>TERMOFLUIDO</t>
  </si>
  <si>
    <t>CALDEIRA TERMOFLUIDO 1</t>
  </si>
  <si>
    <t xml:space="preserve">90 H2 B1 </t>
  </si>
  <si>
    <t>BOMBA CIRCULAÇÃO</t>
  </si>
  <si>
    <t>lubrificar motor (motor não tem pontos de lubrificação)</t>
  </si>
  <si>
    <t>empresa externa</t>
  </si>
  <si>
    <t>140 BL302</t>
  </si>
  <si>
    <t>SOPRADOR MBBR 2 - BLOWER</t>
  </si>
  <si>
    <t xml:space="preserve">90 H2 G1 </t>
  </si>
  <si>
    <t>ALTA TEMP - MOBIL POLUREX NLGI 2</t>
  </si>
  <si>
    <t>1 rolamento - 4un Alta Temp.</t>
  </si>
  <si>
    <t>120B</t>
  </si>
  <si>
    <t xml:space="preserve">120B A1 B1 </t>
  </si>
  <si>
    <t>TRACING</t>
  </si>
  <si>
    <t>BOMBA TERMOFLUIDO TRACING</t>
  </si>
  <si>
    <t>2 rolamentos - 4un Alta Temp.</t>
  </si>
  <si>
    <t>90 H2 P1</t>
  </si>
  <si>
    <t>limpeza da bomba</t>
  </si>
  <si>
    <t>COMPRESSOR 1</t>
  </si>
  <si>
    <t>Externo - revisão da marca</t>
  </si>
  <si>
    <t xml:space="preserve">90 A1  </t>
  </si>
  <si>
    <t>CIRCUITO TERMOFLUIDO</t>
  </si>
  <si>
    <t>COMPRESSOR 2</t>
  </si>
  <si>
    <t xml:space="preserve">92 T1  </t>
  </si>
  <si>
    <t>RESERVATORIO AR COMPRIMIDO</t>
  </si>
  <si>
    <t>DEZ</t>
  </si>
  <si>
    <t xml:space="preserve">92 T2  </t>
  </si>
  <si>
    <t>RESERVATORIO AZOTO GERADOR 1</t>
  </si>
  <si>
    <t xml:space="preserve">92 T3  </t>
  </si>
  <si>
    <t>RESERVATORIO AZOTO GERADOR 2</t>
  </si>
  <si>
    <t>caudal agua bruta</t>
  </si>
  <si>
    <t xml:space="preserve">93 K2  </t>
  </si>
  <si>
    <t>COMPRESSOR 3 (DESLIGADO)</t>
  </si>
  <si>
    <t>caudal agua á caldeira</t>
  </si>
  <si>
    <t>horas funcionamento</t>
  </si>
  <si>
    <t>TRIANUAL</t>
  </si>
  <si>
    <t xml:space="preserve">100 T1 A </t>
  </si>
  <si>
    <t>AGUA</t>
  </si>
  <si>
    <t>TANQUE AGUA E REFRIGERAÇÃO</t>
  </si>
  <si>
    <t>verificar/limpar estado de limpeza</t>
  </si>
  <si>
    <t>100 T1 X1</t>
  </si>
  <si>
    <t>TORRE REFRIGERAÇÃO 1</t>
  </si>
  <si>
    <t>verificação de ventilador</t>
  </si>
  <si>
    <t>TRIANUAL-STP</t>
  </si>
  <si>
    <t>34 - ÓLEO - OMALA S2 - 320</t>
  </si>
  <si>
    <t>20/01-LM-OK</t>
  </si>
  <si>
    <t>31 - TEMPERATURA - DELTAPLEX 2EP</t>
  </si>
  <si>
    <t>verificação de estado dos favos</t>
  </si>
  <si>
    <t>20/01-MS-OK</t>
  </si>
  <si>
    <t>BIANUAL-STP</t>
  </si>
  <si>
    <t>100 T1 X2</t>
  </si>
  <si>
    <t>TORRE REFRIGERAÇÃO 2</t>
  </si>
  <si>
    <t>BIENAL-ano impar</t>
  </si>
  <si>
    <t xml:space="preserve">100 T1 B1 </t>
  </si>
  <si>
    <t>CIRCUITO TORRE REFRIGERAÇÃO</t>
  </si>
  <si>
    <t>lubrificar motor da bomba</t>
  </si>
  <si>
    <t xml:space="preserve">101 Y1 Q1 </t>
  </si>
  <si>
    <t>QUADRO ELEC. MAQUINA, CENTRAL AGUA</t>
  </si>
  <si>
    <t>limpeza/substituição filtros elétricos</t>
  </si>
  <si>
    <t xml:space="preserve">90 H1 B1 </t>
  </si>
  <si>
    <t>BOMBA AGUA 1</t>
  </si>
  <si>
    <t xml:space="preserve">101 Y1 A1 </t>
  </si>
  <si>
    <t>CIRCUITO ALIMENTAÇÃO AGUA</t>
  </si>
  <si>
    <t>abertura, limpeza do interior, do cesto e fecho - filtro 1mm</t>
  </si>
  <si>
    <t xml:space="preserve">101 Y1 B1 </t>
  </si>
  <si>
    <t>101 Y1 B2</t>
  </si>
  <si>
    <t xml:space="preserve">101 Y1 L2 </t>
  </si>
  <si>
    <t>revisão geral filtro automático - filtro 130 micron</t>
  </si>
  <si>
    <t>ESPECIAIS - MOBIL POLUREX NLGI 2</t>
  </si>
  <si>
    <t>1+1 rolamentos - 2un</t>
  </si>
  <si>
    <t xml:space="preserve">90 H1 B2 </t>
  </si>
  <si>
    <t>BOMBA AGUA 2</t>
  </si>
  <si>
    <t xml:space="preserve">101 Y2 T1 </t>
  </si>
  <si>
    <t>TRATAMENTO AGUA BRUTA</t>
  </si>
  <si>
    <t>lavar potes sal</t>
  </si>
  <si>
    <t xml:space="preserve">102 SI1  </t>
  </si>
  <si>
    <t>CENTRAL AGUAS SI</t>
  </si>
  <si>
    <t>lubrificar bomba elétrica</t>
  </si>
  <si>
    <t xml:space="preserve">110 I 1 Q1 </t>
  </si>
  <si>
    <t>QUADRO AUTOMATO</t>
  </si>
  <si>
    <t>limpeza com ar seco</t>
  </si>
  <si>
    <t xml:space="preserve">110 I 1 Q2 </t>
  </si>
  <si>
    <t>PC SERVER</t>
  </si>
  <si>
    <t xml:space="preserve">110 I 1 Q3 </t>
  </si>
  <si>
    <t>PC ESCRAVO 1</t>
  </si>
  <si>
    <t>2 rolamentos - 2un</t>
  </si>
  <si>
    <t xml:space="preserve">110 I 1 Q4 </t>
  </si>
  <si>
    <t>PC ESCRAVO 2</t>
  </si>
  <si>
    <t xml:space="preserve">110 I 1 Q5 </t>
  </si>
  <si>
    <t>PC ESCRAVO 3</t>
  </si>
  <si>
    <t xml:space="preserve">110 I 1 Q6 </t>
  </si>
  <si>
    <t>PC ESCRAVO 4 - 121A</t>
  </si>
  <si>
    <t xml:space="preserve">110 I2 QA1 </t>
  </si>
  <si>
    <t>QUADRO ELEC. AUTOMAÇÃO 120A-ESTER</t>
  </si>
  <si>
    <t>verificar a aparelhagem</t>
  </si>
  <si>
    <t xml:space="preserve">110 I2 QA2 </t>
  </si>
  <si>
    <t>QUADRO ELEC. AUTOMAÇÃO 120A-WW</t>
  </si>
  <si>
    <t xml:space="preserve">110 I2 QA3 </t>
  </si>
  <si>
    <t>QUADRO ELEC. AUTOMAÇÃO 130-INK</t>
  </si>
  <si>
    <t xml:space="preserve">110 I2 QA4 </t>
  </si>
  <si>
    <t>QUADRO ELEC. AUTOMAÇÃO 121A-ESTER</t>
  </si>
  <si>
    <t>?</t>
  </si>
  <si>
    <t xml:space="preserve">110 I2 QA5 </t>
  </si>
  <si>
    <t>QUADRO ELEC. AUTOMAÇÃO 121B-INK</t>
  </si>
  <si>
    <t xml:space="preserve">110 I2 QA6 </t>
  </si>
  <si>
    <t>QUADRO ELEC. AUTOMAÇÃO 122B</t>
  </si>
  <si>
    <t>legal</t>
  </si>
  <si>
    <t xml:space="preserve">110 I2 QA7 </t>
  </si>
  <si>
    <t>QUADRO ELEC. AUTOMAÇÃO 60</t>
  </si>
  <si>
    <t>5 ANOS-legal</t>
  </si>
  <si>
    <t xml:space="preserve">110 I2 QA8 </t>
  </si>
  <si>
    <t>QUADRO ELEC. AUTOMAÇÃO 80</t>
  </si>
  <si>
    <t xml:space="preserve">110 I2 QA9 </t>
  </si>
  <si>
    <t>QUADRO ELEC. AUTOMAÇÃO 120A-CONDENSADOS</t>
  </si>
  <si>
    <t xml:space="preserve">110 Y1  </t>
  </si>
  <si>
    <t xml:space="preserve">12 A1  </t>
  </si>
  <si>
    <t>CIRCUITOS</t>
  </si>
  <si>
    <t xml:space="preserve">12 A2  </t>
  </si>
  <si>
    <t xml:space="preserve">12 A3  </t>
  </si>
  <si>
    <t>CIRCUITO AGUA</t>
  </si>
  <si>
    <t xml:space="preserve">12 A4  </t>
  </si>
  <si>
    <t>CIRCUITO AR COMPRIMIDO</t>
  </si>
  <si>
    <t xml:space="preserve">12 A5  </t>
  </si>
  <si>
    <t>CIRCUITO AZOTO</t>
  </si>
  <si>
    <t xml:space="preserve">90 H2 E1 </t>
  </si>
  <si>
    <t>VENTILADOR RECUPERADOR CALOR</t>
  </si>
  <si>
    <t xml:space="preserve">130 D1  </t>
  </si>
  <si>
    <t>DESPOEIRAMENTO</t>
  </si>
  <si>
    <t>DESPOEIRAMENTO DESCARGA RESINA</t>
  </si>
  <si>
    <t>lubrificar motor ventilador</t>
  </si>
  <si>
    <t>lubrificar válvula rotativa</t>
  </si>
  <si>
    <t>limpar mangas e se necessário substituir</t>
  </si>
  <si>
    <t>verificar válvula rotativa, substituir se necessário</t>
  </si>
  <si>
    <t>verificar se existem fugas</t>
  </si>
  <si>
    <t xml:space="preserve">130 IE1 Q1 </t>
  </si>
  <si>
    <t>QUADROS ELECTRICOS - SALA</t>
  </si>
  <si>
    <t>2 chumaceiras - 4un</t>
  </si>
  <si>
    <t xml:space="preserve">130 N1  </t>
  </si>
  <si>
    <t>CAIS CARGA 1</t>
  </si>
  <si>
    <t>2 chumaceiras - 2un (NU311 ECP / 6311-Z)</t>
  </si>
  <si>
    <t xml:space="preserve">130 N2  </t>
  </si>
  <si>
    <t>CAIS CARGA 2</t>
  </si>
  <si>
    <t>GV</t>
  </si>
  <si>
    <t xml:space="preserve">136 W1  </t>
  </si>
  <si>
    <t>SCRUBBER</t>
  </si>
  <si>
    <t xml:space="preserve">abrir e limpar </t>
  </si>
  <si>
    <t xml:space="preserve">136 W1 B1 </t>
  </si>
  <si>
    <t>BOMBA TRANSFEGA EFLUENTE</t>
  </si>
  <si>
    <t xml:space="preserve">136 W1 E1 </t>
  </si>
  <si>
    <t>VENTILADOR SCRUBBER DESCARGAS</t>
  </si>
  <si>
    <t xml:space="preserve">136 W1 E2 </t>
  </si>
  <si>
    <t>VENTILADOR SCRUBBER REACTORES</t>
  </si>
  <si>
    <t>136 W2</t>
  </si>
  <si>
    <t>COLUNA FENÓLICAS</t>
  </si>
  <si>
    <t xml:space="preserve">vazar deposito condensados, abrir e limpar </t>
  </si>
  <si>
    <t>140 A1</t>
  </si>
  <si>
    <t>DEPOSITOS</t>
  </si>
  <si>
    <t>TRANSFEGA ENTRE DEPOSITOS E PARA CISTERNAS</t>
  </si>
  <si>
    <t>140 A101</t>
  </si>
  <si>
    <t>TANQUES</t>
  </si>
  <si>
    <t>AGITADOR BIOP</t>
  </si>
  <si>
    <t>Verificação do correto funcionamento/limpeza</t>
  </si>
  <si>
    <t>140 A102</t>
  </si>
  <si>
    <t>AGITADOR F/Q</t>
  </si>
  <si>
    <t>140 A201</t>
  </si>
  <si>
    <t>VADOF</t>
  </si>
  <si>
    <t>AGITADOR VADOF - AGIT</t>
  </si>
  <si>
    <t>140 A301</t>
  </si>
  <si>
    <t>VAMEF</t>
  </si>
  <si>
    <t>AGITADOR VAMEF - AGIT</t>
  </si>
  <si>
    <t>140 A401</t>
  </si>
  <si>
    <t>ESPESSADOR</t>
  </si>
  <si>
    <t>AGITADOR FLOCULAÇÃO ESPESSADOR</t>
  </si>
  <si>
    <t xml:space="preserve">100 O1  </t>
  </si>
  <si>
    <t>FURO HERTEZIANO</t>
  </si>
  <si>
    <t>leitura caudalimetro</t>
  </si>
  <si>
    <t xml:space="preserve">100 T1  </t>
  </si>
  <si>
    <t>nível agua, purga na decantação, temperatura</t>
  </si>
  <si>
    <t xml:space="preserve">101 Y1  </t>
  </si>
  <si>
    <t>filtro, bombas, pressões</t>
  </si>
  <si>
    <t xml:space="preserve">101 Y2  </t>
  </si>
  <si>
    <t>caudalimetros, filtros, valores analíticos e doseamentos</t>
  </si>
  <si>
    <t>CONDIÇÃO HORAS</t>
  </si>
  <si>
    <t>funcionamento, testes, pressão</t>
  </si>
  <si>
    <t>140 B1</t>
  </si>
  <si>
    <t>BOMBA TRANSFEGA</t>
  </si>
  <si>
    <t>140 BC</t>
  </si>
  <si>
    <t>BOMBA CIRCULADORA</t>
  </si>
  <si>
    <t>140 BD501</t>
  </si>
  <si>
    <t>BOMBA DOSEADORA VADOF - OXI.</t>
  </si>
  <si>
    <t>140 BD502</t>
  </si>
  <si>
    <t>BOMBA DOSEADORA VAMEF - ACIDO</t>
  </si>
  <si>
    <t>140 BD503</t>
  </si>
  <si>
    <t>BOMBA DOSEADORA VADOF - COAG.</t>
  </si>
  <si>
    <t>140 BD504</t>
  </si>
  <si>
    <t>BOMBA DOSEADORA VAMEF - COAG.</t>
  </si>
  <si>
    <t>140 BD505</t>
  </si>
  <si>
    <t>BOMBA DOSEADORA VADOF - BASE</t>
  </si>
  <si>
    <t>140 BD506</t>
  </si>
  <si>
    <t>BOMBA DOSEADORA MBBR - BASE</t>
  </si>
  <si>
    <t>140 BD507</t>
  </si>
  <si>
    <t>BOMBA DOSEADORA MBBR - AE</t>
  </si>
  <si>
    <t>140 BD508</t>
  </si>
  <si>
    <t>BOMBA DOSEADORA MBBR - CARBONO</t>
  </si>
  <si>
    <t>140 BD509</t>
  </si>
  <si>
    <t>BOMBA DOSEADORA VADOF - FLOC.</t>
  </si>
  <si>
    <t>140 BD510</t>
  </si>
  <si>
    <t>BOMBA DOSEADORA VAMEF - FLOC.</t>
  </si>
  <si>
    <t>SOPRADOR MBBR 1 (BLOWER 1)</t>
  </si>
  <si>
    <t>substituir óleo dos 2 estágios do compressor</t>
  </si>
  <si>
    <t>140 BD511</t>
  </si>
  <si>
    <t>BOMBA DOSEADORA T403 - FLOC.</t>
  </si>
  <si>
    <t>140 BD512</t>
  </si>
  <si>
    <t>BOMBA DOSEADORA MBBR - AZOTO</t>
  </si>
  <si>
    <t>SOPRADOR MBBR 2 (BLOWER 2)</t>
  </si>
  <si>
    <t>140 BD513</t>
  </si>
  <si>
    <t>BOMBA DOSEADORA MBBR - FOSFORO</t>
  </si>
  <si>
    <t>30 - ALTA TEMP - MOBIL POLUREX NLGI 2</t>
  </si>
  <si>
    <t>140 BL201</t>
  </si>
  <si>
    <t>EC</t>
  </si>
  <si>
    <t>SOPRADOR DO EC - SOP EC</t>
  </si>
  <si>
    <t>140 FP400</t>
  </si>
  <si>
    <t>PRENSA</t>
  </si>
  <si>
    <t>CENTRAL HIDRAULICA DO FILTRO PRENSA</t>
  </si>
  <si>
    <t>140 EC1</t>
  </si>
  <si>
    <t>ELECTROCOAGULADOR 1</t>
  </si>
  <si>
    <t>140 GO3</t>
  </si>
  <si>
    <t>GERADOR OZONO - GER O3</t>
  </si>
  <si>
    <t>140 IE1 Q1</t>
  </si>
  <si>
    <t>ETARi</t>
  </si>
  <si>
    <t>QUADROS ELECTRICOS</t>
  </si>
  <si>
    <t>ELECTROCOAGULADOR 2</t>
  </si>
  <si>
    <t>FILTRO PRENSA</t>
  </si>
  <si>
    <t>140 P 201</t>
  </si>
  <si>
    <t>BOMBA ELEVAÇÃO HOMOG. -&gt; EC - BE EC</t>
  </si>
  <si>
    <t>140 P101A</t>
  </si>
  <si>
    <t>BOMBA ELEVAÇÃO HOMOG. F/Q - BER1</t>
  </si>
  <si>
    <t>140 P101B</t>
  </si>
  <si>
    <t>BOMBA ELEVAÇÃO HOMOG. F/Q - BER2</t>
  </si>
  <si>
    <t>140 P102A</t>
  </si>
  <si>
    <t>BOMBA ELEVAÇÃO BIOP -&gt; HOMOG. F/Q - BEBP1</t>
  </si>
  <si>
    <t>140 P102B</t>
  </si>
  <si>
    <t>BOMBA ELEVAÇÃO BIOP -&gt; HOMOG. F/Q - BEBP2</t>
  </si>
  <si>
    <t>140 P202</t>
  </si>
  <si>
    <t>BOMBA ELEVAÇÃO VADOF - BA VADOF</t>
  </si>
  <si>
    <t>140 P203</t>
  </si>
  <si>
    <t>BOMBA ELEVATÓRIA VADOF -&gt; MBBR - BE HM MBBR</t>
  </si>
  <si>
    <t>140 P204</t>
  </si>
  <si>
    <t>BOMBA RECIRCULAÇÃO VADOF - BR</t>
  </si>
  <si>
    <t>140 P302</t>
  </si>
  <si>
    <t>BOMBA RECIRCULAÇÃO VAMEF - BR</t>
  </si>
  <si>
    <t>140 P303</t>
  </si>
  <si>
    <t>BOMBA EFLUENTE TRATADO -&gt; RUA</t>
  </si>
  <si>
    <t>140 P401</t>
  </si>
  <si>
    <t>BOMBA ELEVAÇÃO EC -&gt; ESPESSADOR BL EC DOF</t>
  </si>
  <si>
    <t>140 R201</t>
  </si>
  <si>
    <t>RETIFICADOR EC - R EC</t>
  </si>
  <si>
    <t>140 S201</t>
  </si>
  <si>
    <t>11/02-AROESTE-OK</t>
  </si>
  <si>
    <t>RASPADOR VADOF - RASP</t>
  </si>
  <si>
    <t>140 S301</t>
  </si>
  <si>
    <t>RASPADOR VAMEF - RASP</t>
  </si>
  <si>
    <t>140 T1</t>
  </si>
  <si>
    <t>DEPOSITO 1</t>
  </si>
  <si>
    <t>2+2 rolamentos - 4un Alta Temp.</t>
  </si>
  <si>
    <t>140 T101</t>
  </si>
  <si>
    <t>TANQUE EFLUENTE RESINAS</t>
  </si>
  <si>
    <t>140 T102</t>
  </si>
  <si>
    <t>TANQUE EFLUENTE BIOP</t>
  </si>
  <si>
    <t>140 T103</t>
  </si>
  <si>
    <t>TANQUE HOMOGENIZAÇÃO F/Q</t>
  </si>
  <si>
    <t>140 T2</t>
  </si>
  <si>
    <t>DEPOSITO 2</t>
  </si>
  <si>
    <t>140 T203</t>
  </si>
  <si>
    <t>TANQUE EC - TES EC</t>
  </si>
  <si>
    <t>140 T204</t>
  </si>
  <si>
    <t>TANQUE EFLUENTE DO VADOF - TES VADOF</t>
  </si>
  <si>
    <t>140 T3</t>
  </si>
  <si>
    <t>DEPOSITO 3</t>
  </si>
  <si>
    <t>2 rolamentos - 4un</t>
  </si>
  <si>
    <t>140 T302</t>
  </si>
  <si>
    <t>TANQUE MBBR</t>
  </si>
  <si>
    <t>140 T303</t>
  </si>
  <si>
    <t>TANQUE EFLUENTE TRATADO</t>
  </si>
  <si>
    <t>140 T401</t>
  </si>
  <si>
    <t>TANQUE DE LAMAS DO EC E DO VADOF - TTL EC VADOF</t>
  </si>
  <si>
    <t>140 T402</t>
  </si>
  <si>
    <t>TANQUE LAMAS VAMEF - TTL VAMEF</t>
  </si>
  <si>
    <t>140 T403</t>
  </si>
  <si>
    <t>TANQUE FLOCULAÇÃO ESPESSADOR - T FLOC ESP</t>
  </si>
  <si>
    <t>140 P402</t>
  </si>
  <si>
    <t>BOMBA ELEVATÓRIA VAMEF -&gt; ESPESSADOR - BL VAMEF</t>
  </si>
  <si>
    <t>140 T404</t>
  </si>
  <si>
    <t>TANQUE ESPESSADOR</t>
  </si>
  <si>
    <t>120A</t>
  </si>
  <si>
    <t xml:space="preserve">120A T1  </t>
  </si>
  <si>
    <t>CONDENSADOS</t>
  </si>
  <si>
    <t>DEPOSITO RECOLHA CONDENSADOS</t>
  </si>
  <si>
    <t xml:space="preserve">120A T1 B1 </t>
  </si>
  <si>
    <t>BOMBA TRANSFEGA Á ETARI 1</t>
  </si>
  <si>
    <t>limpeza válvula anti-retorno, verificar fugas</t>
  </si>
  <si>
    <t xml:space="preserve">120A T1 B2 </t>
  </si>
  <si>
    <t>BOMBA TRANSFEGA Á ETARI 2</t>
  </si>
  <si>
    <t>copo óleo ao nível</t>
  </si>
  <si>
    <t xml:space="preserve">120A T2  </t>
  </si>
  <si>
    <t>VACUO</t>
  </si>
  <si>
    <t>DEPOSITO RECOLHA CONDENSADOS VACUO</t>
  </si>
  <si>
    <t>abertura, limpeza do interior e verificar fugas</t>
  </si>
  <si>
    <t xml:space="preserve">120A T2 B1 </t>
  </si>
  <si>
    <t>BOMBA VACUO</t>
  </si>
  <si>
    <t>vazar e lavar deposito azul bomba vácuo</t>
  </si>
  <si>
    <t>lavagem do interior e circuito jusante</t>
  </si>
  <si>
    <t>lubrificar motor e bomba</t>
  </si>
  <si>
    <t xml:space="preserve">120A T3  </t>
  </si>
  <si>
    <t>STANDARD - TOTAL EP 2</t>
  </si>
  <si>
    <t>4 rolamentos - 4un</t>
  </si>
  <si>
    <t>DEPOSITO RECOLHA CONDENSADOS R1</t>
  </si>
  <si>
    <t xml:space="preserve">120A T3 B1 </t>
  </si>
  <si>
    <t xml:space="preserve">120A T4  </t>
  </si>
  <si>
    <t>DEPOSITO RECOLHA CONDENSADOS R2</t>
  </si>
  <si>
    <t xml:space="preserve">120A T4 B1 </t>
  </si>
  <si>
    <t xml:space="preserve">120B A1  </t>
  </si>
  <si>
    <t>CIRCUITO TRACING</t>
  </si>
  <si>
    <t>verificar alinhamento</t>
  </si>
  <si>
    <t>140 P404</t>
  </si>
  <si>
    <t>BOMBA DRENOS FP -&gt; T404 ou T301</t>
  </si>
  <si>
    <t>TANQUE DOS DRENOS DO FP</t>
  </si>
  <si>
    <t xml:space="preserve">120B P1  </t>
  </si>
  <si>
    <t>R6</t>
  </si>
  <si>
    <t>PERMUTADOR CALOR TERMOFLUIDO</t>
  </si>
  <si>
    <t>Verificar fugas termofluido</t>
  </si>
  <si>
    <t>120B R1</t>
  </si>
  <si>
    <t>R1</t>
  </si>
  <si>
    <t>CORPO REACTOR</t>
  </si>
  <si>
    <t>Verificar selagem bainhas temperatura</t>
  </si>
  <si>
    <t>Verificar e limpar válvula de amostra e ligações</t>
  </si>
  <si>
    <t>Verificar sondas temperatura - EMM</t>
  </si>
  <si>
    <t>RUI</t>
  </si>
  <si>
    <t>Mudar teflon do castelo da válvula de descarga</t>
  </si>
  <si>
    <t>R</t>
  </si>
  <si>
    <t>Limpar condensador e tubagens anexas</t>
  </si>
  <si>
    <t xml:space="preserve">120B R1 B1 </t>
  </si>
  <si>
    <t xml:space="preserve">BOMBA TERMOFLUIDO </t>
  </si>
  <si>
    <t>Limpar bomba e Verificar fugas termofluido</t>
  </si>
  <si>
    <t>Verificar acoplamento e alinhamento bomba termofluido</t>
  </si>
  <si>
    <t>120B R2</t>
  </si>
  <si>
    <t>R2</t>
  </si>
  <si>
    <t xml:space="preserve">120B R2 B1 </t>
  </si>
  <si>
    <t>120B R3</t>
  </si>
  <si>
    <t>R3</t>
  </si>
  <si>
    <t xml:space="preserve">120B R3 B1 </t>
  </si>
  <si>
    <t xml:space="preserve">120B R3 B2 </t>
  </si>
  <si>
    <t>MENSAL-legal</t>
  </si>
  <si>
    <t xml:space="preserve">BOMBA DESCARGA 1 REACTOR </t>
  </si>
  <si>
    <t>Verificar nível óleo do redutor</t>
  </si>
  <si>
    <t>Mudar equipamentos se se justificar</t>
  </si>
  <si>
    <t>RAA</t>
  </si>
  <si>
    <t xml:space="preserve">120B R3 B3 </t>
  </si>
  <si>
    <t xml:space="preserve">BOMBA DESCARGA 2 REACTOR </t>
  </si>
  <si>
    <t>29 - ESPECIAIS - MOBIL POLUREX NLGI 2</t>
  </si>
  <si>
    <t>20/1-MS-OK</t>
  </si>
  <si>
    <t>120B R4</t>
  </si>
  <si>
    <t>R4</t>
  </si>
  <si>
    <t xml:space="preserve">120B R4 B1 </t>
  </si>
  <si>
    <t xml:space="preserve">120B R4 B2 </t>
  </si>
  <si>
    <t xml:space="preserve">120B R4 B3 </t>
  </si>
  <si>
    <t>120B R5</t>
  </si>
  <si>
    <t>R5</t>
  </si>
  <si>
    <t xml:space="preserve">120B R5 B1 </t>
  </si>
  <si>
    <t xml:space="preserve">120B R5 B2 </t>
  </si>
  <si>
    <t xml:space="preserve">120B R5 B3 </t>
  </si>
  <si>
    <t>120B R6</t>
  </si>
  <si>
    <t xml:space="preserve">120B R6 B1 </t>
  </si>
  <si>
    <t>BOMBA TERMOFLUIDO</t>
  </si>
  <si>
    <t>30/01-RG-OK</t>
  </si>
  <si>
    <t>28/02-RG-OK</t>
  </si>
  <si>
    <t xml:space="preserve">120B R6 B2 </t>
  </si>
  <si>
    <t>BOMBA DESCARGA 1 REACTOR</t>
  </si>
  <si>
    <t xml:space="preserve">120B R6 B3 </t>
  </si>
  <si>
    <t>BOMBA DESCARGA 2 REACTOR</t>
  </si>
  <si>
    <t>121B</t>
  </si>
  <si>
    <t>121B R1</t>
  </si>
  <si>
    <t>TOPO REACTOR</t>
  </si>
  <si>
    <t>Purgar empanque e colocar nova glicerina</t>
  </si>
  <si>
    <t>Verificar e limpar válvula da direta e tubagem</t>
  </si>
  <si>
    <t>Substituir cordão empanque na boca d'homem</t>
  </si>
  <si>
    <t>Verificar sensor de pressão - EMM</t>
  </si>
  <si>
    <t>Verificar manómetros</t>
  </si>
  <si>
    <t>Verificar acoplamento, estrela</t>
  </si>
  <si>
    <t>Limpar visor da boca homem</t>
  </si>
  <si>
    <t>Verificar e limpar valv. e troço despressurização</t>
  </si>
  <si>
    <t>Verificar, limpar valv, tubagem ao scrubber</t>
  </si>
  <si>
    <t>HORAS FUNC.</t>
  </si>
  <si>
    <t>Verificar apertos dos parafusos no interior</t>
  </si>
  <si>
    <t>Verificar casquilho inferior do veio</t>
  </si>
  <si>
    <t>Limpar o interior se necessário</t>
  </si>
  <si>
    <t xml:space="preserve">121B R1 I1 </t>
  </si>
  <si>
    <t>VARIADOR FREQUENCIA</t>
  </si>
  <si>
    <t>Limpeza geral com ar seco</t>
  </si>
  <si>
    <t xml:space="preserve">121B R1 M1 </t>
  </si>
  <si>
    <t>MOTORREDUTOR AGITAÇÃO REACTOR</t>
  </si>
  <si>
    <t>Verificar nível óleo</t>
  </si>
  <si>
    <t>Verificar motorredutor, apertos, acoplamentos</t>
  </si>
  <si>
    <t>ÓLEO - OMALA S2 - 460</t>
  </si>
  <si>
    <t>Verificar acoplamentos</t>
  </si>
  <si>
    <t>Limpeza geral</t>
  </si>
  <si>
    <t>Lubrificar empanque do agitador</t>
  </si>
  <si>
    <t>lubrificar acoplamento ao reator</t>
  </si>
  <si>
    <t>EMPANQUES - BERNER GRAPHITE</t>
  </si>
  <si>
    <t>até sair na tampa superior</t>
  </si>
  <si>
    <t>121B R2</t>
  </si>
  <si>
    <t>1 chumaceira, 1 acoplamento - 6un Alta Temp.</t>
  </si>
  <si>
    <t xml:space="preserve">121B R2 I1 </t>
  </si>
  <si>
    <t xml:space="preserve">121B R2 M1 </t>
  </si>
  <si>
    <t>121B R3</t>
  </si>
  <si>
    <t xml:space="preserve">121B R3 I1 </t>
  </si>
  <si>
    <t xml:space="preserve">121B R3 M1 </t>
  </si>
  <si>
    <t>Lubrificar motor do agitador</t>
  </si>
  <si>
    <t>2 rolamentos - 2un/cada</t>
  </si>
  <si>
    <t>121B R4</t>
  </si>
  <si>
    <t xml:space="preserve">121B R4 I1 </t>
  </si>
  <si>
    <t xml:space="preserve">121B R4 M1 </t>
  </si>
  <si>
    <t>121B R5</t>
  </si>
  <si>
    <t>30/01-SCHINDLER-OK</t>
  </si>
  <si>
    <t>24/02-SCHINDLER-OK</t>
  </si>
  <si>
    <t xml:space="preserve">121B R5 I1 </t>
  </si>
  <si>
    <t xml:space="preserve">121B R5 M1 </t>
  </si>
  <si>
    <t>121B R6</t>
  </si>
  <si>
    <t xml:space="preserve">130 U1  </t>
  </si>
  <si>
    <t>PLASTIFICAÇÃO</t>
  </si>
  <si>
    <t>PLASTIFICADORA 1</t>
  </si>
  <si>
    <t>verificar estado conservação/funcionamento,Lubrificar fuso e roletes</t>
  </si>
  <si>
    <t>32 - STANDARD - TOTAL EP 2</t>
  </si>
  <si>
    <t>fuso</t>
  </si>
  <si>
    <t>130 U2</t>
  </si>
  <si>
    <t>PLASTIFICADORA 2</t>
  </si>
  <si>
    <t xml:space="preserve">121B R6 I1 </t>
  </si>
  <si>
    <t xml:space="preserve">121B R6 M1 </t>
  </si>
  <si>
    <t xml:space="preserve">MOTORREDUTOR AGITAÇÃO REACTOR </t>
  </si>
  <si>
    <t xml:space="preserve">121B T1  </t>
  </si>
  <si>
    <t>SLURRY</t>
  </si>
  <si>
    <t>DEPOSITO SLURRY 1</t>
  </si>
  <si>
    <t xml:space="preserve">121B T1 M1 </t>
  </si>
  <si>
    <t>MOTORREDUTOR SLURRY 1</t>
  </si>
  <si>
    <t>Verificar/substituir vedante do veio</t>
  </si>
  <si>
    <t>Verificar/substituir casquilho bronze do veio</t>
  </si>
  <si>
    <t>121B T2</t>
  </si>
  <si>
    <t>DEPOSITO SLURRY</t>
  </si>
  <si>
    <t>lubrificação do motor</t>
  </si>
  <si>
    <t>4 pontos - 4un</t>
  </si>
  <si>
    <t>MOTORREDUTOR SLURRY</t>
  </si>
  <si>
    <t>122A</t>
  </si>
  <si>
    <t xml:space="preserve">122A T1  </t>
  </si>
  <si>
    <t>DOSEAMENTO</t>
  </si>
  <si>
    <t>DEPOSITO COLOFONIA 1</t>
  </si>
  <si>
    <t>verificar funcionamento válvula clapeta</t>
  </si>
  <si>
    <t xml:space="preserve">122A T2  </t>
  </si>
  <si>
    <t>DEPOSITO COLOFONIA 2</t>
  </si>
  <si>
    <t xml:space="preserve">122A T3  </t>
  </si>
  <si>
    <t>DEPOSITO COLOFONIA 3</t>
  </si>
  <si>
    <t xml:space="preserve">122A T5  </t>
  </si>
  <si>
    <t xml:space="preserve">122A T6  </t>
  </si>
  <si>
    <t xml:space="preserve">122A T7  </t>
  </si>
  <si>
    <t>122B</t>
  </si>
  <si>
    <t xml:space="preserve">122B D1  </t>
  </si>
  <si>
    <t>DESPOEIRAMENTO SILOS MPR</t>
  </si>
  <si>
    <t>122B J1</t>
  </si>
  <si>
    <t>PORTICO</t>
  </si>
  <si>
    <t>PORTICO 5 ton</t>
  </si>
  <si>
    <t>verificar roletes e pistas de deslocamento</t>
  </si>
  <si>
    <t>limpar quadro elétrico e reapertar cablagem</t>
  </si>
  <si>
    <t>122B J2</t>
  </si>
  <si>
    <t>PORTICO 2 ton</t>
  </si>
  <si>
    <t xml:space="preserve">122B S1  </t>
  </si>
  <si>
    <t>SILO REACTOR</t>
  </si>
  <si>
    <t>Verificar, limpar valv. m/esf., borbol. manga silo</t>
  </si>
  <si>
    <t>Verificar e limpar válvula borboleta do silo</t>
  </si>
  <si>
    <t>Limpeza do silo</t>
  </si>
  <si>
    <t>122B S2</t>
  </si>
  <si>
    <t>122B S3</t>
  </si>
  <si>
    <t>122B S4</t>
  </si>
  <si>
    <t xml:space="preserve">122B S5 </t>
  </si>
  <si>
    <t>122B S6</t>
  </si>
  <si>
    <t>130EST</t>
  </si>
  <si>
    <t xml:space="preserve">130EST B1  </t>
  </si>
  <si>
    <t>DEPOSITO 1 ESTER</t>
  </si>
  <si>
    <t>BOMBA DESCARGA DEPOSITO INTERMEDIO</t>
  </si>
  <si>
    <t xml:space="preserve">130EST F3  </t>
  </si>
  <si>
    <t>FLOCULADOR EST</t>
  </si>
  <si>
    <t>FLOCULADOR 3 - ESTER - HACCP</t>
  </si>
  <si>
    <t>lubrificar chumaceiras dos tambores</t>
  </si>
  <si>
    <t>HCCP - NEVASTANE XS 320</t>
  </si>
  <si>
    <t>4 chumaceiras - 6un</t>
  </si>
  <si>
    <t>verificar corrente, limpar e lubrificar</t>
  </si>
  <si>
    <t>1 corrente - 10un</t>
  </si>
  <si>
    <t>limpeza geral, caleiras, tabuleiros, etc</t>
  </si>
  <si>
    <t>limpeza espalhadores</t>
  </si>
  <si>
    <t xml:space="preserve">verificar raspador </t>
  </si>
  <si>
    <t>FLOCULADOR 3 - ESTER</t>
  </si>
  <si>
    <t>verificar cortes na tela</t>
  </si>
  <si>
    <t>verificar roletes</t>
  </si>
  <si>
    <t xml:space="preserve">130EST L1  </t>
  </si>
  <si>
    <t>FILTRO ESTER</t>
  </si>
  <si>
    <t>FILTRO ESTER-HACCP</t>
  </si>
  <si>
    <t>1 chumaceira - 4un</t>
  </si>
  <si>
    <t>verificar sensores pressão - EMM (pressão filtro)</t>
  </si>
  <si>
    <t xml:space="preserve">130EST T1  </t>
  </si>
  <si>
    <t>DEPOSITO INTERMEDIO ESTER - HACCP</t>
  </si>
  <si>
    <t>verificar limpeza a vapor</t>
  </si>
  <si>
    <t>DEPOSITO INTERMEDIO ESTER</t>
  </si>
  <si>
    <t>verificar funcionamento 3 válvulas clapeta</t>
  </si>
  <si>
    <t>PASTILHADOR 2</t>
  </si>
  <si>
    <t xml:space="preserve">lubrificar chumaceiras </t>
  </si>
  <si>
    <t xml:space="preserve">130EST U1  </t>
  </si>
  <si>
    <t>ENCHIMENTO ESTER</t>
  </si>
  <si>
    <t>ESTAÇÃO ENCHIMENTO BB - HACCP</t>
  </si>
  <si>
    <t>verificação da balança</t>
  </si>
  <si>
    <t xml:space="preserve">130EST Z2 </t>
  </si>
  <si>
    <t>ESTAÇÃO ENCHIMENTO SACOS-CABAÇOS-HACCP</t>
  </si>
  <si>
    <t>lubrificar chumaceiras</t>
  </si>
  <si>
    <t>130EST U3 Y3</t>
  </si>
  <si>
    <t>SISTEMA DE ENSACAMENTO – TAPETE DE ENCHIMENTO SACOS-HACCP</t>
  </si>
  <si>
    <t>12 chumaceira - 6un</t>
  </si>
  <si>
    <t>130EST U3 Y4 Y1</t>
  </si>
  <si>
    <t>SISTEMA DE ENSACAMENTO – ARMAZÉM DOS SACOS-HACCP</t>
  </si>
  <si>
    <t>6 chumaceira - 4un</t>
  </si>
  <si>
    <t>130EST U3 Y4 Y3</t>
  </si>
  <si>
    <t>SISTEMA DE ENSACAMENTO – ENCHIMENTO DO SACO – BRAÇOS ABERTURA SACOS -HACCP</t>
  </si>
  <si>
    <t>4 chumaceira - 4un</t>
  </si>
  <si>
    <t>130EST U3 Y4 Y4</t>
  </si>
  <si>
    <t>SISTEMA DE ENSACAMENTO – TAPETE SAIDA SACO-HACCP</t>
  </si>
  <si>
    <t>SISTEMA DE ENSACAMENTO – TAPETE SAIDA SACO – ELEVADOR TAPETE-HACCP</t>
  </si>
  <si>
    <t>2 chumaceira - 4un</t>
  </si>
  <si>
    <t>130EST U3 Y4 Y5</t>
  </si>
  <si>
    <t>SISTEMA DE ENSACAMENTO – ENCAMINHADOR DO SACO-HACCP</t>
  </si>
  <si>
    <t>130EST U3 Y4 Y7</t>
  </si>
  <si>
    <t>SISTEMA DE ENSACAMENTO – VIRADOR-HACCP</t>
  </si>
  <si>
    <t>130EST U3 Y5 Y1</t>
  </si>
  <si>
    <t>PALETIZAÇÃO – TAPETE DE ENTRADA DE PALETE VAZIA-HACCP</t>
  </si>
  <si>
    <t>verificar correntes, limpar e lubrificar</t>
  </si>
  <si>
    <t>130EST U3 Y5 Y2</t>
  </si>
  <si>
    <t>PALETIZAÇÃO – TAPETE DE SAIDA DE SACO DA ENSACADORA-HACCP</t>
  </si>
  <si>
    <t>PALETIZAÇÃO – TAPETE DE SAIDA DE SACO PARA ROBOT-HACCP</t>
  </si>
  <si>
    <t>PALETIZAÇÃO – TAPETE DE SAIDA DE PALETE CHEIA-HACCP</t>
  </si>
  <si>
    <t>PALETIZAÇÃO – TAPETE DE SAIDA DE PALETE CHEIA – CENTRADOR PALETES-HACCP</t>
  </si>
  <si>
    <t>2 correntes - 10un</t>
  </si>
  <si>
    <t>limpeza geral</t>
  </si>
  <si>
    <t xml:space="preserve">130EST U2  </t>
  </si>
  <si>
    <t>ESTAÇÃO ENCHIMENTO SACOS - HACCP</t>
  </si>
  <si>
    <t>130EST Z1</t>
  </si>
  <si>
    <t>TRANSPORTADOR - HACCP</t>
  </si>
  <si>
    <t>lubrificar caixa redutora</t>
  </si>
  <si>
    <t>verificar roletes e tela</t>
  </si>
  <si>
    <t>130INK</t>
  </si>
  <si>
    <t xml:space="preserve">130INK E1 </t>
  </si>
  <si>
    <t>TUNEL</t>
  </si>
  <si>
    <t>SISTEMA VENTILAÇÃO DO TUNEL</t>
  </si>
  <si>
    <t>limpar ventiladores</t>
  </si>
  <si>
    <t>lubrificar correntes transportador</t>
  </si>
  <si>
    <t xml:space="preserve">130INK F1  </t>
  </si>
  <si>
    <t>FLOCULADOR INK</t>
  </si>
  <si>
    <t>FLOCULADOR 1 - INK</t>
  </si>
  <si>
    <t>4 chumaceiras - 4un</t>
  </si>
  <si>
    <t>limpeza espalhador</t>
  </si>
  <si>
    <t xml:space="preserve">130INK F1 Y1 </t>
  </si>
  <si>
    <t>PARTIDOR RESINA, FLO 1</t>
  </si>
  <si>
    <t>verificar e reparar se necessário raspador</t>
  </si>
  <si>
    <t xml:space="preserve">130INK F2  </t>
  </si>
  <si>
    <t>FLOCULADOR 2 - INK</t>
  </si>
  <si>
    <t xml:space="preserve">130INK F2 Y1 </t>
  </si>
  <si>
    <t>PARTIDOR RESINA, FLO 2</t>
  </si>
  <si>
    <t>130INK Q1</t>
  </si>
  <si>
    <t>TRANSPORTADORES PALETES NO TUNEL</t>
  </si>
  <si>
    <t>130INK U1</t>
  </si>
  <si>
    <t>ENCHIMENTO INK</t>
  </si>
  <si>
    <t>ESTAÇÃO ENCHIMENTO BB, FLO1</t>
  </si>
  <si>
    <t>limpeza e lubrificação do veio do elevador</t>
  </si>
  <si>
    <t>2 chumaceiras - 2un</t>
  </si>
  <si>
    <t>verificar grampos das alças</t>
  </si>
  <si>
    <t>verificar válvula de guilhotina</t>
  </si>
  <si>
    <t xml:space="preserve">130INK U1 Z1 </t>
  </si>
  <si>
    <t>TRANSPORTADOR DE RESINA AO SILO, FLO 1</t>
  </si>
  <si>
    <t>130INK U2</t>
  </si>
  <si>
    <t>ESTAÇÃO ENCHIMENTO BB, FLO2</t>
  </si>
  <si>
    <t xml:space="preserve">130INK U2 Z1 </t>
  </si>
  <si>
    <t>TRANSPORTADOR DE RESINA AO SILO, FLO 2</t>
  </si>
  <si>
    <t>2 pontos - 4un</t>
  </si>
  <si>
    <t xml:space="preserve">130INK Y1  </t>
  </si>
  <si>
    <t>TANQUE RECUPERAÇÃO AGUA INK</t>
  </si>
  <si>
    <t>limpar resina do tanque</t>
  </si>
  <si>
    <t>lavar tubos de descarga e tanque</t>
  </si>
  <si>
    <t>130INK Y2</t>
  </si>
  <si>
    <t>limpar sensores / motores</t>
  </si>
  <si>
    <t>verificar funcionamento e alinhamento</t>
  </si>
  <si>
    <t>8 rolamentos - 4un</t>
  </si>
  <si>
    <t>1 rolamento empanque, 1 chumaceira, 1 acoplamento - 6un Alta Temp.</t>
  </si>
  <si>
    <t>MS</t>
  </si>
  <si>
    <t>BIENAL-STP</t>
  </si>
  <si>
    <t>25/02-CB-OK</t>
  </si>
  <si>
    <t>34 - ÓLEO - OMALA S2 - 460</t>
  </si>
  <si>
    <t>39 - EMPANQUES - BERNER GRAPHITE</t>
  </si>
  <si>
    <t>16/02-CB-OK</t>
  </si>
  <si>
    <t>26/02-CB-OK</t>
  </si>
  <si>
    <t>28 - HCCP - NEVASTANE XS 320</t>
  </si>
  <si>
    <t>LIMPEZA DESCARGA ESTER</t>
  </si>
  <si>
    <t>12/01-MS-OK</t>
  </si>
  <si>
    <t>27/01-MS-OK</t>
  </si>
  <si>
    <t>42 - PASTILHADOR HCCP - FOODMAX GREASE CAS S 2 LS</t>
  </si>
  <si>
    <t>21/01-MS-OK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</si>
</sst>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8">
    <font>
      <sz val="11.0"/>
      <color theme="1"/>
      <name val="Calibri"/>
      <scheme val="minor"/>
    </font>
    <font>
      <b/>
      <sz val="8.0"/>
      <color rgb="FFFF0000"/>
      <name val="Arial"/>
    </font>
    <font>
      <b/>
      <sz val="12.0"/>
      <color theme="4"/>
      <name val="Arial"/>
    </font>
    <font>
      <b/>
      <sz val="16.0"/>
      <color rgb="FF205867"/>
      <name val="Arial"/>
    </font>
    <font>
      <b/>
      <sz val="12.0"/>
      <color rgb="FF4F81BD"/>
      <name val="Arial"/>
    </font>
    <font>
      <b/>
      <sz val="8.0"/>
      <color theme="0"/>
      <name val="Arial"/>
    </font>
    <font/>
    <font>
      <b/>
      <sz val="26.0"/>
      <color rgb="FF366092"/>
      <name val="Arial"/>
    </font>
    <font>
      <sz val="8.0"/>
      <color theme="1"/>
      <name val="Arial"/>
    </font>
    <font>
      <sz val="8.0"/>
      <color theme="0"/>
      <name val="Arial"/>
    </font>
    <font>
      <sz val="11.0"/>
      <color theme="1"/>
      <name val="Calibri"/>
    </font>
    <font>
      <sz val="8.0"/>
      <color rgb="FF205867"/>
      <name val="Arial"/>
    </font>
    <font>
      <sz val="8.0"/>
      <color rgb="FF366092"/>
      <name val="Arial"/>
    </font>
    <font>
      <b/>
      <sz val="8.0"/>
      <color rgb="FF0066CC"/>
      <name val="Arial"/>
    </font>
    <font>
      <sz val="8.0"/>
      <color rgb="FF0066CC"/>
      <name val="Arial"/>
    </font>
    <font>
      <sz val="8.0"/>
      <color rgb="FF000000"/>
      <name val="Arial"/>
    </font>
    <font>
      <sz val="8.0"/>
      <color rgb="FF0070C0"/>
      <name val="Arial"/>
    </font>
    <font>
      <sz val="8.0"/>
      <color rgb="FFFF0000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theme="5"/>
        <bgColor theme="5"/>
      </patternFill>
    </fill>
    <fill>
      <patternFill patternType="solid">
        <fgColor rgb="FFF2F2F2"/>
        <bgColor rgb="FFF2F2F2"/>
      </patternFill>
    </fill>
    <fill>
      <patternFill patternType="solid">
        <fgColor rgb="FF205867"/>
        <bgColor rgb="FF205867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8">
    <border/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4" numFmtId="49" xfId="0" applyAlignment="1" applyFont="1" applyNumberFormat="1">
      <alignment horizontal="center" shrinkToFit="0" vertical="center" wrapText="1"/>
    </xf>
    <xf borderId="2" fillId="3" fontId="5" numFmtId="0" xfId="0" applyAlignment="1" applyBorder="1" applyFill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2" fillId="4" fontId="5" numFmtId="0" xfId="0" applyAlignment="1" applyBorder="1" applyFill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2" fillId="4" fontId="5" numFmtId="0" xfId="0" applyAlignment="1" applyBorder="1" applyFont="1">
      <alignment horizontal="center" shrinkToFit="0" vertical="center" wrapText="1"/>
    </xf>
    <xf borderId="3" fillId="4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center" vertical="center"/>
    </xf>
    <xf borderId="8" fillId="0" fontId="6" numFmtId="0" xfId="0" applyBorder="1" applyFont="1"/>
    <xf borderId="9" fillId="3" fontId="5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1" fillId="0" fontId="6" numFmtId="0" xfId="0" applyBorder="1" applyFont="1"/>
    <xf borderId="3" fillId="3" fontId="5" numFmtId="0" xfId="0" applyAlignment="1" applyBorder="1" applyFont="1">
      <alignment horizontal="center" shrinkToFit="0" vertical="center" wrapText="1"/>
    </xf>
    <xf borderId="12" fillId="0" fontId="1" numFmtId="164" xfId="0" applyAlignment="1" applyBorder="1" applyFont="1" applyNumberFormat="1">
      <alignment horizontal="center" shrinkToFit="0" vertical="center" wrapText="1"/>
    </xf>
    <xf borderId="13" fillId="0" fontId="6" numFmtId="0" xfId="0" applyBorder="1" applyFont="1"/>
    <xf borderId="7" fillId="0" fontId="8" numFmtId="0" xfId="0" applyAlignment="1" applyBorder="1" applyFont="1">
      <alignment horizontal="center" shrinkToFit="0" vertical="center" wrapText="1"/>
    </xf>
    <xf borderId="14" fillId="5" fontId="9" numFmtId="0" xfId="0" applyAlignment="1" applyBorder="1" applyFill="1" applyFont="1">
      <alignment horizontal="center" shrinkToFit="0" vertical="center" wrapText="1"/>
    </xf>
    <xf borderId="15" fillId="0" fontId="6" numFmtId="0" xfId="0" applyBorder="1" applyFont="1"/>
    <xf borderId="16" fillId="0" fontId="6" numFmtId="0" xfId="0" applyBorder="1" applyFont="1"/>
    <xf borderId="14" fillId="5" fontId="9" numFmtId="9" xfId="0" applyAlignment="1" applyBorder="1" applyFont="1" applyNumberFormat="1">
      <alignment horizontal="center" shrinkToFit="0" vertical="center" wrapText="1"/>
    </xf>
    <xf borderId="17" fillId="0" fontId="6" numFmtId="0" xfId="0" applyBorder="1" applyFont="1"/>
    <xf borderId="0" fillId="0" fontId="10" numFmtId="0" xfId="0" applyAlignment="1" applyFont="1">
      <alignment horizontal="center"/>
    </xf>
    <xf borderId="12" fillId="0" fontId="6" numFmtId="0" xfId="0" applyBorder="1" applyFont="1"/>
    <xf borderId="18" fillId="0" fontId="6" numFmtId="0" xfId="0" applyBorder="1" applyFont="1"/>
    <xf borderId="7" fillId="6" fontId="11" numFmtId="0" xfId="0" applyAlignment="1" applyBorder="1" applyFill="1" applyFont="1">
      <alignment horizontal="center" shrinkToFit="0" vertical="center" wrapText="1"/>
    </xf>
    <xf borderId="7" fillId="7" fontId="9" numFmtId="0" xfId="0" applyAlignment="1" applyBorder="1" applyFill="1" applyFont="1">
      <alignment horizontal="center" shrinkToFit="0" vertical="center" wrapText="1"/>
    </xf>
    <xf borderId="19" fillId="6" fontId="11" numFmtId="0" xfId="0" applyAlignment="1" applyBorder="1" applyFont="1">
      <alignment horizontal="center" shrinkToFit="0" vertical="center" wrapText="1"/>
    </xf>
    <xf borderId="7" fillId="6" fontId="12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horizontal="left" shrinkToFit="0" vertical="top" wrapText="1"/>
    </xf>
    <xf borderId="20" fillId="0" fontId="8" numFmtId="0" xfId="0" applyAlignment="1" applyBorder="1" applyFont="1">
      <alignment horizontal="left" vertical="center"/>
    </xf>
    <xf borderId="0" fillId="0" fontId="13" numFmtId="0" xfId="0" applyAlignment="1" applyFont="1">
      <alignment horizontal="center" shrinkToFit="0" vertical="top" wrapText="1"/>
    </xf>
    <xf borderId="21" fillId="0" fontId="6" numFmtId="0" xfId="0" applyBorder="1" applyFont="1"/>
    <xf borderId="20" fillId="0" fontId="8" numFmtId="0" xfId="0" applyAlignment="1" applyBorder="1" applyFont="1">
      <alignment vertical="center"/>
    </xf>
    <xf borderId="20" fillId="0" fontId="8" numFmtId="0" xfId="0" applyAlignment="1" applyBorder="1" applyFont="1">
      <alignment horizontal="center" vertical="center"/>
    </xf>
    <xf borderId="7" fillId="4" fontId="5" numFmtId="0" xfId="0" applyAlignment="1" applyBorder="1" applyFont="1">
      <alignment horizontal="center" vertical="center"/>
    </xf>
    <xf borderId="7" fillId="6" fontId="8" numFmtId="0" xfId="0" applyAlignment="1" applyBorder="1" applyFont="1">
      <alignment vertical="center"/>
    </xf>
    <xf borderId="22" fillId="6" fontId="8" numFmtId="0" xfId="0" applyAlignment="1" applyBorder="1" applyFont="1">
      <alignment vertical="center"/>
    </xf>
    <xf borderId="20" fillId="0" fontId="14" numFmtId="0" xfId="0" applyAlignment="1" applyBorder="1" applyFont="1">
      <alignment vertical="center"/>
    </xf>
    <xf borderId="7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left" vertical="center"/>
    </xf>
    <xf borderId="7" fillId="3" fontId="5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vertical="center"/>
    </xf>
    <xf borderId="23" fillId="0" fontId="8" numFmtId="0" xfId="0" applyAlignment="1" applyBorder="1" applyFont="1">
      <alignment horizontal="center" vertical="center"/>
    </xf>
    <xf borderId="24" fillId="6" fontId="8" numFmtId="0" xfId="0" applyAlignment="1" applyBorder="1" applyFont="1">
      <alignment vertical="center"/>
    </xf>
    <xf borderId="25" fillId="0" fontId="8" numFmtId="0" xfId="0" applyAlignment="1" applyBorder="1" applyFont="1">
      <alignment horizontal="center" vertical="center"/>
    </xf>
    <xf borderId="23" fillId="0" fontId="12" numFmtId="0" xfId="0" applyAlignment="1" applyBorder="1" applyFont="1">
      <alignment vertical="center"/>
    </xf>
    <xf borderId="26" fillId="6" fontId="8" numFmtId="0" xfId="0" applyAlignment="1" applyBorder="1" applyFont="1">
      <alignment vertical="center"/>
    </xf>
    <xf borderId="23" fillId="0" fontId="14" numFmtId="0" xfId="0" applyAlignment="1" applyBorder="1" applyFont="1">
      <alignment vertical="center"/>
    </xf>
    <xf borderId="7" fillId="3" fontId="9" numFmtId="0" xfId="0" applyAlignment="1" applyBorder="1" applyFont="1">
      <alignment horizontal="center" shrinkToFit="0" vertical="center" wrapText="1"/>
    </xf>
    <xf borderId="7" fillId="4" fontId="9" numFmtId="0" xfId="0" applyAlignment="1" applyBorder="1" applyFont="1">
      <alignment horizontal="center" shrinkToFit="0" vertical="center" wrapText="1"/>
    </xf>
    <xf borderId="2" fillId="4" fontId="9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14" fillId="7" fontId="9" numFmtId="0" xfId="0" applyAlignment="1" applyBorder="1" applyFont="1">
      <alignment horizontal="center" shrinkToFit="0" vertical="center" wrapText="1"/>
    </xf>
    <xf borderId="7" fillId="0" fontId="8" numFmtId="164" xfId="0" applyAlignment="1" applyBorder="1" applyFont="1" applyNumberFormat="1">
      <alignment horizontal="center" shrinkToFit="0" vertical="center" wrapText="1"/>
    </xf>
    <xf borderId="22" fillId="2" fontId="14" numFmtId="0" xfId="0" applyAlignment="1" applyBorder="1" applyFont="1">
      <alignment vertical="center"/>
    </xf>
    <xf borderId="5" fillId="0" fontId="8" numFmtId="0" xfId="0" applyAlignment="1" applyBorder="1" applyFont="1">
      <alignment horizontal="center" shrinkToFit="0" vertical="center" wrapText="1"/>
    </xf>
    <xf borderId="23" fillId="2" fontId="14" numFmtId="0" xfId="0" applyAlignment="1" applyBorder="1" applyFont="1">
      <alignment vertical="center"/>
    </xf>
    <xf borderId="12" fillId="0" fontId="8" numFmtId="0" xfId="0" applyAlignment="1" applyBorder="1" applyFont="1">
      <alignment horizontal="center" vertical="center"/>
    </xf>
    <xf borderId="23" fillId="8" fontId="8" numFmtId="0" xfId="0" applyAlignment="1" applyBorder="1" applyFill="1" applyFont="1">
      <alignment vertical="center"/>
    </xf>
    <xf borderId="23" fillId="8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23" fillId="9" fontId="8" numFmtId="0" xfId="0" applyAlignment="1" applyBorder="1" applyFill="1" applyFont="1">
      <alignment horizontal="center" vertical="center"/>
    </xf>
    <xf borderId="26" fillId="10" fontId="8" numFmtId="0" xfId="0" applyAlignment="1" applyBorder="1" applyFill="1" applyFont="1">
      <alignment vertical="center"/>
    </xf>
    <xf borderId="7" fillId="0" fontId="10" numFmtId="0" xfId="0" applyBorder="1" applyFont="1"/>
    <xf borderId="27" fillId="0" fontId="8" numFmtId="0" xfId="0" applyAlignment="1" applyBorder="1" applyFont="1">
      <alignment vertical="center"/>
    </xf>
    <xf borderId="23" fillId="9" fontId="8" numFmtId="0" xfId="0" applyAlignment="1" applyBorder="1" applyFont="1">
      <alignment vertical="center"/>
    </xf>
    <xf borderId="27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left" shrinkToFit="0" vertical="top" wrapText="1"/>
    </xf>
    <xf borderId="7" fillId="0" fontId="8" numFmtId="0" xfId="0" applyAlignment="1" applyBorder="1" applyFont="1">
      <alignment horizontal="left" shrinkToFit="0" vertical="top" wrapText="1"/>
    </xf>
    <xf borderId="7" fillId="0" fontId="14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27" fillId="0" fontId="12" numFmtId="0" xfId="0" applyAlignment="1" applyBorder="1" applyFont="1">
      <alignment vertical="center"/>
    </xf>
    <xf borderId="7" fillId="0" fontId="8" numFmtId="16" xfId="0" applyAlignment="1" applyBorder="1" applyFont="1" applyNumberFormat="1">
      <alignment horizontal="center" vertical="center"/>
    </xf>
    <xf borderId="23" fillId="0" fontId="15" numFmtId="0" xfId="0" applyBorder="1" applyFont="1"/>
    <xf borderId="7" fillId="0" fontId="10" numFmtId="0" xfId="0" applyAlignment="1" applyBorder="1" applyFont="1">
      <alignment horizontal="center" vertical="center"/>
    </xf>
    <xf borderId="23" fillId="6" fontId="8" numFmtId="0" xfId="0" applyAlignment="1" applyBorder="1" applyFont="1">
      <alignment vertical="center"/>
    </xf>
    <xf borderId="23" fillId="0" fontId="8" numFmtId="164" xfId="0" applyAlignment="1" applyBorder="1" applyFont="1" applyNumberFormat="1">
      <alignment horizontal="center" shrinkToFit="0" vertical="center" wrapText="1"/>
    </xf>
    <xf borderId="23" fillId="0" fontId="16" numFmtId="0" xfId="0" applyAlignment="1" applyBorder="1" applyFont="1">
      <alignment vertical="center"/>
    </xf>
    <xf borderId="23" fillId="0" fontId="12" numFmtId="0" xfId="0" applyAlignment="1" applyBorder="1" applyFont="1">
      <alignment horizontal="center" vertical="center"/>
    </xf>
    <xf borderId="0" fillId="0" fontId="8" numFmtId="164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vertical="center"/>
    </xf>
    <xf borderId="7" fillId="2" fontId="14" numFmtId="0" xfId="0" applyAlignment="1" applyBorder="1" applyFont="1">
      <alignment vertical="center"/>
    </xf>
    <xf borderId="5" fillId="0" fontId="8" numFmtId="16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vertical="center"/>
    </xf>
    <xf borderId="7" fillId="0" fontId="17" numFmtId="0" xfId="0" applyAlignment="1" applyBorder="1" applyFont="1">
      <alignment horizontal="center" vertical="center"/>
    </xf>
    <xf borderId="26" fillId="2" fontId="8" numFmtId="0" xfId="0" applyAlignment="1" applyBorder="1" applyFont="1">
      <alignment vertical="center"/>
    </xf>
    <xf borderId="3" fillId="0" fontId="8" numFmtId="0" xfId="0" applyAlignment="1" applyBorder="1" applyFont="1">
      <alignment horizontal="center" shrinkToFit="0" vertical="center" wrapText="1"/>
    </xf>
    <xf borderId="7" fillId="0" fontId="8" numFmtId="14" xfId="0" applyAlignment="1" applyBorder="1" applyFont="1" applyNumberFormat="1">
      <alignment horizontal="center" vertical="center"/>
    </xf>
    <xf borderId="27" fillId="0" fontId="14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10" fillId="0" fontId="8" numFmtId="0" xfId="0" applyAlignment="1" applyBorder="1" applyFont="1">
      <alignment horizontal="center" vertical="center"/>
    </xf>
    <xf borderId="26" fillId="2" fontId="14" numFmtId="0" xfId="0" applyAlignment="1" applyBorder="1" applyFont="1">
      <alignment vertical="center"/>
    </xf>
    <xf borderId="7" fillId="9" fontId="8" numFmtId="0" xfId="0" applyAlignment="1" applyBorder="1" applyFont="1">
      <alignment horizontal="center" shrinkToFit="0" vertical="center" wrapText="1"/>
    </xf>
    <xf borderId="20" fillId="0" fontId="12" numFmtId="0" xfId="0" applyAlignment="1" applyBorder="1" applyFont="1">
      <alignment vertical="center"/>
    </xf>
    <xf borderId="7" fillId="0" fontId="12" numFmtId="0" xfId="0" applyAlignment="1" applyBorder="1" applyFont="1">
      <alignment horizontal="center" vertical="center"/>
    </xf>
    <xf borderId="7" fillId="0" fontId="12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>
        <name val="Cambria"/>
      </font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76200</xdr:rowOff>
    </xdr:from>
    <xdr:ext cx="1228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76200</xdr:rowOff>
    </xdr:from>
    <xdr:ext cx="1228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76200</xdr:rowOff>
    </xdr:from>
    <xdr:ext cx="1228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76200</xdr:rowOff>
    </xdr:from>
    <xdr:ext cx="1228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76200</xdr:rowOff>
    </xdr:from>
    <xdr:ext cx="1228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76200</xdr:rowOff>
    </xdr:from>
    <xdr:ext cx="1228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76200</xdr:rowOff>
    </xdr:from>
    <xdr:ext cx="1228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76200</xdr:rowOff>
    </xdr:from>
    <xdr:ext cx="1228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76200</xdr:rowOff>
    </xdr:from>
    <xdr:ext cx="1228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76200</xdr:rowOff>
    </xdr:from>
    <xdr:ext cx="1228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76200</xdr:rowOff>
    </xdr:from>
    <xdr:ext cx="1228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76200</xdr:rowOff>
    </xdr:from>
    <xdr:ext cx="1228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76200</xdr:rowOff>
    </xdr:from>
    <xdr:ext cx="1228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5867"/>
    <pageSetUpPr fitToPage="1"/>
  </sheetPr>
  <sheetViews>
    <sheetView showGridLines="0"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38.43"/>
    <col customWidth="1" min="6" max="6" width="12.0"/>
    <col customWidth="1" min="7" max="7" width="13.57"/>
    <col customWidth="1" min="8" max="8" width="7.71"/>
    <col customWidth="1" min="9" max="9" width="7.43"/>
    <col customWidth="1" hidden="1" min="10" max="10" width="24.86"/>
    <col customWidth="1" hidden="1" min="11" max="11" width="23.43"/>
    <col customWidth="1" min="12" max="12" width="7.14"/>
    <col customWidth="1" hidden="1" min="13" max="13" width="6.86"/>
    <col customWidth="1" min="14" max="14" width="32.43"/>
    <col customWidth="1" min="15" max="15" width="50.71"/>
    <col customWidth="1" min="16" max="17" width="15.71"/>
    <col customWidth="1" min="18" max="18" width="16.0"/>
    <col customWidth="1" min="19" max="19" width="17.43"/>
    <col customWidth="1" min="20" max="21" width="15.71"/>
    <col customWidth="1" min="22" max="22" width="20.14"/>
    <col customWidth="1" min="23" max="26" width="15.71"/>
    <col customWidth="1" min="27" max="28" width="15.0"/>
    <col customWidth="1" min="29" max="29" width="11.29"/>
    <col customWidth="1" min="31" max="33" width="11.29"/>
    <col customWidth="1" min="34" max="34" width="13.0"/>
    <col customWidth="1" min="35" max="35" width="11.29"/>
    <col customWidth="1" min="36" max="36" width="12.71"/>
    <col customWidth="1" min="37" max="37" width="12.57"/>
    <col customWidth="1" min="38" max="38" width="17.57"/>
    <col customWidth="1" min="39" max="41" width="11.29"/>
    <col customWidth="1" min="42" max="42" width="13.71"/>
    <col customWidth="1" min="43" max="43" width="13.57"/>
    <col customWidth="1" min="44" max="44" width="11.29"/>
    <col customWidth="1" min="45" max="45" width="12.57"/>
    <col customWidth="1" min="46" max="46" width="13.57"/>
    <col customWidth="1" min="47" max="47" width="12.43"/>
    <col customWidth="1" min="48" max="48" width="12.29"/>
    <col customWidth="1" min="49" max="68" width="11.29"/>
    <col customWidth="1" min="69" max="69" width="13.29"/>
    <col customWidth="1" min="70" max="72" width="13.57"/>
  </cols>
  <sheetData>
    <row r="1" ht="15.75" customHeight="1">
      <c r="A1" s="1"/>
      <c r="B1" s="2"/>
      <c r="C1" s="2"/>
      <c r="D1" s="2"/>
      <c r="E1" s="2"/>
      <c r="F1" s="3"/>
      <c r="G1" s="3"/>
      <c r="H1" s="5"/>
      <c r="I1" s="4"/>
      <c r="J1" s="4" t="s">
        <v>0</v>
      </c>
      <c r="K1" s="7" t="s">
        <v>1</v>
      </c>
      <c r="L1" s="2"/>
      <c r="M1" s="8"/>
      <c r="N1" s="10"/>
      <c r="O1" s="4" t="s">
        <v>0</v>
      </c>
      <c r="P1" s="12" t="s">
        <v>2</v>
      </c>
      <c r="Q1" s="14"/>
      <c r="R1" s="14"/>
      <c r="S1" s="14"/>
      <c r="T1" s="15"/>
      <c r="U1" s="17" t="s">
        <v>3</v>
      </c>
      <c r="V1" s="14"/>
      <c r="W1" s="14"/>
      <c r="X1" s="15"/>
      <c r="Y1" s="12" t="s">
        <v>4</v>
      </c>
      <c r="Z1" s="14"/>
      <c r="AA1" s="14"/>
      <c r="AB1" s="15"/>
      <c r="AC1" s="20" t="s">
        <v>5</v>
      </c>
      <c r="AD1" s="14"/>
      <c r="AE1" s="14"/>
      <c r="AF1" s="14"/>
      <c r="AG1" s="22"/>
      <c r="AH1" s="23" t="s">
        <v>6</v>
      </c>
      <c r="AI1" s="14"/>
      <c r="AJ1" s="14"/>
      <c r="AK1" s="15"/>
      <c r="AL1" s="20" t="s">
        <v>7</v>
      </c>
      <c r="AM1" s="14"/>
      <c r="AN1" s="14"/>
      <c r="AO1" s="15"/>
      <c r="AP1" s="27" t="s">
        <v>8</v>
      </c>
      <c r="AQ1" s="14"/>
      <c r="AR1" s="14"/>
      <c r="AS1" s="14"/>
      <c r="AT1" s="15"/>
      <c r="AU1" s="20" t="s">
        <v>9</v>
      </c>
      <c r="AV1" s="14"/>
      <c r="AW1" s="14"/>
      <c r="AX1" s="15"/>
      <c r="AY1" s="27" t="s">
        <v>10</v>
      </c>
      <c r="AZ1" s="14"/>
      <c r="BA1" s="14"/>
      <c r="BB1" s="22"/>
      <c r="BC1" s="20" t="s">
        <v>11</v>
      </c>
      <c r="BD1" s="14"/>
      <c r="BE1" s="14"/>
      <c r="BF1" s="14"/>
      <c r="BG1" s="15"/>
      <c r="BH1" s="27" t="s">
        <v>12</v>
      </c>
      <c r="BI1" s="14"/>
      <c r="BJ1" s="14"/>
      <c r="BK1" s="15"/>
      <c r="BL1" s="20" t="s">
        <v>13</v>
      </c>
      <c r="BM1" s="14"/>
      <c r="BN1" s="14"/>
      <c r="BO1" s="22"/>
      <c r="BP1" s="21" t="s">
        <v>14</v>
      </c>
      <c r="BQ1" s="28">
        <f>+BR2/BQ2</f>
        <v>0.1824275796</v>
      </c>
      <c r="BR1" s="30">
        <f>+BQ2-BR2</f>
        <v>3415</v>
      </c>
      <c r="BS1" s="31" t="s">
        <v>16</v>
      </c>
      <c r="BT1" s="34">
        <f>+BS2/BT2</f>
        <v>0.003289473684</v>
      </c>
    </row>
    <row r="2" ht="15.75" customHeight="1">
      <c r="A2" s="8"/>
      <c r="B2" s="9"/>
      <c r="C2" s="9"/>
      <c r="D2" s="9"/>
      <c r="E2" s="9"/>
      <c r="F2" s="9"/>
      <c r="G2" s="2"/>
      <c r="H2" s="43"/>
      <c r="I2" s="45"/>
      <c r="J2" s="45"/>
      <c r="K2" s="46"/>
      <c r="L2" s="9"/>
      <c r="M2" s="8"/>
      <c r="N2" s="35"/>
      <c r="O2" s="45"/>
      <c r="P2" s="21" t="s">
        <v>28</v>
      </c>
      <c r="Q2" s="21" t="s">
        <v>30</v>
      </c>
      <c r="R2" s="21" t="s">
        <v>31</v>
      </c>
      <c r="S2" s="21" t="s">
        <v>33</v>
      </c>
      <c r="T2" s="21" t="s">
        <v>35</v>
      </c>
      <c r="U2" s="49" t="s">
        <v>36</v>
      </c>
      <c r="V2" s="49" t="s">
        <v>37</v>
      </c>
      <c r="W2" s="49" t="s">
        <v>38</v>
      </c>
      <c r="X2" s="49" t="s">
        <v>39</v>
      </c>
      <c r="Y2" s="21" t="s">
        <v>40</v>
      </c>
      <c r="Z2" s="21" t="s">
        <v>41</v>
      </c>
      <c r="AA2" s="21" t="s">
        <v>42</v>
      </c>
      <c r="AB2" s="21" t="s">
        <v>43</v>
      </c>
      <c r="AC2" s="49" t="s">
        <v>44</v>
      </c>
      <c r="AD2" s="49" t="s">
        <v>45</v>
      </c>
      <c r="AE2" s="49" t="s">
        <v>46</v>
      </c>
      <c r="AF2" s="13" t="s">
        <v>47</v>
      </c>
      <c r="AG2" s="13" t="s">
        <v>48</v>
      </c>
      <c r="AH2" s="21" t="s">
        <v>49</v>
      </c>
      <c r="AI2" s="21" t="s">
        <v>50</v>
      </c>
      <c r="AJ2" s="21" t="s">
        <v>51</v>
      </c>
      <c r="AK2" s="21" t="s">
        <v>52</v>
      </c>
      <c r="AL2" s="49" t="s">
        <v>53</v>
      </c>
      <c r="AM2" s="49" t="s">
        <v>54</v>
      </c>
      <c r="AN2" s="49" t="s">
        <v>55</v>
      </c>
      <c r="AO2" s="13" t="s">
        <v>56</v>
      </c>
      <c r="AP2" s="21" t="s">
        <v>57</v>
      </c>
      <c r="AQ2" s="21" t="s">
        <v>58</v>
      </c>
      <c r="AR2" s="21" t="s">
        <v>59</v>
      </c>
      <c r="AS2" s="11" t="s">
        <v>60</v>
      </c>
      <c r="AT2" s="11" t="s">
        <v>61</v>
      </c>
      <c r="AU2" s="49" t="s">
        <v>62</v>
      </c>
      <c r="AV2" s="49" t="s">
        <v>63</v>
      </c>
      <c r="AW2" s="49" t="s">
        <v>64</v>
      </c>
      <c r="AX2" s="13" t="s">
        <v>65</v>
      </c>
      <c r="AY2" s="21" t="s">
        <v>66</v>
      </c>
      <c r="AZ2" s="21" t="s">
        <v>67</v>
      </c>
      <c r="BA2" s="21" t="s">
        <v>68</v>
      </c>
      <c r="BB2" s="11" t="s">
        <v>69</v>
      </c>
      <c r="BC2" s="49" t="s">
        <v>70</v>
      </c>
      <c r="BD2" s="49" t="s">
        <v>71</v>
      </c>
      <c r="BE2" s="49" t="s">
        <v>72</v>
      </c>
      <c r="BF2" s="49" t="s">
        <v>73</v>
      </c>
      <c r="BG2" s="49" t="s">
        <v>74</v>
      </c>
      <c r="BH2" s="21" t="s">
        <v>75</v>
      </c>
      <c r="BI2" s="21" t="s">
        <v>76</v>
      </c>
      <c r="BJ2" s="21" t="s">
        <v>77</v>
      </c>
      <c r="BK2" s="21" t="s">
        <v>78</v>
      </c>
      <c r="BL2" s="49" t="s">
        <v>79</v>
      </c>
      <c r="BM2" s="49" t="s">
        <v>80</v>
      </c>
      <c r="BN2" s="49" t="s">
        <v>81</v>
      </c>
      <c r="BO2" s="49" t="s">
        <v>82</v>
      </c>
      <c r="BP2" s="55" t="s">
        <v>28</v>
      </c>
      <c r="BQ2" s="30">
        <f t="shared" ref="BQ2:BR2" si="1">SUBTOTAL(9,BQ4:BQ1042)</f>
        <v>4177</v>
      </c>
      <c r="BR2" s="30">
        <f t="shared" si="1"/>
        <v>762</v>
      </c>
      <c r="BS2" s="30">
        <f t="shared" ref="BS2:BT2" si="2">SUBTOTAL(9,(BS4:BS1042))</f>
        <v>2</v>
      </c>
      <c r="BT2" s="30">
        <f t="shared" si="2"/>
        <v>608</v>
      </c>
    </row>
    <row r="3" ht="51.0" customHeight="1">
      <c r="A3" s="39" t="s">
        <v>17</v>
      </c>
      <c r="B3" s="39" t="s">
        <v>18</v>
      </c>
      <c r="C3" s="39" t="s">
        <v>19</v>
      </c>
      <c r="D3" s="39" t="s">
        <v>20</v>
      </c>
      <c r="E3" s="39" t="s">
        <v>21</v>
      </c>
      <c r="F3" s="39" t="s">
        <v>92</v>
      </c>
      <c r="G3" s="39" t="s">
        <v>22</v>
      </c>
      <c r="H3" s="39" t="s">
        <v>93</v>
      </c>
      <c r="I3" s="39"/>
      <c r="J3" s="39" t="s">
        <v>26</v>
      </c>
      <c r="K3" s="39" t="s">
        <v>25</v>
      </c>
      <c r="L3" s="39" t="s">
        <v>94</v>
      </c>
      <c r="M3" s="39" t="s">
        <v>23</v>
      </c>
      <c r="N3" s="39" t="s">
        <v>24</v>
      </c>
      <c r="O3" s="39" t="s">
        <v>26</v>
      </c>
      <c r="P3" s="63" t="s">
        <v>25</v>
      </c>
      <c r="Q3" s="63" t="s">
        <v>25</v>
      </c>
      <c r="R3" s="63" t="s">
        <v>25</v>
      </c>
      <c r="S3" s="63" t="s">
        <v>25</v>
      </c>
      <c r="T3" s="63" t="s">
        <v>25</v>
      </c>
      <c r="U3" s="64" t="s">
        <v>25</v>
      </c>
      <c r="V3" s="64" t="s">
        <v>25</v>
      </c>
      <c r="W3" s="64" t="s">
        <v>25</v>
      </c>
      <c r="X3" s="64" t="s">
        <v>25</v>
      </c>
      <c r="Y3" s="63" t="s">
        <v>25</v>
      </c>
      <c r="Z3" s="63" t="s">
        <v>25</v>
      </c>
      <c r="AA3" s="63" t="s">
        <v>25</v>
      </c>
      <c r="AB3" s="63" t="s">
        <v>25</v>
      </c>
      <c r="AC3" s="64" t="s">
        <v>25</v>
      </c>
      <c r="AD3" s="64" t="s">
        <v>25</v>
      </c>
      <c r="AE3" s="64" t="s">
        <v>25</v>
      </c>
      <c r="AF3" s="65" t="s">
        <v>25</v>
      </c>
      <c r="AG3" s="65" t="s">
        <v>25</v>
      </c>
      <c r="AH3" s="63" t="s">
        <v>25</v>
      </c>
      <c r="AI3" s="63" t="s">
        <v>25</v>
      </c>
      <c r="AJ3" s="66" t="s">
        <v>25</v>
      </c>
      <c r="AK3" s="66" t="s">
        <v>25</v>
      </c>
      <c r="AL3" s="64" t="s">
        <v>25</v>
      </c>
      <c r="AM3" s="64" t="s">
        <v>25</v>
      </c>
      <c r="AN3" s="64" t="s">
        <v>25</v>
      </c>
      <c r="AO3" s="65" t="s">
        <v>25</v>
      </c>
      <c r="AP3" s="63" t="s">
        <v>25</v>
      </c>
      <c r="AQ3" s="63" t="s">
        <v>25</v>
      </c>
      <c r="AR3" s="63" t="s">
        <v>25</v>
      </c>
      <c r="AS3" s="66" t="s">
        <v>25</v>
      </c>
      <c r="AT3" s="66" t="s">
        <v>25</v>
      </c>
      <c r="AU3" s="64" t="s">
        <v>25</v>
      </c>
      <c r="AV3" s="64" t="s">
        <v>25</v>
      </c>
      <c r="AW3" s="64" t="s">
        <v>25</v>
      </c>
      <c r="AX3" s="65" t="s">
        <v>25</v>
      </c>
      <c r="AY3" s="63" t="s">
        <v>25</v>
      </c>
      <c r="AZ3" s="63" t="s">
        <v>25</v>
      </c>
      <c r="BA3" s="63" t="s">
        <v>25</v>
      </c>
      <c r="BB3" s="66" t="s">
        <v>25</v>
      </c>
      <c r="BC3" s="64" t="s">
        <v>25</v>
      </c>
      <c r="BD3" s="64" t="s">
        <v>25</v>
      </c>
      <c r="BE3" s="64" t="s">
        <v>25</v>
      </c>
      <c r="BF3" s="65" t="s">
        <v>25</v>
      </c>
      <c r="BG3" s="65" t="s">
        <v>25</v>
      </c>
      <c r="BH3" s="63" t="s">
        <v>25</v>
      </c>
      <c r="BI3" s="63" t="s">
        <v>25</v>
      </c>
      <c r="BJ3" s="63" t="s">
        <v>25</v>
      </c>
      <c r="BK3" s="63" t="s">
        <v>25</v>
      </c>
      <c r="BL3" s="64" t="s">
        <v>25</v>
      </c>
      <c r="BM3" s="64" t="s">
        <v>25</v>
      </c>
      <c r="BN3" s="64" t="s">
        <v>25</v>
      </c>
      <c r="BO3" s="64" t="s">
        <v>25</v>
      </c>
      <c r="BP3" s="63" t="s">
        <v>25</v>
      </c>
      <c r="BQ3" s="40" t="s">
        <v>104</v>
      </c>
      <c r="BR3" s="67" t="s">
        <v>105</v>
      </c>
      <c r="BS3" s="31" t="s">
        <v>106</v>
      </c>
      <c r="BT3" s="31" t="s">
        <v>107</v>
      </c>
    </row>
    <row r="4" ht="15.75" customHeight="1">
      <c r="A4" s="44">
        <v>10.0</v>
      </c>
      <c r="B4" s="47" t="s">
        <v>27</v>
      </c>
      <c r="C4" s="47" t="s">
        <v>29</v>
      </c>
      <c r="D4" s="47" t="s">
        <v>29</v>
      </c>
      <c r="E4" s="47" t="s">
        <v>32</v>
      </c>
      <c r="F4" s="47" t="s">
        <v>112</v>
      </c>
      <c r="G4" s="48" t="s">
        <v>34</v>
      </c>
      <c r="H4" s="68">
        <f t="shared" ref="H4:H608" si="3">IF(BQ4=0," ",(BR4/BQ4))</f>
        <v>0</v>
      </c>
      <c r="I4" s="52"/>
      <c r="J4" s="52"/>
      <c r="K4" s="69"/>
      <c r="L4" s="48" t="s">
        <v>115</v>
      </c>
      <c r="M4" s="50"/>
      <c r="N4" s="51"/>
      <c r="O4" s="52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30">
        <v>1.0</v>
      </c>
      <c r="BR4" s="30">
        <f t="shared" ref="BR4:BR608" si="4">IF(COUNTA(P4:BP4)&gt;BQ4,BQ4,COUNTA(P4:BP4))</f>
        <v>0</v>
      </c>
      <c r="BS4" s="70">
        <f t="shared" ref="BS4:BS608" si="5">IF(H4=1,1,0)</f>
        <v>0</v>
      </c>
      <c r="BT4" s="70">
        <v>1.0</v>
      </c>
    </row>
    <row r="5" ht="15.75" customHeight="1">
      <c r="A5" s="54">
        <v>20.0</v>
      </c>
      <c r="B5" s="56" t="s">
        <v>83</v>
      </c>
      <c r="C5" s="56" t="s">
        <v>84</v>
      </c>
      <c r="D5" s="56" t="s">
        <v>85</v>
      </c>
      <c r="E5" s="56" t="s">
        <v>86</v>
      </c>
      <c r="F5" s="56" t="s">
        <v>125</v>
      </c>
      <c r="G5" s="57" t="s">
        <v>87</v>
      </c>
      <c r="H5" s="68">
        <f t="shared" si="3"/>
        <v>0.1666666667</v>
      </c>
      <c r="I5" s="62"/>
      <c r="J5" s="62" t="s">
        <v>88</v>
      </c>
      <c r="K5" s="71"/>
      <c r="L5" s="57" t="s">
        <v>130</v>
      </c>
      <c r="M5" s="58"/>
      <c r="N5" s="58"/>
      <c r="O5" s="62" t="s">
        <v>88</v>
      </c>
      <c r="P5" s="59" t="s">
        <v>131</v>
      </c>
      <c r="Q5" s="59"/>
      <c r="R5" s="59"/>
      <c r="S5" s="59"/>
      <c r="T5" s="59"/>
      <c r="U5" s="59" t="s">
        <v>131</v>
      </c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72"/>
      <c r="BQ5" s="30">
        <v>12.0</v>
      </c>
      <c r="BR5" s="30">
        <f t="shared" si="4"/>
        <v>2</v>
      </c>
      <c r="BS5" s="70">
        <f t="shared" si="5"/>
        <v>0</v>
      </c>
      <c r="BT5" s="70">
        <v>1.0</v>
      </c>
    </row>
    <row r="6" ht="15.75" customHeight="1">
      <c r="A6" s="54">
        <v>20.0</v>
      </c>
      <c r="B6" s="56" t="s">
        <v>89</v>
      </c>
      <c r="C6" s="56" t="s">
        <v>90</v>
      </c>
      <c r="D6" s="56" t="s">
        <v>91</v>
      </c>
      <c r="E6" s="56"/>
      <c r="F6" s="56" t="s">
        <v>138</v>
      </c>
      <c r="G6" s="57" t="s">
        <v>34</v>
      </c>
      <c r="H6" s="68">
        <f t="shared" si="3"/>
        <v>0</v>
      </c>
      <c r="I6" s="62"/>
      <c r="J6" s="62"/>
      <c r="K6" s="71"/>
      <c r="L6" s="57" t="s">
        <v>130</v>
      </c>
      <c r="M6" s="61"/>
      <c r="N6" s="61"/>
      <c r="O6" s="62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30">
        <v>1.0</v>
      </c>
      <c r="BR6" s="30">
        <f t="shared" si="4"/>
        <v>0</v>
      </c>
      <c r="BS6" s="70">
        <f t="shared" si="5"/>
        <v>0</v>
      </c>
      <c r="BT6" s="70">
        <v>1.0</v>
      </c>
    </row>
    <row r="7" ht="15.75" customHeight="1">
      <c r="A7" s="54">
        <v>20.0</v>
      </c>
      <c r="B7" s="56" t="s">
        <v>95</v>
      </c>
      <c r="C7" s="56" t="s">
        <v>90</v>
      </c>
      <c r="D7" s="56" t="s">
        <v>96</v>
      </c>
      <c r="E7" s="56" t="s">
        <v>97</v>
      </c>
      <c r="F7" s="56" t="s">
        <v>138</v>
      </c>
      <c r="G7" s="57" t="s">
        <v>34</v>
      </c>
      <c r="H7" s="68">
        <f t="shared" si="3"/>
        <v>0</v>
      </c>
      <c r="I7" s="62" t="s">
        <v>146</v>
      </c>
      <c r="J7" s="62"/>
      <c r="K7" s="71"/>
      <c r="L7" s="57" t="s">
        <v>130</v>
      </c>
      <c r="M7" s="61"/>
      <c r="N7" s="61"/>
      <c r="O7" s="62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30">
        <v>1.0</v>
      </c>
      <c r="BR7" s="30">
        <f t="shared" si="4"/>
        <v>0</v>
      </c>
      <c r="BS7" s="70">
        <f t="shared" si="5"/>
        <v>0</v>
      </c>
      <c r="BT7" s="70">
        <v>1.0</v>
      </c>
    </row>
    <row r="8" ht="15.75" customHeight="1">
      <c r="A8" s="54">
        <v>20.0</v>
      </c>
      <c r="B8" s="56" t="s">
        <v>98</v>
      </c>
      <c r="C8" s="56" t="s">
        <v>90</v>
      </c>
      <c r="D8" s="56" t="s">
        <v>99</v>
      </c>
      <c r="E8" s="56" t="s">
        <v>97</v>
      </c>
      <c r="F8" s="73" t="s">
        <v>138</v>
      </c>
      <c r="G8" s="74" t="s">
        <v>34</v>
      </c>
      <c r="H8" s="68">
        <f t="shared" si="3"/>
        <v>0</v>
      </c>
      <c r="I8" s="62" t="s">
        <v>146</v>
      </c>
      <c r="J8" s="62"/>
      <c r="K8" s="71"/>
      <c r="L8" s="57" t="s">
        <v>130</v>
      </c>
      <c r="M8" s="61"/>
      <c r="N8" s="61"/>
      <c r="O8" s="62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30">
        <v>1.0</v>
      </c>
      <c r="BR8" s="30">
        <f t="shared" si="4"/>
        <v>0</v>
      </c>
      <c r="BS8" s="70">
        <f t="shared" si="5"/>
        <v>0</v>
      </c>
      <c r="BT8" s="70">
        <v>1.0</v>
      </c>
    </row>
    <row r="9" ht="15.75" customHeight="1">
      <c r="A9" s="54">
        <v>20.0</v>
      </c>
      <c r="B9" s="56" t="s">
        <v>100</v>
      </c>
      <c r="C9" s="56" t="s">
        <v>101</v>
      </c>
      <c r="D9" s="56" t="s">
        <v>102</v>
      </c>
      <c r="E9" s="56" t="s">
        <v>103</v>
      </c>
      <c r="F9" s="56" t="s">
        <v>168</v>
      </c>
      <c r="G9" s="57" t="s">
        <v>34</v>
      </c>
      <c r="H9" s="68">
        <f t="shared" si="3"/>
        <v>0</v>
      </c>
      <c r="I9" s="62" t="s">
        <v>146</v>
      </c>
      <c r="J9" s="62"/>
      <c r="K9" s="71"/>
      <c r="L9" s="57" t="s">
        <v>130</v>
      </c>
      <c r="M9" s="61"/>
      <c r="N9" s="61"/>
      <c r="O9" s="62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30">
        <v>1.0</v>
      </c>
      <c r="BR9" s="30">
        <f t="shared" si="4"/>
        <v>0</v>
      </c>
      <c r="BS9" s="70">
        <f t="shared" si="5"/>
        <v>0</v>
      </c>
      <c r="BT9" s="70">
        <v>1.0</v>
      </c>
    </row>
    <row r="10" ht="15.75" customHeight="1">
      <c r="A10" s="54">
        <v>30.0</v>
      </c>
      <c r="B10" s="56" t="s">
        <v>108</v>
      </c>
      <c r="C10" s="56" t="s">
        <v>109</v>
      </c>
      <c r="D10" s="56" t="s">
        <v>110</v>
      </c>
      <c r="E10" s="56" t="s">
        <v>111</v>
      </c>
      <c r="F10" s="56" t="s">
        <v>173</v>
      </c>
      <c r="G10" s="57" t="s">
        <v>87</v>
      </c>
      <c r="H10" s="68">
        <f t="shared" si="3"/>
        <v>0.25</v>
      </c>
      <c r="I10" s="62"/>
      <c r="J10" s="62"/>
      <c r="K10" s="71"/>
      <c r="L10" s="57" t="s">
        <v>115</v>
      </c>
      <c r="M10" s="61"/>
      <c r="N10" s="61"/>
      <c r="O10" s="62"/>
      <c r="P10" s="53" t="s">
        <v>131</v>
      </c>
      <c r="Q10" s="53"/>
      <c r="R10" s="53"/>
      <c r="S10" s="53"/>
      <c r="T10" s="53"/>
      <c r="U10" s="53" t="s">
        <v>131</v>
      </c>
      <c r="V10" s="53"/>
      <c r="W10" s="53"/>
      <c r="X10" s="53"/>
      <c r="Y10" s="53" t="s">
        <v>131</v>
      </c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75"/>
      <c r="BQ10" s="30">
        <v>12.0</v>
      </c>
      <c r="BR10" s="30">
        <f t="shared" si="4"/>
        <v>3</v>
      </c>
      <c r="BS10" s="70">
        <f t="shared" si="5"/>
        <v>0</v>
      </c>
      <c r="BT10" s="70">
        <v>1.0</v>
      </c>
    </row>
    <row r="11" ht="15.75" customHeight="1">
      <c r="A11" s="54">
        <v>30.0</v>
      </c>
      <c r="B11" s="56" t="s">
        <v>113</v>
      </c>
      <c r="C11" s="56" t="s">
        <v>109</v>
      </c>
      <c r="D11" s="56" t="s">
        <v>114</v>
      </c>
      <c r="E11" s="56" t="s">
        <v>111</v>
      </c>
      <c r="F11" s="56" t="s">
        <v>173</v>
      </c>
      <c r="G11" s="57" t="s">
        <v>87</v>
      </c>
      <c r="H11" s="68">
        <f t="shared" si="3"/>
        <v>0.25</v>
      </c>
      <c r="I11" s="62"/>
      <c r="J11" s="62"/>
      <c r="K11" s="71"/>
      <c r="L11" s="57" t="s">
        <v>115</v>
      </c>
      <c r="M11" s="61"/>
      <c r="N11" s="61"/>
      <c r="O11" s="62"/>
      <c r="P11" s="53" t="s">
        <v>131</v>
      </c>
      <c r="Q11" s="53"/>
      <c r="R11" s="53"/>
      <c r="S11" s="53"/>
      <c r="T11" s="53"/>
      <c r="U11" s="53" t="s">
        <v>131</v>
      </c>
      <c r="V11" s="53"/>
      <c r="W11" s="53"/>
      <c r="X11" s="53"/>
      <c r="Y11" s="53" t="s">
        <v>131</v>
      </c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30">
        <v>12.0</v>
      </c>
      <c r="BR11" s="30">
        <f t="shared" si="4"/>
        <v>3</v>
      </c>
      <c r="BS11" s="70">
        <f t="shared" si="5"/>
        <v>0</v>
      </c>
      <c r="BT11" s="70">
        <v>1.0</v>
      </c>
    </row>
    <row r="12" ht="15.75" customHeight="1">
      <c r="A12" s="54">
        <v>30.0</v>
      </c>
      <c r="B12" s="56" t="s">
        <v>116</v>
      </c>
      <c r="C12" s="56" t="s">
        <v>109</v>
      </c>
      <c r="D12" s="56" t="s">
        <v>117</v>
      </c>
      <c r="E12" s="56" t="s">
        <v>118</v>
      </c>
      <c r="F12" s="56" t="s">
        <v>173</v>
      </c>
      <c r="G12" s="57" t="s">
        <v>87</v>
      </c>
      <c r="H12" s="68">
        <f t="shared" si="3"/>
        <v>0.25</v>
      </c>
      <c r="I12" s="62"/>
      <c r="J12" s="62"/>
      <c r="K12" s="71"/>
      <c r="L12" s="57" t="s">
        <v>115</v>
      </c>
      <c r="M12" s="61"/>
      <c r="N12" s="61"/>
      <c r="O12" s="62"/>
      <c r="P12" s="53" t="s">
        <v>131</v>
      </c>
      <c r="Q12" s="53"/>
      <c r="R12" s="53"/>
      <c r="S12" s="53"/>
      <c r="T12" s="53"/>
      <c r="U12" s="53" t="s">
        <v>131</v>
      </c>
      <c r="V12" s="53"/>
      <c r="W12" s="53"/>
      <c r="X12" s="53"/>
      <c r="Y12" s="53" t="s">
        <v>131</v>
      </c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30">
        <v>12.0</v>
      </c>
      <c r="BR12" s="30">
        <f t="shared" si="4"/>
        <v>3</v>
      </c>
      <c r="BS12" s="70">
        <f t="shared" si="5"/>
        <v>0</v>
      </c>
      <c r="BT12" s="70">
        <v>1.0</v>
      </c>
    </row>
    <row r="13" ht="15.75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119</v>
      </c>
      <c r="F13" s="56" t="s">
        <v>168</v>
      </c>
      <c r="G13" s="57" t="s">
        <v>34</v>
      </c>
      <c r="H13" s="68">
        <f t="shared" si="3"/>
        <v>0</v>
      </c>
      <c r="I13" s="62"/>
      <c r="J13" s="62"/>
      <c r="K13" s="71"/>
      <c r="L13" s="57" t="s">
        <v>115</v>
      </c>
      <c r="M13" s="61"/>
      <c r="N13" s="61"/>
      <c r="O13" s="62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30">
        <v>1.0</v>
      </c>
      <c r="BR13" s="30">
        <f t="shared" si="4"/>
        <v>0</v>
      </c>
      <c r="BS13" s="70">
        <f t="shared" si="5"/>
        <v>0</v>
      </c>
      <c r="BT13" s="70">
        <v>1.0</v>
      </c>
    </row>
    <row r="14" ht="15.75" customHeight="1">
      <c r="A14" s="54">
        <v>30.0</v>
      </c>
      <c r="B14" s="56" t="s">
        <v>120</v>
      </c>
      <c r="C14" s="56" t="s">
        <v>109</v>
      </c>
      <c r="D14" s="56" t="s">
        <v>121</v>
      </c>
      <c r="E14" s="56" t="s">
        <v>111</v>
      </c>
      <c r="F14" s="56" t="s">
        <v>173</v>
      </c>
      <c r="G14" s="57" t="s">
        <v>87</v>
      </c>
      <c r="H14" s="68">
        <f t="shared" si="3"/>
        <v>0.25</v>
      </c>
      <c r="I14" s="62"/>
      <c r="J14" s="62"/>
      <c r="K14" s="71"/>
      <c r="L14" s="57" t="s">
        <v>130</v>
      </c>
      <c r="M14" s="61"/>
      <c r="N14" s="61"/>
      <c r="O14" s="62"/>
      <c r="P14" s="53" t="s">
        <v>131</v>
      </c>
      <c r="Q14" s="53"/>
      <c r="R14" s="53"/>
      <c r="S14" s="53"/>
      <c r="T14" s="53"/>
      <c r="U14" s="53" t="s">
        <v>131</v>
      </c>
      <c r="V14" s="53"/>
      <c r="W14" s="53"/>
      <c r="X14" s="53"/>
      <c r="Y14" s="53" t="s">
        <v>131</v>
      </c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30">
        <v>12.0</v>
      </c>
      <c r="BR14" s="30">
        <f t="shared" si="4"/>
        <v>3</v>
      </c>
      <c r="BS14" s="70">
        <f t="shared" si="5"/>
        <v>0</v>
      </c>
      <c r="BT14" s="70">
        <v>1.0</v>
      </c>
    </row>
    <row r="15" ht="15.75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122</v>
      </c>
      <c r="F15" s="56" t="s">
        <v>193</v>
      </c>
      <c r="G15" s="57" t="s">
        <v>34</v>
      </c>
      <c r="H15" s="68">
        <f t="shared" si="3"/>
        <v>0</v>
      </c>
      <c r="I15" s="62"/>
      <c r="J15" s="62"/>
      <c r="K15" s="71"/>
      <c r="L15" s="57" t="s">
        <v>115</v>
      </c>
      <c r="M15" s="61"/>
      <c r="N15" s="61"/>
      <c r="O15" s="62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30">
        <v>1.0</v>
      </c>
      <c r="BR15" s="30">
        <f t="shared" si="4"/>
        <v>0</v>
      </c>
      <c r="BS15" s="70">
        <f t="shared" si="5"/>
        <v>0</v>
      </c>
      <c r="BT15" s="70">
        <v>1.0</v>
      </c>
    </row>
    <row r="16" ht="15.75" customHeight="1">
      <c r="A16" s="54">
        <v>30.0</v>
      </c>
      <c r="B16" s="56" t="s">
        <v>123</v>
      </c>
      <c r="C16" s="56" t="s">
        <v>109</v>
      </c>
      <c r="D16" s="56" t="s">
        <v>124</v>
      </c>
      <c r="E16" s="56" t="s">
        <v>86</v>
      </c>
      <c r="F16" s="56" t="s">
        <v>173</v>
      </c>
      <c r="G16" s="57" t="s">
        <v>87</v>
      </c>
      <c r="H16" s="68">
        <f t="shared" si="3"/>
        <v>0.25</v>
      </c>
      <c r="I16" s="62"/>
      <c r="J16" s="62"/>
      <c r="K16" s="71"/>
      <c r="L16" s="57" t="s">
        <v>130</v>
      </c>
      <c r="M16" s="61"/>
      <c r="N16" s="61"/>
      <c r="O16" s="62"/>
      <c r="P16" s="53" t="s">
        <v>131</v>
      </c>
      <c r="Q16" s="53"/>
      <c r="R16" s="53"/>
      <c r="S16" s="53"/>
      <c r="T16" s="53"/>
      <c r="U16" s="53" t="s">
        <v>131</v>
      </c>
      <c r="V16" s="53"/>
      <c r="W16" s="53"/>
      <c r="X16" s="53"/>
      <c r="Y16" s="53" t="s">
        <v>131</v>
      </c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75"/>
      <c r="BQ16" s="30">
        <v>12.0</v>
      </c>
      <c r="BR16" s="30">
        <f t="shared" si="4"/>
        <v>3</v>
      </c>
      <c r="BS16" s="70">
        <f t="shared" si="5"/>
        <v>0</v>
      </c>
      <c r="BT16" s="70">
        <v>1.0</v>
      </c>
    </row>
    <row r="17" ht="15.75" customHeight="1">
      <c r="A17" s="54">
        <v>31.0</v>
      </c>
      <c r="B17" s="56" t="s">
        <v>126</v>
      </c>
      <c r="C17" s="56" t="s">
        <v>127</v>
      </c>
      <c r="D17" s="56" t="s">
        <v>128</v>
      </c>
      <c r="E17" s="56" t="s">
        <v>129</v>
      </c>
      <c r="F17" s="56" t="s">
        <v>202</v>
      </c>
      <c r="G17" s="57" t="s">
        <v>34</v>
      </c>
      <c r="H17" s="68">
        <f t="shared" si="3"/>
        <v>0</v>
      </c>
      <c r="I17" s="62" t="s">
        <v>146</v>
      </c>
      <c r="J17" s="62" t="s">
        <v>133</v>
      </c>
      <c r="K17" s="71"/>
      <c r="L17" s="57" t="s">
        <v>115</v>
      </c>
      <c r="M17" s="61"/>
      <c r="N17" s="61"/>
      <c r="O17" s="62" t="s">
        <v>133</v>
      </c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30">
        <v>1.0</v>
      </c>
      <c r="BR17" s="30">
        <f t="shared" si="4"/>
        <v>0</v>
      </c>
      <c r="BS17" s="70">
        <f t="shared" si="5"/>
        <v>0</v>
      </c>
      <c r="BT17" s="70">
        <v>1.0</v>
      </c>
    </row>
    <row r="18" ht="15.75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132</v>
      </c>
      <c r="F18" s="56" t="s">
        <v>112</v>
      </c>
      <c r="G18" s="57" t="s">
        <v>34</v>
      </c>
      <c r="H18" s="68">
        <f t="shared" si="3"/>
        <v>0</v>
      </c>
      <c r="I18" s="62" t="s">
        <v>146</v>
      </c>
      <c r="J18" s="62" t="s">
        <v>133</v>
      </c>
      <c r="K18" s="71"/>
      <c r="L18" s="57" t="s">
        <v>115</v>
      </c>
      <c r="M18" s="61"/>
      <c r="N18" s="61"/>
      <c r="O18" s="62" t="s">
        <v>133</v>
      </c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30">
        <v>1.0</v>
      </c>
      <c r="BR18" s="30">
        <f t="shared" si="4"/>
        <v>0</v>
      </c>
      <c r="BS18" s="70">
        <f t="shared" si="5"/>
        <v>0</v>
      </c>
      <c r="BT18" s="70">
        <v>1.0</v>
      </c>
    </row>
    <row r="19" ht="15.75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134</v>
      </c>
      <c r="F19" s="56" t="s">
        <v>202</v>
      </c>
      <c r="G19" s="57" t="s">
        <v>34</v>
      </c>
      <c r="H19" s="68">
        <f t="shared" si="3"/>
        <v>0</v>
      </c>
      <c r="I19" s="62" t="s">
        <v>146</v>
      </c>
      <c r="J19" s="62" t="s">
        <v>133</v>
      </c>
      <c r="K19" s="71"/>
      <c r="L19" s="57" t="s">
        <v>115</v>
      </c>
      <c r="M19" s="61"/>
      <c r="N19" s="61"/>
      <c r="O19" s="62" t="s">
        <v>133</v>
      </c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75"/>
      <c r="BQ19" s="30">
        <v>1.0</v>
      </c>
      <c r="BR19" s="30">
        <f t="shared" si="4"/>
        <v>0</v>
      </c>
      <c r="BS19" s="70">
        <f t="shared" si="5"/>
        <v>0</v>
      </c>
      <c r="BT19" s="70">
        <v>1.0</v>
      </c>
    </row>
    <row r="20" ht="15.75" customHeight="1">
      <c r="A20" s="54">
        <v>40.0</v>
      </c>
      <c r="B20" s="56" t="s">
        <v>135</v>
      </c>
      <c r="C20" s="56" t="s">
        <v>136</v>
      </c>
      <c r="D20" s="56" t="s">
        <v>137</v>
      </c>
      <c r="E20" s="56" t="s">
        <v>111</v>
      </c>
      <c r="F20" s="56" t="s">
        <v>168</v>
      </c>
      <c r="G20" s="57" t="s">
        <v>34</v>
      </c>
      <c r="H20" s="68">
        <f t="shared" si="3"/>
        <v>0</v>
      </c>
      <c r="I20" s="62" t="s">
        <v>146</v>
      </c>
      <c r="J20" s="62"/>
      <c r="K20" s="71"/>
      <c r="L20" s="57" t="s">
        <v>130</v>
      </c>
      <c r="M20" s="61"/>
      <c r="N20" s="61"/>
      <c r="O20" s="62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30">
        <v>1.0</v>
      </c>
      <c r="BR20" s="30">
        <f t="shared" si="4"/>
        <v>0</v>
      </c>
      <c r="BS20" s="70">
        <f t="shared" si="5"/>
        <v>0</v>
      </c>
      <c r="BT20" s="70">
        <v>1.0</v>
      </c>
    </row>
    <row r="21" ht="15.75" customHeight="1">
      <c r="A21" s="54">
        <v>40.0</v>
      </c>
      <c r="B21" s="56" t="s">
        <v>139</v>
      </c>
      <c r="C21" s="56" t="s">
        <v>101</v>
      </c>
      <c r="D21" s="56" t="s">
        <v>102</v>
      </c>
      <c r="E21" s="56" t="s">
        <v>111</v>
      </c>
      <c r="F21" s="56" t="s">
        <v>168</v>
      </c>
      <c r="G21" s="57" t="s">
        <v>34</v>
      </c>
      <c r="H21" s="68">
        <f t="shared" si="3"/>
        <v>0</v>
      </c>
      <c r="I21" s="62" t="s">
        <v>146</v>
      </c>
      <c r="J21" s="62"/>
      <c r="K21" s="71"/>
      <c r="L21" s="57"/>
      <c r="M21" s="61"/>
      <c r="N21" s="61"/>
      <c r="O21" s="62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75"/>
      <c r="BQ21" s="30">
        <v>1.0</v>
      </c>
      <c r="BR21" s="30">
        <f t="shared" si="4"/>
        <v>0</v>
      </c>
      <c r="BS21" s="70">
        <f t="shared" si="5"/>
        <v>0</v>
      </c>
      <c r="BT21" s="70">
        <v>1.0</v>
      </c>
    </row>
    <row r="22" ht="15.75" customHeight="1">
      <c r="A22" s="54">
        <v>40.0</v>
      </c>
      <c r="B22" s="56" t="s">
        <v>140</v>
      </c>
      <c r="C22" s="56" t="s">
        <v>141</v>
      </c>
      <c r="D22" s="56" t="s">
        <v>142</v>
      </c>
      <c r="E22" s="56" t="s">
        <v>111</v>
      </c>
      <c r="F22" s="56" t="s">
        <v>168</v>
      </c>
      <c r="G22" s="57" t="s">
        <v>34</v>
      </c>
      <c r="H22" s="68">
        <f t="shared" si="3"/>
        <v>0</v>
      </c>
      <c r="I22" s="62" t="s">
        <v>146</v>
      </c>
      <c r="J22" s="62"/>
      <c r="K22" s="71"/>
      <c r="L22" s="57" t="s">
        <v>130</v>
      </c>
      <c r="M22" s="61"/>
      <c r="N22" s="61"/>
      <c r="O22" s="62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75"/>
      <c r="BQ22" s="30">
        <v>1.0</v>
      </c>
      <c r="BR22" s="30">
        <f t="shared" si="4"/>
        <v>0</v>
      </c>
      <c r="BS22" s="70">
        <f t="shared" si="5"/>
        <v>0</v>
      </c>
      <c r="BT22" s="70">
        <v>1.0</v>
      </c>
    </row>
    <row r="23" ht="15.75" customHeight="1">
      <c r="A23" s="54">
        <v>40.0</v>
      </c>
      <c r="B23" s="56" t="s">
        <v>143</v>
      </c>
      <c r="C23" s="56" t="s">
        <v>144</v>
      </c>
      <c r="D23" s="56" t="s">
        <v>145</v>
      </c>
      <c r="E23" s="56" t="s">
        <v>111</v>
      </c>
      <c r="F23" s="56" t="s">
        <v>168</v>
      </c>
      <c r="G23" s="57" t="s">
        <v>34</v>
      </c>
      <c r="H23" s="68">
        <f t="shared" si="3"/>
        <v>0</v>
      </c>
      <c r="I23" s="62" t="s">
        <v>146</v>
      </c>
      <c r="J23" s="62"/>
      <c r="K23" s="71"/>
      <c r="L23" s="57"/>
      <c r="M23" s="61"/>
      <c r="N23" s="61"/>
      <c r="O23" s="62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75"/>
      <c r="BQ23" s="30">
        <v>1.0</v>
      </c>
      <c r="BR23" s="30">
        <f t="shared" si="4"/>
        <v>0</v>
      </c>
      <c r="BS23" s="70">
        <f t="shared" si="5"/>
        <v>0</v>
      </c>
      <c r="BT23" s="70">
        <v>1.0</v>
      </c>
    </row>
    <row r="24" ht="15.75" customHeight="1">
      <c r="A24" s="54">
        <v>50.0</v>
      </c>
      <c r="B24" s="56" t="s">
        <v>147</v>
      </c>
      <c r="C24" s="56" t="s">
        <v>148</v>
      </c>
      <c r="D24" s="56" t="s">
        <v>149</v>
      </c>
      <c r="E24" s="56" t="s">
        <v>150</v>
      </c>
      <c r="F24" s="56" t="s">
        <v>168</v>
      </c>
      <c r="G24" s="57" t="s">
        <v>34</v>
      </c>
      <c r="H24" s="68">
        <f t="shared" si="3"/>
        <v>0</v>
      </c>
      <c r="I24" s="62" t="s">
        <v>146</v>
      </c>
      <c r="J24" s="62"/>
      <c r="K24" s="71"/>
      <c r="L24" s="57" t="s">
        <v>130</v>
      </c>
      <c r="M24" s="61"/>
      <c r="N24" s="61"/>
      <c r="O24" s="62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75"/>
      <c r="BQ24" s="30">
        <v>1.0</v>
      </c>
      <c r="BR24" s="30">
        <f t="shared" si="4"/>
        <v>0</v>
      </c>
      <c r="BS24" s="70">
        <f t="shared" si="5"/>
        <v>0</v>
      </c>
      <c r="BT24" s="70">
        <v>1.0</v>
      </c>
    </row>
    <row r="25" ht="15.75" customHeight="1">
      <c r="A25" s="54">
        <v>50.0</v>
      </c>
      <c r="B25" s="56" t="s">
        <v>151</v>
      </c>
      <c r="C25" s="56" t="s">
        <v>152</v>
      </c>
      <c r="D25" s="56" t="s">
        <v>152</v>
      </c>
      <c r="E25" s="56" t="s">
        <v>111</v>
      </c>
      <c r="F25" s="56" t="s">
        <v>168</v>
      </c>
      <c r="G25" s="57" t="s">
        <v>34</v>
      </c>
      <c r="H25" s="68">
        <f t="shared" si="3"/>
        <v>0</v>
      </c>
      <c r="I25" s="62" t="s">
        <v>146</v>
      </c>
      <c r="J25" s="62"/>
      <c r="K25" s="71"/>
      <c r="L25" s="57" t="s">
        <v>115</v>
      </c>
      <c r="M25" s="61"/>
      <c r="N25" s="61"/>
      <c r="O25" s="62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75"/>
      <c r="BQ25" s="30">
        <v>1.0</v>
      </c>
      <c r="BR25" s="30">
        <f t="shared" si="4"/>
        <v>0</v>
      </c>
      <c r="BS25" s="70">
        <f t="shared" si="5"/>
        <v>0</v>
      </c>
      <c r="BT25" s="70">
        <v>1.0</v>
      </c>
    </row>
    <row r="26" ht="15.75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153</v>
      </c>
      <c r="F26" s="56" t="s">
        <v>246</v>
      </c>
      <c r="G26" s="57" t="s">
        <v>154</v>
      </c>
      <c r="H26" s="68">
        <f t="shared" si="3"/>
        <v>0</v>
      </c>
      <c r="I26" s="62" t="s">
        <v>146</v>
      </c>
      <c r="J26" s="62"/>
      <c r="K26" s="71"/>
      <c r="L26" s="57" t="s">
        <v>130</v>
      </c>
      <c r="M26" s="61"/>
      <c r="N26" s="61"/>
      <c r="O26" s="62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30">
        <v>2.0</v>
      </c>
      <c r="BR26" s="30">
        <f t="shared" si="4"/>
        <v>0</v>
      </c>
      <c r="BS26" s="70">
        <f t="shared" si="5"/>
        <v>0</v>
      </c>
      <c r="BT26" s="70">
        <v>1.0</v>
      </c>
    </row>
    <row r="27" ht="15.75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155</v>
      </c>
      <c r="F27" s="56" t="s">
        <v>249</v>
      </c>
      <c r="G27" s="57" t="s">
        <v>250</v>
      </c>
      <c r="H27" s="68">
        <f t="shared" si="3"/>
        <v>0</v>
      </c>
      <c r="I27" s="62"/>
      <c r="J27" s="62"/>
      <c r="K27" s="71"/>
      <c r="L27" s="57" t="s">
        <v>115</v>
      </c>
      <c r="M27" s="61"/>
      <c r="N27" s="61" t="s">
        <v>251</v>
      </c>
      <c r="O27" s="62" t="s">
        <v>160</v>
      </c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75"/>
      <c r="BQ27" s="30">
        <v>4.0</v>
      </c>
      <c r="BR27" s="30">
        <f t="shared" si="4"/>
        <v>0</v>
      </c>
      <c r="BS27" s="70">
        <f t="shared" si="5"/>
        <v>0</v>
      </c>
      <c r="BT27" s="70">
        <v>1.0</v>
      </c>
    </row>
    <row r="28" ht="15.75" customHeight="1">
      <c r="A28" s="54">
        <v>50.0</v>
      </c>
      <c r="B28" s="56" t="s">
        <v>156</v>
      </c>
      <c r="C28" s="56" t="s">
        <v>152</v>
      </c>
      <c r="D28" s="56" t="s">
        <v>157</v>
      </c>
      <c r="E28" s="56" t="s">
        <v>158</v>
      </c>
      <c r="F28" s="56" t="s">
        <v>168</v>
      </c>
      <c r="G28" s="57" t="s">
        <v>34</v>
      </c>
      <c r="H28" s="68">
        <f t="shared" si="3"/>
        <v>0</v>
      </c>
      <c r="I28" s="62" t="s">
        <v>146</v>
      </c>
      <c r="J28" s="62"/>
      <c r="K28" s="71"/>
      <c r="L28" s="57" t="s">
        <v>130</v>
      </c>
      <c r="M28" s="61"/>
      <c r="N28" s="61"/>
      <c r="O28" s="62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75"/>
      <c r="BQ28" s="30">
        <v>1.0</v>
      </c>
      <c r="BR28" s="30">
        <f t="shared" si="4"/>
        <v>0</v>
      </c>
      <c r="BS28" s="70">
        <f t="shared" si="5"/>
        <v>0</v>
      </c>
      <c r="BT28" s="70">
        <v>1.0</v>
      </c>
    </row>
    <row r="29" ht="15.75" customHeight="1">
      <c r="A29" s="54">
        <v>50.0</v>
      </c>
      <c r="B29" s="56" t="s">
        <v>161</v>
      </c>
      <c r="C29" s="56" t="s">
        <v>152</v>
      </c>
      <c r="D29" s="56" t="s">
        <v>162</v>
      </c>
      <c r="E29" s="56" t="s">
        <v>163</v>
      </c>
      <c r="F29" s="56" t="s">
        <v>168</v>
      </c>
      <c r="G29" s="57" t="s">
        <v>34</v>
      </c>
      <c r="H29" s="68">
        <f t="shared" si="3"/>
        <v>0</v>
      </c>
      <c r="I29" s="62" t="s">
        <v>146</v>
      </c>
      <c r="J29" s="62"/>
      <c r="K29" s="71"/>
      <c r="L29" s="57" t="s">
        <v>130</v>
      </c>
      <c r="M29" s="61"/>
      <c r="N29" s="61"/>
      <c r="O29" s="62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75"/>
      <c r="BQ29" s="30">
        <v>1.0</v>
      </c>
      <c r="BR29" s="30">
        <f t="shared" si="4"/>
        <v>0</v>
      </c>
      <c r="BS29" s="70">
        <f t="shared" si="5"/>
        <v>0</v>
      </c>
      <c r="BT29" s="70">
        <v>1.0</v>
      </c>
    </row>
    <row r="30" ht="15.75" customHeight="1">
      <c r="A30" s="54">
        <v>60.0</v>
      </c>
      <c r="B30" s="56" t="s">
        <v>164</v>
      </c>
      <c r="C30" s="56" t="s">
        <v>165</v>
      </c>
      <c r="D30" s="56" t="s">
        <v>166</v>
      </c>
      <c r="E30" s="56" t="s">
        <v>167</v>
      </c>
      <c r="F30" s="56" t="s">
        <v>246</v>
      </c>
      <c r="G30" s="57" t="s">
        <v>154</v>
      </c>
      <c r="H30" s="68">
        <f t="shared" si="3"/>
        <v>0</v>
      </c>
      <c r="I30" s="62" t="s">
        <v>146</v>
      </c>
      <c r="J30" s="62"/>
      <c r="K30" s="71"/>
      <c r="L30" s="57" t="s">
        <v>130</v>
      </c>
      <c r="M30" s="61"/>
      <c r="N30" s="61"/>
      <c r="O30" s="62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75"/>
      <c r="BQ30" s="30">
        <v>2.0</v>
      </c>
      <c r="BR30" s="30">
        <f t="shared" si="4"/>
        <v>0</v>
      </c>
      <c r="BS30" s="70">
        <f t="shared" si="5"/>
        <v>0</v>
      </c>
      <c r="BT30" s="70">
        <v>1.0</v>
      </c>
    </row>
    <row r="31" ht="15.75" customHeight="1">
      <c r="A31" s="54">
        <v>60.0</v>
      </c>
      <c r="B31" s="56" t="s">
        <v>169</v>
      </c>
      <c r="C31" s="56" t="s">
        <v>165</v>
      </c>
      <c r="D31" s="56" t="s">
        <v>170</v>
      </c>
      <c r="E31" s="56" t="s">
        <v>167</v>
      </c>
      <c r="F31" s="56" t="s">
        <v>246</v>
      </c>
      <c r="G31" s="57" t="s">
        <v>154</v>
      </c>
      <c r="H31" s="68">
        <f t="shared" si="3"/>
        <v>0</v>
      </c>
      <c r="I31" s="62" t="s">
        <v>146</v>
      </c>
      <c r="J31" s="62"/>
      <c r="K31" s="71"/>
      <c r="L31" s="57" t="s">
        <v>130</v>
      </c>
      <c r="M31" s="61"/>
      <c r="N31" s="61"/>
      <c r="O31" s="62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30">
        <v>2.0</v>
      </c>
      <c r="BR31" s="30">
        <f t="shared" si="4"/>
        <v>0</v>
      </c>
      <c r="BS31" s="70">
        <f t="shared" si="5"/>
        <v>0</v>
      </c>
      <c r="BT31" s="70">
        <v>1.0</v>
      </c>
    </row>
    <row r="32" ht="15.75" customHeight="1">
      <c r="A32" s="54">
        <v>60.0</v>
      </c>
      <c r="B32" s="56" t="s">
        <v>171</v>
      </c>
      <c r="C32" s="56" t="s">
        <v>165</v>
      </c>
      <c r="D32" s="56" t="s">
        <v>172</v>
      </c>
      <c r="E32" s="56" t="s">
        <v>167</v>
      </c>
      <c r="F32" s="56" t="s">
        <v>246</v>
      </c>
      <c r="G32" s="57" t="s">
        <v>154</v>
      </c>
      <c r="H32" s="68">
        <f t="shared" si="3"/>
        <v>0</v>
      </c>
      <c r="I32" s="62" t="s">
        <v>146</v>
      </c>
      <c r="J32" s="62"/>
      <c r="K32" s="71"/>
      <c r="L32" s="57" t="s">
        <v>130</v>
      </c>
      <c r="M32" s="61"/>
      <c r="N32" s="61"/>
      <c r="O32" s="62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30">
        <v>2.0</v>
      </c>
      <c r="BR32" s="30">
        <f t="shared" si="4"/>
        <v>0</v>
      </c>
      <c r="BS32" s="70">
        <f t="shared" si="5"/>
        <v>0</v>
      </c>
      <c r="BT32" s="70">
        <v>1.0</v>
      </c>
    </row>
    <row r="33" ht="15.75" customHeight="1">
      <c r="A33" s="54">
        <v>60.0</v>
      </c>
      <c r="B33" s="56" t="s">
        <v>174</v>
      </c>
      <c r="C33" s="56" t="s">
        <v>165</v>
      </c>
      <c r="D33" s="56" t="s">
        <v>175</v>
      </c>
      <c r="E33" s="56" t="s">
        <v>167</v>
      </c>
      <c r="F33" s="56" t="s">
        <v>246</v>
      </c>
      <c r="G33" s="57" t="s">
        <v>154</v>
      </c>
      <c r="H33" s="68">
        <f t="shared" si="3"/>
        <v>0</v>
      </c>
      <c r="I33" s="62" t="s">
        <v>146</v>
      </c>
      <c r="J33" s="62"/>
      <c r="K33" s="71"/>
      <c r="L33" s="57" t="s">
        <v>130</v>
      </c>
      <c r="M33" s="61"/>
      <c r="N33" s="61"/>
      <c r="O33" s="62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30">
        <v>2.0</v>
      </c>
      <c r="BR33" s="30">
        <f t="shared" si="4"/>
        <v>0</v>
      </c>
      <c r="BS33" s="70">
        <f t="shared" si="5"/>
        <v>0</v>
      </c>
      <c r="BT33" s="70">
        <v>1.0</v>
      </c>
    </row>
    <row r="34" ht="15.75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176</v>
      </c>
      <c r="F34" s="56" t="s">
        <v>246</v>
      </c>
      <c r="G34" s="57" t="s">
        <v>154</v>
      </c>
      <c r="H34" s="68">
        <f t="shared" si="3"/>
        <v>0</v>
      </c>
      <c r="I34" s="62" t="s">
        <v>146</v>
      </c>
      <c r="J34" s="62"/>
      <c r="K34" s="71"/>
      <c r="L34" s="57" t="s">
        <v>130</v>
      </c>
      <c r="M34" s="61"/>
      <c r="N34" s="61"/>
      <c r="O34" s="62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30">
        <v>2.0</v>
      </c>
      <c r="BR34" s="30">
        <f t="shared" si="4"/>
        <v>0</v>
      </c>
      <c r="BS34" s="70">
        <f t="shared" si="5"/>
        <v>0</v>
      </c>
      <c r="BT34" s="70">
        <v>1.0</v>
      </c>
    </row>
    <row r="35" ht="15.75" customHeight="1">
      <c r="A35" s="54">
        <v>60.0</v>
      </c>
      <c r="B35" s="56" t="s">
        <v>177</v>
      </c>
      <c r="C35" s="56" t="s">
        <v>165</v>
      </c>
      <c r="D35" s="56" t="s">
        <v>178</v>
      </c>
      <c r="E35" s="56" t="s">
        <v>111</v>
      </c>
      <c r="F35" s="56" t="s">
        <v>246</v>
      </c>
      <c r="G35" s="57" t="s">
        <v>154</v>
      </c>
      <c r="H35" s="68">
        <f t="shared" si="3"/>
        <v>0</v>
      </c>
      <c r="I35" s="62" t="s">
        <v>146</v>
      </c>
      <c r="J35" s="62"/>
      <c r="K35" s="71"/>
      <c r="L35" s="57" t="s">
        <v>130</v>
      </c>
      <c r="M35" s="61"/>
      <c r="N35" s="61"/>
      <c r="O35" s="62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30">
        <v>2.0</v>
      </c>
      <c r="BR35" s="30">
        <f t="shared" si="4"/>
        <v>0</v>
      </c>
      <c r="BS35" s="70">
        <f t="shared" si="5"/>
        <v>0</v>
      </c>
      <c r="BT35" s="70">
        <v>1.0</v>
      </c>
    </row>
    <row r="36" ht="15.75" customHeight="1">
      <c r="A36" s="54">
        <v>60.0</v>
      </c>
      <c r="B36" s="56" t="s">
        <v>179</v>
      </c>
      <c r="C36" s="56" t="s">
        <v>165</v>
      </c>
      <c r="D36" s="56" t="s">
        <v>180</v>
      </c>
      <c r="E36" s="56" t="s">
        <v>167</v>
      </c>
      <c r="F36" s="56" t="s">
        <v>246</v>
      </c>
      <c r="G36" s="57" t="s">
        <v>154</v>
      </c>
      <c r="H36" s="68">
        <f t="shared" si="3"/>
        <v>0</v>
      </c>
      <c r="I36" s="62" t="s">
        <v>146</v>
      </c>
      <c r="J36" s="62"/>
      <c r="K36" s="71"/>
      <c r="L36" s="57" t="s">
        <v>130</v>
      </c>
      <c r="M36" s="61"/>
      <c r="N36" s="61"/>
      <c r="O36" s="62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30">
        <v>2.0</v>
      </c>
      <c r="BR36" s="30">
        <f t="shared" si="4"/>
        <v>0</v>
      </c>
      <c r="BS36" s="70">
        <f t="shared" si="5"/>
        <v>0</v>
      </c>
      <c r="BT36" s="70">
        <v>1.0</v>
      </c>
    </row>
    <row r="37" ht="15.75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176</v>
      </c>
      <c r="F37" s="56" t="s">
        <v>246</v>
      </c>
      <c r="G37" s="57" t="s">
        <v>154</v>
      </c>
      <c r="H37" s="68">
        <f t="shared" si="3"/>
        <v>0</v>
      </c>
      <c r="I37" s="62" t="s">
        <v>146</v>
      </c>
      <c r="J37" s="62"/>
      <c r="K37" s="71"/>
      <c r="L37" s="57" t="s">
        <v>130</v>
      </c>
      <c r="M37" s="61"/>
      <c r="N37" s="61"/>
      <c r="O37" s="62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30">
        <v>2.0</v>
      </c>
      <c r="BR37" s="30">
        <f t="shared" si="4"/>
        <v>0</v>
      </c>
      <c r="BS37" s="70">
        <f t="shared" si="5"/>
        <v>0</v>
      </c>
      <c r="BT37" s="70">
        <v>1.0</v>
      </c>
    </row>
    <row r="38" ht="15.75" customHeight="1">
      <c r="A38" s="54">
        <v>60.0</v>
      </c>
      <c r="B38" s="56" t="s">
        <v>181</v>
      </c>
      <c r="C38" s="56" t="s">
        <v>165</v>
      </c>
      <c r="D38" s="56" t="s">
        <v>178</v>
      </c>
      <c r="E38" s="56" t="s">
        <v>167</v>
      </c>
      <c r="F38" s="56" t="s">
        <v>246</v>
      </c>
      <c r="G38" s="57" t="s">
        <v>154</v>
      </c>
      <c r="H38" s="68">
        <f t="shared" si="3"/>
        <v>0</v>
      </c>
      <c r="I38" s="62" t="s">
        <v>146</v>
      </c>
      <c r="J38" s="62"/>
      <c r="K38" s="71"/>
      <c r="L38" s="57" t="s">
        <v>130</v>
      </c>
      <c r="M38" s="61"/>
      <c r="N38" s="61"/>
      <c r="O38" s="62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30">
        <v>2.0</v>
      </c>
      <c r="BR38" s="30">
        <f t="shared" si="4"/>
        <v>0</v>
      </c>
      <c r="BS38" s="70">
        <f t="shared" si="5"/>
        <v>0</v>
      </c>
      <c r="BT38" s="70">
        <v>1.0</v>
      </c>
    </row>
    <row r="39" ht="15.75" customHeight="1">
      <c r="A39" s="54">
        <v>60.0</v>
      </c>
      <c r="B39" s="56" t="s">
        <v>182</v>
      </c>
      <c r="C39" s="56" t="s">
        <v>165</v>
      </c>
      <c r="D39" s="56" t="s">
        <v>183</v>
      </c>
      <c r="E39" s="56" t="s">
        <v>167</v>
      </c>
      <c r="F39" s="56" t="s">
        <v>246</v>
      </c>
      <c r="G39" s="57" t="s">
        <v>154</v>
      </c>
      <c r="H39" s="68">
        <f t="shared" si="3"/>
        <v>0</v>
      </c>
      <c r="I39" s="62" t="s">
        <v>146</v>
      </c>
      <c r="J39" s="62"/>
      <c r="K39" s="71"/>
      <c r="L39" s="57" t="s">
        <v>130</v>
      </c>
      <c r="M39" s="61"/>
      <c r="N39" s="61"/>
      <c r="O39" s="62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30">
        <v>2.0</v>
      </c>
      <c r="BR39" s="30">
        <f t="shared" si="4"/>
        <v>0</v>
      </c>
      <c r="BS39" s="70">
        <f t="shared" si="5"/>
        <v>0</v>
      </c>
      <c r="BT39" s="70">
        <v>1.0</v>
      </c>
    </row>
    <row r="40" ht="15.75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176</v>
      </c>
      <c r="F40" s="56" t="s">
        <v>246</v>
      </c>
      <c r="G40" s="57" t="s">
        <v>154</v>
      </c>
      <c r="H40" s="68">
        <f t="shared" si="3"/>
        <v>0</v>
      </c>
      <c r="I40" s="62" t="s">
        <v>146</v>
      </c>
      <c r="J40" s="62"/>
      <c r="K40" s="71"/>
      <c r="L40" s="57" t="s">
        <v>130</v>
      </c>
      <c r="M40" s="61"/>
      <c r="N40" s="61"/>
      <c r="O40" s="62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30">
        <v>2.0</v>
      </c>
      <c r="BR40" s="30">
        <f t="shared" si="4"/>
        <v>0</v>
      </c>
      <c r="BS40" s="70">
        <f t="shared" si="5"/>
        <v>0</v>
      </c>
      <c r="BT40" s="70">
        <v>1.0</v>
      </c>
    </row>
    <row r="41" ht="15.75" customHeight="1">
      <c r="A41" s="54">
        <v>60.0</v>
      </c>
      <c r="B41" s="56" t="s">
        <v>184</v>
      </c>
      <c r="C41" s="56" t="s">
        <v>165</v>
      </c>
      <c r="D41" s="56" t="s">
        <v>178</v>
      </c>
      <c r="E41" s="56" t="s">
        <v>167</v>
      </c>
      <c r="F41" s="56" t="s">
        <v>246</v>
      </c>
      <c r="G41" s="57" t="s">
        <v>154</v>
      </c>
      <c r="H41" s="68">
        <f t="shared" si="3"/>
        <v>0</v>
      </c>
      <c r="I41" s="62" t="s">
        <v>146</v>
      </c>
      <c r="J41" s="62"/>
      <c r="K41" s="71"/>
      <c r="L41" s="57" t="s">
        <v>130</v>
      </c>
      <c r="M41" s="61"/>
      <c r="N41" s="61"/>
      <c r="O41" s="62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30">
        <v>2.0</v>
      </c>
      <c r="BR41" s="30">
        <f t="shared" si="4"/>
        <v>0</v>
      </c>
      <c r="BS41" s="70">
        <f t="shared" si="5"/>
        <v>0</v>
      </c>
      <c r="BT41" s="70">
        <v>1.0</v>
      </c>
    </row>
    <row r="42" ht="15.75" customHeight="1">
      <c r="A42" s="54">
        <v>60.0</v>
      </c>
      <c r="B42" s="56" t="s">
        <v>185</v>
      </c>
      <c r="C42" s="56" t="s">
        <v>165</v>
      </c>
      <c r="D42" s="56" t="s">
        <v>186</v>
      </c>
      <c r="E42" s="56" t="s">
        <v>167</v>
      </c>
      <c r="F42" s="56" t="s">
        <v>246</v>
      </c>
      <c r="G42" s="57" t="s">
        <v>154</v>
      </c>
      <c r="H42" s="68">
        <f t="shared" si="3"/>
        <v>0</v>
      </c>
      <c r="I42" s="62" t="s">
        <v>146</v>
      </c>
      <c r="J42" s="62"/>
      <c r="K42" s="71"/>
      <c r="L42" s="57" t="s">
        <v>130</v>
      </c>
      <c r="M42" s="61"/>
      <c r="N42" s="61"/>
      <c r="O42" s="62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30">
        <v>2.0</v>
      </c>
      <c r="BR42" s="30">
        <f t="shared" si="4"/>
        <v>0</v>
      </c>
      <c r="BS42" s="70">
        <f t="shared" si="5"/>
        <v>0</v>
      </c>
      <c r="BT42" s="70">
        <v>1.0</v>
      </c>
    </row>
    <row r="43" ht="15.75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176</v>
      </c>
      <c r="F43" s="56" t="s">
        <v>246</v>
      </c>
      <c r="G43" s="57" t="s">
        <v>154</v>
      </c>
      <c r="H43" s="68">
        <f t="shared" si="3"/>
        <v>0</v>
      </c>
      <c r="I43" s="62" t="s">
        <v>146</v>
      </c>
      <c r="J43" s="62"/>
      <c r="K43" s="71"/>
      <c r="L43" s="57" t="s">
        <v>130</v>
      </c>
      <c r="M43" s="61"/>
      <c r="N43" s="61"/>
      <c r="O43" s="6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30">
        <v>2.0</v>
      </c>
      <c r="BR43" s="30">
        <f t="shared" si="4"/>
        <v>0</v>
      </c>
      <c r="BS43" s="70">
        <f t="shared" si="5"/>
        <v>0</v>
      </c>
      <c r="BT43" s="70">
        <v>1.0</v>
      </c>
    </row>
    <row r="44" ht="15.75" customHeight="1">
      <c r="A44" s="54">
        <v>60.0</v>
      </c>
      <c r="B44" s="56" t="s">
        <v>187</v>
      </c>
      <c r="C44" s="56" t="s">
        <v>165</v>
      </c>
      <c r="D44" s="56" t="s">
        <v>178</v>
      </c>
      <c r="E44" s="56" t="s">
        <v>167</v>
      </c>
      <c r="F44" s="56" t="s">
        <v>246</v>
      </c>
      <c r="G44" s="57" t="s">
        <v>154</v>
      </c>
      <c r="H44" s="68">
        <f t="shared" si="3"/>
        <v>0</v>
      </c>
      <c r="I44" s="62" t="s">
        <v>146</v>
      </c>
      <c r="J44" s="62"/>
      <c r="K44" s="71"/>
      <c r="L44" s="57" t="s">
        <v>130</v>
      </c>
      <c r="M44" s="61"/>
      <c r="N44" s="61"/>
      <c r="O44" s="62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30">
        <v>2.0</v>
      </c>
      <c r="BR44" s="30">
        <f t="shared" si="4"/>
        <v>0</v>
      </c>
      <c r="BS44" s="70">
        <f t="shared" si="5"/>
        <v>0</v>
      </c>
      <c r="BT44" s="70">
        <v>1.0</v>
      </c>
    </row>
    <row r="45" ht="15.75" customHeight="1">
      <c r="A45" s="54">
        <v>80.0</v>
      </c>
      <c r="B45" s="56" t="s">
        <v>188</v>
      </c>
      <c r="C45" s="56" t="s">
        <v>189</v>
      </c>
      <c r="D45" s="56" t="s">
        <v>190</v>
      </c>
      <c r="E45" s="56" t="s">
        <v>191</v>
      </c>
      <c r="F45" s="56" t="s">
        <v>313</v>
      </c>
      <c r="G45" s="57" t="s">
        <v>192</v>
      </c>
      <c r="H45" s="68">
        <f t="shared" si="3"/>
        <v>0</v>
      </c>
      <c r="I45" s="62"/>
      <c r="J45" s="62"/>
      <c r="K45" s="71"/>
      <c r="L45" s="57" t="s">
        <v>130</v>
      </c>
      <c r="M45" s="61"/>
      <c r="N45" s="61"/>
      <c r="O45" s="62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30">
        <v>3.0</v>
      </c>
      <c r="BR45" s="30">
        <f t="shared" si="4"/>
        <v>0</v>
      </c>
      <c r="BS45" s="70">
        <f t="shared" si="5"/>
        <v>0</v>
      </c>
      <c r="BT45" s="70">
        <v>1.0</v>
      </c>
    </row>
    <row r="46" ht="15.75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194</v>
      </c>
      <c r="F46" s="56" t="s">
        <v>321</v>
      </c>
      <c r="G46" s="57" t="s">
        <v>192</v>
      </c>
      <c r="H46" s="68">
        <f t="shared" si="3"/>
        <v>0</v>
      </c>
      <c r="I46" s="62"/>
      <c r="J46" s="62"/>
      <c r="K46" s="71"/>
      <c r="L46" s="57" t="s">
        <v>130</v>
      </c>
      <c r="M46" s="61"/>
      <c r="N46" s="61"/>
      <c r="O46" s="62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30">
        <v>3.0</v>
      </c>
      <c r="BR46" s="30">
        <f t="shared" si="4"/>
        <v>0</v>
      </c>
      <c r="BS46" s="70">
        <f t="shared" si="5"/>
        <v>0</v>
      </c>
      <c r="BT46" s="70">
        <v>1.0</v>
      </c>
    </row>
    <row r="47" ht="15.75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195</v>
      </c>
      <c r="F47" s="56" t="s">
        <v>246</v>
      </c>
      <c r="G47" s="57" t="s">
        <v>154</v>
      </c>
      <c r="H47" s="68">
        <f t="shared" si="3"/>
        <v>0.5</v>
      </c>
      <c r="I47" s="62"/>
      <c r="J47" s="62"/>
      <c r="K47" s="71"/>
      <c r="L47" s="57" t="s">
        <v>115</v>
      </c>
      <c r="M47" s="61"/>
      <c r="N47" s="61" t="s">
        <v>322</v>
      </c>
      <c r="O47" s="62"/>
      <c r="P47" s="53"/>
      <c r="Q47" s="53"/>
      <c r="R47" s="53" t="s">
        <v>323</v>
      </c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30">
        <v>2.0</v>
      </c>
      <c r="BR47" s="30">
        <f t="shared" si="4"/>
        <v>1</v>
      </c>
      <c r="BS47" s="70">
        <f t="shared" si="5"/>
        <v>0</v>
      </c>
      <c r="BT47" s="70">
        <v>1.0</v>
      </c>
    </row>
    <row r="48" ht="15.75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196</v>
      </c>
      <c r="F48" s="56" t="s">
        <v>249</v>
      </c>
      <c r="G48" s="57" t="s">
        <v>250</v>
      </c>
      <c r="H48" s="68">
        <f t="shared" si="3"/>
        <v>0.25</v>
      </c>
      <c r="I48" s="62"/>
      <c r="J48" s="62" t="s">
        <v>201</v>
      </c>
      <c r="K48" s="71"/>
      <c r="L48" s="57" t="s">
        <v>130</v>
      </c>
      <c r="M48" s="61"/>
      <c r="N48" s="61" t="s">
        <v>324</v>
      </c>
      <c r="O48" s="62" t="s">
        <v>201</v>
      </c>
      <c r="P48" s="53"/>
      <c r="Q48" s="53"/>
      <c r="R48" s="53"/>
      <c r="S48" s="53" t="s">
        <v>326</v>
      </c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30">
        <v>4.0</v>
      </c>
      <c r="BR48" s="30">
        <f t="shared" si="4"/>
        <v>1</v>
      </c>
      <c r="BS48" s="70">
        <f t="shared" si="5"/>
        <v>0</v>
      </c>
      <c r="BT48" s="70">
        <v>1.0</v>
      </c>
    </row>
    <row r="49" ht="15.75" customHeight="1">
      <c r="A49" s="54">
        <v>80.0</v>
      </c>
      <c r="B49" s="56" t="s">
        <v>198</v>
      </c>
      <c r="C49" s="56" t="s">
        <v>189</v>
      </c>
      <c r="D49" s="56" t="s">
        <v>199</v>
      </c>
      <c r="E49" s="56" t="s">
        <v>163</v>
      </c>
      <c r="F49" s="56" t="s">
        <v>327</v>
      </c>
      <c r="G49" s="57" t="s">
        <v>154</v>
      </c>
      <c r="H49" s="68">
        <f t="shared" si="3"/>
        <v>0</v>
      </c>
      <c r="I49" s="62" t="s">
        <v>146</v>
      </c>
      <c r="J49" s="62" t="s">
        <v>207</v>
      </c>
      <c r="K49" s="71"/>
      <c r="L49" s="57" t="s">
        <v>115</v>
      </c>
      <c r="M49" s="61"/>
      <c r="N49" s="61"/>
      <c r="O49" s="62" t="s">
        <v>207</v>
      </c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30">
        <v>2.0</v>
      </c>
      <c r="BR49" s="30">
        <f t="shared" si="4"/>
        <v>0</v>
      </c>
      <c r="BS49" s="70">
        <f t="shared" si="5"/>
        <v>0</v>
      </c>
      <c r="BT49" s="70">
        <v>1.0</v>
      </c>
    </row>
    <row r="50" ht="15.75" customHeight="1">
      <c r="A50" s="54">
        <v>80.0</v>
      </c>
      <c r="B50" s="56" t="s">
        <v>203</v>
      </c>
      <c r="C50" s="56" t="s">
        <v>204</v>
      </c>
      <c r="D50" s="56" t="s">
        <v>205</v>
      </c>
      <c r="E50" s="56" t="s">
        <v>208</v>
      </c>
      <c r="F50" s="56" t="s">
        <v>327</v>
      </c>
      <c r="G50" s="57" t="s">
        <v>154</v>
      </c>
      <c r="H50" s="68">
        <f t="shared" si="3"/>
        <v>0</v>
      </c>
      <c r="I50" s="62"/>
      <c r="J50" s="62" t="s">
        <v>207</v>
      </c>
      <c r="K50" s="71"/>
      <c r="L50" s="57" t="s">
        <v>115</v>
      </c>
      <c r="M50" s="61"/>
      <c r="N50" s="61"/>
      <c r="O50" s="62" t="s">
        <v>207</v>
      </c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30">
        <v>2.0</v>
      </c>
      <c r="BR50" s="30">
        <f t="shared" si="4"/>
        <v>0</v>
      </c>
      <c r="BS50" s="70">
        <f t="shared" si="5"/>
        <v>0</v>
      </c>
      <c r="BT50" s="70">
        <v>1.0</v>
      </c>
    </row>
    <row r="51" ht="15.75" customHeight="1">
      <c r="A51" s="54">
        <v>80.0</v>
      </c>
      <c r="B51" s="56" t="s">
        <v>210</v>
      </c>
      <c r="C51" s="56" t="s">
        <v>189</v>
      </c>
      <c r="D51" s="56" t="s">
        <v>212</v>
      </c>
      <c r="E51" s="56" t="s">
        <v>213</v>
      </c>
      <c r="F51" s="56" t="s">
        <v>125</v>
      </c>
      <c r="G51" s="57"/>
      <c r="H51" s="68">
        <f t="shared" si="3"/>
        <v>0</v>
      </c>
      <c r="I51" s="62"/>
      <c r="J51" s="62"/>
      <c r="K51" s="71"/>
      <c r="L51" s="57" t="s">
        <v>115</v>
      </c>
      <c r="M51" s="61"/>
      <c r="N51" s="61"/>
      <c r="O51" s="62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30">
        <v>1.0</v>
      </c>
      <c r="BR51" s="30">
        <f t="shared" si="4"/>
        <v>0</v>
      </c>
      <c r="BS51" s="70">
        <f t="shared" si="5"/>
        <v>0</v>
      </c>
      <c r="BT51" s="70">
        <v>1.0</v>
      </c>
    </row>
    <row r="52" ht="15.75" customHeight="1">
      <c r="A52" s="54">
        <v>80.0</v>
      </c>
      <c r="B52" s="56" t="s">
        <v>214</v>
      </c>
      <c r="C52" s="56" t="s">
        <v>204</v>
      </c>
      <c r="D52" s="56" t="s">
        <v>215</v>
      </c>
      <c r="E52" s="56" t="s">
        <v>216</v>
      </c>
      <c r="F52" s="56" t="s">
        <v>327</v>
      </c>
      <c r="G52" s="57" t="s">
        <v>154</v>
      </c>
      <c r="H52" s="68">
        <f t="shared" si="3"/>
        <v>0</v>
      </c>
      <c r="I52" s="62" t="s">
        <v>146</v>
      </c>
      <c r="J52" s="62" t="s">
        <v>207</v>
      </c>
      <c r="K52" s="71"/>
      <c r="L52" s="57" t="s">
        <v>115</v>
      </c>
      <c r="M52" s="61"/>
      <c r="N52" s="61"/>
      <c r="O52" s="62" t="s">
        <v>207</v>
      </c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30">
        <v>2.0</v>
      </c>
      <c r="BR52" s="30">
        <f t="shared" si="4"/>
        <v>0</v>
      </c>
      <c r="BS52" s="70">
        <f t="shared" si="5"/>
        <v>0</v>
      </c>
      <c r="BT52" s="70">
        <v>1.0</v>
      </c>
    </row>
    <row r="53" ht="15.75" customHeight="1">
      <c r="A53" s="54">
        <v>80.0</v>
      </c>
      <c r="B53" s="56" t="s">
        <v>214</v>
      </c>
      <c r="C53" s="56" t="s">
        <v>204</v>
      </c>
      <c r="D53" s="56" t="s">
        <v>215</v>
      </c>
      <c r="E53" s="56" t="s">
        <v>217</v>
      </c>
      <c r="F53" s="56" t="s">
        <v>327</v>
      </c>
      <c r="G53" s="57" t="s">
        <v>154</v>
      </c>
      <c r="H53" s="68">
        <f t="shared" si="3"/>
        <v>0</v>
      </c>
      <c r="I53" s="62" t="s">
        <v>146</v>
      </c>
      <c r="J53" s="62" t="s">
        <v>207</v>
      </c>
      <c r="K53" s="71"/>
      <c r="L53" s="57" t="s">
        <v>115</v>
      </c>
      <c r="M53" s="61"/>
      <c r="N53" s="61"/>
      <c r="O53" s="62" t="s">
        <v>207</v>
      </c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30">
        <v>2.0</v>
      </c>
      <c r="BR53" s="30">
        <f t="shared" si="4"/>
        <v>0</v>
      </c>
      <c r="BS53" s="70">
        <f t="shared" si="5"/>
        <v>0</v>
      </c>
      <c r="BT53" s="70">
        <v>1.0</v>
      </c>
    </row>
    <row r="54" ht="15.75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163</v>
      </c>
      <c r="F54" s="56" t="s">
        <v>327</v>
      </c>
      <c r="G54" s="57" t="s">
        <v>154</v>
      </c>
      <c r="H54" s="68">
        <f t="shared" si="3"/>
        <v>0</v>
      </c>
      <c r="I54" s="62" t="s">
        <v>146</v>
      </c>
      <c r="J54" s="62" t="s">
        <v>207</v>
      </c>
      <c r="K54" s="71"/>
      <c r="L54" s="57" t="s">
        <v>115</v>
      </c>
      <c r="M54" s="61"/>
      <c r="N54" s="61"/>
      <c r="O54" s="62" t="s">
        <v>207</v>
      </c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8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30">
        <v>2.0</v>
      </c>
      <c r="BR54" s="30">
        <f t="shared" si="4"/>
        <v>0</v>
      </c>
      <c r="BS54" s="70">
        <f t="shared" si="5"/>
        <v>0</v>
      </c>
      <c r="BT54" s="70">
        <v>1.0</v>
      </c>
    </row>
    <row r="55" ht="15.75" customHeight="1">
      <c r="A55" s="54">
        <v>80.0</v>
      </c>
      <c r="B55" s="56" t="s">
        <v>218</v>
      </c>
      <c r="C55" s="56" t="s">
        <v>204</v>
      </c>
      <c r="D55" s="56" t="s">
        <v>219</v>
      </c>
      <c r="E55" s="56" t="s">
        <v>191</v>
      </c>
      <c r="F55" s="56" t="s">
        <v>313</v>
      </c>
      <c r="G55" s="57" t="s">
        <v>192</v>
      </c>
      <c r="H55" s="68">
        <f t="shared" si="3"/>
        <v>0</v>
      </c>
      <c r="I55" s="62"/>
      <c r="J55" s="62"/>
      <c r="K55" s="71"/>
      <c r="L55" s="57" t="s">
        <v>130</v>
      </c>
      <c r="M55" s="61"/>
      <c r="N55" s="61"/>
      <c r="O55" s="62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30">
        <v>3.0</v>
      </c>
      <c r="BR55" s="30">
        <f t="shared" si="4"/>
        <v>0</v>
      </c>
      <c r="BS55" s="70">
        <f t="shared" si="5"/>
        <v>0</v>
      </c>
      <c r="BT55" s="70">
        <v>1.0</v>
      </c>
    </row>
    <row r="56" ht="15.75" customHeight="1">
      <c r="A56" s="54">
        <v>80.0</v>
      </c>
      <c r="B56" s="56" t="s">
        <v>218</v>
      </c>
      <c r="C56" s="56" t="s">
        <v>204</v>
      </c>
      <c r="D56" s="56" t="s">
        <v>219</v>
      </c>
      <c r="E56" s="56" t="s">
        <v>194</v>
      </c>
      <c r="F56" s="56" t="s">
        <v>321</v>
      </c>
      <c r="G56" s="57" t="s">
        <v>192</v>
      </c>
      <c r="H56" s="68">
        <f t="shared" si="3"/>
        <v>0</v>
      </c>
      <c r="I56" s="62"/>
      <c r="J56" s="62"/>
      <c r="K56" s="71"/>
      <c r="L56" s="57" t="s">
        <v>130</v>
      </c>
      <c r="M56" s="61"/>
      <c r="N56" s="61"/>
      <c r="O56" s="62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30">
        <v>3.0</v>
      </c>
      <c r="BR56" s="30">
        <f t="shared" si="4"/>
        <v>0</v>
      </c>
      <c r="BS56" s="70">
        <f t="shared" si="5"/>
        <v>0</v>
      </c>
      <c r="BT56" s="70">
        <v>1.0</v>
      </c>
    </row>
    <row r="57" ht="15.75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195</v>
      </c>
      <c r="F57" s="56" t="s">
        <v>246</v>
      </c>
      <c r="G57" s="57" t="s">
        <v>154</v>
      </c>
      <c r="H57" s="68">
        <f t="shared" si="3"/>
        <v>0.5</v>
      </c>
      <c r="I57" s="62"/>
      <c r="J57" s="62"/>
      <c r="K57" s="71"/>
      <c r="L57" s="57" t="s">
        <v>115</v>
      </c>
      <c r="M57" s="61"/>
      <c r="N57" s="61" t="s">
        <v>322</v>
      </c>
      <c r="O57" s="62"/>
      <c r="P57" s="53"/>
      <c r="Q57" s="53"/>
      <c r="R57" s="53" t="s">
        <v>323</v>
      </c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30">
        <v>2.0</v>
      </c>
      <c r="BR57" s="30">
        <f t="shared" si="4"/>
        <v>1</v>
      </c>
      <c r="BS57" s="70">
        <f t="shared" si="5"/>
        <v>0</v>
      </c>
      <c r="BT57" s="70">
        <v>1.0</v>
      </c>
    </row>
    <row r="58" ht="15.75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196</v>
      </c>
      <c r="F58" s="56" t="s">
        <v>249</v>
      </c>
      <c r="G58" s="57" t="s">
        <v>250</v>
      </c>
      <c r="H58" s="68">
        <f t="shared" si="3"/>
        <v>0.25</v>
      </c>
      <c r="I58" s="62"/>
      <c r="J58" s="62" t="s">
        <v>201</v>
      </c>
      <c r="K58" s="71"/>
      <c r="L58" s="57" t="s">
        <v>130</v>
      </c>
      <c r="M58" s="61"/>
      <c r="N58" s="61" t="s">
        <v>324</v>
      </c>
      <c r="O58" s="62" t="s">
        <v>201</v>
      </c>
      <c r="P58" s="53"/>
      <c r="Q58" s="53"/>
      <c r="R58" s="53"/>
      <c r="S58" s="53" t="s">
        <v>326</v>
      </c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85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30">
        <v>4.0</v>
      </c>
      <c r="BR58" s="30">
        <f t="shared" si="4"/>
        <v>1</v>
      </c>
      <c r="BS58" s="70">
        <f t="shared" si="5"/>
        <v>0</v>
      </c>
      <c r="BT58" s="70">
        <v>1.0</v>
      </c>
    </row>
    <row r="59" ht="15.75" customHeight="1">
      <c r="A59" s="54">
        <v>80.0</v>
      </c>
      <c r="B59" s="56" t="s">
        <v>220</v>
      </c>
      <c r="C59" s="56" t="s">
        <v>204</v>
      </c>
      <c r="D59" s="56" t="s">
        <v>221</v>
      </c>
      <c r="E59" s="56" t="s">
        <v>222</v>
      </c>
      <c r="F59" s="56" t="s">
        <v>246</v>
      </c>
      <c r="G59" s="57" t="s">
        <v>154</v>
      </c>
      <c r="H59" s="68">
        <f t="shared" si="3"/>
        <v>0</v>
      </c>
      <c r="I59" s="62"/>
      <c r="J59" s="62"/>
      <c r="K59" s="71"/>
      <c r="L59" s="57" t="s">
        <v>130</v>
      </c>
      <c r="M59" s="61"/>
      <c r="N59" s="61"/>
      <c r="O59" s="62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8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30">
        <v>2.0</v>
      </c>
      <c r="BR59" s="30">
        <f t="shared" si="4"/>
        <v>0</v>
      </c>
      <c r="BS59" s="70">
        <f t="shared" si="5"/>
        <v>0</v>
      </c>
      <c r="BT59" s="70">
        <v>1.0</v>
      </c>
    </row>
    <row r="60" ht="15.75" customHeight="1">
      <c r="A60" s="54">
        <v>80.0</v>
      </c>
      <c r="B60" s="56" t="s">
        <v>223</v>
      </c>
      <c r="C60" s="56" t="s">
        <v>204</v>
      </c>
      <c r="D60" s="56" t="s">
        <v>224</v>
      </c>
      <c r="E60" s="56" t="s">
        <v>225</v>
      </c>
      <c r="F60" s="56" t="s">
        <v>168</v>
      </c>
      <c r="G60" s="57" t="s">
        <v>34</v>
      </c>
      <c r="H60" s="68">
        <f t="shared" si="3"/>
        <v>0</v>
      </c>
      <c r="I60" s="62"/>
      <c r="J60" s="62"/>
      <c r="K60" s="71"/>
      <c r="L60" s="57" t="s">
        <v>130</v>
      </c>
      <c r="M60" s="61"/>
      <c r="N60" s="61"/>
      <c r="O60" s="62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30">
        <v>1.0</v>
      </c>
      <c r="BR60" s="30">
        <f t="shared" si="4"/>
        <v>0</v>
      </c>
      <c r="BS60" s="70">
        <f t="shared" si="5"/>
        <v>0</v>
      </c>
      <c r="BT60" s="70">
        <v>1.0</v>
      </c>
    </row>
    <row r="61" ht="15.75" customHeight="1">
      <c r="A61" s="54">
        <v>80.0</v>
      </c>
      <c r="B61" s="56" t="s">
        <v>223</v>
      </c>
      <c r="C61" s="56" t="s">
        <v>204</v>
      </c>
      <c r="D61" s="56" t="s">
        <v>224</v>
      </c>
      <c r="E61" s="56" t="s">
        <v>167</v>
      </c>
      <c r="F61" s="56" t="s">
        <v>246</v>
      </c>
      <c r="G61" s="57" t="s">
        <v>154</v>
      </c>
      <c r="H61" s="68">
        <f t="shared" si="3"/>
        <v>0</v>
      </c>
      <c r="I61" s="62"/>
      <c r="J61" s="62"/>
      <c r="K61" s="71"/>
      <c r="L61" s="57" t="s">
        <v>115</v>
      </c>
      <c r="M61" s="61"/>
      <c r="N61" s="61"/>
      <c r="O61" s="62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30">
        <v>2.0</v>
      </c>
      <c r="BR61" s="30">
        <f t="shared" si="4"/>
        <v>0</v>
      </c>
      <c r="BS61" s="70">
        <f t="shared" si="5"/>
        <v>0</v>
      </c>
      <c r="BT61" s="70">
        <v>1.0</v>
      </c>
    </row>
    <row r="62" ht="15.75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226</v>
      </c>
      <c r="F62" s="56" t="s">
        <v>246</v>
      </c>
      <c r="G62" s="57" t="s">
        <v>154</v>
      </c>
      <c r="H62" s="68">
        <f t="shared" si="3"/>
        <v>0</v>
      </c>
      <c r="I62" s="62"/>
      <c r="J62" s="62"/>
      <c r="K62" s="71"/>
      <c r="L62" s="57" t="s">
        <v>115</v>
      </c>
      <c r="M62" s="61"/>
      <c r="N62" s="61"/>
      <c r="O62" s="62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30">
        <v>2.0</v>
      </c>
      <c r="BR62" s="30">
        <f t="shared" si="4"/>
        <v>0</v>
      </c>
      <c r="BS62" s="70">
        <f t="shared" si="5"/>
        <v>0</v>
      </c>
      <c r="BT62" s="70">
        <v>1.0</v>
      </c>
    </row>
    <row r="63" ht="15.75" customHeight="1">
      <c r="A63" s="54">
        <v>80.0</v>
      </c>
      <c r="B63" s="56" t="s">
        <v>227</v>
      </c>
      <c r="C63" s="56" t="s">
        <v>228</v>
      </c>
      <c r="D63" s="56" t="s">
        <v>229</v>
      </c>
      <c r="E63" s="56" t="s">
        <v>230</v>
      </c>
      <c r="F63" s="56" t="s">
        <v>246</v>
      </c>
      <c r="G63" s="57" t="s">
        <v>154</v>
      </c>
      <c r="H63" s="68">
        <f t="shared" si="3"/>
        <v>0</v>
      </c>
      <c r="I63" s="62" t="s">
        <v>146</v>
      </c>
      <c r="J63" s="62"/>
      <c r="K63" s="71"/>
      <c r="L63" s="57" t="s">
        <v>115</v>
      </c>
      <c r="M63" s="61"/>
      <c r="N63" s="61"/>
      <c r="O63" s="62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75"/>
      <c r="BQ63" s="30">
        <v>2.0</v>
      </c>
      <c r="BR63" s="30">
        <f t="shared" si="4"/>
        <v>0</v>
      </c>
      <c r="BS63" s="70">
        <f t="shared" si="5"/>
        <v>0</v>
      </c>
      <c r="BT63" s="70">
        <v>1.0</v>
      </c>
    </row>
    <row r="64" ht="15.75" customHeight="1">
      <c r="A64" s="54">
        <v>80.0</v>
      </c>
      <c r="B64" s="56" t="s">
        <v>227</v>
      </c>
      <c r="C64" s="56" t="s">
        <v>228</v>
      </c>
      <c r="D64" s="56" t="s">
        <v>231</v>
      </c>
      <c r="E64" s="56" t="s">
        <v>232</v>
      </c>
      <c r="F64" s="56" t="s">
        <v>249</v>
      </c>
      <c r="G64" s="57" t="s">
        <v>250</v>
      </c>
      <c r="H64" s="68">
        <f t="shared" si="3"/>
        <v>0.25</v>
      </c>
      <c r="I64" s="62"/>
      <c r="J64" s="62"/>
      <c r="K64" s="71"/>
      <c r="L64" s="57" t="s">
        <v>115</v>
      </c>
      <c r="M64" s="61"/>
      <c r="N64" s="61" t="s">
        <v>324</v>
      </c>
      <c r="O64" s="62" t="s">
        <v>240</v>
      </c>
      <c r="P64" s="53"/>
      <c r="Q64" s="53"/>
      <c r="R64" s="53"/>
      <c r="S64" s="53" t="s">
        <v>326</v>
      </c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30">
        <v>4.0</v>
      </c>
      <c r="BR64" s="30">
        <f t="shared" si="4"/>
        <v>1</v>
      </c>
      <c r="BS64" s="70">
        <f t="shared" si="5"/>
        <v>0</v>
      </c>
      <c r="BT64" s="70">
        <v>1.0</v>
      </c>
    </row>
    <row r="65" ht="15.75" customHeight="1">
      <c r="A65" s="54">
        <v>90.0</v>
      </c>
      <c r="B65" s="56" t="s">
        <v>298</v>
      </c>
      <c r="C65" s="56" t="s">
        <v>278</v>
      </c>
      <c r="D65" s="56" t="s">
        <v>299</v>
      </c>
      <c r="E65" s="56" t="s">
        <v>167</v>
      </c>
      <c r="F65" s="56" t="s">
        <v>15</v>
      </c>
      <c r="G65" s="57" t="s">
        <v>15</v>
      </c>
      <c r="H65" s="68">
        <f t="shared" si="3"/>
        <v>0.2115384615</v>
      </c>
      <c r="I65" s="62"/>
      <c r="J65" s="62"/>
      <c r="K65" s="71"/>
      <c r="L65" s="57" t="s">
        <v>115</v>
      </c>
      <c r="M65" s="61"/>
      <c r="N65" s="61"/>
      <c r="O65" s="62"/>
      <c r="P65" s="53" t="s">
        <v>131</v>
      </c>
      <c r="Q65" s="53" t="s">
        <v>131</v>
      </c>
      <c r="R65" s="53" t="s">
        <v>131</v>
      </c>
      <c r="S65" s="53" t="s">
        <v>131</v>
      </c>
      <c r="T65" s="53" t="s">
        <v>131</v>
      </c>
      <c r="U65" s="53" t="s">
        <v>131</v>
      </c>
      <c r="V65" s="53" t="s">
        <v>131</v>
      </c>
      <c r="W65" s="53" t="s">
        <v>131</v>
      </c>
      <c r="X65" s="53" t="s">
        <v>131</v>
      </c>
      <c r="Y65" s="53" t="s">
        <v>131</v>
      </c>
      <c r="Z65" s="53" t="s">
        <v>131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30">
        <v>52.0</v>
      </c>
      <c r="BR65" s="30">
        <f t="shared" si="4"/>
        <v>11</v>
      </c>
      <c r="BS65" s="70">
        <f t="shared" si="5"/>
        <v>0</v>
      </c>
      <c r="BT65" s="70">
        <v>1.0</v>
      </c>
    </row>
    <row r="66" ht="15.75" customHeight="1">
      <c r="A66" s="54">
        <v>90.0</v>
      </c>
      <c r="B66" s="56" t="s">
        <v>236</v>
      </c>
      <c r="C66" s="56" t="s">
        <v>237</v>
      </c>
      <c r="D66" s="56" t="s">
        <v>238</v>
      </c>
      <c r="E66" s="56" t="s">
        <v>239</v>
      </c>
      <c r="F66" s="56" t="s">
        <v>193</v>
      </c>
      <c r="G66" s="57" t="s">
        <v>34</v>
      </c>
      <c r="H66" s="68">
        <f t="shared" si="3"/>
        <v>0</v>
      </c>
      <c r="I66" s="62" t="s">
        <v>146</v>
      </c>
      <c r="J66" s="62" t="s">
        <v>245</v>
      </c>
      <c r="K66" s="71"/>
      <c r="L66" s="57" t="s">
        <v>115</v>
      </c>
      <c r="M66" s="61"/>
      <c r="N66" s="61"/>
      <c r="O66" s="62" t="s">
        <v>245</v>
      </c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30">
        <v>1.0</v>
      </c>
      <c r="BR66" s="30">
        <f t="shared" si="4"/>
        <v>0</v>
      </c>
      <c r="BS66" s="70">
        <f t="shared" si="5"/>
        <v>0</v>
      </c>
      <c r="BT66" s="70">
        <v>1.0</v>
      </c>
    </row>
    <row r="67" ht="15.75" customHeight="1">
      <c r="A67" s="54">
        <v>90.0</v>
      </c>
      <c r="B67" s="56" t="s">
        <v>236</v>
      </c>
      <c r="C67" s="56" t="s">
        <v>237</v>
      </c>
      <c r="D67" s="56" t="s">
        <v>238</v>
      </c>
      <c r="E67" s="56" t="s">
        <v>241</v>
      </c>
      <c r="F67" s="56" t="s">
        <v>193</v>
      </c>
      <c r="G67" s="57" t="s">
        <v>34</v>
      </c>
      <c r="H67" s="68">
        <f t="shared" si="3"/>
        <v>0</v>
      </c>
      <c r="I67" s="62" t="s">
        <v>146</v>
      </c>
      <c r="J67" s="62" t="s">
        <v>245</v>
      </c>
      <c r="K67" s="71"/>
      <c r="L67" s="57" t="s">
        <v>115</v>
      </c>
      <c r="M67" s="61"/>
      <c r="N67" s="61"/>
      <c r="O67" s="62" t="s">
        <v>245</v>
      </c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75"/>
      <c r="BQ67" s="30">
        <v>1.0</v>
      </c>
      <c r="BR67" s="30">
        <f t="shared" si="4"/>
        <v>0</v>
      </c>
      <c r="BS67" s="70">
        <f t="shared" si="5"/>
        <v>0</v>
      </c>
      <c r="BT67" s="70">
        <v>1.0</v>
      </c>
    </row>
    <row r="68" ht="15.75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242</v>
      </c>
      <c r="F68" s="56" t="s">
        <v>379</v>
      </c>
      <c r="G68" s="57" t="s">
        <v>34</v>
      </c>
      <c r="H68" s="68">
        <f t="shared" si="3"/>
        <v>0</v>
      </c>
      <c r="I68" s="62"/>
      <c r="J68" s="62" t="s">
        <v>245</v>
      </c>
      <c r="K68" s="71"/>
      <c r="L68" s="57" t="s">
        <v>115</v>
      </c>
      <c r="M68" s="61"/>
      <c r="N68" s="61"/>
      <c r="O68" s="62" t="s">
        <v>245</v>
      </c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75"/>
      <c r="BQ68" s="30">
        <v>1.0</v>
      </c>
      <c r="BR68" s="30">
        <f t="shared" si="4"/>
        <v>0</v>
      </c>
      <c r="BS68" s="70">
        <f t="shared" si="5"/>
        <v>0</v>
      </c>
      <c r="BT68" s="70">
        <v>1.0</v>
      </c>
    </row>
    <row r="69" ht="15.75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244</v>
      </c>
      <c r="F69" s="56" t="s">
        <v>384</v>
      </c>
      <c r="G69" s="57" t="s">
        <v>34</v>
      </c>
      <c r="H69" s="68">
        <f t="shared" si="3"/>
        <v>0</v>
      </c>
      <c r="I69" s="62"/>
      <c r="J69" s="62" t="s">
        <v>245</v>
      </c>
      <c r="K69" s="71"/>
      <c r="L69" s="57" t="s">
        <v>115</v>
      </c>
      <c r="M69" s="61"/>
      <c r="N69" s="61"/>
      <c r="O69" s="62" t="s">
        <v>245</v>
      </c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30">
        <v>1.0</v>
      </c>
      <c r="BR69" s="30">
        <f t="shared" si="4"/>
        <v>0</v>
      </c>
      <c r="BS69" s="70">
        <f t="shared" si="5"/>
        <v>0</v>
      </c>
      <c r="BT69" s="70">
        <v>1.0</v>
      </c>
    </row>
    <row r="70" ht="15.75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247</v>
      </c>
      <c r="F70" s="56" t="s">
        <v>387</v>
      </c>
      <c r="G70" s="57" t="s">
        <v>34</v>
      </c>
      <c r="H70" s="68">
        <f t="shared" si="3"/>
        <v>0</v>
      </c>
      <c r="I70" s="62"/>
      <c r="J70" s="62" t="s">
        <v>245</v>
      </c>
      <c r="K70" s="71"/>
      <c r="L70" s="57" t="s">
        <v>115</v>
      </c>
      <c r="M70" s="61"/>
      <c r="N70" s="61"/>
      <c r="O70" s="62" t="s">
        <v>245</v>
      </c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30">
        <v>1.0</v>
      </c>
      <c r="BR70" s="30">
        <f t="shared" si="4"/>
        <v>0</v>
      </c>
      <c r="BS70" s="70">
        <f t="shared" si="5"/>
        <v>0</v>
      </c>
      <c r="BT70" s="70">
        <v>1.0</v>
      </c>
    </row>
    <row r="71" ht="15.75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248</v>
      </c>
      <c r="F71" s="56" t="s">
        <v>193</v>
      </c>
      <c r="G71" s="57" t="s">
        <v>34</v>
      </c>
      <c r="H71" s="68">
        <f t="shared" si="3"/>
        <v>0</v>
      </c>
      <c r="I71" s="62"/>
      <c r="J71" s="62"/>
      <c r="K71" s="71"/>
      <c r="L71" s="57" t="s">
        <v>115</v>
      </c>
      <c r="M71" s="61"/>
      <c r="N71" s="61"/>
      <c r="O71" s="62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30">
        <v>1.0</v>
      </c>
      <c r="BR71" s="30">
        <f t="shared" si="4"/>
        <v>0</v>
      </c>
      <c r="BS71" s="70">
        <f t="shared" si="5"/>
        <v>0</v>
      </c>
      <c r="BT71" s="70">
        <v>1.0</v>
      </c>
    </row>
    <row r="72" ht="15.75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252</v>
      </c>
      <c r="F72" s="56" t="s">
        <v>384</v>
      </c>
      <c r="G72" s="57" t="s">
        <v>34</v>
      </c>
      <c r="H72" s="68">
        <f t="shared" si="3"/>
        <v>0</v>
      </c>
      <c r="I72" s="62" t="s">
        <v>146</v>
      </c>
      <c r="J72" s="62" t="s">
        <v>245</v>
      </c>
      <c r="K72" s="71"/>
      <c r="L72" s="57" t="s">
        <v>115</v>
      </c>
      <c r="M72" s="61"/>
      <c r="N72" s="61"/>
      <c r="O72" s="62" t="s">
        <v>245</v>
      </c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75"/>
      <c r="BQ72" s="30">
        <v>1.0</v>
      </c>
      <c r="BR72" s="30">
        <f t="shared" si="4"/>
        <v>0</v>
      </c>
      <c r="BS72" s="70">
        <f t="shared" si="5"/>
        <v>0</v>
      </c>
      <c r="BT72" s="70">
        <v>1.0</v>
      </c>
    </row>
    <row r="73" ht="15.75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308</v>
      </c>
      <c r="F73" s="56" t="s">
        <v>15</v>
      </c>
      <c r="G73" s="57" t="s">
        <v>15</v>
      </c>
      <c r="H73" s="68">
        <f t="shared" si="3"/>
        <v>0.2115384615</v>
      </c>
      <c r="I73" s="62"/>
      <c r="J73" s="62"/>
      <c r="K73" s="71"/>
      <c r="L73" s="57" t="s">
        <v>115</v>
      </c>
      <c r="M73" s="61"/>
      <c r="N73" s="61"/>
      <c r="O73" s="62"/>
      <c r="P73" s="53" t="s">
        <v>420</v>
      </c>
      <c r="Q73" s="53" t="s">
        <v>420</v>
      </c>
      <c r="R73" s="53" t="s">
        <v>420</v>
      </c>
      <c r="S73" s="53" t="s">
        <v>420</v>
      </c>
      <c r="T73" s="53" t="s">
        <v>420</v>
      </c>
      <c r="U73" s="53" t="s">
        <v>420</v>
      </c>
      <c r="V73" s="53" t="s">
        <v>420</v>
      </c>
      <c r="W73" s="53" t="s">
        <v>420</v>
      </c>
      <c r="X73" s="53" t="s">
        <v>420</v>
      </c>
      <c r="Y73" s="53" t="s">
        <v>420</v>
      </c>
      <c r="Z73" s="53" t="s">
        <v>420</v>
      </c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30">
        <v>52.0</v>
      </c>
      <c r="BR73" s="30">
        <f t="shared" si="4"/>
        <v>11</v>
      </c>
      <c r="BS73" s="70">
        <f t="shared" si="5"/>
        <v>0</v>
      </c>
      <c r="BT73" s="70">
        <v>1.0</v>
      </c>
    </row>
    <row r="74" ht="15.75" customHeight="1">
      <c r="A74" s="54">
        <v>90.0</v>
      </c>
      <c r="B74" s="56" t="s">
        <v>236</v>
      </c>
      <c r="C74" s="56" t="s">
        <v>237</v>
      </c>
      <c r="D74" s="56" t="s">
        <v>238</v>
      </c>
      <c r="E74" s="56" t="s">
        <v>311</v>
      </c>
      <c r="F74" s="56" t="s">
        <v>15</v>
      </c>
      <c r="G74" s="57" t="s">
        <v>15</v>
      </c>
      <c r="H74" s="68">
        <f t="shared" si="3"/>
        <v>0.2115384615</v>
      </c>
      <c r="I74" s="62"/>
      <c r="J74" s="62"/>
      <c r="K74" s="71"/>
      <c r="L74" s="57" t="s">
        <v>115</v>
      </c>
      <c r="M74" s="61"/>
      <c r="N74" s="61"/>
      <c r="O74" s="62"/>
      <c r="P74" s="53" t="s">
        <v>420</v>
      </c>
      <c r="Q74" s="53" t="s">
        <v>420</v>
      </c>
      <c r="R74" s="53" t="s">
        <v>420</v>
      </c>
      <c r="S74" s="53" t="s">
        <v>420</v>
      </c>
      <c r="T74" s="53" t="s">
        <v>420</v>
      </c>
      <c r="U74" s="53" t="s">
        <v>420</v>
      </c>
      <c r="V74" s="53" t="s">
        <v>420</v>
      </c>
      <c r="W74" s="53" t="s">
        <v>420</v>
      </c>
      <c r="X74" s="53" t="s">
        <v>420</v>
      </c>
      <c r="Y74" s="53" t="s">
        <v>420</v>
      </c>
      <c r="Z74" s="53" t="s">
        <v>420</v>
      </c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30">
        <v>52.0</v>
      </c>
      <c r="BR74" s="30">
        <f t="shared" si="4"/>
        <v>11</v>
      </c>
      <c r="BS74" s="70">
        <f t="shared" si="5"/>
        <v>0</v>
      </c>
      <c r="BT74" s="70">
        <v>1.0</v>
      </c>
    </row>
    <row r="75" ht="15.75" customHeight="1">
      <c r="A75" s="54">
        <v>90.0</v>
      </c>
      <c r="B75" s="56" t="s">
        <v>236</v>
      </c>
      <c r="C75" s="56" t="s">
        <v>237</v>
      </c>
      <c r="D75" s="56" t="s">
        <v>238</v>
      </c>
      <c r="E75" s="56" t="s">
        <v>312</v>
      </c>
      <c r="F75" s="56" t="s">
        <v>15</v>
      </c>
      <c r="G75" s="57" t="s">
        <v>15</v>
      </c>
      <c r="H75" s="68">
        <f t="shared" si="3"/>
        <v>0.2115384615</v>
      </c>
      <c r="I75" s="62"/>
      <c r="J75" s="62"/>
      <c r="K75" s="71"/>
      <c r="L75" s="57" t="s">
        <v>115</v>
      </c>
      <c r="M75" s="61"/>
      <c r="N75" s="61"/>
      <c r="O75" s="62"/>
      <c r="P75" s="53" t="s">
        <v>420</v>
      </c>
      <c r="Q75" s="53" t="s">
        <v>420</v>
      </c>
      <c r="R75" s="53" t="s">
        <v>420</v>
      </c>
      <c r="S75" s="53" t="s">
        <v>420</v>
      </c>
      <c r="T75" s="53" t="s">
        <v>420</v>
      </c>
      <c r="U75" s="53" t="s">
        <v>420</v>
      </c>
      <c r="V75" s="53" t="s">
        <v>420</v>
      </c>
      <c r="W75" s="53" t="s">
        <v>420</v>
      </c>
      <c r="X75" s="53" t="s">
        <v>420</v>
      </c>
      <c r="Y75" s="53" t="s">
        <v>420</v>
      </c>
      <c r="Z75" s="53" t="s">
        <v>420</v>
      </c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30">
        <v>52.0</v>
      </c>
      <c r="BR75" s="30">
        <f t="shared" si="4"/>
        <v>11</v>
      </c>
      <c r="BS75" s="70">
        <f t="shared" si="5"/>
        <v>0</v>
      </c>
      <c r="BT75" s="70">
        <v>1.0</v>
      </c>
    </row>
    <row r="76" ht="15.75" customHeight="1">
      <c r="A76" s="54">
        <v>90.0</v>
      </c>
      <c r="B76" s="56" t="s">
        <v>337</v>
      </c>
      <c r="C76" s="56" t="s">
        <v>237</v>
      </c>
      <c r="D76" s="56" t="s">
        <v>338</v>
      </c>
      <c r="E76" s="56" t="s">
        <v>111</v>
      </c>
      <c r="F76" s="56" t="s">
        <v>15</v>
      </c>
      <c r="G76" s="57" t="s">
        <v>15</v>
      </c>
      <c r="H76" s="68">
        <f t="shared" si="3"/>
        <v>0.2115384615</v>
      </c>
      <c r="I76" s="62" t="s">
        <v>146</v>
      </c>
      <c r="J76" s="62"/>
      <c r="K76" s="71"/>
      <c r="L76" s="57" t="s">
        <v>130</v>
      </c>
      <c r="M76" s="61"/>
      <c r="N76" s="61"/>
      <c r="O76" s="62"/>
      <c r="P76" s="53" t="s">
        <v>131</v>
      </c>
      <c r="Q76" s="53" t="s">
        <v>131</v>
      </c>
      <c r="R76" s="53" t="s">
        <v>131</v>
      </c>
      <c r="S76" s="53" t="s">
        <v>131</v>
      </c>
      <c r="T76" s="53" t="s">
        <v>131</v>
      </c>
      <c r="U76" s="53" t="s">
        <v>131</v>
      </c>
      <c r="V76" s="53" t="s">
        <v>131</v>
      </c>
      <c r="W76" s="53" t="s">
        <v>131</v>
      </c>
      <c r="X76" s="53" t="s">
        <v>131</v>
      </c>
      <c r="Y76" s="53" t="s">
        <v>131</v>
      </c>
      <c r="Z76" s="53" t="s">
        <v>131</v>
      </c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30">
        <v>52.0</v>
      </c>
      <c r="BR76" s="30">
        <f t="shared" si="4"/>
        <v>11</v>
      </c>
      <c r="BS76" s="70">
        <f t="shared" si="5"/>
        <v>0</v>
      </c>
      <c r="BT76" s="70">
        <v>1.0</v>
      </c>
    </row>
    <row r="77" ht="15.75" customHeight="1">
      <c r="A77" s="54">
        <v>90.0</v>
      </c>
      <c r="B77" s="56" t="s">
        <v>348</v>
      </c>
      <c r="C77" s="56" t="s">
        <v>237</v>
      </c>
      <c r="D77" s="56" t="s">
        <v>349</v>
      </c>
      <c r="E77" s="56" t="s">
        <v>111</v>
      </c>
      <c r="F77" s="56" t="s">
        <v>15</v>
      </c>
      <c r="G77" s="57" t="s">
        <v>15</v>
      </c>
      <c r="H77" s="68">
        <f t="shared" si="3"/>
        <v>0.2115384615</v>
      </c>
      <c r="I77" s="62" t="s">
        <v>146</v>
      </c>
      <c r="J77" s="62"/>
      <c r="K77" s="71"/>
      <c r="L77" s="57" t="s">
        <v>130</v>
      </c>
      <c r="M77" s="61"/>
      <c r="N77" s="61"/>
      <c r="O77" s="62"/>
      <c r="P77" s="53" t="s">
        <v>131</v>
      </c>
      <c r="Q77" s="53" t="s">
        <v>131</v>
      </c>
      <c r="R77" s="53" t="s">
        <v>131</v>
      </c>
      <c r="S77" s="53" t="s">
        <v>131</v>
      </c>
      <c r="T77" s="53" t="s">
        <v>131</v>
      </c>
      <c r="U77" s="53" t="s">
        <v>131</v>
      </c>
      <c r="V77" s="53" t="s">
        <v>131</v>
      </c>
      <c r="W77" s="53" t="s">
        <v>131</v>
      </c>
      <c r="X77" s="53" t="s">
        <v>131</v>
      </c>
      <c r="Y77" s="53" t="s">
        <v>131</v>
      </c>
      <c r="Z77" s="53" t="s">
        <v>131</v>
      </c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30">
        <v>52.0</v>
      </c>
      <c r="BR77" s="30">
        <f t="shared" si="4"/>
        <v>11</v>
      </c>
      <c r="BS77" s="70">
        <f t="shared" si="5"/>
        <v>0</v>
      </c>
      <c r="BT77" s="70">
        <v>1.0</v>
      </c>
    </row>
    <row r="78" ht="15.75" customHeight="1">
      <c r="A78" s="54">
        <v>90.0</v>
      </c>
      <c r="B78" s="56" t="s">
        <v>265</v>
      </c>
      <c r="C78" s="56" t="s">
        <v>237</v>
      </c>
      <c r="D78" s="56" t="s">
        <v>266</v>
      </c>
      <c r="E78" s="56" t="s">
        <v>267</v>
      </c>
      <c r="F78" s="56" t="s">
        <v>313</v>
      </c>
      <c r="G78" s="57" t="s">
        <v>192</v>
      </c>
      <c r="H78" s="68">
        <f t="shared" si="3"/>
        <v>0</v>
      </c>
      <c r="I78" s="62" t="s">
        <v>146</v>
      </c>
      <c r="J78" s="62" t="s">
        <v>245</v>
      </c>
      <c r="K78" s="71"/>
      <c r="L78" s="57" t="s">
        <v>115</v>
      </c>
      <c r="M78" s="61"/>
      <c r="N78" s="61"/>
      <c r="O78" s="62" t="s">
        <v>245</v>
      </c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30">
        <v>3.0</v>
      </c>
      <c r="BR78" s="30">
        <f t="shared" si="4"/>
        <v>0</v>
      </c>
      <c r="BS78" s="70">
        <f t="shared" si="5"/>
        <v>0</v>
      </c>
      <c r="BT78" s="70">
        <v>1.0</v>
      </c>
    </row>
    <row r="79" ht="15.75" customHeight="1">
      <c r="A79" s="54">
        <v>90.0</v>
      </c>
      <c r="B79" s="56" t="s">
        <v>265</v>
      </c>
      <c r="C79" s="56" t="s">
        <v>237</v>
      </c>
      <c r="D79" s="56" t="s">
        <v>266</v>
      </c>
      <c r="E79" s="56" t="s">
        <v>268</v>
      </c>
      <c r="F79" s="56" t="s">
        <v>193</v>
      </c>
      <c r="G79" s="57" t="s">
        <v>34</v>
      </c>
      <c r="H79" s="68">
        <f t="shared" si="3"/>
        <v>0</v>
      </c>
      <c r="I79" s="62" t="s">
        <v>146</v>
      </c>
      <c r="J79" s="62" t="s">
        <v>245</v>
      </c>
      <c r="K79" s="71"/>
      <c r="L79" s="57" t="s">
        <v>115</v>
      </c>
      <c r="M79" s="61"/>
      <c r="N79" s="61"/>
      <c r="O79" s="62" t="s">
        <v>245</v>
      </c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30">
        <v>1.0</v>
      </c>
      <c r="BR79" s="30">
        <f t="shared" si="4"/>
        <v>0</v>
      </c>
      <c r="BS79" s="70">
        <f t="shared" si="5"/>
        <v>0</v>
      </c>
      <c r="BT79" s="70">
        <v>1.0</v>
      </c>
    </row>
    <row r="80" ht="15.75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111</v>
      </c>
      <c r="F80" s="56" t="s">
        <v>15</v>
      </c>
      <c r="G80" s="57" t="s">
        <v>15</v>
      </c>
      <c r="H80" s="68">
        <f t="shared" si="3"/>
        <v>0.2115384615</v>
      </c>
      <c r="I80" s="62"/>
      <c r="J80" s="62" t="s">
        <v>283</v>
      </c>
      <c r="K80" s="71"/>
      <c r="L80" s="57" t="s">
        <v>115</v>
      </c>
      <c r="M80" s="61"/>
      <c r="N80" s="61"/>
      <c r="O80" s="62" t="s">
        <v>283</v>
      </c>
      <c r="P80" s="53" t="s">
        <v>131</v>
      </c>
      <c r="Q80" s="53" t="s">
        <v>131</v>
      </c>
      <c r="R80" s="53" t="s">
        <v>131</v>
      </c>
      <c r="S80" s="53" t="s">
        <v>131</v>
      </c>
      <c r="T80" s="53" t="s">
        <v>131</v>
      </c>
      <c r="U80" s="53" t="s">
        <v>131</v>
      </c>
      <c r="V80" s="53" t="s">
        <v>131</v>
      </c>
      <c r="W80" s="53" t="s">
        <v>131</v>
      </c>
      <c r="X80" s="53" t="s">
        <v>131</v>
      </c>
      <c r="Y80" s="53" t="s">
        <v>131</v>
      </c>
      <c r="Z80" s="53" t="s">
        <v>131</v>
      </c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75"/>
      <c r="BQ80" s="30">
        <v>52.0</v>
      </c>
      <c r="BR80" s="30">
        <f t="shared" si="4"/>
        <v>11</v>
      </c>
      <c r="BS80" s="70">
        <f t="shared" si="5"/>
        <v>0</v>
      </c>
      <c r="BT80" s="70">
        <v>1.0</v>
      </c>
    </row>
    <row r="81" ht="15.75" customHeight="1">
      <c r="A81" s="54">
        <v>90.0</v>
      </c>
      <c r="B81" s="56" t="s">
        <v>274</v>
      </c>
      <c r="C81" s="56" t="s">
        <v>237</v>
      </c>
      <c r="D81" s="56" t="s">
        <v>275</v>
      </c>
      <c r="E81" s="56" t="s">
        <v>239</v>
      </c>
      <c r="F81" s="56" t="s">
        <v>193</v>
      </c>
      <c r="G81" s="57" t="s">
        <v>34</v>
      </c>
      <c r="H81" s="68">
        <f t="shared" si="3"/>
        <v>0</v>
      </c>
      <c r="I81" s="62" t="s">
        <v>146</v>
      </c>
      <c r="J81" s="62" t="s">
        <v>245</v>
      </c>
      <c r="K81" s="71"/>
      <c r="L81" s="57" t="s">
        <v>115</v>
      </c>
      <c r="M81" s="61"/>
      <c r="N81" s="61"/>
      <c r="O81" s="62" t="s">
        <v>245</v>
      </c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30">
        <v>1.0</v>
      </c>
      <c r="BR81" s="30">
        <f t="shared" si="4"/>
        <v>0</v>
      </c>
      <c r="BS81" s="70">
        <f t="shared" si="5"/>
        <v>0</v>
      </c>
      <c r="BT81" s="70">
        <v>1.0</v>
      </c>
    </row>
    <row r="82" ht="15.75" customHeight="1">
      <c r="A82" s="54">
        <v>90.0</v>
      </c>
      <c r="B82" s="56" t="s">
        <v>274</v>
      </c>
      <c r="C82" s="56" t="s">
        <v>237</v>
      </c>
      <c r="D82" s="56" t="s">
        <v>275</v>
      </c>
      <c r="E82" s="56" t="s">
        <v>248</v>
      </c>
      <c r="F82" s="56" t="s">
        <v>193</v>
      </c>
      <c r="G82" s="57" t="s">
        <v>34</v>
      </c>
      <c r="H82" s="68">
        <f t="shared" si="3"/>
        <v>0</v>
      </c>
      <c r="I82" s="62" t="s">
        <v>146</v>
      </c>
      <c r="J82" s="62"/>
      <c r="K82" s="71"/>
      <c r="L82" s="57" t="s">
        <v>115</v>
      </c>
      <c r="M82" s="61"/>
      <c r="N82" s="61"/>
      <c r="O82" s="62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30">
        <v>1.0</v>
      </c>
      <c r="BR82" s="30">
        <f t="shared" si="4"/>
        <v>0</v>
      </c>
      <c r="BS82" s="70">
        <f t="shared" si="5"/>
        <v>0</v>
      </c>
      <c r="BT82" s="70">
        <v>1.0</v>
      </c>
    </row>
    <row r="83" ht="15.75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111</v>
      </c>
      <c r="F83" s="56" t="s">
        <v>15</v>
      </c>
      <c r="G83" s="57" t="s">
        <v>15</v>
      </c>
      <c r="H83" s="68">
        <f t="shared" si="3"/>
        <v>0.2115384615</v>
      </c>
      <c r="I83" s="62"/>
      <c r="J83" s="62"/>
      <c r="K83" s="71"/>
      <c r="L83" s="57" t="s">
        <v>130</v>
      </c>
      <c r="M83" s="61"/>
      <c r="N83" s="61"/>
      <c r="O83" s="62"/>
      <c r="P83" s="53" t="s">
        <v>131</v>
      </c>
      <c r="Q83" s="53" t="s">
        <v>131</v>
      </c>
      <c r="R83" s="53" t="s">
        <v>131</v>
      </c>
      <c r="S83" s="53" t="s">
        <v>131</v>
      </c>
      <c r="T83" s="53" t="s">
        <v>131</v>
      </c>
      <c r="U83" s="53" t="s">
        <v>131</v>
      </c>
      <c r="V83" s="53" t="s">
        <v>131</v>
      </c>
      <c r="W83" s="53" t="s">
        <v>131</v>
      </c>
      <c r="X83" s="53" t="s">
        <v>131</v>
      </c>
      <c r="Y83" s="53" t="s">
        <v>131</v>
      </c>
      <c r="Z83" s="53" t="s">
        <v>131</v>
      </c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75"/>
      <c r="BQ83" s="30">
        <v>52.0</v>
      </c>
      <c r="BR83" s="30">
        <f t="shared" si="4"/>
        <v>11</v>
      </c>
      <c r="BS83" s="70">
        <f t="shared" si="5"/>
        <v>0</v>
      </c>
      <c r="BT83" s="70">
        <v>1.0</v>
      </c>
    </row>
    <row r="84" ht="15.75" customHeight="1">
      <c r="A84" s="54">
        <v>90.0</v>
      </c>
      <c r="B84" s="56" t="s">
        <v>277</v>
      </c>
      <c r="C84" s="56" t="s">
        <v>278</v>
      </c>
      <c r="D84" s="56" t="s">
        <v>279</v>
      </c>
      <c r="E84" s="56" t="s">
        <v>239</v>
      </c>
      <c r="F84" s="56" t="s">
        <v>193</v>
      </c>
      <c r="G84" s="57" t="s">
        <v>34</v>
      </c>
      <c r="H84" s="68">
        <f t="shared" si="3"/>
        <v>0</v>
      </c>
      <c r="I84" s="62" t="s">
        <v>146</v>
      </c>
      <c r="J84" s="62" t="s">
        <v>283</v>
      </c>
      <c r="K84" s="71"/>
      <c r="L84" s="57" t="s">
        <v>115</v>
      </c>
      <c r="M84" s="61"/>
      <c r="N84" s="61"/>
      <c r="O84" s="62" t="s">
        <v>283</v>
      </c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75"/>
      <c r="BQ84" s="30">
        <v>1.0</v>
      </c>
      <c r="BR84" s="30">
        <f t="shared" si="4"/>
        <v>0</v>
      </c>
      <c r="BS84" s="70">
        <f t="shared" si="5"/>
        <v>0</v>
      </c>
      <c r="BT84" s="70">
        <v>1.0</v>
      </c>
    </row>
    <row r="85" ht="15.75" customHeight="1">
      <c r="A85" s="54">
        <v>90.0</v>
      </c>
      <c r="B85" s="56" t="s">
        <v>277</v>
      </c>
      <c r="C85" s="56" t="s">
        <v>278</v>
      </c>
      <c r="D85" s="56" t="s">
        <v>279</v>
      </c>
      <c r="E85" s="56" t="s">
        <v>163</v>
      </c>
      <c r="F85" s="56" t="s">
        <v>193</v>
      </c>
      <c r="G85" s="57" t="s">
        <v>34</v>
      </c>
      <c r="H85" s="68">
        <f t="shared" si="3"/>
        <v>0</v>
      </c>
      <c r="I85" s="62" t="s">
        <v>146</v>
      </c>
      <c r="J85" s="62" t="s">
        <v>283</v>
      </c>
      <c r="K85" s="71"/>
      <c r="L85" s="57" t="s">
        <v>115</v>
      </c>
      <c r="M85" s="61"/>
      <c r="N85" s="61"/>
      <c r="O85" s="62" t="s">
        <v>283</v>
      </c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75"/>
      <c r="BQ85" s="30">
        <v>1.0</v>
      </c>
      <c r="BR85" s="30">
        <f t="shared" si="4"/>
        <v>0</v>
      </c>
      <c r="BS85" s="70">
        <f t="shared" si="5"/>
        <v>0</v>
      </c>
      <c r="BT85" s="70">
        <v>1.0</v>
      </c>
    </row>
    <row r="86" ht="15.75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241</v>
      </c>
      <c r="F86" s="56" t="s">
        <v>193</v>
      </c>
      <c r="G86" s="57" t="s">
        <v>34</v>
      </c>
      <c r="H86" s="68">
        <f t="shared" si="3"/>
        <v>0</v>
      </c>
      <c r="I86" s="62" t="s">
        <v>146</v>
      </c>
      <c r="J86" s="62" t="s">
        <v>283</v>
      </c>
      <c r="K86" s="71"/>
      <c r="L86" s="57" t="s">
        <v>115</v>
      </c>
      <c r="M86" s="61"/>
      <c r="N86" s="61"/>
      <c r="O86" s="62" t="s">
        <v>283</v>
      </c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75"/>
      <c r="BQ86" s="30">
        <v>1.0</v>
      </c>
      <c r="BR86" s="30">
        <f t="shared" si="4"/>
        <v>0</v>
      </c>
      <c r="BS86" s="70">
        <f t="shared" si="5"/>
        <v>0</v>
      </c>
      <c r="BT86" s="70">
        <v>1.0</v>
      </c>
    </row>
    <row r="87" ht="15.75" customHeight="1">
      <c r="A87" s="54">
        <v>90.0</v>
      </c>
      <c r="B87" s="56" t="s">
        <v>280</v>
      </c>
      <c r="C87" s="56" t="s">
        <v>278</v>
      </c>
      <c r="D87" s="56" t="s">
        <v>281</v>
      </c>
      <c r="E87" s="56" t="s">
        <v>196</v>
      </c>
      <c r="F87" s="56" t="s">
        <v>249</v>
      </c>
      <c r="G87" s="57" t="s">
        <v>250</v>
      </c>
      <c r="H87" s="68">
        <f t="shared" si="3"/>
        <v>0.25</v>
      </c>
      <c r="I87" s="62"/>
      <c r="J87" s="62" t="s">
        <v>288</v>
      </c>
      <c r="K87" s="71"/>
      <c r="L87" s="57" t="s">
        <v>115</v>
      </c>
      <c r="M87" s="61"/>
      <c r="N87" s="61" t="s">
        <v>495</v>
      </c>
      <c r="O87" s="62" t="s">
        <v>288</v>
      </c>
      <c r="P87" s="53"/>
      <c r="Q87" s="53"/>
      <c r="R87" s="53"/>
      <c r="S87" s="53" t="s">
        <v>326</v>
      </c>
      <c r="T87" s="53"/>
      <c r="U87" s="53"/>
      <c r="V87" s="53"/>
      <c r="W87" s="53"/>
      <c r="X87" s="53"/>
      <c r="Y87" s="87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87"/>
      <c r="AK87" s="53"/>
      <c r="AL87" s="53"/>
      <c r="AM87" s="53"/>
      <c r="AN87" s="53"/>
      <c r="AO87" s="53"/>
      <c r="AP87" s="87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87"/>
      <c r="BE87" s="53"/>
      <c r="BF87" s="53"/>
      <c r="BG87" s="53"/>
      <c r="BH87" s="53"/>
      <c r="BI87" s="53"/>
      <c r="BJ87" s="53"/>
      <c r="BK87" s="53"/>
      <c r="BL87" s="87"/>
      <c r="BM87" s="53"/>
      <c r="BN87" s="53"/>
      <c r="BO87" s="53"/>
      <c r="BP87" s="75"/>
      <c r="BQ87" s="30">
        <v>4.0</v>
      </c>
      <c r="BR87" s="30">
        <f t="shared" si="4"/>
        <v>1</v>
      </c>
      <c r="BS87" s="70">
        <f t="shared" si="5"/>
        <v>0</v>
      </c>
      <c r="BT87" s="70">
        <v>1.0</v>
      </c>
    </row>
    <row r="88" ht="15.75" customHeight="1">
      <c r="A88" s="54">
        <v>90.0</v>
      </c>
      <c r="B88" s="56" t="s">
        <v>280</v>
      </c>
      <c r="C88" s="56" t="s">
        <v>278</v>
      </c>
      <c r="D88" s="56" t="s">
        <v>281</v>
      </c>
      <c r="E88" s="56" t="s">
        <v>272</v>
      </c>
      <c r="F88" s="56" t="s">
        <v>15</v>
      </c>
      <c r="G88" s="57" t="s">
        <v>15</v>
      </c>
      <c r="H88" s="68">
        <f t="shared" si="3"/>
        <v>0.2115384615</v>
      </c>
      <c r="I88" s="62" t="s">
        <v>146</v>
      </c>
      <c r="J88" s="62"/>
      <c r="K88" s="71"/>
      <c r="L88" s="57" t="s">
        <v>115</v>
      </c>
      <c r="M88" s="61"/>
      <c r="N88" s="61"/>
      <c r="O88" s="62"/>
      <c r="P88" s="53" t="s">
        <v>131</v>
      </c>
      <c r="Q88" s="53" t="s">
        <v>131</v>
      </c>
      <c r="R88" s="53" t="s">
        <v>131</v>
      </c>
      <c r="S88" s="53" t="s">
        <v>131</v>
      </c>
      <c r="T88" s="53" t="s">
        <v>131</v>
      </c>
      <c r="U88" s="53" t="s">
        <v>131</v>
      </c>
      <c r="V88" s="53" t="s">
        <v>131</v>
      </c>
      <c r="W88" s="53" t="s">
        <v>131</v>
      </c>
      <c r="X88" s="53" t="s">
        <v>131</v>
      </c>
      <c r="Y88" s="53" t="s">
        <v>131</v>
      </c>
      <c r="Z88" s="53" t="s">
        <v>131</v>
      </c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30">
        <v>52.0</v>
      </c>
      <c r="BR88" s="30">
        <f t="shared" si="4"/>
        <v>11</v>
      </c>
      <c r="BS88" s="70">
        <f t="shared" si="5"/>
        <v>0</v>
      </c>
      <c r="BT88" s="70">
        <v>1.0</v>
      </c>
    </row>
    <row r="89" ht="15.75" customHeight="1">
      <c r="A89" s="54">
        <v>90.0</v>
      </c>
      <c r="B89" s="56" t="s">
        <v>402</v>
      </c>
      <c r="C89" s="56" t="s">
        <v>278</v>
      </c>
      <c r="D89" s="56" t="s">
        <v>403</v>
      </c>
      <c r="E89" s="56" t="s">
        <v>111</v>
      </c>
      <c r="F89" s="56" t="s">
        <v>15</v>
      </c>
      <c r="G89" s="57" t="s">
        <v>15</v>
      </c>
      <c r="H89" s="68">
        <f t="shared" si="3"/>
        <v>0.2115384615</v>
      </c>
      <c r="I89" s="62"/>
      <c r="J89" s="62"/>
      <c r="K89" s="71"/>
      <c r="L89" s="57" t="s">
        <v>130</v>
      </c>
      <c r="M89" s="61"/>
      <c r="N89" s="61"/>
      <c r="O89" s="62"/>
      <c r="P89" s="53" t="s">
        <v>131</v>
      </c>
      <c r="Q89" s="53" t="s">
        <v>131</v>
      </c>
      <c r="R89" s="53" t="s">
        <v>131</v>
      </c>
      <c r="S89" s="53" t="s">
        <v>131</v>
      </c>
      <c r="T89" s="53" t="s">
        <v>131</v>
      </c>
      <c r="U89" s="53" t="s">
        <v>131</v>
      </c>
      <c r="V89" s="53" t="s">
        <v>131</v>
      </c>
      <c r="W89" s="53" t="s">
        <v>131</v>
      </c>
      <c r="X89" s="53" t="s">
        <v>131</v>
      </c>
      <c r="Y89" s="53" t="s">
        <v>131</v>
      </c>
      <c r="Z89" s="53" t="s">
        <v>131</v>
      </c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30">
        <v>52.0</v>
      </c>
      <c r="BR89" s="30">
        <f t="shared" si="4"/>
        <v>11</v>
      </c>
      <c r="BS89" s="70">
        <f t="shared" si="5"/>
        <v>0</v>
      </c>
      <c r="BT89" s="70">
        <v>1.0</v>
      </c>
    </row>
    <row r="90" ht="15.75" customHeight="1">
      <c r="A90" s="54">
        <v>90.0</v>
      </c>
      <c r="B90" s="56" t="s">
        <v>286</v>
      </c>
      <c r="C90" s="56" t="s">
        <v>278</v>
      </c>
      <c r="D90" s="56" t="s">
        <v>266</v>
      </c>
      <c r="E90" s="56" t="s">
        <v>268</v>
      </c>
      <c r="F90" s="56" t="s">
        <v>193</v>
      </c>
      <c r="G90" s="57" t="s">
        <v>34</v>
      </c>
      <c r="H90" s="68">
        <f t="shared" si="3"/>
        <v>0</v>
      </c>
      <c r="I90" s="62" t="s">
        <v>146</v>
      </c>
      <c r="J90" s="62" t="s">
        <v>283</v>
      </c>
      <c r="K90" s="71"/>
      <c r="L90" s="57" t="s">
        <v>115</v>
      </c>
      <c r="M90" s="61"/>
      <c r="N90" s="61"/>
      <c r="O90" s="62" t="s">
        <v>283</v>
      </c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30">
        <v>1.0</v>
      </c>
      <c r="BR90" s="30">
        <f t="shared" si="4"/>
        <v>0</v>
      </c>
      <c r="BS90" s="70">
        <f t="shared" si="5"/>
        <v>0</v>
      </c>
      <c r="BT90" s="70">
        <v>1.0</v>
      </c>
    </row>
    <row r="91" ht="15.75" customHeight="1">
      <c r="A91" s="54">
        <v>90.0</v>
      </c>
      <c r="B91" s="56" t="s">
        <v>286</v>
      </c>
      <c r="C91" s="56" t="s">
        <v>278</v>
      </c>
      <c r="D91" s="56" t="s">
        <v>266</v>
      </c>
      <c r="E91" s="56" t="s">
        <v>111</v>
      </c>
      <c r="F91" s="56" t="s">
        <v>15</v>
      </c>
      <c r="G91" s="57" t="s">
        <v>15</v>
      </c>
      <c r="H91" s="68">
        <f t="shared" si="3"/>
        <v>0.2115384615</v>
      </c>
      <c r="I91" s="62"/>
      <c r="J91" s="62"/>
      <c r="K91" s="71"/>
      <c r="L91" s="57" t="s">
        <v>115</v>
      </c>
      <c r="M91" s="61"/>
      <c r="N91" s="61"/>
      <c r="O91" s="62"/>
      <c r="P91" s="53" t="s">
        <v>131</v>
      </c>
      <c r="Q91" s="53" t="s">
        <v>131</v>
      </c>
      <c r="R91" s="53" t="s">
        <v>131</v>
      </c>
      <c r="S91" s="53" t="s">
        <v>131</v>
      </c>
      <c r="T91" s="53" t="s">
        <v>131</v>
      </c>
      <c r="U91" s="53" t="s">
        <v>131</v>
      </c>
      <c r="V91" s="53" t="s">
        <v>131</v>
      </c>
      <c r="W91" s="53" t="s">
        <v>131</v>
      </c>
      <c r="X91" s="53" t="s">
        <v>131</v>
      </c>
      <c r="Y91" s="53" t="s">
        <v>131</v>
      </c>
      <c r="Z91" s="53" t="s">
        <v>131</v>
      </c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30">
        <v>52.0</v>
      </c>
      <c r="BR91" s="30">
        <f t="shared" si="4"/>
        <v>11</v>
      </c>
      <c r="BS91" s="70">
        <f t="shared" si="5"/>
        <v>0</v>
      </c>
      <c r="BT91" s="70">
        <v>1.0</v>
      </c>
    </row>
    <row r="92" ht="15.75" customHeight="1">
      <c r="A92" s="54">
        <v>90.0</v>
      </c>
      <c r="B92" s="56" t="s">
        <v>294</v>
      </c>
      <c r="C92" s="56" t="s">
        <v>278</v>
      </c>
      <c r="D92" s="56" t="s">
        <v>275</v>
      </c>
      <c r="E92" s="56" t="s">
        <v>239</v>
      </c>
      <c r="F92" s="56" t="s">
        <v>193</v>
      </c>
      <c r="G92" s="57" t="s">
        <v>34</v>
      </c>
      <c r="H92" s="68">
        <f t="shared" si="3"/>
        <v>0</v>
      </c>
      <c r="I92" s="62" t="s">
        <v>146</v>
      </c>
      <c r="J92" s="62"/>
      <c r="K92" s="71"/>
      <c r="L92" s="57" t="s">
        <v>115</v>
      </c>
      <c r="M92" s="61"/>
      <c r="N92" s="61"/>
      <c r="O92" s="62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75"/>
      <c r="BQ92" s="30">
        <v>1.0</v>
      </c>
      <c r="BR92" s="30">
        <f t="shared" si="4"/>
        <v>0</v>
      </c>
      <c r="BS92" s="70">
        <f t="shared" si="5"/>
        <v>0</v>
      </c>
      <c r="BT92" s="70">
        <v>1.0</v>
      </c>
    </row>
    <row r="93" ht="15.75" customHeight="1">
      <c r="A93" s="54">
        <v>92.0</v>
      </c>
      <c r="B93" s="56" t="s">
        <v>233</v>
      </c>
      <c r="C93" s="56" t="s">
        <v>234</v>
      </c>
      <c r="D93" s="56" t="s">
        <v>235</v>
      </c>
      <c r="E93" s="56" t="s">
        <v>111</v>
      </c>
      <c r="F93" s="56" t="s">
        <v>173</v>
      </c>
      <c r="G93" s="57" t="s">
        <v>87</v>
      </c>
      <c r="H93" s="68">
        <f t="shared" si="3"/>
        <v>0.25</v>
      </c>
      <c r="I93" s="62"/>
      <c r="J93" s="62" t="s">
        <v>243</v>
      </c>
      <c r="K93" s="71"/>
      <c r="L93" s="57" t="s">
        <v>130</v>
      </c>
      <c r="M93" s="61"/>
      <c r="N93" s="61"/>
      <c r="O93" s="62" t="s">
        <v>243</v>
      </c>
      <c r="P93" s="53" t="s">
        <v>131</v>
      </c>
      <c r="Q93" s="53"/>
      <c r="R93" s="53"/>
      <c r="S93" s="53"/>
      <c r="T93" s="53"/>
      <c r="U93" s="53" t="s">
        <v>131</v>
      </c>
      <c r="V93" s="53"/>
      <c r="W93" s="53"/>
      <c r="X93" s="53"/>
      <c r="Y93" s="53" t="s">
        <v>131</v>
      </c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75"/>
      <c r="BQ93" s="30">
        <v>12.0</v>
      </c>
      <c r="BR93" s="30">
        <f t="shared" si="4"/>
        <v>3</v>
      </c>
      <c r="BS93" s="70">
        <f t="shared" si="5"/>
        <v>0</v>
      </c>
      <c r="BT93" s="70">
        <v>1.0</v>
      </c>
    </row>
    <row r="94" ht="15.75" customHeight="1">
      <c r="A94" s="54">
        <v>92.0</v>
      </c>
      <c r="B94" s="56" t="s">
        <v>233</v>
      </c>
      <c r="C94" s="56" t="s">
        <v>234</v>
      </c>
      <c r="D94" s="56" t="s">
        <v>296</v>
      </c>
      <c r="E94" s="56" t="s">
        <v>297</v>
      </c>
      <c r="F94" s="56" t="s">
        <v>460</v>
      </c>
      <c r="G94" s="57"/>
      <c r="H94" s="68">
        <f t="shared" si="3"/>
        <v>0</v>
      </c>
      <c r="I94" s="62"/>
      <c r="J94" s="62" t="s">
        <v>283</v>
      </c>
      <c r="K94" s="71"/>
      <c r="L94" s="57" t="s">
        <v>115</v>
      </c>
      <c r="M94" s="61"/>
      <c r="N94" s="61"/>
      <c r="O94" s="62" t="s">
        <v>283</v>
      </c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30">
        <v>1.0</v>
      </c>
      <c r="BR94" s="30">
        <f t="shared" si="4"/>
        <v>0</v>
      </c>
      <c r="BS94" s="70">
        <f t="shared" si="5"/>
        <v>0</v>
      </c>
      <c r="BT94" s="70">
        <v>1.0</v>
      </c>
    </row>
    <row r="95" ht="15.75" customHeight="1">
      <c r="A95" s="54">
        <v>92.0</v>
      </c>
      <c r="B95" s="56" t="s">
        <v>253</v>
      </c>
      <c r="C95" s="56" t="s">
        <v>234</v>
      </c>
      <c r="D95" s="56" t="s">
        <v>254</v>
      </c>
      <c r="E95" s="56" t="s">
        <v>111</v>
      </c>
      <c r="F95" s="56" t="s">
        <v>173</v>
      </c>
      <c r="G95" s="57" t="s">
        <v>87</v>
      </c>
      <c r="H95" s="68">
        <f t="shared" si="3"/>
        <v>0.25</v>
      </c>
      <c r="I95" s="62"/>
      <c r="J95" s="62" t="s">
        <v>243</v>
      </c>
      <c r="K95" s="71"/>
      <c r="L95" s="57" t="s">
        <v>130</v>
      </c>
      <c r="M95" s="61"/>
      <c r="N95" s="61"/>
      <c r="O95" s="62" t="s">
        <v>243</v>
      </c>
      <c r="P95" s="53" t="s">
        <v>131</v>
      </c>
      <c r="Q95" s="53"/>
      <c r="R95" s="53"/>
      <c r="S95" s="53"/>
      <c r="T95" s="53"/>
      <c r="U95" s="53" t="s">
        <v>131</v>
      </c>
      <c r="V95" s="53"/>
      <c r="W95" s="53"/>
      <c r="X95" s="53"/>
      <c r="Y95" s="53" t="s">
        <v>131</v>
      </c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30">
        <v>12.0</v>
      </c>
      <c r="BR95" s="30">
        <f t="shared" si="4"/>
        <v>3</v>
      </c>
      <c r="BS95" s="70">
        <f t="shared" si="5"/>
        <v>0</v>
      </c>
      <c r="BT95" s="70">
        <v>1.0</v>
      </c>
    </row>
    <row r="96" ht="15.75" customHeight="1">
      <c r="A96" s="54">
        <v>92.0</v>
      </c>
      <c r="B96" s="56" t="s">
        <v>253</v>
      </c>
      <c r="C96" s="56" t="s">
        <v>234</v>
      </c>
      <c r="D96" s="56" t="s">
        <v>300</v>
      </c>
      <c r="E96" s="56" t="s">
        <v>297</v>
      </c>
      <c r="F96" s="56" t="s">
        <v>460</v>
      </c>
      <c r="G96" s="57"/>
      <c r="H96" s="68">
        <f t="shared" si="3"/>
        <v>1</v>
      </c>
      <c r="I96" s="62"/>
      <c r="J96" s="62" t="s">
        <v>283</v>
      </c>
      <c r="K96" s="71"/>
      <c r="L96" s="57" t="s">
        <v>115</v>
      </c>
      <c r="M96" s="61"/>
      <c r="N96" s="61"/>
      <c r="O96" s="62" t="s">
        <v>283</v>
      </c>
      <c r="P96" s="53"/>
      <c r="Q96" s="53"/>
      <c r="R96" s="53"/>
      <c r="S96" s="53"/>
      <c r="T96" s="53"/>
      <c r="U96" s="53"/>
      <c r="V96" s="53" t="s">
        <v>536</v>
      </c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30">
        <v>1.0</v>
      </c>
      <c r="BR96" s="30">
        <f t="shared" si="4"/>
        <v>1</v>
      </c>
      <c r="BS96" s="70">
        <f t="shared" si="5"/>
        <v>1</v>
      </c>
      <c r="BT96" s="70">
        <v>1.0</v>
      </c>
    </row>
    <row r="97" ht="15.75" customHeight="1">
      <c r="A97" s="54">
        <v>92.0</v>
      </c>
      <c r="B97" s="56" t="s">
        <v>301</v>
      </c>
      <c r="C97" s="56" t="s">
        <v>234</v>
      </c>
      <c r="D97" s="56" t="s">
        <v>302</v>
      </c>
      <c r="E97" s="56" t="s">
        <v>163</v>
      </c>
      <c r="F97" s="56" t="s">
        <v>193</v>
      </c>
      <c r="G97" s="57" t="s">
        <v>34</v>
      </c>
      <c r="H97" s="68">
        <f t="shared" si="3"/>
        <v>0</v>
      </c>
      <c r="I97" s="62"/>
      <c r="J97" s="62"/>
      <c r="K97" s="71"/>
      <c r="L97" s="57" t="s">
        <v>130</v>
      </c>
      <c r="M97" s="61"/>
      <c r="N97" s="61"/>
      <c r="O97" s="62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30">
        <v>1.0</v>
      </c>
      <c r="BR97" s="30">
        <f t="shared" si="4"/>
        <v>0</v>
      </c>
      <c r="BS97" s="70">
        <f t="shared" si="5"/>
        <v>0</v>
      </c>
      <c r="BT97" s="70">
        <v>1.0</v>
      </c>
    </row>
    <row r="98" ht="15.75" customHeight="1">
      <c r="A98" s="54">
        <v>92.0</v>
      </c>
      <c r="B98" s="56" t="s">
        <v>301</v>
      </c>
      <c r="C98" s="56" t="s">
        <v>234</v>
      </c>
      <c r="D98" s="56" t="s">
        <v>302</v>
      </c>
      <c r="E98" s="56" t="s">
        <v>111</v>
      </c>
      <c r="F98" s="56" t="s">
        <v>246</v>
      </c>
      <c r="G98" s="57" t="s">
        <v>154</v>
      </c>
      <c r="H98" s="68">
        <f t="shared" si="3"/>
        <v>0</v>
      </c>
      <c r="I98" s="62"/>
      <c r="J98" s="62"/>
      <c r="K98" s="71"/>
      <c r="L98" s="57" t="s">
        <v>130</v>
      </c>
      <c r="M98" s="61"/>
      <c r="N98" s="61"/>
      <c r="O98" s="62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75"/>
      <c r="BQ98" s="30">
        <v>2.0</v>
      </c>
      <c r="BR98" s="30">
        <f t="shared" si="4"/>
        <v>0</v>
      </c>
      <c r="BS98" s="70">
        <f t="shared" si="5"/>
        <v>0</v>
      </c>
      <c r="BT98" s="70">
        <v>1.0</v>
      </c>
    </row>
    <row r="99" ht="15.75" customHeight="1">
      <c r="A99" s="54">
        <v>92.0</v>
      </c>
      <c r="B99" s="56" t="s">
        <v>301</v>
      </c>
      <c r="C99" s="56" t="s">
        <v>234</v>
      </c>
      <c r="D99" s="56" t="s">
        <v>302</v>
      </c>
      <c r="E99" s="56" t="s">
        <v>248</v>
      </c>
      <c r="F99" s="56" t="s">
        <v>112</v>
      </c>
      <c r="G99" s="57" t="s">
        <v>303</v>
      </c>
      <c r="H99" s="68">
        <f t="shared" si="3"/>
        <v>0</v>
      </c>
      <c r="I99" s="62"/>
      <c r="J99" s="62"/>
      <c r="K99" s="71"/>
      <c r="L99" s="57" t="s">
        <v>115</v>
      </c>
      <c r="M99" s="61"/>
      <c r="N99" s="61"/>
      <c r="O99" s="62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30">
        <v>1.0</v>
      </c>
      <c r="BR99" s="30">
        <f t="shared" si="4"/>
        <v>0</v>
      </c>
      <c r="BS99" s="70">
        <f t="shared" si="5"/>
        <v>0</v>
      </c>
      <c r="BT99" s="70">
        <v>1.0</v>
      </c>
    </row>
    <row r="100" ht="15.75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247</v>
      </c>
      <c r="F100" s="56" t="s">
        <v>384</v>
      </c>
      <c r="G100" s="57" t="s">
        <v>303</v>
      </c>
      <c r="H100" s="68">
        <f t="shared" si="3"/>
        <v>0</v>
      </c>
      <c r="I100" s="62"/>
      <c r="J100" s="62"/>
      <c r="K100" s="71"/>
      <c r="L100" s="57" t="s">
        <v>115</v>
      </c>
      <c r="M100" s="61"/>
      <c r="N100" s="61"/>
      <c r="O100" s="62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75"/>
      <c r="BQ100" s="30">
        <v>1.0</v>
      </c>
      <c r="BR100" s="30">
        <f t="shared" si="4"/>
        <v>0</v>
      </c>
      <c r="BS100" s="70">
        <f t="shared" si="5"/>
        <v>0</v>
      </c>
      <c r="BT100" s="70">
        <v>1.0</v>
      </c>
    </row>
    <row r="101" ht="15.75" customHeight="1">
      <c r="A101" s="54">
        <v>92.0</v>
      </c>
      <c r="B101" s="56" t="s">
        <v>304</v>
      </c>
      <c r="C101" s="56" t="s">
        <v>234</v>
      </c>
      <c r="D101" s="56" t="s">
        <v>305</v>
      </c>
      <c r="E101" s="56" t="s">
        <v>163</v>
      </c>
      <c r="F101" s="56" t="s">
        <v>193</v>
      </c>
      <c r="G101" s="57" t="s">
        <v>34</v>
      </c>
      <c r="H101" s="68">
        <f t="shared" si="3"/>
        <v>0</v>
      </c>
      <c r="I101" s="62"/>
      <c r="J101" s="62"/>
      <c r="K101" s="71"/>
      <c r="L101" s="57" t="s">
        <v>130</v>
      </c>
      <c r="M101" s="61"/>
      <c r="N101" s="61"/>
      <c r="O101" s="62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30">
        <v>1.0</v>
      </c>
      <c r="BR101" s="30">
        <f t="shared" si="4"/>
        <v>0</v>
      </c>
      <c r="BS101" s="70">
        <f t="shared" si="5"/>
        <v>0</v>
      </c>
      <c r="BT101" s="70">
        <v>1.0</v>
      </c>
    </row>
    <row r="102" ht="15.75" customHeight="1">
      <c r="A102" s="54">
        <v>92.0</v>
      </c>
      <c r="B102" s="56" t="s">
        <v>304</v>
      </c>
      <c r="C102" s="56" t="s">
        <v>234</v>
      </c>
      <c r="D102" s="56" t="s">
        <v>305</v>
      </c>
      <c r="E102" s="56" t="s">
        <v>111</v>
      </c>
      <c r="F102" s="56" t="s">
        <v>246</v>
      </c>
      <c r="G102" s="57" t="s">
        <v>154</v>
      </c>
      <c r="H102" s="68">
        <f t="shared" si="3"/>
        <v>0</v>
      </c>
      <c r="I102" s="62"/>
      <c r="J102" s="62"/>
      <c r="K102" s="71"/>
      <c r="L102" s="57" t="s">
        <v>130</v>
      </c>
      <c r="M102" s="61"/>
      <c r="N102" s="61"/>
      <c r="O102" s="62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75"/>
      <c r="BQ102" s="30">
        <v>2.0</v>
      </c>
      <c r="BR102" s="30">
        <f t="shared" si="4"/>
        <v>0</v>
      </c>
      <c r="BS102" s="70">
        <f t="shared" si="5"/>
        <v>0</v>
      </c>
      <c r="BT102" s="70">
        <v>1.0</v>
      </c>
    </row>
    <row r="103" ht="15.75" customHeight="1">
      <c r="A103" s="54">
        <v>92.0</v>
      </c>
      <c r="B103" s="56" t="s">
        <v>304</v>
      </c>
      <c r="C103" s="56" t="s">
        <v>234</v>
      </c>
      <c r="D103" s="56" t="s">
        <v>305</v>
      </c>
      <c r="E103" s="56" t="s">
        <v>248</v>
      </c>
      <c r="F103" s="56" t="s">
        <v>112</v>
      </c>
      <c r="G103" s="57" t="s">
        <v>303</v>
      </c>
      <c r="H103" s="68">
        <f t="shared" si="3"/>
        <v>0</v>
      </c>
      <c r="I103" s="62"/>
      <c r="J103" s="62"/>
      <c r="K103" s="71"/>
      <c r="L103" s="57" t="s">
        <v>115</v>
      </c>
      <c r="M103" s="61"/>
      <c r="N103" s="61"/>
      <c r="O103" s="62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30">
        <v>1.0</v>
      </c>
      <c r="BR103" s="30">
        <f t="shared" si="4"/>
        <v>0</v>
      </c>
      <c r="BS103" s="70">
        <f t="shared" si="5"/>
        <v>0</v>
      </c>
      <c r="BT103" s="70">
        <v>1.0</v>
      </c>
    </row>
    <row r="104" ht="15.75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247</v>
      </c>
      <c r="F104" s="56" t="s">
        <v>384</v>
      </c>
      <c r="G104" s="57" t="s">
        <v>303</v>
      </c>
      <c r="H104" s="68">
        <f t="shared" si="3"/>
        <v>0</v>
      </c>
      <c r="I104" s="62"/>
      <c r="J104" s="62"/>
      <c r="K104" s="71"/>
      <c r="L104" s="57" t="s">
        <v>115</v>
      </c>
      <c r="M104" s="61"/>
      <c r="N104" s="61"/>
      <c r="O104" s="62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75"/>
      <c r="BQ104" s="30">
        <v>1.0</v>
      </c>
      <c r="BR104" s="30">
        <f t="shared" si="4"/>
        <v>0</v>
      </c>
      <c r="BS104" s="70">
        <f t="shared" si="5"/>
        <v>0</v>
      </c>
      <c r="BT104" s="70">
        <v>1.0</v>
      </c>
    </row>
    <row r="105" ht="15.75" customHeight="1">
      <c r="A105" s="54">
        <v>92.0</v>
      </c>
      <c r="B105" s="56" t="s">
        <v>306</v>
      </c>
      <c r="C105" s="56" t="s">
        <v>234</v>
      </c>
      <c r="D105" s="56" t="s">
        <v>307</v>
      </c>
      <c r="E105" s="56" t="s">
        <v>163</v>
      </c>
      <c r="F105" s="56" t="s">
        <v>193</v>
      </c>
      <c r="G105" s="57" t="s">
        <v>34</v>
      </c>
      <c r="H105" s="68">
        <f t="shared" si="3"/>
        <v>0</v>
      </c>
      <c r="I105" s="62"/>
      <c r="J105" s="62"/>
      <c r="K105" s="71"/>
      <c r="L105" s="57" t="s">
        <v>130</v>
      </c>
      <c r="M105" s="61"/>
      <c r="N105" s="61"/>
      <c r="O105" s="62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89"/>
      <c r="BP105" s="89"/>
      <c r="BQ105" s="30">
        <v>1.0</v>
      </c>
      <c r="BR105" s="30">
        <f t="shared" si="4"/>
        <v>0</v>
      </c>
      <c r="BS105" s="70">
        <f t="shared" si="5"/>
        <v>0</v>
      </c>
      <c r="BT105" s="70">
        <v>1.0</v>
      </c>
    </row>
    <row r="106" ht="15.75" customHeight="1">
      <c r="A106" s="54">
        <v>92.0</v>
      </c>
      <c r="B106" s="56" t="s">
        <v>306</v>
      </c>
      <c r="C106" s="56" t="s">
        <v>234</v>
      </c>
      <c r="D106" s="56" t="s">
        <v>307</v>
      </c>
      <c r="E106" s="56" t="s">
        <v>111</v>
      </c>
      <c r="F106" s="56" t="s">
        <v>246</v>
      </c>
      <c r="G106" s="57" t="s">
        <v>154</v>
      </c>
      <c r="H106" s="68">
        <f t="shared" si="3"/>
        <v>0</v>
      </c>
      <c r="I106" s="62"/>
      <c r="J106" s="62"/>
      <c r="K106" s="71"/>
      <c r="L106" s="57" t="s">
        <v>130</v>
      </c>
      <c r="M106" s="61"/>
      <c r="N106" s="61"/>
      <c r="O106" s="62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75"/>
      <c r="BQ106" s="30">
        <v>2.0</v>
      </c>
      <c r="BR106" s="30">
        <f t="shared" si="4"/>
        <v>0</v>
      </c>
      <c r="BS106" s="70">
        <f t="shared" si="5"/>
        <v>0</v>
      </c>
      <c r="BT106" s="70">
        <v>1.0</v>
      </c>
    </row>
    <row r="107" ht="15.75" customHeight="1">
      <c r="A107" s="54">
        <v>92.0</v>
      </c>
      <c r="B107" s="56" t="s">
        <v>306</v>
      </c>
      <c r="C107" s="56" t="s">
        <v>234</v>
      </c>
      <c r="D107" s="56" t="s">
        <v>307</v>
      </c>
      <c r="E107" s="56" t="s">
        <v>248</v>
      </c>
      <c r="F107" s="56" t="s">
        <v>112</v>
      </c>
      <c r="G107" s="57" t="s">
        <v>303</v>
      </c>
      <c r="H107" s="68">
        <f t="shared" si="3"/>
        <v>0</v>
      </c>
      <c r="I107" s="62"/>
      <c r="J107" s="62"/>
      <c r="K107" s="71"/>
      <c r="L107" s="57" t="s">
        <v>115</v>
      </c>
      <c r="M107" s="61"/>
      <c r="N107" s="61"/>
      <c r="O107" s="62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30">
        <v>1.0</v>
      </c>
      <c r="BR107" s="30">
        <f t="shared" si="4"/>
        <v>0</v>
      </c>
      <c r="BS107" s="70">
        <f t="shared" si="5"/>
        <v>0</v>
      </c>
      <c r="BT107" s="70">
        <v>1.0</v>
      </c>
    </row>
    <row r="108" ht="15.75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247</v>
      </c>
      <c r="F108" s="56" t="s">
        <v>384</v>
      </c>
      <c r="G108" s="57" t="s">
        <v>303</v>
      </c>
      <c r="H108" s="68">
        <f t="shared" si="3"/>
        <v>0</v>
      </c>
      <c r="I108" s="62"/>
      <c r="J108" s="62"/>
      <c r="K108" s="71"/>
      <c r="L108" s="57" t="s">
        <v>115</v>
      </c>
      <c r="M108" s="61"/>
      <c r="N108" s="61"/>
      <c r="O108" s="62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75"/>
      <c r="BQ108" s="30">
        <v>1.0</v>
      </c>
      <c r="BR108" s="30">
        <f t="shared" si="4"/>
        <v>0</v>
      </c>
      <c r="BS108" s="70">
        <f t="shared" si="5"/>
        <v>0</v>
      </c>
      <c r="BT108" s="70">
        <v>1.0</v>
      </c>
    </row>
    <row r="109" ht="15.75" customHeight="1">
      <c r="A109" s="54">
        <v>92.0</v>
      </c>
      <c r="B109" s="56" t="s">
        <v>255</v>
      </c>
      <c r="C109" s="56" t="s">
        <v>234</v>
      </c>
      <c r="D109" s="56" t="s">
        <v>256</v>
      </c>
      <c r="E109" s="56" t="s">
        <v>257</v>
      </c>
      <c r="F109" s="56" t="s">
        <v>173</v>
      </c>
      <c r="G109" s="57" t="s">
        <v>87</v>
      </c>
      <c r="H109" s="68">
        <f t="shared" si="3"/>
        <v>0.25</v>
      </c>
      <c r="I109" s="62"/>
      <c r="J109" s="62"/>
      <c r="K109" s="71"/>
      <c r="L109" s="57" t="s">
        <v>130</v>
      </c>
      <c r="M109" s="61"/>
      <c r="N109" s="61"/>
      <c r="O109" s="62"/>
      <c r="P109" s="53" t="s">
        <v>131</v>
      </c>
      <c r="Q109" s="53"/>
      <c r="R109" s="53"/>
      <c r="S109" s="53"/>
      <c r="T109" s="53"/>
      <c r="U109" s="53" t="s">
        <v>131</v>
      </c>
      <c r="V109" s="53"/>
      <c r="W109" s="53"/>
      <c r="X109" s="53"/>
      <c r="Y109" s="53" t="s">
        <v>131</v>
      </c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30">
        <v>12.0</v>
      </c>
      <c r="BR109" s="30">
        <f t="shared" si="4"/>
        <v>3</v>
      </c>
      <c r="BS109" s="70">
        <f t="shared" si="5"/>
        <v>0</v>
      </c>
      <c r="BT109" s="70">
        <v>1.0</v>
      </c>
    </row>
    <row r="110" ht="15.75" customHeight="1">
      <c r="A110" s="54">
        <v>100.0</v>
      </c>
      <c r="B110" s="56" t="s">
        <v>451</v>
      </c>
      <c r="C110" s="56" t="s">
        <v>315</v>
      </c>
      <c r="D110" s="56" t="s">
        <v>452</v>
      </c>
      <c r="E110" s="56" t="s">
        <v>453</v>
      </c>
      <c r="F110" s="56" t="s">
        <v>15</v>
      </c>
      <c r="G110" s="57" t="s">
        <v>15</v>
      </c>
      <c r="H110" s="68">
        <f t="shared" si="3"/>
        <v>0.2115384615</v>
      </c>
      <c r="I110" s="62"/>
      <c r="J110" s="62"/>
      <c r="K110" s="71"/>
      <c r="L110" s="57" t="s">
        <v>130</v>
      </c>
      <c r="M110" s="61"/>
      <c r="N110" s="61"/>
      <c r="O110" s="62"/>
      <c r="P110" s="53" t="s">
        <v>420</v>
      </c>
      <c r="Q110" s="53" t="s">
        <v>420</v>
      </c>
      <c r="R110" s="53" t="s">
        <v>420</v>
      </c>
      <c r="S110" s="53" t="s">
        <v>420</v>
      </c>
      <c r="T110" s="53" t="s">
        <v>420</v>
      </c>
      <c r="U110" s="53" t="s">
        <v>420</v>
      </c>
      <c r="V110" s="53" t="s">
        <v>420</v>
      </c>
      <c r="W110" s="53" t="s">
        <v>420</v>
      </c>
      <c r="X110" s="53" t="s">
        <v>420</v>
      </c>
      <c r="Y110" s="53" t="s">
        <v>420</v>
      </c>
      <c r="Z110" s="53" t="s">
        <v>420</v>
      </c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30">
        <v>52.0</v>
      </c>
      <c r="BR110" s="30">
        <f t="shared" si="4"/>
        <v>11</v>
      </c>
      <c r="BS110" s="70">
        <f t="shared" si="5"/>
        <v>0</v>
      </c>
      <c r="BT110" s="70">
        <v>1.0</v>
      </c>
    </row>
    <row r="111" ht="15.75" customHeight="1">
      <c r="A111" s="54">
        <v>100.0</v>
      </c>
      <c r="B111" s="56" t="s">
        <v>454</v>
      </c>
      <c r="C111" s="56" t="s">
        <v>315</v>
      </c>
      <c r="D111" s="56" t="s">
        <v>316</v>
      </c>
      <c r="E111" s="56" t="s">
        <v>455</v>
      </c>
      <c r="F111" s="56" t="s">
        <v>15</v>
      </c>
      <c r="G111" s="57" t="s">
        <v>15</v>
      </c>
      <c r="H111" s="68">
        <f t="shared" si="3"/>
        <v>0.2115384615</v>
      </c>
      <c r="I111" s="62"/>
      <c r="J111" s="62"/>
      <c r="K111" s="71"/>
      <c r="L111" s="57" t="s">
        <v>130</v>
      </c>
      <c r="M111" s="61"/>
      <c r="N111" s="61"/>
      <c r="O111" s="62"/>
      <c r="P111" s="53" t="s">
        <v>131</v>
      </c>
      <c r="Q111" s="53" t="s">
        <v>131</v>
      </c>
      <c r="R111" s="53" t="s">
        <v>131</v>
      </c>
      <c r="S111" s="53" t="s">
        <v>131</v>
      </c>
      <c r="T111" s="53" t="s">
        <v>131</v>
      </c>
      <c r="U111" s="53" t="s">
        <v>131</v>
      </c>
      <c r="V111" s="53" t="s">
        <v>131</v>
      </c>
      <c r="W111" s="53" t="s">
        <v>131</v>
      </c>
      <c r="X111" s="53" t="s">
        <v>131</v>
      </c>
      <c r="Y111" s="53" t="s">
        <v>131</v>
      </c>
      <c r="Z111" s="53" t="s">
        <v>131</v>
      </c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75"/>
      <c r="BQ111" s="30">
        <v>52.0</v>
      </c>
      <c r="BR111" s="30">
        <f t="shared" si="4"/>
        <v>11</v>
      </c>
      <c r="BS111" s="70">
        <f t="shared" si="5"/>
        <v>0</v>
      </c>
      <c r="BT111" s="70">
        <v>1.0</v>
      </c>
    </row>
    <row r="112" ht="15.75" customHeight="1">
      <c r="A112" s="54">
        <v>100.0</v>
      </c>
      <c r="B112" s="56" t="s">
        <v>314</v>
      </c>
      <c r="C112" s="56" t="s">
        <v>315</v>
      </c>
      <c r="D112" s="56" t="s">
        <v>316</v>
      </c>
      <c r="E112" s="56" t="s">
        <v>317</v>
      </c>
      <c r="F112" s="56" t="s">
        <v>193</v>
      </c>
      <c r="G112" s="57" t="s">
        <v>34</v>
      </c>
      <c r="H112" s="68">
        <f t="shared" si="3"/>
        <v>0</v>
      </c>
      <c r="I112" s="62"/>
      <c r="J112" s="57" t="s">
        <v>130</v>
      </c>
      <c r="K112" s="90"/>
      <c r="L112" s="62"/>
      <c r="M112" s="81"/>
      <c r="N112" s="81"/>
      <c r="O112" s="57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30"/>
      <c r="BP112" s="30"/>
      <c r="BQ112" s="30">
        <v>1.0</v>
      </c>
      <c r="BR112" s="30">
        <f t="shared" si="4"/>
        <v>0</v>
      </c>
      <c r="BS112" s="70">
        <f t="shared" si="5"/>
        <v>0</v>
      </c>
      <c r="BT112" s="70">
        <v>1.0</v>
      </c>
    </row>
    <row r="113" ht="15.75" customHeight="1">
      <c r="A113" s="54">
        <v>100.0</v>
      </c>
      <c r="B113" s="56" t="s">
        <v>318</v>
      </c>
      <c r="C113" s="56" t="s">
        <v>315</v>
      </c>
      <c r="D113" s="56" t="s">
        <v>319</v>
      </c>
      <c r="E113" s="56" t="s">
        <v>320</v>
      </c>
      <c r="F113" s="56" t="s">
        <v>193</v>
      </c>
      <c r="G113" s="57" t="s">
        <v>34</v>
      </c>
      <c r="H113" s="68">
        <f t="shared" si="3"/>
        <v>0</v>
      </c>
      <c r="I113" s="91"/>
      <c r="J113" s="92"/>
      <c r="K113" s="57"/>
      <c r="L113" s="57"/>
      <c r="M113" s="81"/>
      <c r="N113" s="81"/>
      <c r="O113" s="57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30"/>
      <c r="BL113" s="30"/>
      <c r="BM113" s="30"/>
      <c r="BN113" s="30"/>
      <c r="BO113" s="30"/>
      <c r="BP113" s="30"/>
      <c r="BQ113" s="30">
        <v>1.0</v>
      </c>
      <c r="BR113" s="30">
        <f t="shared" si="4"/>
        <v>0</v>
      </c>
      <c r="BS113" s="70">
        <f t="shared" si="5"/>
        <v>0</v>
      </c>
      <c r="BT113" s="70">
        <v>1.0</v>
      </c>
      <c r="BU113" s="82"/>
      <c r="BV113" s="82"/>
      <c r="BW113" s="82"/>
      <c r="BX113" s="82"/>
      <c r="BY113" s="82"/>
      <c r="BZ113" s="82"/>
      <c r="CA113" s="82"/>
      <c r="CB113" s="82"/>
      <c r="CC113" s="82"/>
      <c r="CD113" s="82"/>
      <c r="CE113" s="82"/>
      <c r="CF113" s="82"/>
      <c r="CG113" s="82"/>
      <c r="CH113" s="82"/>
      <c r="CI113" s="82"/>
      <c r="CJ113" s="82"/>
      <c r="CK113" s="82"/>
      <c r="CL113" s="82"/>
      <c r="CM113" s="82"/>
      <c r="CN113" s="82"/>
      <c r="CO113" s="82"/>
      <c r="CP113" s="82"/>
      <c r="CQ113" s="82"/>
      <c r="CR113" s="82"/>
      <c r="CS113" s="82"/>
      <c r="CT113" s="82"/>
      <c r="CU113" s="82"/>
      <c r="CV113" s="82"/>
      <c r="CW113" s="82"/>
      <c r="CX113" s="82"/>
      <c r="CY113" s="82"/>
      <c r="CZ113" s="82"/>
      <c r="DA113" s="82"/>
      <c r="DB113" s="82"/>
      <c r="DC113" s="82"/>
      <c r="DD113" s="82"/>
      <c r="DE113" s="82"/>
      <c r="DF113" s="82"/>
      <c r="DG113" s="82"/>
      <c r="DH113" s="82"/>
      <c r="DI113" s="82"/>
      <c r="DJ113" s="82"/>
      <c r="DK113" s="82"/>
      <c r="DL113" s="82"/>
      <c r="DM113" s="82"/>
      <c r="DN113" s="82"/>
      <c r="DO113" s="82"/>
      <c r="DP113" s="82"/>
      <c r="DQ113" s="82"/>
      <c r="DR113" s="82"/>
      <c r="DS113" s="82"/>
      <c r="DT113" s="82"/>
      <c r="DU113" s="82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2"/>
      <c r="FF113" s="82"/>
      <c r="FG113" s="82"/>
      <c r="FH113" s="82"/>
      <c r="FI113" s="82"/>
      <c r="FJ113" s="82"/>
      <c r="FK113" s="82"/>
      <c r="FL113" s="82"/>
      <c r="FM113" s="82"/>
      <c r="FN113" s="82"/>
      <c r="FO113" s="82"/>
      <c r="FP113" s="82"/>
      <c r="FQ113" s="82"/>
      <c r="FR113" s="82"/>
      <c r="FS113" s="82"/>
      <c r="FT113" s="82"/>
      <c r="FU113" s="82"/>
      <c r="FV113" s="82"/>
      <c r="FW113" s="82"/>
      <c r="FX113" s="82"/>
      <c r="FY113" s="82"/>
      <c r="FZ113" s="82"/>
      <c r="GA113" s="82"/>
      <c r="GB113" s="82"/>
      <c r="GC113" s="82"/>
      <c r="GD113" s="82"/>
      <c r="GE113" s="82"/>
      <c r="GF113" s="82"/>
      <c r="GG113" s="82"/>
      <c r="GH113" s="82"/>
      <c r="GI113" s="82"/>
      <c r="GJ113" s="82"/>
      <c r="GK113" s="82"/>
      <c r="GL113" s="82"/>
      <c r="GM113" s="82"/>
      <c r="GN113" s="82"/>
      <c r="GO113" s="82"/>
      <c r="GP113" s="82"/>
      <c r="GQ113" s="82"/>
      <c r="GR113" s="82"/>
      <c r="GS113" s="82"/>
      <c r="GT113" s="82"/>
      <c r="GU113" s="82"/>
      <c r="GV113" s="82"/>
      <c r="GW113" s="82"/>
      <c r="GX113" s="82"/>
      <c r="GY113" s="82"/>
      <c r="GZ113" s="82"/>
      <c r="HA113" s="82"/>
      <c r="HB113" s="82"/>
      <c r="HC113" s="82"/>
      <c r="HD113" s="82"/>
      <c r="HE113" s="82"/>
      <c r="HF113" s="82"/>
      <c r="HG113" s="82"/>
      <c r="HH113" s="82"/>
      <c r="HI113" s="82"/>
      <c r="HJ113" s="82"/>
      <c r="HK113" s="82"/>
      <c r="HL113" s="82"/>
      <c r="HM113" s="82"/>
      <c r="HN113" s="82"/>
      <c r="HO113" s="82"/>
      <c r="HP113" s="82"/>
      <c r="HQ113" s="82"/>
      <c r="HR113" s="82"/>
      <c r="HS113" s="82"/>
      <c r="HT113" s="82"/>
      <c r="HU113" s="82"/>
      <c r="HV113" s="82"/>
      <c r="HW113" s="82"/>
      <c r="HX113" s="82"/>
      <c r="HY113" s="82"/>
      <c r="HZ113" s="82"/>
      <c r="IA113" s="82"/>
      <c r="IB113" s="82"/>
      <c r="IC113" s="82"/>
      <c r="ID113" s="82"/>
      <c r="IE113" s="82"/>
      <c r="IF113" s="82"/>
      <c r="IG113" s="82"/>
      <c r="IH113" s="82"/>
      <c r="II113" s="82"/>
      <c r="IJ113" s="82"/>
      <c r="IK113" s="82"/>
      <c r="IL113" s="82"/>
      <c r="IM113" s="82"/>
      <c r="IN113" s="82"/>
      <c r="IO113" s="82"/>
      <c r="IP113" s="82"/>
    </row>
    <row r="114" ht="15.75" customHeight="1">
      <c r="A114" s="54">
        <v>100.0</v>
      </c>
      <c r="B114" s="56" t="s">
        <v>318</v>
      </c>
      <c r="C114" s="56" t="s">
        <v>315</v>
      </c>
      <c r="D114" s="56" t="s">
        <v>319</v>
      </c>
      <c r="E114" s="56" t="s">
        <v>325</v>
      </c>
      <c r="F114" s="56" t="s">
        <v>193</v>
      </c>
      <c r="G114" s="57" t="s">
        <v>34</v>
      </c>
      <c r="H114" s="68">
        <f t="shared" si="3"/>
        <v>0</v>
      </c>
      <c r="I114" s="91"/>
      <c r="J114" s="92"/>
      <c r="K114" s="81"/>
      <c r="L114" s="57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30"/>
      <c r="BL114" s="30"/>
      <c r="BM114" s="30"/>
      <c r="BN114" s="30"/>
      <c r="BO114" s="30"/>
      <c r="BP114" s="30"/>
      <c r="BQ114" s="30">
        <v>1.0</v>
      </c>
      <c r="BR114" s="30">
        <f t="shared" si="4"/>
        <v>0</v>
      </c>
      <c r="BS114" s="70">
        <f t="shared" si="5"/>
        <v>0</v>
      </c>
      <c r="BT114" s="70">
        <v>1.0</v>
      </c>
      <c r="BU114" s="82"/>
      <c r="BV114" s="82"/>
      <c r="BW114" s="82"/>
      <c r="BX114" s="82"/>
      <c r="BY114" s="82"/>
      <c r="BZ114" s="82"/>
      <c r="CA114" s="82"/>
      <c r="CB114" s="82"/>
      <c r="CC114" s="82"/>
      <c r="CD114" s="82"/>
      <c r="CE114" s="82"/>
      <c r="CF114" s="82"/>
      <c r="CG114" s="82"/>
      <c r="CH114" s="82"/>
      <c r="CI114" s="82"/>
      <c r="CJ114" s="82"/>
      <c r="CK114" s="82"/>
      <c r="CL114" s="82"/>
      <c r="CM114" s="82"/>
      <c r="CN114" s="82"/>
      <c r="CO114" s="82"/>
      <c r="CP114" s="82"/>
      <c r="CQ114" s="82"/>
      <c r="CR114" s="82"/>
      <c r="CS114" s="82"/>
      <c r="CT114" s="82"/>
      <c r="CU114" s="82"/>
      <c r="CV114" s="82"/>
      <c r="CW114" s="82"/>
      <c r="CX114" s="82"/>
      <c r="CY114" s="82"/>
      <c r="CZ114" s="82"/>
      <c r="DA114" s="82"/>
      <c r="DB114" s="82"/>
      <c r="DC114" s="82"/>
      <c r="DD114" s="82"/>
      <c r="DE114" s="82"/>
      <c r="DF114" s="82"/>
      <c r="DG114" s="82"/>
      <c r="DH114" s="82"/>
      <c r="DI114" s="82"/>
      <c r="DJ114" s="82"/>
      <c r="DK114" s="82"/>
      <c r="DL114" s="82"/>
      <c r="DM114" s="82"/>
      <c r="DN114" s="82"/>
      <c r="DO114" s="82"/>
      <c r="DP114" s="82"/>
      <c r="DQ114" s="82"/>
      <c r="DR114" s="82"/>
      <c r="DS114" s="82"/>
      <c r="DT114" s="82"/>
      <c r="DU114" s="82"/>
      <c r="DV114" s="82"/>
      <c r="DW114" s="82"/>
      <c r="DX114" s="82"/>
      <c r="DY114" s="82"/>
      <c r="DZ114" s="82"/>
      <c r="EA114" s="82"/>
      <c r="EB114" s="82"/>
      <c r="EC114" s="82"/>
      <c r="ED114" s="82"/>
      <c r="EE114" s="82"/>
      <c r="EF114" s="82"/>
      <c r="EG114" s="82"/>
      <c r="EH114" s="82"/>
      <c r="EI114" s="82"/>
      <c r="EJ114" s="82"/>
      <c r="EK114" s="82"/>
      <c r="EL114" s="82"/>
      <c r="EM114" s="82"/>
      <c r="EN114" s="82"/>
      <c r="EO114" s="82"/>
      <c r="EP114" s="82"/>
      <c r="EQ114" s="82"/>
      <c r="ER114" s="82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2"/>
      <c r="FF114" s="82"/>
      <c r="FG114" s="82"/>
      <c r="FH114" s="82"/>
      <c r="FI114" s="82"/>
      <c r="FJ114" s="82"/>
      <c r="FK114" s="82"/>
      <c r="FL114" s="82"/>
      <c r="FM114" s="82"/>
      <c r="FN114" s="82"/>
      <c r="FO114" s="82"/>
      <c r="FP114" s="82"/>
      <c r="FQ114" s="82"/>
      <c r="FR114" s="82"/>
      <c r="FS114" s="82"/>
      <c r="FT114" s="82"/>
      <c r="FU114" s="82"/>
      <c r="FV114" s="82"/>
      <c r="FW114" s="82"/>
      <c r="FX114" s="82"/>
      <c r="FY114" s="82"/>
      <c r="FZ114" s="82"/>
      <c r="GA114" s="82"/>
      <c r="GB114" s="82"/>
      <c r="GC114" s="82"/>
      <c r="GD114" s="82"/>
      <c r="GE114" s="82"/>
      <c r="GF114" s="82"/>
      <c r="GG114" s="82"/>
      <c r="GH114" s="82"/>
      <c r="GI114" s="82"/>
      <c r="GJ114" s="82"/>
      <c r="GK114" s="82"/>
      <c r="GL114" s="82"/>
      <c r="GM114" s="82"/>
      <c r="GN114" s="82"/>
      <c r="GO114" s="82"/>
      <c r="GP114" s="82"/>
      <c r="GQ114" s="82"/>
      <c r="GR114" s="82"/>
      <c r="GS114" s="82"/>
      <c r="GT114" s="82"/>
      <c r="GU114" s="82"/>
      <c r="GV114" s="82"/>
      <c r="GW114" s="82"/>
      <c r="GX114" s="82"/>
      <c r="GY114" s="82"/>
      <c r="GZ114" s="82"/>
      <c r="HA114" s="82"/>
      <c r="HB114" s="82"/>
      <c r="HC114" s="82"/>
      <c r="HD114" s="82"/>
      <c r="HE114" s="82"/>
      <c r="HF114" s="82"/>
      <c r="HG114" s="82"/>
      <c r="HH114" s="82"/>
      <c r="HI114" s="82"/>
      <c r="HJ114" s="82"/>
      <c r="HK114" s="82"/>
      <c r="HL114" s="82"/>
      <c r="HM114" s="82"/>
      <c r="HN114" s="82"/>
      <c r="HO114" s="82"/>
      <c r="HP114" s="82"/>
      <c r="HQ114" s="82"/>
      <c r="HR114" s="82"/>
      <c r="HS114" s="82"/>
      <c r="HT114" s="82"/>
      <c r="HU114" s="82"/>
      <c r="HV114" s="82"/>
      <c r="HW114" s="82"/>
      <c r="HX114" s="82"/>
      <c r="HY114" s="82"/>
      <c r="HZ114" s="82"/>
      <c r="IA114" s="82"/>
      <c r="IB114" s="82"/>
      <c r="IC114" s="82"/>
      <c r="ID114" s="82"/>
      <c r="IE114" s="82"/>
      <c r="IF114" s="82"/>
      <c r="IG114" s="82"/>
      <c r="IH114" s="82"/>
      <c r="II114" s="82"/>
      <c r="IJ114" s="82"/>
      <c r="IK114" s="82"/>
      <c r="IL114" s="82"/>
      <c r="IM114" s="82"/>
      <c r="IN114" s="82"/>
      <c r="IO114" s="82"/>
      <c r="IP114" s="82"/>
    </row>
    <row r="115" ht="15.75" customHeight="1">
      <c r="A115" s="54">
        <v>100.0</v>
      </c>
      <c r="B115" s="56" t="s">
        <v>328</v>
      </c>
      <c r="C115" s="56" t="s">
        <v>315</v>
      </c>
      <c r="D115" s="56" t="s">
        <v>329</v>
      </c>
      <c r="E115" s="56" t="s">
        <v>320</v>
      </c>
      <c r="F115" s="56" t="s">
        <v>193</v>
      </c>
      <c r="G115" s="57" t="s">
        <v>34</v>
      </c>
      <c r="H115" s="68">
        <f t="shared" si="3"/>
        <v>0</v>
      </c>
      <c r="I115" s="94"/>
      <c r="J115" s="92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30"/>
      <c r="BL115" s="70"/>
      <c r="BM115" s="70"/>
      <c r="BN115" s="70"/>
      <c r="BO115" s="30"/>
      <c r="BP115" s="70"/>
      <c r="BQ115" s="30">
        <v>1.0</v>
      </c>
      <c r="BR115" s="30">
        <f t="shared" si="4"/>
        <v>0</v>
      </c>
      <c r="BS115" s="70">
        <f t="shared" si="5"/>
        <v>0</v>
      </c>
      <c r="BT115" s="70">
        <v>1.0</v>
      </c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82"/>
      <c r="EB115" s="82"/>
      <c r="EC115" s="82"/>
      <c r="ED115" s="82"/>
      <c r="EE115" s="82"/>
      <c r="EF115" s="82"/>
      <c r="EG115" s="82"/>
      <c r="EH115" s="82"/>
      <c r="EI115" s="82"/>
      <c r="EJ115" s="82"/>
      <c r="EK115" s="82"/>
      <c r="EL115" s="82"/>
      <c r="EM115" s="82"/>
      <c r="EN115" s="82"/>
      <c r="EO115" s="82"/>
      <c r="EP115" s="82"/>
      <c r="EQ115" s="82"/>
      <c r="ER115" s="82"/>
      <c r="ES115" s="82"/>
      <c r="ET115" s="82"/>
      <c r="EU115" s="82"/>
      <c r="EV115" s="82"/>
      <c r="EW115" s="82"/>
      <c r="EX115" s="82"/>
      <c r="EY115" s="82"/>
      <c r="EZ115" s="82"/>
      <c r="FA115" s="82"/>
      <c r="FB115" s="82"/>
      <c r="FC115" s="82"/>
      <c r="FD115" s="82"/>
      <c r="FE115" s="82"/>
      <c r="FF115" s="82"/>
      <c r="FG115" s="82"/>
      <c r="FH115" s="82"/>
      <c r="FI115" s="82"/>
      <c r="FJ115" s="82"/>
      <c r="FK115" s="82"/>
      <c r="FL115" s="82"/>
      <c r="FM115" s="82"/>
      <c r="FN115" s="82"/>
      <c r="FO115" s="82"/>
      <c r="FP115" s="82"/>
      <c r="FQ115" s="82"/>
      <c r="FR115" s="82"/>
      <c r="FS115" s="82"/>
      <c r="FT115" s="82"/>
      <c r="FU115" s="82"/>
      <c r="FV115" s="82"/>
      <c r="FW115" s="82"/>
      <c r="FX115" s="82"/>
      <c r="FY115" s="82"/>
      <c r="FZ115" s="82"/>
      <c r="GA115" s="82"/>
      <c r="GB115" s="82"/>
      <c r="GC115" s="82"/>
      <c r="GD115" s="82"/>
      <c r="GE115" s="82"/>
      <c r="GF115" s="82"/>
      <c r="GG115" s="82"/>
      <c r="GH115" s="82"/>
      <c r="GI115" s="82"/>
      <c r="GJ115" s="82"/>
      <c r="GK115" s="82"/>
      <c r="GL115" s="82"/>
      <c r="GM115" s="82"/>
      <c r="GN115" s="82"/>
      <c r="GO115" s="82"/>
      <c r="GP115" s="82"/>
      <c r="GQ115" s="82"/>
      <c r="GR115" s="82"/>
      <c r="GS115" s="82"/>
      <c r="GT115" s="82"/>
      <c r="GU115" s="82"/>
      <c r="GV115" s="82"/>
      <c r="GW115" s="82"/>
      <c r="GX115" s="82"/>
      <c r="GY115" s="82"/>
      <c r="GZ115" s="82"/>
      <c r="HA115" s="82"/>
      <c r="HB115" s="82"/>
      <c r="HC115" s="82"/>
      <c r="HD115" s="82"/>
      <c r="HE115" s="82"/>
      <c r="HF115" s="82"/>
      <c r="HG115" s="82"/>
      <c r="HH115" s="82"/>
      <c r="HI115" s="82"/>
      <c r="HJ115" s="82"/>
      <c r="HK115" s="82"/>
      <c r="HL115" s="82"/>
      <c r="HM115" s="82"/>
      <c r="HN115" s="82"/>
      <c r="HO115" s="82"/>
      <c r="HP115" s="82"/>
      <c r="HQ115" s="82"/>
      <c r="HR115" s="82"/>
      <c r="HS115" s="82"/>
      <c r="HT115" s="82"/>
      <c r="HU115" s="82"/>
      <c r="HV115" s="82"/>
      <c r="HW115" s="82"/>
      <c r="HX115" s="82"/>
      <c r="HY115" s="82"/>
      <c r="HZ115" s="82"/>
      <c r="IA115" s="82"/>
      <c r="IB115" s="82"/>
      <c r="IC115" s="82"/>
      <c r="ID115" s="82"/>
      <c r="IE115" s="82"/>
      <c r="IF115" s="82"/>
      <c r="IG115" s="82"/>
      <c r="IH115" s="82"/>
      <c r="II115" s="82"/>
      <c r="IJ115" s="82"/>
      <c r="IK115" s="82"/>
      <c r="IL115" s="82"/>
      <c r="IM115" s="82"/>
      <c r="IN115" s="82"/>
      <c r="IO115" s="82"/>
      <c r="IP115" s="82"/>
    </row>
    <row r="116" ht="15.75" customHeight="1">
      <c r="A116" s="54">
        <v>100.0</v>
      </c>
      <c r="B116" s="56" t="s">
        <v>328</v>
      </c>
      <c r="C116" s="56" t="s">
        <v>315</v>
      </c>
      <c r="D116" s="56" t="s">
        <v>329</v>
      </c>
      <c r="E116" s="56" t="s">
        <v>325</v>
      </c>
      <c r="F116" s="56" t="s">
        <v>193</v>
      </c>
      <c r="G116" s="57" t="s">
        <v>34</v>
      </c>
      <c r="H116" s="68">
        <f t="shared" si="3"/>
        <v>0</v>
      </c>
      <c r="I116" s="94"/>
      <c r="J116" s="92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30"/>
      <c r="BL116" s="70"/>
      <c r="BM116" s="70"/>
      <c r="BN116" s="30"/>
      <c r="BO116" s="70"/>
      <c r="BP116" s="70"/>
      <c r="BQ116" s="30">
        <v>1.0</v>
      </c>
      <c r="BR116" s="30">
        <f t="shared" si="4"/>
        <v>0</v>
      </c>
      <c r="BS116" s="70">
        <f t="shared" si="5"/>
        <v>0</v>
      </c>
      <c r="BT116" s="70">
        <v>1.0</v>
      </c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F116" s="82"/>
      <c r="EG116" s="82"/>
      <c r="EH116" s="82"/>
      <c r="EI116" s="82"/>
      <c r="EJ116" s="82"/>
      <c r="EK116" s="82"/>
      <c r="EL116" s="82"/>
      <c r="EM116" s="82"/>
      <c r="EN116" s="82"/>
      <c r="EO116" s="82"/>
      <c r="EP116" s="82"/>
      <c r="EQ116" s="82"/>
      <c r="ER116" s="82"/>
      <c r="ES116" s="82"/>
      <c r="ET116" s="82"/>
      <c r="EU116" s="82"/>
      <c r="EV116" s="82"/>
      <c r="EW116" s="82"/>
      <c r="EX116" s="82"/>
      <c r="EY116" s="82"/>
      <c r="EZ116" s="82"/>
      <c r="FA116" s="82"/>
      <c r="FB116" s="82"/>
      <c r="FC116" s="82"/>
      <c r="FD116" s="82"/>
      <c r="FE116" s="82"/>
      <c r="FF116" s="82"/>
      <c r="FG116" s="82"/>
      <c r="FH116" s="82"/>
      <c r="FI116" s="82"/>
      <c r="FJ116" s="82"/>
      <c r="FK116" s="82"/>
      <c r="FL116" s="82"/>
      <c r="FM116" s="82"/>
      <c r="FN116" s="82"/>
      <c r="FO116" s="82"/>
      <c r="FP116" s="82"/>
      <c r="FQ116" s="82"/>
      <c r="FR116" s="82"/>
      <c r="FS116" s="82"/>
      <c r="FT116" s="82"/>
      <c r="FU116" s="82"/>
      <c r="FV116" s="82"/>
      <c r="FW116" s="82"/>
      <c r="FX116" s="82"/>
      <c r="FY116" s="82"/>
      <c r="FZ116" s="82"/>
      <c r="GA116" s="82"/>
      <c r="GB116" s="82"/>
      <c r="GC116" s="82"/>
      <c r="GD116" s="82"/>
      <c r="GE116" s="82"/>
      <c r="GF116" s="82"/>
      <c r="GG116" s="82"/>
      <c r="GH116" s="82"/>
      <c r="GI116" s="82"/>
      <c r="GJ116" s="82"/>
      <c r="GK116" s="82"/>
      <c r="GL116" s="82"/>
      <c r="GM116" s="82"/>
      <c r="GN116" s="82"/>
      <c r="GO116" s="82"/>
      <c r="GP116" s="82"/>
      <c r="GQ116" s="82"/>
      <c r="GR116" s="82"/>
      <c r="GS116" s="82"/>
      <c r="GT116" s="82"/>
      <c r="GU116" s="82"/>
      <c r="GV116" s="82"/>
      <c r="GW116" s="82"/>
      <c r="GX116" s="82"/>
      <c r="GY116" s="82"/>
      <c r="GZ116" s="82"/>
      <c r="HA116" s="82"/>
      <c r="HB116" s="82"/>
      <c r="HC116" s="82"/>
      <c r="HD116" s="82"/>
      <c r="HE116" s="82"/>
      <c r="HF116" s="82"/>
      <c r="HG116" s="82"/>
      <c r="HH116" s="82"/>
      <c r="HI116" s="82"/>
      <c r="HJ116" s="82"/>
      <c r="HK116" s="82"/>
      <c r="HL116" s="82"/>
      <c r="HM116" s="82"/>
      <c r="HN116" s="82"/>
      <c r="HO116" s="82"/>
      <c r="HP116" s="82"/>
      <c r="HQ116" s="82"/>
      <c r="HR116" s="82"/>
      <c r="HS116" s="82"/>
      <c r="HT116" s="82"/>
      <c r="HU116" s="82"/>
      <c r="HV116" s="82"/>
      <c r="HW116" s="82"/>
      <c r="HX116" s="82"/>
      <c r="HY116" s="82"/>
      <c r="HZ116" s="82"/>
      <c r="IA116" s="82"/>
      <c r="IB116" s="82"/>
      <c r="IC116" s="82"/>
      <c r="ID116" s="82"/>
      <c r="IE116" s="82"/>
      <c r="IF116" s="82"/>
      <c r="IG116" s="82"/>
      <c r="IH116" s="82"/>
      <c r="II116" s="82"/>
      <c r="IJ116" s="82"/>
      <c r="IK116" s="82"/>
      <c r="IL116" s="82"/>
      <c r="IM116" s="82"/>
      <c r="IN116" s="82"/>
      <c r="IO116" s="82"/>
      <c r="IP116" s="82"/>
    </row>
    <row r="117" ht="15.75" customHeight="1">
      <c r="A117" s="54">
        <v>100.0</v>
      </c>
      <c r="B117" s="56" t="s">
        <v>331</v>
      </c>
      <c r="C117" s="56" t="s">
        <v>315</v>
      </c>
      <c r="D117" s="56" t="s">
        <v>332</v>
      </c>
      <c r="E117" s="56" t="s">
        <v>333</v>
      </c>
      <c r="F117" s="56" t="s">
        <v>249</v>
      </c>
      <c r="G117" s="57" t="s">
        <v>250</v>
      </c>
      <c r="H117" s="68">
        <f t="shared" si="3"/>
        <v>0.25</v>
      </c>
      <c r="I117" s="95"/>
      <c r="J117" s="62" t="s">
        <v>542</v>
      </c>
      <c r="K117" s="96"/>
      <c r="L117" s="53" t="s">
        <v>115</v>
      </c>
      <c r="M117" s="50"/>
      <c r="N117" s="61" t="s">
        <v>637</v>
      </c>
      <c r="O117" s="84" t="s">
        <v>347</v>
      </c>
      <c r="P117" s="53"/>
      <c r="Q117" s="53"/>
      <c r="R117" s="53"/>
      <c r="S117" s="53" t="s">
        <v>638</v>
      </c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87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87"/>
      <c r="BE117" s="53"/>
      <c r="BF117" s="53"/>
      <c r="BG117" s="53"/>
      <c r="BH117" s="53"/>
      <c r="BI117" s="53"/>
      <c r="BJ117" s="53"/>
      <c r="BK117" s="53"/>
      <c r="BL117" s="97"/>
      <c r="BM117" s="98"/>
      <c r="BN117" s="53"/>
      <c r="BO117" s="98"/>
      <c r="BP117" s="98"/>
      <c r="BQ117" s="30">
        <v>4.0</v>
      </c>
      <c r="BR117" s="30">
        <f t="shared" si="4"/>
        <v>1</v>
      </c>
      <c r="BS117" s="70">
        <f t="shared" si="5"/>
        <v>0</v>
      </c>
      <c r="BT117" s="70">
        <v>1.0</v>
      </c>
    </row>
    <row r="118" ht="15.75" customHeight="1">
      <c r="A118" s="54">
        <v>100.0</v>
      </c>
      <c r="B118" s="56" t="s">
        <v>334</v>
      </c>
      <c r="C118" s="56" t="s">
        <v>315</v>
      </c>
      <c r="D118" s="56" t="s">
        <v>335</v>
      </c>
      <c r="E118" s="56" t="s">
        <v>336</v>
      </c>
      <c r="F118" s="56" t="s">
        <v>313</v>
      </c>
      <c r="G118" s="57" t="s">
        <v>192</v>
      </c>
      <c r="H118" s="68">
        <f t="shared" si="3"/>
        <v>0</v>
      </c>
      <c r="I118" s="95"/>
      <c r="J118" s="62"/>
      <c r="K118" s="96"/>
      <c r="L118" s="53" t="s">
        <v>115</v>
      </c>
      <c r="M118" s="50"/>
      <c r="N118" s="50"/>
      <c r="O118" s="84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98"/>
      <c r="BM118" s="98"/>
      <c r="BN118" s="98"/>
      <c r="BO118" s="98"/>
      <c r="BP118" s="98"/>
      <c r="BQ118" s="30">
        <v>3.0</v>
      </c>
      <c r="BR118" s="30">
        <f t="shared" si="4"/>
        <v>0</v>
      </c>
      <c r="BS118" s="70">
        <f t="shared" si="5"/>
        <v>0</v>
      </c>
      <c r="BT118" s="70">
        <v>1.0</v>
      </c>
    </row>
    <row r="119" ht="15.75" customHeight="1">
      <c r="A119" s="54">
        <v>101.0</v>
      </c>
      <c r="B119" s="56" t="s">
        <v>456</v>
      </c>
      <c r="C119" s="56" t="s">
        <v>315</v>
      </c>
      <c r="D119" s="56" t="s">
        <v>340</v>
      </c>
      <c r="E119" s="56" t="s">
        <v>457</v>
      </c>
      <c r="F119" s="56" t="s">
        <v>15</v>
      </c>
      <c r="G119" s="57" t="s">
        <v>15</v>
      </c>
      <c r="H119" s="68">
        <f t="shared" si="3"/>
        <v>0.2115384615</v>
      </c>
      <c r="I119" s="62"/>
      <c r="J119" s="62"/>
      <c r="K119" s="71"/>
      <c r="L119" s="57" t="s">
        <v>115</v>
      </c>
      <c r="M119" s="61"/>
      <c r="N119" s="61"/>
      <c r="O119" s="62"/>
      <c r="P119" s="53" t="s">
        <v>131</v>
      </c>
      <c r="Q119" s="53" t="s">
        <v>131</v>
      </c>
      <c r="R119" s="53" t="s">
        <v>131</v>
      </c>
      <c r="S119" s="53" t="s">
        <v>131</v>
      </c>
      <c r="T119" s="53" t="s">
        <v>131</v>
      </c>
      <c r="U119" s="53" t="s">
        <v>131</v>
      </c>
      <c r="V119" s="53" t="s">
        <v>131</v>
      </c>
      <c r="W119" s="53" t="s">
        <v>131</v>
      </c>
      <c r="X119" s="53" t="s">
        <v>131</v>
      </c>
      <c r="Y119" s="53" t="s">
        <v>131</v>
      </c>
      <c r="Z119" s="53" t="s">
        <v>131</v>
      </c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30">
        <v>52.0</v>
      </c>
      <c r="BR119" s="30">
        <f t="shared" si="4"/>
        <v>11</v>
      </c>
      <c r="BS119" s="70">
        <f t="shared" si="5"/>
        <v>0</v>
      </c>
      <c r="BT119" s="70">
        <v>1.0</v>
      </c>
    </row>
    <row r="120" ht="15.75" customHeight="1">
      <c r="A120" s="54">
        <v>101.0</v>
      </c>
      <c r="B120" s="56" t="s">
        <v>339</v>
      </c>
      <c r="C120" s="56" t="s">
        <v>315</v>
      </c>
      <c r="D120" s="56" t="s">
        <v>340</v>
      </c>
      <c r="E120" s="56" t="s">
        <v>341</v>
      </c>
      <c r="F120" s="56" t="s">
        <v>327</v>
      </c>
      <c r="G120" s="57" t="s">
        <v>154</v>
      </c>
      <c r="H120" s="68">
        <f t="shared" si="3"/>
        <v>0</v>
      </c>
      <c r="I120" s="62"/>
      <c r="J120" s="62"/>
      <c r="K120" s="71"/>
      <c r="L120" s="57" t="s">
        <v>115</v>
      </c>
      <c r="M120" s="61"/>
      <c r="N120" s="61"/>
      <c r="O120" s="62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30">
        <v>2.0</v>
      </c>
      <c r="BR120" s="30">
        <f t="shared" si="4"/>
        <v>0</v>
      </c>
      <c r="BS120" s="70">
        <f t="shared" si="5"/>
        <v>0</v>
      </c>
      <c r="BT120" s="70">
        <v>1.0</v>
      </c>
    </row>
    <row r="121" ht="15.75" customHeight="1">
      <c r="A121" s="54">
        <v>101.0</v>
      </c>
      <c r="B121" s="56" t="s">
        <v>342</v>
      </c>
      <c r="C121" s="56" t="s">
        <v>315</v>
      </c>
      <c r="D121" s="56" t="s">
        <v>340</v>
      </c>
      <c r="E121" s="56" t="s">
        <v>333</v>
      </c>
      <c r="F121" s="56" t="s">
        <v>249</v>
      </c>
      <c r="G121" s="57" t="s">
        <v>250</v>
      </c>
      <c r="H121" s="68">
        <f t="shared" si="3"/>
        <v>0.25</v>
      </c>
      <c r="I121" s="62"/>
      <c r="J121" s="62" t="s">
        <v>542</v>
      </c>
      <c r="K121" s="71"/>
      <c r="L121" s="57" t="s">
        <v>115</v>
      </c>
      <c r="M121" s="61"/>
      <c r="N121" s="61" t="s">
        <v>637</v>
      </c>
      <c r="O121" s="62" t="s">
        <v>347</v>
      </c>
      <c r="P121" s="53"/>
      <c r="Q121" s="53"/>
      <c r="R121" s="53"/>
      <c r="S121" s="53" t="s">
        <v>638</v>
      </c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87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87"/>
      <c r="BE121" s="53"/>
      <c r="BF121" s="53"/>
      <c r="BG121" s="53"/>
      <c r="BH121" s="53"/>
      <c r="BI121" s="53"/>
      <c r="BJ121" s="53"/>
      <c r="BK121" s="53"/>
      <c r="BL121" s="87"/>
      <c r="BM121" s="53"/>
      <c r="BN121" s="53"/>
      <c r="BO121" s="53"/>
      <c r="BP121" s="53"/>
      <c r="BQ121" s="30">
        <v>4.0</v>
      </c>
      <c r="BR121" s="30">
        <f t="shared" si="4"/>
        <v>1</v>
      </c>
      <c r="BS121" s="70">
        <f t="shared" si="5"/>
        <v>0</v>
      </c>
      <c r="BT121" s="70">
        <v>1.0</v>
      </c>
    </row>
    <row r="122" ht="15.75" customHeight="1">
      <c r="A122" s="54">
        <v>101.0</v>
      </c>
      <c r="B122" s="56" t="s">
        <v>343</v>
      </c>
      <c r="C122" s="56" t="s">
        <v>315</v>
      </c>
      <c r="D122" s="56" t="s">
        <v>340</v>
      </c>
      <c r="E122" s="56" t="s">
        <v>333</v>
      </c>
      <c r="F122" s="56" t="s">
        <v>249</v>
      </c>
      <c r="G122" s="57" t="s">
        <v>250</v>
      </c>
      <c r="H122" s="68">
        <f t="shared" si="3"/>
        <v>0.25</v>
      </c>
      <c r="I122" s="62"/>
      <c r="J122" s="62"/>
      <c r="K122" s="71"/>
      <c r="L122" s="57" t="s">
        <v>115</v>
      </c>
      <c r="M122" s="61"/>
      <c r="N122" s="61" t="s">
        <v>637</v>
      </c>
      <c r="O122" s="62" t="s">
        <v>347</v>
      </c>
      <c r="P122" s="53"/>
      <c r="Q122" s="53"/>
      <c r="R122" s="53"/>
      <c r="S122" s="53" t="s">
        <v>638</v>
      </c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87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87"/>
      <c r="BE122" s="53"/>
      <c r="BF122" s="53"/>
      <c r="BG122" s="53"/>
      <c r="BH122" s="53"/>
      <c r="BI122" s="53"/>
      <c r="BJ122" s="53"/>
      <c r="BK122" s="53"/>
      <c r="BL122" s="87"/>
      <c r="BM122" s="53"/>
      <c r="BN122" s="53"/>
      <c r="BO122" s="53"/>
      <c r="BP122" s="53"/>
      <c r="BQ122" s="30">
        <v>4.0</v>
      </c>
      <c r="BR122" s="30">
        <f t="shared" si="4"/>
        <v>1</v>
      </c>
      <c r="BS122" s="70">
        <f t="shared" si="5"/>
        <v>0</v>
      </c>
      <c r="BT122" s="70">
        <v>1.0</v>
      </c>
    </row>
    <row r="123" ht="15.75" customHeight="1">
      <c r="A123" s="54">
        <v>101.0</v>
      </c>
      <c r="B123" s="56" t="s">
        <v>344</v>
      </c>
      <c r="C123" s="56" t="s">
        <v>315</v>
      </c>
      <c r="D123" s="56" t="s">
        <v>340</v>
      </c>
      <c r="E123" s="56" t="s">
        <v>345</v>
      </c>
      <c r="F123" s="56" t="s">
        <v>327</v>
      </c>
      <c r="G123" s="57" t="s">
        <v>154</v>
      </c>
      <c r="H123" s="68">
        <f t="shared" si="3"/>
        <v>0</v>
      </c>
      <c r="I123" s="62"/>
      <c r="J123" s="62"/>
      <c r="K123" s="71"/>
      <c r="L123" s="57" t="s">
        <v>115</v>
      </c>
      <c r="M123" s="61"/>
      <c r="N123" s="61"/>
      <c r="O123" s="62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30">
        <v>2.0</v>
      </c>
      <c r="BR123" s="30">
        <f t="shared" si="4"/>
        <v>0</v>
      </c>
      <c r="BS123" s="70">
        <f t="shared" si="5"/>
        <v>0</v>
      </c>
      <c r="BT123" s="70">
        <v>1.0</v>
      </c>
    </row>
    <row r="124" ht="15.75" customHeight="1">
      <c r="A124" s="54">
        <v>101.0</v>
      </c>
      <c r="B124" s="56" t="s">
        <v>458</v>
      </c>
      <c r="C124" s="56" t="s">
        <v>315</v>
      </c>
      <c r="D124" s="56" t="s">
        <v>351</v>
      </c>
      <c r="E124" s="56" t="s">
        <v>459</v>
      </c>
      <c r="F124" s="56" t="s">
        <v>15</v>
      </c>
      <c r="G124" s="57" t="s">
        <v>15</v>
      </c>
      <c r="H124" s="68">
        <f t="shared" si="3"/>
        <v>0.2115384615</v>
      </c>
      <c r="I124" s="62"/>
      <c r="J124" s="62"/>
      <c r="K124" s="71"/>
      <c r="L124" s="57" t="s">
        <v>115</v>
      </c>
      <c r="M124" s="61"/>
      <c r="N124" s="61"/>
      <c r="O124" s="62"/>
      <c r="P124" s="53" t="s">
        <v>420</v>
      </c>
      <c r="Q124" s="53" t="s">
        <v>420</v>
      </c>
      <c r="R124" s="53" t="s">
        <v>420</v>
      </c>
      <c r="S124" s="53" t="s">
        <v>420</v>
      </c>
      <c r="T124" s="53" t="s">
        <v>420</v>
      </c>
      <c r="U124" s="53" t="s">
        <v>420</v>
      </c>
      <c r="V124" s="53" t="s">
        <v>420</v>
      </c>
      <c r="W124" s="53" t="s">
        <v>420</v>
      </c>
      <c r="X124" s="53" t="s">
        <v>420</v>
      </c>
      <c r="Y124" s="53" t="s">
        <v>420</v>
      </c>
      <c r="Z124" s="53" t="s">
        <v>420</v>
      </c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30">
        <v>52.0</v>
      </c>
      <c r="BR124" s="30">
        <f t="shared" si="4"/>
        <v>11</v>
      </c>
      <c r="BS124" s="70">
        <f t="shared" si="5"/>
        <v>0</v>
      </c>
      <c r="BT124" s="70">
        <v>1.0</v>
      </c>
    </row>
    <row r="125" ht="15.75" customHeight="1">
      <c r="A125" s="54">
        <v>101.0</v>
      </c>
      <c r="B125" s="56" t="s">
        <v>350</v>
      </c>
      <c r="C125" s="56" t="s">
        <v>315</v>
      </c>
      <c r="D125" s="56" t="s">
        <v>351</v>
      </c>
      <c r="E125" s="56" t="s">
        <v>352</v>
      </c>
      <c r="F125" s="56" t="s">
        <v>246</v>
      </c>
      <c r="G125" s="57" t="s">
        <v>154</v>
      </c>
      <c r="H125" s="68">
        <f t="shared" si="3"/>
        <v>0</v>
      </c>
      <c r="I125" s="62"/>
      <c r="J125" s="62"/>
      <c r="K125" s="71"/>
      <c r="L125" s="57" t="s">
        <v>115</v>
      </c>
      <c r="M125" s="61"/>
      <c r="N125" s="61"/>
      <c r="O125" s="62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102"/>
      <c r="BP125" s="53"/>
      <c r="BQ125" s="30">
        <v>2.0</v>
      </c>
      <c r="BR125" s="30">
        <f t="shared" si="4"/>
        <v>0</v>
      </c>
      <c r="BS125" s="70">
        <f t="shared" si="5"/>
        <v>0</v>
      </c>
      <c r="BT125" s="70">
        <v>1.0</v>
      </c>
    </row>
    <row r="126" ht="15.75" customHeight="1">
      <c r="A126" s="54">
        <v>102.0</v>
      </c>
      <c r="B126" s="56" t="s">
        <v>353</v>
      </c>
      <c r="C126" s="56" t="s">
        <v>315</v>
      </c>
      <c r="D126" s="56" t="s">
        <v>354</v>
      </c>
      <c r="E126" s="56" t="s">
        <v>355</v>
      </c>
      <c r="F126" s="56" t="s">
        <v>249</v>
      </c>
      <c r="G126" s="57" t="s">
        <v>250</v>
      </c>
      <c r="H126" s="68">
        <f t="shared" si="3"/>
        <v>0.25</v>
      </c>
      <c r="I126" s="62"/>
      <c r="J126" s="62" t="s">
        <v>557</v>
      </c>
      <c r="K126" s="71"/>
      <c r="L126" s="57" t="s">
        <v>115</v>
      </c>
      <c r="M126" s="61"/>
      <c r="N126" s="61" t="s">
        <v>637</v>
      </c>
      <c r="O126" s="62" t="s">
        <v>363</v>
      </c>
      <c r="P126" s="53"/>
      <c r="Q126" s="53"/>
      <c r="R126" s="53"/>
      <c r="S126" s="53" t="s">
        <v>638</v>
      </c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87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87"/>
      <c r="BE126" s="53"/>
      <c r="BF126" s="53"/>
      <c r="BG126" s="53"/>
      <c r="BH126" s="53"/>
      <c r="BI126" s="53"/>
      <c r="BJ126" s="53"/>
      <c r="BK126" s="53"/>
      <c r="BL126" s="87"/>
      <c r="BM126" s="53"/>
      <c r="BN126" s="53"/>
      <c r="BO126" s="53"/>
      <c r="BP126" s="53"/>
      <c r="BQ126" s="30">
        <v>4.0</v>
      </c>
      <c r="BR126" s="30">
        <f t="shared" si="4"/>
        <v>1</v>
      </c>
      <c r="BS126" s="70">
        <f t="shared" si="5"/>
        <v>0</v>
      </c>
      <c r="BT126" s="70">
        <v>1.0</v>
      </c>
    </row>
    <row r="127" ht="15.75" customHeight="1">
      <c r="A127" s="54">
        <v>102.0</v>
      </c>
      <c r="B127" s="56" t="s">
        <v>353</v>
      </c>
      <c r="C127" s="56" t="s">
        <v>315</v>
      </c>
      <c r="D127" s="56" t="s">
        <v>354</v>
      </c>
      <c r="E127" s="56" t="s">
        <v>461</v>
      </c>
      <c r="F127" s="56" t="s">
        <v>15</v>
      </c>
      <c r="G127" s="57" t="s">
        <v>15</v>
      </c>
      <c r="H127" s="68">
        <f t="shared" si="3"/>
        <v>0.2115384615</v>
      </c>
      <c r="I127" s="62"/>
      <c r="J127" s="62"/>
      <c r="K127" s="71"/>
      <c r="L127" s="57" t="s">
        <v>115</v>
      </c>
      <c r="M127" s="61"/>
      <c r="N127" s="61"/>
      <c r="O127" s="62"/>
      <c r="P127" s="53" t="s">
        <v>131</v>
      </c>
      <c r="Q127" s="53" t="s">
        <v>131</v>
      </c>
      <c r="R127" s="53" t="s">
        <v>131</v>
      </c>
      <c r="S127" s="53" t="s">
        <v>131</v>
      </c>
      <c r="T127" s="53" t="s">
        <v>131</v>
      </c>
      <c r="U127" s="53" t="s">
        <v>131</v>
      </c>
      <c r="V127" s="53" t="s">
        <v>131</v>
      </c>
      <c r="W127" s="53" t="s">
        <v>131</v>
      </c>
      <c r="X127" s="53" t="s">
        <v>131</v>
      </c>
      <c r="Y127" s="53" t="s">
        <v>131</v>
      </c>
      <c r="Z127" s="53" t="s">
        <v>131</v>
      </c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30">
        <v>52.0</v>
      </c>
      <c r="BR127" s="30">
        <f t="shared" si="4"/>
        <v>11</v>
      </c>
      <c r="BS127" s="70">
        <f t="shared" si="5"/>
        <v>0</v>
      </c>
      <c r="BT127" s="70">
        <v>1.0</v>
      </c>
    </row>
    <row r="128" ht="15.75" customHeight="1">
      <c r="A128" s="54">
        <v>110.0</v>
      </c>
      <c r="B128" s="56" t="s">
        <v>356</v>
      </c>
      <c r="C128" s="56" t="s">
        <v>259</v>
      </c>
      <c r="D128" s="56" t="s">
        <v>357</v>
      </c>
      <c r="E128" s="56" t="s">
        <v>358</v>
      </c>
      <c r="F128" s="56" t="s">
        <v>193</v>
      </c>
      <c r="G128" s="57" t="s">
        <v>34</v>
      </c>
      <c r="H128" s="68">
        <f t="shared" si="3"/>
        <v>0</v>
      </c>
      <c r="I128" s="62"/>
      <c r="J128" s="62"/>
      <c r="K128" s="71"/>
      <c r="L128" s="57" t="s">
        <v>115</v>
      </c>
      <c r="M128" s="61"/>
      <c r="N128" s="61"/>
      <c r="O128" s="62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75"/>
      <c r="BQ128" s="30">
        <v>1.0</v>
      </c>
      <c r="BR128" s="30">
        <f t="shared" si="4"/>
        <v>0</v>
      </c>
      <c r="BS128" s="70">
        <f t="shared" si="5"/>
        <v>0</v>
      </c>
      <c r="BT128" s="70">
        <v>1.0</v>
      </c>
    </row>
    <row r="129" ht="15.75" customHeight="1">
      <c r="A129" s="54">
        <v>110.0</v>
      </c>
      <c r="B129" s="56" t="s">
        <v>359</v>
      </c>
      <c r="C129" s="56" t="s">
        <v>259</v>
      </c>
      <c r="D129" s="56" t="s">
        <v>360</v>
      </c>
      <c r="E129" s="56" t="s">
        <v>358</v>
      </c>
      <c r="F129" s="56" t="s">
        <v>193</v>
      </c>
      <c r="G129" s="57" t="s">
        <v>34</v>
      </c>
      <c r="H129" s="68">
        <f t="shared" si="3"/>
        <v>0</v>
      </c>
      <c r="I129" s="62"/>
      <c r="J129" s="62"/>
      <c r="K129" s="71"/>
      <c r="L129" s="57" t="s">
        <v>115</v>
      </c>
      <c r="M129" s="61"/>
      <c r="N129" s="61"/>
      <c r="O129" s="62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75"/>
      <c r="BQ129" s="30">
        <v>1.0</v>
      </c>
      <c r="BR129" s="30">
        <f t="shared" si="4"/>
        <v>0</v>
      </c>
      <c r="BS129" s="70">
        <f t="shared" si="5"/>
        <v>0</v>
      </c>
      <c r="BT129" s="70">
        <v>1.0</v>
      </c>
    </row>
    <row r="130" ht="15.75" customHeight="1">
      <c r="A130" s="54">
        <v>110.0</v>
      </c>
      <c r="B130" s="56" t="s">
        <v>258</v>
      </c>
      <c r="C130" s="56" t="s">
        <v>259</v>
      </c>
      <c r="D130" s="56" t="s">
        <v>85</v>
      </c>
      <c r="E130" s="56" t="s">
        <v>86</v>
      </c>
      <c r="F130" s="56" t="s">
        <v>173</v>
      </c>
      <c r="G130" s="57" t="s">
        <v>87</v>
      </c>
      <c r="H130" s="68">
        <f t="shared" si="3"/>
        <v>0.1666666667</v>
      </c>
      <c r="I130" s="62"/>
      <c r="J130" s="62" t="s">
        <v>88</v>
      </c>
      <c r="K130" s="71"/>
      <c r="L130" s="57" t="s">
        <v>130</v>
      </c>
      <c r="M130" s="61"/>
      <c r="N130" s="61"/>
      <c r="O130" s="62" t="s">
        <v>88</v>
      </c>
      <c r="P130" s="53"/>
      <c r="Q130" s="53"/>
      <c r="R130" s="53"/>
      <c r="S130" s="53"/>
      <c r="T130" s="53" t="s">
        <v>652</v>
      </c>
      <c r="U130" s="53"/>
      <c r="V130" s="53"/>
      <c r="W130" s="53"/>
      <c r="X130" s="53" t="s">
        <v>653</v>
      </c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30">
        <v>12.0</v>
      </c>
      <c r="BR130" s="30">
        <f t="shared" si="4"/>
        <v>2</v>
      </c>
      <c r="BS130" s="70">
        <f t="shared" si="5"/>
        <v>0</v>
      </c>
      <c r="BT130" s="70">
        <v>1.0</v>
      </c>
    </row>
    <row r="131" ht="15.75" customHeight="1">
      <c r="A131" s="54">
        <v>110.0</v>
      </c>
      <c r="B131" s="56" t="s">
        <v>260</v>
      </c>
      <c r="C131" s="56" t="s">
        <v>259</v>
      </c>
      <c r="D131" s="56" t="s">
        <v>261</v>
      </c>
      <c r="E131" s="56" t="s">
        <v>86</v>
      </c>
      <c r="F131" s="56" t="s">
        <v>173</v>
      </c>
      <c r="G131" s="57" t="s">
        <v>87</v>
      </c>
      <c r="H131" s="68">
        <f t="shared" si="3"/>
        <v>0.1666666667</v>
      </c>
      <c r="I131" s="62"/>
      <c r="J131" s="62" t="s">
        <v>88</v>
      </c>
      <c r="K131" s="71"/>
      <c r="L131" s="57" t="s">
        <v>130</v>
      </c>
      <c r="M131" s="61"/>
      <c r="N131" s="61"/>
      <c r="O131" s="62" t="s">
        <v>88</v>
      </c>
      <c r="P131" s="53"/>
      <c r="Q131" s="53"/>
      <c r="R131" s="53"/>
      <c r="S131" s="53"/>
      <c r="T131" s="53" t="s">
        <v>652</v>
      </c>
      <c r="U131" s="99"/>
      <c r="V131" s="53"/>
      <c r="W131" s="53"/>
      <c r="X131" s="53" t="s">
        <v>653</v>
      </c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99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99"/>
      <c r="BK131" s="53"/>
      <c r="BL131" s="53"/>
      <c r="BM131" s="53"/>
      <c r="BN131" s="53"/>
      <c r="BO131" s="53"/>
      <c r="BP131" s="53"/>
      <c r="BQ131" s="30">
        <v>12.0</v>
      </c>
      <c r="BR131" s="30">
        <f t="shared" si="4"/>
        <v>2</v>
      </c>
      <c r="BS131" s="70">
        <f t="shared" si="5"/>
        <v>0</v>
      </c>
      <c r="BT131" s="70">
        <v>1.0</v>
      </c>
    </row>
    <row r="132" ht="15.75" customHeight="1">
      <c r="A132" s="54">
        <v>110.0</v>
      </c>
      <c r="B132" s="56" t="s">
        <v>361</v>
      </c>
      <c r="C132" s="56" t="s">
        <v>259</v>
      </c>
      <c r="D132" s="56" t="s">
        <v>362</v>
      </c>
      <c r="E132" s="56" t="s">
        <v>358</v>
      </c>
      <c r="F132" s="56" t="s">
        <v>193</v>
      </c>
      <c r="G132" s="57" t="s">
        <v>34</v>
      </c>
      <c r="H132" s="68">
        <f t="shared" si="3"/>
        <v>0</v>
      </c>
      <c r="I132" s="62"/>
      <c r="J132" s="62"/>
      <c r="K132" s="71"/>
      <c r="L132" s="57" t="s">
        <v>115</v>
      </c>
      <c r="M132" s="61"/>
      <c r="N132" s="61"/>
      <c r="O132" s="62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75"/>
      <c r="BQ132" s="30">
        <v>1.0</v>
      </c>
      <c r="BR132" s="30">
        <f t="shared" si="4"/>
        <v>0</v>
      </c>
      <c r="BS132" s="70">
        <f t="shared" si="5"/>
        <v>0</v>
      </c>
      <c r="BT132" s="70">
        <v>1.0</v>
      </c>
    </row>
    <row r="133" ht="15.75" customHeight="1">
      <c r="A133" s="54">
        <v>110.0</v>
      </c>
      <c r="B133" s="56" t="s">
        <v>364</v>
      </c>
      <c r="C133" s="56" t="s">
        <v>259</v>
      </c>
      <c r="D133" s="56" t="s">
        <v>365</v>
      </c>
      <c r="E133" s="56" t="s">
        <v>358</v>
      </c>
      <c r="F133" s="56" t="s">
        <v>193</v>
      </c>
      <c r="G133" s="57" t="s">
        <v>34</v>
      </c>
      <c r="H133" s="68">
        <f t="shared" si="3"/>
        <v>0</v>
      </c>
      <c r="I133" s="62"/>
      <c r="J133" s="62"/>
      <c r="K133" s="71"/>
      <c r="L133" s="57" t="s">
        <v>115</v>
      </c>
      <c r="M133" s="61"/>
      <c r="N133" s="61"/>
      <c r="O133" s="62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75"/>
      <c r="BQ133" s="30">
        <v>1.0</v>
      </c>
      <c r="BR133" s="30">
        <f t="shared" si="4"/>
        <v>0</v>
      </c>
      <c r="BS133" s="70">
        <f t="shared" si="5"/>
        <v>0</v>
      </c>
      <c r="BT133" s="70">
        <v>1.0</v>
      </c>
    </row>
    <row r="134" ht="15.75" customHeight="1">
      <c r="A134" s="54">
        <v>110.0</v>
      </c>
      <c r="B134" s="56" t="s">
        <v>366</v>
      </c>
      <c r="C134" s="56" t="s">
        <v>259</v>
      </c>
      <c r="D134" s="56" t="s">
        <v>367</v>
      </c>
      <c r="E134" s="56" t="s">
        <v>358</v>
      </c>
      <c r="F134" s="56" t="s">
        <v>193</v>
      </c>
      <c r="G134" s="57" t="s">
        <v>34</v>
      </c>
      <c r="H134" s="68">
        <f t="shared" si="3"/>
        <v>0</v>
      </c>
      <c r="I134" s="62"/>
      <c r="J134" s="62"/>
      <c r="K134" s="71"/>
      <c r="L134" s="57" t="s">
        <v>115</v>
      </c>
      <c r="M134" s="61"/>
      <c r="N134" s="61"/>
      <c r="O134" s="62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75"/>
      <c r="BQ134" s="30">
        <v>1.0</v>
      </c>
      <c r="BR134" s="30">
        <f t="shared" si="4"/>
        <v>0</v>
      </c>
      <c r="BS134" s="70">
        <f t="shared" si="5"/>
        <v>0</v>
      </c>
      <c r="BT134" s="70">
        <v>1.0</v>
      </c>
    </row>
    <row r="135" ht="15.75" customHeight="1">
      <c r="A135" s="54">
        <v>110.0</v>
      </c>
      <c r="B135" s="56" t="s">
        <v>368</v>
      </c>
      <c r="C135" s="56" t="s">
        <v>259</v>
      </c>
      <c r="D135" s="56" t="s">
        <v>369</v>
      </c>
      <c r="E135" s="56" t="s">
        <v>358</v>
      </c>
      <c r="F135" s="56" t="s">
        <v>193</v>
      </c>
      <c r="G135" s="57" t="s">
        <v>34</v>
      </c>
      <c r="H135" s="68">
        <f t="shared" si="3"/>
        <v>0</v>
      </c>
      <c r="I135" s="62"/>
      <c r="J135" s="62"/>
      <c r="K135" s="71"/>
      <c r="L135" s="57" t="s">
        <v>115</v>
      </c>
      <c r="M135" s="61"/>
      <c r="N135" s="61"/>
      <c r="O135" s="62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75"/>
      <c r="BQ135" s="30">
        <v>1.0</v>
      </c>
      <c r="BR135" s="30">
        <f t="shared" si="4"/>
        <v>0</v>
      </c>
      <c r="BS135" s="70">
        <f t="shared" si="5"/>
        <v>0</v>
      </c>
      <c r="BT135" s="70">
        <v>1.0</v>
      </c>
    </row>
    <row r="136" ht="15.75" customHeight="1">
      <c r="A136" s="54">
        <v>110.0</v>
      </c>
      <c r="B136" s="56" t="s">
        <v>370</v>
      </c>
      <c r="C136" s="56" t="s">
        <v>259</v>
      </c>
      <c r="D136" s="56" t="s">
        <v>371</v>
      </c>
      <c r="E136" s="56" t="s">
        <v>336</v>
      </c>
      <c r="F136" s="56" t="s">
        <v>313</v>
      </c>
      <c r="G136" s="57" t="s">
        <v>192</v>
      </c>
      <c r="H136" s="68">
        <f t="shared" si="3"/>
        <v>0</v>
      </c>
      <c r="I136" s="62"/>
      <c r="J136" s="62"/>
      <c r="K136" s="71"/>
      <c r="L136" s="57" t="s">
        <v>115</v>
      </c>
      <c r="M136" s="61"/>
      <c r="N136" s="61"/>
      <c r="O136" s="62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30">
        <v>3.0</v>
      </c>
      <c r="BR136" s="30">
        <f t="shared" si="4"/>
        <v>0</v>
      </c>
      <c r="BS136" s="70">
        <f t="shared" si="5"/>
        <v>0</v>
      </c>
      <c r="BT136" s="70">
        <v>1.0</v>
      </c>
    </row>
    <row r="137" ht="15.75" customHeight="1">
      <c r="A137" s="54">
        <v>110.0</v>
      </c>
      <c r="B137" s="56" t="s">
        <v>370</v>
      </c>
      <c r="C137" s="56" t="s">
        <v>259</v>
      </c>
      <c r="D137" s="56" t="s">
        <v>371</v>
      </c>
      <c r="E137" s="56" t="s">
        <v>372</v>
      </c>
      <c r="F137" s="56" t="s">
        <v>193</v>
      </c>
      <c r="G137" s="57" t="s">
        <v>34</v>
      </c>
      <c r="H137" s="68">
        <f t="shared" si="3"/>
        <v>0</v>
      </c>
      <c r="I137" s="62"/>
      <c r="J137" s="62"/>
      <c r="K137" s="71"/>
      <c r="L137" s="57" t="s">
        <v>115</v>
      </c>
      <c r="M137" s="61"/>
      <c r="N137" s="61"/>
      <c r="O137" s="62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30">
        <v>1.0</v>
      </c>
      <c r="BR137" s="30">
        <f t="shared" si="4"/>
        <v>0</v>
      </c>
      <c r="BS137" s="70">
        <f t="shared" si="5"/>
        <v>0</v>
      </c>
      <c r="BT137" s="70">
        <v>1.0</v>
      </c>
    </row>
    <row r="138" ht="15.75" customHeight="1">
      <c r="A138" s="54">
        <v>110.0</v>
      </c>
      <c r="B138" s="56" t="s">
        <v>370</v>
      </c>
      <c r="C138" s="56" t="s">
        <v>259</v>
      </c>
      <c r="D138" s="56" t="s">
        <v>371</v>
      </c>
      <c r="E138" s="56" t="s">
        <v>158</v>
      </c>
      <c r="F138" s="56" t="s">
        <v>193</v>
      </c>
      <c r="G138" s="57" t="s">
        <v>34</v>
      </c>
      <c r="H138" s="68">
        <f t="shared" si="3"/>
        <v>0</v>
      </c>
      <c r="I138" s="62"/>
      <c r="J138" s="62"/>
      <c r="K138" s="71"/>
      <c r="L138" s="57" t="s">
        <v>115</v>
      </c>
      <c r="M138" s="61"/>
      <c r="N138" s="61"/>
      <c r="O138" s="62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30">
        <v>1.0</v>
      </c>
      <c r="BR138" s="30">
        <f t="shared" si="4"/>
        <v>0</v>
      </c>
      <c r="BS138" s="70">
        <f t="shared" si="5"/>
        <v>0</v>
      </c>
      <c r="BT138" s="70">
        <v>1.0</v>
      </c>
    </row>
    <row r="139" ht="15.75" customHeight="1">
      <c r="A139" s="54">
        <v>110.0</v>
      </c>
      <c r="B139" s="56" t="s">
        <v>373</v>
      </c>
      <c r="C139" s="56" t="s">
        <v>259</v>
      </c>
      <c r="D139" s="56" t="s">
        <v>374</v>
      </c>
      <c r="E139" s="56" t="s">
        <v>336</v>
      </c>
      <c r="F139" s="56" t="s">
        <v>313</v>
      </c>
      <c r="G139" s="57" t="s">
        <v>192</v>
      </c>
      <c r="H139" s="68">
        <f t="shared" si="3"/>
        <v>0</v>
      </c>
      <c r="I139" s="62"/>
      <c r="J139" s="62"/>
      <c r="K139" s="71"/>
      <c r="L139" s="57" t="s">
        <v>115</v>
      </c>
      <c r="M139" s="61"/>
      <c r="N139" s="61"/>
      <c r="O139" s="62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30">
        <v>3.0</v>
      </c>
      <c r="BR139" s="30">
        <f t="shared" si="4"/>
        <v>0</v>
      </c>
      <c r="BS139" s="70">
        <f t="shared" si="5"/>
        <v>0</v>
      </c>
      <c r="BT139" s="70">
        <v>1.0</v>
      </c>
    </row>
    <row r="140" ht="15.75" customHeight="1">
      <c r="A140" s="54">
        <v>110.0</v>
      </c>
      <c r="B140" s="56" t="s">
        <v>375</v>
      </c>
      <c r="C140" s="56" t="s">
        <v>259</v>
      </c>
      <c r="D140" s="56" t="s">
        <v>376</v>
      </c>
      <c r="E140" s="56" t="s">
        <v>336</v>
      </c>
      <c r="F140" s="56" t="s">
        <v>313</v>
      </c>
      <c r="G140" s="57" t="s">
        <v>192</v>
      </c>
      <c r="H140" s="68">
        <f t="shared" si="3"/>
        <v>0</v>
      </c>
      <c r="I140" s="62"/>
      <c r="J140" s="62"/>
      <c r="K140" s="71"/>
      <c r="L140" s="57" t="s">
        <v>115</v>
      </c>
      <c r="M140" s="61"/>
      <c r="N140" s="61"/>
      <c r="O140" s="62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30">
        <v>3.0</v>
      </c>
      <c r="BR140" s="30">
        <f t="shared" si="4"/>
        <v>0</v>
      </c>
      <c r="BS140" s="70">
        <f t="shared" si="5"/>
        <v>0</v>
      </c>
      <c r="BT140" s="70">
        <v>1.0</v>
      </c>
    </row>
    <row r="141" ht="15.75" customHeight="1">
      <c r="A141" s="54">
        <v>110.0</v>
      </c>
      <c r="B141" s="56" t="s">
        <v>375</v>
      </c>
      <c r="C141" s="56" t="s">
        <v>259</v>
      </c>
      <c r="D141" s="56" t="s">
        <v>376</v>
      </c>
      <c r="E141" s="56" t="s">
        <v>372</v>
      </c>
      <c r="F141" s="56" t="s">
        <v>193</v>
      </c>
      <c r="G141" s="57" t="s">
        <v>34</v>
      </c>
      <c r="H141" s="68">
        <f t="shared" si="3"/>
        <v>0</v>
      </c>
      <c r="I141" s="62"/>
      <c r="J141" s="62"/>
      <c r="K141" s="71"/>
      <c r="L141" s="57" t="s">
        <v>115</v>
      </c>
      <c r="M141" s="61"/>
      <c r="N141" s="61"/>
      <c r="O141" s="62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30">
        <v>1.0</v>
      </c>
      <c r="BR141" s="30">
        <f t="shared" si="4"/>
        <v>0</v>
      </c>
      <c r="BS141" s="70">
        <f t="shared" si="5"/>
        <v>0</v>
      </c>
      <c r="BT141" s="70">
        <v>1.0</v>
      </c>
    </row>
    <row r="142" ht="15.75" customHeight="1">
      <c r="A142" s="54">
        <v>110.0</v>
      </c>
      <c r="B142" s="56" t="s">
        <v>375</v>
      </c>
      <c r="C142" s="56" t="s">
        <v>259</v>
      </c>
      <c r="D142" s="56" t="s">
        <v>376</v>
      </c>
      <c r="E142" s="56" t="s">
        <v>158</v>
      </c>
      <c r="F142" s="56" t="s">
        <v>193</v>
      </c>
      <c r="G142" s="57" t="s">
        <v>34</v>
      </c>
      <c r="H142" s="68">
        <f t="shared" si="3"/>
        <v>0</v>
      </c>
      <c r="I142" s="62"/>
      <c r="J142" s="62"/>
      <c r="K142" s="71"/>
      <c r="L142" s="57" t="s">
        <v>115</v>
      </c>
      <c r="M142" s="61"/>
      <c r="N142" s="61"/>
      <c r="O142" s="62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30">
        <v>1.0</v>
      </c>
      <c r="BR142" s="30">
        <f t="shared" si="4"/>
        <v>0</v>
      </c>
      <c r="BS142" s="70">
        <f t="shared" si="5"/>
        <v>0</v>
      </c>
      <c r="BT142" s="70">
        <v>1.0</v>
      </c>
    </row>
    <row r="143" ht="15.75" customHeight="1">
      <c r="A143" s="54">
        <v>110.0</v>
      </c>
      <c r="B143" s="56" t="s">
        <v>377</v>
      </c>
      <c r="C143" s="56" t="s">
        <v>259</v>
      </c>
      <c r="D143" s="56" t="s">
        <v>378</v>
      </c>
      <c r="E143" s="56" t="s">
        <v>336</v>
      </c>
      <c r="F143" s="56" t="s">
        <v>313</v>
      </c>
      <c r="G143" s="57" t="s">
        <v>192</v>
      </c>
      <c r="H143" s="68">
        <f t="shared" si="3"/>
        <v>0</v>
      </c>
      <c r="I143" s="62"/>
      <c r="J143" s="62"/>
      <c r="K143" s="71"/>
      <c r="L143" s="57" t="s">
        <v>115</v>
      </c>
      <c r="M143" s="61"/>
      <c r="N143" s="61"/>
      <c r="O143" s="62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30">
        <v>3.0</v>
      </c>
      <c r="BR143" s="30">
        <f t="shared" si="4"/>
        <v>0</v>
      </c>
      <c r="BS143" s="70">
        <f t="shared" si="5"/>
        <v>0</v>
      </c>
      <c r="BT143" s="70">
        <v>1.0</v>
      </c>
    </row>
    <row r="144" ht="15.75" customHeight="1">
      <c r="A144" s="54">
        <v>110.0</v>
      </c>
      <c r="B144" s="56" t="s">
        <v>380</v>
      </c>
      <c r="C144" s="56" t="s">
        <v>259</v>
      </c>
      <c r="D144" s="56" t="s">
        <v>381</v>
      </c>
      <c r="E144" s="56" t="s">
        <v>336</v>
      </c>
      <c r="F144" s="56" t="s">
        <v>313</v>
      </c>
      <c r="G144" s="57" t="s">
        <v>192</v>
      </c>
      <c r="H144" s="68">
        <f t="shared" si="3"/>
        <v>0</v>
      </c>
      <c r="I144" s="62"/>
      <c r="J144" s="62"/>
      <c r="K144" s="71"/>
      <c r="L144" s="57" t="s">
        <v>115</v>
      </c>
      <c r="M144" s="61"/>
      <c r="N144" s="61"/>
      <c r="O144" s="62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30">
        <v>3.0</v>
      </c>
      <c r="BR144" s="30">
        <f t="shared" si="4"/>
        <v>0</v>
      </c>
      <c r="BS144" s="70">
        <f t="shared" si="5"/>
        <v>0</v>
      </c>
      <c r="BT144" s="70">
        <v>1.0</v>
      </c>
    </row>
    <row r="145" ht="15.75" customHeight="1">
      <c r="A145" s="54">
        <v>110.0</v>
      </c>
      <c r="B145" s="56" t="s">
        <v>382</v>
      </c>
      <c r="C145" s="56" t="s">
        <v>259</v>
      </c>
      <c r="D145" s="56" t="s">
        <v>383</v>
      </c>
      <c r="E145" s="56" t="s">
        <v>336</v>
      </c>
      <c r="F145" s="56" t="s">
        <v>313</v>
      </c>
      <c r="G145" s="57" t="s">
        <v>192</v>
      </c>
      <c r="H145" s="68">
        <f t="shared" si="3"/>
        <v>0</v>
      </c>
      <c r="I145" s="62"/>
      <c r="J145" s="62"/>
      <c r="K145" s="71"/>
      <c r="L145" s="57" t="s">
        <v>115</v>
      </c>
      <c r="M145" s="61"/>
      <c r="N145" s="61"/>
      <c r="O145" s="62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30">
        <v>3.0</v>
      </c>
      <c r="BR145" s="30">
        <f t="shared" si="4"/>
        <v>0</v>
      </c>
      <c r="BS145" s="70">
        <f t="shared" si="5"/>
        <v>0</v>
      </c>
      <c r="BT145" s="70">
        <v>1.0</v>
      </c>
    </row>
    <row r="146" ht="15.75" customHeight="1">
      <c r="A146" s="54">
        <v>110.0</v>
      </c>
      <c r="B146" s="56" t="s">
        <v>385</v>
      </c>
      <c r="C146" s="56" t="s">
        <v>259</v>
      </c>
      <c r="D146" s="56" t="s">
        <v>386</v>
      </c>
      <c r="E146" s="56" t="s">
        <v>336</v>
      </c>
      <c r="F146" s="56" t="s">
        <v>313</v>
      </c>
      <c r="G146" s="57" t="s">
        <v>192</v>
      </c>
      <c r="H146" s="68">
        <f t="shared" si="3"/>
        <v>0</v>
      </c>
      <c r="I146" s="62"/>
      <c r="J146" s="62"/>
      <c r="K146" s="71"/>
      <c r="L146" s="57" t="s">
        <v>115</v>
      </c>
      <c r="M146" s="61"/>
      <c r="N146" s="61"/>
      <c r="O146" s="62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30">
        <v>3.0</v>
      </c>
      <c r="BR146" s="30">
        <f t="shared" si="4"/>
        <v>0</v>
      </c>
      <c r="BS146" s="70">
        <f t="shared" si="5"/>
        <v>0</v>
      </c>
      <c r="BT146" s="70">
        <v>1.0</v>
      </c>
    </row>
    <row r="147" ht="15.75" customHeight="1">
      <c r="A147" s="54">
        <v>110.0</v>
      </c>
      <c r="B147" s="56" t="s">
        <v>385</v>
      </c>
      <c r="C147" s="56" t="s">
        <v>259</v>
      </c>
      <c r="D147" s="56" t="s">
        <v>386</v>
      </c>
      <c r="E147" s="56" t="s">
        <v>372</v>
      </c>
      <c r="F147" s="56" t="s">
        <v>193</v>
      </c>
      <c r="G147" s="57" t="s">
        <v>34</v>
      </c>
      <c r="H147" s="68">
        <f t="shared" si="3"/>
        <v>0</v>
      </c>
      <c r="I147" s="62"/>
      <c r="J147" s="62"/>
      <c r="K147" s="71"/>
      <c r="L147" s="57" t="s">
        <v>115</v>
      </c>
      <c r="M147" s="61"/>
      <c r="N147" s="61"/>
      <c r="O147" s="62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30">
        <v>1.0</v>
      </c>
      <c r="BR147" s="30">
        <f t="shared" si="4"/>
        <v>0</v>
      </c>
      <c r="BS147" s="70">
        <f t="shared" si="5"/>
        <v>0</v>
      </c>
      <c r="BT147" s="70">
        <v>1.0</v>
      </c>
    </row>
    <row r="148" ht="15.75" customHeight="1">
      <c r="A148" s="54">
        <v>110.0</v>
      </c>
      <c r="B148" s="56" t="s">
        <v>385</v>
      </c>
      <c r="C148" s="56" t="s">
        <v>259</v>
      </c>
      <c r="D148" s="56" t="s">
        <v>386</v>
      </c>
      <c r="E148" s="56" t="s">
        <v>158</v>
      </c>
      <c r="F148" s="56" t="s">
        <v>193</v>
      </c>
      <c r="G148" s="57" t="s">
        <v>34</v>
      </c>
      <c r="H148" s="68">
        <f t="shared" si="3"/>
        <v>0</v>
      </c>
      <c r="I148" s="62"/>
      <c r="J148" s="62"/>
      <c r="K148" s="71"/>
      <c r="L148" s="57" t="s">
        <v>115</v>
      </c>
      <c r="M148" s="61"/>
      <c r="N148" s="61"/>
      <c r="O148" s="62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30">
        <v>1.0</v>
      </c>
      <c r="BR148" s="30">
        <f t="shared" si="4"/>
        <v>0</v>
      </c>
      <c r="BS148" s="70">
        <f t="shared" si="5"/>
        <v>0</v>
      </c>
      <c r="BT148" s="70">
        <v>1.0</v>
      </c>
    </row>
    <row r="149" ht="15.75" customHeight="1">
      <c r="A149" s="54">
        <v>110.0</v>
      </c>
      <c r="B149" s="56" t="s">
        <v>388</v>
      </c>
      <c r="C149" s="56" t="s">
        <v>259</v>
      </c>
      <c r="D149" s="56" t="s">
        <v>389</v>
      </c>
      <c r="E149" s="56" t="s">
        <v>336</v>
      </c>
      <c r="F149" s="56" t="s">
        <v>313</v>
      </c>
      <c r="G149" s="57" t="s">
        <v>192</v>
      </c>
      <c r="H149" s="68">
        <f t="shared" si="3"/>
        <v>0</v>
      </c>
      <c r="I149" s="62"/>
      <c r="J149" s="62"/>
      <c r="K149" s="71"/>
      <c r="L149" s="57" t="s">
        <v>115</v>
      </c>
      <c r="M149" s="61"/>
      <c r="N149" s="61"/>
      <c r="O149" s="62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30">
        <v>3.0</v>
      </c>
      <c r="BR149" s="30">
        <f t="shared" si="4"/>
        <v>0</v>
      </c>
      <c r="BS149" s="70">
        <f t="shared" si="5"/>
        <v>0</v>
      </c>
      <c r="BT149" s="70">
        <v>1.0</v>
      </c>
    </row>
    <row r="150" ht="15.75" customHeight="1">
      <c r="A150" s="54">
        <v>110.0</v>
      </c>
      <c r="B150" s="56" t="s">
        <v>388</v>
      </c>
      <c r="C150" s="56" t="s">
        <v>259</v>
      </c>
      <c r="D150" s="56" t="s">
        <v>389</v>
      </c>
      <c r="E150" s="56" t="s">
        <v>372</v>
      </c>
      <c r="F150" s="56" t="s">
        <v>193</v>
      </c>
      <c r="G150" s="57" t="s">
        <v>34</v>
      </c>
      <c r="H150" s="68">
        <f t="shared" si="3"/>
        <v>0</v>
      </c>
      <c r="I150" s="62"/>
      <c r="J150" s="62"/>
      <c r="K150" s="71"/>
      <c r="L150" s="57" t="s">
        <v>115</v>
      </c>
      <c r="M150" s="61"/>
      <c r="N150" s="61"/>
      <c r="O150" s="62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30">
        <v>1.0</v>
      </c>
      <c r="BR150" s="30">
        <f t="shared" si="4"/>
        <v>0</v>
      </c>
      <c r="BS150" s="70">
        <f t="shared" si="5"/>
        <v>0</v>
      </c>
      <c r="BT150" s="70">
        <v>1.0</v>
      </c>
    </row>
    <row r="151" ht="15.75" customHeight="1">
      <c r="A151" s="54">
        <v>110.0</v>
      </c>
      <c r="B151" s="56" t="s">
        <v>388</v>
      </c>
      <c r="C151" s="56" t="s">
        <v>259</v>
      </c>
      <c r="D151" s="56" t="s">
        <v>389</v>
      </c>
      <c r="E151" s="56" t="s">
        <v>158</v>
      </c>
      <c r="F151" s="56" t="s">
        <v>193</v>
      </c>
      <c r="G151" s="57" t="s">
        <v>34</v>
      </c>
      <c r="H151" s="68">
        <f t="shared" si="3"/>
        <v>0</v>
      </c>
      <c r="I151" s="62"/>
      <c r="J151" s="62"/>
      <c r="K151" s="71"/>
      <c r="L151" s="57" t="s">
        <v>115</v>
      </c>
      <c r="M151" s="61"/>
      <c r="N151" s="61"/>
      <c r="O151" s="62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30">
        <v>1.0</v>
      </c>
      <c r="BR151" s="30">
        <f t="shared" si="4"/>
        <v>0</v>
      </c>
      <c r="BS151" s="70">
        <f t="shared" si="5"/>
        <v>0</v>
      </c>
      <c r="BT151" s="70">
        <v>1.0</v>
      </c>
    </row>
    <row r="152" ht="15.75" customHeight="1">
      <c r="A152" s="54">
        <v>110.0</v>
      </c>
      <c r="B152" s="56" t="s">
        <v>390</v>
      </c>
      <c r="C152" s="56" t="s">
        <v>259</v>
      </c>
      <c r="D152" s="56" t="s">
        <v>391</v>
      </c>
      <c r="E152" s="56" t="s">
        <v>372</v>
      </c>
      <c r="F152" s="56" t="s">
        <v>193</v>
      </c>
      <c r="G152" s="57" t="s">
        <v>34</v>
      </c>
      <c r="H152" s="68">
        <f t="shared" si="3"/>
        <v>0</v>
      </c>
      <c r="I152" s="62"/>
      <c r="J152" s="62"/>
      <c r="K152" s="71"/>
      <c r="L152" s="57" t="s">
        <v>115</v>
      </c>
      <c r="M152" s="61"/>
      <c r="N152" s="61"/>
      <c r="O152" s="62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30">
        <v>1.0</v>
      </c>
      <c r="BR152" s="30">
        <f t="shared" si="4"/>
        <v>0</v>
      </c>
      <c r="BS152" s="70">
        <f t="shared" si="5"/>
        <v>0</v>
      </c>
      <c r="BT152" s="70">
        <v>1.0</v>
      </c>
    </row>
    <row r="153" ht="15.75" customHeight="1">
      <c r="A153" s="54">
        <v>110.0</v>
      </c>
      <c r="B153" s="56" t="s">
        <v>390</v>
      </c>
      <c r="C153" s="56" t="s">
        <v>259</v>
      </c>
      <c r="D153" s="56" t="s">
        <v>391</v>
      </c>
      <c r="E153" s="56" t="s">
        <v>158</v>
      </c>
      <c r="F153" s="56" t="s">
        <v>193</v>
      </c>
      <c r="G153" s="57" t="s">
        <v>34</v>
      </c>
      <c r="H153" s="68">
        <f t="shared" si="3"/>
        <v>0</v>
      </c>
      <c r="I153" s="62"/>
      <c r="J153" s="62"/>
      <c r="K153" s="71"/>
      <c r="L153" s="57" t="s">
        <v>115</v>
      </c>
      <c r="M153" s="61"/>
      <c r="N153" s="61"/>
      <c r="O153" s="62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75"/>
      <c r="BQ153" s="30">
        <v>1.0</v>
      </c>
      <c r="BR153" s="30">
        <f t="shared" si="4"/>
        <v>0</v>
      </c>
      <c r="BS153" s="70">
        <f t="shared" si="5"/>
        <v>0</v>
      </c>
      <c r="BT153" s="70">
        <v>1.0</v>
      </c>
    </row>
    <row r="154" ht="15.75" customHeight="1">
      <c r="A154" s="54">
        <v>110.0</v>
      </c>
      <c r="B154" s="56" t="s">
        <v>392</v>
      </c>
      <c r="C154" s="56" t="s">
        <v>101</v>
      </c>
      <c r="D154" s="56" t="s">
        <v>102</v>
      </c>
      <c r="E154" s="56" t="s">
        <v>111</v>
      </c>
      <c r="F154" s="56" t="s">
        <v>168</v>
      </c>
      <c r="G154" s="57" t="s">
        <v>34</v>
      </c>
      <c r="H154" s="68">
        <f t="shared" si="3"/>
        <v>0</v>
      </c>
      <c r="I154" s="62"/>
      <c r="J154" s="62"/>
      <c r="K154" s="71"/>
      <c r="L154" s="57" t="s">
        <v>130</v>
      </c>
      <c r="M154" s="61"/>
      <c r="N154" s="61"/>
      <c r="O154" s="62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75"/>
      <c r="BQ154" s="30">
        <v>1.0</v>
      </c>
      <c r="BR154" s="30">
        <f t="shared" si="4"/>
        <v>0</v>
      </c>
      <c r="BS154" s="70">
        <f t="shared" si="5"/>
        <v>0</v>
      </c>
      <c r="BT154" s="70">
        <v>1.0</v>
      </c>
    </row>
    <row r="155" ht="15.75" customHeight="1">
      <c r="A155" s="54">
        <v>120.0</v>
      </c>
      <c r="B155" s="56" t="s">
        <v>393</v>
      </c>
      <c r="C155" s="56" t="s">
        <v>394</v>
      </c>
      <c r="D155" s="56" t="s">
        <v>299</v>
      </c>
      <c r="E155" s="56" t="s">
        <v>163</v>
      </c>
      <c r="F155" s="56" t="s">
        <v>327</v>
      </c>
      <c r="G155" s="57" t="s">
        <v>154</v>
      </c>
      <c r="H155" s="68">
        <f t="shared" si="3"/>
        <v>0</v>
      </c>
      <c r="I155" s="62"/>
      <c r="J155" s="62" t="s">
        <v>207</v>
      </c>
      <c r="K155" s="71"/>
      <c r="L155" s="57" t="s">
        <v>115</v>
      </c>
      <c r="M155" s="61"/>
      <c r="N155" s="61"/>
      <c r="O155" s="62" t="s">
        <v>207</v>
      </c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102"/>
      <c r="BP155" s="53"/>
      <c r="BQ155" s="30">
        <v>2.0</v>
      </c>
      <c r="BR155" s="30">
        <f t="shared" si="4"/>
        <v>0</v>
      </c>
      <c r="BS155" s="70">
        <f t="shared" si="5"/>
        <v>0</v>
      </c>
      <c r="BT155" s="70">
        <v>1.0</v>
      </c>
    </row>
    <row r="156" ht="15.75" customHeight="1">
      <c r="A156" s="54">
        <v>120.0</v>
      </c>
      <c r="B156" s="56" t="s">
        <v>395</v>
      </c>
      <c r="C156" s="56" t="s">
        <v>394</v>
      </c>
      <c r="D156" s="56" t="s">
        <v>172</v>
      </c>
      <c r="E156" s="56" t="s">
        <v>163</v>
      </c>
      <c r="F156" s="56" t="s">
        <v>327</v>
      </c>
      <c r="G156" s="57" t="s">
        <v>154</v>
      </c>
      <c r="H156" s="68">
        <f t="shared" si="3"/>
        <v>0</v>
      </c>
      <c r="I156" s="62"/>
      <c r="J156" s="62"/>
      <c r="K156" s="71"/>
      <c r="L156" s="57" t="s">
        <v>115</v>
      </c>
      <c r="M156" s="61"/>
      <c r="N156" s="61"/>
      <c r="O156" s="62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102"/>
      <c r="BP156" s="53"/>
      <c r="BQ156" s="30">
        <v>2.0</v>
      </c>
      <c r="BR156" s="30">
        <f t="shared" si="4"/>
        <v>0</v>
      </c>
      <c r="BS156" s="70">
        <f t="shared" si="5"/>
        <v>0</v>
      </c>
      <c r="BT156" s="70">
        <v>1.0</v>
      </c>
    </row>
    <row r="157" ht="15.75" customHeight="1">
      <c r="A157" s="54">
        <v>120.0</v>
      </c>
      <c r="B157" s="56" t="s">
        <v>396</v>
      </c>
      <c r="C157" s="56" t="s">
        <v>394</v>
      </c>
      <c r="D157" s="56" t="s">
        <v>397</v>
      </c>
      <c r="E157" s="56" t="s">
        <v>163</v>
      </c>
      <c r="F157" s="56" t="s">
        <v>327</v>
      </c>
      <c r="G157" s="57" t="s">
        <v>154</v>
      </c>
      <c r="H157" s="68">
        <f t="shared" si="3"/>
        <v>0</v>
      </c>
      <c r="I157" s="62"/>
      <c r="J157" s="62"/>
      <c r="K157" s="71"/>
      <c r="L157" s="57" t="s">
        <v>115</v>
      </c>
      <c r="M157" s="61"/>
      <c r="N157" s="61"/>
      <c r="O157" s="62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102"/>
      <c r="BP157" s="53"/>
      <c r="BQ157" s="30">
        <v>2.0</v>
      </c>
      <c r="BR157" s="30">
        <f t="shared" si="4"/>
        <v>0</v>
      </c>
      <c r="BS157" s="70">
        <f t="shared" si="5"/>
        <v>0</v>
      </c>
      <c r="BT157" s="70">
        <v>1.0</v>
      </c>
    </row>
    <row r="158" ht="15.75" customHeight="1">
      <c r="A158" s="54">
        <v>120.0</v>
      </c>
      <c r="B158" s="56" t="s">
        <v>398</v>
      </c>
      <c r="C158" s="56" t="s">
        <v>394</v>
      </c>
      <c r="D158" s="56" t="s">
        <v>399</v>
      </c>
      <c r="E158" s="56" t="s">
        <v>163</v>
      </c>
      <c r="F158" s="56" t="s">
        <v>327</v>
      </c>
      <c r="G158" s="57" t="s">
        <v>154</v>
      </c>
      <c r="H158" s="68">
        <f t="shared" si="3"/>
        <v>0</v>
      </c>
      <c r="I158" s="62"/>
      <c r="J158" s="62"/>
      <c r="K158" s="71"/>
      <c r="L158" s="57" t="s">
        <v>115</v>
      </c>
      <c r="M158" s="61"/>
      <c r="N158" s="61"/>
      <c r="O158" s="62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102"/>
      <c r="BP158" s="53"/>
      <c r="BQ158" s="30">
        <v>2.0</v>
      </c>
      <c r="BR158" s="30">
        <f t="shared" si="4"/>
        <v>0</v>
      </c>
      <c r="BS158" s="70">
        <f t="shared" si="5"/>
        <v>0</v>
      </c>
      <c r="BT158" s="70">
        <v>1.0</v>
      </c>
    </row>
    <row r="159" ht="15.75" customHeight="1">
      <c r="A159" s="54">
        <v>120.0</v>
      </c>
      <c r="B159" s="56" t="s">
        <v>400</v>
      </c>
      <c r="C159" s="56" t="s">
        <v>394</v>
      </c>
      <c r="D159" s="56" t="s">
        <v>401</v>
      </c>
      <c r="E159" s="56" t="s">
        <v>163</v>
      </c>
      <c r="F159" s="56" t="s">
        <v>327</v>
      </c>
      <c r="G159" s="57" t="s">
        <v>154</v>
      </c>
      <c r="H159" s="68">
        <f t="shared" si="3"/>
        <v>0</v>
      </c>
      <c r="I159" s="62"/>
      <c r="J159" s="62"/>
      <c r="K159" s="71"/>
      <c r="L159" s="57" t="s">
        <v>115</v>
      </c>
      <c r="M159" s="61"/>
      <c r="N159" s="61"/>
      <c r="O159" s="62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102"/>
      <c r="BP159" s="53"/>
      <c r="BQ159" s="30">
        <v>2.0</v>
      </c>
      <c r="BR159" s="30">
        <f t="shared" si="4"/>
        <v>0</v>
      </c>
      <c r="BS159" s="70">
        <f t="shared" si="5"/>
        <v>0</v>
      </c>
      <c r="BT159" s="70">
        <v>1.0</v>
      </c>
    </row>
    <row r="160" ht="15.75" customHeight="1">
      <c r="A160" s="54">
        <v>120.0</v>
      </c>
      <c r="B160" s="56" t="s">
        <v>262</v>
      </c>
      <c r="C160" s="56" t="s">
        <v>263</v>
      </c>
      <c r="D160" s="56" t="s">
        <v>263</v>
      </c>
      <c r="E160" s="56" t="s">
        <v>264</v>
      </c>
      <c r="F160" s="56" t="s">
        <v>630</v>
      </c>
      <c r="G160" s="57" t="s">
        <v>87</v>
      </c>
      <c r="H160" s="68">
        <f t="shared" si="3"/>
        <v>0.1666666667</v>
      </c>
      <c r="I160" s="79"/>
      <c r="J160" s="79" t="s">
        <v>273</v>
      </c>
      <c r="K160" s="100"/>
      <c r="L160" s="57" t="s">
        <v>115</v>
      </c>
      <c r="M160" s="61"/>
      <c r="N160" s="61"/>
      <c r="O160" s="79" t="s">
        <v>273</v>
      </c>
      <c r="P160" s="53"/>
      <c r="Q160" s="53"/>
      <c r="R160" s="53"/>
      <c r="S160" s="53"/>
      <c r="T160" s="53" t="s">
        <v>701</v>
      </c>
      <c r="U160" s="53"/>
      <c r="V160" s="53"/>
      <c r="W160" s="53"/>
      <c r="X160" s="53" t="s">
        <v>702</v>
      </c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30">
        <v>12.0</v>
      </c>
      <c r="BR160" s="30">
        <f t="shared" si="4"/>
        <v>2</v>
      </c>
      <c r="BS160" s="70">
        <f t="shared" si="5"/>
        <v>0</v>
      </c>
      <c r="BT160" s="70">
        <v>1.0</v>
      </c>
    </row>
    <row r="161" ht="15.75" customHeight="1">
      <c r="A161" s="54">
        <v>130.0</v>
      </c>
      <c r="B161" s="56" t="s">
        <v>404</v>
      </c>
      <c r="C161" s="56" t="s">
        <v>405</v>
      </c>
      <c r="D161" s="56" t="s">
        <v>406</v>
      </c>
      <c r="E161" s="56" t="s">
        <v>407</v>
      </c>
      <c r="F161" s="56" t="s">
        <v>249</v>
      </c>
      <c r="G161" s="57" t="s">
        <v>250</v>
      </c>
      <c r="H161" s="68">
        <f t="shared" si="3"/>
        <v>0.25</v>
      </c>
      <c r="I161" s="62" t="s">
        <v>634</v>
      </c>
      <c r="J161" s="62" t="s">
        <v>414</v>
      </c>
      <c r="K161" s="71"/>
      <c r="L161" s="57" t="s">
        <v>115</v>
      </c>
      <c r="M161" s="61"/>
      <c r="N161" s="61" t="s">
        <v>637</v>
      </c>
      <c r="O161" s="62" t="s">
        <v>414</v>
      </c>
      <c r="P161" s="53"/>
      <c r="Q161" s="53"/>
      <c r="R161" s="53"/>
      <c r="S161" s="53" t="s">
        <v>638</v>
      </c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87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87"/>
      <c r="BE161" s="53"/>
      <c r="BF161" s="53"/>
      <c r="BG161" s="53"/>
      <c r="BH161" s="53"/>
      <c r="BI161" s="53"/>
      <c r="BJ161" s="53"/>
      <c r="BK161" s="53"/>
      <c r="BL161" s="87"/>
      <c r="BM161" s="53"/>
      <c r="BN161" s="53"/>
      <c r="BO161" s="30"/>
      <c r="BP161" s="30"/>
      <c r="BQ161" s="30">
        <v>4.0</v>
      </c>
      <c r="BR161" s="30">
        <f t="shared" si="4"/>
        <v>1</v>
      </c>
      <c r="BS161" s="70">
        <f t="shared" si="5"/>
        <v>0</v>
      </c>
      <c r="BT161" s="70">
        <v>1.0</v>
      </c>
    </row>
    <row r="162" ht="15.75" customHeight="1">
      <c r="A162" s="54">
        <v>130.0</v>
      </c>
      <c r="B162" s="56" t="s">
        <v>404</v>
      </c>
      <c r="C162" s="56" t="s">
        <v>405</v>
      </c>
      <c r="D162" s="56" t="s">
        <v>406</v>
      </c>
      <c r="E162" s="56" t="s">
        <v>408</v>
      </c>
      <c r="F162" s="56" t="s">
        <v>249</v>
      </c>
      <c r="G162" s="57" t="s">
        <v>250</v>
      </c>
      <c r="H162" s="68">
        <f t="shared" si="3"/>
        <v>0.25</v>
      </c>
      <c r="I162" s="62" t="s">
        <v>634</v>
      </c>
      <c r="J162" s="62" t="s">
        <v>417</v>
      </c>
      <c r="K162" s="71"/>
      <c r="L162" s="57" t="s">
        <v>115</v>
      </c>
      <c r="M162" s="61"/>
      <c r="N162" s="61" t="s">
        <v>637</v>
      </c>
      <c r="O162" s="62" t="s">
        <v>417</v>
      </c>
      <c r="P162" s="53"/>
      <c r="Q162" s="53"/>
      <c r="R162" s="53"/>
      <c r="S162" s="53" t="s">
        <v>638</v>
      </c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30"/>
      <c r="BP162" s="101"/>
      <c r="BQ162" s="30">
        <v>4.0</v>
      </c>
      <c r="BR162" s="30">
        <f t="shared" si="4"/>
        <v>1</v>
      </c>
      <c r="BS162" s="70">
        <f t="shared" si="5"/>
        <v>0</v>
      </c>
      <c r="BT162" s="70">
        <v>1.0</v>
      </c>
    </row>
    <row r="163" ht="15.75" customHeight="1">
      <c r="A163" s="54">
        <v>130.0</v>
      </c>
      <c r="B163" s="56" t="s">
        <v>404</v>
      </c>
      <c r="C163" s="56" t="s">
        <v>405</v>
      </c>
      <c r="D163" s="56" t="s">
        <v>406</v>
      </c>
      <c r="E163" s="56" t="s">
        <v>111</v>
      </c>
      <c r="F163" s="56" t="s">
        <v>246</v>
      </c>
      <c r="G163" s="57" t="s">
        <v>154</v>
      </c>
      <c r="H163" s="68">
        <f t="shared" si="3"/>
        <v>0</v>
      </c>
      <c r="I163" s="62" t="s">
        <v>146</v>
      </c>
      <c r="J163" s="62"/>
      <c r="K163" s="71"/>
      <c r="L163" s="57" t="s">
        <v>115</v>
      </c>
      <c r="M163" s="61"/>
      <c r="N163" s="61"/>
      <c r="O163" s="62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102"/>
      <c r="BP163" s="53"/>
      <c r="BQ163" s="30">
        <v>2.0</v>
      </c>
      <c r="BR163" s="30">
        <f t="shared" si="4"/>
        <v>0</v>
      </c>
      <c r="BS163" s="70">
        <f t="shared" si="5"/>
        <v>0</v>
      </c>
      <c r="BT163" s="70">
        <v>1.0</v>
      </c>
    </row>
    <row r="164" ht="15.75" customHeight="1">
      <c r="A164" s="54">
        <v>130.0</v>
      </c>
      <c r="B164" s="56" t="s">
        <v>404</v>
      </c>
      <c r="C164" s="56" t="s">
        <v>405</v>
      </c>
      <c r="D164" s="56" t="s">
        <v>406</v>
      </c>
      <c r="E164" s="56" t="s">
        <v>409</v>
      </c>
      <c r="F164" s="56" t="s">
        <v>246</v>
      </c>
      <c r="G164" s="57" t="s">
        <v>154</v>
      </c>
      <c r="H164" s="68">
        <f t="shared" si="3"/>
        <v>0</v>
      </c>
      <c r="I164" s="62" t="s">
        <v>146</v>
      </c>
      <c r="J164" s="62"/>
      <c r="K164" s="71"/>
      <c r="L164" s="57" t="s">
        <v>115</v>
      </c>
      <c r="M164" s="61"/>
      <c r="N164" s="61"/>
      <c r="O164" s="62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102"/>
      <c r="BP164" s="53"/>
      <c r="BQ164" s="30">
        <v>2.0</v>
      </c>
      <c r="BR164" s="30">
        <f t="shared" si="4"/>
        <v>0</v>
      </c>
      <c r="BS164" s="70">
        <f t="shared" si="5"/>
        <v>0</v>
      </c>
      <c r="BT164" s="70">
        <v>1.0</v>
      </c>
    </row>
    <row r="165" ht="15.75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410</v>
      </c>
      <c r="F165" s="56" t="s">
        <v>246</v>
      </c>
      <c r="G165" s="57" t="s">
        <v>154</v>
      </c>
      <c r="H165" s="68">
        <f t="shared" si="3"/>
        <v>0</v>
      </c>
      <c r="I165" s="62" t="s">
        <v>146</v>
      </c>
      <c r="J165" s="62"/>
      <c r="K165" s="71"/>
      <c r="L165" s="57" t="s">
        <v>115</v>
      </c>
      <c r="M165" s="61"/>
      <c r="N165" s="61"/>
      <c r="O165" s="62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102"/>
      <c r="BP165" s="53"/>
      <c r="BQ165" s="30">
        <v>2.0</v>
      </c>
      <c r="BR165" s="30">
        <f t="shared" si="4"/>
        <v>0</v>
      </c>
      <c r="BS165" s="70">
        <f t="shared" si="5"/>
        <v>0</v>
      </c>
      <c r="BT165" s="70">
        <v>1.0</v>
      </c>
    </row>
    <row r="166" ht="15.75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411</v>
      </c>
      <c r="F166" s="56" t="s">
        <v>246</v>
      </c>
      <c r="G166" s="57" t="s">
        <v>154</v>
      </c>
      <c r="H166" s="68">
        <f t="shared" si="3"/>
        <v>0</v>
      </c>
      <c r="I166" s="62" t="s">
        <v>146</v>
      </c>
      <c r="J166" s="62"/>
      <c r="K166" s="71"/>
      <c r="L166" s="57" t="s">
        <v>115</v>
      </c>
      <c r="M166" s="61"/>
      <c r="N166" s="61"/>
      <c r="O166" s="62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102"/>
      <c r="BP166" s="53"/>
      <c r="BQ166" s="30">
        <v>2.0</v>
      </c>
      <c r="BR166" s="30">
        <f t="shared" si="4"/>
        <v>0</v>
      </c>
      <c r="BS166" s="70">
        <f t="shared" si="5"/>
        <v>0</v>
      </c>
      <c r="BT166" s="70">
        <v>1.0</v>
      </c>
    </row>
    <row r="167" ht="15.75" customHeight="1">
      <c r="A167" s="54">
        <v>130.0</v>
      </c>
      <c r="B167" s="56" t="s">
        <v>706</v>
      </c>
      <c r="C167" s="56" t="s">
        <v>707</v>
      </c>
      <c r="D167" s="56" t="s">
        <v>708</v>
      </c>
      <c r="E167" s="56" t="s">
        <v>709</v>
      </c>
      <c r="F167" s="56" t="s">
        <v>249</v>
      </c>
      <c r="G167" s="57" t="s">
        <v>250</v>
      </c>
      <c r="H167" s="68">
        <f t="shared" si="3"/>
        <v>0.25</v>
      </c>
      <c r="I167" s="62"/>
      <c r="J167" s="62"/>
      <c r="K167" s="71"/>
      <c r="L167" s="57"/>
      <c r="M167" s="61"/>
      <c r="N167" s="61" t="s">
        <v>710</v>
      </c>
      <c r="O167" s="62" t="s">
        <v>711</v>
      </c>
      <c r="P167" s="53"/>
      <c r="Q167" s="53"/>
      <c r="R167" s="53"/>
      <c r="S167" s="53" t="s">
        <v>326</v>
      </c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102"/>
      <c r="BP167" s="53"/>
      <c r="BQ167" s="30">
        <v>4.0</v>
      </c>
      <c r="BR167" s="30">
        <f t="shared" si="4"/>
        <v>1</v>
      </c>
      <c r="BS167" s="70">
        <f t="shared" si="5"/>
        <v>0</v>
      </c>
      <c r="BT167" s="70">
        <v>1.0</v>
      </c>
    </row>
    <row r="168" ht="15.75" customHeight="1">
      <c r="A168" s="54">
        <v>130.0</v>
      </c>
      <c r="B168" s="56" t="s">
        <v>712</v>
      </c>
      <c r="C168" s="56" t="s">
        <v>707</v>
      </c>
      <c r="D168" s="56" t="s">
        <v>713</v>
      </c>
      <c r="E168" s="56" t="s">
        <v>709</v>
      </c>
      <c r="F168" s="56" t="s">
        <v>249</v>
      </c>
      <c r="G168" s="57" t="s">
        <v>250</v>
      </c>
      <c r="H168" s="68">
        <f t="shared" si="3"/>
        <v>0.25</v>
      </c>
      <c r="I168" s="62"/>
      <c r="J168" s="62"/>
      <c r="K168" s="71"/>
      <c r="L168" s="57"/>
      <c r="M168" s="61"/>
      <c r="N168" s="61" t="s">
        <v>710</v>
      </c>
      <c r="O168" s="62" t="s">
        <v>711</v>
      </c>
      <c r="P168" s="53"/>
      <c r="Q168" s="53"/>
      <c r="R168" s="53"/>
      <c r="S168" s="53" t="s">
        <v>326</v>
      </c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102"/>
      <c r="BP168" s="53"/>
      <c r="BQ168" s="30">
        <v>4.0</v>
      </c>
      <c r="BR168" s="30">
        <f t="shared" si="4"/>
        <v>1</v>
      </c>
      <c r="BS168" s="70">
        <f t="shared" si="5"/>
        <v>0</v>
      </c>
      <c r="BT168" s="70">
        <v>1.0</v>
      </c>
    </row>
    <row r="169" ht="16.5" customHeight="1">
      <c r="A169" s="54">
        <v>130.0</v>
      </c>
      <c r="B169" s="56" t="s">
        <v>412</v>
      </c>
      <c r="C169" s="56"/>
      <c r="D169" s="56" t="s">
        <v>413</v>
      </c>
      <c r="E169" s="56" t="s">
        <v>336</v>
      </c>
      <c r="F169" s="56" t="s">
        <v>313</v>
      </c>
      <c r="G169" s="57" t="s">
        <v>192</v>
      </c>
      <c r="H169" s="68">
        <f t="shared" si="3"/>
        <v>0</v>
      </c>
      <c r="I169" s="62"/>
      <c r="J169" s="62"/>
      <c r="K169" s="71"/>
      <c r="L169" s="57" t="s">
        <v>115</v>
      </c>
      <c r="M169" s="61"/>
      <c r="N169" s="61"/>
      <c r="O169" s="62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30"/>
      <c r="BP169" s="53"/>
      <c r="BQ169" s="30">
        <v>3.0</v>
      </c>
      <c r="BR169" s="30">
        <f t="shared" si="4"/>
        <v>0</v>
      </c>
      <c r="BS169" s="70">
        <f t="shared" si="5"/>
        <v>0</v>
      </c>
      <c r="BT169" s="70">
        <v>1.0</v>
      </c>
    </row>
    <row r="170" ht="15.75" customHeight="1">
      <c r="A170" s="54">
        <v>130.0</v>
      </c>
      <c r="B170" s="56" t="s">
        <v>415</v>
      </c>
      <c r="C170" s="56" t="s">
        <v>148</v>
      </c>
      <c r="D170" s="56" t="s">
        <v>416</v>
      </c>
      <c r="E170" s="56" t="s">
        <v>150</v>
      </c>
      <c r="F170" s="56" t="s">
        <v>168</v>
      </c>
      <c r="G170" s="57" t="s">
        <v>34</v>
      </c>
      <c r="H170" s="68">
        <f t="shared" si="3"/>
        <v>0</v>
      </c>
      <c r="I170" s="62"/>
      <c r="J170" s="62"/>
      <c r="K170" s="71"/>
      <c r="L170" s="57" t="s">
        <v>130</v>
      </c>
      <c r="M170" s="61"/>
      <c r="N170" s="61"/>
      <c r="O170" s="62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30"/>
      <c r="BP170" s="30"/>
      <c r="BQ170" s="30">
        <v>1.0</v>
      </c>
      <c r="BR170" s="30">
        <f t="shared" si="4"/>
        <v>0</v>
      </c>
      <c r="BS170" s="70">
        <f t="shared" si="5"/>
        <v>0</v>
      </c>
      <c r="BT170" s="70">
        <v>1.0</v>
      </c>
    </row>
    <row r="171" ht="15.75" customHeight="1">
      <c r="A171" s="54">
        <v>130.0</v>
      </c>
      <c r="B171" s="56" t="s">
        <v>418</v>
      </c>
      <c r="C171" s="56" t="s">
        <v>148</v>
      </c>
      <c r="D171" s="56" t="s">
        <v>419</v>
      </c>
      <c r="E171" s="56" t="s">
        <v>150</v>
      </c>
      <c r="F171" s="56" t="s">
        <v>168</v>
      </c>
      <c r="G171" s="57" t="s">
        <v>34</v>
      </c>
      <c r="H171" s="68">
        <f t="shared" si="3"/>
        <v>0</v>
      </c>
      <c r="I171" s="62"/>
      <c r="J171" s="62"/>
      <c r="K171" s="71"/>
      <c r="L171" s="57" t="s">
        <v>130</v>
      </c>
      <c r="M171" s="61"/>
      <c r="N171" s="61"/>
      <c r="O171" s="62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30"/>
      <c r="BP171" s="30"/>
      <c r="BQ171" s="30">
        <v>1.0</v>
      </c>
      <c r="BR171" s="30">
        <f t="shared" si="4"/>
        <v>0</v>
      </c>
      <c r="BS171" s="70">
        <f t="shared" si="5"/>
        <v>0</v>
      </c>
      <c r="BT171" s="70">
        <v>1.0</v>
      </c>
    </row>
    <row r="172" ht="15.75" customHeight="1">
      <c r="A172" s="54">
        <v>136.0</v>
      </c>
      <c r="B172" s="56" t="s">
        <v>421</v>
      </c>
      <c r="C172" s="56" t="s">
        <v>422</v>
      </c>
      <c r="D172" s="56" t="s">
        <v>422</v>
      </c>
      <c r="E172" s="56" t="s">
        <v>423</v>
      </c>
      <c r="F172" s="56" t="s">
        <v>327</v>
      </c>
      <c r="G172" s="57" t="s">
        <v>154</v>
      </c>
      <c r="H172" s="68">
        <f t="shared" si="3"/>
        <v>0</v>
      </c>
      <c r="I172" s="62" t="s">
        <v>634</v>
      </c>
      <c r="J172" s="62" t="s">
        <v>207</v>
      </c>
      <c r="K172" s="71"/>
      <c r="L172" s="57" t="s">
        <v>130</v>
      </c>
      <c r="M172" s="61"/>
      <c r="N172" s="61"/>
      <c r="O172" s="62" t="s">
        <v>207</v>
      </c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30">
        <v>2.0</v>
      </c>
      <c r="BR172" s="30">
        <f t="shared" si="4"/>
        <v>0</v>
      </c>
      <c r="BS172" s="70">
        <f t="shared" si="5"/>
        <v>0</v>
      </c>
      <c r="BT172" s="70">
        <v>1.0</v>
      </c>
    </row>
    <row r="173" ht="15.75" customHeight="1">
      <c r="A173" s="54">
        <v>136.0</v>
      </c>
      <c r="B173" s="56" t="s">
        <v>424</v>
      </c>
      <c r="C173" s="56" t="s">
        <v>422</v>
      </c>
      <c r="D173" s="56" t="s">
        <v>425</v>
      </c>
      <c r="E173" s="56" t="s">
        <v>111</v>
      </c>
      <c r="F173" s="56" t="s">
        <v>246</v>
      </c>
      <c r="G173" s="57" t="s">
        <v>154</v>
      </c>
      <c r="H173" s="68">
        <f t="shared" si="3"/>
        <v>0</v>
      </c>
      <c r="I173" s="62" t="s">
        <v>634</v>
      </c>
      <c r="J173" s="62"/>
      <c r="K173" s="71"/>
      <c r="L173" s="57" t="s">
        <v>115</v>
      </c>
      <c r="M173" s="61"/>
      <c r="N173" s="61"/>
      <c r="O173" s="62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30">
        <v>2.0</v>
      </c>
      <c r="BR173" s="30">
        <f t="shared" si="4"/>
        <v>0</v>
      </c>
      <c r="BS173" s="70">
        <f t="shared" si="5"/>
        <v>0</v>
      </c>
      <c r="BT173" s="70">
        <v>1.0</v>
      </c>
    </row>
    <row r="174" ht="15.75" customHeight="1">
      <c r="A174" s="54">
        <v>136.0</v>
      </c>
      <c r="B174" s="56" t="s">
        <v>426</v>
      </c>
      <c r="C174" s="56" t="s">
        <v>422</v>
      </c>
      <c r="D174" s="56" t="s">
        <v>427</v>
      </c>
      <c r="E174" s="56" t="s">
        <v>111</v>
      </c>
      <c r="F174" s="56" t="s">
        <v>246</v>
      </c>
      <c r="G174" s="57" t="s">
        <v>154</v>
      </c>
      <c r="H174" s="68">
        <f t="shared" si="3"/>
        <v>0</v>
      </c>
      <c r="I174" s="62" t="s">
        <v>634</v>
      </c>
      <c r="J174" s="62"/>
      <c r="K174" s="71"/>
      <c r="L174" s="57" t="s">
        <v>115</v>
      </c>
      <c r="M174" s="61"/>
      <c r="N174" s="61"/>
      <c r="O174" s="62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30">
        <v>2.0</v>
      </c>
      <c r="BR174" s="30">
        <f t="shared" si="4"/>
        <v>0</v>
      </c>
      <c r="BS174" s="70">
        <f t="shared" si="5"/>
        <v>0</v>
      </c>
      <c r="BT174" s="70">
        <v>1.0</v>
      </c>
    </row>
    <row r="175" ht="15.75" customHeight="1">
      <c r="A175" s="54">
        <v>136.0</v>
      </c>
      <c r="B175" s="56" t="s">
        <v>426</v>
      </c>
      <c r="C175" s="56" t="s">
        <v>422</v>
      </c>
      <c r="D175" s="56" t="s">
        <v>427</v>
      </c>
      <c r="E175" s="56" t="s">
        <v>726</v>
      </c>
      <c r="F175" s="56" t="s">
        <v>249</v>
      </c>
      <c r="G175" s="57" t="s">
        <v>250</v>
      </c>
      <c r="H175" s="68">
        <f t="shared" si="3"/>
        <v>0.25</v>
      </c>
      <c r="I175" s="62"/>
      <c r="J175" s="62"/>
      <c r="K175" s="71"/>
      <c r="L175" s="57"/>
      <c r="M175" s="61"/>
      <c r="N175" s="61" t="s">
        <v>710</v>
      </c>
      <c r="O175" s="62" t="s">
        <v>727</v>
      </c>
      <c r="P175" s="53"/>
      <c r="Q175" s="53"/>
      <c r="R175" s="53"/>
      <c r="S175" s="53" t="s">
        <v>326</v>
      </c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30">
        <v>4.0</v>
      </c>
      <c r="BR175" s="30">
        <f t="shared" si="4"/>
        <v>1</v>
      </c>
      <c r="BS175" s="70">
        <f t="shared" si="5"/>
        <v>0</v>
      </c>
      <c r="BT175" s="70">
        <v>1.0</v>
      </c>
    </row>
    <row r="176" ht="15.75" customHeight="1">
      <c r="A176" s="54">
        <v>136.0</v>
      </c>
      <c r="B176" s="56" t="s">
        <v>428</v>
      </c>
      <c r="C176" s="56" t="s">
        <v>422</v>
      </c>
      <c r="D176" s="56" t="s">
        <v>429</v>
      </c>
      <c r="E176" s="56" t="s">
        <v>111</v>
      </c>
      <c r="F176" s="56" t="s">
        <v>246</v>
      </c>
      <c r="G176" s="57" t="s">
        <v>154</v>
      </c>
      <c r="H176" s="68">
        <f t="shared" si="3"/>
        <v>0</v>
      </c>
      <c r="I176" s="62"/>
      <c r="J176" s="62"/>
      <c r="K176" s="71"/>
      <c r="L176" s="57" t="s">
        <v>115</v>
      </c>
      <c r="M176" s="61"/>
      <c r="N176" s="61"/>
      <c r="O176" s="62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30">
        <v>2.0</v>
      </c>
      <c r="BR176" s="30">
        <f t="shared" si="4"/>
        <v>0</v>
      </c>
      <c r="BS176" s="70">
        <f t="shared" si="5"/>
        <v>0</v>
      </c>
      <c r="BT176" s="70">
        <v>1.0</v>
      </c>
    </row>
    <row r="177" ht="15.75" customHeight="1">
      <c r="A177" s="54">
        <v>136.0</v>
      </c>
      <c r="B177" s="56" t="s">
        <v>430</v>
      </c>
      <c r="C177" s="56" t="s">
        <v>422</v>
      </c>
      <c r="D177" s="56" t="s">
        <v>431</v>
      </c>
      <c r="E177" s="56" t="s">
        <v>432</v>
      </c>
      <c r="F177" s="56" t="s">
        <v>327</v>
      </c>
      <c r="G177" s="57" t="s">
        <v>154</v>
      </c>
      <c r="H177" s="68">
        <f t="shared" si="3"/>
        <v>0</v>
      </c>
      <c r="I177" s="62" t="s">
        <v>146</v>
      </c>
      <c r="J177" s="62"/>
      <c r="K177" s="71"/>
      <c r="L177" s="57" t="s">
        <v>115</v>
      </c>
      <c r="M177" s="61"/>
      <c r="N177" s="61"/>
      <c r="O177" s="62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30">
        <v>2.0</v>
      </c>
      <c r="BR177" s="30">
        <f t="shared" si="4"/>
        <v>0</v>
      </c>
      <c r="BS177" s="70">
        <f t="shared" si="5"/>
        <v>0</v>
      </c>
      <c r="BT177" s="70">
        <v>1.0</v>
      </c>
    </row>
    <row r="178" ht="15.75" customHeight="1">
      <c r="A178" s="54">
        <v>140.0</v>
      </c>
      <c r="B178" s="56" t="s">
        <v>433</v>
      </c>
      <c r="C178" s="56" t="s">
        <v>434</v>
      </c>
      <c r="D178" s="56" t="s">
        <v>435</v>
      </c>
      <c r="E178" s="56" t="s">
        <v>167</v>
      </c>
      <c r="F178" s="56" t="s">
        <v>246</v>
      </c>
      <c r="G178" s="57" t="s">
        <v>154</v>
      </c>
      <c r="H178" s="68">
        <f t="shared" si="3"/>
        <v>0</v>
      </c>
      <c r="I178" s="62"/>
      <c r="J178" s="62"/>
      <c r="K178" s="71"/>
      <c r="L178" s="57"/>
      <c r="M178" s="61"/>
      <c r="N178" s="61"/>
      <c r="O178" s="62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30">
        <v>2.0</v>
      </c>
      <c r="BR178" s="30">
        <f t="shared" si="4"/>
        <v>0</v>
      </c>
      <c r="BS178" s="70">
        <f t="shared" si="5"/>
        <v>0</v>
      </c>
      <c r="BT178" s="70">
        <v>1.0</v>
      </c>
    </row>
    <row r="179" ht="15.75" customHeight="1">
      <c r="A179" s="54">
        <v>140.0</v>
      </c>
      <c r="B179" s="56" t="s">
        <v>436</v>
      </c>
      <c r="C179" s="56" t="s">
        <v>437</v>
      </c>
      <c r="D179" s="56" t="s">
        <v>438</v>
      </c>
      <c r="E179" s="56" t="s">
        <v>439</v>
      </c>
      <c r="F179" s="56" t="s">
        <v>246</v>
      </c>
      <c r="G179" s="57" t="s">
        <v>154</v>
      </c>
      <c r="H179" s="68">
        <f t="shared" si="3"/>
        <v>0</v>
      </c>
      <c r="I179" s="62"/>
      <c r="J179" s="62"/>
      <c r="K179" s="71"/>
      <c r="L179" s="57"/>
      <c r="M179" s="61"/>
      <c r="N179" s="61"/>
      <c r="O179" s="62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30">
        <v>2.0</v>
      </c>
      <c r="BR179" s="30">
        <f t="shared" si="4"/>
        <v>0</v>
      </c>
      <c r="BS179" s="70">
        <f t="shared" si="5"/>
        <v>0</v>
      </c>
      <c r="BT179" s="70">
        <v>1.0</v>
      </c>
    </row>
    <row r="180" ht="15.75" customHeight="1">
      <c r="A180" s="54">
        <v>140.0</v>
      </c>
      <c r="B180" s="56" t="s">
        <v>440</v>
      </c>
      <c r="C180" s="56" t="s">
        <v>437</v>
      </c>
      <c r="D180" s="56" t="s">
        <v>441</v>
      </c>
      <c r="E180" s="56" t="s">
        <v>439</v>
      </c>
      <c r="F180" s="56" t="s">
        <v>246</v>
      </c>
      <c r="G180" s="57" t="s">
        <v>154</v>
      </c>
      <c r="H180" s="68">
        <f t="shared" si="3"/>
        <v>0</v>
      </c>
      <c r="I180" s="62"/>
      <c r="J180" s="62"/>
      <c r="K180" s="71"/>
      <c r="L180" s="57"/>
      <c r="M180" s="61"/>
      <c r="N180" s="61"/>
      <c r="O180" s="62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30">
        <v>2.0</v>
      </c>
      <c r="BR180" s="30">
        <f t="shared" si="4"/>
        <v>0</v>
      </c>
      <c r="BS180" s="70">
        <f t="shared" si="5"/>
        <v>0</v>
      </c>
      <c r="BT180" s="70">
        <v>1.0</v>
      </c>
    </row>
    <row r="181" ht="15.75" customHeight="1">
      <c r="A181" s="54">
        <v>140.0</v>
      </c>
      <c r="B181" s="56" t="s">
        <v>442</v>
      </c>
      <c r="C181" s="56" t="s">
        <v>443</v>
      </c>
      <c r="D181" s="56" t="s">
        <v>444</v>
      </c>
      <c r="E181" s="56" t="s">
        <v>439</v>
      </c>
      <c r="F181" s="56" t="s">
        <v>246</v>
      </c>
      <c r="G181" s="57" t="s">
        <v>154</v>
      </c>
      <c r="H181" s="68">
        <f t="shared" si="3"/>
        <v>0</v>
      </c>
      <c r="I181" s="62"/>
      <c r="J181" s="62"/>
      <c r="K181" s="71"/>
      <c r="L181" s="57"/>
      <c r="M181" s="61"/>
      <c r="N181" s="61"/>
      <c r="O181" s="62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75"/>
      <c r="BQ181" s="30">
        <v>2.0</v>
      </c>
      <c r="BR181" s="30">
        <f t="shared" si="4"/>
        <v>0</v>
      </c>
      <c r="BS181" s="70">
        <f t="shared" si="5"/>
        <v>0</v>
      </c>
      <c r="BT181" s="70">
        <v>1.0</v>
      </c>
    </row>
    <row r="182" ht="15.75" customHeight="1">
      <c r="A182" s="54">
        <v>140.0</v>
      </c>
      <c r="B182" s="56" t="s">
        <v>445</v>
      </c>
      <c r="C182" s="56" t="s">
        <v>446</v>
      </c>
      <c r="D182" s="56" t="s">
        <v>447</v>
      </c>
      <c r="E182" s="56" t="s">
        <v>439</v>
      </c>
      <c r="F182" s="56" t="s">
        <v>246</v>
      </c>
      <c r="G182" s="57" t="s">
        <v>154</v>
      </c>
      <c r="H182" s="68">
        <f t="shared" si="3"/>
        <v>0</v>
      </c>
      <c r="I182" s="62"/>
      <c r="J182" s="62"/>
      <c r="K182" s="71"/>
      <c r="L182" s="57"/>
      <c r="M182" s="61"/>
      <c r="N182" s="61"/>
      <c r="O182" s="62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30">
        <v>2.0</v>
      </c>
      <c r="BR182" s="30">
        <f t="shared" si="4"/>
        <v>0</v>
      </c>
      <c r="BS182" s="70">
        <f t="shared" si="5"/>
        <v>0</v>
      </c>
      <c r="BT182" s="70">
        <v>1.0</v>
      </c>
    </row>
    <row r="183" ht="15.75" customHeight="1">
      <c r="A183" s="54">
        <v>140.0</v>
      </c>
      <c r="B183" s="56" t="s">
        <v>448</v>
      </c>
      <c r="C183" s="88" t="s">
        <v>449</v>
      </c>
      <c r="D183" s="56" t="s">
        <v>450</v>
      </c>
      <c r="E183" s="56" t="s">
        <v>439</v>
      </c>
      <c r="F183" s="56" t="s">
        <v>246</v>
      </c>
      <c r="G183" s="57" t="s">
        <v>154</v>
      </c>
      <c r="H183" s="68">
        <f t="shared" si="3"/>
        <v>0</v>
      </c>
      <c r="I183" s="62"/>
      <c r="J183" s="62"/>
      <c r="K183" s="71"/>
      <c r="L183" s="57"/>
      <c r="M183" s="61"/>
      <c r="N183" s="61"/>
      <c r="O183" s="62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30">
        <v>2.0</v>
      </c>
      <c r="BR183" s="30">
        <f t="shared" si="4"/>
        <v>0</v>
      </c>
      <c r="BS183" s="70">
        <f t="shared" si="5"/>
        <v>0</v>
      </c>
      <c r="BT183" s="70">
        <v>1.0</v>
      </c>
    </row>
    <row r="184" ht="15.75" customHeight="1">
      <c r="A184" s="54">
        <v>140.0</v>
      </c>
      <c r="B184" s="56" t="s">
        <v>462</v>
      </c>
      <c r="C184" s="56" t="s">
        <v>434</v>
      </c>
      <c r="D184" s="56" t="s">
        <v>463</v>
      </c>
      <c r="E184" s="56" t="s">
        <v>272</v>
      </c>
      <c r="F184" s="56" t="s">
        <v>15</v>
      </c>
      <c r="G184" s="57" t="s">
        <v>15</v>
      </c>
      <c r="H184" s="68">
        <f t="shared" si="3"/>
        <v>0.2115384615</v>
      </c>
      <c r="I184" s="62"/>
      <c r="J184" s="62"/>
      <c r="K184" s="71"/>
      <c r="L184" s="57"/>
      <c r="M184" s="61"/>
      <c r="N184" s="61"/>
      <c r="O184" s="62"/>
      <c r="P184" s="53" t="s">
        <v>131</v>
      </c>
      <c r="Q184" s="53" t="s">
        <v>131</v>
      </c>
      <c r="R184" s="53" t="s">
        <v>131</v>
      </c>
      <c r="S184" s="53" t="s">
        <v>131</v>
      </c>
      <c r="T184" s="53" t="s">
        <v>131</v>
      </c>
      <c r="U184" s="53" t="s">
        <v>131</v>
      </c>
      <c r="V184" s="53" t="s">
        <v>131</v>
      </c>
      <c r="W184" s="53" t="s">
        <v>131</v>
      </c>
      <c r="X184" s="53" t="s">
        <v>131</v>
      </c>
      <c r="Y184" s="53" t="s">
        <v>131</v>
      </c>
      <c r="Z184" s="53" t="s">
        <v>131</v>
      </c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30"/>
      <c r="BQ184" s="30">
        <v>52.0</v>
      </c>
      <c r="BR184" s="30">
        <f t="shared" si="4"/>
        <v>11</v>
      </c>
      <c r="BS184" s="70">
        <f t="shared" si="5"/>
        <v>0</v>
      </c>
      <c r="BT184" s="70">
        <v>1.0</v>
      </c>
    </row>
    <row r="185" ht="15.75" customHeight="1">
      <c r="A185" s="54">
        <v>140.0</v>
      </c>
      <c r="B185" s="56" t="s">
        <v>464</v>
      </c>
      <c r="C185" s="56" t="s">
        <v>270</v>
      </c>
      <c r="D185" s="56" t="s">
        <v>465</v>
      </c>
      <c r="E185" s="56" t="s">
        <v>272</v>
      </c>
      <c r="F185" s="56" t="s">
        <v>15</v>
      </c>
      <c r="G185" s="57" t="s">
        <v>15</v>
      </c>
      <c r="H185" s="68">
        <f t="shared" si="3"/>
        <v>0.2115384615</v>
      </c>
      <c r="I185" s="62"/>
      <c r="J185" s="62"/>
      <c r="K185" s="71"/>
      <c r="L185" s="57"/>
      <c r="M185" s="61"/>
      <c r="N185" s="61"/>
      <c r="O185" s="62"/>
      <c r="P185" s="53" t="s">
        <v>131</v>
      </c>
      <c r="Q185" s="53" t="s">
        <v>131</v>
      </c>
      <c r="R185" s="53" t="s">
        <v>131</v>
      </c>
      <c r="S185" s="53" t="s">
        <v>131</v>
      </c>
      <c r="T185" s="53" t="s">
        <v>131</v>
      </c>
      <c r="U185" s="53" t="s">
        <v>131</v>
      </c>
      <c r="V185" s="53" t="s">
        <v>131</v>
      </c>
      <c r="W185" s="53" t="s">
        <v>131</v>
      </c>
      <c r="X185" s="53" t="s">
        <v>131</v>
      </c>
      <c r="Y185" s="53" t="s">
        <v>131</v>
      </c>
      <c r="Z185" s="53" t="s">
        <v>131</v>
      </c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30"/>
      <c r="BQ185" s="30">
        <v>52.0</v>
      </c>
      <c r="BR185" s="30">
        <f t="shared" si="4"/>
        <v>11</v>
      </c>
      <c r="BS185" s="70">
        <f t="shared" si="5"/>
        <v>0</v>
      </c>
      <c r="BT185" s="70">
        <v>1.0</v>
      </c>
    </row>
    <row r="186" ht="15.75" customHeight="1">
      <c r="A186" s="54">
        <v>140.0</v>
      </c>
      <c r="B186" s="56" t="s">
        <v>466</v>
      </c>
      <c r="C186" s="56" t="s">
        <v>443</v>
      </c>
      <c r="D186" s="56" t="s">
        <v>467</v>
      </c>
      <c r="E186" s="56" t="s">
        <v>272</v>
      </c>
      <c r="F186" s="56" t="s">
        <v>15</v>
      </c>
      <c r="G186" s="57" t="s">
        <v>15</v>
      </c>
      <c r="H186" s="68">
        <f t="shared" si="3"/>
        <v>0.2115384615</v>
      </c>
      <c r="I186" s="62"/>
      <c r="J186" s="62"/>
      <c r="K186" s="71"/>
      <c r="L186" s="57"/>
      <c r="M186" s="61"/>
      <c r="N186" s="61"/>
      <c r="O186" s="62"/>
      <c r="P186" s="53" t="s">
        <v>131</v>
      </c>
      <c r="Q186" s="53" t="s">
        <v>131</v>
      </c>
      <c r="R186" s="53" t="s">
        <v>131</v>
      </c>
      <c r="S186" s="53" t="s">
        <v>131</v>
      </c>
      <c r="T186" s="53" t="s">
        <v>131</v>
      </c>
      <c r="U186" s="53" t="s">
        <v>131</v>
      </c>
      <c r="V186" s="53" t="s">
        <v>131</v>
      </c>
      <c r="W186" s="53" t="s">
        <v>131</v>
      </c>
      <c r="X186" s="53" t="s">
        <v>131</v>
      </c>
      <c r="Y186" s="53" t="s">
        <v>131</v>
      </c>
      <c r="Z186" s="53" t="s">
        <v>131</v>
      </c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P186" s="30"/>
      <c r="BQ186" s="30">
        <v>52.0</v>
      </c>
      <c r="BR186" s="30">
        <f t="shared" si="4"/>
        <v>11</v>
      </c>
      <c r="BS186" s="70">
        <f t="shared" si="5"/>
        <v>0</v>
      </c>
      <c r="BT186" s="70">
        <v>1.0</v>
      </c>
    </row>
    <row r="187" ht="15.75" customHeight="1">
      <c r="A187" s="54">
        <v>140.0</v>
      </c>
      <c r="B187" s="56" t="s">
        <v>468</v>
      </c>
      <c r="C187" s="56" t="s">
        <v>446</v>
      </c>
      <c r="D187" s="56" t="s">
        <v>469</v>
      </c>
      <c r="E187" s="56" t="s">
        <v>272</v>
      </c>
      <c r="F187" s="56" t="s">
        <v>15</v>
      </c>
      <c r="G187" s="57" t="s">
        <v>15</v>
      </c>
      <c r="H187" s="68">
        <f t="shared" si="3"/>
        <v>0.2115384615</v>
      </c>
      <c r="I187" s="62"/>
      <c r="J187" s="62"/>
      <c r="K187" s="71"/>
      <c r="L187" s="57"/>
      <c r="M187" s="61"/>
      <c r="N187" s="61"/>
      <c r="O187" s="62"/>
      <c r="P187" s="53" t="s">
        <v>131</v>
      </c>
      <c r="Q187" s="53" t="s">
        <v>131</v>
      </c>
      <c r="R187" s="53" t="s">
        <v>131</v>
      </c>
      <c r="S187" s="53" t="s">
        <v>131</v>
      </c>
      <c r="T187" s="53" t="s">
        <v>131</v>
      </c>
      <c r="U187" s="53" t="s">
        <v>131</v>
      </c>
      <c r="V187" s="53" t="s">
        <v>131</v>
      </c>
      <c r="W187" s="53" t="s">
        <v>131</v>
      </c>
      <c r="X187" s="53" t="s">
        <v>131</v>
      </c>
      <c r="Y187" s="53" t="s">
        <v>131</v>
      </c>
      <c r="Z187" s="53" t="s">
        <v>131</v>
      </c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30"/>
      <c r="BQ187" s="30">
        <v>52.0</v>
      </c>
      <c r="BR187" s="30">
        <f t="shared" si="4"/>
        <v>11</v>
      </c>
      <c r="BS187" s="70">
        <f t="shared" si="5"/>
        <v>0</v>
      </c>
      <c r="BT187" s="70">
        <v>1.0</v>
      </c>
    </row>
    <row r="188" ht="15.75" customHeight="1">
      <c r="A188" s="54">
        <v>140.0</v>
      </c>
      <c r="B188" s="56" t="s">
        <v>470</v>
      </c>
      <c r="C188" s="56" t="s">
        <v>443</v>
      </c>
      <c r="D188" s="56" t="s">
        <v>471</v>
      </c>
      <c r="E188" s="56" t="s">
        <v>272</v>
      </c>
      <c r="F188" s="56" t="s">
        <v>15</v>
      </c>
      <c r="G188" s="57" t="s">
        <v>15</v>
      </c>
      <c r="H188" s="68">
        <f t="shared" si="3"/>
        <v>0.2115384615</v>
      </c>
      <c r="I188" s="62"/>
      <c r="J188" s="62"/>
      <c r="K188" s="71"/>
      <c r="L188" s="57"/>
      <c r="M188" s="61"/>
      <c r="N188" s="61"/>
      <c r="O188" s="62"/>
      <c r="P188" s="53" t="s">
        <v>131</v>
      </c>
      <c r="Q188" s="53" t="s">
        <v>131</v>
      </c>
      <c r="R188" s="53" t="s">
        <v>131</v>
      </c>
      <c r="S188" s="53" t="s">
        <v>131</v>
      </c>
      <c r="T188" s="53" t="s">
        <v>131</v>
      </c>
      <c r="U188" s="53" t="s">
        <v>131</v>
      </c>
      <c r="V188" s="53" t="s">
        <v>131</v>
      </c>
      <c r="W188" s="53" t="s">
        <v>131</v>
      </c>
      <c r="X188" s="53" t="s">
        <v>131</v>
      </c>
      <c r="Y188" s="53" t="s">
        <v>131</v>
      </c>
      <c r="Z188" s="53" t="s">
        <v>131</v>
      </c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30"/>
      <c r="BQ188" s="30">
        <v>52.0</v>
      </c>
      <c r="BR188" s="30">
        <f t="shared" si="4"/>
        <v>11</v>
      </c>
      <c r="BS188" s="70">
        <f t="shared" si="5"/>
        <v>0</v>
      </c>
      <c r="BT188" s="70">
        <v>1.0</v>
      </c>
    </row>
    <row r="189" ht="15.75" customHeight="1">
      <c r="A189" s="54">
        <v>140.0</v>
      </c>
      <c r="B189" s="56" t="s">
        <v>472</v>
      </c>
      <c r="C189" s="56" t="s">
        <v>446</v>
      </c>
      <c r="D189" s="56" t="s">
        <v>473</v>
      </c>
      <c r="E189" s="56" t="s">
        <v>272</v>
      </c>
      <c r="F189" s="56" t="s">
        <v>15</v>
      </c>
      <c r="G189" s="57" t="s">
        <v>15</v>
      </c>
      <c r="H189" s="68">
        <f t="shared" si="3"/>
        <v>0.2115384615</v>
      </c>
      <c r="I189" s="62"/>
      <c r="J189" s="62"/>
      <c r="K189" s="71"/>
      <c r="L189" s="57"/>
      <c r="M189" s="61"/>
      <c r="N189" s="61"/>
      <c r="O189" s="62"/>
      <c r="P189" s="53" t="s">
        <v>131</v>
      </c>
      <c r="Q189" s="53" t="s">
        <v>131</v>
      </c>
      <c r="R189" s="53" t="s">
        <v>131</v>
      </c>
      <c r="S189" s="53" t="s">
        <v>131</v>
      </c>
      <c r="T189" s="53" t="s">
        <v>131</v>
      </c>
      <c r="U189" s="53" t="s">
        <v>131</v>
      </c>
      <c r="V189" s="53" t="s">
        <v>131</v>
      </c>
      <c r="W189" s="53" t="s">
        <v>131</v>
      </c>
      <c r="X189" s="53" t="s">
        <v>131</v>
      </c>
      <c r="Y189" s="53" t="s">
        <v>131</v>
      </c>
      <c r="Z189" s="53" t="s">
        <v>131</v>
      </c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30"/>
      <c r="BQ189" s="30">
        <v>52.0</v>
      </c>
      <c r="BR189" s="30">
        <f t="shared" si="4"/>
        <v>11</v>
      </c>
      <c r="BS189" s="70">
        <f t="shared" si="5"/>
        <v>0</v>
      </c>
      <c r="BT189" s="70">
        <v>1.0</v>
      </c>
    </row>
    <row r="190" ht="15.75" customHeight="1">
      <c r="A190" s="54">
        <v>140.0</v>
      </c>
      <c r="B190" s="56" t="s">
        <v>474</v>
      </c>
      <c r="C190" s="56" t="s">
        <v>443</v>
      </c>
      <c r="D190" s="56" t="s">
        <v>475</v>
      </c>
      <c r="E190" s="56" t="s">
        <v>272</v>
      </c>
      <c r="F190" s="56" t="s">
        <v>15</v>
      </c>
      <c r="G190" s="57" t="s">
        <v>15</v>
      </c>
      <c r="H190" s="68">
        <f t="shared" si="3"/>
        <v>0.2115384615</v>
      </c>
      <c r="I190" s="62"/>
      <c r="J190" s="62"/>
      <c r="K190" s="71"/>
      <c r="L190" s="57"/>
      <c r="M190" s="61"/>
      <c r="N190" s="61"/>
      <c r="O190" s="62"/>
      <c r="P190" s="53" t="s">
        <v>131</v>
      </c>
      <c r="Q190" s="53" t="s">
        <v>131</v>
      </c>
      <c r="R190" s="53" t="s">
        <v>131</v>
      </c>
      <c r="S190" s="53" t="s">
        <v>131</v>
      </c>
      <c r="T190" s="53" t="s">
        <v>131</v>
      </c>
      <c r="U190" s="53" t="s">
        <v>131</v>
      </c>
      <c r="V190" s="53" t="s">
        <v>131</v>
      </c>
      <c r="W190" s="53" t="s">
        <v>131</v>
      </c>
      <c r="X190" s="53" t="s">
        <v>131</v>
      </c>
      <c r="Y190" s="53" t="s">
        <v>131</v>
      </c>
      <c r="Z190" s="53" t="s">
        <v>131</v>
      </c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53"/>
      <c r="BP190" s="30"/>
      <c r="BQ190" s="30">
        <v>52.0</v>
      </c>
      <c r="BR190" s="30">
        <f t="shared" si="4"/>
        <v>11</v>
      </c>
      <c r="BS190" s="70">
        <f t="shared" si="5"/>
        <v>0</v>
      </c>
      <c r="BT190" s="70">
        <v>1.0</v>
      </c>
    </row>
    <row r="191" ht="15.75" customHeight="1">
      <c r="A191" s="54">
        <v>140.0</v>
      </c>
      <c r="B191" s="56" t="s">
        <v>476</v>
      </c>
      <c r="C191" s="56" t="s">
        <v>270</v>
      </c>
      <c r="D191" s="56" t="s">
        <v>477</v>
      </c>
      <c r="E191" s="56" t="s">
        <v>272</v>
      </c>
      <c r="F191" s="56" t="s">
        <v>15</v>
      </c>
      <c r="G191" s="57" t="s">
        <v>15</v>
      </c>
      <c r="H191" s="68">
        <f t="shared" si="3"/>
        <v>0.2115384615</v>
      </c>
      <c r="I191" s="62"/>
      <c r="J191" s="62"/>
      <c r="K191" s="71"/>
      <c r="L191" s="57"/>
      <c r="M191" s="61"/>
      <c r="N191" s="61"/>
      <c r="O191" s="62"/>
      <c r="P191" s="53" t="s">
        <v>131</v>
      </c>
      <c r="Q191" s="53" t="s">
        <v>131</v>
      </c>
      <c r="R191" s="53" t="s">
        <v>131</v>
      </c>
      <c r="S191" s="53" t="s">
        <v>131</v>
      </c>
      <c r="T191" s="53" t="s">
        <v>131</v>
      </c>
      <c r="U191" s="53" t="s">
        <v>131</v>
      </c>
      <c r="V191" s="53" t="s">
        <v>131</v>
      </c>
      <c r="W191" s="53" t="s">
        <v>131</v>
      </c>
      <c r="X191" s="53" t="s">
        <v>131</v>
      </c>
      <c r="Y191" s="53" t="s">
        <v>131</v>
      </c>
      <c r="Z191" s="53" t="s">
        <v>131</v>
      </c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3"/>
      <c r="BN191" s="53"/>
      <c r="BO191" s="53"/>
      <c r="BP191" s="30"/>
      <c r="BQ191" s="30">
        <v>52.0</v>
      </c>
      <c r="BR191" s="30">
        <f t="shared" si="4"/>
        <v>11</v>
      </c>
      <c r="BS191" s="70">
        <f t="shared" si="5"/>
        <v>0</v>
      </c>
      <c r="BT191" s="70">
        <v>1.0</v>
      </c>
    </row>
    <row r="192" ht="15.75" customHeight="1">
      <c r="A192" s="54">
        <v>140.0</v>
      </c>
      <c r="B192" s="56" t="s">
        <v>478</v>
      </c>
      <c r="C192" s="56" t="s">
        <v>270</v>
      </c>
      <c r="D192" s="56" t="s">
        <v>479</v>
      </c>
      <c r="E192" s="56" t="s">
        <v>272</v>
      </c>
      <c r="F192" s="56" t="s">
        <v>15</v>
      </c>
      <c r="G192" s="57" t="s">
        <v>15</v>
      </c>
      <c r="H192" s="68">
        <f t="shared" si="3"/>
        <v>0.2115384615</v>
      </c>
      <c r="I192" s="62"/>
      <c r="J192" s="62"/>
      <c r="K192" s="71"/>
      <c r="L192" s="57"/>
      <c r="M192" s="61"/>
      <c r="N192" s="61"/>
      <c r="O192" s="62"/>
      <c r="P192" s="53" t="s">
        <v>131</v>
      </c>
      <c r="Q192" s="53" t="s">
        <v>131</v>
      </c>
      <c r="R192" s="53" t="s">
        <v>131</v>
      </c>
      <c r="S192" s="53" t="s">
        <v>131</v>
      </c>
      <c r="T192" s="53" t="s">
        <v>131</v>
      </c>
      <c r="U192" s="53" t="s">
        <v>131</v>
      </c>
      <c r="V192" s="53" t="s">
        <v>131</v>
      </c>
      <c r="W192" s="53" t="s">
        <v>131</v>
      </c>
      <c r="X192" s="53" t="s">
        <v>131</v>
      </c>
      <c r="Y192" s="53" t="s">
        <v>131</v>
      </c>
      <c r="Z192" s="53" t="s">
        <v>131</v>
      </c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3"/>
      <c r="BN192" s="53"/>
      <c r="BO192" s="53"/>
      <c r="BP192" s="30"/>
      <c r="BQ192" s="30">
        <v>52.0</v>
      </c>
      <c r="BR192" s="30">
        <f t="shared" si="4"/>
        <v>11</v>
      </c>
      <c r="BS192" s="70">
        <f t="shared" si="5"/>
        <v>0</v>
      </c>
      <c r="BT192" s="70">
        <v>1.0</v>
      </c>
    </row>
    <row r="193" ht="15.75" customHeight="1">
      <c r="A193" s="54">
        <v>140.0</v>
      </c>
      <c r="B193" s="56" t="s">
        <v>480</v>
      </c>
      <c r="C193" s="56" t="s">
        <v>270</v>
      </c>
      <c r="D193" s="56" t="s">
        <v>481</v>
      </c>
      <c r="E193" s="56" t="s">
        <v>272</v>
      </c>
      <c r="F193" s="56" t="s">
        <v>15</v>
      </c>
      <c r="G193" s="57" t="s">
        <v>15</v>
      </c>
      <c r="H193" s="68">
        <f t="shared" si="3"/>
        <v>0.2115384615</v>
      </c>
      <c r="I193" s="62"/>
      <c r="J193" s="62"/>
      <c r="K193" s="71"/>
      <c r="L193" s="57"/>
      <c r="M193" s="61"/>
      <c r="N193" s="61"/>
      <c r="O193" s="62"/>
      <c r="P193" s="53" t="s">
        <v>131</v>
      </c>
      <c r="Q193" s="53" t="s">
        <v>131</v>
      </c>
      <c r="R193" s="53" t="s">
        <v>131</v>
      </c>
      <c r="S193" s="53" t="s">
        <v>131</v>
      </c>
      <c r="T193" s="53" t="s">
        <v>131</v>
      </c>
      <c r="U193" s="53" t="s">
        <v>131</v>
      </c>
      <c r="V193" s="53" t="s">
        <v>131</v>
      </c>
      <c r="W193" s="53" t="s">
        <v>131</v>
      </c>
      <c r="X193" s="53" t="s">
        <v>131</v>
      </c>
      <c r="Y193" s="53" t="s">
        <v>131</v>
      </c>
      <c r="Z193" s="53" t="s">
        <v>131</v>
      </c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101"/>
      <c r="BQ193" s="30">
        <v>52.0</v>
      </c>
      <c r="BR193" s="30">
        <f t="shared" si="4"/>
        <v>11</v>
      </c>
      <c r="BS193" s="70">
        <f t="shared" si="5"/>
        <v>0</v>
      </c>
      <c r="BT193" s="70">
        <v>1.0</v>
      </c>
    </row>
    <row r="194" ht="15.75" customHeight="1">
      <c r="A194" s="54">
        <v>140.0</v>
      </c>
      <c r="B194" s="56" t="s">
        <v>482</v>
      </c>
      <c r="C194" s="56" t="s">
        <v>443</v>
      </c>
      <c r="D194" s="56" t="s">
        <v>483</v>
      </c>
      <c r="E194" s="56" t="s">
        <v>272</v>
      </c>
      <c r="F194" s="56" t="s">
        <v>15</v>
      </c>
      <c r="G194" s="57" t="s">
        <v>15</v>
      </c>
      <c r="H194" s="68">
        <f t="shared" si="3"/>
        <v>0.2115384615</v>
      </c>
      <c r="I194" s="62"/>
      <c r="J194" s="62"/>
      <c r="K194" s="71"/>
      <c r="L194" s="57"/>
      <c r="M194" s="61"/>
      <c r="N194" s="61"/>
      <c r="O194" s="62"/>
      <c r="P194" s="53" t="s">
        <v>131</v>
      </c>
      <c r="Q194" s="53" t="s">
        <v>131</v>
      </c>
      <c r="R194" s="53" t="s">
        <v>131</v>
      </c>
      <c r="S194" s="53" t="s">
        <v>131</v>
      </c>
      <c r="T194" s="53" t="s">
        <v>131</v>
      </c>
      <c r="U194" s="53" t="s">
        <v>131</v>
      </c>
      <c r="V194" s="53" t="s">
        <v>131</v>
      </c>
      <c r="W194" s="53" t="s">
        <v>131</v>
      </c>
      <c r="X194" s="53" t="s">
        <v>131</v>
      </c>
      <c r="Y194" s="53" t="s">
        <v>131</v>
      </c>
      <c r="Z194" s="53" t="s">
        <v>131</v>
      </c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L194" s="53"/>
      <c r="BM194" s="53"/>
      <c r="BN194" s="53"/>
      <c r="BO194" s="53"/>
      <c r="BP194" s="30"/>
      <c r="BQ194" s="30">
        <v>52.0</v>
      </c>
      <c r="BR194" s="30">
        <f t="shared" si="4"/>
        <v>11</v>
      </c>
      <c r="BS194" s="70">
        <f t="shared" si="5"/>
        <v>0</v>
      </c>
      <c r="BT194" s="70">
        <v>1.0</v>
      </c>
    </row>
    <row r="195" ht="15.75" customHeight="1">
      <c r="A195" s="54">
        <v>140.0</v>
      </c>
      <c r="B195" s="56" t="s">
        <v>484</v>
      </c>
      <c r="C195" s="56" t="s">
        <v>446</v>
      </c>
      <c r="D195" s="56" t="s">
        <v>485</v>
      </c>
      <c r="E195" s="56" t="s">
        <v>272</v>
      </c>
      <c r="F195" s="56" t="s">
        <v>15</v>
      </c>
      <c r="G195" s="57" t="s">
        <v>15</v>
      </c>
      <c r="H195" s="68">
        <f t="shared" si="3"/>
        <v>0.2115384615</v>
      </c>
      <c r="I195" s="62"/>
      <c r="J195" s="62"/>
      <c r="K195" s="71"/>
      <c r="L195" s="57"/>
      <c r="M195" s="61"/>
      <c r="N195" s="61"/>
      <c r="O195" s="62"/>
      <c r="P195" s="53" t="s">
        <v>131</v>
      </c>
      <c r="Q195" s="53" t="s">
        <v>131</v>
      </c>
      <c r="R195" s="53" t="s">
        <v>131</v>
      </c>
      <c r="S195" s="53" t="s">
        <v>131</v>
      </c>
      <c r="T195" s="53" t="s">
        <v>131</v>
      </c>
      <c r="U195" s="53" t="s">
        <v>131</v>
      </c>
      <c r="V195" s="53" t="s">
        <v>131</v>
      </c>
      <c r="W195" s="53" t="s">
        <v>131</v>
      </c>
      <c r="X195" s="53" t="s">
        <v>131</v>
      </c>
      <c r="Y195" s="53" t="s">
        <v>131</v>
      </c>
      <c r="Z195" s="53" t="s">
        <v>131</v>
      </c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3"/>
      <c r="BN195" s="53"/>
      <c r="BO195" s="53"/>
      <c r="BP195" s="30"/>
      <c r="BQ195" s="30">
        <v>52.0</v>
      </c>
      <c r="BR195" s="30">
        <f t="shared" si="4"/>
        <v>11</v>
      </c>
      <c r="BS195" s="70">
        <f t="shared" si="5"/>
        <v>0</v>
      </c>
      <c r="BT195" s="70">
        <v>1.0</v>
      </c>
    </row>
    <row r="196" ht="15.75" customHeight="1">
      <c r="A196" s="54">
        <v>140.0</v>
      </c>
      <c r="B196" s="56" t="s">
        <v>488</v>
      </c>
      <c r="C196" s="88" t="s">
        <v>449</v>
      </c>
      <c r="D196" s="56" t="s">
        <v>489</v>
      </c>
      <c r="E196" s="56" t="s">
        <v>272</v>
      </c>
      <c r="F196" s="56" t="s">
        <v>15</v>
      </c>
      <c r="G196" s="57" t="s">
        <v>15</v>
      </c>
      <c r="H196" s="68">
        <f t="shared" si="3"/>
        <v>0.2115384615</v>
      </c>
      <c r="I196" s="62"/>
      <c r="J196" s="62"/>
      <c r="K196" s="71"/>
      <c r="L196" s="57"/>
      <c r="M196" s="61"/>
      <c r="N196" s="61"/>
      <c r="O196" s="62"/>
      <c r="P196" s="53" t="s">
        <v>131</v>
      </c>
      <c r="Q196" s="53" t="s">
        <v>131</v>
      </c>
      <c r="R196" s="53" t="s">
        <v>131</v>
      </c>
      <c r="S196" s="53" t="s">
        <v>131</v>
      </c>
      <c r="T196" s="53" t="s">
        <v>131</v>
      </c>
      <c r="U196" s="53" t="s">
        <v>131</v>
      </c>
      <c r="V196" s="53" t="s">
        <v>131</v>
      </c>
      <c r="W196" s="53" t="s">
        <v>131</v>
      </c>
      <c r="X196" s="53" t="s">
        <v>131</v>
      </c>
      <c r="Y196" s="53" t="s">
        <v>131</v>
      </c>
      <c r="Z196" s="53" t="s">
        <v>131</v>
      </c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  <c r="BE196" s="53"/>
      <c r="BF196" s="53"/>
      <c r="BG196" s="53"/>
      <c r="BH196" s="53"/>
      <c r="BI196" s="53"/>
      <c r="BJ196" s="53"/>
      <c r="BK196" s="53"/>
      <c r="BL196" s="53"/>
      <c r="BM196" s="53"/>
      <c r="BN196" s="53"/>
      <c r="BO196" s="53"/>
      <c r="BP196" s="30"/>
      <c r="BQ196" s="30">
        <v>52.0</v>
      </c>
      <c r="BR196" s="30">
        <f t="shared" si="4"/>
        <v>11</v>
      </c>
      <c r="BS196" s="70">
        <f t="shared" si="5"/>
        <v>0</v>
      </c>
      <c r="BT196" s="70">
        <v>1.0</v>
      </c>
    </row>
    <row r="197" ht="15.75" customHeight="1">
      <c r="A197" s="54">
        <v>140.0</v>
      </c>
      <c r="B197" s="56" t="s">
        <v>490</v>
      </c>
      <c r="C197" s="56" t="s">
        <v>270</v>
      </c>
      <c r="D197" s="56" t="s">
        <v>491</v>
      </c>
      <c r="E197" s="56" t="s">
        <v>272</v>
      </c>
      <c r="F197" s="56" t="s">
        <v>15</v>
      </c>
      <c r="G197" s="57" t="s">
        <v>15</v>
      </c>
      <c r="H197" s="68">
        <f t="shared" si="3"/>
        <v>0.2115384615</v>
      </c>
      <c r="I197" s="62"/>
      <c r="J197" s="62"/>
      <c r="K197" s="71"/>
      <c r="L197" s="57"/>
      <c r="M197" s="61"/>
      <c r="N197" s="61"/>
      <c r="O197" s="62"/>
      <c r="P197" s="53" t="s">
        <v>131</v>
      </c>
      <c r="Q197" s="53" t="s">
        <v>131</v>
      </c>
      <c r="R197" s="53" t="s">
        <v>131</v>
      </c>
      <c r="S197" s="53" t="s">
        <v>131</v>
      </c>
      <c r="T197" s="53" t="s">
        <v>131</v>
      </c>
      <c r="U197" s="53" t="s">
        <v>131</v>
      </c>
      <c r="V197" s="53" t="s">
        <v>131</v>
      </c>
      <c r="W197" s="53" t="s">
        <v>131</v>
      </c>
      <c r="X197" s="53" t="s">
        <v>131</v>
      </c>
      <c r="Y197" s="53" t="s">
        <v>131</v>
      </c>
      <c r="Z197" s="53" t="s">
        <v>131</v>
      </c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30"/>
      <c r="BQ197" s="30">
        <v>52.0</v>
      </c>
      <c r="BR197" s="30">
        <f t="shared" si="4"/>
        <v>11</v>
      </c>
      <c r="BS197" s="70">
        <f t="shared" si="5"/>
        <v>0</v>
      </c>
      <c r="BT197" s="70">
        <v>1.0</v>
      </c>
    </row>
    <row r="198" ht="15.75" customHeight="1">
      <c r="A198" s="54">
        <v>140.0</v>
      </c>
      <c r="B198" s="56" t="s">
        <v>493</v>
      </c>
      <c r="C198" s="56" t="s">
        <v>270</v>
      </c>
      <c r="D198" s="56" t="s">
        <v>494</v>
      </c>
      <c r="E198" s="56" t="s">
        <v>272</v>
      </c>
      <c r="F198" s="56" t="s">
        <v>15</v>
      </c>
      <c r="G198" s="57" t="s">
        <v>15</v>
      </c>
      <c r="H198" s="68">
        <f t="shared" si="3"/>
        <v>0.2115384615</v>
      </c>
      <c r="I198" s="62"/>
      <c r="J198" s="62"/>
      <c r="K198" s="71"/>
      <c r="L198" s="57"/>
      <c r="M198" s="61"/>
      <c r="N198" s="61"/>
      <c r="O198" s="62"/>
      <c r="P198" s="53" t="s">
        <v>131</v>
      </c>
      <c r="Q198" s="53" t="s">
        <v>131</v>
      </c>
      <c r="R198" s="53" t="s">
        <v>131</v>
      </c>
      <c r="S198" s="53" t="s">
        <v>131</v>
      </c>
      <c r="T198" s="53" t="s">
        <v>131</v>
      </c>
      <c r="U198" s="53" t="s">
        <v>131</v>
      </c>
      <c r="V198" s="53" t="s">
        <v>131</v>
      </c>
      <c r="W198" s="53" t="s">
        <v>131</v>
      </c>
      <c r="X198" s="53" t="s">
        <v>131</v>
      </c>
      <c r="Y198" s="53" t="s">
        <v>131</v>
      </c>
      <c r="Z198" s="53" t="s">
        <v>131</v>
      </c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3"/>
      <c r="BN198" s="53"/>
      <c r="BO198" s="53"/>
      <c r="BP198" s="30"/>
      <c r="BQ198" s="30">
        <v>52.0</v>
      </c>
      <c r="BR198" s="30">
        <f t="shared" si="4"/>
        <v>11</v>
      </c>
      <c r="BS198" s="70">
        <f t="shared" si="5"/>
        <v>0</v>
      </c>
      <c r="BT198" s="70">
        <v>1.0</v>
      </c>
    </row>
    <row r="199" ht="15.75" customHeight="1">
      <c r="A199" s="54">
        <v>140.0</v>
      </c>
      <c r="B199" s="56" t="s">
        <v>496</v>
      </c>
      <c r="C199" s="56" t="s">
        <v>497</v>
      </c>
      <c r="D199" s="56" t="s">
        <v>498</v>
      </c>
      <c r="E199" s="56" t="s">
        <v>272</v>
      </c>
      <c r="F199" s="56" t="s">
        <v>15</v>
      </c>
      <c r="G199" s="57" t="s">
        <v>15</v>
      </c>
      <c r="H199" s="68">
        <f t="shared" si="3"/>
        <v>0.2115384615</v>
      </c>
      <c r="I199" s="62"/>
      <c r="J199" s="62"/>
      <c r="K199" s="71"/>
      <c r="L199" s="57"/>
      <c r="M199" s="61"/>
      <c r="N199" s="61"/>
      <c r="O199" s="62"/>
      <c r="P199" s="53" t="s">
        <v>131</v>
      </c>
      <c r="Q199" s="53" t="s">
        <v>131</v>
      </c>
      <c r="R199" s="53" t="s">
        <v>131</v>
      </c>
      <c r="S199" s="53" t="s">
        <v>131</v>
      </c>
      <c r="T199" s="53" t="s">
        <v>131</v>
      </c>
      <c r="U199" s="53" t="s">
        <v>131</v>
      </c>
      <c r="V199" s="53" t="s">
        <v>131</v>
      </c>
      <c r="W199" s="53" t="s">
        <v>131</v>
      </c>
      <c r="X199" s="53" t="s">
        <v>131</v>
      </c>
      <c r="Y199" s="53" t="s">
        <v>131</v>
      </c>
      <c r="Z199" s="53" t="s">
        <v>131</v>
      </c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  <c r="BP199" s="30"/>
      <c r="BQ199" s="30">
        <v>52.0</v>
      </c>
      <c r="BR199" s="30">
        <f t="shared" si="4"/>
        <v>11</v>
      </c>
      <c r="BS199" s="70">
        <f t="shared" si="5"/>
        <v>0</v>
      </c>
      <c r="BT199" s="70">
        <v>1.0</v>
      </c>
    </row>
    <row r="200" ht="15.75" customHeight="1">
      <c r="A200" s="54">
        <v>140.0</v>
      </c>
      <c r="B200" s="56" t="s">
        <v>269</v>
      </c>
      <c r="C200" s="56" t="s">
        <v>270</v>
      </c>
      <c r="D200" s="56" t="s">
        <v>271</v>
      </c>
      <c r="E200" s="56" t="s">
        <v>272</v>
      </c>
      <c r="F200" s="56" t="s">
        <v>173</v>
      </c>
      <c r="G200" s="57" t="s">
        <v>87</v>
      </c>
      <c r="H200" s="68">
        <f t="shared" si="3"/>
        <v>0.25</v>
      </c>
      <c r="I200" s="62"/>
      <c r="J200" s="62"/>
      <c r="K200" s="71"/>
      <c r="L200" s="57"/>
      <c r="M200" s="61"/>
      <c r="N200" s="61"/>
      <c r="O200" s="62"/>
      <c r="P200" s="53" t="s">
        <v>131</v>
      </c>
      <c r="Q200" s="53"/>
      <c r="R200" s="53"/>
      <c r="S200" s="53"/>
      <c r="T200" s="53"/>
      <c r="U200" s="53" t="s">
        <v>131</v>
      </c>
      <c r="V200" s="53"/>
      <c r="W200" s="53"/>
      <c r="X200" s="53"/>
      <c r="Y200" s="53" t="s">
        <v>131</v>
      </c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3"/>
      <c r="BF200" s="53"/>
      <c r="BG200" s="53"/>
      <c r="BH200" s="53"/>
      <c r="BI200" s="53"/>
      <c r="BJ200" s="53"/>
      <c r="BK200" s="53"/>
      <c r="BL200" s="53"/>
      <c r="BM200" s="53"/>
      <c r="BN200" s="53"/>
      <c r="BO200" s="30"/>
      <c r="BP200" s="30"/>
      <c r="BQ200" s="30">
        <v>12.0</v>
      </c>
      <c r="BR200" s="30">
        <f t="shared" si="4"/>
        <v>3</v>
      </c>
      <c r="BS200" s="70">
        <f t="shared" si="5"/>
        <v>0</v>
      </c>
      <c r="BT200" s="70">
        <v>1.0</v>
      </c>
    </row>
    <row r="201" ht="15.75" customHeight="1">
      <c r="A201" s="54">
        <v>140.0</v>
      </c>
      <c r="B201" s="56" t="s">
        <v>269</v>
      </c>
      <c r="C201" s="56" t="s">
        <v>270</v>
      </c>
      <c r="D201" s="56" t="s">
        <v>271</v>
      </c>
      <c r="E201" s="56" t="s">
        <v>276</v>
      </c>
      <c r="F201" s="56" t="s">
        <v>173</v>
      </c>
      <c r="G201" s="57" t="s">
        <v>87</v>
      </c>
      <c r="H201" s="68">
        <f t="shared" si="3"/>
        <v>0.25</v>
      </c>
      <c r="I201" s="62"/>
      <c r="J201" s="62"/>
      <c r="K201" s="71"/>
      <c r="L201" s="57"/>
      <c r="M201" s="61"/>
      <c r="N201" s="61"/>
      <c r="O201" s="62"/>
      <c r="P201" s="53" t="s">
        <v>131</v>
      </c>
      <c r="Q201" s="53"/>
      <c r="R201" s="53"/>
      <c r="S201" s="53"/>
      <c r="T201" s="53"/>
      <c r="U201" s="53" t="s">
        <v>131</v>
      </c>
      <c r="V201" s="53"/>
      <c r="W201" s="53"/>
      <c r="X201" s="53"/>
      <c r="Y201" s="53" t="s">
        <v>131</v>
      </c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30"/>
      <c r="BP201" s="101"/>
      <c r="BQ201" s="30">
        <v>12.0</v>
      </c>
      <c r="BR201" s="30">
        <f t="shared" si="4"/>
        <v>3</v>
      </c>
      <c r="BS201" s="70">
        <f t="shared" si="5"/>
        <v>0</v>
      </c>
      <c r="BT201" s="70">
        <v>1.0</v>
      </c>
    </row>
    <row r="202" ht="15.75" customHeight="1">
      <c r="A202" s="54">
        <v>140.0</v>
      </c>
      <c r="B202" s="56" t="s">
        <v>269</v>
      </c>
      <c r="C202" s="56" t="s">
        <v>270</v>
      </c>
      <c r="D202" s="56" t="s">
        <v>486</v>
      </c>
      <c r="E202" s="56" t="s">
        <v>487</v>
      </c>
      <c r="F202" s="56" t="s">
        <v>670</v>
      </c>
      <c r="G202" s="56"/>
      <c r="H202" s="68">
        <f t="shared" si="3"/>
        <v>0</v>
      </c>
      <c r="I202" s="62"/>
      <c r="J202" s="62"/>
      <c r="K202" s="71"/>
      <c r="L202" s="57"/>
      <c r="M202" s="61"/>
      <c r="N202" s="61"/>
      <c r="O202" s="62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3"/>
      <c r="BN202" s="53"/>
      <c r="BO202" s="30"/>
      <c r="BP202" s="101"/>
      <c r="BQ202" s="30">
        <v>1.0</v>
      </c>
      <c r="BR202" s="30">
        <f t="shared" si="4"/>
        <v>0</v>
      </c>
      <c r="BS202" s="70">
        <f t="shared" si="5"/>
        <v>0</v>
      </c>
      <c r="BT202" s="70">
        <v>1.0</v>
      </c>
    </row>
    <row r="203" ht="15.75" customHeight="1">
      <c r="A203" s="54">
        <v>140.0</v>
      </c>
      <c r="B203" s="56" t="s">
        <v>284</v>
      </c>
      <c r="C203" s="56" t="s">
        <v>270</v>
      </c>
      <c r="D203" s="56" t="s">
        <v>285</v>
      </c>
      <c r="E203" s="56" t="s">
        <v>272</v>
      </c>
      <c r="F203" s="56" t="s">
        <v>173</v>
      </c>
      <c r="G203" s="57" t="s">
        <v>87</v>
      </c>
      <c r="H203" s="68">
        <f t="shared" si="3"/>
        <v>0.25</v>
      </c>
      <c r="I203" s="62"/>
      <c r="J203" s="62"/>
      <c r="K203" s="71"/>
      <c r="L203" s="57"/>
      <c r="M203" s="61"/>
      <c r="N203" s="61"/>
      <c r="O203" s="62"/>
      <c r="P203" s="53" t="s">
        <v>131</v>
      </c>
      <c r="Q203" s="53"/>
      <c r="R203" s="53"/>
      <c r="S203" s="53"/>
      <c r="T203" s="53"/>
      <c r="U203" s="53" t="s">
        <v>131</v>
      </c>
      <c r="V203" s="53"/>
      <c r="W203" s="53"/>
      <c r="X203" s="53"/>
      <c r="Y203" s="53" t="s">
        <v>131</v>
      </c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  <c r="BJ203" s="53"/>
      <c r="BK203" s="53"/>
      <c r="BL203" s="53"/>
      <c r="BM203" s="53"/>
      <c r="BN203" s="53"/>
      <c r="BO203" s="30"/>
      <c r="BP203" s="30"/>
      <c r="BQ203" s="30">
        <v>12.0</v>
      </c>
      <c r="BR203" s="30">
        <f t="shared" si="4"/>
        <v>3</v>
      </c>
      <c r="BS203" s="70">
        <f t="shared" si="5"/>
        <v>0</v>
      </c>
      <c r="BT203" s="70">
        <v>1.0</v>
      </c>
    </row>
    <row r="204" ht="15.75" customHeight="1">
      <c r="A204" s="54">
        <v>140.0</v>
      </c>
      <c r="B204" s="56" t="s">
        <v>284</v>
      </c>
      <c r="C204" s="56" t="s">
        <v>270</v>
      </c>
      <c r="D204" s="56" t="s">
        <v>285</v>
      </c>
      <c r="E204" s="56" t="s">
        <v>276</v>
      </c>
      <c r="F204" s="56" t="s">
        <v>173</v>
      </c>
      <c r="G204" s="57" t="s">
        <v>87</v>
      </c>
      <c r="H204" s="68">
        <f t="shared" si="3"/>
        <v>0.25</v>
      </c>
      <c r="I204" s="62"/>
      <c r="J204" s="62"/>
      <c r="K204" s="71"/>
      <c r="L204" s="57"/>
      <c r="M204" s="61"/>
      <c r="N204" s="61"/>
      <c r="O204" s="62"/>
      <c r="P204" s="53" t="s">
        <v>131</v>
      </c>
      <c r="Q204" s="53"/>
      <c r="R204" s="53"/>
      <c r="S204" s="53"/>
      <c r="T204" s="53"/>
      <c r="U204" s="53" t="s">
        <v>131</v>
      </c>
      <c r="V204" s="53"/>
      <c r="W204" s="53"/>
      <c r="X204" s="53"/>
      <c r="Y204" s="53" t="s">
        <v>131</v>
      </c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  <c r="BE204" s="53"/>
      <c r="BF204" s="53"/>
      <c r="BG204" s="53"/>
      <c r="BH204" s="53"/>
      <c r="BI204" s="53"/>
      <c r="BJ204" s="53"/>
      <c r="BK204" s="53"/>
      <c r="BL204" s="53"/>
      <c r="BM204" s="53"/>
      <c r="BN204" s="53"/>
      <c r="BO204" s="30"/>
      <c r="BP204" s="101"/>
      <c r="BQ204" s="30">
        <v>12.0</v>
      </c>
      <c r="BR204" s="30">
        <f t="shared" si="4"/>
        <v>3</v>
      </c>
      <c r="BS204" s="70">
        <f t="shared" si="5"/>
        <v>0</v>
      </c>
      <c r="BT204" s="70">
        <v>1.0</v>
      </c>
    </row>
    <row r="205" ht="15.75" customHeight="1">
      <c r="A205" s="54">
        <v>140.0</v>
      </c>
      <c r="B205" s="56" t="s">
        <v>284</v>
      </c>
      <c r="C205" s="56" t="s">
        <v>270</v>
      </c>
      <c r="D205" s="56" t="s">
        <v>492</v>
      </c>
      <c r="E205" s="56" t="s">
        <v>487</v>
      </c>
      <c r="F205" s="56" t="s">
        <v>670</v>
      </c>
      <c r="G205" s="56"/>
      <c r="H205" s="68">
        <f t="shared" si="3"/>
        <v>0</v>
      </c>
      <c r="I205" s="62"/>
      <c r="J205" s="62"/>
      <c r="K205" s="71"/>
      <c r="L205" s="57"/>
      <c r="M205" s="61"/>
      <c r="N205" s="61"/>
      <c r="O205" s="62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3"/>
      <c r="BN205" s="53"/>
      <c r="BO205" s="30"/>
      <c r="BP205" s="30"/>
      <c r="BQ205" s="30">
        <v>1.0</v>
      </c>
      <c r="BR205" s="30">
        <f t="shared" si="4"/>
        <v>0</v>
      </c>
      <c r="BS205" s="70">
        <f t="shared" si="5"/>
        <v>0</v>
      </c>
      <c r="BT205" s="70">
        <v>1.0</v>
      </c>
    </row>
    <row r="206" ht="15.75" customHeight="1">
      <c r="A206" s="54">
        <v>140.0</v>
      </c>
      <c r="B206" s="56" t="s">
        <v>502</v>
      </c>
      <c r="C206" s="56" t="s">
        <v>497</v>
      </c>
      <c r="D206" s="56" t="s">
        <v>503</v>
      </c>
      <c r="E206" s="56" t="s">
        <v>272</v>
      </c>
      <c r="F206" s="56" t="s">
        <v>15</v>
      </c>
      <c r="G206" s="57" t="s">
        <v>15</v>
      </c>
      <c r="H206" s="68">
        <f t="shared" si="3"/>
        <v>0.2115384615</v>
      </c>
      <c r="I206" s="62"/>
      <c r="J206" s="62"/>
      <c r="K206" s="71"/>
      <c r="L206" s="57"/>
      <c r="M206" s="61"/>
      <c r="N206" s="61"/>
      <c r="O206" s="62"/>
      <c r="P206" s="53" t="s">
        <v>131</v>
      </c>
      <c r="Q206" s="53" t="s">
        <v>131</v>
      </c>
      <c r="R206" s="53" t="s">
        <v>131</v>
      </c>
      <c r="S206" s="53" t="s">
        <v>131</v>
      </c>
      <c r="T206" s="53" t="s">
        <v>131</v>
      </c>
      <c r="U206" s="53" t="s">
        <v>131</v>
      </c>
      <c r="V206" s="53" t="s">
        <v>131</v>
      </c>
      <c r="W206" s="53" t="s">
        <v>131</v>
      </c>
      <c r="X206" s="53" t="s">
        <v>131</v>
      </c>
      <c r="Y206" s="53" t="s">
        <v>131</v>
      </c>
      <c r="Z206" s="53" t="s">
        <v>131</v>
      </c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L206" s="53"/>
      <c r="BM206" s="53"/>
      <c r="BN206" s="53"/>
      <c r="BO206" s="53"/>
      <c r="BP206" s="30"/>
      <c r="BQ206" s="30">
        <v>52.0</v>
      </c>
      <c r="BR206" s="30">
        <f t="shared" si="4"/>
        <v>11</v>
      </c>
      <c r="BS206" s="70">
        <f t="shared" si="5"/>
        <v>0</v>
      </c>
      <c r="BT206" s="70">
        <v>1.0</v>
      </c>
    </row>
    <row r="207" ht="15.75" customHeight="1">
      <c r="A207" s="54">
        <v>140.0</v>
      </c>
      <c r="B207" s="56" t="s">
        <v>502</v>
      </c>
      <c r="C207" s="56" t="s">
        <v>497</v>
      </c>
      <c r="D207" s="56" t="s">
        <v>509</v>
      </c>
      <c r="E207" s="56" t="s">
        <v>272</v>
      </c>
      <c r="F207" s="56" t="s">
        <v>15</v>
      </c>
      <c r="G207" s="57" t="s">
        <v>15</v>
      </c>
      <c r="H207" s="68">
        <f t="shared" si="3"/>
        <v>0.2115384615</v>
      </c>
      <c r="I207" s="62"/>
      <c r="J207" s="62"/>
      <c r="K207" s="71"/>
      <c r="L207" s="57"/>
      <c r="M207" s="61"/>
      <c r="N207" s="61"/>
      <c r="O207" s="62"/>
      <c r="P207" s="53" t="s">
        <v>131</v>
      </c>
      <c r="Q207" s="53" t="s">
        <v>131</v>
      </c>
      <c r="R207" s="53" t="s">
        <v>131</v>
      </c>
      <c r="S207" s="53" t="s">
        <v>131</v>
      </c>
      <c r="T207" s="53" t="s">
        <v>131</v>
      </c>
      <c r="U207" s="53" t="s">
        <v>131</v>
      </c>
      <c r="V207" s="53" t="s">
        <v>131</v>
      </c>
      <c r="W207" s="53" t="s">
        <v>131</v>
      </c>
      <c r="X207" s="53" t="s">
        <v>131</v>
      </c>
      <c r="Y207" s="53" t="s">
        <v>131</v>
      </c>
      <c r="Z207" s="53" t="s">
        <v>131</v>
      </c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3"/>
      <c r="BN207" s="53"/>
      <c r="BO207" s="53"/>
      <c r="BP207" s="30"/>
      <c r="BQ207" s="30">
        <v>52.0</v>
      </c>
      <c r="BR207" s="30">
        <f t="shared" si="4"/>
        <v>11</v>
      </c>
      <c r="BS207" s="70">
        <f t="shared" si="5"/>
        <v>0</v>
      </c>
      <c r="BT207" s="70">
        <v>1.0</v>
      </c>
    </row>
    <row r="208" ht="15.75" customHeight="1">
      <c r="A208" s="54">
        <v>140.0</v>
      </c>
      <c r="B208" s="56" t="s">
        <v>499</v>
      </c>
      <c r="C208" s="56" t="s">
        <v>500</v>
      </c>
      <c r="D208" s="56" t="s">
        <v>501</v>
      </c>
      <c r="E208" s="56" t="s">
        <v>225</v>
      </c>
      <c r="F208" s="56" t="s">
        <v>168</v>
      </c>
      <c r="G208" s="57" t="s">
        <v>34</v>
      </c>
      <c r="H208" s="68">
        <f t="shared" si="3"/>
        <v>0</v>
      </c>
      <c r="I208" s="62"/>
      <c r="J208" s="62"/>
      <c r="K208" s="71"/>
      <c r="L208" s="57"/>
      <c r="M208" s="61"/>
      <c r="N208" s="61"/>
      <c r="O208" s="62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53"/>
      <c r="BL208" s="53"/>
      <c r="BM208" s="53"/>
      <c r="BN208" s="53"/>
      <c r="BO208" s="30"/>
      <c r="BP208" s="53"/>
      <c r="BQ208" s="30">
        <v>1.0</v>
      </c>
      <c r="BR208" s="30">
        <f t="shared" si="4"/>
        <v>0</v>
      </c>
      <c r="BS208" s="70">
        <f t="shared" si="5"/>
        <v>0</v>
      </c>
      <c r="BT208" s="70">
        <v>1.0</v>
      </c>
    </row>
    <row r="209" ht="15.75" customHeight="1">
      <c r="A209" s="54">
        <v>140.0</v>
      </c>
      <c r="B209" s="56" t="s">
        <v>499</v>
      </c>
      <c r="C209" s="56" t="s">
        <v>500</v>
      </c>
      <c r="D209" s="56" t="s">
        <v>501</v>
      </c>
      <c r="E209" s="56" t="s">
        <v>167</v>
      </c>
      <c r="F209" s="56" t="s">
        <v>246</v>
      </c>
      <c r="G209" s="57" t="s">
        <v>154</v>
      </c>
      <c r="H209" s="68">
        <f t="shared" si="3"/>
        <v>0</v>
      </c>
      <c r="I209" s="62"/>
      <c r="J209" s="62"/>
      <c r="K209" s="71"/>
      <c r="L209" s="57"/>
      <c r="M209" s="61"/>
      <c r="N209" s="61"/>
      <c r="O209" s="62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30">
        <v>2.0</v>
      </c>
      <c r="BR209" s="30">
        <f t="shared" si="4"/>
        <v>0</v>
      </c>
      <c r="BS209" s="70">
        <f t="shared" si="5"/>
        <v>0</v>
      </c>
      <c r="BT209" s="70">
        <v>1.0</v>
      </c>
    </row>
    <row r="210" ht="15.75" customHeight="1">
      <c r="A210" s="54">
        <v>140.0</v>
      </c>
      <c r="B210" s="56" t="s">
        <v>499</v>
      </c>
      <c r="C210" s="56" t="s">
        <v>500</v>
      </c>
      <c r="D210" s="56" t="s">
        <v>501</v>
      </c>
      <c r="E210" s="56" t="s">
        <v>226</v>
      </c>
      <c r="F210" s="56" t="s">
        <v>246</v>
      </c>
      <c r="G210" s="57" t="s">
        <v>154</v>
      </c>
      <c r="H210" s="68">
        <f t="shared" si="3"/>
        <v>0</v>
      </c>
      <c r="I210" s="62"/>
      <c r="J210" s="62"/>
      <c r="K210" s="71"/>
      <c r="L210" s="57"/>
      <c r="M210" s="61"/>
      <c r="N210" s="61"/>
      <c r="O210" s="62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3"/>
      <c r="BN210" s="53"/>
      <c r="BO210" s="53"/>
      <c r="BP210" s="53"/>
      <c r="BQ210" s="30">
        <v>2.0</v>
      </c>
      <c r="BR210" s="30">
        <f t="shared" si="4"/>
        <v>0</v>
      </c>
      <c r="BS210" s="70">
        <f t="shared" si="5"/>
        <v>0</v>
      </c>
      <c r="BT210" s="70">
        <v>1.0</v>
      </c>
    </row>
    <row r="211" ht="15.75" customHeight="1">
      <c r="A211" s="54">
        <v>140.0</v>
      </c>
      <c r="B211" s="56" t="s">
        <v>499</v>
      </c>
      <c r="C211" s="56" t="s">
        <v>500</v>
      </c>
      <c r="D211" s="56" t="s">
        <v>510</v>
      </c>
      <c r="E211" s="56" t="s">
        <v>272</v>
      </c>
      <c r="F211" s="56" t="s">
        <v>15</v>
      </c>
      <c r="G211" s="57" t="s">
        <v>15</v>
      </c>
      <c r="H211" s="68">
        <f t="shared" si="3"/>
        <v>0.2115384615</v>
      </c>
      <c r="I211" s="62"/>
      <c r="J211" s="62"/>
      <c r="K211" s="71"/>
      <c r="L211" s="57"/>
      <c r="M211" s="61"/>
      <c r="N211" s="61"/>
      <c r="O211" s="62"/>
      <c r="P211" s="53" t="s">
        <v>131</v>
      </c>
      <c r="Q211" s="53" t="s">
        <v>131</v>
      </c>
      <c r="R211" s="53" t="s">
        <v>131</v>
      </c>
      <c r="S211" s="53" t="s">
        <v>131</v>
      </c>
      <c r="T211" s="53" t="s">
        <v>131</v>
      </c>
      <c r="U211" s="53" t="s">
        <v>131</v>
      </c>
      <c r="V211" s="53" t="s">
        <v>131</v>
      </c>
      <c r="W211" s="53" t="s">
        <v>131</v>
      </c>
      <c r="X211" s="53" t="s">
        <v>131</v>
      </c>
      <c r="Y211" s="53" t="s">
        <v>131</v>
      </c>
      <c r="Z211" s="53" t="s">
        <v>131</v>
      </c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3"/>
      <c r="BN211" s="53"/>
      <c r="BO211" s="53"/>
      <c r="BP211" s="30"/>
      <c r="BQ211" s="30">
        <v>52.0</v>
      </c>
      <c r="BR211" s="30">
        <f t="shared" si="4"/>
        <v>11</v>
      </c>
      <c r="BS211" s="70">
        <f t="shared" si="5"/>
        <v>0</v>
      </c>
      <c r="BT211" s="70">
        <v>1.0</v>
      </c>
    </row>
    <row r="212" ht="15.75" customHeight="1">
      <c r="A212" s="54">
        <v>140.0</v>
      </c>
      <c r="B212" s="56" t="s">
        <v>504</v>
      </c>
      <c r="C212" s="56" t="s">
        <v>443</v>
      </c>
      <c r="D212" s="56" t="s">
        <v>505</v>
      </c>
      <c r="E212" s="56" t="s">
        <v>439</v>
      </c>
      <c r="F212" s="56" t="s">
        <v>246</v>
      </c>
      <c r="G212" s="57" t="s">
        <v>154</v>
      </c>
      <c r="H212" s="68">
        <f t="shared" si="3"/>
        <v>0</v>
      </c>
      <c r="I212" s="62"/>
      <c r="J212" s="62"/>
      <c r="K212" s="71"/>
      <c r="L212" s="57"/>
      <c r="M212" s="61"/>
      <c r="N212" s="61"/>
      <c r="O212" s="62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30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3"/>
      <c r="BN212" s="53"/>
      <c r="BO212" s="53"/>
      <c r="BP212" s="30"/>
      <c r="BQ212" s="30">
        <v>2.0</v>
      </c>
      <c r="BR212" s="30">
        <f t="shared" si="4"/>
        <v>0</v>
      </c>
      <c r="BS212" s="70">
        <f t="shared" si="5"/>
        <v>0</v>
      </c>
      <c r="BT212" s="70">
        <v>1.0</v>
      </c>
    </row>
    <row r="213" ht="15.75" customHeight="1">
      <c r="A213" s="54">
        <v>140.0</v>
      </c>
      <c r="B213" s="56" t="s">
        <v>506</v>
      </c>
      <c r="C213" s="56" t="s">
        <v>507</v>
      </c>
      <c r="D213" s="56" t="s">
        <v>508</v>
      </c>
      <c r="E213" s="56" t="s">
        <v>336</v>
      </c>
      <c r="F213" s="56" t="s">
        <v>313</v>
      </c>
      <c r="G213" s="57" t="s">
        <v>192</v>
      </c>
      <c r="H213" s="68">
        <f t="shared" si="3"/>
        <v>0</v>
      </c>
      <c r="I213" s="62"/>
      <c r="J213" s="62"/>
      <c r="K213" s="71"/>
      <c r="L213" s="57" t="s">
        <v>115</v>
      </c>
      <c r="M213" s="61"/>
      <c r="N213" s="61"/>
      <c r="O213" s="62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30"/>
      <c r="BP213" s="53"/>
      <c r="BQ213" s="30">
        <v>3.0</v>
      </c>
      <c r="BR213" s="30">
        <f t="shared" si="4"/>
        <v>0</v>
      </c>
      <c r="BS213" s="70">
        <f t="shared" si="5"/>
        <v>0</v>
      </c>
      <c r="BT213" s="70">
        <v>1.0</v>
      </c>
    </row>
    <row r="214" ht="15.75" customHeight="1">
      <c r="A214" s="54">
        <v>140.0</v>
      </c>
      <c r="B214" s="56" t="s">
        <v>506</v>
      </c>
      <c r="C214" s="56" t="s">
        <v>507</v>
      </c>
      <c r="D214" s="56" t="s">
        <v>508</v>
      </c>
      <c r="E214" s="56" t="s">
        <v>372</v>
      </c>
      <c r="F214" s="56" t="s">
        <v>193</v>
      </c>
      <c r="G214" s="57" t="s">
        <v>34</v>
      </c>
      <c r="H214" s="68">
        <f t="shared" si="3"/>
        <v>0</v>
      </c>
      <c r="I214" s="62"/>
      <c r="J214" s="62"/>
      <c r="K214" s="71"/>
      <c r="L214" s="57" t="s">
        <v>115</v>
      </c>
      <c r="M214" s="61"/>
      <c r="N214" s="61"/>
      <c r="O214" s="62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  <c r="BJ214" s="53"/>
      <c r="BK214" s="53"/>
      <c r="BL214" s="53"/>
      <c r="BM214" s="53"/>
      <c r="BN214" s="53"/>
      <c r="BO214" s="30"/>
      <c r="BP214" s="30"/>
      <c r="BQ214" s="30">
        <v>1.0</v>
      </c>
      <c r="BR214" s="30">
        <f t="shared" si="4"/>
        <v>0</v>
      </c>
      <c r="BS214" s="70">
        <f t="shared" si="5"/>
        <v>0</v>
      </c>
      <c r="BT214" s="70">
        <v>1.0</v>
      </c>
    </row>
    <row r="215" ht="15.75" customHeight="1">
      <c r="A215" s="54">
        <v>140.0</v>
      </c>
      <c r="B215" s="56" t="s">
        <v>506</v>
      </c>
      <c r="C215" s="56" t="s">
        <v>507</v>
      </c>
      <c r="D215" s="56" t="s">
        <v>508</v>
      </c>
      <c r="E215" s="56" t="s">
        <v>158</v>
      </c>
      <c r="F215" s="56" t="s">
        <v>193</v>
      </c>
      <c r="G215" s="57" t="s">
        <v>34</v>
      </c>
      <c r="H215" s="68">
        <f t="shared" si="3"/>
        <v>0</v>
      </c>
      <c r="I215" s="62"/>
      <c r="J215" s="62"/>
      <c r="K215" s="71"/>
      <c r="L215" s="57" t="s">
        <v>115</v>
      </c>
      <c r="M215" s="61"/>
      <c r="N215" s="61"/>
      <c r="O215" s="62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3"/>
      <c r="BN215" s="53"/>
      <c r="BO215" s="30"/>
      <c r="BP215" s="30"/>
      <c r="BQ215" s="30">
        <v>1.0</v>
      </c>
      <c r="BR215" s="30">
        <f t="shared" si="4"/>
        <v>0</v>
      </c>
      <c r="BS215" s="70">
        <f t="shared" si="5"/>
        <v>0</v>
      </c>
      <c r="BT215" s="70">
        <v>1.0</v>
      </c>
    </row>
    <row r="216" ht="15.75" customHeight="1">
      <c r="A216" s="54">
        <v>140.0</v>
      </c>
      <c r="B216" s="56" t="s">
        <v>511</v>
      </c>
      <c r="C216" s="56" t="s">
        <v>497</v>
      </c>
      <c r="D216" s="56" t="s">
        <v>512</v>
      </c>
      <c r="E216" s="56" t="s">
        <v>272</v>
      </c>
      <c r="F216" s="56" t="s">
        <v>15</v>
      </c>
      <c r="G216" s="57" t="s">
        <v>15</v>
      </c>
      <c r="H216" s="68">
        <f t="shared" si="3"/>
        <v>0.2115384615</v>
      </c>
      <c r="I216" s="62"/>
      <c r="J216" s="62"/>
      <c r="K216" s="71"/>
      <c r="L216" s="57"/>
      <c r="M216" s="61"/>
      <c r="N216" s="61"/>
      <c r="O216" s="62"/>
      <c r="P216" s="53" t="s">
        <v>131</v>
      </c>
      <c r="Q216" s="53" t="s">
        <v>131</v>
      </c>
      <c r="R216" s="53" t="s">
        <v>131</v>
      </c>
      <c r="S216" s="53" t="s">
        <v>131</v>
      </c>
      <c r="T216" s="53" t="s">
        <v>131</v>
      </c>
      <c r="U216" s="53" t="s">
        <v>131</v>
      </c>
      <c r="V216" s="53" t="s">
        <v>131</v>
      </c>
      <c r="W216" s="53" t="s">
        <v>131</v>
      </c>
      <c r="X216" s="53" t="s">
        <v>131</v>
      </c>
      <c r="Y216" s="53" t="s">
        <v>131</v>
      </c>
      <c r="Z216" s="53" t="s">
        <v>131</v>
      </c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53"/>
      <c r="BP216" s="30"/>
      <c r="BQ216" s="30">
        <v>52.0</v>
      </c>
      <c r="BR216" s="30">
        <f t="shared" si="4"/>
        <v>11</v>
      </c>
      <c r="BS216" s="70">
        <f t="shared" si="5"/>
        <v>0</v>
      </c>
      <c r="BT216" s="70">
        <v>1.0</v>
      </c>
    </row>
    <row r="217" ht="15.75" customHeight="1">
      <c r="A217" s="54">
        <v>140.0</v>
      </c>
      <c r="B217" s="56" t="s">
        <v>513</v>
      </c>
      <c r="C217" s="56" t="s">
        <v>437</v>
      </c>
      <c r="D217" s="56" t="s">
        <v>514</v>
      </c>
      <c r="E217" s="56" t="s">
        <v>272</v>
      </c>
      <c r="F217" s="56" t="s">
        <v>15</v>
      </c>
      <c r="G217" s="57" t="s">
        <v>15</v>
      </c>
      <c r="H217" s="68">
        <f t="shared" si="3"/>
        <v>0.2115384615</v>
      </c>
      <c r="I217" s="62"/>
      <c r="J217" s="62"/>
      <c r="K217" s="71"/>
      <c r="L217" s="57"/>
      <c r="M217" s="61"/>
      <c r="N217" s="61"/>
      <c r="O217" s="62"/>
      <c r="P217" s="53" t="s">
        <v>131</v>
      </c>
      <c r="Q217" s="53" t="s">
        <v>131</v>
      </c>
      <c r="R217" s="53" t="s">
        <v>131</v>
      </c>
      <c r="S217" s="53" t="s">
        <v>131</v>
      </c>
      <c r="T217" s="53" t="s">
        <v>131</v>
      </c>
      <c r="U217" s="53" t="s">
        <v>131</v>
      </c>
      <c r="V217" s="53" t="s">
        <v>131</v>
      </c>
      <c r="W217" s="53" t="s">
        <v>131</v>
      </c>
      <c r="X217" s="53" t="s">
        <v>131</v>
      </c>
      <c r="Y217" s="53" t="s">
        <v>131</v>
      </c>
      <c r="Z217" s="53" t="s">
        <v>131</v>
      </c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53"/>
      <c r="BP217" s="30"/>
      <c r="BQ217" s="30">
        <v>52.0</v>
      </c>
      <c r="BR217" s="30">
        <f t="shared" si="4"/>
        <v>11</v>
      </c>
      <c r="BS217" s="70">
        <f t="shared" si="5"/>
        <v>0</v>
      </c>
      <c r="BT217" s="70">
        <v>1.0</v>
      </c>
    </row>
    <row r="218" ht="15.75" customHeight="1">
      <c r="A218" s="54">
        <v>140.0</v>
      </c>
      <c r="B218" s="56" t="s">
        <v>515</v>
      </c>
      <c r="C218" s="56" t="s">
        <v>437</v>
      </c>
      <c r="D218" s="56" t="s">
        <v>516</v>
      </c>
      <c r="E218" s="56" t="s">
        <v>272</v>
      </c>
      <c r="F218" s="56" t="s">
        <v>15</v>
      </c>
      <c r="G218" s="57" t="s">
        <v>15</v>
      </c>
      <c r="H218" s="68">
        <f t="shared" si="3"/>
        <v>0.2115384615</v>
      </c>
      <c r="I218" s="62"/>
      <c r="J218" s="62"/>
      <c r="K218" s="71"/>
      <c r="L218" s="57"/>
      <c r="M218" s="61"/>
      <c r="N218" s="61"/>
      <c r="O218" s="62"/>
      <c r="P218" s="53" t="s">
        <v>131</v>
      </c>
      <c r="Q218" s="53" t="s">
        <v>131</v>
      </c>
      <c r="R218" s="53" t="s">
        <v>131</v>
      </c>
      <c r="S218" s="53" t="s">
        <v>131</v>
      </c>
      <c r="T218" s="53" t="s">
        <v>131</v>
      </c>
      <c r="U218" s="53" t="s">
        <v>131</v>
      </c>
      <c r="V218" s="53" t="s">
        <v>131</v>
      </c>
      <c r="W218" s="53" t="s">
        <v>131</v>
      </c>
      <c r="X218" s="53" t="s">
        <v>131</v>
      </c>
      <c r="Y218" s="53" t="s">
        <v>131</v>
      </c>
      <c r="Z218" s="53" t="s">
        <v>131</v>
      </c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53"/>
      <c r="BJ218" s="53"/>
      <c r="BK218" s="53"/>
      <c r="BL218" s="53"/>
      <c r="BM218" s="53"/>
      <c r="BN218" s="53"/>
      <c r="BO218" s="53"/>
      <c r="BP218" s="30"/>
      <c r="BQ218" s="30">
        <v>52.0</v>
      </c>
      <c r="BR218" s="30">
        <f t="shared" si="4"/>
        <v>11</v>
      </c>
      <c r="BS218" s="70">
        <f t="shared" si="5"/>
        <v>0</v>
      </c>
      <c r="BT218" s="70">
        <v>1.0</v>
      </c>
    </row>
    <row r="219" ht="15.75" customHeight="1">
      <c r="A219" s="54">
        <v>140.0</v>
      </c>
      <c r="B219" s="56" t="s">
        <v>517</v>
      </c>
      <c r="C219" s="56" t="s">
        <v>437</v>
      </c>
      <c r="D219" s="56" t="s">
        <v>518</v>
      </c>
      <c r="E219" s="56" t="s">
        <v>272</v>
      </c>
      <c r="F219" s="56" t="s">
        <v>15</v>
      </c>
      <c r="G219" s="57" t="s">
        <v>15</v>
      </c>
      <c r="H219" s="68">
        <f t="shared" si="3"/>
        <v>0.2115384615</v>
      </c>
      <c r="I219" s="57"/>
      <c r="J219" s="57"/>
      <c r="K219" s="57"/>
      <c r="L219" s="57"/>
      <c r="M219" s="81"/>
      <c r="N219" s="81"/>
      <c r="O219" s="57"/>
      <c r="P219" s="53" t="s">
        <v>131</v>
      </c>
      <c r="Q219" s="53" t="s">
        <v>131</v>
      </c>
      <c r="R219" s="53" t="s">
        <v>131</v>
      </c>
      <c r="S219" s="53" t="s">
        <v>131</v>
      </c>
      <c r="T219" s="53" t="s">
        <v>131</v>
      </c>
      <c r="U219" s="53" t="s">
        <v>131</v>
      </c>
      <c r="V219" s="53" t="s">
        <v>131</v>
      </c>
      <c r="W219" s="53" t="s">
        <v>131</v>
      </c>
      <c r="X219" s="53" t="s">
        <v>131</v>
      </c>
      <c r="Y219" s="53" t="s">
        <v>131</v>
      </c>
      <c r="Z219" s="53" t="s">
        <v>131</v>
      </c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  <c r="BJ219" s="53"/>
      <c r="BK219" s="53"/>
      <c r="BL219" s="53"/>
      <c r="BM219" s="53"/>
      <c r="BN219" s="53"/>
      <c r="BO219" s="53"/>
      <c r="BP219" s="30"/>
      <c r="BQ219" s="30">
        <v>52.0</v>
      </c>
      <c r="BR219" s="30">
        <f t="shared" si="4"/>
        <v>11</v>
      </c>
      <c r="BS219" s="70">
        <f t="shared" si="5"/>
        <v>0</v>
      </c>
      <c r="BT219" s="70">
        <v>1.0</v>
      </c>
    </row>
    <row r="220" ht="15.75" customHeight="1">
      <c r="A220" s="54">
        <v>140.0</v>
      </c>
      <c r="B220" s="56" t="s">
        <v>519</v>
      </c>
      <c r="C220" s="56" t="s">
        <v>437</v>
      </c>
      <c r="D220" s="56" t="s">
        <v>520</v>
      </c>
      <c r="E220" s="56" t="s">
        <v>272</v>
      </c>
      <c r="F220" s="56" t="s">
        <v>15</v>
      </c>
      <c r="G220" s="57" t="s">
        <v>15</v>
      </c>
      <c r="H220" s="68">
        <f t="shared" si="3"/>
        <v>0.2115384615</v>
      </c>
      <c r="I220" s="62"/>
      <c r="J220" s="62"/>
      <c r="K220" s="71"/>
      <c r="L220" s="57"/>
      <c r="M220" s="61"/>
      <c r="N220" s="61"/>
      <c r="O220" s="62"/>
      <c r="P220" s="53" t="s">
        <v>131</v>
      </c>
      <c r="Q220" s="53" t="s">
        <v>131</v>
      </c>
      <c r="R220" s="53" t="s">
        <v>131</v>
      </c>
      <c r="S220" s="53" t="s">
        <v>131</v>
      </c>
      <c r="T220" s="53" t="s">
        <v>131</v>
      </c>
      <c r="U220" s="53" t="s">
        <v>131</v>
      </c>
      <c r="V220" s="53" t="s">
        <v>131</v>
      </c>
      <c r="W220" s="53" t="s">
        <v>131</v>
      </c>
      <c r="X220" s="53" t="s">
        <v>131</v>
      </c>
      <c r="Y220" s="53" t="s">
        <v>131</v>
      </c>
      <c r="Z220" s="53" t="s">
        <v>131</v>
      </c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53"/>
      <c r="BJ220" s="53"/>
      <c r="BK220" s="53"/>
      <c r="BL220" s="53"/>
      <c r="BM220" s="53"/>
      <c r="BN220" s="53"/>
      <c r="BO220" s="53"/>
      <c r="BP220" s="30"/>
      <c r="BQ220" s="30">
        <v>52.0</v>
      </c>
      <c r="BR220" s="30">
        <f t="shared" si="4"/>
        <v>11</v>
      </c>
      <c r="BS220" s="70">
        <f t="shared" si="5"/>
        <v>0</v>
      </c>
      <c r="BT220" s="70">
        <v>1.0</v>
      </c>
    </row>
    <row r="221" ht="15.75" customHeight="1">
      <c r="A221" s="54">
        <v>140.0</v>
      </c>
      <c r="B221" s="56" t="s">
        <v>521</v>
      </c>
      <c r="C221" s="56" t="s">
        <v>443</v>
      </c>
      <c r="D221" s="56" t="s">
        <v>522</v>
      </c>
      <c r="E221" s="56" t="s">
        <v>272</v>
      </c>
      <c r="F221" s="56" t="s">
        <v>15</v>
      </c>
      <c r="G221" s="57" t="s">
        <v>15</v>
      </c>
      <c r="H221" s="68">
        <f t="shared" si="3"/>
        <v>0.2115384615</v>
      </c>
      <c r="I221" s="62"/>
      <c r="J221" s="62"/>
      <c r="K221" s="71"/>
      <c r="L221" s="57"/>
      <c r="M221" s="61"/>
      <c r="N221" s="61"/>
      <c r="O221" s="62"/>
      <c r="P221" s="53" t="s">
        <v>131</v>
      </c>
      <c r="Q221" s="53" t="s">
        <v>131</v>
      </c>
      <c r="R221" s="53" t="s">
        <v>131</v>
      </c>
      <c r="S221" s="53" t="s">
        <v>131</v>
      </c>
      <c r="T221" s="53" t="s">
        <v>131</v>
      </c>
      <c r="U221" s="53" t="s">
        <v>131</v>
      </c>
      <c r="V221" s="53" t="s">
        <v>131</v>
      </c>
      <c r="W221" s="53" t="s">
        <v>131</v>
      </c>
      <c r="X221" s="53" t="s">
        <v>131</v>
      </c>
      <c r="Y221" s="53" t="s">
        <v>131</v>
      </c>
      <c r="Z221" s="53" t="s">
        <v>131</v>
      </c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3"/>
      <c r="BN221" s="53"/>
      <c r="BO221" s="53"/>
      <c r="BP221" s="30"/>
      <c r="BQ221" s="30">
        <v>52.0</v>
      </c>
      <c r="BR221" s="30">
        <f t="shared" si="4"/>
        <v>11</v>
      </c>
      <c r="BS221" s="70">
        <f t="shared" si="5"/>
        <v>0</v>
      </c>
      <c r="BT221" s="70">
        <v>1.0</v>
      </c>
    </row>
    <row r="222" ht="15.75" customHeight="1">
      <c r="A222" s="54">
        <v>140.0</v>
      </c>
      <c r="B222" s="56" t="s">
        <v>523</v>
      </c>
      <c r="C222" s="56" t="s">
        <v>443</v>
      </c>
      <c r="D222" s="56" t="s">
        <v>524</v>
      </c>
      <c r="E222" s="56" t="s">
        <v>272</v>
      </c>
      <c r="F222" s="56" t="s">
        <v>15</v>
      </c>
      <c r="G222" s="57" t="s">
        <v>15</v>
      </c>
      <c r="H222" s="68">
        <f t="shared" si="3"/>
        <v>0.2115384615</v>
      </c>
      <c r="I222" s="62"/>
      <c r="J222" s="62"/>
      <c r="K222" s="71"/>
      <c r="L222" s="57"/>
      <c r="M222" s="61"/>
      <c r="N222" s="61"/>
      <c r="O222" s="62"/>
      <c r="P222" s="53" t="s">
        <v>131</v>
      </c>
      <c r="Q222" s="53" t="s">
        <v>131</v>
      </c>
      <c r="R222" s="53" t="s">
        <v>131</v>
      </c>
      <c r="S222" s="53" t="s">
        <v>131</v>
      </c>
      <c r="T222" s="53" t="s">
        <v>131</v>
      </c>
      <c r="U222" s="53" t="s">
        <v>131</v>
      </c>
      <c r="V222" s="53" t="s">
        <v>131</v>
      </c>
      <c r="W222" s="53" t="s">
        <v>131</v>
      </c>
      <c r="X222" s="53" t="s">
        <v>131</v>
      </c>
      <c r="Y222" s="53" t="s">
        <v>131</v>
      </c>
      <c r="Z222" s="53" t="s">
        <v>131</v>
      </c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  <c r="BE222" s="53"/>
      <c r="BF222" s="53"/>
      <c r="BG222" s="53"/>
      <c r="BH222" s="53"/>
      <c r="BI222" s="53"/>
      <c r="BJ222" s="53"/>
      <c r="BK222" s="53"/>
      <c r="BL222" s="53"/>
      <c r="BM222" s="53"/>
      <c r="BN222" s="53"/>
      <c r="BO222" s="53"/>
      <c r="BP222" s="30"/>
      <c r="BQ222" s="30">
        <v>52.0</v>
      </c>
      <c r="BR222" s="30">
        <f t="shared" si="4"/>
        <v>11</v>
      </c>
      <c r="BS222" s="70">
        <f t="shared" si="5"/>
        <v>0</v>
      </c>
      <c r="BT222" s="70">
        <v>1.0</v>
      </c>
    </row>
    <row r="223" ht="15.75" customHeight="1">
      <c r="A223" s="54">
        <v>140.0</v>
      </c>
      <c r="B223" s="56" t="s">
        <v>525</v>
      </c>
      <c r="C223" s="56" t="s">
        <v>443</v>
      </c>
      <c r="D223" s="56" t="s">
        <v>526</v>
      </c>
      <c r="E223" s="56" t="s">
        <v>272</v>
      </c>
      <c r="F223" s="56" t="s">
        <v>15</v>
      </c>
      <c r="G223" s="57" t="s">
        <v>15</v>
      </c>
      <c r="H223" s="68">
        <f t="shared" si="3"/>
        <v>0.2115384615</v>
      </c>
      <c r="I223" s="62"/>
      <c r="J223" s="62"/>
      <c r="K223" s="71"/>
      <c r="L223" s="57"/>
      <c r="M223" s="61"/>
      <c r="N223" s="61"/>
      <c r="O223" s="62"/>
      <c r="P223" s="53" t="s">
        <v>131</v>
      </c>
      <c r="Q223" s="53" t="s">
        <v>131</v>
      </c>
      <c r="R223" s="53" t="s">
        <v>131</v>
      </c>
      <c r="S223" s="53" t="s">
        <v>131</v>
      </c>
      <c r="T223" s="53" t="s">
        <v>131</v>
      </c>
      <c r="U223" s="53" t="s">
        <v>131</v>
      </c>
      <c r="V223" s="53" t="s">
        <v>131</v>
      </c>
      <c r="W223" s="53" t="s">
        <v>131</v>
      </c>
      <c r="X223" s="53" t="s">
        <v>131</v>
      </c>
      <c r="Y223" s="53" t="s">
        <v>131</v>
      </c>
      <c r="Z223" s="53" t="s">
        <v>131</v>
      </c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53"/>
      <c r="BJ223" s="53"/>
      <c r="BK223" s="53"/>
      <c r="BL223" s="53"/>
      <c r="BM223" s="53"/>
      <c r="BN223" s="53"/>
      <c r="BO223" s="53"/>
      <c r="BP223" s="30"/>
      <c r="BQ223" s="30">
        <v>52.0</v>
      </c>
      <c r="BR223" s="30">
        <f t="shared" si="4"/>
        <v>11</v>
      </c>
      <c r="BS223" s="70">
        <f t="shared" si="5"/>
        <v>0</v>
      </c>
      <c r="BT223" s="70">
        <v>1.0</v>
      </c>
    </row>
    <row r="224" ht="15.75" customHeight="1">
      <c r="A224" s="54">
        <v>140.0</v>
      </c>
      <c r="B224" s="56" t="s">
        <v>527</v>
      </c>
      <c r="C224" s="56" t="s">
        <v>446</v>
      </c>
      <c r="D224" s="56" t="s">
        <v>528</v>
      </c>
      <c r="E224" s="56" t="s">
        <v>272</v>
      </c>
      <c r="F224" s="56" t="s">
        <v>15</v>
      </c>
      <c r="G224" s="57" t="s">
        <v>15</v>
      </c>
      <c r="H224" s="68">
        <f t="shared" si="3"/>
        <v>0.2115384615</v>
      </c>
      <c r="I224" s="62"/>
      <c r="J224" s="62"/>
      <c r="K224" s="71"/>
      <c r="L224" s="57"/>
      <c r="M224" s="61"/>
      <c r="N224" s="61"/>
      <c r="O224" s="62"/>
      <c r="P224" s="53" t="s">
        <v>131</v>
      </c>
      <c r="Q224" s="53" t="s">
        <v>131</v>
      </c>
      <c r="R224" s="53" t="s">
        <v>131</v>
      </c>
      <c r="S224" s="53" t="s">
        <v>131</v>
      </c>
      <c r="T224" s="53" t="s">
        <v>131</v>
      </c>
      <c r="U224" s="53" t="s">
        <v>131</v>
      </c>
      <c r="V224" s="53" t="s">
        <v>131</v>
      </c>
      <c r="W224" s="53" t="s">
        <v>131</v>
      </c>
      <c r="X224" s="53" t="s">
        <v>131</v>
      </c>
      <c r="Y224" s="53" t="s">
        <v>131</v>
      </c>
      <c r="Z224" s="53" t="s">
        <v>131</v>
      </c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  <c r="BE224" s="53"/>
      <c r="BF224" s="53"/>
      <c r="BG224" s="53"/>
      <c r="BH224" s="53"/>
      <c r="BI224" s="53"/>
      <c r="BJ224" s="53"/>
      <c r="BK224" s="53"/>
      <c r="BL224" s="53"/>
      <c r="BM224" s="53"/>
      <c r="BN224" s="53"/>
      <c r="BO224" s="53"/>
      <c r="BP224" s="30"/>
      <c r="BQ224" s="30">
        <v>52.0</v>
      </c>
      <c r="BR224" s="30">
        <f t="shared" si="4"/>
        <v>11</v>
      </c>
      <c r="BS224" s="70">
        <f t="shared" si="5"/>
        <v>0</v>
      </c>
      <c r="BT224" s="70">
        <v>1.0</v>
      </c>
    </row>
    <row r="225" ht="15.75" customHeight="1">
      <c r="A225" s="54">
        <v>140.0</v>
      </c>
      <c r="B225" s="56" t="s">
        <v>529</v>
      </c>
      <c r="C225" s="56" t="s">
        <v>446</v>
      </c>
      <c r="D225" s="56" t="s">
        <v>530</v>
      </c>
      <c r="E225" s="56" t="s">
        <v>272</v>
      </c>
      <c r="F225" s="56" t="s">
        <v>15</v>
      </c>
      <c r="G225" s="57" t="s">
        <v>15</v>
      </c>
      <c r="H225" s="68">
        <f t="shared" si="3"/>
        <v>0.2115384615</v>
      </c>
      <c r="I225" s="62"/>
      <c r="J225" s="62"/>
      <c r="K225" s="71"/>
      <c r="L225" s="57"/>
      <c r="M225" s="61"/>
      <c r="N225" s="61"/>
      <c r="O225" s="62"/>
      <c r="P225" s="53" t="s">
        <v>131</v>
      </c>
      <c r="Q225" s="53" t="s">
        <v>131</v>
      </c>
      <c r="R225" s="53" t="s">
        <v>131</v>
      </c>
      <c r="S225" s="53" t="s">
        <v>131</v>
      </c>
      <c r="T225" s="53" t="s">
        <v>131</v>
      </c>
      <c r="U225" s="53" t="s">
        <v>131</v>
      </c>
      <c r="V225" s="53" t="s">
        <v>131</v>
      </c>
      <c r="W225" s="53" t="s">
        <v>131</v>
      </c>
      <c r="X225" s="53" t="s">
        <v>131</v>
      </c>
      <c r="Y225" s="53" t="s">
        <v>131</v>
      </c>
      <c r="Z225" s="53" t="s">
        <v>131</v>
      </c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L225" s="53"/>
      <c r="BM225" s="53"/>
      <c r="BN225" s="53"/>
      <c r="BO225" s="53"/>
      <c r="BP225" s="101"/>
      <c r="BQ225" s="30">
        <v>52.0</v>
      </c>
      <c r="BR225" s="30">
        <f t="shared" si="4"/>
        <v>11</v>
      </c>
      <c r="BS225" s="70">
        <f t="shared" si="5"/>
        <v>0</v>
      </c>
      <c r="BT225" s="70">
        <v>1.0</v>
      </c>
    </row>
    <row r="226" ht="15.75" customHeight="1">
      <c r="A226" s="54">
        <v>140.0</v>
      </c>
      <c r="B226" s="56" t="s">
        <v>531</v>
      </c>
      <c r="C226" s="88" t="s">
        <v>449</v>
      </c>
      <c r="D226" s="56" t="s">
        <v>532</v>
      </c>
      <c r="E226" s="56" t="s">
        <v>272</v>
      </c>
      <c r="F226" s="56" t="s">
        <v>15</v>
      </c>
      <c r="G226" s="57" t="s">
        <v>15</v>
      </c>
      <c r="H226" s="68">
        <f t="shared" si="3"/>
        <v>0.2115384615</v>
      </c>
      <c r="I226" s="62"/>
      <c r="J226" s="62"/>
      <c r="K226" s="71"/>
      <c r="L226" s="57"/>
      <c r="M226" s="61"/>
      <c r="N226" s="61"/>
      <c r="O226" s="62"/>
      <c r="P226" s="53" t="s">
        <v>131</v>
      </c>
      <c r="Q226" s="53" t="s">
        <v>131</v>
      </c>
      <c r="R226" s="53" t="s">
        <v>131</v>
      </c>
      <c r="S226" s="53" t="s">
        <v>131</v>
      </c>
      <c r="T226" s="53" t="s">
        <v>131</v>
      </c>
      <c r="U226" s="53" t="s">
        <v>131</v>
      </c>
      <c r="V226" s="53" t="s">
        <v>131</v>
      </c>
      <c r="W226" s="53" t="s">
        <v>131</v>
      </c>
      <c r="X226" s="53" t="s">
        <v>131</v>
      </c>
      <c r="Y226" s="53" t="s">
        <v>131</v>
      </c>
      <c r="Z226" s="53" t="s">
        <v>131</v>
      </c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30"/>
      <c r="BQ226" s="30">
        <v>52.0</v>
      </c>
      <c r="BR226" s="30">
        <f t="shared" si="4"/>
        <v>11</v>
      </c>
      <c r="BS226" s="70">
        <f t="shared" si="5"/>
        <v>0</v>
      </c>
      <c r="BT226" s="70">
        <v>1.0</v>
      </c>
    </row>
    <row r="227" ht="15.75" customHeight="1">
      <c r="A227" s="54">
        <v>140.0</v>
      </c>
      <c r="B227" s="56" t="s">
        <v>568</v>
      </c>
      <c r="C227" s="56" t="s">
        <v>446</v>
      </c>
      <c r="D227" s="56" t="s">
        <v>569</v>
      </c>
      <c r="E227" s="56" t="s">
        <v>272</v>
      </c>
      <c r="F227" s="56" t="s">
        <v>15</v>
      </c>
      <c r="G227" s="57" t="s">
        <v>15</v>
      </c>
      <c r="H227" s="68">
        <f t="shared" si="3"/>
        <v>0.2115384615</v>
      </c>
      <c r="I227" s="62"/>
      <c r="J227" s="62"/>
      <c r="K227" s="71"/>
      <c r="L227" s="57"/>
      <c r="M227" s="61"/>
      <c r="N227" s="61"/>
      <c r="O227" s="62"/>
      <c r="P227" s="53" t="s">
        <v>131</v>
      </c>
      <c r="Q227" s="53" t="s">
        <v>131</v>
      </c>
      <c r="R227" s="53" t="s">
        <v>131</v>
      </c>
      <c r="S227" s="53" t="s">
        <v>131</v>
      </c>
      <c r="T227" s="53" t="s">
        <v>131</v>
      </c>
      <c r="U227" s="53" t="s">
        <v>131</v>
      </c>
      <c r="V227" s="53" t="s">
        <v>131</v>
      </c>
      <c r="W227" s="53" t="s">
        <v>131</v>
      </c>
      <c r="X227" s="53" t="s">
        <v>131</v>
      </c>
      <c r="Y227" s="53" t="s">
        <v>131</v>
      </c>
      <c r="Z227" s="53" t="s">
        <v>131</v>
      </c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  <c r="BE227" s="53"/>
      <c r="BF227" s="53"/>
      <c r="BG227" s="53"/>
      <c r="BH227" s="53"/>
      <c r="BI227" s="53"/>
      <c r="BJ227" s="53"/>
      <c r="BK227" s="53"/>
      <c r="BL227" s="53"/>
      <c r="BM227" s="53"/>
      <c r="BN227" s="53"/>
      <c r="BO227" s="53"/>
      <c r="BP227" s="30"/>
      <c r="BQ227" s="30">
        <v>52.0</v>
      </c>
      <c r="BR227" s="30">
        <f t="shared" si="4"/>
        <v>11</v>
      </c>
      <c r="BS227" s="70">
        <f t="shared" si="5"/>
        <v>0</v>
      </c>
      <c r="BT227" s="70">
        <v>1.0</v>
      </c>
    </row>
    <row r="228" ht="15.75" customHeight="1">
      <c r="A228" s="54">
        <v>140.0</v>
      </c>
      <c r="B228" s="56" t="s">
        <v>602</v>
      </c>
      <c r="C228" s="56" t="s">
        <v>500</v>
      </c>
      <c r="D228" s="56" t="s">
        <v>603</v>
      </c>
      <c r="E228" s="56" t="s">
        <v>272</v>
      </c>
      <c r="F228" s="56" t="s">
        <v>15</v>
      </c>
      <c r="G228" s="57" t="s">
        <v>15</v>
      </c>
      <c r="H228" s="68">
        <f t="shared" si="3"/>
        <v>0.2115384615</v>
      </c>
      <c r="I228" s="62"/>
      <c r="J228" s="62"/>
      <c r="K228" s="71"/>
      <c r="L228" s="57"/>
      <c r="M228" s="61"/>
      <c r="N228" s="61"/>
      <c r="O228" s="62"/>
      <c r="P228" s="53" t="s">
        <v>131</v>
      </c>
      <c r="Q228" s="53" t="s">
        <v>131</v>
      </c>
      <c r="R228" s="53" t="s">
        <v>131</v>
      </c>
      <c r="S228" s="53" t="s">
        <v>131</v>
      </c>
      <c r="T228" s="53" t="s">
        <v>131</v>
      </c>
      <c r="U228" s="53" t="s">
        <v>131</v>
      </c>
      <c r="V228" s="53" t="s">
        <v>131</v>
      </c>
      <c r="W228" s="53" t="s">
        <v>131</v>
      </c>
      <c r="X228" s="53" t="s">
        <v>131</v>
      </c>
      <c r="Y228" s="53" t="s">
        <v>131</v>
      </c>
      <c r="Z228" s="53" t="s">
        <v>131</v>
      </c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  <c r="BE228" s="53"/>
      <c r="BF228" s="53"/>
      <c r="BG228" s="53"/>
      <c r="BH228" s="53"/>
      <c r="BI228" s="53"/>
      <c r="BJ228" s="53"/>
      <c r="BK228" s="53"/>
      <c r="BL228" s="53"/>
      <c r="BM228" s="53"/>
      <c r="BN228" s="53"/>
      <c r="BO228" s="53"/>
      <c r="BP228" s="30"/>
      <c r="BQ228" s="30">
        <v>52.0</v>
      </c>
      <c r="BR228" s="30">
        <f t="shared" si="4"/>
        <v>11</v>
      </c>
      <c r="BS228" s="70">
        <f t="shared" si="5"/>
        <v>0</v>
      </c>
      <c r="BT228" s="70">
        <v>1.0</v>
      </c>
    </row>
    <row r="229" ht="15.75" customHeight="1">
      <c r="A229" s="54">
        <v>140.0</v>
      </c>
      <c r="B229" s="56" t="s">
        <v>533</v>
      </c>
      <c r="C229" s="56" t="s">
        <v>497</v>
      </c>
      <c r="D229" s="56" t="s">
        <v>534</v>
      </c>
      <c r="E229" s="56" t="s">
        <v>439</v>
      </c>
      <c r="F229" s="56" t="s">
        <v>246</v>
      </c>
      <c r="G229" s="57" t="s">
        <v>154</v>
      </c>
      <c r="H229" s="68">
        <f t="shared" si="3"/>
        <v>0</v>
      </c>
      <c r="I229" s="62"/>
      <c r="J229" s="62"/>
      <c r="K229" s="71"/>
      <c r="L229" s="57"/>
      <c r="M229" s="61"/>
      <c r="N229" s="61"/>
      <c r="O229" s="62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30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  <c r="BE229" s="53"/>
      <c r="BF229" s="53"/>
      <c r="BG229" s="53"/>
      <c r="BH229" s="53"/>
      <c r="BI229" s="53"/>
      <c r="BJ229" s="53"/>
      <c r="BK229" s="53"/>
      <c r="BL229" s="53"/>
      <c r="BM229" s="53"/>
      <c r="BN229" s="53"/>
      <c r="BO229" s="53"/>
      <c r="BP229" s="30"/>
      <c r="BQ229" s="30">
        <v>2.0</v>
      </c>
      <c r="BR229" s="30">
        <f t="shared" si="4"/>
        <v>0</v>
      </c>
      <c r="BS229" s="70">
        <f t="shared" si="5"/>
        <v>0</v>
      </c>
      <c r="BT229" s="70">
        <v>1.0</v>
      </c>
    </row>
    <row r="230" ht="15.75" customHeight="1">
      <c r="A230" s="54">
        <v>140.0</v>
      </c>
      <c r="B230" s="56" t="s">
        <v>535</v>
      </c>
      <c r="C230" s="56" t="s">
        <v>443</v>
      </c>
      <c r="D230" s="56" t="s">
        <v>537</v>
      </c>
      <c r="E230" s="56" t="s">
        <v>439</v>
      </c>
      <c r="F230" s="56" t="s">
        <v>246</v>
      </c>
      <c r="G230" s="57" t="s">
        <v>154</v>
      </c>
      <c r="H230" s="68">
        <f t="shared" si="3"/>
        <v>0</v>
      </c>
      <c r="I230" s="62"/>
      <c r="J230" s="62"/>
      <c r="K230" s="71"/>
      <c r="L230" s="57"/>
      <c r="M230" s="61"/>
      <c r="N230" s="61"/>
      <c r="O230" s="62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  <c r="BE230" s="53"/>
      <c r="BF230" s="53"/>
      <c r="BG230" s="53"/>
      <c r="BH230" s="53"/>
      <c r="BI230" s="53"/>
      <c r="BJ230" s="53"/>
      <c r="BK230" s="53"/>
      <c r="BL230" s="53"/>
      <c r="BM230" s="53"/>
      <c r="BN230" s="53"/>
      <c r="BO230" s="53"/>
      <c r="BP230" s="53"/>
      <c r="BQ230" s="30">
        <v>2.0</v>
      </c>
      <c r="BR230" s="30">
        <f t="shared" si="4"/>
        <v>0</v>
      </c>
      <c r="BS230" s="70">
        <f t="shared" si="5"/>
        <v>0</v>
      </c>
      <c r="BT230" s="70">
        <v>1.0</v>
      </c>
    </row>
    <row r="231" ht="15.75" customHeight="1">
      <c r="A231" s="54">
        <v>140.0</v>
      </c>
      <c r="B231" s="56" t="s">
        <v>538</v>
      </c>
      <c r="C231" s="56" t="s">
        <v>446</v>
      </c>
      <c r="D231" s="56" t="s">
        <v>539</v>
      </c>
      <c r="E231" s="56" t="s">
        <v>439</v>
      </c>
      <c r="F231" s="56" t="s">
        <v>246</v>
      </c>
      <c r="G231" s="57" t="s">
        <v>154</v>
      </c>
      <c r="H231" s="68">
        <f t="shared" si="3"/>
        <v>0</v>
      </c>
      <c r="I231" s="62"/>
      <c r="J231" s="62"/>
      <c r="K231" s="71"/>
      <c r="L231" s="57"/>
      <c r="M231" s="61"/>
      <c r="N231" s="61"/>
      <c r="O231" s="62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  <c r="BE231" s="53"/>
      <c r="BF231" s="53"/>
      <c r="BG231" s="53"/>
      <c r="BH231" s="53"/>
      <c r="BI231" s="53"/>
      <c r="BJ231" s="53"/>
      <c r="BK231" s="53"/>
      <c r="BL231" s="53"/>
      <c r="BM231" s="53"/>
      <c r="BN231" s="53"/>
      <c r="BO231" s="53"/>
      <c r="BP231" s="53"/>
      <c r="BQ231" s="30">
        <v>2.0</v>
      </c>
      <c r="BR231" s="30">
        <f t="shared" si="4"/>
        <v>0</v>
      </c>
      <c r="BS231" s="70">
        <f t="shared" si="5"/>
        <v>0</v>
      </c>
      <c r="BT231" s="70">
        <v>1.0</v>
      </c>
    </row>
    <row r="232" ht="15.75" customHeight="1">
      <c r="A232" s="54">
        <v>140.0</v>
      </c>
      <c r="B232" s="56" t="s">
        <v>540</v>
      </c>
      <c r="C232" s="56" t="s">
        <v>434</v>
      </c>
      <c r="D232" s="56" t="s">
        <v>541</v>
      </c>
      <c r="E232" s="56" t="s">
        <v>167</v>
      </c>
      <c r="F232" s="56" t="s">
        <v>246</v>
      </c>
      <c r="G232" s="57" t="s">
        <v>154</v>
      </c>
      <c r="H232" s="68">
        <f t="shared" si="3"/>
        <v>0</v>
      </c>
      <c r="I232" s="62"/>
      <c r="J232" s="62"/>
      <c r="K232" s="71"/>
      <c r="L232" s="57"/>
      <c r="M232" s="61"/>
      <c r="N232" s="61"/>
      <c r="O232" s="62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L232" s="53"/>
      <c r="BM232" s="53"/>
      <c r="BN232" s="53"/>
      <c r="BO232" s="53"/>
      <c r="BP232" s="53"/>
      <c r="BQ232" s="30">
        <v>2.0</v>
      </c>
      <c r="BR232" s="30">
        <f t="shared" si="4"/>
        <v>0</v>
      </c>
      <c r="BS232" s="70">
        <f t="shared" si="5"/>
        <v>0</v>
      </c>
      <c r="BT232" s="70">
        <v>1.0</v>
      </c>
    </row>
    <row r="233" ht="15.75" customHeight="1">
      <c r="A233" s="54">
        <v>140.0</v>
      </c>
      <c r="B233" s="56" t="s">
        <v>540</v>
      </c>
      <c r="C233" s="56" t="s">
        <v>434</v>
      </c>
      <c r="D233" s="56" t="s">
        <v>541</v>
      </c>
      <c r="E233" s="56" t="s">
        <v>176</v>
      </c>
      <c r="F233" s="56" t="s">
        <v>246</v>
      </c>
      <c r="G233" s="57" t="s">
        <v>154</v>
      </c>
      <c r="H233" s="68">
        <f t="shared" si="3"/>
        <v>0</v>
      </c>
      <c r="I233" s="62"/>
      <c r="J233" s="62"/>
      <c r="K233" s="71"/>
      <c r="L233" s="57"/>
      <c r="M233" s="61"/>
      <c r="N233" s="61"/>
      <c r="O233" s="62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  <c r="BP233" s="53"/>
      <c r="BQ233" s="30">
        <v>2.0</v>
      </c>
      <c r="BR233" s="30">
        <f t="shared" si="4"/>
        <v>0</v>
      </c>
      <c r="BS233" s="70">
        <f t="shared" si="5"/>
        <v>0</v>
      </c>
      <c r="BT233" s="70">
        <v>1.0</v>
      </c>
    </row>
    <row r="234" ht="15.75" customHeight="1">
      <c r="A234" s="54">
        <v>140.0</v>
      </c>
      <c r="B234" s="56" t="s">
        <v>543</v>
      </c>
      <c r="C234" s="56" t="s">
        <v>437</v>
      </c>
      <c r="D234" s="56" t="s">
        <v>544</v>
      </c>
      <c r="E234" s="56" t="s">
        <v>167</v>
      </c>
      <c r="F234" s="56" t="s">
        <v>246</v>
      </c>
      <c r="G234" s="57" t="s">
        <v>154</v>
      </c>
      <c r="H234" s="68">
        <f t="shared" si="3"/>
        <v>0</v>
      </c>
      <c r="I234" s="62"/>
      <c r="J234" s="62"/>
      <c r="K234" s="71"/>
      <c r="L234" s="57"/>
      <c r="M234" s="61"/>
      <c r="N234" s="61"/>
      <c r="O234" s="62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  <c r="BE234" s="53"/>
      <c r="BF234" s="53"/>
      <c r="BG234" s="53"/>
      <c r="BH234" s="53"/>
      <c r="BI234" s="53"/>
      <c r="BJ234" s="53"/>
      <c r="BK234" s="53"/>
      <c r="BL234" s="53"/>
      <c r="BM234" s="53"/>
      <c r="BN234" s="53"/>
      <c r="BO234" s="53"/>
      <c r="BP234" s="53"/>
      <c r="BQ234" s="30">
        <v>2.0</v>
      </c>
      <c r="BR234" s="30">
        <f t="shared" si="4"/>
        <v>0</v>
      </c>
      <c r="BS234" s="70">
        <f t="shared" si="5"/>
        <v>0</v>
      </c>
      <c r="BT234" s="70">
        <v>1.0</v>
      </c>
    </row>
    <row r="235" ht="15.75" customHeight="1">
      <c r="A235" s="54">
        <v>140.0</v>
      </c>
      <c r="B235" s="56" t="s">
        <v>543</v>
      </c>
      <c r="C235" s="56" t="s">
        <v>437</v>
      </c>
      <c r="D235" s="56" t="s">
        <v>544</v>
      </c>
      <c r="E235" s="56" t="s">
        <v>176</v>
      </c>
      <c r="F235" s="56" t="s">
        <v>246</v>
      </c>
      <c r="G235" s="57" t="s">
        <v>154</v>
      </c>
      <c r="H235" s="68">
        <f t="shared" si="3"/>
        <v>0</v>
      </c>
      <c r="I235" s="62"/>
      <c r="J235" s="62"/>
      <c r="K235" s="71"/>
      <c r="L235" s="57"/>
      <c r="M235" s="61"/>
      <c r="N235" s="61"/>
      <c r="O235" s="62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  <c r="BE235" s="53"/>
      <c r="BF235" s="53"/>
      <c r="BG235" s="53"/>
      <c r="BH235" s="53"/>
      <c r="BI235" s="53"/>
      <c r="BJ235" s="53"/>
      <c r="BK235" s="53"/>
      <c r="BL235" s="53"/>
      <c r="BM235" s="53"/>
      <c r="BN235" s="53"/>
      <c r="BO235" s="53"/>
      <c r="BP235" s="53"/>
      <c r="BQ235" s="30">
        <v>2.0</v>
      </c>
      <c r="BR235" s="30">
        <f t="shared" si="4"/>
        <v>0</v>
      </c>
      <c r="BS235" s="70">
        <f t="shared" si="5"/>
        <v>0</v>
      </c>
      <c r="BT235" s="70">
        <v>1.0</v>
      </c>
    </row>
    <row r="236" ht="15.75" customHeight="1">
      <c r="A236" s="54">
        <v>140.0</v>
      </c>
      <c r="B236" s="56" t="s">
        <v>545</v>
      </c>
      <c r="C236" s="56" t="s">
        <v>437</v>
      </c>
      <c r="D236" s="56" t="s">
        <v>546</v>
      </c>
      <c r="E236" s="56" t="s">
        <v>167</v>
      </c>
      <c r="F236" s="56" t="s">
        <v>246</v>
      </c>
      <c r="G236" s="57" t="s">
        <v>154</v>
      </c>
      <c r="H236" s="68">
        <f t="shared" si="3"/>
        <v>0</v>
      </c>
      <c r="I236" s="62"/>
      <c r="J236" s="62"/>
      <c r="K236" s="71"/>
      <c r="L236" s="57"/>
      <c r="M236" s="61"/>
      <c r="N236" s="61"/>
      <c r="O236" s="62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  <c r="BE236" s="53"/>
      <c r="BF236" s="53"/>
      <c r="BG236" s="53"/>
      <c r="BH236" s="53"/>
      <c r="BI236" s="53"/>
      <c r="BJ236" s="53"/>
      <c r="BK236" s="53"/>
      <c r="BL236" s="53"/>
      <c r="BM236" s="53"/>
      <c r="BN236" s="53"/>
      <c r="BO236" s="53"/>
      <c r="BP236" s="53"/>
      <c r="BQ236" s="30">
        <v>2.0</v>
      </c>
      <c r="BR236" s="30">
        <f t="shared" si="4"/>
        <v>0</v>
      </c>
      <c r="BS236" s="70">
        <f t="shared" si="5"/>
        <v>0</v>
      </c>
      <c r="BT236" s="70">
        <v>1.0</v>
      </c>
    </row>
    <row r="237" ht="15.75" customHeight="1">
      <c r="A237" s="54">
        <v>140.0</v>
      </c>
      <c r="B237" s="56" t="s">
        <v>545</v>
      </c>
      <c r="C237" s="56" t="s">
        <v>437</v>
      </c>
      <c r="D237" s="56" t="s">
        <v>546</v>
      </c>
      <c r="E237" s="56" t="s">
        <v>176</v>
      </c>
      <c r="F237" s="56" t="s">
        <v>246</v>
      </c>
      <c r="G237" s="57" t="s">
        <v>154</v>
      </c>
      <c r="H237" s="68">
        <f t="shared" si="3"/>
        <v>0</v>
      </c>
      <c r="I237" s="62"/>
      <c r="J237" s="62"/>
      <c r="K237" s="71"/>
      <c r="L237" s="57"/>
      <c r="M237" s="61"/>
      <c r="N237" s="61"/>
      <c r="O237" s="62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  <c r="BE237" s="53"/>
      <c r="BF237" s="53"/>
      <c r="BG237" s="53"/>
      <c r="BH237" s="53"/>
      <c r="BI237" s="53"/>
      <c r="BJ237" s="53"/>
      <c r="BK237" s="53"/>
      <c r="BL237" s="53"/>
      <c r="BM237" s="53"/>
      <c r="BN237" s="53"/>
      <c r="BO237" s="53"/>
      <c r="BP237" s="53"/>
      <c r="BQ237" s="30">
        <v>2.0</v>
      </c>
      <c r="BR237" s="30">
        <f t="shared" si="4"/>
        <v>0</v>
      </c>
      <c r="BS237" s="70">
        <f t="shared" si="5"/>
        <v>0</v>
      </c>
      <c r="BT237" s="70">
        <v>1.0</v>
      </c>
    </row>
    <row r="238" ht="15.75" customHeight="1">
      <c r="A238" s="54">
        <v>140.0</v>
      </c>
      <c r="B238" s="56" t="s">
        <v>547</v>
      </c>
      <c r="C238" s="56" t="s">
        <v>437</v>
      </c>
      <c r="D238" s="56" t="s">
        <v>548</v>
      </c>
      <c r="E238" s="56" t="s">
        <v>167</v>
      </c>
      <c r="F238" s="56" t="s">
        <v>246</v>
      </c>
      <c r="G238" s="57" t="s">
        <v>154</v>
      </c>
      <c r="H238" s="68">
        <f t="shared" si="3"/>
        <v>0</v>
      </c>
      <c r="I238" s="62"/>
      <c r="J238" s="62"/>
      <c r="K238" s="71"/>
      <c r="L238" s="57"/>
      <c r="M238" s="61"/>
      <c r="N238" s="61"/>
      <c r="O238" s="62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  <c r="BE238" s="53"/>
      <c r="BF238" s="53"/>
      <c r="BG238" s="53"/>
      <c r="BH238" s="53"/>
      <c r="BI238" s="53"/>
      <c r="BJ238" s="53"/>
      <c r="BK238" s="53"/>
      <c r="BL238" s="53"/>
      <c r="BM238" s="53"/>
      <c r="BN238" s="53"/>
      <c r="BO238" s="53"/>
      <c r="BP238" s="53"/>
      <c r="BQ238" s="30">
        <v>2.0</v>
      </c>
      <c r="BR238" s="30">
        <f t="shared" si="4"/>
        <v>0</v>
      </c>
      <c r="BS238" s="70">
        <f t="shared" si="5"/>
        <v>0</v>
      </c>
      <c r="BT238" s="70">
        <v>1.0</v>
      </c>
    </row>
    <row r="239" ht="15.75" customHeight="1">
      <c r="A239" s="54">
        <v>140.0</v>
      </c>
      <c r="B239" s="56" t="s">
        <v>547</v>
      </c>
      <c r="C239" s="56" t="s">
        <v>437</v>
      </c>
      <c r="D239" s="56" t="s">
        <v>548</v>
      </c>
      <c r="E239" s="56" t="s">
        <v>176</v>
      </c>
      <c r="F239" s="56" t="s">
        <v>246</v>
      </c>
      <c r="G239" s="57" t="s">
        <v>154</v>
      </c>
      <c r="H239" s="68">
        <f t="shared" si="3"/>
        <v>0</v>
      </c>
      <c r="I239" s="62"/>
      <c r="J239" s="62"/>
      <c r="K239" s="71"/>
      <c r="L239" s="57"/>
      <c r="M239" s="61"/>
      <c r="N239" s="61"/>
      <c r="O239" s="62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  <c r="BE239" s="53"/>
      <c r="BF239" s="53"/>
      <c r="BG239" s="53"/>
      <c r="BH239" s="53"/>
      <c r="BI239" s="53"/>
      <c r="BJ239" s="53"/>
      <c r="BK239" s="53"/>
      <c r="BL239" s="53"/>
      <c r="BM239" s="53"/>
      <c r="BN239" s="53"/>
      <c r="BO239" s="53"/>
      <c r="BP239" s="53"/>
      <c r="BQ239" s="30">
        <v>2.0</v>
      </c>
      <c r="BR239" s="30">
        <f t="shared" si="4"/>
        <v>0</v>
      </c>
      <c r="BS239" s="70">
        <f t="shared" si="5"/>
        <v>0</v>
      </c>
      <c r="BT239" s="70">
        <v>1.0</v>
      </c>
    </row>
    <row r="240" ht="15.75" customHeight="1">
      <c r="A240" s="54">
        <v>140.0</v>
      </c>
      <c r="B240" s="56" t="s">
        <v>549</v>
      </c>
      <c r="C240" s="56" t="s">
        <v>434</v>
      </c>
      <c r="D240" s="56" t="s">
        <v>550</v>
      </c>
      <c r="E240" s="56" t="s">
        <v>167</v>
      </c>
      <c r="F240" s="56" t="s">
        <v>246</v>
      </c>
      <c r="G240" s="57" t="s">
        <v>154</v>
      </c>
      <c r="H240" s="68">
        <f t="shared" si="3"/>
        <v>0</v>
      </c>
      <c r="I240" s="62"/>
      <c r="J240" s="62"/>
      <c r="K240" s="71"/>
      <c r="L240" s="57"/>
      <c r="M240" s="61"/>
      <c r="N240" s="61"/>
      <c r="O240" s="62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  <c r="BE240" s="53"/>
      <c r="BF240" s="53"/>
      <c r="BG240" s="53"/>
      <c r="BH240" s="53"/>
      <c r="BI240" s="53"/>
      <c r="BJ240" s="53"/>
      <c r="BK240" s="53"/>
      <c r="BL240" s="53"/>
      <c r="BM240" s="53"/>
      <c r="BN240" s="53"/>
      <c r="BO240" s="53"/>
      <c r="BP240" s="53"/>
      <c r="BQ240" s="30">
        <v>2.0</v>
      </c>
      <c r="BR240" s="30">
        <f t="shared" si="4"/>
        <v>0</v>
      </c>
      <c r="BS240" s="70">
        <f t="shared" si="5"/>
        <v>0</v>
      </c>
      <c r="BT240" s="70">
        <v>1.0</v>
      </c>
    </row>
    <row r="241" ht="15.75" customHeight="1">
      <c r="A241" s="54">
        <v>140.0</v>
      </c>
      <c r="B241" s="56" t="s">
        <v>549</v>
      </c>
      <c r="C241" s="56" t="s">
        <v>434</v>
      </c>
      <c r="D241" s="56" t="s">
        <v>550</v>
      </c>
      <c r="E241" s="56" t="s">
        <v>176</v>
      </c>
      <c r="F241" s="56" t="s">
        <v>246</v>
      </c>
      <c r="G241" s="57" t="s">
        <v>154</v>
      </c>
      <c r="H241" s="68">
        <f t="shared" si="3"/>
        <v>0</v>
      </c>
      <c r="I241" s="62"/>
      <c r="J241" s="62"/>
      <c r="K241" s="71"/>
      <c r="L241" s="57"/>
      <c r="M241" s="61"/>
      <c r="N241" s="61"/>
      <c r="O241" s="62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  <c r="BE241" s="53"/>
      <c r="BF241" s="53"/>
      <c r="BG241" s="53"/>
      <c r="BH241" s="53"/>
      <c r="BI241" s="53"/>
      <c r="BJ241" s="53"/>
      <c r="BK241" s="53"/>
      <c r="BL241" s="53"/>
      <c r="BM241" s="53"/>
      <c r="BN241" s="53"/>
      <c r="BO241" s="53"/>
      <c r="BP241" s="53"/>
      <c r="BQ241" s="30">
        <v>2.0</v>
      </c>
      <c r="BR241" s="30">
        <f t="shared" si="4"/>
        <v>0</v>
      </c>
      <c r="BS241" s="70">
        <f t="shared" si="5"/>
        <v>0</v>
      </c>
      <c r="BT241" s="70">
        <v>1.0</v>
      </c>
    </row>
    <row r="242" ht="15.75" customHeight="1">
      <c r="A242" s="54">
        <v>140.0</v>
      </c>
      <c r="B242" s="56" t="s">
        <v>551</v>
      </c>
      <c r="C242" s="56" t="s">
        <v>497</v>
      </c>
      <c r="D242" s="56" t="s">
        <v>552</v>
      </c>
      <c r="E242" s="56" t="s">
        <v>167</v>
      </c>
      <c r="F242" s="56" t="s">
        <v>246</v>
      </c>
      <c r="G242" s="57" t="s">
        <v>154</v>
      </c>
      <c r="H242" s="68">
        <f t="shared" si="3"/>
        <v>0</v>
      </c>
      <c r="I242" s="62"/>
      <c r="J242" s="62"/>
      <c r="K242" s="71"/>
      <c r="L242" s="57"/>
      <c r="M242" s="61"/>
      <c r="N242" s="61"/>
      <c r="O242" s="62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  <c r="BE242" s="53"/>
      <c r="BF242" s="53"/>
      <c r="BG242" s="53"/>
      <c r="BH242" s="53"/>
      <c r="BI242" s="53"/>
      <c r="BJ242" s="53"/>
      <c r="BK242" s="53"/>
      <c r="BL242" s="53"/>
      <c r="BM242" s="53"/>
      <c r="BN242" s="53"/>
      <c r="BO242" s="53"/>
      <c r="BP242" s="53"/>
      <c r="BQ242" s="30">
        <v>2.0</v>
      </c>
      <c r="BR242" s="30">
        <f t="shared" si="4"/>
        <v>0</v>
      </c>
      <c r="BS242" s="70">
        <f t="shared" si="5"/>
        <v>0</v>
      </c>
      <c r="BT242" s="70">
        <v>1.0</v>
      </c>
    </row>
    <row r="243" ht="15.75" customHeight="1">
      <c r="A243" s="54">
        <v>140.0</v>
      </c>
      <c r="B243" s="56" t="s">
        <v>551</v>
      </c>
      <c r="C243" s="56" t="s">
        <v>497</v>
      </c>
      <c r="D243" s="56" t="s">
        <v>552</v>
      </c>
      <c r="E243" s="56" t="s">
        <v>176</v>
      </c>
      <c r="F243" s="56" t="s">
        <v>246</v>
      </c>
      <c r="G243" s="57" t="s">
        <v>154</v>
      </c>
      <c r="H243" s="68">
        <f t="shared" si="3"/>
        <v>0</v>
      </c>
      <c r="I243" s="62"/>
      <c r="J243" s="62"/>
      <c r="K243" s="71"/>
      <c r="L243" s="57"/>
      <c r="M243" s="61"/>
      <c r="N243" s="61"/>
      <c r="O243" s="62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  <c r="BE243" s="53"/>
      <c r="BF243" s="53"/>
      <c r="BG243" s="53"/>
      <c r="BH243" s="53"/>
      <c r="BI243" s="53"/>
      <c r="BJ243" s="53"/>
      <c r="BK243" s="53"/>
      <c r="BL243" s="53"/>
      <c r="BM243" s="53"/>
      <c r="BN243" s="53"/>
      <c r="BO243" s="53"/>
      <c r="BP243" s="53"/>
      <c r="BQ243" s="30">
        <v>2.0</v>
      </c>
      <c r="BR243" s="30">
        <f t="shared" si="4"/>
        <v>0</v>
      </c>
      <c r="BS243" s="70">
        <f t="shared" si="5"/>
        <v>0</v>
      </c>
      <c r="BT243" s="70">
        <v>1.0</v>
      </c>
    </row>
    <row r="244" ht="15.75" customHeight="1">
      <c r="A244" s="54">
        <v>140.0</v>
      </c>
      <c r="B244" s="56" t="s">
        <v>553</v>
      </c>
      <c r="C244" s="56" t="s">
        <v>443</v>
      </c>
      <c r="D244" s="56" t="s">
        <v>554</v>
      </c>
      <c r="E244" s="56" t="s">
        <v>167</v>
      </c>
      <c r="F244" s="56" t="s">
        <v>246</v>
      </c>
      <c r="G244" s="57" t="s">
        <v>154</v>
      </c>
      <c r="H244" s="68">
        <f t="shared" si="3"/>
        <v>0</v>
      </c>
      <c r="I244" s="62"/>
      <c r="J244" s="62"/>
      <c r="K244" s="71"/>
      <c r="L244" s="57"/>
      <c r="M244" s="61"/>
      <c r="N244" s="61"/>
      <c r="O244" s="62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  <c r="BE244" s="53"/>
      <c r="BF244" s="53"/>
      <c r="BG244" s="53"/>
      <c r="BH244" s="53"/>
      <c r="BI244" s="53"/>
      <c r="BJ244" s="53"/>
      <c r="BK244" s="53"/>
      <c r="BL244" s="53"/>
      <c r="BM244" s="53"/>
      <c r="BN244" s="53"/>
      <c r="BO244" s="53"/>
      <c r="BP244" s="53"/>
      <c r="BQ244" s="30">
        <v>2.0</v>
      </c>
      <c r="BR244" s="30">
        <f t="shared" si="4"/>
        <v>0</v>
      </c>
      <c r="BS244" s="70">
        <f t="shared" si="5"/>
        <v>0</v>
      </c>
      <c r="BT244" s="70">
        <v>1.0</v>
      </c>
    </row>
    <row r="245" ht="15.75" customHeight="1">
      <c r="A245" s="54">
        <v>140.0</v>
      </c>
      <c r="B245" s="56" t="s">
        <v>553</v>
      </c>
      <c r="C245" s="56" t="s">
        <v>443</v>
      </c>
      <c r="D245" s="56" t="s">
        <v>554</v>
      </c>
      <c r="E245" s="56" t="s">
        <v>176</v>
      </c>
      <c r="F245" s="56" t="s">
        <v>246</v>
      </c>
      <c r="G245" s="57" t="s">
        <v>154</v>
      </c>
      <c r="H245" s="68">
        <f t="shared" si="3"/>
        <v>0</v>
      </c>
      <c r="I245" s="62"/>
      <c r="J245" s="62"/>
      <c r="K245" s="71"/>
      <c r="L245" s="57"/>
      <c r="M245" s="61"/>
      <c r="N245" s="61"/>
      <c r="O245" s="62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  <c r="BM245" s="53"/>
      <c r="BN245" s="53"/>
      <c r="BO245" s="53"/>
      <c r="BP245" s="53"/>
      <c r="BQ245" s="30">
        <v>2.0</v>
      </c>
      <c r="BR245" s="30">
        <f t="shared" si="4"/>
        <v>0</v>
      </c>
      <c r="BS245" s="70">
        <f t="shared" si="5"/>
        <v>0</v>
      </c>
      <c r="BT245" s="70">
        <v>1.0</v>
      </c>
    </row>
    <row r="246" ht="15.75" customHeight="1">
      <c r="A246" s="54">
        <v>140.0</v>
      </c>
      <c r="B246" s="56" t="s">
        <v>555</v>
      </c>
      <c r="C246" s="56" t="s">
        <v>434</v>
      </c>
      <c r="D246" s="56" t="s">
        <v>556</v>
      </c>
      <c r="E246" s="56" t="s">
        <v>167</v>
      </c>
      <c r="F246" s="56" t="s">
        <v>246</v>
      </c>
      <c r="G246" s="57" t="s">
        <v>154</v>
      </c>
      <c r="H246" s="68">
        <f t="shared" si="3"/>
        <v>0</v>
      </c>
      <c r="I246" s="62"/>
      <c r="J246" s="62"/>
      <c r="K246" s="71">
        <v>1.0</v>
      </c>
      <c r="L246" s="57"/>
      <c r="M246" s="61"/>
      <c r="N246" s="61"/>
      <c r="O246" s="62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  <c r="BE246" s="53"/>
      <c r="BF246" s="53"/>
      <c r="BG246" s="53"/>
      <c r="BH246" s="53"/>
      <c r="BI246" s="53"/>
      <c r="BJ246" s="53"/>
      <c r="BK246" s="53"/>
      <c r="BL246" s="53"/>
      <c r="BM246" s="53"/>
      <c r="BN246" s="53"/>
      <c r="BO246" s="53"/>
      <c r="BP246" s="53"/>
      <c r="BQ246" s="30">
        <v>2.0</v>
      </c>
      <c r="BR246" s="30">
        <f t="shared" si="4"/>
        <v>0</v>
      </c>
      <c r="BS246" s="70">
        <f t="shared" si="5"/>
        <v>0</v>
      </c>
      <c r="BT246" s="70">
        <v>1.0</v>
      </c>
    </row>
    <row r="247" ht="15.75" customHeight="1">
      <c r="A247" s="54">
        <v>140.0</v>
      </c>
      <c r="B247" s="56" t="s">
        <v>555</v>
      </c>
      <c r="C247" s="56" t="s">
        <v>434</v>
      </c>
      <c r="D247" s="56" t="s">
        <v>556</v>
      </c>
      <c r="E247" s="56" t="s">
        <v>176</v>
      </c>
      <c r="F247" s="56" t="s">
        <v>246</v>
      </c>
      <c r="G247" s="57" t="s">
        <v>154</v>
      </c>
      <c r="H247" s="68">
        <f t="shared" si="3"/>
        <v>0</v>
      </c>
      <c r="I247" s="62"/>
      <c r="J247" s="62"/>
      <c r="K247" s="71">
        <v>1.0</v>
      </c>
      <c r="L247" s="57"/>
      <c r="M247" s="61"/>
      <c r="N247" s="61"/>
      <c r="O247" s="62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  <c r="BE247" s="53"/>
      <c r="BF247" s="53"/>
      <c r="BG247" s="53"/>
      <c r="BH247" s="53"/>
      <c r="BI247" s="53"/>
      <c r="BJ247" s="53"/>
      <c r="BK247" s="53"/>
      <c r="BL247" s="53"/>
      <c r="BM247" s="53"/>
      <c r="BN247" s="53"/>
      <c r="BO247" s="53"/>
      <c r="BP247" s="53"/>
      <c r="BQ247" s="30">
        <v>2.0</v>
      </c>
      <c r="BR247" s="30">
        <f t="shared" si="4"/>
        <v>0</v>
      </c>
      <c r="BS247" s="70">
        <f t="shared" si="5"/>
        <v>0</v>
      </c>
      <c r="BT247" s="70">
        <v>1.0</v>
      </c>
    </row>
    <row r="248" ht="15.75" customHeight="1">
      <c r="A248" s="54">
        <v>140.0</v>
      </c>
      <c r="B248" s="56" t="s">
        <v>558</v>
      </c>
      <c r="C248" s="56" t="s">
        <v>270</v>
      </c>
      <c r="D248" s="56" t="s">
        <v>559</v>
      </c>
      <c r="E248" s="56" t="s">
        <v>167</v>
      </c>
      <c r="F248" s="56" t="s">
        <v>246</v>
      </c>
      <c r="G248" s="57" t="s">
        <v>154</v>
      </c>
      <c r="H248" s="68">
        <f t="shared" si="3"/>
        <v>0</v>
      </c>
      <c r="I248" s="62"/>
      <c r="J248" s="62"/>
      <c r="K248" s="71"/>
      <c r="L248" s="57"/>
      <c r="M248" s="61"/>
      <c r="N248" s="61"/>
      <c r="O248" s="62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3"/>
      <c r="BF248" s="53"/>
      <c r="BG248" s="53"/>
      <c r="BH248" s="53"/>
      <c r="BI248" s="53"/>
      <c r="BJ248" s="53"/>
      <c r="BK248" s="53"/>
      <c r="BL248" s="53"/>
      <c r="BM248" s="53"/>
      <c r="BN248" s="53"/>
      <c r="BO248" s="53"/>
      <c r="BP248" s="53"/>
      <c r="BQ248" s="30">
        <v>2.0</v>
      </c>
      <c r="BR248" s="30">
        <f t="shared" si="4"/>
        <v>0</v>
      </c>
      <c r="BS248" s="70">
        <f t="shared" si="5"/>
        <v>0</v>
      </c>
      <c r="BT248" s="70">
        <v>1.0</v>
      </c>
    </row>
    <row r="249" ht="15.75" customHeight="1">
      <c r="A249" s="54">
        <v>140.0</v>
      </c>
      <c r="B249" s="56" t="s">
        <v>558</v>
      </c>
      <c r="C249" s="56" t="s">
        <v>270</v>
      </c>
      <c r="D249" s="56" t="s">
        <v>559</v>
      </c>
      <c r="E249" s="56" t="s">
        <v>176</v>
      </c>
      <c r="F249" s="56" t="s">
        <v>246</v>
      </c>
      <c r="G249" s="57" t="s">
        <v>154</v>
      </c>
      <c r="H249" s="68">
        <f t="shared" si="3"/>
        <v>0</v>
      </c>
      <c r="I249" s="62"/>
      <c r="J249" s="62"/>
      <c r="K249" s="71"/>
      <c r="L249" s="57"/>
      <c r="M249" s="61"/>
      <c r="N249" s="61"/>
      <c r="O249" s="62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  <c r="BF249" s="53"/>
      <c r="BG249" s="53"/>
      <c r="BH249" s="53"/>
      <c r="BI249" s="53"/>
      <c r="BJ249" s="53"/>
      <c r="BK249" s="53"/>
      <c r="BL249" s="53"/>
      <c r="BM249" s="53"/>
      <c r="BN249" s="53"/>
      <c r="BO249" s="53"/>
      <c r="BP249" s="53"/>
      <c r="BQ249" s="30">
        <v>2.0</v>
      </c>
      <c r="BR249" s="30">
        <f t="shared" si="4"/>
        <v>0</v>
      </c>
      <c r="BS249" s="70">
        <f t="shared" si="5"/>
        <v>0</v>
      </c>
      <c r="BT249" s="70">
        <v>1.0</v>
      </c>
    </row>
    <row r="250" ht="15.75" customHeight="1">
      <c r="A250" s="54">
        <v>140.0</v>
      </c>
      <c r="B250" s="56" t="s">
        <v>560</v>
      </c>
      <c r="C250" s="56" t="s">
        <v>446</v>
      </c>
      <c r="D250" s="56" t="s">
        <v>561</v>
      </c>
      <c r="E250" s="56" t="s">
        <v>167</v>
      </c>
      <c r="F250" s="56" t="s">
        <v>246</v>
      </c>
      <c r="G250" s="57" t="s">
        <v>154</v>
      </c>
      <c r="H250" s="68">
        <f t="shared" si="3"/>
        <v>0</v>
      </c>
      <c r="I250" s="62"/>
      <c r="J250" s="62"/>
      <c r="K250" s="71"/>
      <c r="L250" s="57"/>
      <c r="M250" s="61"/>
      <c r="N250" s="61"/>
      <c r="O250" s="62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  <c r="BE250" s="53"/>
      <c r="BF250" s="53"/>
      <c r="BG250" s="53"/>
      <c r="BH250" s="53"/>
      <c r="BI250" s="53"/>
      <c r="BJ250" s="53"/>
      <c r="BK250" s="53"/>
      <c r="BL250" s="53"/>
      <c r="BM250" s="53"/>
      <c r="BN250" s="53"/>
      <c r="BO250" s="53"/>
      <c r="BP250" s="53"/>
      <c r="BQ250" s="30">
        <v>2.0</v>
      </c>
      <c r="BR250" s="30">
        <f t="shared" si="4"/>
        <v>0</v>
      </c>
      <c r="BS250" s="70">
        <f t="shared" si="5"/>
        <v>0</v>
      </c>
      <c r="BT250" s="70">
        <v>1.0</v>
      </c>
    </row>
    <row r="251" ht="15.75" customHeight="1">
      <c r="A251" s="54">
        <v>140.0</v>
      </c>
      <c r="B251" s="56" t="s">
        <v>560</v>
      </c>
      <c r="C251" s="56" t="s">
        <v>446</v>
      </c>
      <c r="D251" s="56" t="s">
        <v>561</v>
      </c>
      <c r="E251" s="56" t="s">
        <v>176</v>
      </c>
      <c r="F251" s="56" t="s">
        <v>246</v>
      </c>
      <c r="G251" s="57" t="s">
        <v>154</v>
      </c>
      <c r="H251" s="68">
        <f t="shared" si="3"/>
        <v>0</v>
      </c>
      <c r="I251" s="62"/>
      <c r="J251" s="62"/>
      <c r="K251" s="71"/>
      <c r="L251" s="57"/>
      <c r="M251" s="61"/>
      <c r="N251" s="61"/>
      <c r="O251" s="62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  <c r="BE251" s="53"/>
      <c r="BF251" s="53"/>
      <c r="BG251" s="53"/>
      <c r="BH251" s="53"/>
      <c r="BI251" s="53"/>
      <c r="BJ251" s="53"/>
      <c r="BK251" s="53"/>
      <c r="BL251" s="53"/>
      <c r="BM251" s="53"/>
      <c r="BN251" s="53"/>
      <c r="BO251" s="53"/>
      <c r="BP251" s="75"/>
      <c r="BQ251" s="30">
        <v>2.0</v>
      </c>
      <c r="BR251" s="30">
        <f t="shared" si="4"/>
        <v>0</v>
      </c>
      <c r="BS251" s="70">
        <f t="shared" si="5"/>
        <v>0</v>
      </c>
      <c r="BT251" s="70">
        <v>1.0</v>
      </c>
    </row>
    <row r="252" ht="15.75" customHeight="1">
      <c r="A252" s="54">
        <v>140.0</v>
      </c>
      <c r="B252" s="56" t="s">
        <v>562</v>
      </c>
      <c r="C252" s="56" t="s">
        <v>443</v>
      </c>
      <c r="D252" s="56" t="s">
        <v>563</v>
      </c>
      <c r="E252" s="56" t="s">
        <v>167</v>
      </c>
      <c r="F252" s="56" t="s">
        <v>246</v>
      </c>
      <c r="G252" s="57" t="s">
        <v>154</v>
      </c>
      <c r="H252" s="68">
        <f t="shared" si="3"/>
        <v>0</v>
      </c>
      <c r="I252" s="62"/>
      <c r="J252" s="62"/>
      <c r="K252" s="71"/>
      <c r="L252" s="57"/>
      <c r="M252" s="61"/>
      <c r="N252" s="61"/>
      <c r="O252" s="62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  <c r="BE252" s="53"/>
      <c r="BF252" s="53"/>
      <c r="BG252" s="53"/>
      <c r="BH252" s="53"/>
      <c r="BI252" s="53"/>
      <c r="BJ252" s="53"/>
      <c r="BK252" s="53"/>
      <c r="BL252" s="53"/>
      <c r="BM252" s="53"/>
      <c r="BN252" s="53"/>
      <c r="BO252" s="53"/>
      <c r="BP252" s="53"/>
      <c r="BQ252" s="30">
        <v>2.0</v>
      </c>
      <c r="BR252" s="30">
        <f t="shared" si="4"/>
        <v>0</v>
      </c>
      <c r="BS252" s="70">
        <f t="shared" si="5"/>
        <v>0</v>
      </c>
      <c r="BT252" s="70">
        <v>1.0</v>
      </c>
    </row>
    <row r="253" ht="15.75" customHeight="1">
      <c r="A253" s="54">
        <v>140.0</v>
      </c>
      <c r="B253" s="56" t="s">
        <v>562</v>
      </c>
      <c r="C253" s="56" t="s">
        <v>443</v>
      </c>
      <c r="D253" s="56" t="s">
        <v>563</v>
      </c>
      <c r="E253" s="56" t="s">
        <v>176</v>
      </c>
      <c r="F253" s="56" t="s">
        <v>246</v>
      </c>
      <c r="G253" s="57" t="s">
        <v>154</v>
      </c>
      <c r="H253" s="68">
        <f t="shared" si="3"/>
        <v>0</v>
      </c>
      <c r="I253" s="62"/>
      <c r="J253" s="62"/>
      <c r="K253" s="71"/>
      <c r="L253" s="57"/>
      <c r="M253" s="61"/>
      <c r="N253" s="61"/>
      <c r="O253" s="62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  <c r="BE253" s="53"/>
      <c r="BF253" s="53"/>
      <c r="BG253" s="53"/>
      <c r="BH253" s="53"/>
      <c r="BI253" s="53"/>
      <c r="BJ253" s="53"/>
      <c r="BK253" s="53"/>
      <c r="BL253" s="53"/>
      <c r="BM253" s="53"/>
      <c r="BN253" s="53"/>
      <c r="BO253" s="53"/>
      <c r="BP253" s="53"/>
      <c r="BQ253" s="30">
        <v>2.0</v>
      </c>
      <c r="BR253" s="30">
        <f t="shared" si="4"/>
        <v>0</v>
      </c>
      <c r="BS253" s="70">
        <f t="shared" si="5"/>
        <v>0</v>
      </c>
      <c r="BT253" s="70">
        <v>1.0</v>
      </c>
    </row>
    <row r="254" ht="15.75" customHeight="1">
      <c r="A254" s="54">
        <v>140.0</v>
      </c>
      <c r="B254" s="56" t="s">
        <v>564</v>
      </c>
      <c r="C254" s="56" t="s">
        <v>446</v>
      </c>
      <c r="D254" s="56" t="s">
        <v>565</v>
      </c>
      <c r="E254" s="56" t="s">
        <v>167</v>
      </c>
      <c r="F254" s="56" t="s">
        <v>246</v>
      </c>
      <c r="G254" s="57" t="s">
        <v>154</v>
      </c>
      <c r="H254" s="68">
        <f t="shared" si="3"/>
        <v>0</v>
      </c>
      <c r="I254" s="62"/>
      <c r="J254" s="62"/>
      <c r="K254" s="71"/>
      <c r="L254" s="57"/>
      <c r="M254" s="61"/>
      <c r="N254" s="61"/>
      <c r="O254" s="62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  <c r="BE254" s="53"/>
      <c r="BF254" s="53"/>
      <c r="BG254" s="53"/>
      <c r="BH254" s="53"/>
      <c r="BI254" s="53"/>
      <c r="BJ254" s="53"/>
      <c r="BK254" s="53"/>
      <c r="BL254" s="53"/>
      <c r="BM254" s="53"/>
      <c r="BN254" s="53"/>
      <c r="BO254" s="53"/>
      <c r="BP254" s="75"/>
      <c r="BQ254" s="30">
        <v>2.0</v>
      </c>
      <c r="BR254" s="30">
        <f t="shared" si="4"/>
        <v>0</v>
      </c>
      <c r="BS254" s="70">
        <f t="shared" si="5"/>
        <v>0</v>
      </c>
      <c r="BT254" s="70">
        <v>1.0</v>
      </c>
    </row>
    <row r="255" ht="15.75" customHeight="1">
      <c r="A255" s="54">
        <v>140.0</v>
      </c>
      <c r="B255" s="56" t="s">
        <v>564</v>
      </c>
      <c r="C255" s="56" t="s">
        <v>446</v>
      </c>
      <c r="D255" s="56" t="s">
        <v>565</v>
      </c>
      <c r="E255" s="56" t="s">
        <v>176</v>
      </c>
      <c r="F255" s="56" t="s">
        <v>246</v>
      </c>
      <c r="G255" s="57" t="s">
        <v>154</v>
      </c>
      <c r="H255" s="68">
        <f t="shared" si="3"/>
        <v>0</v>
      </c>
      <c r="I255" s="62"/>
      <c r="J255" s="62"/>
      <c r="K255" s="71"/>
      <c r="L255" s="57"/>
      <c r="M255" s="61"/>
      <c r="N255" s="61"/>
      <c r="O255" s="62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  <c r="BE255" s="53"/>
      <c r="BF255" s="53"/>
      <c r="BG255" s="53"/>
      <c r="BH255" s="53"/>
      <c r="BI255" s="53"/>
      <c r="BJ255" s="53"/>
      <c r="BK255" s="53"/>
      <c r="BL255" s="53"/>
      <c r="BM255" s="53"/>
      <c r="BN255" s="53"/>
      <c r="BO255" s="53"/>
      <c r="BP255" s="53"/>
      <c r="BQ255" s="30">
        <v>2.0</v>
      </c>
      <c r="BR255" s="30">
        <f t="shared" si="4"/>
        <v>0</v>
      </c>
      <c r="BS255" s="70">
        <f t="shared" si="5"/>
        <v>0</v>
      </c>
      <c r="BT255" s="70">
        <v>1.0</v>
      </c>
    </row>
    <row r="256" ht="15.75" customHeight="1">
      <c r="A256" s="54">
        <v>140.0</v>
      </c>
      <c r="B256" s="56" t="s">
        <v>566</v>
      </c>
      <c r="C256" s="88" t="s">
        <v>449</v>
      </c>
      <c r="D256" s="56" t="s">
        <v>567</v>
      </c>
      <c r="E256" s="56" t="s">
        <v>167</v>
      </c>
      <c r="F256" s="56" t="s">
        <v>246</v>
      </c>
      <c r="G256" s="57" t="s">
        <v>154</v>
      </c>
      <c r="H256" s="68">
        <f t="shared" si="3"/>
        <v>0</v>
      </c>
      <c r="I256" s="62"/>
      <c r="J256" s="62"/>
      <c r="K256" s="71"/>
      <c r="L256" s="57"/>
      <c r="M256" s="61"/>
      <c r="N256" s="61"/>
      <c r="O256" s="62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  <c r="BE256" s="53"/>
      <c r="BF256" s="53"/>
      <c r="BG256" s="53"/>
      <c r="BH256" s="53"/>
      <c r="BI256" s="53"/>
      <c r="BJ256" s="53"/>
      <c r="BK256" s="53"/>
      <c r="BL256" s="53"/>
      <c r="BM256" s="53"/>
      <c r="BN256" s="53"/>
      <c r="BO256" s="53"/>
      <c r="BP256" s="53"/>
      <c r="BQ256" s="30">
        <v>2.0</v>
      </c>
      <c r="BR256" s="30">
        <f t="shared" si="4"/>
        <v>0</v>
      </c>
      <c r="BS256" s="70">
        <f t="shared" si="5"/>
        <v>0</v>
      </c>
      <c r="BT256" s="70">
        <v>1.0</v>
      </c>
    </row>
    <row r="257" ht="15.75" customHeight="1">
      <c r="A257" s="54">
        <v>140.0</v>
      </c>
      <c r="B257" s="56" t="s">
        <v>566</v>
      </c>
      <c r="C257" s="88" t="s">
        <v>449</v>
      </c>
      <c r="D257" s="56" t="s">
        <v>567</v>
      </c>
      <c r="E257" s="56" t="s">
        <v>176</v>
      </c>
      <c r="F257" s="56" t="s">
        <v>246</v>
      </c>
      <c r="G257" s="57" t="s">
        <v>154</v>
      </c>
      <c r="H257" s="68">
        <f t="shared" si="3"/>
        <v>0</v>
      </c>
      <c r="I257" s="62"/>
      <c r="J257" s="62"/>
      <c r="K257" s="71"/>
      <c r="L257" s="57"/>
      <c r="M257" s="61"/>
      <c r="N257" s="61"/>
      <c r="O257" s="62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  <c r="BE257" s="53"/>
      <c r="BF257" s="53"/>
      <c r="BG257" s="53"/>
      <c r="BH257" s="53"/>
      <c r="BI257" s="53"/>
      <c r="BJ257" s="53"/>
      <c r="BK257" s="53"/>
      <c r="BL257" s="53"/>
      <c r="BM257" s="53"/>
      <c r="BN257" s="53"/>
      <c r="BO257" s="53"/>
      <c r="BP257" s="53"/>
      <c r="BQ257" s="30">
        <v>2.0</v>
      </c>
      <c r="BR257" s="30">
        <f t="shared" si="4"/>
        <v>0</v>
      </c>
      <c r="BS257" s="70">
        <f t="shared" si="5"/>
        <v>0</v>
      </c>
      <c r="BT257" s="70">
        <v>1.0</v>
      </c>
    </row>
    <row r="258" ht="15.75" customHeight="1">
      <c r="A258" s="54">
        <v>140.0</v>
      </c>
      <c r="B258" s="56" t="s">
        <v>566</v>
      </c>
      <c r="C258" s="56" t="s">
        <v>500</v>
      </c>
      <c r="D258" s="56" t="s">
        <v>604</v>
      </c>
      <c r="E258" s="56" t="s">
        <v>272</v>
      </c>
      <c r="F258" s="56" t="s">
        <v>15</v>
      </c>
      <c r="G258" s="57" t="s">
        <v>15</v>
      </c>
      <c r="H258" s="68">
        <f t="shared" si="3"/>
        <v>0.2115384615</v>
      </c>
      <c r="I258" s="62"/>
      <c r="J258" s="62"/>
      <c r="K258" s="71"/>
      <c r="L258" s="57"/>
      <c r="M258" s="61"/>
      <c r="N258" s="61"/>
      <c r="O258" s="62"/>
      <c r="P258" s="53" t="s">
        <v>131</v>
      </c>
      <c r="Q258" s="53" t="s">
        <v>131</v>
      </c>
      <c r="R258" s="53" t="s">
        <v>131</v>
      </c>
      <c r="S258" s="53" t="s">
        <v>131</v>
      </c>
      <c r="T258" s="53" t="s">
        <v>131</v>
      </c>
      <c r="U258" s="53" t="s">
        <v>131</v>
      </c>
      <c r="V258" s="53" t="s">
        <v>131</v>
      </c>
      <c r="W258" s="53" t="s">
        <v>131</v>
      </c>
      <c r="X258" s="53" t="s">
        <v>131</v>
      </c>
      <c r="Y258" s="53" t="s">
        <v>131</v>
      </c>
      <c r="Z258" s="53" t="s">
        <v>131</v>
      </c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  <c r="BE258" s="53"/>
      <c r="BF258" s="53"/>
      <c r="BG258" s="53"/>
      <c r="BH258" s="53"/>
      <c r="BI258" s="53"/>
      <c r="BJ258" s="53"/>
      <c r="BK258" s="53"/>
      <c r="BL258" s="53"/>
      <c r="BM258" s="53"/>
      <c r="BN258" s="53"/>
      <c r="BO258" s="53"/>
      <c r="BP258" s="30"/>
      <c r="BQ258" s="30">
        <v>52.0</v>
      </c>
      <c r="BR258" s="30">
        <f t="shared" si="4"/>
        <v>11</v>
      </c>
      <c r="BS258" s="70">
        <f t="shared" si="5"/>
        <v>0</v>
      </c>
      <c r="BT258" s="70">
        <v>1.0</v>
      </c>
    </row>
    <row r="259" ht="15.75" customHeight="1">
      <c r="A259" s="54">
        <v>140.0</v>
      </c>
      <c r="B259" s="56" t="s">
        <v>570</v>
      </c>
      <c r="C259" s="88" t="s">
        <v>449</v>
      </c>
      <c r="D259" s="56" t="s">
        <v>571</v>
      </c>
      <c r="E259" s="56" t="s">
        <v>167</v>
      </c>
      <c r="F259" s="56" t="s">
        <v>246</v>
      </c>
      <c r="G259" s="57" t="s">
        <v>154</v>
      </c>
      <c r="H259" s="68">
        <f t="shared" si="3"/>
        <v>0</v>
      </c>
      <c r="I259" s="62"/>
      <c r="J259" s="62"/>
      <c r="K259" s="71"/>
      <c r="L259" s="57"/>
      <c r="M259" s="61"/>
      <c r="N259" s="61"/>
      <c r="O259" s="62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  <c r="BE259" s="53"/>
      <c r="BF259" s="53"/>
      <c r="BG259" s="53"/>
      <c r="BH259" s="53"/>
      <c r="BI259" s="53"/>
      <c r="BJ259" s="53"/>
      <c r="BK259" s="53"/>
      <c r="BL259" s="53"/>
      <c r="BM259" s="53"/>
      <c r="BN259" s="53"/>
      <c r="BO259" s="53"/>
      <c r="BP259" s="53"/>
      <c r="BQ259" s="30">
        <v>2.0</v>
      </c>
      <c r="BR259" s="30">
        <f t="shared" si="4"/>
        <v>0</v>
      </c>
      <c r="BS259" s="70">
        <f t="shared" si="5"/>
        <v>0</v>
      </c>
      <c r="BT259" s="70">
        <v>1.0</v>
      </c>
    </row>
    <row r="260" ht="15.75" customHeight="1">
      <c r="A260" s="54">
        <v>140.0</v>
      </c>
      <c r="B260" s="56" t="s">
        <v>570</v>
      </c>
      <c r="C260" s="88" t="s">
        <v>449</v>
      </c>
      <c r="D260" s="56" t="s">
        <v>571</v>
      </c>
      <c r="E260" s="56" t="s">
        <v>176</v>
      </c>
      <c r="F260" s="56" t="s">
        <v>246</v>
      </c>
      <c r="G260" s="57" t="s">
        <v>154</v>
      </c>
      <c r="H260" s="68">
        <f t="shared" si="3"/>
        <v>0</v>
      </c>
      <c r="I260" s="62"/>
      <c r="J260" s="62"/>
      <c r="K260" s="71"/>
      <c r="L260" s="57"/>
      <c r="M260" s="61"/>
      <c r="N260" s="61"/>
      <c r="O260" s="62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  <c r="BE260" s="53"/>
      <c r="BF260" s="53"/>
      <c r="BG260" s="53"/>
      <c r="BH260" s="53"/>
      <c r="BI260" s="53"/>
      <c r="BJ260" s="53"/>
      <c r="BK260" s="53"/>
      <c r="BL260" s="53"/>
      <c r="BM260" s="53"/>
      <c r="BN260" s="53"/>
      <c r="BO260" s="53"/>
      <c r="BP260" s="53"/>
      <c r="BQ260" s="30">
        <v>2.0</v>
      </c>
      <c r="BR260" s="30">
        <f t="shared" si="4"/>
        <v>0</v>
      </c>
      <c r="BS260" s="70">
        <f t="shared" si="5"/>
        <v>0</v>
      </c>
      <c r="BT260" s="70">
        <v>1.0</v>
      </c>
    </row>
    <row r="261" ht="15.75" customHeight="1">
      <c r="A261" s="54" t="s">
        <v>572</v>
      </c>
      <c r="B261" s="56" t="s">
        <v>573</v>
      </c>
      <c r="C261" s="56" t="s">
        <v>574</v>
      </c>
      <c r="D261" s="56" t="s">
        <v>575</v>
      </c>
      <c r="E261" s="56" t="s">
        <v>239</v>
      </c>
      <c r="F261" s="56" t="s">
        <v>327</v>
      </c>
      <c r="G261" s="57" t="s">
        <v>154</v>
      </c>
      <c r="H261" s="68">
        <f t="shared" si="3"/>
        <v>0</v>
      </c>
      <c r="I261" s="62" t="s">
        <v>146</v>
      </c>
      <c r="J261" s="62" t="s">
        <v>207</v>
      </c>
      <c r="K261" s="71"/>
      <c r="L261" s="57" t="s">
        <v>115</v>
      </c>
      <c r="M261" s="61"/>
      <c r="N261" s="61"/>
      <c r="O261" s="62" t="s">
        <v>207</v>
      </c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  <c r="BE261" s="53"/>
      <c r="BF261" s="53"/>
      <c r="BG261" s="53"/>
      <c r="BH261" s="53"/>
      <c r="BI261" s="53"/>
      <c r="BJ261" s="53"/>
      <c r="BK261" s="53"/>
      <c r="BL261" s="53"/>
      <c r="BM261" s="53"/>
      <c r="BN261" s="53"/>
      <c r="BO261" s="102"/>
      <c r="BP261" s="53"/>
      <c r="BQ261" s="30">
        <v>2.0</v>
      </c>
      <c r="BR261" s="30">
        <f t="shared" si="4"/>
        <v>0</v>
      </c>
      <c r="BS261" s="70">
        <f t="shared" si="5"/>
        <v>0</v>
      </c>
      <c r="BT261" s="70">
        <v>1.0</v>
      </c>
    </row>
    <row r="262" ht="15.75" customHeight="1">
      <c r="A262" s="54" t="s">
        <v>572</v>
      </c>
      <c r="B262" s="56" t="s">
        <v>576</v>
      </c>
      <c r="C262" s="56" t="s">
        <v>574</v>
      </c>
      <c r="D262" s="56" t="s">
        <v>577</v>
      </c>
      <c r="E262" s="56" t="s">
        <v>578</v>
      </c>
      <c r="F262" s="56" t="s">
        <v>327</v>
      </c>
      <c r="G262" s="57" t="s">
        <v>154</v>
      </c>
      <c r="H262" s="68">
        <f t="shared" si="3"/>
        <v>0</v>
      </c>
      <c r="I262" s="62" t="s">
        <v>146</v>
      </c>
      <c r="J262" s="62"/>
      <c r="K262" s="71"/>
      <c r="L262" s="57" t="s">
        <v>115</v>
      </c>
      <c r="M262" s="61"/>
      <c r="N262" s="61"/>
      <c r="O262" s="62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  <c r="BE262" s="53"/>
      <c r="BF262" s="53"/>
      <c r="BG262" s="53"/>
      <c r="BH262" s="53"/>
      <c r="BI262" s="53"/>
      <c r="BJ262" s="53"/>
      <c r="BK262" s="53"/>
      <c r="BL262" s="53"/>
      <c r="BM262" s="53"/>
      <c r="BN262" s="53"/>
      <c r="BO262" s="102"/>
      <c r="BP262" s="53"/>
      <c r="BQ262" s="30">
        <v>2.0</v>
      </c>
      <c r="BR262" s="30">
        <f t="shared" si="4"/>
        <v>0</v>
      </c>
      <c r="BS262" s="70">
        <f t="shared" si="5"/>
        <v>0</v>
      </c>
      <c r="BT262" s="70">
        <v>1.0</v>
      </c>
    </row>
    <row r="263" ht="15.75" customHeight="1">
      <c r="A263" s="54" t="s">
        <v>572</v>
      </c>
      <c r="B263" s="56" t="s">
        <v>576</v>
      </c>
      <c r="C263" s="56" t="s">
        <v>574</v>
      </c>
      <c r="D263" s="56" t="s">
        <v>577</v>
      </c>
      <c r="E263" s="56" t="s">
        <v>196</v>
      </c>
      <c r="F263" s="56" t="s">
        <v>246</v>
      </c>
      <c r="G263" s="57" t="s">
        <v>154</v>
      </c>
      <c r="H263" s="68">
        <f t="shared" si="3"/>
        <v>0.5</v>
      </c>
      <c r="I263" s="62" t="s">
        <v>634</v>
      </c>
      <c r="J263" s="62" t="s">
        <v>581</v>
      </c>
      <c r="K263" s="71"/>
      <c r="L263" s="57" t="s">
        <v>115</v>
      </c>
      <c r="M263" s="61"/>
      <c r="N263" s="61" t="s">
        <v>322</v>
      </c>
      <c r="O263" s="62" t="s">
        <v>581</v>
      </c>
      <c r="P263" s="53"/>
      <c r="Q263" s="53"/>
      <c r="R263" s="53" t="s">
        <v>323</v>
      </c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  <c r="BE263" s="53"/>
      <c r="BF263" s="53"/>
      <c r="BG263" s="53"/>
      <c r="BH263" s="53"/>
      <c r="BI263" s="53"/>
      <c r="BJ263" s="53"/>
      <c r="BK263" s="53"/>
      <c r="BL263" s="53"/>
      <c r="BM263" s="53"/>
      <c r="BN263" s="53"/>
      <c r="BO263" s="30"/>
      <c r="BP263" s="30"/>
      <c r="BQ263" s="30">
        <v>2.0</v>
      </c>
      <c r="BR263" s="30">
        <f t="shared" si="4"/>
        <v>1</v>
      </c>
      <c r="BS263" s="70">
        <f t="shared" si="5"/>
        <v>0</v>
      </c>
      <c r="BT263" s="70">
        <v>1.0</v>
      </c>
    </row>
    <row r="264" ht="15.75" customHeight="1">
      <c r="A264" s="54" t="s">
        <v>572</v>
      </c>
      <c r="B264" s="56" t="s">
        <v>579</v>
      </c>
      <c r="C264" s="56" t="s">
        <v>574</v>
      </c>
      <c r="D264" s="56" t="s">
        <v>580</v>
      </c>
      <c r="E264" s="56" t="s">
        <v>578</v>
      </c>
      <c r="F264" s="56" t="s">
        <v>327</v>
      </c>
      <c r="G264" s="57" t="s">
        <v>154</v>
      </c>
      <c r="H264" s="68">
        <f t="shared" si="3"/>
        <v>0</v>
      </c>
      <c r="I264" s="62" t="s">
        <v>146</v>
      </c>
      <c r="J264" s="62"/>
      <c r="K264" s="71"/>
      <c r="L264" s="57" t="s">
        <v>115</v>
      </c>
      <c r="M264" s="61"/>
      <c r="N264" s="61"/>
      <c r="O264" s="62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  <c r="BE264" s="53"/>
      <c r="BF264" s="53"/>
      <c r="BG264" s="53"/>
      <c r="BH264" s="53"/>
      <c r="BI264" s="53"/>
      <c r="BJ264" s="53"/>
      <c r="BK264" s="53"/>
      <c r="BL264" s="53"/>
      <c r="BM264" s="53"/>
      <c r="BN264" s="53"/>
      <c r="BO264" s="102"/>
      <c r="BP264" s="53"/>
      <c r="BQ264" s="30">
        <v>2.0</v>
      </c>
      <c r="BR264" s="30">
        <f t="shared" si="4"/>
        <v>0</v>
      </c>
      <c r="BS264" s="70">
        <f t="shared" si="5"/>
        <v>0</v>
      </c>
      <c r="BT264" s="70">
        <v>1.0</v>
      </c>
    </row>
    <row r="265" ht="15.75" customHeight="1">
      <c r="A265" s="54" t="s">
        <v>572</v>
      </c>
      <c r="B265" s="56" t="s">
        <v>579</v>
      </c>
      <c r="C265" s="56" t="s">
        <v>574</v>
      </c>
      <c r="D265" s="56" t="s">
        <v>580</v>
      </c>
      <c r="E265" s="56" t="s">
        <v>196</v>
      </c>
      <c r="F265" s="56" t="s">
        <v>246</v>
      </c>
      <c r="G265" s="57" t="s">
        <v>154</v>
      </c>
      <c r="H265" s="68">
        <f t="shared" si="3"/>
        <v>0.5</v>
      </c>
      <c r="I265" s="62" t="s">
        <v>634</v>
      </c>
      <c r="J265" s="62" t="s">
        <v>581</v>
      </c>
      <c r="K265" s="71"/>
      <c r="L265" s="57" t="s">
        <v>115</v>
      </c>
      <c r="M265" s="61"/>
      <c r="N265" s="61" t="s">
        <v>322</v>
      </c>
      <c r="O265" s="62" t="s">
        <v>581</v>
      </c>
      <c r="P265" s="53"/>
      <c r="Q265" s="53"/>
      <c r="R265" s="53" t="s">
        <v>323</v>
      </c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  <c r="BE265" s="53"/>
      <c r="BF265" s="53"/>
      <c r="BG265" s="53"/>
      <c r="BH265" s="53"/>
      <c r="BI265" s="53"/>
      <c r="BJ265" s="53"/>
      <c r="BK265" s="53"/>
      <c r="BL265" s="53"/>
      <c r="BM265" s="53"/>
      <c r="BN265" s="53"/>
      <c r="BO265" s="30"/>
      <c r="BP265" s="30"/>
      <c r="BQ265" s="30">
        <v>2.0</v>
      </c>
      <c r="BR265" s="30">
        <f t="shared" si="4"/>
        <v>1</v>
      </c>
      <c r="BS265" s="70">
        <f t="shared" si="5"/>
        <v>0</v>
      </c>
      <c r="BT265" s="70">
        <v>1.0</v>
      </c>
    </row>
    <row r="266" ht="15.75" customHeight="1">
      <c r="A266" s="54" t="s">
        <v>572</v>
      </c>
      <c r="B266" s="56" t="s">
        <v>582</v>
      </c>
      <c r="C266" s="56" t="s">
        <v>583</v>
      </c>
      <c r="D266" s="56" t="s">
        <v>584</v>
      </c>
      <c r="E266" s="56" t="s">
        <v>585</v>
      </c>
      <c r="F266" s="56" t="s">
        <v>327</v>
      </c>
      <c r="G266" s="57" t="s">
        <v>154</v>
      </c>
      <c r="H266" s="68">
        <f t="shared" si="3"/>
        <v>0</v>
      </c>
      <c r="I266" s="62" t="s">
        <v>146</v>
      </c>
      <c r="J266" s="62" t="s">
        <v>207</v>
      </c>
      <c r="K266" s="71"/>
      <c r="L266" s="57" t="s">
        <v>115</v>
      </c>
      <c r="M266" s="61"/>
      <c r="N266" s="61"/>
      <c r="O266" s="62" t="s">
        <v>207</v>
      </c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  <c r="BE266" s="53"/>
      <c r="BF266" s="53"/>
      <c r="BG266" s="53"/>
      <c r="BH266" s="53"/>
      <c r="BI266" s="53"/>
      <c r="BJ266" s="53"/>
      <c r="BK266" s="53"/>
      <c r="BL266" s="53"/>
      <c r="BM266" s="53"/>
      <c r="BN266" s="53"/>
      <c r="BO266" s="102"/>
      <c r="BP266" s="53"/>
      <c r="BQ266" s="30">
        <v>2.0</v>
      </c>
      <c r="BR266" s="30">
        <f t="shared" si="4"/>
        <v>0</v>
      </c>
      <c r="BS266" s="70">
        <f t="shared" si="5"/>
        <v>0</v>
      </c>
      <c r="BT266" s="70">
        <v>1.0</v>
      </c>
    </row>
    <row r="267" ht="15.75" customHeight="1">
      <c r="A267" s="54" t="s">
        <v>572</v>
      </c>
      <c r="B267" s="56" t="s">
        <v>586</v>
      </c>
      <c r="C267" s="56" t="s">
        <v>583</v>
      </c>
      <c r="D267" s="56" t="s">
        <v>587</v>
      </c>
      <c r="E267" s="56" t="s">
        <v>588</v>
      </c>
      <c r="F267" s="56" t="s">
        <v>327</v>
      </c>
      <c r="G267" s="57" t="s">
        <v>154</v>
      </c>
      <c r="H267" s="68">
        <f t="shared" si="3"/>
        <v>0</v>
      </c>
      <c r="I267" s="62" t="s">
        <v>146</v>
      </c>
      <c r="J267" s="62"/>
      <c r="K267" s="71"/>
      <c r="L267" s="57" t="s">
        <v>130</v>
      </c>
      <c r="M267" s="61"/>
      <c r="N267" s="61"/>
      <c r="O267" s="62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  <c r="BE267" s="53"/>
      <c r="BF267" s="53"/>
      <c r="BG267" s="53"/>
      <c r="BH267" s="53"/>
      <c r="BI267" s="53"/>
      <c r="BJ267" s="53"/>
      <c r="BK267" s="53"/>
      <c r="BL267" s="53"/>
      <c r="BM267" s="53"/>
      <c r="BN267" s="53"/>
      <c r="BO267" s="102"/>
      <c r="BP267" s="53"/>
      <c r="BQ267" s="30">
        <v>2.0</v>
      </c>
      <c r="BR267" s="30">
        <f t="shared" si="4"/>
        <v>0</v>
      </c>
      <c r="BS267" s="70">
        <f t="shared" si="5"/>
        <v>0</v>
      </c>
      <c r="BT267" s="70">
        <v>1.0</v>
      </c>
    </row>
    <row r="268" ht="15.75" customHeight="1">
      <c r="A268" s="54" t="s">
        <v>572</v>
      </c>
      <c r="B268" s="56" t="s">
        <v>586</v>
      </c>
      <c r="C268" s="56" t="s">
        <v>583</v>
      </c>
      <c r="D268" s="56" t="s">
        <v>587</v>
      </c>
      <c r="E268" s="56" t="s">
        <v>589</v>
      </c>
      <c r="F268" s="56" t="s">
        <v>246</v>
      </c>
      <c r="G268" s="57" t="s">
        <v>154</v>
      </c>
      <c r="H268" s="68">
        <f t="shared" si="3"/>
        <v>0</v>
      </c>
      <c r="I268" s="62" t="s">
        <v>146</v>
      </c>
      <c r="J268" s="62"/>
      <c r="K268" s="71"/>
      <c r="L268" s="57" t="s">
        <v>115</v>
      </c>
      <c r="M268" s="61"/>
      <c r="N268" s="61"/>
      <c r="O268" s="62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  <c r="BE268" s="53"/>
      <c r="BF268" s="53"/>
      <c r="BG268" s="53"/>
      <c r="BH268" s="53"/>
      <c r="BI268" s="53"/>
      <c r="BJ268" s="53"/>
      <c r="BK268" s="53"/>
      <c r="BL268" s="53"/>
      <c r="BM268" s="53"/>
      <c r="BN268" s="53"/>
      <c r="BO268" s="102"/>
      <c r="BP268" s="75"/>
      <c r="BQ268" s="30">
        <v>2.0</v>
      </c>
      <c r="BR268" s="30">
        <f t="shared" si="4"/>
        <v>0</v>
      </c>
      <c r="BS268" s="70">
        <f t="shared" si="5"/>
        <v>0</v>
      </c>
      <c r="BT268" s="70">
        <v>1.0</v>
      </c>
    </row>
    <row r="269" ht="15.75" customHeight="1">
      <c r="A269" s="54" t="s">
        <v>572</v>
      </c>
      <c r="B269" s="56" t="s">
        <v>586</v>
      </c>
      <c r="C269" s="56" t="s">
        <v>583</v>
      </c>
      <c r="D269" s="56" t="s">
        <v>587</v>
      </c>
      <c r="E269" s="56" t="s">
        <v>590</v>
      </c>
      <c r="F269" s="56" t="s">
        <v>249</v>
      </c>
      <c r="G269" s="57" t="s">
        <v>250</v>
      </c>
      <c r="H269" s="68">
        <f t="shared" si="3"/>
        <v>0.25</v>
      </c>
      <c r="I269" s="62"/>
      <c r="J269" s="62" t="s">
        <v>593</v>
      </c>
      <c r="K269" s="71"/>
      <c r="L269" s="57" t="s">
        <v>115</v>
      </c>
      <c r="M269" s="61"/>
      <c r="N269" s="61" t="s">
        <v>710</v>
      </c>
      <c r="O269" s="62" t="s">
        <v>593</v>
      </c>
      <c r="P269" s="53"/>
      <c r="Q269" s="53"/>
      <c r="R269" s="53"/>
      <c r="S269" s="53" t="s">
        <v>326</v>
      </c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  <c r="BE269" s="53"/>
      <c r="BF269" s="53"/>
      <c r="BG269" s="53"/>
      <c r="BH269" s="53"/>
      <c r="BI269" s="53"/>
      <c r="BJ269" s="53"/>
      <c r="BK269" s="53"/>
      <c r="BL269" s="53"/>
      <c r="BM269" s="53"/>
      <c r="BN269" s="53"/>
      <c r="BO269" s="30"/>
      <c r="BP269" s="53"/>
      <c r="BQ269" s="30">
        <v>4.0</v>
      </c>
      <c r="BR269" s="30">
        <f t="shared" si="4"/>
        <v>1</v>
      </c>
      <c r="BS269" s="70">
        <f t="shared" si="5"/>
        <v>0</v>
      </c>
      <c r="BT269" s="70">
        <v>1.0</v>
      </c>
    </row>
    <row r="270" ht="15.75" customHeight="1">
      <c r="A270" s="54" t="s">
        <v>572</v>
      </c>
      <c r="B270" s="56" t="s">
        <v>591</v>
      </c>
      <c r="C270" s="56" t="s">
        <v>574</v>
      </c>
      <c r="D270" s="56" t="s">
        <v>594</v>
      </c>
      <c r="E270" s="56" t="s">
        <v>239</v>
      </c>
      <c r="F270" s="56" t="s">
        <v>327</v>
      </c>
      <c r="G270" s="57" t="s">
        <v>154</v>
      </c>
      <c r="H270" s="68">
        <f t="shared" si="3"/>
        <v>0</v>
      </c>
      <c r="I270" s="62" t="s">
        <v>146</v>
      </c>
      <c r="J270" s="62"/>
      <c r="K270" s="71"/>
      <c r="L270" s="57" t="s">
        <v>115</v>
      </c>
      <c r="M270" s="61"/>
      <c r="N270" s="61"/>
      <c r="O270" s="62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  <c r="BE270" s="53"/>
      <c r="BF270" s="53"/>
      <c r="BG270" s="53"/>
      <c r="BH270" s="53"/>
      <c r="BI270" s="53"/>
      <c r="BJ270" s="53"/>
      <c r="BK270" s="53"/>
      <c r="BL270" s="53"/>
      <c r="BM270" s="53"/>
      <c r="BN270" s="53"/>
      <c r="BO270" s="30"/>
      <c r="BP270" s="30"/>
      <c r="BQ270" s="30">
        <v>1.0</v>
      </c>
      <c r="BR270" s="30">
        <f t="shared" si="4"/>
        <v>0</v>
      </c>
      <c r="BS270" s="70">
        <f t="shared" si="5"/>
        <v>0</v>
      </c>
      <c r="BT270" s="70">
        <v>1.0</v>
      </c>
    </row>
    <row r="271" ht="15.75" customHeight="1">
      <c r="A271" s="54" t="s">
        <v>572</v>
      </c>
      <c r="B271" s="56" t="s">
        <v>595</v>
      </c>
      <c r="C271" s="56" t="s">
        <v>574</v>
      </c>
      <c r="D271" s="56" t="s">
        <v>577</v>
      </c>
      <c r="E271" s="56" t="s">
        <v>578</v>
      </c>
      <c r="F271" s="56" t="s">
        <v>327</v>
      </c>
      <c r="G271" s="57" t="s">
        <v>154</v>
      </c>
      <c r="H271" s="68">
        <f t="shared" si="3"/>
        <v>0</v>
      </c>
      <c r="I271" s="62" t="s">
        <v>146</v>
      </c>
      <c r="J271" s="62"/>
      <c r="K271" s="71"/>
      <c r="L271" s="57" t="s">
        <v>115</v>
      </c>
      <c r="M271" s="61"/>
      <c r="N271" s="61"/>
      <c r="O271" s="62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  <c r="BE271" s="53"/>
      <c r="BF271" s="53"/>
      <c r="BG271" s="53"/>
      <c r="BH271" s="53"/>
      <c r="BI271" s="53"/>
      <c r="BJ271" s="53"/>
      <c r="BK271" s="53"/>
      <c r="BL271" s="53"/>
      <c r="BM271" s="53"/>
      <c r="BN271" s="53"/>
      <c r="BO271" s="30"/>
      <c r="BP271" s="101"/>
      <c r="BQ271" s="30">
        <v>1.0</v>
      </c>
      <c r="BR271" s="30">
        <f t="shared" si="4"/>
        <v>0</v>
      </c>
      <c r="BS271" s="70">
        <f t="shared" si="5"/>
        <v>0</v>
      </c>
      <c r="BT271" s="70">
        <v>1.0</v>
      </c>
    </row>
    <row r="272" ht="15.75" customHeight="1">
      <c r="A272" s="54" t="s">
        <v>572</v>
      </c>
      <c r="B272" s="56" t="s">
        <v>595</v>
      </c>
      <c r="C272" s="56" t="s">
        <v>574</v>
      </c>
      <c r="D272" s="56" t="s">
        <v>577</v>
      </c>
      <c r="E272" s="56" t="s">
        <v>196</v>
      </c>
      <c r="F272" s="56" t="s">
        <v>246</v>
      </c>
      <c r="G272" s="57" t="s">
        <v>154</v>
      </c>
      <c r="H272" s="68">
        <f t="shared" si="3"/>
        <v>0.5</v>
      </c>
      <c r="I272" s="62" t="s">
        <v>634</v>
      </c>
      <c r="J272" s="62" t="s">
        <v>581</v>
      </c>
      <c r="K272" s="71"/>
      <c r="L272" s="57" t="s">
        <v>115</v>
      </c>
      <c r="M272" s="61"/>
      <c r="N272" s="61" t="s">
        <v>322</v>
      </c>
      <c r="O272" s="62" t="s">
        <v>581</v>
      </c>
      <c r="P272" s="53"/>
      <c r="Q272" s="53"/>
      <c r="R272" s="53" t="s">
        <v>323</v>
      </c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  <c r="BE272" s="53"/>
      <c r="BF272" s="53"/>
      <c r="BG272" s="53"/>
      <c r="BH272" s="53"/>
      <c r="BI272" s="53"/>
      <c r="BJ272" s="53"/>
      <c r="BK272" s="53"/>
      <c r="BL272" s="53"/>
      <c r="BM272" s="53"/>
      <c r="BN272" s="53"/>
      <c r="BO272" s="30"/>
      <c r="BP272" s="30"/>
      <c r="BQ272" s="30">
        <v>2.0</v>
      </c>
      <c r="BR272" s="30">
        <f t="shared" si="4"/>
        <v>1</v>
      </c>
      <c r="BS272" s="70">
        <f t="shared" si="5"/>
        <v>0</v>
      </c>
      <c r="BT272" s="70">
        <v>1.0</v>
      </c>
    </row>
    <row r="273" ht="15.75" customHeight="1">
      <c r="A273" s="54" t="s">
        <v>572</v>
      </c>
      <c r="B273" s="56" t="s">
        <v>596</v>
      </c>
      <c r="C273" s="56" t="s">
        <v>574</v>
      </c>
      <c r="D273" s="56" t="s">
        <v>597</v>
      </c>
      <c r="E273" s="56" t="s">
        <v>239</v>
      </c>
      <c r="F273" s="56" t="s">
        <v>327</v>
      </c>
      <c r="G273" s="57" t="s">
        <v>154</v>
      </c>
      <c r="H273" s="68">
        <f t="shared" si="3"/>
        <v>0</v>
      </c>
      <c r="I273" s="62" t="s">
        <v>146</v>
      </c>
      <c r="J273" s="62"/>
      <c r="K273" s="71"/>
      <c r="L273" s="57" t="s">
        <v>115</v>
      </c>
      <c r="M273" s="61"/>
      <c r="N273" s="61"/>
      <c r="O273" s="62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3"/>
      <c r="BN273" s="53"/>
      <c r="BO273" s="30"/>
      <c r="BP273" s="30"/>
      <c r="BQ273" s="30">
        <v>1.0</v>
      </c>
      <c r="BR273" s="30">
        <f t="shared" si="4"/>
        <v>0</v>
      </c>
      <c r="BS273" s="70">
        <f t="shared" si="5"/>
        <v>0</v>
      </c>
      <c r="BT273" s="70">
        <v>1.0</v>
      </c>
    </row>
    <row r="274" ht="15.75" customHeight="1">
      <c r="A274" s="54" t="s">
        <v>572</v>
      </c>
      <c r="B274" s="56" t="s">
        <v>598</v>
      </c>
      <c r="C274" s="56" t="s">
        <v>574</v>
      </c>
      <c r="D274" s="56" t="s">
        <v>577</v>
      </c>
      <c r="E274" s="56" t="s">
        <v>578</v>
      </c>
      <c r="F274" s="56" t="s">
        <v>327</v>
      </c>
      <c r="G274" s="57" t="s">
        <v>154</v>
      </c>
      <c r="H274" s="68">
        <f t="shared" si="3"/>
        <v>0</v>
      </c>
      <c r="I274" s="62" t="s">
        <v>146</v>
      </c>
      <c r="J274" s="62"/>
      <c r="K274" s="71"/>
      <c r="L274" s="57" t="s">
        <v>115</v>
      </c>
      <c r="M274" s="61"/>
      <c r="N274" s="61"/>
      <c r="O274" s="62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  <c r="BE274" s="53"/>
      <c r="BF274" s="53"/>
      <c r="BG274" s="53"/>
      <c r="BH274" s="53"/>
      <c r="BI274" s="53"/>
      <c r="BJ274" s="53"/>
      <c r="BK274" s="53"/>
      <c r="BL274" s="53"/>
      <c r="BM274" s="53"/>
      <c r="BN274" s="53"/>
      <c r="BO274" s="30"/>
      <c r="BP274" s="30"/>
      <c r="BQ274" s="30">
        <v>1.0</v>
      </c>
      <c r="BR274" s="30">
        <f t="shared" si="4"/>
        <v>0</v>
      </c>
      <c r="BS274" s="70">
        <f t="shared" si="5"/>
        <v>0</v>
      </c>
      <c r="BT274" s="70">
        <v>1.0</v>
      </c>
    </row>
    <row r="275" ht="15.75" customHeight="1">
      <c r="A275" s="54" t="s">
        <v>572</v>
      </c>
      <c r="B275" s="56" t="s">
        <v>598</v>
      </c>
      <c r="C275" s="56" t="s">
        <v>574</v>
      </c>
      <c r="D275" s="56" t="s">
        <v>577</v>
      </c>
      <c r="E275" s="56" t="s">
        <v>196</v>
      </c>
      <c r="F275" s="56" t="s">
        <v>246</v>
      </c>
      <c r="G275" s="57" t="s">
        <v>154</v>
      </c>
      <c r="H275" s="68">
        <f t="shared" si="3"/>
        <v>0.5</v>
      </c>
      <c r="I275" s="62" t="s">
        <v>634</v>
      </c>
      <c r="J275" s="62" t="s">
        <v>581</v>
      </c>
      <c r="K275" s="71"/>
      <c r="L275" s="57" t="s">
        <v>115</v>
      </c>
      <c r="M275" s="61"/>
      <c r="N275" s="61" t="s">
        <v>322</v>
      </c>
      <c r="O275" s="62" t="s">
        <v>581</v>
      </c>
      <c r="P275" s="53"/>
      <c r="Q275" s="53"/>
      <c r="R275" s="53" t="s">
        <v>323</v>
      </c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  <c r="BE275" s="53"/>
      <c r="BF275" s="53"/>
      <c r="BG275" s="53"/>
      <c r="BH275" s="53"/>
      <c r="BI275" s="53"/>
      <c r="BJ275" s="53"/>
      <c r="BK275" s="53"/>
      <c r="BL275" s="53"/>
      <c r="BM275" s="53"/>
      <c r="BN275" s="53"/>
      <c r="BO275" s="30"/>
      <c r="BP275" s="30"/>
      <c r="BQ275" s="30">
        <v>2.0</v>
      </c>
      <c r="BR275" s="30">
        <f t="shared" si="4"/>
        <v>1</v>
      </c>
      <c r="BS275" s="70">
        <f t="shared" si="5"/>
        <v>0</v>
      </c>
      <c r="BT275" s="70">
        <v>1.0</v>
      </c>
    </row>
    <row r="276" ht="15.75" customHeight="1">
      <c r="A276" s="54" t="s">
        <v>289</v>
      </c>
      <c r="B276" s="56" t="s">
        <v>599</v>
      </c>
      <c r="C276" s="56" t="s">
        <v>291</v>
      </c>
      <c r="D276" s="56" t="s">
        <v>600</v>
      </c>
      <c r="E276" s="56" t="s">
        <v>163</v>
      </c>
      <c r="F276" s="56" t="s">
        <v>327</v>
      </c>
      <c r="G276" s="57" t="s">
        <v>154</v>
      </c>
      <c r="H276" s="68">
        <f t="shared" si="3"/>
        <v>0</v>
      </c>
      <c r="I276" s="62" t="s">
        <v>146</v>
      </c>
      <c r="J276" s="62"/>
      <c r="K276" s="71"/>
      <c r="L276" s="57" t="s">
        <v>115</v>
      </c>
      <c r="M276" s="61"/>
      <c r="N276" s="79"/>
      <c r="O276" s="62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  <c r="BE276" s="53"/>
      <c r="BF276" s="53"/>
      <c r="BG276" s="53"/>
      <c r="BH276" s="53"/>
      <c r="BI276" s="53"/>
      <c r="BJ276" s="53"/>
      <c r="BK276" s="53"/>
      <c r="BL276" s="53"/>
      <c r="BM276" s="53"/>
      <c r="BN276" s="53"/>
      <c r="BO276" s="102"/>
      <c r="BP276" s="53"/>
      <c r="BQ276" s="30">
        <v>2.0</v>
      </c>
      <c r="BR276" s="30">
        <f t="shared" si="4"/>
        <v>0</v>
      </c>
      <c r="BS276" s="70">
        <f t="shared" si="5"/>
        <v>0</v>
      </c>
      <c r="BT276" s="70">
        <v>1.0</v>
      </c>
    </row>
    <row r="277" ht="15.75" customHeight="1">
      <c r="A277" s="54" t="s">
        <v>289</v>
      </c>
      <c r="B277" s="56" t="s">
        <v>290</v>
      </c>
      <c r="C277" s="56" t="s">
        <v>291</v>
      </c>
      <c r="D277" s="56" t="s">
        <v>292</v>
      </c>
      <c r="E277" s="56" t="s">
        <v>196</v>
      </c>
      <c r="F277" s="56" t="s">
        <v>249</v>
      </c>
      <c r="G277" s="57" t="s">
        <v>250</v>
      </c>
      <c r="H277" s="68">
        <f t="shared" si="3"/>
        <v>0.25</v>
      </c>
      <c r="I277" s="62"/>
      <c r="J277" s="62" t="s">
        <v>288</v>
      </c>
      <c r="K277" s="71"/>
      <c r="L277" s="57" t="s">
        <v>115</v>
      </c>
      <c r="M277" s="61"/>
      <c r="N277" s="61" t="s">
        <v>495</v>
      </c>
      <c r="O277" s="62" t="s">
        <v>288</v>
      </c>
      <c r="P277" s="53"/>
      <c r="Q277" s="53"/>
      <c r="R277" s="53"/>
      <c r="S277" s="53" t="s">
        <v>326</v>
      </c>
      <c r="T277" s="53"/>
      <c r="U277" s="53"/>
      <c r="V277" s="53"/>
      <c r="W277" s="53"/>
      <c r="X277" s="53"/>
      <c r="Y277" s="87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87"/>
      <c r="AK277" s="53"/>
      <c r="AL277" s="53"/>
      <c r="AM277" s="53"/>
      <c r="AN277" s="53"/>
      <c r="AO277" s="53"/>
      <c r="AP277" s="87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87"/>
      <c r="BE277" s="53"/>
      <c r="BF277" s="53"/>
      <c r="BG277" s="53"/>
      <c r="BH277" s="53"/>
      <c r="BI277" s="53"/>
      <c r="BJ277" s="53"/>
      <c r="BK277" s="53"/>
      <c r="BL277" s="87"/>
      <c r="BM277" s="53"/>
      <c r="BN277" s="53"/>
      <c r="BO277" s="30"/>
      <c r="BP277" s="30"/>
      <c r="BQ277" s="30">
        <v>4.0</v>
      </c>
      <c r="BR277" s="30">
        <f t="shared" si="4"/>
        <v>1</v>
      </c>
      <c r="BS277" s="70">
        <f t="shared" si="5"/>
        <v>0</v>
      </c>
      <c r="BT277" s="70">
        <v>1.0</v>
      </c>
    </row>
    <row r="278" ht="15.75" customHeight="1">
      <c r="A278" s="54" t="s">
        <v>289</v>
      </c>
      <c r="B278" s="56" t="s">
        <v>290</v>
      </c>
      <c r="C278" s="56" t="s">
        <v>291</v>
      </c>
      <c r="D278" s="56" t="s">
        <v>292</v>
      </c>
      <c r="E278" s="56" t="s">
        <v>601</v>
      </c>
      <c r="F278" s="56" t="s">
        <v>327</v>
      </c>
      <c r="G278" s="57" t="s">
        <v>154</v>
      </c>
      <c r="H278" s="68">
        <f t="shared" si="3"/>
        <v>0</v>
      </c>
      <c r="I278" s="62" t="s">
        <v>146</v>
      </c>
      <c r="J278" s="62"/>
      <c r="K278" s="71"/>
      <c r="L278" s="57" t="s">
        <v>115</v>
      </c>
      <c r="M278" s="61"/>
      <c r="N278" s="79"/>
      <c r="O278" s="62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87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  <c r="BE278" s="53"/>
      <c r="BF278" s="53"/>
      <c r="BG278" s="53"/>
      <c r="BH278" s="87"/>
      <c r="BI278" s="53"/>
      <c r="BJ278" s="53"/>
      <c r="BK278" s="53"/>
      <c r="BL278" s="53"/>
      <c r="BM278" s="53"/>
      <c r="BN278" s="53"/>
      <c r="BO278" s="53"/>
      <c r="BP278" s="30"/>
      <c r="BQ278" s="30">
        <v>2.0</v>
      </c>
      <c r="BR278" s="30">
        <f t="shared" si="4"/>
        <v>0</v>
      </c>
      <c r="BS278" s="70">
        <f t="shared" si="5"/>
        <v>0</v>
      </c>
      <c r="BT278" s="70">
        <v>1.0</v>
      </c>
    </row>
    <row r="279" ht="15.75" customHeight="1">
      <c r="A279" s="54" t="s">
        <v>289</v>
      </c>
      <c r="B279" s="56" t="s">
        <v>290</v>
      </c>
      <c r="C279" s="56" t="s">
        <v>291</v>
      </c>
      <c r="D279" s="56" t="s">
        <v>292</v>
      </c>
      <c r="E279" s="56" t="s">
        <v>167</v>
      </c>
      <c r="F279" s="56" t="s">
        <v>173</v>
      </c>
      <c r="G279" s="57" t="s">
        <v>87</v>
      </c>
      <c r="H279" s="68">
        <f t="shared" si="3"/>
        <v>0.25</v>
      </c>
      <c r="I279" s="62"/>
      <c r="J279" s="62"/>
      <c r="K279" s="71"/>
      <c r="L279" s="57" t="s">
        <v>130</v>
      </c>
      <c r="M279" s="61"/>
      <c r="N279" s="79"/>
      <c r="O279" s="62"/>
      <c r="P279" s="53" t="s">
        <v>131</v>
      </c>
      <c r="Q279" s="53"/>
      <c r="R279" s="53"/>
      <c r="S279" s="53"/>
      <c r="T279" s="53"/>
      <c r="U279" s="53" t="s">
        <v>131</v>
      </c>
      <c r="V279" s="53"/>
      <c r="W279" s="53"/>
      <c r="X279" s="53"/>
      <c r="Y279" s="53" t="s">
        <v>131</v>
      </c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30"/>
      <c r="BP279" s="53"/>
      <c r="BQ279" s="30">
        <v>12.0</v>
      </c>
      <c r="BR279" s="30">
        <f t="shared" si="4"/>
        <v>3</v>
      </c>
      <c r="BS279" s="70">
        <f t="shared" si="5"/>
        <v>0</v>
      </c>
      <c r="BT279" s="70">
        <v>1.0</v>
      </c>
    </row>
    <row r="280" ht="15.75" customHeight="1">
      <c r="A280" s="54" t="s">
        <v>289</v>
      </c>
      <c r="B280" s="56" t="s">
        <v>290</v>
      </c>
      <c r="C280" s="56" t="s">
        <v>291</v>
      </c>
      <c r="D280" s="56" t="s">
        <v>292</v>
      </c>
      <c r="E280" s="56" t="s">
        <v>295</v>
      </c>
      <c r="F280" s="56" t="s">
        <v>173</v>
      </c>
      <c r="G280" s="57" t="s">
        <v>87</v>
      </c>
      <c r="H280" s="68">
        <f t="shared" si="3"/>
        <v>0.25</v>
      </c>
      <c r="I280" s="62"/>
      <c r="J280" s="62"/>
      <c r="K280" s="71"/>
      <c r="L280" s="57" t="s">
        <v>130</v>
      </c>
      <c r="M280" s="61"/>
      <c r="N280" s="79"/>
      <c r="O280" s="62"/>
      <c r="P280" s="53" t="s">
        <v>874</v>
      </c>
      <c r="Q280" s="53"/>
      <c r="R280" s="53"/>
      <c r="S280" s="53"/>
      <c r="T280" s="53"/>
      <c r="U280" s="53" t="s">
        <v>874</v>
      </c>
      <c r="V280" s="53"/>
      <c r="W280" s="53"/>
      <c r="X280" s="53"/>
      <c r="Y280" s="53" t="s">
        <v>874</v>
      </c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30"/>
      <c r="BP280" s="53"/>
      <c r="BQ280" s="30">
        <v>12.0</v>
      </c>
      <c r="BR280" s="30">
        <f t="shared" si="4"/>
        <v>3</v>
      </c>
      <c r="BS280" s="70">
        <f t="shared" si="5"/>
        <v>0</v>
      </c>
      <c r="BT280" s="70">
        <v>1.0</v>
      </c>
    </row>
    <row r="281" ht="15.75" customHeight="1">
      <c r="A281" s="54" t="s">
        <v>289</v>
      </c>
      <c r="B281" s="56" t="s">
        <v>605</v>
      </c>
      <c r="C281" s="56" t="s">
        <v>606</v>
      </c>
      <c r="D281" s="56" t="s">
        <v>607</v>
      </c>
      <c r="E281" s="56" t="s">
        <v>608</v>
      </c>
      <c r="F281" s="56" t="s">
        <v>327</v>
      </c>
      <c r="G281" s="57" t="s">
        <v>154</v>
      </c>
      <c r="H281" s="68">
        <f t="shared" si="3"/>
        <v>0</v>
      </c>
      <c r="I281" s="62" t="s">
        <v>146</v>
      </c>
      <c r="J281" s="62"/>
      <c r="K281" s="71"/>
      <c r="L281" s="57" t="s">
        <v>130</v>
      </c>
      <c r="M281" s="61"/>
      <c r="N281" s="79"/>
      <c r="O281" s="62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102"/>
      <c r="BP281" s="30"/>
      <c r="BQ281" s="30">
        <v>2.0</v>
      </c>
      <c r="BR281" s="30">
        <f t="shared" si="4"/>
        <v>0</v>
      </c>
      <c r="BS281" s="70">
        <f t="shared" si="5"/>
        <v>0</v>
      </c>
      <c r="BT281" s="70">
        <v>1.0</v>
      </c>
    </row>
    <row r="282" ht="15.75" customHeight="1">
      <c r="A282" s="54" t="s">
        <v>289</v>
      </c>
      <c r="B282" s="56" t="s">
        <v>609</v>
      </c>
      <c r="C282" s="56" t="s">
        <v>610</v>
      </c>
      <c r="D282" s="56" t="s">
        <v>611</v>
      </c>
      <c r="E282" s="56" t="s">
        <v>612</v>
      </c>
      <c r="F282" s="56" t="s">
        <v>193</v>
      </c>
      <c r="G282" s="57" t="s">
        <v>34</v>
      </c>
      <c r="H282" s="68">
        <f t="shared" si="3"/>
        <v>0</v>
      </c>
      <c r="I282" s="62" t="s">
        <v>146</v>
      </c>
      <c r="J282" s="62"/>
      <c r="K282" s="71"/>
      <c r="L282" s="57" t="s">
        <v>130</v>
      </c>
      <c r="M282" s="61"/>
      <c r="N282" s="79"/>
      <c r="O282" s="62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  <c r="BE282" s="53"/>
      <c r="BF282" s="53"/>
      <c r="BG282" s="53"/>
      <c r="BH282" s="53"/>
      <c r="BI282" s="53"/>
      <c r="BJ282" s="53"/>
      <c r="BK282" s="53"/>
      <c r="BL282" s="53"/>
      <c r="BM282" s="53"/>
      <c r="BN282" s="53"/>
      <c r="BO282" s="53"/>
      <c r="BP282" s="30"/>
      <c r="BQ282" s="30">
        <v>1.0</v>
      </c>
      <c r="BR282" s="30">
        <f t="shared" si="4"/>
        <v>0</v>
      </c>
      <c r="BS282" s="70">
        <f t="shared" si="5"/>
        <v>0</v>
      </c>
      <c r="BT282" s="70">
        <v>1.0</v>
      </c>
    </row>
    <row r="283" ht="15.75" customHeight="1">
      <c r="A283" s="54" t="s">
        <v>289</v>
      </c>
      <c r="B283" s="56" t="s">
        <v>609</v>
      </c>
      <c r="C283" s="56" t="s">
        <v>610</v>
      </c>
      <c r="D283" s="56" t="s">
        <v>611</v>
      </c>
      <c r="E283" s="56" t="s">
        <v>613</v>
      </c>
      <c r="F283" s="56" t="s">
        <v>193</v>
      </c>
      <c r="G283" s="57" t="s">
        <v>34</v>
      </c>
      <c r="H283" s="68">
        <f t="shared" si="3"/>
        <v>0</v>
      </c>
      <c r="I283" s="62"/>
      <c r="J283" s="62"/>
      <c r="K283" s="71"/>
      <c r="L283" s="57" t="s">
        <v>130</v>
      </c>
      <c r="M283" s="61"/>
      <c r="N283" s="79"/>
      <c r="O283" s="62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  <c r="BE283" s="53"/>
      <c r="BF283" s="53"/>
      <c r="BG283" s="53"/>
      <c r="BH283" s="53"/>
      <c r="BI283" s="53"/>
      <c r="BJ283" s="53"/>
      <c r="BK283" s="53"/>
      <c r="BL283" s="53"/>
      <c r="BM283" s="53"/>
      <c r="BN283" s="53"/>
      <c r="BO283" s="53"/>
      <c r="BP283" s="30"/>
      <c r="BQ283" s="30">
        <v>1.0</v>
      </c>
      <c r="BR283" s="30">
        <f t="shared" si="4"/>
        <v>0</v>
      </c>
      <c r="BS283" s="70">
        <f t="shared" si="5"/>
        <v>0</v>
      </c>
      <c r="BT283" s="70">
        <v>1.0</v>
      </c>
    </row>
    <row r="284" ht="15.75" customHeight="1">
      <c r="A284" s="54" t="s">
        <v>289</v>
      </c>
      <c r="B284" s="56" t="s">
        <v>609</v>
      </c>
      <c r="C284" s="56" t="s">
        <v>610</v>
      </c>
      <c r="D284" s="56" t="s">
        <v>611</v>
      </c>
      <c r="E284" s="56" t="s">
        <v>614</v>
      </c>
      <c r="F284" s="56" t="s">
        <v>193</v>
      </c>
      <c r="G284" s="57" t="s">
        <v>34</v>
      </c>
      <c r="H284" s="68">
        <f t="shared" si="3"/>
        <v>0</v>
      </c>
      <c r="I284" s="62" t="s">
        <v>146</v>
      </c>
      <c r="J284" s="62"/>
      <c r="K284" s="71"/>
      <c r="L284" s="57" t="s">
        <v>115</v>
      </c>
      <c r="M284" s="61"/>
      <c r="N284" s="79"/>
      <c r="O284" s="62" t="s">
        <v>615</v>
      </c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3"/>
      <c r="BN284" s="53"/>
      <c r="BO284" s="53"/>
      <c r="BP284" s="30"/>
      <c r="BQ284" s="30">
        <v>1.0</v>
      </c>
      <c r="BR284" s="30">
        <f t="shared" si="4"/>
        <v>0</v>
      </c>
      <c r="BS284" s="70">
        <f t="shared" si="5"/>
        <v>0</v>
      </c>
      <c r="BT284" s="70">
        <v>1.0</v>
      </c>
    </row>
    <row r="285" ht="15.75" customHeight="1">
      <c r="A285" s="54" t="s">
        <v>289</v>
      </c>
      <c r="B285" s="56" t="s">
        <v>609</v>
      </c>
      <c r="C285" s="56" t="s">
        <v>610</v>
      </c>
      <c r="D285" s="56" t="s">
        <v>611</v>
      </c>
      <c r="E285" s="56" t="s">
        <v>616</v>
      </c>
      <c r="F285" s="56" t="s">
        <v>327</v>
      </c>
      <c r="G285" s="57" t="s">
        <v>154</v>
      </c>
      <c r="H285" s="68">
        <f t="shared" si="3"/>
        <v>0</v>
      </c>
      <c r="I285" s="62" t="s">
        <v>146</v>
      </c>
      <c r="J285" s="62" t="s">
        <v>617</v>
      </c>
      <c r="K285" s="71"/>
      <c r="L285" s="57" t="s">
        <v>115</v>
      </c>
      <c r="M285" s="61"/>
      <c r="N285" s="79"/>
      <c r="O285" s="62" t="s">
        <v>617</v>
      </c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  <c r="BE285" s="53"/>
      <c r="BF285" s="53"/>
      <c r="BG285" s="53"/>
      <c r="BH285" s="53"/>
      <c r="BI285" s="53"/>
      <c r="BJ285" s="53"/>
      <c r="BK285" s="53"/>
      <c r="BL285" s="53"/>
      <c r="BM285" s="53"/>
      <c r="BN285" s="53"/>
      <c r="BO285" s="102"/>
      <c r="BP285" s="30"/>
      <c r="BQ285" s="30">
        <v>2.0</v>
      </c>
      <c r="BR285" s="30">
        <f t="shared" si="4"/>
        <v>0</v>
      </c>
      <c r="BS285" s="70">
        <f t="shared" si="5"/>
        <v>0</v>
      </c>
      <c r="BT285" s="70">
        <v>1.0</v>
      </c>
    </row>
    <row r="286" ht="15.75" customHeight="1">
      <c r="A286" s="54" t="s">
        <v>289</v>
      </c>
      <c r="B286" s="56" t="s">
        <v>619</v>
      </c>
      <c r="C286" s="56" t="s">
        <v>610</v>
      </c>
      <c r="D286" s="56" t="s">
        <v>620</v>
      </c>
      <c r="E286" s="56" t="s">
        <v>196</v>
      </c>
      <c r="F286" s="56" t="s">
        <v>249</v>
      </c>
      <c r="G286" s="57" t="s">
        <v>250</v>
      </c>
      <c r="H286" s="68">
        <f t="shared" si="3"/>
        <v>0.25</v>
      </c>
      <c r="I286" s="62"/>
      <c r="J286" s="62" t="s">
        <v>288</v>
      </c>
      <c r="K286" s="71"/>
      <c r="L286" s="57" t="s">
        <v>115</v>
      </c>
      <c r="M286" s="61"/>
      <c r="N286" s="61" t="s">
        <v>495</v>
      </c>
      <c r="O286" s="62" t="s">
        <v>288</v>
      </c>
      <c r="P286" s="53"/>
      <c r="Q286" s="53"/>
      <c r="R286" s="53"/>
      <c r="S286" s="53" t="s">
        <v>326</v>
      </c>
      <c r="T286" s="53"/>
      <c r="U286" s="53"/>
      <c r="V286" s="53"/>
      <c r="W286" s="53"/>
      <c r="X286" s="53"/>
      <c r="Y286" s="87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87"/>
      <c r="AK286" s="53"/>
      <c r="AL286" s="53"/>
      <c r="AM286" s="53"/>
      <c r="AN286" s="53"/>
      <c r="AO286" s="53"/>
      <c r="AP286" s="87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87"/>
      <c r="BE286" s="53"/>
      <c r="BF286" s="53"/>
      <c r="BG286" s="53"/>
      <c r="BH286" s="53"/>
      <c r="BI286" s="53"/>
      <c r="BJ286" s="53"/>
      <c r="BK286" s="53"/>
      <c r="BL286" s="87"/>
      <c r="BM286" s="53"/>
      <c r="BN286" s="53"/>
      <c r="BO286" s="30"/>
      <c r="BP286" s="30"/>
      <c r="BQ286" s="30">
        <v>4.0</v>
      </c>
      <c r="BR286" s="30">
        <f t="shared" si="4"/>
        <v>1</v>
      </c>
      <c r="BS286" s="70">
        <f t="shared" si="5"/>
        <v>0</v>
      </c>
      <c r="BT286" s="70">
        <v>1.0</v>
      </c>
    </row>
    <row r="287" ht="15.0" customHeight="1">
      <c r="A287" s="54" t="s">
        <v>289</v>
      </c>
      <c r="B287" s="56" t="s">
        <v>619</v>
      </c>
      <c r="C287" s="56" t="s">
        <v>610</v>
      </c>
      <c r="D287" s="56" t="s">
        <v>620</v>
      </c>
      <c r="E287" s="56" t="s">
        <v>621</v>
      </c>
      <c r="F287" s="56" t="s">
        <v>321</v>
      </c>
      <c r="G287" s="57" t="s">
        <v>192</v>
      </c>
      <c r="H287" s="68">
        <f t="shared" si="3"/>
        <v>0</v>
      </c>
      <c r="I287" s="62"/>
      <c r="J287" s="62"/>
      <c r="K287" s="71"/>
      <c r="L287" s="57" t="s">
        <v>115</v>
      </c>
      <c r="M287" s="61"/>
      <c r="N287" s="79"/>
      <c r="O287" s="62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  <c r="BE287" s="53"/>
      <c r="BF287" s="53"/>
      <c r="BG287" s="53"/>
      <c r="BH287" s="53"/>
      <c r="BI287" s="53"/>
      <c r="BJ287" s="53"/>
      <c r="BK287" s="53"/>
      <c r="BL287" s="53"/>
      <c r="BM287" s="53"/>
      <c r="BN287" s="53"/>
      <c r="BO287" s="53"/>
      <c r="BP287" s="30"/>
      <c r="BQ287" s="30">
        <v>3.0</v>
      </c>
      <c r="BR287" s="30">
        <f t="shared" si="4"/>
        <v>0</v>
      </c>
      <c r="BS287" s="70">
        <f t="shared" si="5"/>
        <v>0</v>
      </c>
      <c r="BT287" s="70">
        <v>1.0</v>
      </c>
    </row>
    <row r="288" ht="16.5" customHeight="1">
      <c r="A288" s="54" t="s">
        <v>289</v>
      </c>
      <c r="B288" s="56" t="s">
        <v>619</v>
      </c>
      <c r="C288" s="56" t="s">
        <v>610</v>
      </c>
      <c r="D288" s="56" t="s">
        <v>620</v>
      </c>
      <c r="E288" s="56" t="s">
        <v>622</v>
      </c>
      <c r="F288" s="56" t="s">
        <v>327</v>
      </c>
      <c r="G288" s="57" t="s">
        <v>154</v>
      </c>
      <c r="H288" s="68">
        <f t="shared" si="3"/>
        <v>0</v>
      </c>
      <c r="I288" s="62"/>
      <c r="J288" s="62" t="s">
        <v>617</v>
      </c>
      <c r="K288" s="71"/>
      <c r="L288" s="57" t="s">
        <v>115</v>
      </c>
      <c r="M288" s="61"/>
      <c r="N288" s="79"/>
      <c r="O288" s="62" t="s">
        <v>617</v>
      </c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  <c r="BE288" s="53"/>
      <c r="BF288" s="53"/>
      <c r="BG288" s="53"/>
      <c r="BH288" s="53"/>
      <c r="BI288" s="53"/>
      <c r="BJ288" s="53"/>
      <c r="BK288" s="53"/>
      <c r="BL288" s="53"/>
      <c r="BM288" s="53"/>
      <c r="BN288" s="53"/>
      <c r="BO288" s="102"/>
      <c r="BP288" s="30"/>
      <c r="BQ288" s="30">
        <v>2.0</v>
      </c>
      <c r="BR288" s="30">
        <f t="shared" si="4"/>
        <v>0</v>
      </c>
      <c r="BS288" s="70">
        <f t="shared" si="5"/>
        <v>0</v>
      </c>
      <c r="BT288" s="70">
        <v>1.0</v>
      </c>
    </row>
    <row r="289" ht="13.5" customHeight="1">
      <c r="A289" s="54" t="s">
        <v>289</v>
      </c>
      <c r="B289" s="56" t="s">
        <v>623</v>
      </c>
      <c r="C289" s="56" t="s">
        <v>624</v>
      </c>
      <c r="D289" s="56" t="s">
        <v>611</v>
      </c>
      <c r="E289" s="56" t="s">
        <v>612</v>
      </c>
      <c r="F289" s="56" t="s">
        <v>193</v>
      </c>
      <c r="G289" s="57" t="s">
        <v>34</v>
      </c>
      <c r="H289" s="68">
        <f t="shared" si="3"/>
        <v>0</v>
      </c>
      <c r="I289" s="62" t="s">
        <v>146</v>
      </c>
      <c r="J289" s="62"/>
      <c r="K289" s="71"/>
      <c r="L289" s="57" t="s">
        <v>130</v>
      </c>
      <c r="M289" s="61"/>
      <c r="N289" s="79"/>
      <c r="O289" s="62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30"/>
      <c r="BQ289" s="30">
        <v>1.0</v>
      </c>
      <c r="BR289" s="30">
        <f t="shared" si="4"/>
        <v>0</v>
      </c>
      <c r="BS289" s="70">
        <f t="shared" si="5"/>
        <v>0</v>
      </c>
      <c r="BT289" s="70">
        <v>1.0</v>
      </c>
    </row>
    <row r="290" ht="17.25" customHeight="1">
      <c r="A290" s="54" t="s">
        <v>289</v>
      </c>
      <c r="B290" s="56" t="s">
        <v>623</v>
      </c>
      <c r="C290" s="56" t="s">
        <v>624</v>
      </c>
      <c r="D290" s="56" t="s">
        <v>611</v>
      </c>
      <c r="E290" s="56" t="s">
        <v>613</v>
      </c>
      <c r="F290" s="56" t="s">
        <v>193</v>
      </c>
      <c r="G290" s="57" t="s">
        <v>34</v>
      </c>
      <c r="H290" s="68">
        <f t="shared" si="3"/>
        <v>0</v>
      </c>
      <c r="I290" s="62" t="s">
        <v>146</v>
      </c>
      <c r="J290" s="62"/>
      <c r="K290" s="71"/>
      <c r="L290" s="57" t="s">
        <v>130</v>
      </c>
      <c r="M290" s="61"/>
      <c r="N290" s="79"/>
      <c r="O290" s="62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  <c r="BE290" s="53"/>
      <c r="BF290" s="53"/>
      <c r="BG290" s="53"/>
      <c r="BH290" s="53"/>
      <c r="BI290" s="53"/>
      <c r="BJ290" s="53"/>
      <c r="BK290" s="53"/>
      <c r="BL290" s="53"/>
      <c r="BM290" s="53"/>
      <c r="BN290" s="53"/>
      <c r="BO290" s="53"/>
      <c r="BP290" s="30"/>
      <c r="BQ290" s="30">
        <v>1.0</v>
      </c>
      <c r="BR290" s="30">
        <f t="shared" si="4"/>
        <v>0</v>
      </c>
      <c r="BS290" s="70">
        <f t="shared" si="5"/>
        <v>0</v>
      </c>
      <c r="BT290" s="70">
        <v>1.0</v>
      </c>
    </row>
    <row r="291" ht="15.75" customHeight="1">
      <c r="A291" s="54" t="s">
        <v>289</v>
      </c>
      <c r="B291" s="56" t="s">
        <v>623</v>
      </c>
      <c r="C291" s="56" t="s">
        <v>624</v>
      </c>
      <c r="D291" s="56" t="s">
        <v>611</v>
      </c>
      <c r="E291" s="56" t="s">
        <v>614</v>
      </c>
      <c r="F291" s="56" t="s">
        <v>193</v>
      </c>
      <c r="G291" s="57" t="s">
        <v>34</v>
      </c>
      <c r="H291" s="68">
        <f t="shared" si="3"/>
        <v>0</v>
      </c>
      <c r="I291" s="62" t="s">
        <v>146</v>
      </c>
      <c r="J291" s="62"/>
      <c r="K291" s="71"/>
      <c r="L291" s="57" t="s">
        <v>115</v>
      </c>
      <c r="M291" s="61"/>
      <c r="N291" s="79"/>
      <c r="O291" s="62" t="s">
        <v>615</v>
      </c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  <c r="BE291" s="53"/>
      <c r="BF291" s="53"/>
      <c r="BG291" s="53"/>
      <c r="BH291" s="53"/>
      <c r="BI291" s="53"/>
      <c r="BJ291" s="53"/>
      <c r="BK291" s="53"/>
      <c r="BL291" s="53"/>
      <c r="BM291" s="53"/>
      <c r="BN291" s="53"/>
      <c r="BO291" s="53"/>
      <c r="BP291" s="30"/>
      <c r="BQ291" s="30">
        <v>1.0</v>
      </c>
      <c r="BR291" s="30">
        <f t="shared" si="4"/>
        <v>0</v>
      </c>
      <c r="BS291" s="70">
        <f t="shared" si="5"/>
        <v>0</v>
      </c>
      <c r="BT291" s="70">
        <v>1.0</v>
      </c>
    </row>
    <row r="292" ht="15.0" customHeight="1">
      <c r="A292" s="54" t="s">
        <v>289</v>
      </c>
      <c r="B292" s="56" t="s">
        <v>623</v>
      </c>
      <c r="C292" s="56" t="s">
        <v>624</v>
      </c>
      <c r="D292" s="56" t="s">
        <v>611</v>
      </c>
      <c r="E292" s="56" t="s">
        <v>616</v>
      </c>
      <c r="F292" s="56" t="s">
        <v>327</v>
      </c>
      <c r="G292" s="57" t="s">
        <v>154</v>
      </c>
      <c r="H292" s="68">
        <f t="shared" si="3"/>
        <v>0</v>
      </c>
      <c r="I292" s="62" t="s">
        <v>146</v>
      </c>
      <c r="J292" s="62" t="s">
        <v>617</v>
      </c>
      <c r="K292" s="71"/>
      <c r="L292" s="57" t="s">
        <v>115</v>
      </c>
      <c r="M292" s="61"/>
      <c r="N292" s="79"/>
      <c r="O292" s="62" t="s">
        <v>617</v>
      </c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  <c r="BE292" s="53"/>
      <c r="BF292" s="53"/>
      <c r="BG292" s="53"/>
      <c r="BH292" s="53"/>
      <c r="BI292" s="53"/>
      <c r="BJ292" s="53"/>
      <c r="BK292" s="53"/>
      <c r="BL292" s="53"/>
      <c r="BM292" s="53"/>
      <c r="BN292" s="53"/>
      <c r="BO292" s="102"/>
      <c r="BP292" s="30"/>
      <c r="BQ292" s="30">
        <v>2.0</v>
      </c>
      <c r="BR292" s="30">
        <f t="shared" si="4"/>
        <v>0</v>
      </c>
      <c r="BS292" s="70">
        <f t="shared" si="5"/>
        <v>0</v>
      </c>
      <c r="BT292" s="70">
        <v>1.0</v>
      </c>
    </row>
    <row r="293" ht="15.75" customHeight="1">
      <c r="A293" s="54" t="s">
        <v>289</v>
      </c>
      <c r="B293" s="56" t="s">
        <v>625</v>
      </c>
      <c r="C293" s="56" t="s">
        <v>624</v>
      </c>
      <c r="D293" s="56" t="s">
        <v>620</v>
      </c>
      <c r="E293" s="56" t="s">
        <v>196</v>
      </c>
      <c r="F293" s="56" t="s">
        <v>249</v>
      </c>
      <c r="G293" s="57" t="s">
        <v>250</v>
      </c>
      <c r="H293" s="68">
        <f t="shared" si="3"/>
        <v>0.25</v>
      </c>
      <c r="I293" s="62"/>
      <c r="J293" s="62" t="s">
        <v>288</v>
      </c>
      <c r="K293" s="71"/>
      <c r="L293" s="57" t="s">
        <v>115</v>
      </c>
      <c r="M293" s="61"/>
      <c r="N293" s="61" t="s">
        <v>495</v>
      </c>
      <c r="O293" s="62" t="s">
        <v>288</v>
      </c>
      <c r="P293" s="53"/>
      <c r="Q293" s="53"/>
      <c r="R293" s="53"/>
      <c r="S293" s="53" t="s">
        <v>326</v>
      </c>
      <c r="T293" s="53"/>
      <c r="U293" s="53"/>
      <c r="V293" s="53"/>
      <c r="W293" s="53"/>
      <c r="X293" s="53"/>
      <c r="Y293" s="87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87"/>
      <c r="AK293" s="53"/>
      <c r="AL293" s="53"/>
      <c r="AM293" s="53"/>
      <c r="AN293" s="53"/>
      <c r="AO293" s="53"/>
      <c r="AP293" s="87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87"/>
      <c r="BE293" s="53"/>
      <c r="BF293" s="53"/>
      <c r="BG293" s="53"/>
      <c r="BH293" s="53"/>
      <c r="BI293" s="53"/>
      <c r="BJ293" s="53"/>
      <c r="BK293" s="53"/>
      <c r="BL293" s="87"/>
      <c r="BM293" s="53"/>
      <c r="BN293" s="53"/>
      <c r="BO293" s="30"/>
      <c r="BP293" s="30"/>
      <c r="BQ293" s="30">
        <v>4.0</v>
      </c>
      <c r="BR293" s="30">
        <f t="shared" si="4"/>
        <v>1</v>
      </c>
      <c r="BS293" s="70">
        <f t="shared" si="5"/>
        <v>0</v>
      </c>
      <c r="BT293" s="70">
        <v>1.0</v>
      </c>
    </row>
    <row r="294" ht="15.75" customHeight="1">
      <c r="A294" s="54" t="s">
        <v>289</v>
      </c>
      <c r="B294" s="56" t="s">
        <v>625</v>
      </c>
      <c r="C294" s="56" t="s">
        <v>624</v>
      </c>
      <c r="D294" s="56" t="s">
        <v>620</v>
      </c>
      <c r="E294" s="56" t="s">
        <v>621</v>
      </c>
      <c r="F294" s="56" t="s">
        <v>321</v>
      </c>
      <c r="G294" s="57" t="s">
        <v>192</v>
      </c>
      <c r="H294" s="68">
        <f t="shared" si="3"/>
        <v>0</v>
      </c>
      <c r="I294" s="62"/>
      <c r="J294" s="62"/>
      <c r="K294" s="71"/>
      <c r="L294" s="57" t="s">
        <v>115</v>
      </c>
      <c r="M294" s="61"/>
      <c r="N294" s="79"/>
      <c r="O294" s="62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  <c r="BE294" s="53"/>
      <c r="BF294" s="53"/>
      <c r="BG294" s="53"/>
      <c r="BH294" s="53"/>
      <c r="BI294" s="53"/>
      <c r="BJ294" s="53"/>
      <c r="BK294" s="53"/>
      <c r="BL294" s="53"/>
      <c r="BM294" s="53"/>
      <c r="BN294" s="53"/>
      <c r="BO294" s="53"/>
      <c r="BP294" s="53"/>
      <c r="BQ294" s="30">
        <v>3.0</v>
      </c>
      <c r="BR294" s="30">
        <f t="shared" si="4"/>
        <v>0</v>
      </c>
      <c r="BS294" s="70">
        <f t="shared" si="5"/>
        <v>0</v>
      </c>
      <c r="BT294" s="70">
        <v>1.0</v>
      </c>
    </row>
    <row r="295" ht="15.75" customHeight="1">
      <c r="A295" s="54" t="s">
        <v>289</v>
      </c>
      <c r="B295" s="56" t="s">
        <v>625</v>
      </c>
      <c r="C295" s="56" t="s">
        <v>624</v>
      </c>
      <c r="D295" s="56" t="s">
        <v>620</v>
      </c>
      <c r="E295" s="56" t="s">
        <v>622</v>
      </c>
      <c r="F295" s="56" t="s">
        <v>327</v>
      </c>
      <c r="G295" s="57" t="s">
        <v>154</v>
      </c>
      <c r="H295" s="68">
        <f t="shared" si="3"/>
        <v>0</v>
      </c>
      <c r="I295" s="62"/>
      <c r="J295" s="62" t="s">
        <v>617</v>
      </c>
      <c r="K295" s="71"/>
      <c r="L295" s="57" t="s">
        <v>115</v>
      </c>
      <c r="M295" s="61"/>
      <c r="N295" s="79"/>
      <c r="O295" s="62" t="s">
        <v>617</v>
      </c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  <c r="BE295" s="53"/>
      <c r="BF295" s="53"/>
      <c r="BG295" s="53"/>
      <c r="BH295" s="53"/>
      <c r="BI295" s="53"/>
      <c r="BJ295" s="53"/>
      <c r="BK295" s="53"/>
      <c r="BL295" s="53"/>
      <c r="BM295" s="53"/>
      <c r="BN295" s="53"/>
      <c r="BO295" s="102"/>
      <c r="BP295" s="53"/>
      <c r="BQ295" s="30">
        <v>2.0</v>
      </c>
      <c r="BR295" s="30">
        <f t="shared" si="4"/>
        <v>0</v>
      </c>
      <c r="BS295" s="70">
        <f t="shared" si="5"/>
        <v>0</v>
      </c>
      <c r="BT295" s="70">
        <v>1.0</v>
      </c>
    </row>
    <row r="296" ht="15.75" customHeight="1">
      <c r="A296" s="54" t="s">
        <v>289</v>
      </c>
      <c r="B296" s="56" t="s">
        <v>626</v>
      </c>
      <c r="C296" s="56" t="s">
        <v>627</v>
      </c>
      <c r="D296" s="56" t="s">
        <v>611</v>
      </c>
      <c r="E296" s="56" t="s">
        <v>612</v>
      </c>
      <c r="F296" s="56" t="s">
        <v>193</v>
      </c>
      <c r="G296" s="57" t="s">
        <v>34</v>
      </c>
      <c r="H296" s="68">
        <f t="shared" si="3"/>
        <v>0</v>
      </c>
      <c r="I296" s="62" t="s">
        <v>146</v>
      </c>
      <c r="J296" s="62"/>
      <c r="K296" s="71"/>
      <c r="L296" s="57" t="s">
        <v>130</v>
      </c>
      <c r="M296" s="61"/>
      <c r="N296" s="79"/>
      <c r="O296" s="62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  <c r="BE296" s="53"/>
      <c r="BF296" s="53"/>
      <c r="BG296" s="53"/>
      <c r="BH296" s="53"/>
      <c r="BI296" s="53"/>
      <c r="BJ296" s="53"/>
      <c r="BK296" s="53"/>
      <c r="BL296" s="53"/>
      <c r="BM296" s="53"/>
      <c r="BN296" s="53"/>
      <c r="BO296" s="53"/>
      <c r="BP296" s="30"/>
      <c r="BQ296" s="30">
        <v>1.0</v>
      </c>
      <c r="BR296" s="30">
        <f t="shared" si="4"/>
        <v>0</v>
      </c>
      <c r="BS296" s="70">
        <f t="shared" si="5"/>
        <v>0</v>
      </c>
      <c r="BT296" s="70">
        <v>1.0</v>
      </c>
    </row>
    <row r="297" ht="15.75" customHeight="1">
      <c r="A297" s="54" t="s">
        <v>289</v>
      </c>
      <c r="B297" s="56" t="s">
        <v>626</v>
      </c>
      <c r="C297" s="56" t="s">
        <v>627</v>
      </c>
      <c r="D297" s="56" t="s">
        <v>611</v>
      </c>
      <c r="E297" s="56" t="s">
        <v>613</v>
      </c>
      <c r="F297" s="56" t="s">
        <v>193</v>
      </c>
      <c r="G297" s="57" t="s">
        <v>34</v>
      </c>
      <c r="H297" s="68">
        <f t="shared" si="3"/>
        <v>0</v>
      </c>
      <c r="I297" s="62" t="s">
        <v>146</v>
      </c>
      <c r="J297" s="62"/>
      <c r="K297" s="71"/>
      <c r="L297" s="57" t="s">
        <v>130</v>
      </c>
      <c r="M297" s="61"/>
      <c r="N297" s="79"/>
      <c r="O297" s="62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3"/>
      <c r="BN297" s="53"/>
      <c r="BO297" s="53"/>
      <c r="BP297" s="30"/>
      <c r="BQ297" s="30">
        <v>1.0</v>
      </c>
      <c r="BR297" s="30">
        <f t="shared" si="4"/>
        <v>0</v>
      </c>
      <c r="BS297" s="70">
        <f t="shared" si="5"/>
        <v>0</v>
      </c>
      <c r="BT297" s="70">
        <v>1.0</v>
      </c>
    </row>
    <row r="298" ht="15.75" customHeight="1">
      <c r="A298" s="54" t="s">
        <v>289</v>
      </c>
      <c r="B298" s="56" t="s">
        <v>626</v>
      </c>
      <c r="C298" s="56" t="s">
        <v>627</v>
      </c>
      <c r="D298" s="56" t="s">
        <v>611</v>
      </c>
      <c r="E298" s="56" t="s">
        <v>614</v>
      </c>
      <c r="F298" s="56" t="s">
        <v>193</v>
      </c>
      <c r="G298" s="57" t="s">
        <v>34</v>
      </c>
      <c r="H298" s="68">
        <f t="shared" si="3"/>
        <v>0</v>
      </c>
      <c r="I298" s="62" t="s">
        <v>146</v>
      </c>
      <c r="J298" s="62"/>
      <c r="K298" s="71"/>
      <c r="L298" s="57" t="s">
        <v>115</v>
      </c>
      <c r="M298" s="61"/>
      <c r="N298" s="79"/>
      <c r="O298" s="62" t="s">
        <v>615</v>
      </c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  <c r="BE298" s="53"/>
      <c r="BF298" s="53"/>
      <c r="BG298" s="53"/>
      <c r="BH298" s="53"/>
      <c r="BI298" s="53"/>
      <c r="BJ298" s="53"/>
      <c r="BK298" s="53"/>
      <c r="BL298" s="53"/>
      <c r="BM298" s="53"/>
      <c r="BN298" s="53"/>
      <c r="BO298" s="53"/>
      <c r="BP298" s="30"/>
      <c r="BQ298" s="30">
        <v>1.0</v>
      </c>
      <c r="BR298" s="30">
        <f t="shared" si="4"/>
        <v>0</v>
      </c>
      <c r="BS298" s="70">
        <f t="shared" si="5"/>
        <v>0</v>
      </c>
      <c r="BT298" s="70">
        <v>1.0</v>
      </c>
    </row>
    <row r="299" ht="15.75" customHeight="1">
      <c r="A299" s="54" t="s">
        <v>289</v>
      </c>
      <c r="B299" s="56" t="s">
        <v>626</v>
      </c>
      <c r="C299" s="56" t="s">
        <v>627</v>
      </c>
      <c r="D299" s="56" t="s">
        <v>611</v>
      </c>
      <c r="E299" s="56" t="s">
        <v>616</v>
      </c>
      <c r="F299" s="56" t="s">
        <v>327</v>
      </c>
      <c r="G299" s="57" t="s">
        <v>154</v>
      </c>
      <c r="H299" s="68">
        <f t="shared" si="3"/>
        <v>0</v>
      </c>
      <c r="I299" s="62" t="s">
        <v>146</v>
      </c>
      <c r="J299" s="62" t="s">
        <v>617</v>
      </c>
      <c r="K299" s="71"/>
      <c r="L299" s="57" t="s">
        <v>115</v>
      </c>
      <c r="M299" s="61"/>
      <c r="N299" s="79"/>
      <c r="O299" s="62" t="s">
        <v>617</v>
      </c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  <c r="BE299" s="53"/>
      <c r="BF299" s="53"/>
      <c r="BG299" s="53"/>
      <c r="BH299" s="53"/>
      <c r="BI299" s="53"/>
      <c r="BJ299" s="53"/>
      <c r="BK299" s="53"/>
      <c r="BL299" s="53"/>
      <c r="BM299" s="53"/>
      <c r="BN299" s="53"/>
      <c r="BO299" s="53"/>
      <c r="BP299" s="30"/>
      <c r="BQ299" s="30">
        <v>2.0</v>
      </c>
      <c r="BR299" s="30">
        <f t="shared" si="4"/>
        <v>0</v>
      </c>
      <c r="BS299" s="70">
        <f t="shared" si="5"/>
        <v>0</v>
      </c>
      <c r="BT299" s="70">
        <v>1.0</v>
      </c>
    </row>
    <row r="300" ht="15.75" customHeight="1">
      <c r="A300" s="54" t="s">
        <v>289</v>
      </c>
      <c r="B300" s="56" t="s">
        <v>626</v>
      </c>
      <c r="C300" s="56" t="s">
        <v>627</v>
      </c>
      <c r="D300" s="56" t="s">
        <v>611</v>
      </c>
      <c r="E300" s="56" t="s">
        <v>618</v>
      </c>
      <c r="F300" s="56" t="s">
        <v>327</v>
      </c>
      <c r="G300" s="57" t="s">
        <v>154</v>
      </c>
      <c r="H300" s="68">
        <f t="shared" si="3"/>
        <v>0</v>
      </c>
      <c r="I300" s="62" t="s">
        <v>146</v>
      </c>
      <c r="J300" s="62" t="s">
        <v>617</v>
      </c>
      <c r="K300" s="71"/>
      <c r="L300" s="57" t="s">
        <v>115</v>
      </c>
      <c r="M300" s="61"/>
      <c r="N300" s="79"/>
      <c r="O300" s="62" t="s">
        <v>617</v>
      </c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102"/>
      <c r="BP300" s="30"/>
      <c r="BQ300" s="30">
        <v>2.0</v>
      </c>
      <c r="BR300" s="30">
        <f t="shared" si="4"/>
        <v>0</v>
      </c>
      <c r="BS300" s="70">
        <f t="shared" si="5"/>
        <v>0</v>
      </c>
      <c r="BT300" s="70">
        <v>1.0</v>
      </c>
    </row>
    <row r="301" ht="15.75" customHeight="1">
      <c r="A301" s="54" t="s">
        <v>289</v>
      </c>
      <c r="B301" s="56" t="s">
        <v>628</v>
      </c>
      <c r="C301" s="56" t="s">
        <v>627</v>
      </c>
      <c r="D301" s="56" t="s">
        <v>620</v>
      </c>
      <c r="E301" s="56" t="s">
        <v>196</v>
      </c>
      <c r="F301" s="56" t="s">
        <v>249</v>
      </c>
      <c r="G301" s="57" t="s">
        <v>250</v>
      </c>
      <c r="H301" s="68">
        <f t="shared" si="3"/>
        <v>0.25</v>
      </c>
      <c r="I301" s="62"/>
      <c r="J301" s="62" t="s">
        <v>288</v>
      </c>
      <c r="K301" s="71"/>
      <c r="L301" s="57" t="s">
        <v>115</v>
      </c>
      <c r="M301" s="61"/>
      <c r="N301" s="61" t="s">
        <v>495</v>
      </c>
      <c r="O301" s="62" t="s">
        <v>288</v>
      </c>
      <c r="P301" s="53"/>
      <c r="Q301" s="53"/>
      <c r="R301" s="53"/>
      <c r="S301" s="53" t="s">
        <v>326</v>
      </c>
      <c r="T301" s="53"/>
      <c r="U301" s="53"/>
      <c r="V301" s="53"/>
      <c r="W301" s="53"/>
      <c r="X301" s="53"/>
      <c r="Y301" s="87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87"/>
      <c r="AK301" s="53"/>
      <c r="AL301" s="53"/>
      <c r="AM301" s="53"/>
      <c r="AN301" s="53"/>
      <c r="AO301" s="53"/>
      <c r="AP301" s="87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87"/>
      <c r="BE301" s="53"/>
      <c r="BF301" s="53"/>
      <c r="BG301" s="53"/>
      <c r="BH301" s="53"/>
      <c r="BI301" s="53"/>
      <c r="BJ301" s="53"/>
      <c r="BK301" s="53"/>
      <c r="BL301" s="87"/>
      <c r="BM301" s="53"/>
      <c r="BN301" s="53"/>
      <c r="BO301" s="30"/>
      <c r="BP301" s="30"/>
      <c r="BQ301" s="30">
        <v>4.0</v>
      </c>
      <c r="BR301" s="30">
        <f t="shared" si="4"/>
        <v>1</v>
      </c>
      <c r="BS301" s="70">
        <f t="shared" si="5"/>
        <v>0</v>
      </c>
      <c r="BT301" s="70">
        <v>1.0</v>
      </c>
    </row>
    <row r="302" ht="15.75" customHeight="1">
      <c r="A302" s="54" t="s">
        <v>289</v>
      </c>
      <c r="B302" s="56" t="s">
        <v>628</v>
      </c>
      <c r="C302" s="56" t="s">
        <v>627</v>
      </c>
      <c r="D302" s="56" t="s">
        <v>620</v>
      </c>
      <c r="E302" s="56" t="s">
        <v>621</v>
      </c>
      <c r="F302" s="56" t="s">
        <v>321</v>
      </c>
      <c r="G302" s="57" t="s">
        <v>192</v>
      </c>
      <c r="H302" s="68">
        <f t="shared" si="3"/>
        <v>0</v>
      </c>
      <c r="I302" s="62"/>
      <c r="J302" s="62"/>
      <c r="K302" s="71"/>
      <c r="L302" s="57" t="s">
        <v>115</v>
      </c>
      <c r="M302" s="61"/>
      <c r="N302" s="79"/>
      <c r="O302" s="62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  <c r="BE302" s="53"/>
      <c r="BF302" s="53"/>
      <c r="BG302" s="53"/>
      <c r="BH302" s="53"/>
      <c r="BI302" s="53"/>
      <c r="BJ302" s="53"/>
      <c r="BK302" s="53"/>
      <c r="BL302" s="53"/>
      <c r="BM302" s="53"/>
      <c r="BN302" s="53"/>
      <c r="BO302" s="53"/>
      <c r="BP302" s="53"/>
      <c r="BQ302" s="30">
        <v>3.0</v>
      </c>
      <c r="BR302" s="30">
        <f t="shared" si="4"/>
        <v>0</v>
      </c>
      <c r="BS302" s="70">
        <f t="shared" si="5"/>
        <v>0</v>
      </c>
      <c r="BT302" s="70">
        <v>1.0</v>
      </c>
    </row>
    <row r="303" ht="15.75" customHeight="1">
      <c r="A303" s="54" t="s">
        <v>289</v>
      </c>
      <c r="B303" s="56" t="s">
        <v>628</v>
      </c>
      <c r="C303" s="56" t="s">
        <v>627</v>
      </c>
      <c r="D303" s="56" t="s">
        <v>620</v>
      </c>
      <c r="E303" s="56" t="s">
        <v>622</v>
      </c>
      <c r="F303" s="56" t="s">
        <v>327</v>
      </c>
      <c r="G303" s="57" t="s">
        <v>154</v>
      </c>
      <c r="H303" s="68">
        <f t="shared" si="3"/>
        <v>0</v>
      </c>
      <c r="I303" s="62"/>
      <c r="J303" s="62" t="s">
        <v>617</v>
      </c>
      <c r="K303" s="71"/>
      <c r="L303" s="57" t="s">
        <v>115</v>
      </c>
      <c r="M303" s="61"/>
      <c r="N303" s="79"/>
      <c r="O303" s="62" t="s">
        <v>617</v>
      </c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  <c r="BE303" s="53"/>
      <c r="BF303" s="53"/>
      <c r="BG303" s="53"/>
      <c r="BH303" s="53"/>
      <c r="BI303" s="53"/>
      <c r="BJ303" s="53"/>
      <c r="BK303" s="53"/>
      <c r="BL303" s="53"/>
      <c r="BM303" s="53"/>
      <c r="BN303" s="53"/>
      <c r="BO303" s="102"/>
      <c r="BP303" s="53"/>
      <c r="BQ303" s="30">
        <v>2.0</v>
      </c>
      <c r="BR303" s="30">
        <f t="shared" si="4"/>
        <v>0</v>
      </c>
      <c r="BS303" s="70">
        <f t="shared" si="5"/>
        <v>0</v>
      </c>
      <c r="BT303" s="70">
        <v>1.0</v>
      </c>
    </row>
    <row r="304" ht="15.75" customHeight="1">
      <c r="A304" s="54" t="s">
        <v>289</v>
      </c>
      <c r="B304" s="56" t="s">
        <v>629</v>
      </c>
      <c r="C304" s="56" t="s">
        <v>627</v>
      </c>
      <c r="D304" s="56" t="s">
        <v>631</v>
      </c>
      <c r="E304" s="56" t="s">
        <v>191</v>
      </c>
      <c r="F304" s="56" t="s">
        <v>313</v>
      </c>
      <c r="G304" s="57" t="s">
        <v>192</v>
      </c>
      <c r="H304" s="68">
        <f t="shared" si="3"/>
        <v>0</v>
      </c>
      <c r="I304" s="62"/>
      <c r="J304" s="62"/>
      <c r="K304" s="71"/>
      <c r="L304" s="57" t="s">
        <v>115</v>
      </c>
      <c r="M304" s="61"/>
      <c r="N304" s="79"/>
      <c r="O304" s="62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  <c r="BE304" s="53"/>
      <c r="BF304" s="53"/>
      <c r="BG304" s="53"/>
      <c r="BH304" s="53"/>
      <c r="BI304" s="53"/>
      <c r="BJ304" s="53"/>
      <c r="BK304" s="53"/>
      <c r="BL304" s="53"/>
      <c r="BM304" s="53"/>
      <c r="BN304" s="53"/>
      <c r="BO304" s="53"/>
      <c r="BP304" s="53"/>
      <c r="BQ304" s="30">
        <v>3.0</v>
      </c>
      <c r="BR304" s="30">
        <f t="shared" si="4"/>
        <v>0</v>
      </c>
      <c r="BS304" s="70">
        <f t="shared" si="5"/>
        <v>0</v>
      </c>
      <c r="BT304" s="70">
        <v>1.0</v>
      </c>
    </row>
    <row r="305" ht="15.75" customHeight="1">
      <c r="A305" s="54" t="s">
        <v>289</v>
      </c>
      <c r="B305" s="56" t="s">
        <v>629</v>
      </c>
      <c r="C305" s="56" t="s">
        <v>627</v>
      </c>
      <c r="D305" s="56" t="s">
        <v>631</v>
      </c>
      <c r="E305" s="56" t="s">
        <v>632</v>
      </c>
      <c r="F305" s="56" t="s">
        <v>246</v>
      </c>
      <c r="G305" s="57" t="s">
        <v>154</v>
      </c>
      <c r="H305" s="68">
        <f t="shared" si="3"/>
        <v>0.5</v>
      </c>
      <c r="I305" s="62"/>
      <c r="J305" s="62"/>
      <c r="K305" s="71"/>
      <c r="L305" s="57" t="s">
        <v>115</v>
      </c>
      <c r="M305" s="61"/>
      <c r="N305" s="61" t="s">
        <v>322</v>
      </c>
      <c r="O305" s="62"/>
      <c r="P305" s="53"/>
      <c r="Q305" s="53"/>
      <c r="R305" s="53" t="s">
        <v>323</v>
      </c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  <c r="BE305" s="53"/>
      <c r="BF305" s="53"/>
      <c r="BG305" s="53"/>
      <c r="BH305" s="53"/>
      <c r="BI305" s="53"/>
      <c r="BJ305" s="53"/>
      <c r="BK305" s="53"/>
      <c r="BL305" s="53"/>
      <c r="BM305" s="53"/>
      <c r="BN305" s="53"/>
      <c r="BO305" s="30"/>
      <c r="BP305" s="30"/>
      <c r="BQ305" s="30">
        <v>2.0</v>
      </c>
      <c r="BR305" s="30">
        <f t="shared" si="4"/>
        <v>1</v>
      </c>
      <c r="BS305" s="70">
        <f t="shared" si="5"/>
        <v>0</v>
      </c>
      <c r="BT305" s="70">
        <v>1.0</v>
      </c>
    </row>
    <row r="306" ht="15.75" customHeight="1">
      <c r="A306" s="54" t="s">
        <v>289</v>
      </c>
      <c r="B306" s="56" t="s">
        <v>629</v>
      </c>
      <c r="C306" s="56" t="s">
        <v>627</v>
      </c>
      <c r="D306" s="56" t="s">
        <v>631</v>
      </c>
      <c r="E306" s="56" t="s">
        <v>633</v>
      </c>
      <c r="F306" s="56" t="s">
        <v>246</v>
      </c>
      <c r="G306" s="57" t="s">
        <v>154</v>
      </c>
      <c r="H306" s="68">
        <f t="shared" si="3"/>
        <v>0</v>
      </c>
      <c r="I306" s="62"/>
      <c r="J306" s="62"/>
      <c r="K306" s="71"/>
      <c r="L306" s="57" t="s">
        <v>115</v>
      </c>
      <c r="M306" s="61"/>
      <c r="N306" s="79"/>
      <c r="O306" s="62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  <c r="BE306" s="53"/>
      <c r="BF306" s="53"/>
      <c r="BG306" s="53"/>
      <c r="BH306" s="53"/>
      <c r="BI306" s="53"/>
      <c r="BJ306" s="53"/>
      <c r="BK306" s="53"/>
      <c r="BL306" s="53"/>
      <c r="BM306" s="53"/>
      <c r="BN306" s="53"/>
      <c r="BO306" s="53"/>
      <c r="BP306" s="53"/>
      <c r="BQ306" s="30">
        <v>2.0</v>
      </c>
      <c r="BR306" s="30">
        <f t="shared" si="4"/>
        <v>0</v>
      </c>
      <c r="BS306" s="70">
        <f t="shared" si="5"/>
        <v>0</v>
      </c>
      <c r="BT306" s="70">
        <v>1.0</v>
      </c>
    </row>
    <row r="307" ht="15.75" customHeight="1">
      <c r="A307" s="54" t="s">
        <v>289</v>
      </c>
      <c r="B307" s="56" t="s">
        <v>629</v>
      </c>
      <c r="C307" s="56" t="s">
        <v>627</v>
      </c>
      <c r="D307" s="56" t="s">
        <v>631</v>
      </c>
      <c r="E307" s="56" t="s">
        <v>196</v>
      </c>
      <c r="F307" s="56" t="s">
        <v>249</v>
      </c>
      <c r="G307" s="57" t="s">
        <v>250</v>
      </c>
      <c r="H307" s="68">
        <f t="shared" si="3"/>
        <v>0.25</v>
      </c>
      <c r="I307" s="62"/>
      <c r="J307" s="62" t="s">
        <v>201</v>
      </c>
      <c r="K307" s="71"/>
      <c r="L307" s="57" t="s">
        <v>115</v>
      </c>
      <c r="M307" s="61"/>
      <c r="N307" s="61" t="s">
        <v>324</v>
      </c>
      <c r="O307" s="62" t="s">
        <v>201</v>
      </c>
      <c r="P307" s="53"/>
      <c r="Q307" s="53"/>
      <c r="R307" s="53"/>
      <c r="S307" s="53" t="s">
        <v>326</v>
      </c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  <c r="BE307" s="53"/>
      <c r="BF307" s="53"/>
      <c r="BG307" s="53"/>
      <c r="BH307" s="53"/>
      <c r="BI307" s="53"/>
      <c r="BJ307" s="53"/>
      <c r="BK307" s="53"/>
      <c r="BL307" s="53"/>
      <c r="BM307" s="53"/>
      <c r="BN307" s="53"/>
      <c r="BO307" s="30"/>
      <c r="BP307" s="30"/>
      <c r="BQ307" s="30">
        <v>4.0</v>
      </c>
      <c r="BR307" s="30">
        <f t="shared" si="4"/>
        <v>1</v>
      </c>
      <c r="BS307" s="70">
        <f t="shared" si="5"/>
        <v>0</v>
      </c>
      <c r="BT307" s="70">
        <v>1.0</v>
      </c>
    </row>
    <row r="308" ht="15.75" customHeight="1">
      <c r="A308" s="54" t="s">
        <v>289</v>
      </c>
      <c r="B308" s="56" t="s">
        <v>635</v>
      </c>
      <c r="C308" s="56" t="s">
        <v>627</v>
      </c>
      <c r="D308" s="56" t="s">
        <v>636</v>
      </c>
      <c r="E308" s="56" t="s">
        <v>191</v>
      </c>
      <c r="F308" s="56" t="s">
        <v>313</v>
      </c>
      <c r="G308" s="57" t="s">
        <v>192</v>
      </c>
      <c r="H308" s="68">
        <f t="shared" si="3"/>
        <v>0</v>
      </c>
      <c r="I308" s="62"/>
      <c r="J308" s="62"/>
      <c r="K308" s="71"/>
      <c r="L308" s="57" t="s">
        <v>115</v>
      </c>
      <c r="M308" s="61"/>
      <c r="N308" s="79"/>
      <c r="O308" s="62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  <c r="BE308" s="53"/>
      <c r="BF308" s="53"/>
      <c r="BG308" s="53"/>
      <c r="BH308" s="53"/>
      <c r="BI308" s="53"/>
      <c r="BJ308" s="53"/>
      <c r="BK308" s="53"/>
      <c r="BL308" s="53"/>
      <c r="BM308" s="53"/>
      <c r="BN308" s="53"/>
      <c r="BO308" s="53"/>
      <c r="BP308" s="53"/>
      <c r="BQ308" s="30">
        <v>3.0</v>
      </c>
      <c r="BR308" s="30">
        <f t="shared" si="4"/>
        <v>0</v>
      </c>
      <c r="BS308" s="70">
        <f t="shared" si="5"/>
        <v>0</v>
      </c>
      <c r="BT308" s="70">
        <v>1.0</v>
      </c>
    </row>
    <row r="309" ht="15.75" customHeight="1">
      <c r="A309" s="54" t="s">
        <v>289</v>
      </c>
      <c r="B309" s="56" t="s">
        <v>635</v>
      </c>
      <c r="C309" s="56" t="s">
        <v>627</v>
      </c>
      <c r="D309" s="56" t="s">
        <v>636</v>
      </c>
      <c r="E309" s="56" t="s">
        <v>632</v>
      </c>
      <c r="F309" s="56" t="s">
        <v>246</v>
      </c>
      <c r="G309" s="57" t="s">
        <v>154</v>
      </c>
      <c r="H309" s="68">
        <f t="shared" si="3"/>
        <v>0.5</v>
      </c>
      <c r="I309" s="62"/>
      <c r="J309" s="62"/>
      <c r="K309" s="71"/>
      <c r="L309" s="57" t="s">
        <v>115</v>
      </c>
      <c r="M309" s="61"/>
      <c r="N309" s="61" t="s">
        <v>322</v>
      </c>
      <c r="O309" s="62"/>
      <c r="P309" s="53"/>
      <c r="Q309" s="53"/>
      <c r="R309" s="53" t="s">
        <v>323</v>
      </c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  <c r="BE309" s="53"/>
      <c r="BF309" s="53"/>
      <c r="BG309" s="53"/>
      <c r="BH309" s="53"/>
      <c r="BI309" s="53"/>
      <c r="BJ309" s="53"/>
      <c r="BK309" s="53"/>
      <c r="BL309" s="53"/>
      <c r="BM309" s="53"/>
      <c r="BN309" s="53"/>
      <c r="BO309" s="30"/>
      <c r="BP309" s="30"/>
      <c r="BQ309" s="30">
        <v>2.0</v>
      </c>
      <c r="BR309" s="30">
        <f t="shared" si="4"/>
        <v>1</v>
      </c>
      <c r="BS309" s="70">
        <f t="shared" si="5"/>
        <v>0</v>
      </c>
      <c r="BT309" s="70">
        <v>1.0</v>
      </c>
    </row>
    <row r="310" ht="15.75" customHeight="1">
      <c r="A310" s="54" t="s">
        <v>289</v>
      </c>
      <c r="B310" s="56" t="s">
        <v>635</v>
      </c>
      <c r="C310" s="56" t="s">
        <v>627</v>
      </c>
      <c r="D310" s="56" t="s">
        <v>636</v>
      </c>
      <c r="E310" s="56" t="s">
        <v>633</v>
      </c>
      <c r="F310" s="56" t="s">
        <v>246</v>
      </c>
      <c r="G310" s="57" t="s">
        <v>154</v>
      </c>
      <c r="H310" s="68">
        <f t="shared" si="3"/>
        <v>0</v>
      </c>
      <c r="I310" s="62"/>
      <c r="J310" s="62"/>
      <c r="K310" s="71"/>
      <c r="L310" s="57" t="s">
        <v>115</v>
      </c>
      <c r="M310" s="61"/>
      <c r="N310" s="79"/>
      <c r="O310" s="62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  <c r="BE310" s="53"/>
      <c r="BF310" s="53"/>
      <c r="BG310" s="53"/>
      <c r="BH310" s="53"/>
      <c r="BI310" s="53"/>
      <c r="BJ310" s="53"/>
      <c r="BK310" s="53"/>
      <c r="BL310" s="53"/>
      <c r="BM310" s="53"/>
      <c r="BN310" s="53"/>
      <c r="BO310" s="53"/>
      <c r="BP310" s="53"/>
      <c r="BQ310" s="30">
        <v>2.0</v>
      </c>
      <c r="BR310" s="30">
        <f t="shared" si="4"/>
        <v>0</v>
      </c>
      <c r="BS310" s="70">
        <f t="shared" si="5"/>
        <v>0</v>
      </c>
      <c r="BT310" s="70">
        <v>1.0</v>
      </c>
    </row>
    <row r="311" ht="15.75" customHeight="1">
      <c r="A311" s="54" t="s">
        <v>289</v>
      </c>
      <c r="B311" s="56" t="s">
        <v>635</v>
      </c>
      <c r="C311" s="56" t="s">
        <v>627</v>
      </c>
      <c r="D311" s="56" t="s">
        <v>636</v>
      </c>
      <c r="E311" s="56" t="s">
        <v>196</v>
      </c>
      <c r="F311" s="56" t="s">
        <v>249</v>
      </c>
      <c r="G311" s="57" t="s">
        <v>250</v>
      </c>
      <c r="H311" s="68">
        <f t="shared" si="3"/>
        <v>0.25</v>
      </c>
      <c r="I311" s="62"/>
      <c r="J311" s="62" t="s">
        <v>201</v>
      </c>
      <c r="K311" s="71"/>
      <c r="L311" s="57" t="s">
        <v>115</v>
      </c>
      <c r="M311" s="61"/>
      <c r="N311" s="61" t="s">
        <v>324</v>
      </c>
      <c r="O311" s="62" t="s">
        <v>201</v>
      </c>
      <c r="P311" s="53"/>
      <c r="Q311" s="53"/>
      <c r="R311" s="53"/>
      <c r="S311" s="53" t="s">
        <v>326</v>
      </c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  <c r="BE311" s="53"/>
      <c r="BF311" s="53"/>
      <c r="BG311" s="53"/>
      <c r="BH311" s="53"/>
      <c r="BI311" s="53"/>
      <c r="BJ311" s="53"/>
      <c r="BK311" s="53"/>
      <c r="BL311" s="53"/>
      <c r="BM311" s="53"/>
      <c r="BN311" s="53"/>
      <c r="BO311" s="30"/>
      <c r="BP311" s="101"/>
      <c r="BQ311" s="30">
        <v>4.0</v>
      </c>
      <c r="BR311" s="30">
        <f t="shared" si="4"/>
        <v>1</v>
      </c>
      <c r="BS311" s="70">
        <f t="shared" si="5"/>
        <v>0</v>
      </c>
      <c r="BT311" s="70">
        <v>1.0</v>
      </c>
    </row>
    <row r="312" ht="15.75" customHeight="1">
      <c r="A312" s="54" t="s">
        <v>289</v>
      </c>
      <c r="B312" s="56" t="s">
        <v>639</v>
      </c>
      <c r="C312" s="56" t="s">
        <v>640</v>
      </c>
      <c r="D312" s="56" t="s">
        <v>611</v>
      </c>
      <c r="E312" s="56" t="s">
        <v>612</v>
      </c>
      <c r="F312" s="56" t="s">
        <v>193</v>
      </c>
      <c r="G312" s="57" t="s">
        <v>34</v>
      </c>
      <c r="H312" s="68">
        <f t="shared" si="3"/>
        <v>0</v>
      </c>
      <c r="I312" s="62" t="s">
        <v>146</v>
      </c>
      <c r="J312" s="62"/>
      <c r="K312" s="71"/>
      <c r="L312" s="57" t="s">
        <v>130</v>
      </c>
      <c r="M312" s="61"/>
      <c r="N312" s="79"/>
      <c r="O312" s="62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  <c r="BE312" s="53"/>
      <c r="BF312" s="53"/>
      <c r="BG312" s="53"/>
      <c r="BH312" s="53"/>
      <c r="BI312" s="53"/>
      <c r="BJ312" s="53"/>
      <c r="BK312" s="53"/>
      <c r="BL312" s="53"/>
      <c r="BM312" s="53"/>
      <c r="BN312" s="53"/>
      <c r="BO312" s="53"/>
      <c r="BP312" s="30"/>
      <c r="BQ312" s="30">
        <v>1.0</v>
      </c>
      <c r="BR312" s="30">
        <f t="shared" si="4"/>
        <v>0</v>
      </c>
      <c r="BS312" s="70">
        <f t="shared" si="5"/>
        <v>0</v>
      </c>
      <c r="BT312" s="70">
        <v>1.0</v>
      </c>
    </row>
    <row r="313" ht="15.75" customHeight="1">
      <c r="A313" s="54" t="s">
        <v>289</v>
      </c>
      <c r="B313" s="56" t="s">
        <v>639</v>
      </c>
      <c r="C313" s="56" t="s">
        <v>640</v>
      </c>
      <c r="D313" s="56" t="s">
        <v>611</v>
      </c>
      <c r="E313" s="56" t="s">
        <v>613</v>
      </c>
      <c r="F313" s="56" t="s">
        <v>193</v>
      </c>
      <c r="G313" s="57" t="s">
        <v>34</v>
      </c>
      <c r="H313" s="68">
        <f t="shared" si="3"/>
        <v>0</v>
      </c>
      <c r="I313" s="62" t="s">
        <v>146</v>
      </c>
      <c r="J313" s="62"/>
      <c r="K313" s="71"/>
      <c r="L313" s="57" t="s">
        <v>130</v>
      </c>
      <c r="M313" s="61"/>
      <c r="N313" s="79"/>
      <c r="O313" s="62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  <c r="BE313" s="53"/>
      <c r="BF313" s="53"/>
      <c r="BG313" s="53"/>
      <c r="BH313" s="53"/>
      <c r="BI313" s="53"/>
      <c r="BJ313" s="53"/>
      <c r="BK313" s="53"/>
      <c r="BL313" s="53"/>
      <c r="BM313" s="53"/>
      <c r="BN313" s="53"/>
      <c r="BO313" s="53"/>
      <c r="BP313" s="30"/>
      <c r="BQ313" s="30">
        <v>1.0</v>
      </c>
      <c r="BR313" s="30">
        <f t="shared" si="4"/>
        <v>0</v>
      </c>
      <c r="BS313" s="70">
        <f t="shared" si="5"/>
        <v>0</v>
      </c>
      <c r="BT313" s="70">
        <v>1.0</v>
      </c>
    </row>
    <row r="314" ht="15.75" customHeight="1">
      <c r="A314" s="54" t="s">
        <v>289</v>
      </c>
      <c r="B314" s="56" t="s">
        <v>639</v>
      </c>
      <c r="C314" s="56" t="s">
        <v>640</v>
      </c>
      <c r="D314" s="56" t="s">
        <v>611</v>
      </c>
      <c r="E314" s="56" t="s">
        <v>614</v>
      </c>
      <c r="F314" s="56" t="s">
        <v>193</v>
      </c>
      <c r="G314" s="57" t="s">
        <v>34</v>
      </c>
      <c r="H314" s="68">
        <f t="shared" si="3"/>
        <v>0</v>
      </c>
      <c r="I314" s="62" t="s">
        <v>146</v>
      </c>
      <c r="J314" s="62"/>
      <c r="K314" s="71"/>
      <c r="L314" s="57" t="s">
        <v>115</v>
      </c>
      <c r="M314" s="61"/>
      <c r="N314" s="79"/>
      <c r="O314" s="62" t="s">
        <v>615</v>
      </c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  <c r="BE314" s="53"/>
      <c r="BF314" s="53"/>
      <c r="BG314" s="53"/>
      <c r="BH314" s="53"/>
      <c r="BI314" s="53"/>
      <c r="BJ314" s="53"/>
      <c r="BK314" s="53"/>
      <c r="BL314" s="53"/>
      <c r="BM314" s="53"/>
      <c r="BN314" s="53"/>
      <c r="BO314" s="53"/>
      <c r="BP314" s="30"/>
      <c r="BQ314" s="30">
        <v>1.0</v>
      </c>
      <c r="BR314" s="30">
        <f t="shared" si="4"/>
        <v>0</v>
      </c>
      <c r="BS314" s="70">
        <f t="shared" si="5"/>
        <v>0</v>
      </c>
      <c r="BT314" s="70">
        <v>1.0</v>
      </c>
    </row>
    <row r="315" ht="15.75" customHeight="1">
      <c r="A315" s="54" t="s">
        <v>289</v>
      </c>
      <c r="B315" s="56" t="s">
        <v>639</v>
      </c>
      <c r="C315" s="56" t="s">
        <v>640</v>
      </c>
      <c r="D315" s="56" t="s">
        <v>611</v>
      </c>
      <c r="E315" s="56" t="s">
        <v>616</v>
      </c>
      <c r="F315" s="56" t="s">
        <v>327</v>
      </c>
      <c r="G315" s="57" t="s">
        <v>154</v>
      </c>
      <c r="H315" s="68">
        <f t="shared" si="3"/>
        <v>0</v>
      </c>
      <c r="I315" s="62" t="s">
        <v>146</v>
      </c>
      <c r="J315" s="62" t="s">
        <v>617</v>
      </c>
      <c r="K315" s="71"/>
      <c r="L315" s="57" t="s">
        <v>115</v>
      </c>
      <c r="M315" s="61"/>
      <c r="N315" s="79"/>
      <c r="O315" s="62" t="s">
        <v>617</v>
      </c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  <c r="BE315" s="53"/>
      <c r="BF315" s="53"/>
      <c r="BG315" s="53"/>
      <c r="BH315" s="53"/>
      <c r="BI315" s="53"/>
      <c r="BJ315" s="53"/>
      <c r="BK315" s="53"/>
      <c r="BL315" s="53"/>
      <c r="BM315" s="53"/>
      <c r="BN315" s="53"/>
      <c r="BO315" s="102"/>
      <c r="BP315" s="30"/>
      <c r="BQ315" s="30">
        <v>2.0</v>
      </c>
      <c r="BR315" s="30">
        <f t="shared" si="4"/>
        <v>0</v>
      </c>
      <c r="BS315" s="70">
        <f t="shared" si="5"/>
        <v>0</v>
      </c>
      <c r="BT315" s="70">
        <v>1.0</v>
      </c>
    </row>
    <row r="316" ht="15.75" customHeight="1">
      <c r="A316" s="54" t="s">
        <v>289</v>
      </c>
      <c r="B316" s="56" t="s">
        <v>639</v>
      </c>
      <c r="C316" s="56" t="s">
        <v>640</v>
      </c>
      <c r="D316" s="56" t="s">
        <v>611</v>
      </c>
      <c r="E316" s="56" t="s">
        <v>618</v>
      </c>
      <c r="F316" s="56" t="s">
        <v>327</v>
      </c>
      <c r="G316" s="57" t="s">
        <v>154</v>
      </c>
      <c r="H316" s="68">
        <f t="shared" si="3"/>
        <v>0</v>
      </c>
      <c r="I316" s="62" t="s">
        <v>146</v>
      </c>
      <c r="J316" s="62" t="s">
        <v>617</v>
      </c>
      <c r="K316" s="71"/>
      <c r="L316" s="57" t="s">
        <v>115</v>
      </c>
      <c r="M316" s="61"/>
      <c r="N316" s="79"/>
      <c r="O316" s="62" t="s">
        <v>617</v>
      </c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  <c r="BE316" s="53"/>
      <c r="BF316" s="53"/>
      <c r="BG316" s="53"/>
      <c r="BH316" s="53"/>
      <c r="BI316" s="53"/>
      <c r="BJ316" s="53"/>
      <c r="BK316" s="53"/>
      <c r="BL316" s="53"/>
      <c r="BM316" s="53"/>
      <c r="BN316" s="53"/>
      <c r="BO316" s="102"/>
      <c r="BP316" s="30"/>
      <c r="BQ316" s="30">
        <v>2.0</v>
      </c>
      <c r="BR316" s="30">
        <f t="shared" si="4"/>
        <v>0</v>
      </c>
      <c r="BS316" s="70">
        <f t="shared" si="5"/>
        <v>0</v>
      </c>
      <c r="BT316" s="70">
        <v>1.0</v>
      </c>
    </row>
    <row r="317" ht="15.75" customHeight="1">
      <c r="A317" s="54" t="s">
        <v>289</v>
      </c>
      <c r="B317" s="56" t="s">
        <v>641</v>
      </c>
      <c r="C317" s="56" t="s">
        <v>640</v>
      </c>
      <c r="D317" s="56" t="s">
        <v>620</v>
      </c>
      <c r="E317" s="56" t="s">
        <v>196</v>
      </c>
      <c r="F317" s="56" t="s">
        <v>249</v>
      </c>
      <c r="G317" s="57" t="s">
        <v>250</v>
      </c>
      <c r="H317" s="68">
        <f t="shared" si="3"/>
        <v>0.25</v>
      </c>
      <c r="I317" s="62"/>
      <c r="J317" s="62" t="s">
        <v>288</v>
      </c>
      <c r="K317" s="71"/>
      <c r="L317" s="57" t="s">
        <v>115</v>
      </c>
      <c r="M317" s="61"/>
      <c r="N317" s="61" t="s">
        <v>495</v>
      </c>
      <c r="O317" s="62" t="s">
        <v>288</v>
      </c>
      <c r="P317" s="53"/>
      <c r="Q317" s="53"/>
      <c r="R317" s="53"/>
      <c r="S317" s="53" t="s">
        <v>326</v>
      </c>
      <c r="T317" s="53"/>
      <c r="U317" s="53"/>
      <c r="V317" s="53"/>
      <c r="W317" s="53"/>
      <c r="X317" s="53"/>
      <c r="Y317" s="87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87"/>
      <c r="AK317" s="53"/>
      <c r="AL317" s="53"/>
      <c r="AM317" s="53"/>
      <c r="AN317" s="53"/>
      <c r="AO317" s="53"/>
      <c r="AP317" s="87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87"/>
      <c r="BE317" s="53"/>
      <c r="BF317" s="53"/>
      <c r="BG317" s="53"/>
      <c r="BH317" s="53"/>
      <c r="BI317" s="53"/>
      <c r="BJ317" s="53"/>
      <c r="BK317" s="53"/>
      <c r="BL317" s="87"/>
      <c r="BM317" s="53"/>
      <c r="BN317" s="53"/>
      <c r="BO317" s="30"/>
      <c r="BP317" s="30"/>
      <c r="BQ317" s="30">
        <v>4.0</v>
      </c>
      <c r="BR317" s="30">
        <f t="shared" si="4"/>
        <v>1</v>
      </c>
      <c r="BS317" s="70">
        <f t="shared" si="5"/>
        <v>0</v>
      </c>
      <c r="BT317" s="70">
        <v>1.0</v>
      </c>
    </row>
    <row r="318" ht="15.75" customHeight="1">
      <c r="A318" s="54" t="s">
        <v>289</v>
      </c>
      <c r="B318" s="56" t="s">
        <v>641</v>
      </c>
      <c r="C318" s="56" t="s">
        <v>640</v>
      </c>
      <c r="D318" s="56" t="s">
        <v>620</v>
      </c>
      <c r="E318" s="56" t="s">
        <v>621</v>
      </c>
      <c r="F318" s="56" t="s">
        <v>321</v>
      </c>
      <c r="G318" s="57" t="s">
        <v>192</v>
      </c>
      <c r="H318" s="68">
        <f t="shared" si="3"/>
        <v>0</v>
      </c>
      <c r="I318" s="62"/>
      <c r="J318" s="62"/>
      <c r="K318" s="71"/>
      <c r="L318" s="57" t="s">
        <v>115</v>
      </c>
      <c r="M318" s="61"/>
      <c r="N318" s="79"/>
      <c r="O318" s="62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  <c r="BE318" s="53"/>
      <c r="BF318" s="53"/>
      <c r="BG318" s="53"/>
      <c r="BH318" s="53"/>
      <c r="BI318" s="53"/>
      <c r="BJ318" s="53"/>
      <c r="BK318" s="53"/>
      <c r="BL318" s="53"/>
      <c r="BM318" s="53"/>
      <c r="BN318" s="53"/>
      <c r="BO318" s="53"/>
      <c r="BP318" s="53"/>
      <c r="BQ318" s="30">
        <v>3.0</v>
      </c>
      <c r="BR318" s="30">
        <f t="shared" si="4"/>
        <v>0</v>
      </c>
      <c r="BS318" s="70">
        <f t="shared" si="5"/>
        <v>0</v>
      </c>
      <c r="BT318" s="70">
        <v>1.0</v>
      </c>
    </row>
    <row r="319" ht="15.75" customHeight="1">
      <c r="A319" s="54" t="s">
        <v>289</v>
      </c>
      <c r="B319" s="56" t="s">
        <v>641</v>
      </c>
      <c r="C319" s="56" t="s">
        <v>640</v>
      </c>
      <c r="D319" s="56" t="s">
        <v>620</v>
      </c>
      <c r="E319" s="56" t="s">
        <v>622</v>
      </c>
      <c r="F319" s="56" t="s">
        <v>327</v>
      </c>
      <c r="G319" s="57" t="s">
        <v>154</v>
      </c>
      <c r="H319" s="68">
        <f t="shared" si="3"/>
        <v>0</v>
      </c>
      <c r="I319" s="62"/>
      <c r="J319" s="62" t="s">
        <v>617</v>
      </c>
      <c r="K319" s="71"/>
      <c r="L319" s="57" t="s">
        <v>115</v>
      </c>
      <c r="M319" s="61"/>
      <c r="N319" s="79"/>
      <c r="O319" s="62" t="s">
        <v>617</v>
      </c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  <c r="BE319" s="53"/>
      <c r="BF319" s="53"/>
      <c r="BG319" s="53"/>
      <c r="BH319" s="53"/>
      <c r="BI319" s="53"/>
      <c r="BJ319" s="53"/>
      <c r="BK319" s="53"/>
      <c r="BL319" s="53"/>
      <c r="BM319" s="53"/>
      <c r="BN319" s="53"/>
      <c r="BO319" s="102"/>
      <c r="BP319" s="53"/>
      <c r="BQ319" s="30">
        <v>2.0</v>
      </c>
      <c r="BR319" s="30">
        <f t="shared" si="4"/>
        <v>0</v>
      </c>
      <c r="BS319" s="70">
        <f t="shared" si="5"/>
        <v>0</v>
      </c>
      <c r="BT319" s="70">
        <v>1.0</v>
      </c>
    </row>
    <row r="320" ht="15.75" customHeight="1">
      <c r="A320" s="54" t="s">
        <v>289</v>
      </c>
      <c r="B320" s="56" t="s">
        <v>642</v>
      </c>
      <c r="C320" s="56" t="s">
        <v>640</v>
      </c>
      <c r="D320" s="56" t="s">
        <v>631</v>
      </c>
      <c r="E320" s="56" t="s">
        <v>191</v>
      </c>
      <c r="F320" s="56" t="s">
        <v>313</v>
      </c>
      <c r="G320" s="57" t="s">
        <v>192</v>
      </c>
      <c r="H320" s="68">
        <f t="shared" si="3"/>
        <v>0</v>
      </c>
      <c r="I320" s="62"/>
      <c r="J320" s="62"/>
      <c r="K320" s="71"/>
      <c r="L320" s="57" t="s">
        <v>115</v>
      </c>
      <c r="M320" s="61"/>
      <c r="N320" s="79"/>
      <c r="O320" s="62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  <c r="BE320" s="53"/>
      <c r="BF320" s="53"/>
      <c r="BG320" s="53"/>
      <c r="BH320" s="53"/>
      <c r="BI320" s="53"/>
      <c r="BJ320" s="53"/>
      <c r="BK320" s="53"/>
      <c r="BL320" s="53"/>
      <c r="BM320" s="53"/>
      <c r="BN320" s="53"/>
      <c r="BO320" s="53"/>
      <c r="BP320" s="53"/>
      <c r="BQ320" s="30">
        <v>3.0</v>
      </c>
      <c r="BR320" s="30">
        <f t="shared" si="4"/>
        <v>0</v>
      </c>
      <c r="BS320" s="70">
        <f t="shared" si="5"/>
        <v>0</v>
      </c>
      <c r="BT320" s="70">
        <v>1.0</v>
      </c>
    </row>
    <row r="321" ht="15.75" customHeight="1">
      <c r="A321" s="54" t="s">
        <v>289</v>
      </c>
      <c r="B321" s="56" t="s">
        <v>642</v>
      </c>
      <c r="C321" s="56" t="s">
        <v>640</v>
      </c>
      <c r="D321" s="56" t="s">
        <v>631</v>
      </c>
      <c r="E321" s="56" t="s">
        <v>632</v>
      </c>
      <c r="F321" s="56" t="s">
        <v>246</v>
      </c>
      <c r="G321" s="57" t="s">
        <v>154</v>
      </c>
      <c r="H321" s="68">
        <f t="shared" si="3"/>
        <v>0.5</v>
      </c>
      <c r="I321" s="62"/>
      <c r="J321" s="62"/>
      <c r="K321" s="71"/>
      <c r="L321" s="57" t="s">
        <v>115</v>
      </c>
      <c r="M321" s="61"/>
      <c r="N321" s="61" t="s">
        <v>322</v>
      </c>
      <c r="O321" s="62"/>
      <c r="P321" s="53"/>
      <c r="Q321" s="53"/>
      <c r="R321" s="53" t="s">
        <v>323</v>
      </c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  <c r="BE321" s="53"/>
      <c r="BF321" s="53"/>
      <c r="BG321" s="53"/>
      <c r="BH321" s="53"/>
      <c r="BI321" s="53"/>
      <c r="BJ321" s="53"/>
      <c r="BK321" s="53"/>
      <c r="BL321" s="53"/>
      <c r="BM321" s="53"/>
      <c r="BN321" s="53"/>
      <c r="BO321" s="30"/>
      <c r="BP321" s="30"/>
      <c r="BQ321" s="30">
        <v>2.0</v>
      </c>
      <c r="BR321" s="30">
        <f t="shared" si="4"/>
        <v>1</v>
      </c>
      <c r="BS321" s="70">
        <f t="shared" si="5"/>
        <v>0</v>
      </c>
      <c r="BT321" s="70">
        <v>1.0</v>
      </c>
    </row>
    <row r="322" ht="15.75" customHeight="1">
      <c r="A322" s="54" t="s">
        <v>289</v>
      </c>
      <c r="B322" s="56" t="s">
        <v>642</v>
      </c>
      <c r="C322" s="56" t="s">
        <v>640</v>
      </c>
      <c r="D322" s="56" t="s">
        <v>631</v>
      </c>
      <c r="E322" s="56" t="s">
        <v>633</v>
      </c>
      <c r="F322" s="56" t="s">
        <v>246</v>
      </c>
      <c r="G322" s="57" t="s">
        <v>154</v>
      </c>
      <c r="H322" s="68">
        <f t="shared" si="3"/>
        <v>0</v>
      </c>
      <c r="I322" s="62"/>
      <c r="J322" s="62"/>
      <c r="K322" s="71"/>
      <c r="L322" s="57" t="s">
        <v>115</v>
      </c>
      <c r="M322" s="61"/>
      <c r="N322" s="79"/>
      <c r="O322" s="62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  <c r="BE322" s="53"/>
      <c r="BF322" s="53"/>
      <c r="BG322" s="53"/>
      <c r="BH322" s="53"/>
      <c r="BI322" s="53"/>
      <c r="BJ322" s="53"/>
      <c r="BK322" s="53"/>
      <c r="BL322" s="53"/>
      <c r="BM322" s="53"/>
      <c r="BN322" s="53"/>
      <c r="BO322" s="53"/>
      <c r="BP322" s="75"/>
      <c r="BQ322" s="30">
        <v>2.0</v>
      </c>
      <c r="BR322" s="30">
        <f t="shared" si="4"/>
        <v>0</v>
      </c>
      <c r="BS322" s="70">
        <f t="shared" si="5"/>
        <v>0</v>
      </c>
      <c r="BT322" s="70">
        <v>1.0</v>
      </c>
    </row>
    <row r="323" ht="15.75" customHeight="1">
      <c r="A323" s="54" t="s">
        <v>289</v>
      </c>
      <c r="B323" s="56" t="s">
        <v>642</v>
      </c>
      <c r="C323" s="56" t="s">
        <v>640</v>
      </c>
      <c r="D323" s="56" t="s">
        <v>631</v>
      </c>
      <c r="E323" s="56" t="s">
        <v>196</v>
      </c>
      <c r="F323" s="56" t="s">
        <v>249</v>
      </c>
      <c r="G323" s="57" t="s">
        <v>250</v>
      </c>
      <c r="H323" s="68">
        <f t="shared" si="3"/>
        <v>0.25</v>
      </c>
      <c r="I323" s="62"/>
      <c r="J323" s="62" t="s">
        <v>201</v>
      </c>
      <c r="K323" s="71"/>
      <c r="L323" s="57" t="s">
        <v>115</v>
      </c>
      <c r="M323" s="61"/>
      <c r="N323" s="61" t="s">
        <v>324</v>
      </c>
      <c r="O323" s="62" t="s">
        <v>201</v>
      </c>
      <c r="P323" s="53"/>
      <c r="Q323" s="53"/>
      <c r="R323" s="53"/>
      <c r="S323" s="53" t="s">
        <v>326</v>
      </c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  <c r="BE323" s="53"/>
      <c r="BF323" s="53"/>
      <c r="BG323" s="53"/>
      <c r="BH323" s="53"/>
      <c r="BI323" s="53"/>
      <c r="BJ323" s="53"/>
      <c r="BK323" s="53"/>
      <c r="BL323" s="53"/>
      <c r="BM323" s="53"/>
      <c r="BN323" s="53"/>
      <c r="BO323" s="30"/>
      <c r="BP323" s="30"/>
      <c r="BQ323" s="30">
        <v>4.0</v>
      </c>
      <c r="BR323" s="30">
        <f t="shared" si="4"/>
        <v>1</v>
      </c>
      <c r="BS323" s="70">
        <f t="shared" si="5"/>
        <v>0</v>
      </c>
      <c r="BT323" s="70">
        <v>1.0</v>
      </c>
    </row>
    <row r="324" ht="15.75" customHeight="1">
      <c r="A324" s="54" t="s">
        <v>289</v>
      </c>
      <c r="B324" s="56" t="s">
        <v>643</v>
      </c>
      <c r="C324" s="56" t="s">
        <v>640</v>
      </c>
      <c r="D324" s="56" t="s">
        <v>636</v>
      </c>
      <c r="E324" s="56" t="s">
        <v>191</v>
      </c>
      <c r="F324" s="56" t="s">
        <v>313</v>
      </c>
      <c r="G324" s="57" t="s">
        <v>192</v>
      </c>
      <c r="H324" s="68">
        <f t="shared" si="3"/>
        <v>0</v>
      </c>
      <c r="I324" s="62"/>
      <c r="J324" s="62"/>
      <c r="K324" s="71"/>
      <c r="L324" s="57" t="s">
        <v>115</v>
      </c>
      <c r="M324" s="61"/>
      <c r="N324" s="79"/>
      <c r="O324" s="62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  <c r="BE324" s="53"/>
      <c r="BF324" s="53"/>
      <c r="BG324" s="53"/>
      <c r="BH324" s="53"/>
      <c r="BI324" s="53"/>
      <c r="BJ324" s="53"/>
      <c r="BK324" s="53"/>
      <c r="BL324" s="53"/>
      <c r="BM324" s="53"/>
      <c r="BN324" s="53"/>
      <c r="BO324" s="53"/>
      <c r="BP324" s="53"/>
      <c r="BQ324" s="30">
        <v>3.0</v>
      </c>
      <c r="BR324" s="30">
        <f t="shared" si="4"/>
        <v>0</v>
      </c>
      <c r="BS324" s="70">
        <f t="shared" si="5"/>
        <v>0</v>
      </c>
      <c r="BT324" s="70">
        <v>1.0</v>
      </c>
    </row>
    <row r="325" ht="15.75" customHeight="1">
      <c r="A325" s="54" t="s">
        <v>289</v>
      </c>
      <c r="B325" s="56" t="s">
        <v>643</v>
      </c>
      <c r="C325" s="56" t="s">
        <v>640</v>
      </c>
      <c r="D325" s="56" t="s">
        <v>636</v>
      </c>
      <c r="E325" s="56" t="s">
        <v>632</v>
      </c>
      <c r="F325" s="56" t="s">
        <v>246</v>
      </c>
      <c r="G325" s="57" t="s">
        <v>154</v>
      </c>
      <c r="H325" s="68">
        <f t="shared" si="3"/>
        <v>0.5</v>
      </c>
      <c r="I325" s="62"/>
      <c r="J325" s="62"/>
      <c r="K325" s="71"/>
      <c r="L325" s="57" t="s">
        <v>115</v>
      </c>
      <c r="M325" s="61"/>
      <c r="N325" s="61" t="s">
        <v>322</v>
      </c>
      <c r="O325" s="62"/>
      <c r="P325" s="53"/>
      <c r="Q325" s="53"/>
      <c r="R325" s="53" t="s">
        <v>323</v>
      </c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  <c r="BE325" s="53"/>
      <c r="BF325" s="53"/>
      <c r="BG325" s="53"/>
      <c r="BH325" s="53"/>
      <c r="BI325" s="53"/>
      <c r="BJ325" s="53"/>
      <c r="BK325" s="53"/>
      <c r="BL325" s="53"/>
      <c r="BM325" s="53"/>
      <c r="BN325" s="53"/>
      <c r="BO325" s="30"/>
      <c r="BP325" s="101"/>
      <c r="BQ325" s="30">
        <v>2.0</v>
      </c>
      <c r="BR325" s="30">
        <f t="shared" si="4"/>
        <v>1</v>
      </c>
      <c r="BS325" s="70">
        <f t="shared" si="5"/>
        <v>0</v>
      </c>
      <c r="BT325" s="70">
        <v>1.0</v>
      </c>
    </row>
    <row r="326" ht="15.75" customHeight="1">
      <c r="A326" s="54" t="s">
        <v>289</v>
      </c>
      <c r="B326" s="56" t="s">
        <v>643</v>
      </c>
      <c r="C326" s="56" t="s">
        <v>640</v>
      </c>
      <c r="D326" s="56" t="s">
        <v>636</v>
      </c>
      <c r="E326" s="56" t="s">
        <v>633</v>
      </c>
      <c r="F326" s="56" t="s">
        <v>246</v>
      </c>
      <c r="G326" s="57" t="s">
        <v>154</v>
      </c>
      <c r="H326" s="68">
        <f t="shared" si="3"/>
        <v>0</v>
      </c>
      <c r="I326" s="62"/>
      <c r="J326" s="62"/>
      <c r="K326" s="71"/>
      <c r="L326" s="57" t="s">
        <v>115</v>
      </c>
      <c r="M326" s="61"/>
      <c r="N326" s="79"/>
      <c r="O326" s="62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  <c r="BE326" s="53"/>
      <c r="BF326" s="53"/>
      <c r="BG326" s="53"/>
      <c r="BH326" s="53"/>
      <c r="BI326" s="53"/>
      <c r="BJ326" s="53"/>
      <c r="BK326" s="53"/>
      <c r="BL326" s="53"/>
      <c r="BM326" s="53"/>
      <c r="BN326" s="53"/>
      <c r="BO326" s="53"/>
      <c r="BP326" s="53"/>
      <c r="BQ326" s="30">
        <v>2.0</v>
      </c>
      <c r="BR326" s="30">
        <f t="shared" si="4"/>
        <v>0</v>
      </c>
      <c r="BS326" s="70">
        <f t="shared" si="5"/>
        <v>0</v>
      </c>
      <c r="BT326" s="70">
        <v>1.0</v>
      </c>
    </row>
    <row r="327" ht="15.75" customHeight="1">
      <c r="A327" s="54" t="s">
        <v>289</v>
      </c>
      <c r="B327" s="56" t="s">
        <v>643</v>
      </c>
      <c r="C327" s="56" t="s">
        <v>640</v>
      </c>
      <c r="D327" s="56" t="s">
        <v>636</v>
      </c>
      <c r="E327" s="56" t="s">
        <v>196</v>
      </c>
      <c r="F327" s="56" t="s">
        <v>249</v>
      </c>
      <c r="G327" s="57" t="s">
        <v>250</v>
      </c>
      <c r="H327" s="68">
        <f t="shared" si="3"/>
        <v>0.25</v>
      </c>
      <c r="I327" s="62"/>
      <c r="J327" s="62" t="s">
        <v>201</v>
      </c>
      <c r="K327" s="71"/>
      <c r="L327" s="57" t="s">
        <v>115</v>
      </c>
      <c r="M327" s="61"/>
      <c r="N327" s="61" t="s">
        <v>324</v>
      </c>
      <c r="O327" s="62" t="s">
        <v>201</v>
      </c>
      <c r="P327" s="53"/>
      <c r="Q327" s="53"/>
      <c r="R327" s="53"/>
      <c r="S327" s="53" t="s">
        <v>326</v>
      </c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  <c r="BE327" s="53"/>
      <c r="BF327" s="53"/>
      <c r="BG327" s="53"/>
      <c r="BH327" s="53"/>
      <c r="BI327" s="53"/>
      <c r="BJ327" s="53"/>
      <c r="BK327" s="53"/>
      <c r="BL327" s="53"/>
      <c r="BM327" s="53"/>
      <c r="BN327" s="53"/>
      <c r="BO327" s="30"/>
      <c r="BP327" s="30"/>
      <c r="BQ327" s="30">
        <v>4.0</v>
      </c>
      <c r="BR327" s="30">
        <f t="shared" si="4"/>
        <v>1</v>
      </c>
      <c r="BS327" s="70">
        <f t="shared" si="5"/>
        <v>0</v>
      </c>
      <c r="BT327" s="70">
        <v>1.0</v>
      </c>
    </row>
    <row r="328" ht="15.75" customHeight="1">
      <c r="A328" s="54" t="s">
        <v>289</v>
      </c>
      <c r="B328" s="56" t="s">
        <v>644</v>
      </c>
      <c r="C328" s="56" t="s">
        <v>645</v>
      </c>
      <c r="D328" s="56" t="s">
        <v>611</v>
      </c>
      <c r="E328" s="56" t="s">
        <v>612</v>
      </c>
      <c r="F328" s="56" t="s">
        <v>193</v>
      </c>
      <c r="G328" s="57" t="s">
        <v>34</v>
      </c>
      <c r="H328" s="68">
        <f t="shared" si="3"/>
        <v>0</v>
      </c>
      <c r="I328" s="62" t="s">
        <v>146</v>
      </c>
      <c r="J328" s="62"/>
      <c r="K328" s="71"/>
      <c r="L328" s="57" t="s">
        <v>130</v>
      </c>
      <c r="M328" s="61"/>
      <c r="N328" s="79"/>
      <c r="O328" s="62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  <c r="BE328" s="53"/>
      <c r="BF328" s="53"/>
      <c r="BG328" s="53"/>
      <c r="BH328" s="53"/>
      <c r="BI328" s="53"/>
      <c r="BJ328" s="53"/>
      <c r="BK328" s="53"/>
      <c r="BL328" s="53"/>
      <c r="BM328" s="53"/>
      <c r="BN328" s="53"/>
      <c r="BO328" s="53"/>
      <c r="BP328" s="30"/>
      <c r="BQ328" s="30">
        <v>1.0</v>
      </c>
      <c r="BR328" s="30">
        <f t="shared" si="4"/>
        <v>0</v>
      </c>
      <c r="BS328" s="70">
        <f t="shared" si="5"/>
        <v>0</v>
      </c>
      <c r="BT328" s="70">
        <v>1.0</v>
      </c>
    </row>
    <row r="329" ht="15.75" customHeight="1">
      <c r="A329" s="54" t="s">
        <v>289</v>
      </c>
      <c r="B329" s="56" t="s">
        <v>644</v>
      </c>
      <c r="C329" s="56" t="s">
        <v>645</v>
      </c>
      <c r="D329" s="56" t="s">
        <v>611</v>
      </c>
      <c r="E329" s="56" t="s">
        <v>613</v>
      </c>
      <c r="F329" s="56" t="s">
        <v>193</v>
      </c>
      <c r="G329" s="57" t="s">
        <v>34</v>
      </c>
      <c r="H329" s="68">
        <f t="shared" si="3"/>
        <v>0</v>
      </c>
      <c r="I329" s="62" t="s">
        <v>146</v>
      </c>
      <c r="J329" s="62"/>
      <c r="K329" s="71"/>
      <c r="L329" s="57" t="s">
        <v>130</v>
      </c>
      <c r="M329" s="61"/>
      <c r="N329" s="79"/>
      <c r="O329" s="62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  <c r="BE329" s="53"/>
      <c r="BF329" s="53"/>
      <c r="BG329" s="53"/>
      <c r="BH329" s="53"/>
      <c r="BI329" s="53"/>
      <c r="BJ329" s="53"/>
      <c r="BK329" s="53"/>
      <c r="BL329" s="53"/>
      <c r="BM329" s="53"/>
      <c r="BN329" s="53"/>
      <c r="BO329" s="53"/>
      <c r="BP329" s="30"/>
      <c r="BQ329" s="30">
        <v>1.0</v>
      </c>
      <c r="BR329" s="30">
        <f t="shared" si="4"/>
        <v>0</v>
      </c>
      <c r="BS329" s="70">
        <f t="shared" si="5"/>
        <v>0</v>
      </c>
      <c r="BT329" s="70">
        <v>1.0</v>
      </c>
    </row>
    <row r="330" ht="15.75" customHeight="1">
      <c r="A330" s="54" t="s">
        <v>289</v>
      </c>
      <c r="B330" s="56" t="s">
        <v>644</v>
      </c>
      <c r="C330" s="56" t="s">
        <v>645</v>
      </c>
      <c r="D330" s="56" t="s">
        <v>611</v>
      </c>
      <c r="E330" s="56" t="s">
        <v>614</v>
      </c>
      <c r="F330" s="56" t="s">
        <v>193</v>
      </c>
      <c r="G330" s="57" t="s">
        <v>34</v>
      </c>
      <c r="H330" s="68">
        <f t="shared" si="3"/>
        <v>0</v>
      </c>
      <c r="I330" s="62" t="s">
        <v>146</v>
      </c>
      <c r="J330" s="62"/>
      <c r="K330" s="71"/>
      <c r="L330" s="57" t="s">
        <v>115</v>
      </c>
      <c r="M330" s="61"/>
      <c r="N330" s="79"/>
      <c r="O330" s="62" t="s">
        <v>615</v>
      </c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  <c r="BE330" s="53"/>
      <c r="BF330" s="53"/>
      <c r="BG330" s="53"/>
      <c r="BH330" s="53"/>
      <c r="BI330" s="53"/>
      <c r="BJ330" s="53"/>
      <c r="BK330" s="53"/>
      <c r="BL330" s="53"/>
      <c r="BM330" s="53"/>
      <c r="BN330" s="53"/>
      <c r="BO330" s="53"/>
      <c r="BP330" s="101"/>
      <c r="BQ330" s="30">
        <v>1.0</v>
      </c>
      <c r="BR330" s="30">
        <f t="shared" si="4"/>
        <v>0</v>
      </c>
      <c r="BS330" s="70">
        <f t="shared" si="5"/>
        <v>0</v>
      </c>
      <c r="BT330" s="70">
        <v>1.0</v>
      </c>
    </row>
    <row r="331" ht="15.75" customHeight="1">
      <c r="A331" s="54" t="s">
        <v>289</v>
      </c>
      <c r="B331" s="56" t="s">
        <v>644</v>
      </c>
      <c r="C331" s="56" t="s">
        <v>645</v>
      </c>
      <c r="D331" s="56" t="s">
        <v>611</v>
      </c>
      <c r="E331" s="56" t="s">
        <v>616</v>
      </c>
      <c r="F331" s="56" t="s">
        <v>327</v>
      </c>
      <c r="G331" s="57" t="s">
        <v>154</v>
      </c>
      <c r="H331" s="68">
        <f t="shared" si="3"/>
        <v>0</v>
      </c>
      <c r="I331" s="62" t="s">
        <v>146</v>
      </c>
      <c r="J331" s="62" t="s">
        <v>617</v>
      </c>
      <c r="K331" s="71"/>
      <c r="L331" s="57" t="s">
        <v>115</v>
      </c>
      <c r="M331" s="61"/>
      <c r="N331" s="79"/>
      <c r="O331" s="62" t="s">
        <v>617</v>
      </c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102"/>
      <c r="BP331" s="101"/>
      <c r="BQ331" s="30">
        <v>2.0</v>
      </c>
      <c r="BR331" s="30">
        <f t="shared" si="4"/>
        <v>0</v>
      </c>
      <c r="BS331" s="70">
        <f t="shared" si="5"/>
        <v>0</v>
      </c>
      <c r="BT331" s="70">
        <v>1.0</v>
      </c>
    </row>
    <row r="332" ht="15.75" customHeight="1">
      <c r="A332" s="54" t="s">
        <v>289</v>
      </c>
      <c r="B332" s="56" t="s">
        <v>644</v>
      </c>
      <c r="C332" s="56" t="s">
        <v>645</v>
      </c>
      <c r="D332" s="56" t="s">
        <v>611</v>
      </c>
      <c r="E332" s="56" t="s">
        <v>618</v>
      </c>
      <c r="F332" s="56" t="s">
        <v>327</v>
      </c>
      <c r="G332" s="57" t="s">
        <v>154</v>
      </c>
      <c r="H332" s="68">
        <f t="shared" si="3"/>
        <v>0</v>
      </c>
      <c r="I332" s="62" t="s">
        <v>146</v>
      </c>
      <c r="J332" s="62" t="s">
        <v>617</v>
      </c>
      <c r="K332" s="71"/>
      <c r="L332" s="57" t="s">
        <v>115</v>
      </c>
      <c r="M332" s="61"/>
      <c r="N332" s="79"/>
      <c r="O332" s="62" t="s">
        <v>617</v>
      </c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  <c r="BE332" s="53"/>
      <c r="BF332" s="53"/>
      <c r="BG332" s="53"/>
      <c r="BH332" s="53"/>
      <c r="BI332" s="53"/>
      <c r="BJ332" s="53"/>
      <c r="BK332" s="53"/>
      <c r="BL332" s="53"/>
      <c r="BM332" s="53"/>
      <c r="BN332" s="53"/>
      <c r="BO332" s="53"/>
      <c r="BP332" s="101"/>
      <c r="BQ332" s="30">
        <v>2.0</v>
      </c>
      <c r="BR332" s="30">
        <f t="shared" si="4"/>
        <v>0</v>
      </c>
      <c r="BS332" s="70">
        <f t="shared" si="5"/>
        <v>0</v>
      </c>
      <c r="BT332" s="70">
        <v>1.0</v>
      </c>
    </row>
    <row r="333" ht="15.75" customHeight="1">
      <c r="A333" s="54" t="s">
        <v>289</v>
      </c>
      <c r="B333" s="56" t="s">
        <v>646</v>
      </c>
      <c r="C333" s="56" t="s">
        <v>645</v>
      </c>
      <c r="D333" s="56" t="s">
        <v>620</v>
      </c>
      <c r="E333" s="56" t="s">
        <v>196</v>
      </c>
      <c r="F333" s="56" t="s">
        <v>249</v>
      </c>
      <c r="G333" s="57" t="s">
        <v>250</v>
      </c>
      <c r="H333" s="68">
        <f t="shared" si="3"/>
        <v>0.25</v>
      </c>
      <c r="I333" s="62"/>
      <c r="J333" s="62" t="s">
        <v>288</v>
      </c>
      <c r="K333" s="71"/>
      <c r="L333" s="57" t="s">
        <v>115</v>
      </c>
      <c r="M333" s="61"/>
      <c r="N333" s="61" t="s">
        <v>495</v>
      </c>
      <c r="O333" s="62" t="s">
        <v>288</v>
      </c>
      <c r="P333" s="53"/>
      <c r="Q333" s="53"/>
      <c r="R333" s="53"/>
      <c r="S333" s="53" t="s">
        <v>326</v>
      </c>
      <c r="T333" s="53"/>
      <c r="U333" s="53"/>
      <c r="V333" s="53"/>
      <c r="W333" s="53"/>
      <c r="X333" s="53"/>
      <c r="Y333" s="87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87"/>
      <c r="AK333" s="53"/>
      <c r="AL333" s="53"/>
      <c r="AM333" s="53"/>
      <c r="AN333" s="53"/>
      <c r="AO333" s="53"/>
      <c r="AP333" s="87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87"/>
      <c r="BE333" s="53"/>
      <c r="BF333" s="53"/>
      <c r="BG333" s="53"/>
      <c r="BH333" s="53"/>
      <c r="BI333" s="53"/>
      <c r="BJ333" s="53"/>
      <c r="BK333" s="53"/>
      <c r="BL333" s="87"/>
      <c r="BM333" s="53"/>
      <c r="BN333" s="53"/>
      <c r="BO333" s="30"/>
      <c r="BP333" s="101"/>
      <c r="BQ333" s="30">
        <v>4.0</v>
      </c>
      <c r="BR333" s="30">
        <f t="shared" si="4"/>
        <v>1</v>
      </c>
      <c r="BS333" s="70">
        <f t="shared" si="5"/>
        <v>0</v>
      </c>
      <c r="BT333" s="70">
        <v>1.0</v>
      </c>
    </row>
    <row r="334" ht="15.75" customHeight="1">
      <c r="A334" s="54" t="s">
        <v>289</v>
      </c>
      <c r="B334" s="56" t="s">
        <v>646</v>
      </c>
      <c r="C334" s="56" t="s">
        <v>645</v>
      </c>
      <c r="D334" s="56" t="s">
        <v>620</v>
      </c>
      <c r="E334" s="56" t="s">
        <v>621</v>
      </c>
      <c r="F334" s="56" t="s">
        <v>321</v>
      </c>
      <c r="G334" s="57" t="s">
        <v>192</v>
      </c>
      <c r="H334" s="68">
        <f t="shared" si="3"/>
        <v>0</v>
      </c>
      <c r="I334" s="62"/>
      <c r="J334" s="62"/>
      <c r="K334" s="71"/>
      <c r="L334" s="57" t="s">
        <v>115</v>
      </c>
      <c r="M334" s="61"/>
      <c r="N334" s="79"/>
      <c r="O334" s="62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  <c r="BE334" s="53"/>
      <c r="BF334" s="53"/>
      <c r="BG334" s="53"/>
      <c r="BH334" s="53"/>
      <c r="BI334" s="53"/>
      <c r="BJ334" s="53"/>
      <c r="BK334" s="53"/>
      <c r="BL334" s="53"/>
      <c r="BM334" s="53"/>
      <c r="BN334" s="53"/>
      <c r="BO334" s="53"/>
      <c r="BP334" s="75"/>
      <c r="BQ334" s="30">
        <v>3.0</v>
      </c>
      <c r="BR334" s="30">
        <f t="shared" si="4"/>
        <v>0</v>
      </c>
      <c r="BS334" s="70">
        <f t="shared" si="5"/>
        <v>0</v>
      </c>
      <c r="BT334" s="70">
        <v>1.0</v>
      </c>
    </row>
    <row r="335" ht="15.75" customHeight="1">
      <c r="A335" s="54" t="s">
        <v>289</v>
      </c>
      <c r="B335" s="56" t="s">
        <v>646</v>
      </c>
      <c r="C335" s="56" t="s">
        <v>645</v>
      </c>
      <c r="D335" s="56" t="s">
        <v>620</v>
      </c>
      <c r="E335" s="56" t="s">
        <v>622</v>
      </c>
      <c r="F335" s="56" t="s">
        <v>327</v>
      </c>
      <c r="G335" s="57" t="s">
        <v>154</v>
      </c>
      <c r="H335" s="68">
        <f t="shared" si="3"/>
        <v>0</v>
      </c>
      <c r="I335" s="62"/>
      <c r="J335" s="62" t="s">
        <v>617</v>
      </c>
      <c r="K335" s="71"/>
      <c r="L335" s="57" t="s">
        <v>115</v>
      </c>
      <c r="M335" s="61"/>
      <c r="N335" s="79"/>
      <c r="O335" s="62" t="s">
        <v>617</v>
      </c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  <c r="BE335" s="53"/>
      <c r="BF335" s="53"/>
      <c r="BG335" s="53"/>
      <c r="BH335" s="53"/>
      <c r="BI335" s="53"/>
      <c r="BJ335" s="53"/>
      <c r="BK335" s="53"/>
      <c r="BL335" s="53"/>
      <c r="BM335" s="53"/>
      <c r="BN335" s="53"/>
      <c r="BO335" s="102"/>
      <c r="BP335" s="75"/>
      <c r="BQ335" s="30">
        <v>2.0</v>
      </c>
      <c r="BR335" s="30">
        <f t="shared" si="4"/>
        <v>0</v>
      </c>
      <c r="BS335" s="70">
        <f t="shared" si="5"/>
        <v>0</v>
      </c>
      <c r="BT335" s="70">
        <v>1.0</v>
      </c>
    </row>
    <row r="336" ht="15.75" customHeight="1">
      <c r="A336" s="54" t="s">
        <v>289</v>
      </c>
      <c r="B336" s="56" t="s">
        <v>647</v>
      </c>
      <c r="C336" s="56" t="s">
        <v>645</v>
      </c>
      <c r="D336" s="56" t="s">
        <v>631</v>
      </c>
      <c r="E336" s="56" t="s">
        <v>191</v>
      </c>
      <c r="F336" s="56" t="s">
        <v>313</v>
      </c>
      <c r="G336" s="57" t="s">
        <v>192</v>
      </c>
      <c r="H336" s="68">
        <f t="shared" si="3"/>
        <v>0</v>
      </c>
      <c r="I336" s="62"/>
      <c r="J336" s="62"/>
      <c r="K336" s="71"/>
      <c r="L336" s="57" t="s">
        <v>115</v>
      </c>
      <c r="M336" s="61"/>
      <c r="N336" s="79"/>
      <c r="O336" s="62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  <c r="BE336" s="53"/>
      <c r="BF336" s="53"/>
      <c r="BG336" s="53"/>
      <c r="BH336" s="53"/>
      <c r="BI336" s="53"/>
      <c r="BJ336" s="53"/>
      <c r="BK336" s="53"/>
      <c r="BL336" s="53"/>
      <c r="BM336" s="53"/>
      <c r="BN336" s="53"/>
      <c r="BO336" s="53"/>
      <c r="BP336" s="75"/>
      <c r="BQ336" s="30">
        <v>3.0</v>
      </c>
      <c r="BR336" s="30">
        <f t="shared" si="4"/>
        <v>0</v>
      </c>
      <c r="BS336" s="70">
        <f t="shared" si="5"/>
        <v>0</v>
      </c>
      <c r="BT336" s="70">
        <v>1.0</v>
      </c>
    </row>
    <row r="337" ht="15.75" customHeight="1">
      <c r="A337" s="54" t="s">
        <v>289</v>
      </c>
      <c r="B337" s="56" t="s">
        <v>647</v>
      </c>
      <c r="C337" s="56" t="s">
        <v>645</v>
      </c>
      <c r="D337" s="56" t="s">
        <v>631</v>
      </c>
      <c r="E337" s="56" t="s">
        <v>632</v>
      </c>
      <c r="F337" s="56" t="s">
        <v>246</v>
      </c>
      <c r="G337" s="57" t="s">
        <v>154</v>
      </c>
      <c r="H337" s="68">
        <f t="shared" si="3"/>
        <v>0.5</v>
      </c>
      <c r="I337" s="62"/>
      <c r="J337" s="62"/>
      <c r="K337" s="71"/>
      <c r="L337" s="57" t="s">
        <v>115</v>
      </c>
      <c r="M337" s="61"/>
      <c r="N337" s="61" t="s">
        <v>322</v>
      </c>
      <c r="O337" s="62"/>
      <c r="P337" s="53"/>
      <c r="Q337" s="53"/>
      <c r="R337" s="53" t="s">
        <v>323</v>
      </c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  <c r="BE337" s="53"/>
      <c r="BF337" s="53"/>
      <c r="BG337" s="53"/>
      <c r="BH337" s="53"/>
      <c r="BI337" s="53"/>
      <c r="BJ337" s="53"/>
      <c r="BK337" s="53"/>
      <c r="BL337" s="53"/>
      <c r="BM337" s="53"/>
      <c r="BN337" s="53"/>
      <c r="BO337" s="30"/>
      <c r="BP337" s="101"/>
      <c r="BQ337" s="30">
        <v>2.0</v>
      </c>
      <c r="BR337" s="30">
        <f t="shared" si="4"/>
        <v>1</v>
      </c>
      <c r="BS337" s="70">
        <f t="shared" si="5"/>
        <v>0</v>
      </c>
      <c r="BT337" s="70">
        <v>1.0</v>
      </c>
    </row>
    <row r="338" ht="15.75" customHeight="1">
      <c r="A338" s="54" t="s">
        <v>289</v>
      </c>
      <c r="B338" s="56" t="s">
        <v>647</v>
      </c>
      <c r="C338" s="56" t="s">
        <v>645</v>
      </c>
      <c r="D338" s="56" t="s">
        <v>631</v>
      </c>
      <c r="E338" s="56" t="s">
        <v>633</v>
      </c>
      <c r="F338" s="56" t="s">
        <v>246</v>
      </c>
      <c r="G338" s="57" t="s">
        <v>154</v>
      </c>
      <c r="H338" s="68">
        <f t="shared" si="3"/>
        <v>0</v>
      </c>
      <c r="I338" s="62"/>
      <c r="J338" s="62"/>
      <c r="K338" s="106"/>
      <c r="L338" s="57" t="s">
        <v>115</v>
      </c>
      <c r="M338" s="50"/>
      <c r="N338" s="79"/>
      <c r="O338" s="62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  <c r="BE338" s="53"/>
      <c r="BF338" s="53"/>
      <c r="BG338" s="53"/>
      <c r="BH338" s="53"/>
      <c r="BI338" s="53"/>
      <c r="BJ338" s="53"/>
      <c r="BK338" s="53"/>
      <c r="BL338" s="53"/>
      <c r="BM338" s="75"/>
      <c r="BN338" s="53"/>
      <c r="BO338" s="53"/>
      <c r="BP338" s="98"/>
      <c r="BQ338" s="30">
        <v>2.0</v>
      </c>
      <c r="BR338" s="30">
        <f t="shared" si="4"/>
        <v>0</v>
      </c>
      <c r="BS338" s="70">
        <f t="shared" si="5"/>
        <v>0</v>
      </c>
      <c r="BT338" s="70">
        <v>1.0</v>
      </c>
    </row>
    <row r="339" ht="15.75" customHeight="1">
      <c r="A339" s="54" t="s">
        <v>289</v>
      </c>
      <c r="B339" s="56" t="s">
        <v>647</v>
      </c>
      <c r="C339" s="56" t="s">
        <v>645</v>
      </c>
      <c r="D339" s="56" t="s">
        <v>631</v>
      </c>
      <c r="E339" s="56" t="s">
        <v>196</v>
      </c>
      <c r="F339" s="56" t="s">
        <v>249</v>
      </c>
      <c r="G339" s="57" t="s">
        <v>250</v>
      </c>
      <c r="H339" s="68">
        <f t="shared" si="3"/>
        <v>0.25</v>
      </c>
      <c r="I339" s="62"/>
      <c r="J339" s="62" t="s">
        <v>201</v>
      </c>
      <c r="K339" s="71"/>
      <c r="L339" s="57" t="s">
        <v>115</v>
      </c>
      <c r="M339" s="61"/>
      <c r="N339" s="61" t="s">
        <v>324</v>
      </c>
      <c r="O339" s="62" t="s">
        <v>201</v>
      </c>
      <c r="P339" s="53"/>
      <c r="Q339" s="53"/>
      <c r="R339" s="53"/>
      <c r="S339" s="53" t="s">
        <v>326</v>
      </c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  <c r="BE339" s="53"/>
      <c r="BF339" s="53"/>
      <c r="BG339" s="53"/>
      <c r="BH339" s="53"/>
      <c r="BI339" s="53"/>
      <c r="BJ339" s="53"/>
      <c r="BK339" s="53"/>
      <c r="BL339" s="53"/>
      <c r="BM339" s="53"/>
      <c r="BN339" s="53"/>
      <c r="BO339" s="30"/>
      <c r="BP339" s="101"/>
      <c r="BQ339" s="30">
        <v>4.0</v>
      </c>
      <c r="BR339" s="30">
        <f t="shared" si="4"/>
        <v>1</v>
      </c>
      <c r="BS339" s="70">
        <f t="shared" si="5"/>
        <v>0</v>
      </c>
      <c r="BT339" s="70">
        <v>1.0</v>
      </c>
    </row>
    <row r="340" ht="15.75" customHeight="1">
      <c r="A340" s="54" t="s">
        <v>289</v>
      </c>
      <c r="B340" s="56" t="s">
        <v>648</v>
      </c>
      <c r="C340" s="56" t="s">
        <v>645</v>
      </c>
      <c r="D340" s="56" t="s">
        <v>636</v>
      </c>
      <c r="E340" s="56" t="s">
        <v>191</v>
      </c>
      <c r="F340" s="56" t="s">
        <v>313</v>
      </c>
      <c r="G340" s="57" t="s">
        <v>192</v>
      </c>
      <c r="H340" s="68">
        <f t="shared" si="3"/>
        <v>0</v>
      </c>
      <c r="I340" s="62"/>
      <c r="J340" s="62"/>
      <c r="K340" s="71"/>
      <c r="L340" s="57" t="s">
        <v>115</v>
      </c>
      <c r="M340" s="61"/>
      <c r="N340" s="79"/>
      <c r="O340" s="62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  <c r="BE340" s="53"/>
      <c r="BF340" s="53"/>
      <c r="BG340" s="53"/>
      <c r="BH340" s="53"/>
      <c r="BI340" s="53"/>
      <c r="BJ340" s="53"/>
      <c r="BK340" s="53"/>
      <c r="BL340" s="53"/>
      <c r="BM340" s="53"/>
      <c r="BN340" s="53"/>
      <c r="BO340" s="53"/>
      <c r="BP340" s="75"/>
      <c r="BQ340" s="30">
        <v>3.0</v>
      </c>
      <c r="BR340" s="30">
        <f t="shared" si="4"/>
        <v>0</v>
      </c>
      <c r="BS340" s="70">
        <f t="shared" si="5"/>
        <v>0</v>
      </c>
      <c r="BT340" s="70">
        <v>1.0</v>
      </c>
    </row>
    <row r="341" ht="15.75" customHeight="1">
      <c r="A341" s="54" t="s">
        <v>289</v>
      </c>
      <c r="B341" s="56" t="s">
        <v>648</v>
      </c>
      <c r="C341" s="56" t="s">
        <v>645</v>
      </c>
      <c r="D341" s="56" t="s">
        <v>636</v>
      </c>
      <c r="E341" s="56" t="s">
        <v>632</v>
      </c>
      <c r="F341" s="56" t="s">
        <v>246</v>
      </c>
      <c r="G341" s="57" t="s">
        <v>154</v>
      </c>
      <c r="H341" s="68">
        <f t="shared" si="3"/>
        <v>0.5</v>
      </c>
      <c r="I341" s="62"/>
      <c r="J341" s="62"/>
      <c r="K341" s="71"/>
      <c r="L341" s="57" t="s">
        <v>115</v>
      </c>
      <c r="M341" s="61"/>
      <c r="N341" s="61" t="s">
        <v>322</v>
      </c>
      <c r="O341" s="62"/>
      <c r="P341" s="53"/>
      <c r="Q341" s="53"/>
      <c r="R341" s="53" t="s">
        <v>323</v>
      </c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  <c r="BE341" s="53"/>
      <c r="BF341" s="53"/>
      <c r="BG341" s="53"/>
      <c r="BH341" s="53"/>
      <c r="BI341" s="53"/>
      <c r="BJ341" s="53"/>
      <c r="BK341" s="53"/>
      <c r="BL341" s="53"/>
      <c r="BM341" s="53"/>
      <c r="BN341" s="53"/>
      <c r="BO341" s="30"/>
      <c r="BP341" s="101"/>
      <c r="BQ341" s="30">
        <v>2.0</v>
      </c>
      <c r="BR341" s="30">
        <f t="shared" si="4"/>
        <v>1</v>
      </c>
      <c r="BS341" s="70">
        <f t="shared" si="5"/>
        <v>0</v>
      </c>
      <c r="BT341" s="70">
        <v>1.0</v>
      </c>
    </row>
    <row r="342" ht="15.75" customHeight="1">
      <c r="A342" s="54" t="s">
        <v>289</v>
      </c>
      <c r="B342" s="56" t="s">
        <v>648</v>
      </c>
      <c r="C342" s="56" t="s">
        <v>645</v>
      </c>
      <c r="D342" s="56" t="s">
        <v>636</v>
      </c>
      <c r="E342" s="56" t="s">
        <v>633</v>
      </c>
      <c r="F342" s="56" t="s">
        <v>246</v>
      </c>
      <c r="G342" s="57" t="s">
        <v>154</v>
      </c>
      <c r="H342" s="68">
        <f t="shared" si="3"/>
        <v>0</v>
      </c>
      <c r="I342" s="62"/>
      <c r="J342" s="62"/>
      <c r="K342" s="71"/>
      <c r="L342" s="57" t="s">
        <v>115</v>
      </c>
      <c r="M342" s="61"/>
      <c r="N342" s="79"/>
      <c r="O342" s="62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  <c r="BE342" s="53"/>
      <c r="BF342" s="53"/>
      <c r="BG342" s="53"/>
      <c r="BH342" s="53"/>
      <c r="BI342" s="53"/>
      <c r="BJ342" s="53"/>
      <c r="BK342" s="53"/>
      <c r="BL342" s="53"/>
      <c r="BM342" s="53"/>
      <c r="BN342" s="53"/>
      <c r="BO342" s="53"/>
      <c r="BP342" s="75"/>
      <c r="BQ342" s="30">
        <v>2.0</v>
      </c>
      <c r="BR342" s="30">
        <f t="shared" si="4"/>
        <v>0</v>
      </c>
      <c r="BS342" s="70">
        <f t="shared" si="5"/>
        <v>0</v>
      </c>
      <c r="BT342" s="70">
        <v>1.0</v>
      </c>
    </row>
    <row r="343" ht="15.75" customHeight="1">
      <c r="A343" s="54" t="s">
        <v>289</v>
      </c>
      <c r="B343" s="56" t="s">
        <v>648</v>
      </c>
      <c r="C343" s="56" t="s">
        <v>645</v>
      </c>
      <c r="D343" s="56" t="s">
        <v>636</v>
      </c>
      <c r="E343" s="56" t="s">
        <v>196</v>
      </c>
      <c r="F343" s="56" t="s">
        <v>249</v>
      </c>
      <c r="G343" s="57" t="s">
        <v>250</v>
      </c>
      <c r="H343" s="68">
        <f t="shared" si="3"/>
        <v>0.25</v>
      </c>
      <c r="I343" s="62"/>
      <c r="J343" s="62" t="s">
        <v>201</v>
      </c>
      <c r="K343" s="71"/>
      <c r="L343" s="57" t="s">
        <v>115</v>
      </c>
      <c r="M343" s="61"/>
      <c r="N343" s="61" t="s">
        <v>324</v>
      </c>
      <c r="O343" s="62" t="s">
        <v>201</v>
      </c>
      <c r="P343" s="53"/>
      <c r="Q343" s="53"/>
      <c r="R343" s="53"/>
      <c r="S343" s="53" t="s">
        <v>326</v>
      </c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  <c r="BE343" s="53"/>
      <c r="BF343" s="53"/>
      <c r="BG343" s="53"/>
      <c r="BH343" s="53"/>
      <c r="BI343" s="53"/>
      <c r="BJ343" s="53"/>
      <c r="BK343" s="53"/>
      <c r="BL343" s="53"/>
      <c r="BM343" s="53"/>
      <c r="BN343" s="53"/>
      <c r="BO343" s="30"/>
      <c r="BP343" s="101"/>
      <c r="BQ343" s="30">
        <v>4.0</v>
      </c>
      <c r="BR343" s="30">
        <f t="shared" si="4"/>
        <v>1</v>
      </c>
      <c r="BS343" s="70">
        <f t="shared" si="5"/>
        <v>0</v>
      </c>
      <c r="BT343" s="70">
        <v>1.0</v>
      </c>
    </row>
    <row r="344" ht="15.75" customHeight="1">
      <c r="A344" s="54" t="s">
        <v>289</v>
      </c>
      <c r="B344" s="56" t="s">
        <v>649</v>
      </c>
      <c r="C344" s="56" t="s">
        <v>606</v>
      </c>
      <c r="D344" s="56" t="s">
        <v>611</v>
      </c>
      <c r="E344" s="56" t="s">
        <v>612</v>
      </c>
      <c r="F344" s="56" t="s">
        <v>193</v>
      </c>
      <c r="G344" s="57" t="s">
        <v>34</v>
      </c>
      <c r="H344" s="68">
        <f t="shared" si="3"/>
        <v>0</v>
      </c>
      <c r="I344" s="62" t="s">
        <v>146</v>
      </c>
      <c r="J344" s="62"/>
      <c r="K344" s="71"/>
      <c r="L344" s="57" t="s">
        <v>130</v>
      </c>
      <c r="M344" s="61"/>
      <c r="N344" s="79"/>
      <c r="O344" s="62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  <c r="BE344" s="53"/>
      <c r="BF344" s="53"/>
      <c r="BG344" s="53"/>
      <c r="BH344" s="53"/>
      <c r="BI344" s="53"/>
      <c r="BJ344" s="53"/>
      <c r="BK344" s="53"/>
      <c r="BL344" s="53"/>
      <c r="BM344" s="53"/>
      <c r="BN344" s="53"/>
      <c r="BO344" s="53"/>
      <c r="BP344" s="101"/>
      <c r="BQ344" s="30">
        <v>1.0</v>
      </c>
      <c r="BR344" s="30">
        <f t="shared" si="4"/>
        <v>0</v>
      </c>
      <c r="BS344" s="70">
        <f t="shared" si="5"/>
        <v>0</v>
      </c>
      <c r="BT344" s="70">
        <v>1.0</v>
      </c>
    </row>
    <row r="345" ht="15.75" customHeight="1">
      <c r="A345" s="54" t="s">
        <v>289</v>
      </c>
      <c r="B345" s="56" t="s">
        <v>649</v>
      </c>
      <c r="C345" s="56" t="s">
        <v>606</v>
      </c>
      <c r="D345" s="56" t="s">
        <v>611</v>
      </c>
      <c r="E345" s="56" t="s">
        <v>613</v>
      </c>
      <c r="F345" s="56" t="s">
        <v>193</v>
      </c>
      <c r="G345" s="57" t="s">
        <v>34</v>
      </c>
      <c r="H345" s="68">
        <f t="shared" si="3"/>
        <v>0</v>
      </c>
      <c r="I345" s="62" t="s">
        <v>146</v>
      </c>
      <c r="J345" s="62"/>
      <c r="K345" s="71"/>
      <c r="L345" s="57" t="s">
        <v>130</v>
      </c>
      <c r="M345" s="61"/>
      <c r="N345" s="79"/>
      <c r="O345" s="62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  <c r="BE345" s="53"/>
      <c r="BF345" s="53"/>
      <c r="BG345" s="53"/>
      <c r="BH345" s="53"/>
      <c r="BI345" s="53"/>
      <c r="BJ345" s="53"/>
      <c r="BK345" s="53"/>
      <c r="BL345" s="53"/>
      <c r="BM345" s="53"/>
      <c r="BN345" s="53"/>
      <c r="BO345" s="53"/>
      <c r="BP345" s="101"/>
      <c r="BQ345" s="30">
        <v>1.0</v>
      </c>
      <c r="BR345" s="30">
        <f t="shared" si="4"/>
        <v>0</v>
      </c>
      <c r="BS345" s="70">
        <f t="shared" si="5"/>
        <v>0</v>
      </c>
      <c r="BT345" s="70">
        <v>1.0</v>
      </c>
    </row>
    <row r="346" ht="15.75" customHeight="1">
      <c r="A346" s="54" t="s">
        <v>289</v>
      </c>
      <c r="B346" s="56" t="s">
        <v>649</v>
      </c>
      <c r="C346" s="56" t="s">
        <v>606</v>
      </c>
      <c r="D346" s="56" t="s">
        <v>611</v>
      </c>
      <c r="E346" s="56" t="s">
        <v>614</v>
      </c>
      <c r="F346" s="56" t="s">
        <v>193</v>
      </c>
      <c r="G346" s="57" t="s">
        <v>34</v>
      </c>
      <c r="H346" s="68">
        <f t="shared" si="3"/>
        <v>0</v>
      </c>
      <c r="I346" s="62" t="s">
        <v>146</v>
      </c>
      <c r="J346" s="62"/>
      <c r="K346" s="71"/>
      <c r="L346" s="57" t="s">
        <v>115</v>
      </c>
      <c r="M346" s="61"/>
      <c r="N346" s="79"/>
      <c r="O346" s="62" t="s">
        <v>615</v>
      </c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  <c r="BE346" s="53"/>
      <c r="BF346" s="53"/>
      <c r="BG346" s="53"/>
      <c r="BH346" s="53"/>
      <c r="BI346" s="53"/>
      <c r="BJ346" s="53"/>
      <c r="BK346" s="53"/>
      <c r="BL346" s="53"/>
      <c r="BM346" s="53"/>
      <c r="BN346" s="53"/>
      <c r="BO346" s="53"/>
      <c r="BP346" s="101"/>
      <c r="BQ346" s="30">
        <v>1.0</v>
      </c>
      <c r="BR346" s="30">
        <f t="shared" si="4"/>
        <v>0</v>
      </c>
      <c r="BS346" s="70">
        <f t="shared" si="5"/>
        <v>0</v>
      </c>
      <c r="BT346" s="70">
        <v>1.0</v>
      </c>
    </row>
    <row r="347" ht="15.75" customHeight="1">
      <c r="A347" s="54" t="s">
        <v>289</v>
      </c>
      <c r="B347" s="56" t="s">
        <v>649</v>
      </c>
      <c r="C347" s="56" t="s">
        <v>606</v>
      </c>
      <c r="D347" s="56" t="s">
        <v>611</v>
      </c>
      <c r="E347" s="56" t="s">
        <v>616</v>
      </c>
      <c r="F347" s="56" t="s">
        <v>327</v>
      </c>
      <c r="G347" s="57" t="s">
        <v>154</v>
      </c>
      <c r="H347" s="68">
        <f t="shared" si="3"/>
        <v>0</v>
      </c>
      <c r="I347" s="62" t="s">
        <v>146</v>
      </c>
      <c r="J347" s="62" t="s">
        <v>617</v>
      </c>
      <c r="K347" s="71"/>
      <c r="L347" s="57" t="s">
        <v>115</v>
      </c>
      <c r="M347" s="61"/>
      <c r="N347" s="79"/>
      <c r="O347" s="62" t="s">
        <v>617</v>
      </c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  <c r="BE347" s="53"/>
      <c r="BF347" s="53"/>
      <c r="BG347" s="53"/>
      <c r="BH347" s="53"/>
      <c r="BI347" s="53"/>
      <c r="BJ347" s="53"/>
      <c r="BK347" s="53"/>
      <c r="BL347" s="53"/>
      <c r="BM347" s="53"/>
      <c r="BN347" s="53"/>
      <c r="BO347" s="102"/>
      <c r="BP347" s="101"/>
      <c r="BQ347" s="30">
        <v>2.0</v>
      </c>
      <c r="BR347" s="30">
        <f t="shared" si="4"/>
        <v>0</v>
      </c>
      <c r="BS347" s="70">
        <f t="shared" si="5"/>
        <v>0</v>
      </c>
      <c r="BT347" s="70">
        <v>1.0</v>
      </c>
    </row>
    <row r="348" ht="15.75" customHeight="1">
      <c r="A348" s="54" t="s">
        <v>289</v>
      </c>
      <c r="B348" s="56" t="s">
        <v>649</v>
      </c>
      <c r="C348" s="56" t="s">
        <v>606</v>
      </c>
      <c r="D348" s="56" t="s">
        <v>611</v>
      </c>
      <c r="E348" s="56" t="s">
        <v>618</v>
      </c>
      <c r="F348" s="56" t="s">
        <v>327</v>
      </c>
      <c r="G348" s="57" t="s">
        <v>154</v>
      </c>
      <c r="H348" s="68">
        <f t="shared" si="3"/>
        <v>0</v>
      </c>
      <c r="I348" s="62" t="s">
        <v>146</v>
      </c>
      <c r="J348" s="62" t="s">
        <v>617</v>
      </c>
      <c r="K348" s="71"/>
      <c r="L348" s="57" t="s">
        <v>115</v>
      </c>
      <c r="M348" s="61"/>
      <c r="N348" s="79"/>
      <c r="O348" s="62" t="s">
        <v>617</v>
      </c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  <c r="BE348" s="53"/>
      <c r="BF348" s="53"/>
      <c r="BG348" s="53"/>
      <c r="BH348" s="53"/>
      <c r="BI348" s="53"/>
      <c r="BJ348" s="53"/>
      <c r="BK348" s="53"/>
      <c r="BL348" s="53"/>
      <c r="BM348" s="53"/>
      <c r="BN348" s="53"/>
      <c r="BO348" s="102"/>
      <c r="BP348" s="101"/>
      <c r="BQ348" s="30">
        <v>2.0</v>
      </c>
      <c r="BR348" s="30">
        <f t="shared" si="4"/>
        <v>0</v>
      </c>
      <c r="BS348" s="70">
        <f t="shared" si="5"/>
        <v>0</v>
      </c>
      <c r="BT348" s="70">
        <v>1.0</v>
      </c>
    </row>
    <row r="349" ht="15.75" customHeight="1">
      <c r="A349" s="54" t="s">
        <v>289</v>
      </c>
      <c r="B349" s="56" t="s">
        <v>650</v>
      </c>
      <c r="C349" s="56" t="s">
        <v>606</v>
      </c>
      <c r="D349" s="56" t="s">
        <v>651</v>
      </c>
      <c r="E349" s="56" t="s">
        <v>196</v>
      </c>
      <c r="F349" s="56" t="s">
        <v>249</v>
      </c>
      <c r="G349" s="57" t="s">
        <v>250</v>
      </c>
      <c r="H349" s="68">
        <f t="shared" si="3"/>
        <v>0.25</v>
      </c>
      <c r="I349" s="62"/>
      <c r="J349" s="62" t="s">
        <v>288</v>
      </c>
      <c r="K349" s="71"/>
      <c r="L349" s="57" t="s">
        <v>115</v>
      </c>
      <c r="M349" s="61"/>
      <c r="N349" s="61" t="s">
        <v>495</v>
      </c>
      <c r="O349" s="62" t="s">
        <v>288</v>
      </c>
      <c r="P349" s="53"/>
      <c r="Q349" s="53"/>
      <c r="R349" s="53"/>
      <c r="S349" s="53" t="s">
        <v>326</v>
      </c>
      <c r="T349" s="53"/>
      <c r="U349" s="53"/>
      <c r="V349" s="53"/>
      <c r="W349" s="53"/>
      <c r="X349" s="53"/>
      <c r="Y349" s="87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87"/>
      <c r="AK349" s="53"/>
      <c r="AL349" s="53"/>
      <c r="AM349" s="53"/>
      <c r="AN349" s="53"/>
      <c r="AO349" s="53"/>
      <c r="AP349" s="87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87"/>
      <c r="BE349" s="53"/>
      <c r="BF349" s="53"/>
      <c r="BG349" s="53"/>
      <c r="BH349" s="53"/>
      <c r="BI349" s="53"/>
      <c r="BJ349" s="53"/>
      <c r="BK349" s="53"/>
      <c r="BL349" s="87"/>
      <c r="BM349" s="53"/>
      <c r="BN349" s="53"/>
      <c r="BO349" s="30"/>
      <c r="BP349" s="101"/>
      <c r="BQ349" s="30">
        <v>4.0</v>
      </c>
      <c r="BR349" s="30">
        <f t="shared" si="4"/>
        <v>1</v>
      </c>
      <c r="BS349" s="70">
        <f t="shared" si="5"/>
        <v>0</v>
      </c>
      <c r="BT349" s="70">
        <v>1.0</v>
      </c>
    </row>
    <row r="350" ht="15.75" customHeight="1">
      <c r="A350" s="54" t="s">
        <v>289</v>
      </c>
      <c r="B350" s="56" t="s">
        <v>650</v>
      </c>
      <c r="C350" s="56" t="s">
        <v>606</v>
      </c>
      <c r="D350" s="56" t="s">
        <v>651</v>
      </c>
      <c r="E350" s="56" t="s">
        <v>621</v>
      </c>
      <c r="F350" s="56" t="s">
        <v>321</v>
      </c>
      <c r="G350" s="57" t="s">
        <v>192</v>
      </c>
      <c r="H350" s="68">
        <f t="shared" si="3"/>
        <v>0</v>
      </c>
      <c r="I350" s="62"/>
      <c r="J350" s="62"/>
      <c r="K350" s="71"/>
      <c r="L350" s="57" t="s">
        <v>115</v>
      </c>
      <c r="M350" s="61"/>
      <c r="N350" s="79"/>
      <c r="O350" s="62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  <c r="BE350" s="53"/>
      <c r="BF350" s="53"/>
      <c r="BG350" s="53"/>
      <c r="BH350" s="53"/>
      <c r="BI350" s="53"/>
      <c r="BJ350" s="53"/>
      <c r="BK350" s="53"/>
      <c r="BL350" s="53"/>
      <c r="BM350" s="53"/>
      <c r="BN350" s="53"/>
      <c r="BO350" s="53"/>
      <c r="BP350" s="75"/>
      <c r="BQ350" s="30">
        <v>3.0</v>
      </c>
      <c r="BR350" s="30">
        <f t="shared" si="4"/>
        <v>0</v>
      </c>
      <c r="BS350" s="70">
        <f t="shared" si="5"/>
        <v>0</v>
      </c>
      <c r="BT350" s="70">
        <v>1.0</v>
      </c>
    </row>
    <row r="351" ht="15.75" customHeight="1">
      <c r="A351" s="54" t="s">
        <v>289</v>
      </c>
      <c r="B351" s="56" t="s">
        <v>650</v>
      </c>
      <c r="C351" s="56" t="s">
        <v>606</v>
      </c>
      <c r="D351" s="56" t="s">
        <v>651</v>
      </c>
      <c r="E351" s="56" t="s">
        <v>622</v>
      </c>
      <c r="F351" s="56" t="s">
        <v>327</v>
      </c>
      <c r="G351" s="57" t="s">
        <v>154</v>
      </c>
      <c r="H351" s="68">
        <f t="shared" si="3"/>
        <v>0</v>
      </c>
      <c r="I351" s="62"/>
      <c r="J351" s="62" t="s">
        <v>617</v>
      </c>
      <c r="K351" s="71"/>
      <c r="L351" s="57" t="s">
        <v>115</v>
      </c>
      <c r="M351" s="61"/>
      <c r="N351" s="79"/>
      <c r="O351" s="62" t="s">
        <v>617</v>
      </c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  <c r="BE351" s="53"/>
      <c r="BF351" s="53"/>
      <c r="BG351" s="53"/>
      <c r="BH351" s="53"/>
      <c r="BI351" s="53"/>
      <c r="BJ351" s="53"/>
      <c r="BK351" s="53"/>
      <c r="BL351" s="53"/>
      <c r="BM351" s="53"/>
      <c r="BN351" s="53"/>
      <c r="BO351" s="102"/>
      <c r="BP351" s="75"/>
      <c r="BQ351" s="30">
        <v>2.0</v>
      </c>
      <c r="BR351" s="30">
        <f t="shared" si="4"/>
        <v>0</v>
      </c>
      <c r="BS351" s="70">
        <f t="shared" si="5"/>
        <v>0</v>
      </c>
      <c r="BT351" s="70">
        <v>1.0</v>
      </c>
    </row>
    <row r="352" ht="15.75" customHeight="1">
      <c r="A352" s="54" t="s">
        <v>289</v>
      </c>
      <c r="B352" s="56" t="s">
        <v>654</v>
      </c>
      <c r="C352" s="56" t="s">
        <v>606</v>
      </c>
      <c r="D352" s="56" t="s">
        <v>655</v>
      </c>
      <c r="E352" s="56" t="s">
        <v>191</v>
      </c>
      <c r="F352" s="56" t="s">
        <v>313</v>
      </c>
      <c r="G352" s="57" t="s">
        <v>192</v>
      </c>
      <c r="H352" s="68">
        <f t="shared" si="3"/>
        <v>0</v>
      </c>
      <c r="I352" s="62"/>
      <c r="J352" s="62"/>
      <c r="K352" s="71"/>
      <c r="L352" s="57" t="s">
        <v>115</v>
      </c>
      <c r="M352" s="61"/>
      <c r="N352" s="79"/>
      <c r="O352" s="62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  <c r="BE352" s="53"/>
      <c r="BF352" s="53"/>
      <c r="BG352" s="53"/>
      <c r="BH352" s="53"/>
      <c r="BI352" s="53"/>
      <c r="BJ352" s="53"/>
      <c r="BK352" s="53"/>
      <c r="BL352" s="53"/>
      <c r="BM352" s="53"/>
      <c r="BN352" s="53"/>
      <c r="BO352" s="53"/>
      <c r="BP352" s="53"/>
      <c r="BQ352" s="30">
        <v>3.0</v>
      </c>
      <c r="BR352" s="30">
        <f t="shared" si="4"/>
        <v>0</v>
      </c>
      <c r="BS352" s="70">
        <f t="shared" si="5"/>
        <v>0</v>
      </c>
      <c r="BT352" s="70">
        <v>1.0</v>
      </c>
    </row>
    <row r="353" ht="15.75" customHeight="1">
      <c r="A353" s="54" t="s">
        <v>289</v>
      </c>
      <c r="B353" s="56" t="s">
        <v>654</v>
      </c>
      <c r="C353" s="56" t="s">
        <v>606</v>
      </c>
      <c r="D353" s="56" t="s">
        <v>655</v>
      </c>
      <c r="E353" s="56" t="s">
        <v>632</v>
      </c>
      <c r="F353" s="56" t="s">
        <v>246</v>
      </c>
      <c r="G353" s="57" t="s">
        <v>154</v>
      </c>
      <c r="H353" s="68">
        <f t="shared" si="3"/>
        <v>0.5</v>
      </c>
      <c r="I353" s="62"/>
      <c r="J353" s="62"/>
      <c r="K353" s="71"/>
      <c r="L353" s="57" t="s">
        <v>115</v>
      </c>
      <c r="M353" s="61"/>
      <c r="N353" s="61" t="s">
        <v>322</v>
      </c>
      <c r="O353" s="62"/>
      <c r="P353" s="53"/>
      <c r="Q353" s="53"/>
      <c r="R353" s="53" t="s">
        <v>323</v>
      </c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  <c r="BE353" s="53"/>
      <c r="BF353" s="53"/>
      <c r="BG353" s="53"/>
      <c r="BH353" s="53"/>
      <c r="BI353" s="53"/>
      <c r="BJ353" s="53"/>
      <c r="BK353" s="53"/>
      <c r="BL353" s="53"/>
      <c r="BM353" s="53"/>
      <c r="BN353" s="53"/>
      <c r="BO353" s="30"/>
      <c r="BP353" s="101"/>
      <c r="BQ353" s="30">
        <v>2.0</v>
      </c>
      <c r="BR353" s="30">
        <f t="shared" si="4"/>
        <v>1</v>
      </c>
      <c r="BS353" s="70">
        <f t="shared" si="5"/>
        <v>0</v>
      </c>
      <c r="BT353" s="70">
        <v>1.0</v>
      </c>
    </row>
    <row r="354" ht="15.75" customHeight="1">
      <c r="A354" s="54" t="s">
        <v>289</v>
      </c>
      <c r="B354" s="56" t="s">
        <v>654</v>
      </c>
      <c r="C354" s="56" t="s">
        <v>606</v>
      </c>
      <c r="D354" s="56" t="s">
        <v>655</v>
      </c>
      <c r="E354" s="56" t="s">
        <v>633</v>
      </c>
      <c r="F354" s="56" t="s">
        <v>246</v>
      </c>
      <c r="G354" s="57" t="s">
        <v>154</v>
      </c>
      <c r="H354" s="68">
        <f t="shared" si="3"/>
        <v>0</v>
      </c>
      <c r="I354" s="62"/>
      <c r="J354" s="62"/>
      <c r="K354" s="71"/>
      <c r="L354" s="57" t="s">
        <v>115</v>
      </c>
      <c r="M354" s="61"/>
      <c r="N354" s="79"/>
      <c r="O354" s="62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  <c r="BE354" s="53"/>
      <c r="BF354" s="53"/>
      <c r="BG354" s="53"/>
      <c r="BH354" s="53"/>
      <c r="BI354" s="53"/>
      <c r="BJ354" s="53"/>
      <c r="BK354" s="53"/>
      <c r="BL354" s="53"/>
      <c r="BM354" s="53"/>
      <c r="BN354" s="53"/>
      <c r="BO354" s="53"/>
      <c r="BP354" s="75"/>
      <c r="BQ354" s="30">
        <v>2.0</v>
      </c>
      <c r="BR354" s="30">
        <f t="shared" si="4"/>
        <v>0</v>
      </c>
      <c r="BS354" s="70">
        <f t="shared" si="5"/>
        <v>0</v>
      </c>
      <c r="BT354" s="70">
        <v>1.0</v>
      </c>
    </row>
    <row r="355" ht="15.75" customHeight="1">
      <c r="A355" s="54" t="s">
        <v>289</v>
      </c>
      <c r="B355" s="56" t="s">
        <v>654</v>
      </c>
      <c r="C355" s="56" t="s">
        <v>606</v>
      </c>
      <c r="D355" s="56" t="s">
        <v>655</v>
      </c>
      <c r="E355" s="56" t="s">
        <v>196</v>
      </c>
      <c r="F355" s="56" t="s">
        <v>249</v>
      </c>
      <c r="G355" s="57" t="s">
        <v>250</v>
      </c>
      <c r="H355" s="68">
        <f t="shared" si="3"/>
        <v>0.25</v>
      </c>
      <c r="I355" s="62"/>
      <c r="J355" s="62" t="s">
        <v>201</v>
      </c>
      <c r="K355" s="71"/>
      <c r="L355" s="57" t="s">
        <v>115</v>
      </c>
      <c r="M355" s="61"/>
      <c r="N355" s="61" t="s">
        <v>324</v>
      </c>
      <c r="O355" s="62" t="s">
        <v>201</v>
      </c>
      <c r="P355" s="53"/>
      <c r="Q355" s="53"/>
      <c r="R355" s="53"/>
      <c r="S355" s="53" t="s">
        <v>326</v>
      </c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  <c r="BE355" s="53"/>
      <c r="BF355" s="53"/>
      <c r="BG355" s="53"/>
      <c r="BH355" s="53"/>
      <c r="BI355" s="53"/>
      <c r="BJ355" s="53"/>
      <c r="BK355" s="53"/>
      <c r="BL355" s="53"/>
      <c r="BM355" s="53"/>
      <c r="BN355" s="53"/>
      <c r="BO355" s="30"/>
      <c r="BP355" s="101"/>
      <c r="BQ355" s="30">
        <v>4.0</v>
      </c>
      <c r="BR355" s="30">
        <f t="shared" si="4"/>
        <v>1</v>
      </c>
      <c r="BS355" s="70">
        <f t="shared" si="5"/>
        <v>0</v>
      </c>
      <c r="BT355" s="70">
        <v>1.0</v>
      </c>
    </row>
    <row r="356" ht="15.75" customHeight="1">
      <c r="A356" s="54" t="s">
        <v>289</v>
      </c>
      <c r="B356" s="56" t="s">
        <v>656</v>
      </c>
      <c r="C356" s="56" t="s">
        <v>606</v>
      </c>
      <c r="D356" s="56" t="s">
        <v>657</v>
      </c>
      <c r="E356" s="56" t="s">
        <v>191</v>
      </c>
      <c r="F356" s="56" t="s">
        <v>313</v>
      </c>
      <c r="G356" s="57" t="s">
        <v>192</v>
      </c>
      <c r="H356" s="68">
        <f t="shared" si="3"/>
        <v>0</v>
      </c>
      <c r="I356" s="62"/>
      <c r="J356" s="62"/>
      <c r="K356" s="71"/>
      <c r="L356" s="57" t="s">
        <v>115</v>
      </c>
      <c r="M356" s="61"/>
      <c r="N356" s="79"/>
      <c r="O356" s="62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  <c r="BE356" s="53"/>
      <c r="BF356" s="53"/>
      <c r="BG356" s="53"/>
      <c r="BH356" s="53"/>
      <c r="BI356" s="53"/>
      <c r="BJ356" s="53"/>
      <c r="BK356" s="53"/>
      <c r="BL356" s="53"/>
      <c r="BM356" s="53"/>
      <c r="BN356" s="53"/>
      <c r="BO356" s="53"/>
      <c r="BP356" s="75"/>
      <c r="BQ356" s="30">
        <v>3.0</v>
      </c>
      <c r="BR356" s="30">
        <f t="shared" si="4"/>
        <v>0</v>
      </c>
      <c r="BS356" s="70">
        <f t="shared" si="5"/>
        <v>0</v>
      </c>
      <c r="BT356" s="70">
        <v>1.0</v>
      </c>
    </row>
    <row r="357" ht="15.75" customHeight="1">
      <c r="A357" s="54" t="s">
        <v>289</v>
      </c>
      <c r="B357" s="56" t="s">
        <v>656</v>
      </c>
      <c r="C357" s="56" t="s">
        <v>606</v>
      </c>
      <c r="D357" s="56" t="s">
        <v>657</v>
      </c>
      <c r="E357" s="56" t="s">
        <v>632</v>
      </c>
      <c r="F357" s="56" t="s">
        <v>246</v>
      </c>
      <c r="G357" s="57" t="s">
        <v>154</v>
      </c>
      <c r="H357" s="68">
        <f t="shared" si="3"/>
        <v>0.5</v>
      </c>
      <c r="I357" s="62"/>
      <c r="J357" s="62"/>
      <c r="K357" s="71"/>
      <c r="L357" s="57" t="s">
        <v>115</v>
      </c>
      <c r="M357" s="61"/>
      <c r="N357" s="61" t="s">
        <v>322</v>
      </c>
      <c r="O357" s="62"/>
      <c r="P357" s="53"/>
      <c r="Q357" s="53"/>
      <c r="R357" s="53" t="s">
        <v>323</v>
      </c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53"/>
      <c r="BI357" s="53"/>
      <c r="BJ357" s="53"/>
      <c r="BK357" s="53"/>
      <c r="BL357" s="53"/>
      <c r="BM357" s="53"/>
      <c r="BN357" s="53"/>
      <c r="BO357" s="30"/>
      <c r="BP357" s="30"/>
      <c r="BQ357" s="30">
        <v>2.0</v>
      </c>
      <c r="BR357" s="30">
        <f t="shared" si="4"/>
        <v>1</v>
      </c>
      <c r="BS357" s="70">
        <f t="shared" si="5"/>
        <v>0</v>
      </c>
      <c r="BT357" s="70">
        <v>1.0</v>
      </c>
    </row>
    <row r="358" ht="15.75" customHeight="1">
      <c r="A358" s="54" t="s">
        <v>289</v>
      </c>
      <c r="B358" s="56" t="s">
        <v>656</v>
      </c>
      <c r="C358" s="56" t="s">
        <v>606</v>
      </c>
      <c r="D358" s="56" t="s">
        <v>657</v>
      </c>
      <c r="E358" s="56" t="s">
        <v>633</v>
      </c>
      <c r="F358" s="56" t="s">
        <v>246</v>
      </c>
      <c r="G358" s="57" t="s">
        <v>154</v>
      </c>
      <c r="H358" s="68">
        <f t="shared" si="3"/>
        <v>0</v>
      </c>
      <c r="I358" s="62"/>
      <c r="J358" s="62"/>
      <c r="K358" s="71"/>
      <c r="L358" s="57" t="s">
        <v>115</v>
      </c>
      <c r="M358" s="61"/>
      <c r="N358" s="79"/>
      <c r="O358" s="62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8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  <c r="BE358" s="53"/>
      <c r="BF358" s="53"/>
      <c r="BG358" s="53"/>
      <c r="BH358" s="53"/>
      <c r="BI358" s="53"/>
      <c r="BJ358" s="53"/>
      <c r="BK358" s="53"/>
      <c r="BL358" s="53"/>
      <c r="BM358" s="53"/>
      <c r="BN358" s="53"/>
      <c r="BO358" s="53"/>
      <c r="BP358" s="75"/>
      <c r="BQ358" s="30">
        <v>2.0</v>
      </c>
      <c r="BR358" s="30">
        <f t="shared" si="4"/>
        <v>0</v>
      </c>
      <c r="BS358" s="70">
        <f t="shared" si="5"/>
        <v>0</v>
      </c>
      <c r="BT358" s="70">
        <v>1.0</v>
      </c>
    </row>
    <row r="359" ht="15.75" customHeight="1">
      <c r="A359" s="54" t="s">
        <v>289</v>
      </c>
      <c r="B359" s="56" t="s">
        <v>656</v>
      </c>
      <c r="C359" s="56" t="s">
        <v>606</v>
      </c>
      <c r="D359" s="56" t="s">
        <v>657</v>
      </c>
      <c r="E359" s="56" t="s">
        <v>196</v>
      </c>
      <c r="F359" s="56" t="s">
        <v>249</v>
      </c>
      <c r="G359" s="57" t="s">
        <v>250</v>
      </c>
      <c r="H359" s="68">
        <f t="shared" si="3"/>
        <v>0.25</v>
      </c>
      <c r="I359" s="62"/>
      <c r="J359" s="62" t="s">
        <v>201</v>
      </c>
      <c r="K359" s="71"/>
      <c r="L359" s="57" t="s">
        <v>115</v>
      </c>
      <c r="M359" s="61"/>
      <c r="N359" s="61" t="s">
        <v>324</v>
      </c>
      <c r="O359" s="62" t="s">
        <v>201</v>
      </c>
      <c r="P359" s="53"/>
      <c r="Q359" s="53"/>
      <c r="R359" s="53"/>
      <c r="S359" s="53" t="s">
        <v>326</v>
      </c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  <c r="BE359" s="53"/>
      <c r="BF359" s="53"/>
      <c r="BG359" s="53"/>
      <c r="BH359" s="53"/>
      <c r="BI359" s="53"/>
      <c r="BJ359" s="53"/>
      <c r="BK359" s="53"/>
      <c r="BL359" s="53"/>
      <c r="BM359" s="53"/>
      <c r="BN359" s="53"/>
      <c r="BO359" s="30"/>
      <c r="BP359" s="30"/>
      <c r="BQ359" s="30">
        <v>4.0</v>
      </c>
      <c r="BR359" s="30">
        <f t="shared" si="4"/>
        <v>1</v>
      </c>
      <c r="BS359" s="70">
        <f t="shared" si="5"/>
        <v>0</v>
      </c>
      <c r="BT359" s="70">
        <v>1.0</v>
      </c>
    </row>
    <row r="360" ht="15.75" customHeight="1">
      <c r="A360" s="54" t="s">
        <v>658</v>
      </c>
      <c r="B360" s="56" t="s">
        <v>659</v>
      </c>
      <c r="C360" s="56" t="s">
        <v>610</v>
      </c>
      <c r="D360" s="56" t="s">
        <v>660</v>
      </c>
      <c r="E360" s="56" t="s">
        <v>661</v>
      </c>
      <c r="F360" s="56" t="s">
        <v>193</v>
      </c>
      <c r="G360" s="57" t="s">
        <v>34</v>
      </c>
      <c r="H360" s="68">
        <f t="shared" si="3"/>
        <v>0</v>
      </c>
      <c r="I360" s="62" t="s">
        <v>146</v>
      </c>
      <c r="J360" s="62"/>
      <c r="K360" s="71"/>
      <c r="L360" s="57" t="s">
        <v>130</v>
      </c>
      <c r="M360" s="61"/>
      <c r="N360" s="79"/>
      <c r="O360" s="62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  <c r="BE360" s="53"/>
      <c r="BF360" s="53"/>
      <c r="BG360" s="53"/>
      <c r="BH360" s="53"/>
      <c r="BI360" s="53"/>
      <c r="BJ360" s="53"/>
      <c r="BK360" s="53"/>
      <c r="BL360" s="53"/>
      <c r="BM360" s="53"/>
      <c r="BN360" s="53"/>
      <c r="BO360" s="30"/>
      <c r="BP360" s="30"/>
      <c r="BQ360" s="30">
        <v>1.0</v>
      </c>
      <c r="BR360" s="30">
        <f t="shared" si="4"/>
        <v>0</v>
      </c>
      <c r="BS360" s="70">
        <f t="shared" si="5"/>
        <v>0</v>
      </c>
      <c r="BT360" s="70">
        <v>1.0</v>
      </c>
    </row>
    <row r="361" ht="15.75" customHeight="1">
      <c r="A361" s="54" t="s">
        <v>658</v>
      </c>
      <c r="B361" s="56" t="s">
        <v>659</v>
      </c>
      <c r="C361" s="56" t="s">
        <v>610</v>
      </c>
      <c r="D361" s="56" t="s">
        <v>660</v>
      </c>
      <c r="E361" s="56" t="s">
        <v>662</v>
      </c>
      <c r="F361" s="56" t="s">
        <v>193</v>
      </c>
      <c r="G361" s="57" t="s">
        <v>34</v>
      </c>
      <c r="H361" s="68">
        <f t="shared" si="3"/>
        <v>0</v>
      </c>
      <c r="I361" s="62"/>
      <c r="J361" s="62"/>
      <c r="K361" s="71"/>
      <c r="L361" s="57" t="s">
        <v>115</v>
      </c>
      <c r="M361" s="61"/>
      <c r="N361" s="79"/>
      <c r="O361" s="62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3"/>
      <c r="BG361" s="53"/>
      <c r="BH361" s="53"/>
      <c r="BI361" s="53"/>
      <c r="BJ361" s="53"/>
      <c r="BK361" s="53"/>
      <c r="BL361" s="53"/>
      <c r="BM361" s="53"/>
      <c r="BN361" s="53"/>
      <c r="BO361" s="53"/>
      <c r="BP361" s="53"/>
      <c r="BQ361" s="30">
        <v>1.0</v>
      </c>
      <c r="BR361" s="30">
        <f t="shared" si="4"/>
        <v>0</v>
      </c>
      <c r="BS361" s="70">
        <f t="shared" si="5"/>
        <v>0</v>
      </c>
      <c r="BT361" s="70">
        <v>1.0</v>
      </c>
    </row>
    <row r="362" ht="15.75" customHeight="1">
      <c r="A362" s="54" t="s">
        <v>658</v>
      </c>
      <c r="B362" s="56" t="s">
        <v>659</v>
      </c>
      <c r="C362" s="56" t="s">
        <v>610</v>
      </c>
      <c r="D362" s="56" t="s">
        <v>660</v>
      </c>
      <c r="E362" s="56" t="s">
        <v>663</v>
      </c>
      <c r="F362" s="56" t="s">
        <v>193</v>
      </c>
      <c r="G362" s="57" t="s">
        <v>34</v>
      </c>
      <c r="H362" s="68">
        <f t="shared" si="3"/>
        <v>0</v>
      </c>
      <c r="I362" s="62" t="s">
        <v>146</v>
      </c>
      <c r="J362" s="62"/>
      <c r="K362" s="71"/>
      <c r="L362" s="57" t="s">
        <v>115</v>
      </c>
      <c r="M362" s="61"/>
      <c r="N362" s="79"/>
      <c r="O362" s="62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  <c r="BE362" s="53"/>
      <c r="BF362" s="53"/>
      <c r="BG362" s="53"/>
      <c r="BH362" s="53"/>
      <c r="BI362" s="53"/>
      <c r="BJ362" s="53"/>
      <c r="BK362" s="53"/>
      <c r="BL362" s="53"/>
      <c r="BM362" s="53"/>
      <c r="BN362" s="53"/>
      <c r="BO362" s="53"/>
      <c r="BP362" s="30"/>
      <c r="BQ362" s="30">
        <v>1.0</v>
      </c>
      <c r="BR362" s="30">
        <f t="shared" si="4"/>
        <v>0</v>
      </c>
      <c r="BS362" s="70">
        <f t="shared" si="5"/>
        <v>0</v>
      </c>
      <c r="BT362" s="70">
        <v>1.0</v>
      </c>
    </row>
    <row r="363" ht="15.75" customHeight="1">
      <c r="A363" s="54" t="s">
        <v>658</v>
      </c>
      <c r="B363" s="56" t="s">
        <v>659</v>
      </c>
      <c r="C363" s="56" t="s">
        <v>610</v>
      </c>
      <c r="D363" s="56" t="s">
        <v>660</v>
      </c>
      <c r="E363" s="56" t="s">
        <v>664</v>
      </c>
      <c r="F363" s="56" t="s">
        <v>193</v>
      </c>
      <c r="G363" s="57" t="s">
        <v>34</v>
      </c>
      <c r="H363" s="68">
        <f t="shared" si="3"/>
        <v>0</v>
      </c>
      <c r="I363" s="62"/>
      <c r="J363" s="62"/>
      <c r="K363" s="71"/>
      <c r="L363" s="57" t="s">
        <v>115</v>
      </c>
      <c r="M363" s="61"/>
      <c r="N363" s="79"/>
      <c r="O363" s="62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3"/>
      <c r="BG363" s="53"/>
      <c r="BH363" s="53"/>
      <c r="BI363" s="53"/>
      <c r="BJ363" s="53"/>
      <c r="BK363" s="53"/>
      <c r="BL363" s="53"/>
      <c r="BM363" s="53"/>
      <c r="BN363" s="53"/>
      <c r="BO363" s="30"/>
      <c r="BP363" s="101"/>
      <c r="BQ363" s="30">
        <v>1.0</v>
      </c>
      <c r="BR363" s="30">
        <f t="shared" si="4"/>
        <v>0</v>
      </c>
      <c r="BS363" s="70">
        <f t="shared" si="5"/>
        <v>0</v>
      </c>
      <c r="BT363" s="70">
        <v>1.0</v>
      </c>
    </row>
    <row r="364" ht="15.75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665</v>
      </c>
      <c r="F364" s="56" t="s">
        <v>193</v>
      </c>
      <c r="G364" s="57" t="s">
        <v>34</v>
      </c>
      <c r="H364" s="68">
        <f t="shared" si="3"/>
        <v>0</v>
      </c>
      <c r="I364" s="62"/>
      <c r="J364" s="62"/>
      <c r="K364" s="71"/>
      <c r="L364" s="57" t="s">
        <v>130</v>
      </c>
      <c r="M364" s="61"/>
      <c r="N364" s="79"/>
      <c r="O364" s="62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  <c r="BE364" s="53"/>
      <c r="BF364" s="53"/>
      <c r="BG364" s="53"/>
      <c r="BH364" s="53"/>
      <c r="BI364" s="53"/>
      <c r="BJ364" s="53"/>
      <c r="BK364" s="53"/>
      <c r="BL364" s="53"/>
      <c r="BM364" s="53"/>
      <c r="BN364" s="53"/>
      <c r="BO364" s="30"/>
      <c r="BP364" s="101"/>
      <c r="BQ364" s="30">
        <v>1.0</v>
      </c>
      <c r="BR364" s="30">
        <f t="shared" si="4"/>
        <v>0</v>
      </c>
      <c r="BS364" s="70">
        <f t="shared" si="5"/>
        <v>0</v>
      </c>
      <c r="BT364" s="70">
        <v>1.0</v>
      </c>
    </row>
    <row r="365" ht="15.75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614</v>
      </c>
      <c r="F365" s="56" t="s">
        <v>193</v>
      </c>
      <c r="G365" s="57" t="s">
        <v>34</v>
      </c>
      <c r="H365" s="68">
        <f t="shared" si="3"/>
        <v>0</v>
      </c>
      <c r="I365" s="62" t="s">
        <v>146</v>
      </c>
      <c r="J365" s="62"/>
      <c r="K365" s="71"/>
      <c r="L365" s="57" t="s">
        <v>115</v>
      </c>
      <c r="M365" s="61"/>
      <c r="N365" s="79"/>
      <c r="O365" s="62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3"/>
      <c r="BG365" s="53"/>
      <c r="BH365" s="53"/>
      <c r="BI365" s="53"/>
      <c r="BJ365" s="53"/>
      <c r="BK365" s="53"/>
      <c r="BL365" s="53"/>
      <c r="BM365" s="53"/>
      <c r="BN365" s="53"/>
      <c r="BO365" s="30"/>
      <c r="BP365" s="101"/>
      <c r="BQ365" s="30">
        <v>1.0</v>
      </c>
      <c r="BR365" s="30">
        <f t="shared" si="4"/>
        <v>0</v>
      </c>
      <c r="BS365" s="70">
        <f t="shared" si="5"/>
        <v>0</v>
      </c>
      <c r="BT365" s="70">
        <v>1.0</v>
      </c>
    </row>
    <row r="366" ht="15.75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666</v>
      </c>
      <c r="F366" s="56" t="s">
        <v>193</v>
      </c>
      <c r="G366" s="57" t="s">
        <v>34</v>
      </c>
      <c r="H366" s="68">
        <f t="shared" si="3"/>
        <v>0</v>
      </c>
      <c r="I366" s="62" t="s">
        <v>146</v>
      </c>
      <c r="J366" s="62"/>
      <c r="K366" s="71"/>
      <c r="L366" s="57" t="s">
        <v>115</v>
      </c>
      <c r="M366" s="61"/>
      <c r="N366" s="79"/>
      <c r="O366" s="62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  <c r="BE366" s="53"/>
      <c r="BF366" s="53"/>
      <c r="BG366" s="53"/>
      <c r="BH366" s="53"/>
      <c r="BI366" s="53"/>
      <c r="BJ366" s="53"/>
      <c r="BK366" s="53"/>
      <c r="BL366" s="53"/>
      <c r="BM366" s="53"/>
      <c r="BN366" s="53"/>
      <c r="BO366" s="53"/>
      <c r="BP366" s="101"/>
      <c r="BQ366" s="30">
        <v>1.0</v>
      </c>
      <c r="BR366" s="30">
        <f t="shared" si="4"/>
        <v>0</v>
      </c>
      <c r="BS366" s="70">
        <f t="shared" si="5"/>
        <v>0</v>
      </c>
      <c r="BT366" s="70">
        <v>1.0</v>
      </c>
    </row>
    <row r="367" ht="15.75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667</v>
      </c>
      <c r="F367" s="56" t="s">
        <v>193</v>
      </c>
      <c r="G367" s="57" t="s">
        <v>34</v>
      </c>
      <c r="H367" s="68">
        <f t="shared" si="3"/>
        <v>0</v>
      </c>
      <c r="I367" s="62" t="s">
        <v>146</v>
      </c>
      <c r="J367" s="62"/>
      <c r="K367" s="71"/>
      <c r="L367" s="57" t="s">
        <v>130</v>
      </c>
      <c r="M367" s="61"/>
      <c r="N367" s="79"/>
      <c r="O367" s="62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3"/>
      <c r="BG367" s="53"/>
      <c r="BH367" s="53"/>
      <c r="BI367" s="53"/>
      <c r="BJ367" s="53"/>
      <c r="BK367" s="53"/>
      <c r="BL367" s="53"/>
      <c r="BM367" s="53"/>
      <c r="BN367" s="53"/>
      <c r="BO367" s="53"/>
      <c r="BP367" s="101"/>
      <c r="BQ367" s="30">
        <v>1.0</v>
      </c>
      <c r="BR367" s="30">
        <f t="shared" si="4"/>
        <v>0</v>
      </c>
      <c r="BS367" s="70">
        <f t="shared" si="5"/>
        <v>0</v>
      </c>
      <c r="BT367" s="70">
        <v>1.0</v>
      </c>
    </row>
    <row r="368" ht="15.75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668</v>
      </c>
      <c r="F368" s="56" t="s">
        <v>327</v>
      </c>
      <c r="G368" s="57" t="s">
        <v>154</v>
      </c>
      <c r="H368" s="68">
        <f t="shared" si="3"/>
        <v>0</v>
      </c>
      <c r="I368" s="62"/>
      <c r="J368" s="62" t="s">
        <v>617</v>
      </c>
      <c r="K368" s="71"/>
      <c r="L368" s="57" t="s">
        <v>115</v>
      </c>
      <c r="M368" s="61"/>
      <c r="N368" s="79"/>
      <c r="O368" s="62" t="s">
        <v>617</v>
      </c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  <c r="BE368" s="53"/>
      <c r="BF368" s="53"/>
      <c r="BG368" s="53"/>
      <c r="BH368" s="53"/>
      <c r="BI368" s="53"/>
      <c r="BJ368" s="53"/>
      <c r="BK368" s="53"/>
      <c r="BL368" s="53"/>
      <c r="BM368" s="53"/>
      <c r="BN368" s="53"/>
      <c r="BO368" s="53"/>
      <c r="BP368" s="101"/>
      <c r="BQ368" s="30">
        <v>2.0</v>
      </c>
      <c r="BR368" s="30">
        <f t="shared" si="4"/>
        <v>0</v>
      </c>
      <c r="BS368" s="70">
        <f t="shared" si="5"/>
        <v>0</v>
      </c>
      <c r="BT368" s="70">
        <v>1.0</v>
      </c>
    </row>
    <row r="369" ht="15.75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669</v>
      </c>
      <c r="F369" s="56" t="s">
        <v>327</v>
      </c>
      <c r="G369" s="57" t="s">
        <v>154</v>
      </c>
      <c r="H369" s="68">
        <f t="shared" si="3"/>
        <v>0</v>
      </c>
      <c r="I369" s="62"/>
      <c r="J369" s="62" t="s">
        <v>617</v>
      </c>
      <c r="K369" s="71"/>
      <c r="L369" s="57" t="s">
        <v>115</v>
      </c>
      <c r="M369" s="61"/>
      <c r="N369" s="79"/>
      <c r="O369" s="62" t="s">
        <v>617</v>
      </c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101"/>
      <c r="BQ369" s="30">
        <v>2.0</v>
      </c>
      <c r="BR369" s="30">
        <f t="shared" si="4"/>
        <v>0</v>
      </c>
      <c r="BS369" s="70">
        <f t="shared" si="5"/>
        <v>0</v>
      </c>
      <c r="BT369" s="70">
        <v>1.0</v>
      </c>
    </row>
    <row r="370" ht="15.75" customHeight="1">
      <c r="A370" s="54" t="s">
        <v>658</v>
      </c>
      <c r="B370" s="56" t="s">
        <v>659</v>
      </c>
      <c r="C370" s="56" t="s">
        <v>610</v>
      </c>
      <c r="D370" s="56" t="s">
        <v>660</v>
      </c>
      <c r="E370" s="56" t="s">
        <v>671</v>
      </c>
      <c r="F370" s="56" t="s">
        <v>327</v>
      </c>
      <c r="G370" s="57" t="s">
        <v>154</v>
      </c>
      <c r="H370" s="68">
        <f t="shared" si="3"/>
        <v>0</v>
      </c>
      <c r="I370" s="62" t="s">
        <v>146</v>
      </c>
      <c r="J370" s="62" t="s">
        <v>617</v>
      </c>
      <c r="K370" s="71"/>
      <c r="L370" s="57" t="s">
        <v>115</v>
      </c>
      <c r="M370" s="61"/>
      <c r="N370" s="79"/>
      <c r="O370" s="62" t="s">
        <v>617</v>
      </c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  <c r="BE370" s="53"/>
      <c r="BF370" s="53"/>
      <c r="BG370" s="53"/>
      <c r="BH370" s="53"/>
      <c r="BI370" s="53"/>
      <c r="BJ370" s="53"/>
      <c r="BK370" s="53"/>
      <c r="BL370" s="53"/>
      <c r="BM370" s="53"/>
      <c r="BN370" s="30"/>
      <c r="BO370" s="53"/>
      <c r="BP370" s="101"/>
      <c r="BQ370" s="30">
        <v>2.0</v>
      </c>
      <c r="BR370" s="30">
        <f t="shared" si="4"/>
        <v>0</v>
      </c>
      <c r="BS370" s="70">
        <f t="shared" si="5"/>
        <v>0</v>
      </c>
      <c r="BT370" s="70">
        <v>1.0</v>
      </c>
    </row>
    <row r="371" ht="15.75" customHeight="1">
      <c r="A371" s="54" t="s">
        <v>658</v>
      </c>
      <c r="B371" s="56" t="s">
        <v>659</v>
      </c>
      <c r="C371" s="56" t="s">
        <v>610</v>
      </c>
      <c r="D371" s="56" t="s">
        <v>660</v>
      </c>
      <c r="E371" s="56" t="s">
        <v>672</v>
      </c>
      <c r="F371" s="56" t="s">
        <v>327</v>
      </c>
      <c r="G371" s="57" t="s">
        <v>154</v>
      </c>
      <c r="H371" s="68">
        <f t="shared" si="3"/>
        <v>0</v>
      </c>
      <c r="I371" s="62" t="s">
        <v>146</v>
      </c>
      <c r="J371" s="62" t="s">
        <v>617</v>
      </c>
      <c r="K371" s="71"/>
      <c r="L371" s="57" t="s">
        <v>115</v>
      </c>
      <c r="M371" s="61"/>
      <c r="N371" s="79"/>
      <c r="O371" s="62" t="s">
        <v>617</v>
      </c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30"/>
      <c r="BO371" s="53"/>
      <c r="BP371" s="30"/>
      <c r="BQ371" s="30">
        <v>2.0</v>
      </c>
      <c r="BR371" s="30">
        <f t="shared" si="4"/>
        <v>0</v>
      </c>
      <c r="BS371" s="70">
        <f t="shared" si="5"/>
        <v>0</v>
      </c>
      <c r="BT371" s="70">
        <v>1.0</v>
      </c>
    </row>
    <row r="372" ht="15.75" customHeight="1">
      <c r="A372" s="54" t="s">
        <v>658</v>
      </c>
      <c r="B372" s="56" t="s">
        <v>659</v>
      </c>
      <c r="C372" s="56" t="s">
        <v>610</v>
      </c>
      <c r="D372" s="56" t="s">
        <v>660</v>
      </c>
      <c r="E372" s="56" t="s">
        <v>673</v>
      </c>
      <c r="F372" s="56" t="s">
        <v>327</v>
      </c>
      <c r="G372" s="57" t="s">
        <v>154</v>
      </c>
      <c r="H372" s="68">
        <f t="shared" si="3"/>
        <v>0</v>
      </c>
      <c r="I372" s="62" t="s">
        <v>146</v>
      </c>
      <c r="J372" s="62" t="s">
        <v>617</v>
      </c>
      <c r="K372" s="71"/>
      <c r="L372" s="57" t="s">
        <v>115</v>
      </c>
      <c r="M372" s="61"/>
      <c r="N372" s="79"/>
      <c r="O372" s="62" t="s">
        <v>617</v>
      </c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  <c r="BE372" s="53"/>
      <c r="BF372" s="53"/>
      <c r="BG372" s="53"/>
      <c r="BH372" s="53"/>
      <c r="BI372" s="53"/>
      <c r="BJ372" s="53"/>
      <c r="BK372" s="53"/>
      <c r="BL372" s="53"/>
      <c r="BM372" s="53"/>
      <c r="BN372" s="30"/>
      <c r="BO372" s="53"/>
      <c r="BP372" s="101"/>
      <c r="BQ372" s="30">
        <v>2.0</v>
      </c>
      <c r="BR372" s="30">
        <f t="shared" si="4"/>
        <v>0</v>
      </c>
      <c r="BS372" s="70">
        <f t="shared" si="5"/>
        <v>0</v>
      </c>
      <c r="BT372" s="70">
        <v>1.0</v>
      </c>
    </row>
    <row r="373" ht="15.75" customHeight="1">
      <c r="A373" s="54" t="s">
        <v>658</v>
      </c>
      <c r="B373" s="56" t="s">
        <v>674</v>
      </c>
      <c r="C373" s="56" t="s">
        <v>610</v>
      </c>
      <c r="D373" s="56" t="s">
        <v>675</v>
      </c>
      <c r="E373" s="56" t="s">
        <v>676</v>
      </c>
      <c r="F373" s="56" t="s">
        <v>193</v>
      </c>
      <c r="G373" s="57" t="s">
        <v>34</v>
      </c>
      <c r="H373" s="68">
        <f t="shared" si="3"/>
        <v>0</v>
      </c>
      <c r="I373" s="62" t="s">
        <v>146</v>
      </c>
      <c r="J373" s="62"/>
      <c r="K373" s="71"/>
      <c r="L373" s="57" t="s">
        <v>115</v>
      </c>
      <c r="M373" s="61"/>
      <c r="N373" s="79"/>
      <c r="O373" s="62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P373" s="101"/>
      <c r="BQ373" s="30">
        <v>1.0</v>
      </c>
      <c r="BR373" s="30">
        <f t="shared" si="4"/>
        <v>0</v>
      </c>
      <c r="BS373" s="70">
        <f t="shared" si="5"/>
        <v>0</v>
      </c>
      <c r="BT373" s="70">
        <v>1.0</v>
      </c>
    </row>
    <row r="374" ht="15.75" customHeight="1">
      <c r="A374" s="54" t="s">
        <v>658</v>
      </c>
      <c r="B374" s="56" t="s">
        <v>677</v>
      </c>
      <c r="C374" s="56" t="s">
        <v>610</v>
      </c>
      <c r="D374" s="56" t="s">
        <v>678</v>
      </c>
      <c r="E374" s="56" t="s">
        <v>679</v>
      </c>
      <c r="F374" s="56" t="s">
        <v>246</v>
      </c>
      <c r="G374" s="57" t="s">
        <v>154</v>
      </c>
      <c r="H374" s="68">
        <f t="shared" si="3"/>
        <v>0.5</v>
      </c>
      <c r="I374" s="62" t="s">
        <v>146</v>
      </c>
      <c r="J374" s="62"/>
      <c r="K374" s="71"/>
      <c r="L374" s="57" t="s">
        <v>115</v>
      </c>
      <c r="M374" s="61"/>
      <c r="N374" s="61" t="s">
        <v>877</v>
      </c>
      <c r="O374" s="62"/>
      <c r="P374" s="53"/>
      <c r="Q374" s="53"/>
      <c r="R374" s="53" t="s">
        <v>323</v>
      </c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  <c r="BE374" s="53"/>
      <c r="BF374" s="53"/>
      <c r="BG374" s="53"/>
      <c r="BH374" s="53"/>
      <c r="BI374" s="53"/>
      <c r="BJ374" s="53"/>
      <c r="BK374" s="53"/>
      <c r="BL374" s="53"/>
      <c r="BM374" s="53"/>
      <c r="BN374" s="53"/>
      <c r="BO374" s="30"/>
      <c r="BP374" s="101"/>
      <c r="BQ374" s="30">
        <v>2.0</v>
      </c>
      <c r="BR374" s="30">
        <f t="shared" si="4"/>
        <v>1</v>
      </c>
      <c r="BS374" s="70">
        <f t="shared" si="5"/>
        <v>0</v>
      </c>
      <c r="BT374" s="70">
        <v>1.0</v>
      </c>
    </row>
    <row r="375" ht="15.75" customHeight="1">
      <c r="A375" s="54" t="s">
        <v>658</v>
      </c>
      <c r="B375" s="56" t="s">
        <v>677</v>
      </c>
      <c r="C375" s="56" t="s">
        <v>610</v>
      </c>
      <c r="D375" s="56" t="s">
        <v>678</v>
      </c>
      <c r="E375" s="56" t="s">
        <v>680</v>
      </c>
      <c r="F375" s="56" t="s">
        <v>193</v>
      </c>
      <c r="G375" s="57" t="s">
        <v>34</v>
      </c>
      <c r="H375" s="68">
        <f t="shared" si="3"/>
        <v>0</v>
      </c>
      <c r="I375" s="62" t="s">
        <v>146</v>
      </c>
      <c r="J375" s="62"/>
      <c r="K375" s="71"/>
      <c r="L375" s="57" t="s">
        <v>115</v>
      </c>
      <c r="M375" s="61"/>
      <c r="N375" s="79"/>
      <c r="O375" s="62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3"/>
      <c r="BG375" s="53"/>
      <c r="BH375" s="53"/>
      <c r="BI375" s="53"/>
      <c r="BJ375" s="53"/>
      <c r="BK375" s="53"/>
      <c r="BL375" s="53"/>
      <c r="BM375" s="53"/>
      <c r="BN375" s="53"/>
      <c r="BO375" s="30"/>
      <c r="BP375" s="101"/>
      <c r="BQ375" s="30">
        <v>1.0</v>
      </c>
      <c r="BR375" s="30">
        <f t="shared" si="4"/>
        <v>0</v>
      </c>
      <c r="BS375" s="70">
        <f t="shared" si="5"/>
        <v>0</v>
      </c>
      <c r="BT375" s="70">
        <v>1.0</v>
      </c>
    </row>
    <row r="376" ht="15.75" customHeight="1">
      <c r="A376" s="54" t="s">
        <v>658</v>
      </c>
      <c r="B376" s="56" t="s">
        <v>677</v>
      </c>
      <c r="C376" s="56" t="s">
        <v>610</v>
      </c>
      <c r="D376" s="56" t="s">
        <v>678</v>
      </c>
      <c r="E376" s="56" t="s">
        <v>682</v>
      </c>
      <c r="F376" s="56" t="s">
        <v>193</v>
      </c>
      <c r="G376" s="57" t="s">
        <v>34</v>
      </c>
      <c r="H376" s="68">
        <f t="shared" si="3"/>
        <v>0</v>
      </c>
      <c r="I376" s="62" t="s">
        <v>146</v>
      </c>
      <c r="J376" s="62"/>
      <c r="K376" s="71"/>
      <c r="L376" s="57" t="s">
        <v>115</v>
      </c>
      <c r="M376" s="61"/>
      <c r="N376" s="79"/>
      <c r="O376" s="62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  <c r="BE376" s="53"/>
      <c r="BF376" s="53"/>
      <c r="BG376" s="53"/>
      <c r="BH376" s="53"/>
      <c r="BI376" s="53"/>
      <c r="BJ376" s="53"/>
      <c r="BK376" s="53"/>
      <c r="BL376" s="53"/>
      <c r="BM376" s="53"/>
      <c r="BN376" s="53"/>
      <c r="BO376" s="30"/>
      <c r="BP376" s="30"/>
      <c r="BQ376" s="30">
        <v>1.0</v>
      </c>
      <c r="BR376" s="30">
        <f t="shared" si="4"/>
        <v>0</v>
      </c>
      <c r="BS376" s="70">
        <f t="shared" si="5"/>
        <v>0</v>
      </c>
      <c r="BT376" s="70">
        <v>1.0</v>
      </c>
    </row>
    <row r="377" ht="15.75" customHeight="1">
      <c r="A377" s="54" t="s">
        <v>658</v>
      </c>
      <c r="B377" s="56" t="s">
        <v>677</v>
      </c>
      <c r="C377" s="56" t="s">
        <v>610</v>
      </c>
      <c r="D377" s="56" t="s">
        <v>678</v>
      </c>
      <c r="E377" s="56" t="s">
        <v>683</v>
      </c>
      <c r="F377" s="56" t="s">
        <v>193</v>
      </c>
      <c r="G377" s="57" t="s">
        <v>34</v>
      </c>
      <c r="H377" s="68">
        <f t="shared" si="3"/>
        <v>0</v>
      </c>
      <c r="I377" s="62" t="s">
        <v>146</v>
      </c>
      <c r="J377" s="62"/>
      <c r="K377" s="71"/>
      <c r="L377" s="57" t="s">
        <v>130</v>
      </c>
      <c r="M377" s="61"/>
      <c r="N377" s="79"/>
      <c r="O377" s="62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3"/>
      <c r="BG377" s="53"/>
      <c r="BH377" s="53"/>
      <c r="BI377" s="53"/>
      <c r="BJ377" s="53"/>
      <c r="BK377" s="53"/>
      <c r="BL377" s="53"/>
      <c r="BM377" s="53"/>
      <c r="BN377" s="53"/>
      <c r="BO377" s="30"/>
      <c r="BP377" s="101"/>
      <c r="BQ377" s="30">
        <v>1.0</v>
      </c>
      <c r="BR377" s="30">
        <f t="shared" si="4"/>
        <v>0</v>
      </c>
      <c r="BS377" s="70">
        <f t="shared" si="5"/>
        <v>0</v>
      </c>
      <c r="BT377" s="70">
        <v>1.0</v>
      </c>
    </row>
    <row r="378" ht="15.75" customHeight="1">
      <c r="A378" s="54" t="s">
        <v>658</v>
      </c>
      <c r="B378" s="56" t="s">
        <v>677</v>
      </c>
      <c r="C378" s="56" t="s">
        <v>610</v>
      </c>
      <c r="D378" s="56" t="s">
        <v>678</v>
      </c>
      <c r="E378" s="56" t="s">
        <v>684</v>
      </c>
      <c r="F378" s="56" t="s">
        <v>249</v>
      </c>
      <c r="G378" s="57" t="s">
        <v>250</v>
      </c>
      <c r="H378" s="68">
        <f t="shared" si="3"/>
        <v>0.25</v>
      </c>
      <c r="I378" s="62"/>
      <c r="J378" s="62"/>
      <c r="K378" s="71"/>
      <c r="L378" s="57" t="s">
        <v>115</v>
      </c>
      <c r="M378" s="61"/>
      <c r="N378" s="61" t="s">
        <v>878</v>
      </c>
      <c r="O378" s="62" t="s">
        <v>687</v>
      </c>
      <c r="P378" s="53"/>
      <c r="Q378" s="53"/>
      <c r="R378" s="53"/>
      <c r="S378" s="53" t="s">
        <v>326</v>
      </c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  <c r="BE378" s="53"/>
      <c r="BF378" s="53"/>
      <c r="BG378" s="53"/>
      <c r="BH378" s="53"/>
      <c r="BI378" s="53"/>
      <c r="BJ378" s="53"/>
      <c r="BK378" s="53"/>
      <c r="BL378" s="53"/>
      <c r="BM378" s="53"/>
      <c r="BN378" s="53"/>
      <c r="BO378" s="30"/>
      <c r="BP378" s="30"/>
      <c r="BQ378" s="30">
        <v>4.0</v>
      </c>
      <c r="BR378" s="30">
        <f t="shared" si="4"/>
        <v>1</v>
      </c>
      <c r="BS378" s="70">
        <f t="shared" si="5"/>
        <v>0</v>
      </c>
      <c r="BT378" s="70">
        <v>1.0</v>
      </c>
    </row>
    <row r="379" ht="15.75" customHeight="1">
      <c r="A379" s="54" t="s">
        <v>658</v>
      </c>
      <c r="B379" s="56" t="s">
        <v>677</v>
      </c>
      <c r="C379" s="56" t="s">
        <v>610</v>
      </c>
      <c r="D379" s="56" t="s">
        <v>678</v>
      </c>
      <c r="E379" s="56" t="s">
        <v>685</v>
      </c>
      <c r="F379" s="56" t="s">
        <v>249</v>
      </c>
      <c r="G379" s="57" t="s">
        <v>250</v>
      </c>
      <c r="H379" s="68">
        <f t="shared" si="3"/>
        <v>0.25</v>
      </c>
      <c r="I379" s="62"/>
      <c r="J379" s="62" t="s">
        <v>873</v>
      </c>
      <c r="K379" s="71"/>
      <c r="L379" s="57" t="s">
        <v>115</v>
      </c>
      <c r="M379" s="61"/>
      <c r="N379" s="61" t="s">
        <v>324</v>
      </c>
      <c r="O379" s="62" t="s">
        <v>689</v>
      </c>
      <c r="P379" s="53"/>
      <c r="Q379" s="53"/>
      <c r="R379" s="53"/>
      <c r="S379" s="53" t="s">
        <v>326</v>
      </c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3"/>
      <c r="BN379" s="53"/>
      <c r="BO379" s="30"/>
      <c r="BP379" s="30"/>
      <c r="BQ379" s="30">
        <v>4.0</v>
      </c>
      <c r="BR379" s="30">
        <f t="shared" si="4"/>
        <v>1</v>
      </c>
      <c r="BS379" s="70">
        <f t="shared" si="5"/>
        <v>0</v>
      </c>
      <c r="BT379" s="70">
        <v>1.0</v>
      </c>
    </row>
    <row r="380" ht="15.75" customHeight="1">
      <c r="A380" s="54" t="s">
        <v>658</v>
      </c>
      <c r="B380" s="56" t="s">
        <v>688</v>
      </c>
      <c r="C380" s="56" t="s">
        <v>624</v>
      </c>
      <c r="D380" s="56" t="s">
        <v>660</v>
      </c>
      <c r="E380" s="56" t="s">
        <v>661</v>
      </c>
      <c r="F380" s="56" t="s">
        <v>193</v>
      </c>
      <c r="G380" s="57" t="s">
        <v>34</v>
      </c>
      <c r="H380" s="68">
        <f t="shared" si="3"/>
        <v>0</v>
      </c>
      <c r="I380" s="62" t="s">
        <v>146</v>
      </c>
      <c r="J380" s="62"/>
      <c r="K380" s="71"/>
      <c r="L380" s="57" t="s">
        <v>130</v>
      </c>
      <c r="M380" s="61"/>
      <c r="N380" s="79"/>
      <c r="O380" s="62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  <c r="BE380" s="53"/>
      <c r="BF380" s="53"/>
      <c r="BG380" s="53"/>
      <c r="BH380" s="53"/>
      <c r="BI380" s="53"/>
      <c r="BJ380" s="53"/>
      <c r="BK380" s="53"/>
      <c r="BL380" s="53"/>
      <c r="BM380" s="53"/>
      <c r="BN380" s="53"/>
      <c r="BO380" s="53"/>
      <c r="BP380" s="30"/>
      <c r="BQ380" s="30">
        <v>1.0</v>
      </c>
      <c r="BR380" s="30">
        <f t="shared" si="4"/>
        <v>0</v>
      </c>
      <c r="BS380" s="70">
        <f t="shared" si="5"/>
        <v>0</v>
      </c>
      <c r="BT380" s="70">
        <v>1.0</v>
      </c>
    </row>
    <row r="381" ht="15.75" customHeight="1">
      <c r="A381" s="54" t="s">
        <v>658</v>
      </c>
      <c r="B381" s="56" t="s">
        <v>688</v>
      </c>
      <c r="C381" s="56" t="s">
        <v>624</v>
      </c>
      <c r="D381" s="56" t="s">
        <v>660</v>
      </c>
      <c r="E381" s="56" t="s">
        <v>662</v>
      </c>
      <c r="F381" s="56" t="s">
        <v>193</v>
      </c>
      <c r="G381" s="57" t="s">
        <v>34</v>
      </c>
      <c r="H381" s="68">
        <f t="shared" si="3"/>
        <v>0</v>
      </c>
      <c r="I381" s="62"/>
      <c r="J381" s="62"/>
      <c r="K381" s="71"/>
      <c r="L381" s="57" t="s">
        <v>115</v>
      </c>
      <c r="M381" s="61"/>
      <c r="N381" s="79"/>
      <c r="O381" s="62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30"/>
      <c r="BQ381" s="30">
        <v>1.0</v>
      </c>
      <c r="BR381" s="30">
        <f t="shared" si="4"/>
        <v>0</v>
      </c>
      <c r="BS381" s="70">
        <f t="shared" si="5"/>
        <v>0</v>
      </c>
      <c r="BT381" s="70">
        <v>1.0</v>
      </c>
    </row>
    <row r="382" ht="15.75" customHeight="1">
      <c r="A382" s="54" t="s">
        <v>658</v>
      </c>
      <c r="B382" s="56" t="s">
        <v>688</v>
      </c>
      <c r="C382" s="56" t="s">
        <v>624</v>
      </c>
      <c r="D382" s="56" t="s">
        <v>660</v>
      </c>
      <c r="E382" s="56" t="s">
        <v>663</v>
      </c>
      <c r="F382" s="56" t="s">
        <v>193</v>
      </c>
      <c r="G382" s="57" t="s">
        <v>34</v>
      </c>
      <c r="H382" s="68">
        <f t="shared" si="3"/>
        <v>0</v>
      </c>
      <c r="I382" s="62" t="s">
        <v>146</v>
      </c>
      <c r="J382" s="62"/>
      <c r="K382" s="71"/>
      <c r="L382" s="57" t="s">
        <v>130</v>
      </c>
      <c r="M382" s="61"/>
      <c r="N382" s="79"/>
      <c r="O382" s="62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  <c r="BE382" s="53"/>
      <c r="BF382" s="53"/>
      <c r="BG382" s="53"/>
      <c r="BH382" s="53"/>
      <c r="BI382" s="53"/>
      <c r="BJ382" s="53"/>
      <c r="BK382" s="53"/>
      <c r="BL382" s="53"/>
      <c r="BM382" s="53"/>
      <c r="BN382" s="53"/>
      <c r="BO382" s="53"/>
      <c r="BP382" s="30"/>
      <c r="BQ382" s="30">
        <v>1.0</v>
      </c>
      <c r="BR382" s="30">
        <f t="shared" si="4"/>
        <v>0</v>
      </c>
      <c r="BS382" s="70">
        <f t="shared" si="5"/>
        <v>0</v>
      </c>
      <c r="BT382" s="70">
        <v>1.0</v>
      </c>
    </row>
    <row r="383" ht="15.75" customHeight="1">
      <c r="A383" s="54" t="s">
        <v>658</v>
      </c>
      <c r="B383" s="56" t="s">
        <v>688</v>
      </c>
      <c r="C383" s="56" t="s">
        <v>624</v>
      </c>
      <c r="D383" s="56" t="s">
        <v>660</v>
      </c>
      <c r="E383" s="56" t="s">
        <v>664</v>
      </c>
      <c r="F383" s="56" t="s">
        <v>193</v>
      </c>
      <c r="G383" s="57" t="s">
        <v>34</v>
      </c>
      <c r="H383" s="68">
        <f t="shared" si="3"/>
        <v>0</v>
      </c>
      <c r="I383" s="62"/>
      <c r="J383" s="62"/>
      <c r="K383" s="71"/>
      <c r="L383" s="57" t="s">
        <v>115</v>
      </c>
      <c r="M383" s="61"/>
      <c r="N383" s="79"/>
      <c r="O383" s="62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3"/>
      <c r="BG383" s="53"/>
      <c r="BH383" s="53"/>
      <c r="BI383" s="53"/>
      <c r="BJ383" s="53"/>
      <c r="BK383" s="53"/>
      <c r="BL383" s="53"/>
      <c r="BM383" s="53"/>
      <c r="BN383" s="53"/>
      <c r="BO383" s="30"/>
      <c r="BP383" s="101"/>
      <c r="BQ383" s="30">
        <v>1.0</v>
      </c>
      <c r="BR383" s="30">
        <f t="shared" si="4"/>
        <v>0</v>
      </c>
      <c r="BS383" s="70">
        <f t="shared" si="5"/>
        <v>0</v>
      </c>
      <c r="BT383" s="70">
        <v>1.0</v>
      </c>
    </row>
    <row r="384" ht="15.75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665</v>
      </c>
      <c r="F384" s="56" t="s">
        <v>193</v>
      </c>
      <c r="G384" s="57" t="s">
        <v>34</v>
      </c>
      <c r="H384" s="68">
        <f t="shared" si="3"/>
        <v>0</v>
      </c>
      <c r="I384" s="62"/>
      <c r="J384" s="62"/>
      <c r="K384" s="71"/>
      <c r="L384" s="57" t="s">
        <v>130</v>
      </c>
      <c r="M384" s="61"/>
      <c r="N384" s="79"/>
      <c r="O384" s="62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  <c r="BE384" s="53"/>
      <c r="BF384" s="53"/>
      <c r="BG384" s="53"/>
      <c r="BH384" s="53"/>
      <c r="BI384" s="53"/>
      <c r="BJ384" s="53"/>
      <c r="BK384" s="53"/>
      <c r="BL384" s="53"/>
      <c r="BM384" s="53"/>
      <c r="BN384" s="53"/>
      <c r="BO384" s="30"/>
      <c r="BP384" s="101"/>
      <c r="BQ384" s="30">
        <v>1.0</v>
      </c>
      <c r="BR384" s="30">
        <f t="shared" si="4"/>
        <v>0</v>
      </c>
      <c r="BS384" s="70">
        <f t="shared" si="5"/>
        <v>0</v>
      </c>
      <c r="BT384" s="70">
        <v>1.0</v>
      </c>
    </row>
    <row r="385" ht="15.75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614</v>
      </c>
      <c r="F385" s="56" t="s">
        <v>193</v>
      </c>
      <c r="G385" s="57" t="s">
        <v>34</v>
      </c>
      <c r="H385" s="68">
        <f t="shared" si="3"/>
        <v>0</v>
      </c>
      <c r="I385" s="62" t="s">
        <v>146</v>
      </c>
      <c r="J385" s="62"/>
      <c r="K385" s="71"/>
      <c r="L385" s="57" t="s">
        <v>115</v>
      </c>
      <c r="M385" s="61"/>
      <c r="N385" s="79"/>
      <c r="O385" s="62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3"/>
      <c r="BG385" s="53"/>
      <c r="BH385" s="53"/>
      <c r="BI385" s="53"/>
      <c r="BJ385" s="53"/>
      <c r="BK385" s="53"/>
      <c r="BL385" s="53"/>
      <c r="BM385" s="53"/>
      <c r="BN385" s="53"/>
      <c r="BO385" s="30"/>
      <c r="BP385" s="101"/>
      <c r="BQ385" s="30">
        <v>1.0</v>
      </c>
      <c r="BR385" s="30">
        <f t="shared" si="4"/>
        <v>0</v>
      </c>
      <c r="BS385" s="70">
        <f t="shared" si="5"/>
        <v>0</v>
      </c>
      <c r="BT385" s="70">
        <v>1.0</v>
      </c>
    </row>
    <row r="386" ht="15.75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666</v>
      </c>
      <c r="F386" s="56" t="s">
        <v>193</v>
      </c>
      <c r="G386" s="57" t="s">
        <v>34</v>
      </c>
      <c r="H386" s="68">
        <f t="shared" si="3"/>
        <v>0</v>
      </c>
      <c r="I386" s="62" t="s">
        <v>146</v>
      </c>
      <c r="J386" s="62"/>
      <c r="K386" s="71"/>
      <c r="L386" s="57" t="s">
        <v>115</v>
      </c>
      <c r="M386" s="61"/>
      <c r="N386" s="79"/>
      <c r="O386" s="62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53"/>
      <c r="BG386" s="53"/>
      <c r="BH386" s="53"/>
      <c r="BI386" s="53"/>
      <c r="BJ386" s="53"/>
      <c r="BK386" s="53"/>
      <c r="BL386" s="53"/>
      <c r="BM386" s="53"/>
      <c r="BN386" s="53"/>
      <c r="BO386" s="53"/>
      <c r="BP386" s="101"/>
      <c r="BQ386" s="30">
        <v>1.0</v>
      </c>
      <c r="BR386" s="30">
        <f t="shared" si="4"/>
        <v>0</v>
      </c>
      <c r="BS386" s="70">
        <f t="shared" si="5"/>
        <v>0</v>
      </c>
      <c r="BT386" s="70">
        <v>1.0</v>
      </c>
    </row>
    <row r="387" ht="15.75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667</v>
      </c>
      <c r="F387" s="56" t="s">
        <v>193</v>
      </c>
      <c r="G387" s="57" t="s">
        <v>34</v>
      </c>
      <c r="H387" s="68">
        <f t="shared" si="3"/>
        <v>0</v>
      </c>
      <c r="I387" s="62" t="s">
        <v>146</v>
      </c>
      <c r="J387" s="62"/>
      <c r="K387" s="71"/>
      <c r="L387" s="57" t="s">
        <v>130</v>
      </c>
      <c r="M387" s="61"/>
      <c r="N387" s="79"/>
      <c r="O387" s="62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3"/>
      <c r="BG387" s="53"/>
      <c r="BH387" s="53"/>
      <c r="BI387" s="53"/>
      <c r="BJ387" s="53"/>
      <c r="BK387" s="53"/>
      <c r="BL387" s="53"/>
      <c r="BM387" s="53"/>
      <c r="BN387" s="53"/>
      <c r="BO387" s="53"/>
      <c r="BP387" s="101"/>
      <c r="BQ387" s="30">
        <v>1.0</v>
      </c>
      <c r="BR387" s="30">
        <f t="shared" si="4"/>
        <v>0</v>
      </c>
      <c r="BS387" s="70">
        <f t="shared" si="5"/>
        <v>0</v>
      </c>
      <c r="BT387" s="70">
        <v>1.0</v>
      </c>
    </row>
    <row r="388" ht="15.75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668</v>
      </c>
      <c r="F388" s="56" t="s">
        <v>327</v>
      </c>
      <c r="G388" s="57" t="s">
        <v>154</v>
      </c>
      <c r="H388" s="68">
        <f t="shared" si="3"/>
        <v>0</v>
      </c>
      <c r="I388" s="62"/>
      <c r="J388" s="62" t="s">
        <v>617</v>
      </c>
      <c r="K388" s="71"/>
      <c r="L388" s="57" t="s">
        <v>115</v>
      </c>
      <c r="M388" s="61"/>
      <c r="N388" s="79"/>
      <c r="O388" s="62" t="s">
        <v>617</v>
      </c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53"/>
      <c r="BG388" s="53"/>
      <c r="BH388" s="53"/>
      <c r="BI388" s="53"/>
      <c r="BJ388" s="53"/>
      <c r="BK388" s="53"/>
      <c r="BL388" s="53"/>
      <c r="BM388" s="53"/>
      <c r="BN388" s="53"/>
      <c r="BO388" s="53"/>
      <c r="BP388" s="101"/>
      <c r="BQ388" s="30">
        <v>2.0</v>
      </c>
      <c r="BR388" s="30">
        <f t="shared" si="4"/>
        <v>0</v>
      </c>
      <c r="BS388" s="70">
        <f t="shared" si="5"/>
        <v>0</v>
      </c>
      <c r="BT388" s="70">
        <v>1.0</v>
      </c>
    </row>
    <row r="389" ht="15.75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669</v>
      </c>
      <c r="F389" s="56" t="s">
        <v>327</v>
      </c>
      <c r="G389" s="57" t="s">
        <v>154</v>
      </c>
      <c r="H389" s="68">
        <f t="shared" si="3"/>
        <v>0</v>
      </c>
      <c r="I389" s="62" t="s">
        <v>146</v>
      </c>
      <c r="J389" s="62" t="s">
        <v>617</v>
      </c>
      <c r="K389" s="71"/>
      <c r="L389" s="57" t="s">
        <v>115</v>
      </c>
      <c r="M389" s="61"/>
      <c r="N389" s="79"/>
      <c r="O389" s="62" t="s">
        <v>617</v>
      </c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  <c r="BP389" s="101"/>
      <c r="BQ389" s="30">
        <v>2.0</v>
      </c>
      <c r="BR389" s="30">
        <f t="shared" si="4"/>
        <v>0</v>
      </c>
      <c r="BS389" s="70">
        <f t="shared" si="5"/>
        <v>0</v>
      </c>
      <c r="BT389" s="70">
        <v>1.0</v>
      </c>
    </row>
    <row r="390" ht="15.75" customHeight="1">
      <c r="A390" s="54" t="s">
        <v>658</v>
      </c>
      <c r="B390" s="56" t="s">
        <v>688</v>
      </c>
      <c r="C390" s="56" t="s">
        <v>624</v>
      </c>
      <c r="D390" s="56" t="s">
        <v>660</v>
      </c>
      <c r="E390" s="56" t="s">
        <v>671</v>
      </c>
      <c r="F390" s="56" t="s">
        <v>327</v>
      </c>
      <c r="G390" s="57" t="s">
        <v>154</v>
      </c>
      <c r="H390" s="68">
        <f t="shared" si="3"/>
        <v>0</v>
      </c>
      <c r="I390" s="62" t="s">
        <v>146</v>
      </c>
      <c r="J390" s="62" t="s">
        <v>617</v>
      </c>
      <c r="K390" s="71"/>
      <c r="L390" s="57" t="s">
        <v>115</v>
      </c>
      <c r="M390" s="61"/>
      <c r="N390" s="79"/>
      <c r="O390" s="62" t="s">
        <v>617</v>
      </c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101"/>
      <c r="BQ390" s="30">
        <v>2.0</v>
      </c>
      <c r="BR390" s="30">
        <f t="shared" si="4"/>
        <v>0</v>
      </c>
      <c r="BS390" s="70">
        <f t="shared" si="5"/>
        <v>0</v>
      </c>
      <c r="BT390" s="70">
        <v>1.0</v>
      </c>
    </row>
    <row r="391" ht="15.75" customHeight="1">
      <c r="A391" s="54" t="s">
        <v>658</v>
      </c>
      <c r="B391" s="56" t="s">
        <v>688</v>
      </c>
      <c r="C391" s="56" t="s">
        <v>624</v>
      </c>
      <c r="D391" s="56" t="s">
        <v>660</v>
      </c>
      <c r="E391" s="56" t="s">
        <v>672</v>
      </c>
      <c r="F391" s="56" t="s">
        <v>327</v>
      </c>
      <c r="G391" s="57" t="s">
        <v>154</v>
      </c>
      <c r="H391" s="68">
        <f t="shared" si="3"/>
        <v>0</v>
      </c>
      <c r="I391" s="62" t="s">
        <v>146</v>
      </c>
      <c r="J391" s="62" t="s">
        <v>617</v>
      </c>
      <c r="K391" s="71"/>
      <c r="L391" s="57" t="s">
        <v>115</v>
      </c>
      <c r="M391" s="61"/>
      <c r="N391" s="79"/>
      <c r="O391" s="62" t="s">
        <v>617</v>
      </c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3"/>
      <c r="BG391" s="53"/>
      <c r="BH391" s="53"/>
      <c r="BI391" s="53"/>
      <c r="BJ391" s="53"/>
      <c r="BK391" s="53"/>
      <c r="BL391" s="53"/>
      <c r="BM391" s="53"/>
      <c r="BN391" s="53"/>
      <c r="BO391" s="53"/>
      <c r="BP391" s="30"/>
      <c r="BQ391" s="30">
        <v>2.0</v>
      </c>
      <c r="BR391" s="30">
        <f t="shared" si="4"/>
        <v>0</v>
      </c>
      <c r="BS391" s="70">
        <f t="shared" si="5"/>
        <v>0</v>
      </c>
      <c r="BT391" s="70">
        <v>1.0</v>
      </c>
    </row>
    <row r="392" ht="15.75" customHeight="1">
      <c r="A392" s="54" t="s">
        <v>658</v>
      </c>
      <c r="B392" s="56" t="s">
        <v>688</v>
      </c>
      <c r="C392" s="56" t="s">
        <v>624</v>
      </c>
      <c r="D392" s="56" t="s">
        <v>660</v>
      </c>
      <c r="E392" s="56" t="s">
        <v>673</v>
      </c>
      <c r="F392" s="56" t="s">
        <v>327</v>
      </c>
      <c r="G392" s="57" t="s">
        <v>154</v>
      </c>
      <c r="H392" s="68">
        <f t="shared" si="3"/>
        <v>0</v>
      </c>
      <c r="I392" s="62" t="s">
        <v>146</v>
      </c>
      <c r="J392" s="62" t="s">
        <v>617</v>
      </c>
      <c r="K392" s="71"/>
      <c r="L392" s="57" t="s">
        <v>115</v>
      </c>
      <c r="M392" s="61"/>
      <c r="N392" s="79"/>
      <c r="O392" s="62" t="s">
        <v>617</v>
      </c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  <c r="BE392" s="53"/>
      <c r="BF392" s="53"/>
      <c r="BG392" s="53"/>
      <c r="BH392" s="53"/>
      <c r="BI392" s="53"/>
      <c r="BJ392" s="53"/>
      <c r="BK392" s="53"/>
      <c r="BL392" s="53"/>
      <c r="BM392" s="53"/>
      <c r="BN392" s="53"/>
      <c r="BO392" s="53"/>
      <c r="BP392" s="101"/>
      <c r="BQ392" s="30">
        <v>2.0</v>
      </c>
      <c r="BR392" s="30">
        <f t="shared" si="4"/>
        <v>0</v>
      </c>
      <c r="BS392" s="70">
        <f t="shared" si="5"/>
        <v>0</v>
      </c>
      <c r="BT392" s="70">
        <v>1.0</v>
      </c>
    </row>
    <row r="393" ht="15.75" customHeight="1">
      <c r="A393" s="54" t="s">
        <v>658</v>
      </c>
      <c r="B393" s="56" t="s">
        <v>690</v>
      </c>
      <c r="C393" s="56" t="s">
        <v>624</v>
      </c>
      <c r="D393" s="56" t="s">
        <v>675</v>
      </c>
      <c r="E393" s="56" t="s">
        <v>676</v>
      </c>
      <c r="F393" s="56" t="s">
        <v>193</v>
      </c>
      <c r="G393" s="57" t="s">
        <v>34</v>
      </c>
      <c r="H393" s="68">
        <f t="shared" si="3"/>
        <v>0</v>
      </c>
      <c r="I393" s="62" t="s">
        <v>146</v>
      </c>
      <c r="J393" s="62"/>
      <c r="K393" s="71"/>
      <c r="L393" s="57" t="s">
        <v>115</v>
      </c>
      <c r="M393" s="61"/>
      <c r="N393" s="79"/>
      <c r="O393" s="62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3"/>
      <c r="BG393" s="53"/>
      <c r="BH393" s="53"/>
      <c r="BI393" s="53"/>
      <c r="BJ393" s="53"/>
      <c r="BK393" s="53"/>
      <c r="BL393" s="53"/>
      <c r="BM393" s="53"/>
      <c r="BN393" s="53"/>
      <c r="BO393" s="53"/>
      <c r="BP393" s="101"/>
      <c r="BQ393" s="30">
        <v>1.0</v>
      </c>
      <c r="BR393" s="30">
        <f t="shared" si="4"/>
        <v>0</v>
      </c>
      <c r="BS393" s="70">
        <f t="shared" si="5"/>
        <v>0</v>
      </c>
      <c r="BT393" s="70">
        <v>1.0</v>
      </c>
    </row>
    <row r="394" ht="15.75" customHeight="1">
      <c r="A394" s="54" t="s">
        <v>658</v>
      </c>
      <c r="B394" s="56" t="s">
        <v>691</v>
      </c>
      <c r="C394" s="56" t="s">
        <v>624</v>
      </c>
      <c r="D394" s="56" t="s">
        <v>678</v>
      </c>
      <c r="E394" s="56" t="s">
        <v>679</v>
      </c>
      <c r="F394" s="56" t="s">
        <v>246</v>
      </c>
      <c r="G394" s="57" t="s">
        <v>154</v>
      </c>
      <c r="H394" s="68">
        <f t="shared" si="3"/>
        <v>0.5</v>
      </c>
      <c r="I394" s="62" t="s">
        <v>146</v>
      </c>
      <c r="J394" s="62"/>
      <c r="K394" s="71"/>
      <c r="L394" s="57" t="s">
        <v>115</v>
      </c>
      <c r="M394" s="61"/>
      <c r="N394" s="61" t="s">
        <v>877</v>
      </c>
      <c r="O394" s="62"/>
      <c r="P394" s="53"/>
      <c r="Q394" s="53"/>
      <c r="R394" s="53" t="s">
        <v>323</v>
      </c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53"/>
      <c r="BG394" s="53"/>
      <c r="BH394" s="53"/>
      <c r="BI394" s="53"/>
      <c r="BJ394" s="53"/>
      <c r="BK394" s="53"/>
      <c r="BL394" s="53"/>
      <c r="BM394" s="53"/>
      <c r="BN394" s="53"/>
      <c r="BO394" s="30"/>
      <c r="BP394" s="30"/>
      <c r="BQ394" s="30">
        <v>2.0</v>
      </c>
      <c r="BR394" s="30">
        <f t="shared" si="4"/>
        <v>1</v>
      </c>
      <c r="BS394" s="70">
        <f t="shared" si="5"/>
        <v>0</v>
      </c>
      <c r="BT394" s="70">
        <v>1.0</v>
      </c>
    </row>
    <row r="395" ht="15.75" customHeight="1">
      <c r="A395" s="54" t="s">
        <v>658</v>
      </c>
      <c r="B395" s="56" t="s">
        <v>691</v>
      </c>
      <c r="C395" s="56" t="s">
        <v>624</v>
      </c>
      <c r="D395" s="56" t="s">
        <v>678</v>
      </c>
      <c r="E395" s="56" t="s">
        <v>680</v>
      </c>
      <c r="F395" s="56" t="s">
        <v>193</v>
      </c>
      <c r="G395" s="57" t="s">
        <v>34</v>
      </c>
      <c r="H395" s="68">
        <f t="shared" si="3"/>
        <v>0</v>
      </c>
      <c r="I395" s="62" t="s">
        <v>146</v>
      </c>
      <c r="J395" s="62"/>
      <c r="K395" s="71"/>
      <c r="L395" s="57" t="s">
        <v>115</v>
      </c>
      <c r="M395" s="61"/>
      <c r="N395" s="79"/>
      <c r="O395" s="62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3"/>
      <c r="BG395" s="53"/>
      <c r="BH395" s="53"/>
      <c r="BI395" s="53"/>
      <c r="BJ395" s="53"/>
      <c r="BK395" s="53"/>
      <c r="BL395" s="53"/>
      <c r="BM395" s="53"/>
      <c r="BN395" s="53"/>
      <c r="BO395" s="30"/>
      <c r="BP395" s="101"/>
      <c r="BQ395" s="30">
        <v>1.0</v>
      </c>
      <c r="BR395" s="30">
        <f t="shared" si="4"/>
        <v>0</v>
      </c>
      <c r="BS395" s="70">
        <f t="shared" si="5"/>
        <v>0</v>
      </c>
      <c r="BT395" s="70">
        <v>1.0</v>
      </c>
    </row>
    <row r="396" ht="15.75" customHeight="1">
      <c r="A396" s="54" t="s">
        <v>658</v>
      </c>
      <c r="B396" s="56" t="s">
        <v>691</v>
      </c>
      <c r="C396" s="56" t="s">
        <v>624</v>
      </c>
      <c r="D396" s="56" t="s">
        <v>678</v>
      </c>
      <c r="E396" s="56" t="s">
        <v>682</v>
      </c>
      <c r="F396" s="56" t="s">
        <v>193</v>
      </c>
      <c r="G396" s="57" t="s">
        <v>34</v>
      </c>
      <c r="H396" s="68">
        <f t="shared" si="3"/>
        <v>0</v>
      </c>
      <c r="I396" s="62" t="s">
        <v>146</v>
      </c>
      <c r="J396" s="62"/>
      <c r="K396" s="71"/>
      <c r="L396" s="57" t="s">
        <v>115</v>
      </c>
      <c r="M396" s="61"/>
      <c r="N396" s="79"/>
      <c r="O396" s="62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53"/>
      <c r="BG396" s="53"/>
      <c r="BH396" s="53"/>
      <c r="BI396" s="53"/>
      <c r="BJ396" s="53"/>
      <c r="BK396" s="53"/>
      <c r="BL396" s="53"/>
      <c r="BM396" s="53"/>
      <c r="BN396" s="53"/>
      <c r="BO396" s="30"/>
      <c r="BP396" s="30"/>
      <c r="BQ396" s="30">
        <v>1.0</v>
      </c>
      <c r="BR396" s="30">
        <f t="shared" si="4"/>
        <v>0</v>
      </c>
      <c r="BS396" s="70">
        <f t="shared" si="5"/>
        <v>0</v>
      </c>
      <c r="BT396" s="70">
        <v>1.0</v>
      </c>
    </row>
    <row r="397" ht="15.75" customHeight="1">
      <c r="A397" s="54" t="s">
        <v>658</v>
      </c>
      <c r="B397" s="56" t="s">
        <v>691</v>
      </c>
      <c r="C397" s="56" t="s">
        <v>624</v>
      </c>
      <c r="D397" s="56" t="s">
        <v>678</v>
      </c>
      <c r="E397" s="56" t="s">
        <v>683</v>
      </c>
      <c r="F397" s="56" t="s">
        <v>193</v>
      </c>
      <c r="G397" s="57" t="s">
        <v>34</v>
      </c>
      <c r="H397" s="68">
        <f t="shared" si="3"/>
        <v>0</v>
      </c>
      <c r="I397" s="62" t="s">
        <v>146</v>
      </c>
      <c r="J397" s="62"/>
      <c r="K397" s="71"/>
      <c r="L397" s="57" t="s">
        <v>130</v>
      </c>
      <c r="M397" s="61"/>
      <c r="N397" s="79"/>
      <c r="O397" s="62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3"/>
      <c r="BG397" s="53"/>
      <c r="BH397" s="53"/>
      <c r="BI397" s="53"/>
      <c r="BJ397" s="53"/>
      <c r="BK397" s="53"/>
      <c r="BL397" s="53"/>
      <c r="BM397" s="53"/>
      <c r="BN397" s="53"/>
      <c r="BO397" s="30"/>
      <c r="BP397" s="101"/>
      <c r="BQ397" s="30">
        <v>1.0</v>
      </c>
      <c r="BR397" s="30">
        <f t="shared" si="4"/>
        <v>0</v>
      </c>
      <c r="BS397" s="70">
        <f t="shared" si="5"/>
        <v>0</v>
      </c>
      <c r="BT397" s="70">
        <v>1.0</v>
      </c>
    </row>
    <row r="398" ht="15.75" customHeight="1">
      <c r="A398" s="54" t="s">
        <v>658</v>
      </c>
      <c r="B398" s="56" t="s">
        <v>691</v>
      </c>
      <c r="C398" s="56" t="s">
        <v>624</v>
      </c>
      <c r="D398" s="56" t="s">
        <v>678</v>
      </c>
      <c r="E398" s="56" t="s">
        <v>684</v>
      </c>
      <c r="F398" s="56" t="s">
        <v>249</v>
      </c>
      <c r="G398" s="57" t="s">
        <v>250</v>
      </c>
      <c r="H398" s="68">
        <f t="shared" si="3"/>
        <v>0.25</v>
      </c>
      <c r="I398" s="62"/>
      <c r="J398" s="62"/>
      <c r="K398" s="71"/>
      <c r="L398" s="57" t="s">
        <v>115</v>
      </c>
      <c r="M398" s="61"/>
      <c r="N398" s="61" t="s">
        <v>878</v>
      </c>
      <c r="O398" s="62" t="s">
        <v>687</v>
      </c>
      <c r="P398" s="53"/>
      <c r="Q398" s="53"/>
      <c r="R398" s="53"/>
      <c r="S398" s="53" t="s">
        <v>326</v>
      </c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53"/>
      <c r="BG398" s="53"/>
      <c r="BH398" s="53"/>
      <c r="BI398" s="53"/>
      <c r="BJ398" s="53"/>
      <c r="BK398" s="53"/>
      <c r="BL398" s="53"/>
      <c r="BM398" s="53"/>
      <c r="BN398" s="53"/>
      <c r="BO398" s="30"/>
      <c r="BP398" s="30"/>
      <c r="BQ398" s="30">
        <v>4.0</v>
      </c>
      <c r="BR398" s="30">
        <f t="shared" si="4"/>
        <v>1</v>
      </c>
      <c r="BS398" s="70">
        <f t="shared" si="5"/>
        <v>0</v>
      </c>
      <c r="BT398" s="70">
        <v>1.0</v>
      </c>
    </row>
    <row r="399" ht="15.75" customHeight="1">
      <c r="A399" s="54" t="s">
        <v>658</v>
      </c>
      <c r="B399" s="56" t="s">
        <v>691</v>
      </c>
      <c r="C399" s="56" t="s">
        <v>624</v>
      </c>
      <c r="D399" s="56" t="s">
        <v>678</v>
      </c>
      <c r="E399" s="56" t="s">
        <v>685</v>
      </c>
      <c r="F399" s="56" t="s">
        <v>249</v>
      </c>
      <c r="G399" s="57" t="s">
        <v>250</v>
      </c>
      <c r="H399" s="68">
        <f t="shared" si="3"/>
        <v>0.25</v>
      </c>
      <c r="I399" s="62"/>
      <c r="J399" s="62" t="s">
        <v>873</v>
      </c>
      <c r="K399" s="71"/>
      <c r="L399" s="57" t="s">
        <v>115</v>
      </c>
      <c r="M399" s="61"/>
      <c r="N399" s="61" t="s">
        <v>324</v>
      </c>
      <c r="O399" s="62" t="s">
        <v>689</v>
      </c>
      <c r="P399" s="53"/>
      <c r="Q399" s="53"/>
      <c r="R399" s="53"/>
      <c r="S399" s="53" t="s">
        <v>326</v>
      </c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3"/>
      <c r="BG399" s="53"/>
      <c r="BH399" s="53"/>
      <c r="BI399" s="53"/>
      <c r="BJ399" s="53"/>
      <c r="BK399" s="53"/>
      <c r="BL399" s="53"/>
      <c r="BM399" s="53"/>
      <c r="BN399" s="53"/>
      <c r="BO399" s="30"/>
      <c r="BP399" s="30"/>
      <c r="BQ399" s="30">
        <v>4.0</v>
      </c>
      <c r="BR399" s="30">
        <f t="shared" si="4"/>
        <v>1</v>
      </c>
      <c r="BS399" s="70">
        <f t="shared" si="5"/>
        <v>0</v>
      </c>
      <c r="BT399" s="70">
        <v>1.0</v>
      </c>
    </row>
    <row r="400" ht="15.75" customHeight="1">
      <c r="A400" s="54" t="s">
        <v>658</v>
      </c>
      <c r="B400" s="56" t="s">
        <v>692</v>
      </c>
      <c r="C400" s="56" t="s">
        <v>627</v>
      </c>
      <c r="D400" s="56" t="s">
        <v>660</v>
      </c>
      <c r="E400" s="56" t="s">
        <v>661</v>
      </c>
      <c r="F400" s="56" t="s">
        <v>193</v>
      </c>
      <c r="G400" s="57" t="s">
        <v>34</v>
      </c>
      <c r="H400" s="68">
        <f t="shared" si="3"/>
        <v>0</v>
      </c>
      <c r="I400" s="62" t="s">
        <v>146</v>
      </c>
      <c r="J400" s="62"/>
      <c r="K400" s="71"/>
      <c r="L400" s="57" t="s">
        <v>130</v>
      </c>
      <c r="M400" s="61"/>
      <c r="N400" s="79"/>
      <c r="O400" s="62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53"/>
      <c r="BG400" s="53"/>
      <c r="BH400" s="53"/>
      <c r="BI400" s="53"/>
      <c r="BJ400" s="53"/>
      <c r="BK400" s="53"/>
      <c r="BL400" s="53"/>
      <c r="BM400" s="53"/>
      <c r="BN400" s="53"/>
      <c r="BO400" s="53"/>
      <c r="BP400" s="30"/>
      <c r="BQ400" s="30">
        <v>1.0</v>
      </c>
      <c r="BR400" s="30">
        <f t="shared" si="4"/>
        <v>0</v>
      </c>
      <c r="BS400" s="70">
        <f t="shared" si="5"/>
        <v>0</v>
      </c>
      <c r="BT400" s="70">
        <v>1.0</v>
      </c>
    </row>
    <row r="401" ht="15.75" customHeight="1">
      <c r="A401" s="54" t="s">
        <v>658</v>
      </c>
      <c r="B401" s="56" t="s">
        <v>692</v>
      </c>
      <c r="C401" s="56" t="s">
        <v>627</v>
      </c>
      <c r="D401" s="56" t="s">
        <v>660</v>
      </c>
      <c r="E401" s="56" t="s">
        <v>662</v>
      </c>
      <c r="F401" s="56" t="s">
        <v>193</v>
      </c>
      <c r="G401" s="57" t="s">
        <v>34</v>
      </c>
      <c r="H401" s="68">
        <f t="shared" si="3"/>
        <v>0</v>
      </c>
      <c r="I401" s="62"/>
      <c r="J401" s="62"/>
      <c r="K401" s="71"/>
      <c r="L401" s="57" t="s">
        <v>115</v>
      </c>
      <c r="M401" s="61"/>
      <c r="N401" s="79"/>
      <c r="O401" s="62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3"/>
      <c r="BG401" s="53"/>
      <c r="BH401" s="53"/>
      <c r="BI401" s="53"/>
      <c r="BJ401" s="53"/>
      <c r="BK401" s="53"/>
      <c r="BL401" s="53"/>
      <c r="BM401" s="53"/>
      <c r="BN401" s="53"/>
      <c r="BO401" s="53"/>
      <c r="BP401" s="30"/>
      <c r="BQ401" s="30">
        <v>1.0</v>
      </c>
      <c r="BR401" s="30">
        <f t="shared" si="4"/>
        <v>0</v>
      </c>
      <c r="BS401" s="70">
        <f t="shared" si="5"/>
        <v>0</v>
      </c>
      <c r="BT401" s="70">
        <v>1.0</v>
      </c>
    </row>
    <row r="402" ht="15.75" customHeight="1">
      <c r="A402" s="54" t="s">
        <v>658</v>
      </c>
      <c r="B402" s="56" t="s">
        <v>692</v>
      </c>
      <c r="C402" s="56" t="s">
        <v>627</v>
      </c>
      <c r="D402" s="56" t="s">
        <v>660</v>
      </c>
      <c r="E402" s="56" t="s">
        <v>663</v>
      </c>
      <c r="F402" s="56" t="s">
        <v>193</v>
      </c>
      <c r="G402" s="57" t="s">
        <v>34</v>
      </c>
      <c r="H402" s="68">
        <f t="shared" si="3"/>
        <v>0</v>
      </c>
      <c r="I402" s="62" t="s">
        <v>146</v>
      </c>
      <c r="J402" s="62"/>
      <c r="K402" s="71"/>
      <c r="L402" s="57" t="s">
        <v>130</v>
      </c>
      <c r="M402" s="61"/>
      <c r="N402" s="79"/>
      <c r="O402" s="62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53"/>
      <c r="BG402" s="53"/>
      <c r="BH402" s="53"/>
      <c r="BI402" s="53"/>
      <c r="BJ402" s="53"/>
      <c r="BK402" s="53"/>
      <c r="BL402" s="53"/>
      <c r="BM402" s="53"/>
      <c r="BN402" s="53"/>
      <c r="BO402" s="53"/>
      <c r="BP402" s="101"/>
      <c r="BQ402" s="30">
        <v>1.0</v>
      </c>
      <c r="BR402" s="30">
        <f t="shared" si="4"/>
        <v>0</v>
      </c>
      <c r="BS402" s="70">
        <f t="shared" si="5"/>
        <v>0</v>
      </c>
      <c r="BT402" s="70">
        <v>1.0</v>
      </c>
    </row>
    <row r="403" ht="15.75" customHeight="1">
      <c r="A403" s="54" t="s">
        <v>658</v>
      </c>
      <c r="B403" s="56" t="s">
        <v>692</v>
      </c>
      <c r="C403" s="56" t="s">
        <v>627</v>
      </c>
      <c r="D403" s="56" t="s">
        <v>660</v>
      </c>
      <c r="E403" s="56" t="s">
        <v>664</v>
      </c>
      <c r="F403" s="56" t="s">
        <v>193</v>
      </c>
      <c r="G403" s="57" t="s">
        <v>34</v>
      </c>
      <c r="H403" s="68">
        <f t="shared" si="3"/>
        <v>0</v>
      </c>
      <c r="I403" s="62"/>
      <c r="J403" s="62"/>
      <c r="K403" s="71"/>
      <c r="L403" s="57" t="s">
        <v>115</v>
      </c>
      <c r="M403" s="61"/>
      <c r="N403" s="79"/>
      <c r="O403" s="62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3"/>
      <c r="BG403" s="53"/>
      <c r="BH403" s="53"/>
      <c r="BI403" s="53"/>
      <c r="BJ403" s="53"/>
      <c r="BK403" s="53"/>
      <c r="BL403" s="53"/>
      <c r="BM403" s="53"/>
      <c r="BN403" s="53"/>
      <c r="BO403" s="30"/>
      <c r="BP403" s="101"/>
      <c r="BQ403" s="30">
        <v>1.0</v>
      </c>
      <c r="BR403" s="30">
        <f t="shared" si="4"/>
        <v>0</v>
      </c>
      <c r="BS403" s="70">
        <f t="shared" si="5"/>
        <v>0</v>
      </c>
      <c r="BT403" s="70">
        <v>1.0</v>
      </c>
    </row>
    <row r="404" ht="15.75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665</v>
      </c>
      <c r="F404" s="56" t="s">
        <v>193</v>
      </c>
      <c r="G404" s="57" t="s">
        <v>34</v>
      </c>
      <c r="H404" s="68">
        <f t="shared" si="3"/>
        <v>0</v>
      </c>
      <c r="I404" s="62"/>
      <c r="J404" s="62"/>
      <c r="K404" s="71"/>
      <c r="L404" s="57" t="s">
        <v>130</v>
      </c>
      <c r="M404" s="61"/>
      <c r="N404" s="79"/>
      <c r="O404" s="62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53"/>
      <c r="BG404" s="53"/>
      <c r="BH404" s="53"/>
      <c r="BI404" s="53"/>
      <c r="BJ404" s="53"/>
      <c r="BK404" s="53"/>
      <c r="BL404" s="53"/>
      <c r="BM404" s="53"/>
      <c r="BN404" s="53"/>
      <c r="BO404" s="30"/>
      <c r="BP404" s="101"/>
      <c r="BQ404" s="30">
        <v>1.0</v>
      </c>
      <c r="BR404" s="30">
        <f t="shared" si="4"/>
        <v>0</v>
      </c>
      <c r="BS404" s="70">
        <f t="shared" si="5"/>
        <v>0</v>
      </c>
      <c r="BT404" s="70">
        <v>1.0</v>
      </c>
    </row>
    <row r="405" ht="15.75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614</v>
      </c>
      <c r="F405" s="56" t="s">
        <v>193</v>
      </c>
      <c r="G405" s="57" t="s">
        <v>34</v>
      </c>
      <c r="H405" s="68">
        <f t="shared" si="3"/>
        <v>0</v>
      </c>
      <c r="I405" s="62" t="s">
        <v>146</v>
      </c>
      <c r="J405" s="62"/>
      <c r="K405" s="71"/>
      <c r="L405" s="57" t="s">
        <v>115</v>
      </c>
      <c r="M405" s="61"/>
      <c r="N405" s="79"/>
      <c r="O405" s="62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3"/>
      <c r="BG405" s="53"/>
      <c r="BH405" s="53"/>
      <c r="BI405" s="53"/>
      <c r="BJ405" s="53"/>
      <c r="BK405" s="53"/>
      <c r="BL405" s="53"/>
      <c r="BM405" s="53"/>
      <c r="BN405" s="53"/>
      <c r="BO405" s="30"/>
      <c r="BP405" s="101"/>
      <c r="BQ405" s="30">
        <v>1.0</v>
      </c>
      <c r="BR405" s="30">
        <f t="shared" si="4"/>
        <v>0</v>
      </c>
      <c r="BS405" s="70">
        <f t="shared" si="5"/>
        <v>0</v>
      </c>
      <c r="BT405" s="70">
        <v>1.0</v>
      </c>
    </row>
    <row r="406" ht="15.75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666</v>
      </c>
      <c r="F406" s="56" t="s">
        <v>193</v>
      </c>
      <c r="G406" s="57" t="s">
        <v>34</v>
      </c>
      <c r="H406" s="68">
        <f t="shared" si="3"/>
        <v>0</v>
      </c>
      <c r="I406" s="62" t="s">
        <v>146</v>
      </c>
      <c r="J406" s="62"/>
      <c r="K406" s="71"/>
      <c r="L406" s="57" t="s">
        <v>115</v>
      </c>
      <c r="M406" s="61"/>
      <c r="N406" s="79"/>
      <c r="O406" s="62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53"/>
      <c r="BG406" s="53"/>
      <c r="BH406" s="53"/>
      <c r="BI406" s="53"/>
      <c r="BJ406" s="53"/>
      <c r="BK406" s="53"/>
      <c r="BL406" s="53"/>
      <c r="BM406" s="53"/>
      <c r="BN406" s="53"/>
      <c r="BO406" s="53"/>
      <c r="BP406" s="101"/>
      <c r="BQ406" s="30">
        <v>1.0</v>
      </c>
      <c r="BR406" s="30">
        <f t="shared" si="4"/>
        <v>0</v>
      </c>
      <c r="BS406" s="70">
        <f t="shared" si="5"/>
        <v>0</v>
      </c>
      <c r="BT406" s="70">
        <v>1.0</v>
      </c>
    </row>
    <row r="407" ht="15.75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667</v>
      </c>
      <c r="F407" s="56" t="s">
        <v>193</v>
      </c>
      <c r="G407" s="57" t="s">
        <v>34</v>
      </c>
      <c r="H407" s="68">
        <f t="shared" si="3"/>
        <v>0</v>
      </c>
      <c r="I407" s="62" t="s">
        <v>146</v>
      </c>
      <c r="J407" s="62"/>
      <c r="K407" s="71"/>
      <c r="L407" s="57" t="s">
        <v>130</v>
      </c>
      <c r="M407" s="61"/>
      <c r="N407" s="79"/>
      <c r="O407" s="62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3"/>
      <c r="BG407" s="53"/>
      <c r="BH407" s="53"/>
      <c r="BI407" s="53"/>
      <c r="BJ407" s="53"/>
      <c r="BK407" s="53"/>
      <c r="BL407" s="53"/>
      <c r="BM407" s="53"/>
      <c r="BN407" s="53"/>
      <c r="BO407" s="53"/>
      <c r="BP407" s="101"/>
      <c r="BQ407" s="30">
        <v>1.0</v>
      </c>
      <c r="BR407" s="30">
        <f t="shared" si="4"/>
        <v>0</v>
      </c>
      <c r="BS407" s="70">
        <f t="shared" si="5"/>
        <v>0</v>
      </c>
      <c r="BT407" s="70">
        <v>1.0</v>
      </c>
    </row>
    <row r="408" ht="15.75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668</v>
      </c>
      <c r="F408" s="56" t="s">
        <v>327</v>
      </c>
      <c r="G408" s="57" t="s">
        <v>154</v>
      </c>
      <c r="H408" s="68">
        <f t="shared" si="3"/>
        <v>0</v>
      </c>
      <c r="I408" s="62"/>
      <c r="J408" s="62" t="s">
        <v>617</v>
      </c>
      <c r="K408" s="71"/>
      <c r="L408" s="57" t="s">
        <v>115</v>
      </c>
      <c r="M408" s="61"/>
      <c r="N408" s="79"/>
      <c r="O408" s="62" t="s">
        <v>617</v>
      </c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53"/>
      <c r="BG408" s="53"/>
      <c r="BH408" s="53"/>
      <c r="BI408" s="53"/>
      <c r="BJ408" s="53"/>
      <c r="BK408" s="53"/>
      <c r="BL408" s="53"/>
      <c r="BM408" s="53"/>
      <c r="BN408" s="53"/>
      <c r="BO408" s="102"/>
      <c r="BP408" s="101"/>
      <c r="BQ408" s="30">
        <v>2.0</v>
      </c>
      <c r="BR408" s="30">
        <f t="shared" si="4"/>
        <v>0</v>
      </c>
      <c r="BS408" s="70">
        <f t="shared" si="5"/>
        <v>0</v>
      </c>
      <c r="BT408" s="70">
        <v>1.0</v>
      </c>
    </row>
    <row r="409" ht="15.75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669</v>
      </c>
      <c r="F409" s="56" t="s">
        <v>327</v>
      </c>
      <c r="G409" s="57" t="s">
        <v>154</v>
      </c>
      <c r="H409" s="68">
        <f t="shared" si="3"/>
        <v>0</v>
      </c>
      <c r="I409" s="62"/>
      <c r="J409" s="62" t="s">
        <v>617</v>
      </c>
      <c r="K409" s="71"/>
      <c r="L409" s="57" t="s">
        <v>115</v>
      </c>
      <c r="M409" s="61"/>
      <c r="N409" s="79"/>
      <c r="O409" s="62" t="s">
        <v>617</v>
      </c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3"/>
      <c r="BG409" s="53"/>
      <c r="BH409" s="53"/>
      <c r="BI409" s="53"/>
      <c r="BJ409" s="53"/>
      <c r="BK409" s="53"/>
      <c r="BL409" s="53"/>
      <c r="BM409" s="53"/>
      <c r="BN409" s="53"/>
      <c r="BO409" s="102"/>
      <c r="BP409" s="101"/>
      <c r="BQ409" s="30">
        <v>2.0</v>
      </c>
      <c r="BR409" s="30">
        <f t="shared" si="4"/>
        <v>0</v>
      </c>
      <c r="BS409" s="70">
        <f t="shared" si="5"/>
        <v>0</v>
      </c>
      <c r="BT409" s="70">
        <v>1.0</v>
      </c>
    </row>
    <row r="410" ht="15.75" customHeight="1">
      <c r="A410" s="54" t="s">
        <v>658</v>
      </c>
      <c r="B410" s="56" t="s">
        <v>692</v>
      </c>
      <c r="C410" s="56" t="s">
        <v>627</v>
      </c>
      <c r="D410" s="56" t="s">
        <v>660</v>
      </c>
      <c r="E410" s="56" t="s">
        <v>671</v>
      </c>
      <c r="F410" s="56" t="s">
        <v>327</v>
      </c>
      <c r="G410" s="57" t="s">
        <v>154</v>
      </c>
      <c r="H410" s="68">
        <f t="shared" si="3"/>
        <v>0</v>
      </c>
      <c r="I410" s="62" t="s">
        <v>146</v>
      </c>
      <c r="J410" s="62" t="s">
        <v>617</v>
      </c>
      <c r="K410" s="71"/>
      <c r="L410" s="57" t="s">
        <v>115</v>
      </c>
      <c r="M410" s="61"/>
      <c r="N410" s="79"/>
      <c r="O410" s="62" t="s">
        <v>617</v>
      </c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30"/>
      <c r="BQ410" s="30">
        <v>2.0</v>
      </c>
      <c r="BR410" s="30">
        <f t="shared" si="4"/>
        <v>0</v>
      </c>
      <c r="BS410" s="70">
        <f t="shared" si="5"/>
        <v>0</v>
      </c>
      <c r="BT410" s="70">
        <v>1.0</v>
      </c>
    </row>
    <row r="411" ht="15.75" customHeight="1">
      <c r="A411" s="54" t="s">
        <v>658</v>
      </c>
      <c r="B411" s="56" t="s">
        <v>692</v>
      </c>
      <c r="C411" s="56" t="s">
        <v>627</v>
      </c>
      <c r="D411" s="56" t="s">
        <v>660</v>
      </c>
      <c r="E411" s="56" t="s">
        <v>672</v>
      </c>
      <c r="F411" s="56" t="s">
        <v>327</v>
      </c>
      <c r="G411" s="57" t="s">
        <v>154</v>
      </c>
      <c r="H411" s="68">
        <f t="shared" si="3"/>
        <v>0</v>
      </c>
      <c r="I411" s="62" t="s">
        <v>146</v>
      </c>
      <c r="J411" s="62" t="s">
        <v>617</v>
      </c>
      <c r="K411" s="71"/>
      <c r="L411" s="57" t="s">
        <v>115</v>
      </c>
      <c r="M411" s="61"/>
      <c r="N411" s="79"/>
      <c r="O411" s="62" t="s">
        <v>617</v>
      </c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3"/>
      <c r="BG411" s="53"/>
      <c r="BH411" s="53"/>
      <c r="BI411" s="53"/>
      <c r="BJ411" s="53"/>
      <c r="BK411" s="53"/>
      <c r="BL411" s="53"/>
      <c r="BM411" s="53"/>
      <c r="BN411" s="53"/>
      <c r="BO411" s="53"/>
      <c r="BP411" s="101"/>
      <c r="BQ411" s="30">
        <v>2.0</v>
      </c>
      <c r="BR411" s="30">
        <f t="shared" si="4"/>
        <v>0</v>
      </c>
      <c r="BS411" s="70">
        <f t="shared" si="5"/>
        <v>0</v>
      </c>
      <c r="BT411" s="70">
        <v>1.0</v>
      </c>
    </row>
    <row r="412" ht="15.75" customHeight="1">
      <c r="A412" s="54" t="s">
        <v>658</v>
      </c>
      <c r="B412" s="56" t="s">
        <v>692</v>
      </c>
      <c r="C412" s="56" t="s">
        <v>627</v>
      </c>
      <c r="D412" s="56" t="s">
        <v>660</v>
      </c>
      <c r="E412" s="56" t="s">
        <v>673</v>
      </c>
      <c r="F412" s="56" t="s">
        <v>327</v>
      </c>
      <c r="G412" s="57" t="s">
        <v>154</v>
      </c>
      <c r="H412" s="68">
        <f t="shared" si="3"/>
        <v>0</v>
      </c>
      <c r="I412" s="62" t="s">
        <v>146</v>
      </c>
      <c r="J412" s="62" t="s">
        <v>617</v>
      </c>
      <c r="K412" s="71"/>
      <c r="L412" s="57" t="s">
        <v>115</v>
      </c>
      <c r="M412" s="61"/>
      <c r="N412" s="79"/>
      <c r="O412" s="62" t="s">
        <v>617</v>
      </c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53"/>
      <c r="BG412" s="53"/>
      <c r="BH412" s="53"/>
      <c r="BI412" s="53"/>
      <c r="BJ412" s="53"/>
      <c r="BK412" s="53"/>
      <c r="BL412" s="53"/>
      <c r="BM412" s="53"/>
      <c r="BN412" s="53"/>
      <c r="BO412" s="53"/>
      <c r="BP412" s="30"/>
      <c r="BQ412" s="30">
        <v>2.0</v>
      </c>
      <c r="BR412" s="30">
        <f t="shared" si="4"/>
        <v>0</v>
      </c>
      <c r="BS412" s="70">
        <f t="shared" si="5"/>
        <v>0</v>
      </c>
      <c r="BT412" s="70">
        <v>1.0</v>
      </c>
    </row>
    <row r="413" ht="15.75" customHeight="1">
      <c r="A413" s="54" t="s">
        <v>658</v>
      </c>
      <c r="B413" s="56" t="s">
        <v>693</v>
      </c>
      <c r="C413" s="56" t="s">
        <v>627</v>
      </c>
      <c r="D413" s="56" t="s">
        <v>675</v>
      </c>
      <c r="E413" s="56" t="s">
        <v>676</v>
      </c>
      <c r="F413" s="56" t="s">
        <v>193</v>
      </c>
      <c r="G413" s="57" t="s">
        <v>34</v>
      </c>
      <c r="H413" s="68">
        <f t="shared" si="3"/>
        <v>0</v>
      </c>
      <c r="I413" s="62" t="s">
        <v>146</v>
      </c>
      <c r="J413" s="62"/>
      <c r="K413" s="71"/>
      <c r="L413" s="57" t="s">
        <v>115</v>
      </c>
      <c r="M413" s="61"/>
      <c r="N413" s="79"/>
      <c r="O413" s="62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3"/>
      <c r="BG413" s="53"/>
      <c r="BH413" s="53"/>
      <c r="BI413" s="53"/>
      <c r="BJ413" s="53"/>
      <c r="BK413" s="53"/>
      <c r="BL413" s="53"/>
      <c r="BM413" s="53"/>
      <c r="BN413" s="53"/>
      <c r="BO413" s="53"/>
      <c r="BP413" s="30"/>
      <c r="BQ413" s="30">
        <v>1.0</v>
      </c>
      <c r="BR413" s="30">
        <f t="shared" si="4"/>
        <v>0</v>
      </c>
      <c r="BS413" s="70">
        <f t="shared" si="5"/>
        <v>0</v>
      </c>
      <c r="BT413" s="70">
        <v>1.0</v>
      </c>
    </row>
    <row r="414" ht="15.75" customHeight="1">
      <c r="A414" s="54" t="s">
        <v>658</v>
      </c>
      <c r="B414" s="56" t="s">
        <v>694</v>
      </c>
      <c r="C414" s="56" t="s">
        <v>627</v>
      </c>
      <c r="D414" s="56" t="s">
        <v>678</v>
      </c>
      <c r="E414" s="56" t="s">
        <v>679</v>
      </c>
      <c r="F414" s="56" t="s">
        <v>246</v>
      </c>
      <c r="G414" s="57" t="s">
        <v>154</v>
      </c>
      <c r="H414" s="68">
        <f t="shared" si="3"/>
        <v>0</v>
      </c>
      <c r="I414" s="62"/>
      <c r="J414" s="62"/>
      <c r="K414" s="71"/>
      <c r="L414" s="57" t="s">
        <v>115</v>
      </c>
      <c r="M414" s="61"/>
      <c r="N414" s="61" t="s">
        <v>322</v>
      </c>
      <c r="O414" s="62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53"/>
      <c r="BG414" s="53"/>
      <c r="BH414" s="53"/>
      <c r="BI414" s="53"/>
      <c r="BJ414" s="53"/>
      <c r="BK414" s="53"/>
      <c r="BL414" s="53"/>
      <c r="BM414" s="53"/>
      <c r="BN414" s="53"/>
      <c r="BO414" s="30"/>
      <c r="BP414" s="30"/>
      <c r="BQ414" s="30">
        <v>2.0</v>
      </c>
      <c r="BR414" s="30">
        <f t="shared" si="4"/>
        <v>0</v>
      </c>
      <c r="BS414" s="70">
        <f t="shared" si="5"/>
        <v>0</v>
      </c>
      <c r="BT414" s="70">
        <v>1.0</v>
      </c>
    </row>
    <row r="415" ht="15.75" customHeight="1">
      <c r="A415" s="54" t="s">
        <v>658</v>
      </c>
      <c r="B415" s="56" t="s">
        <v>694</v>
      </c>
      <c r="C415" s="56" t="s">
        <v>627</v>
      </c>
      <c r="D415" s="56" t="s">
        <v>678</v>
      </c>
      <c r="E415" s="56" t="s">
        <v>680</v>
      </c>
      <c r="F415" s="56" t="s">
        <v>193</v>
      </c>
      <c r="G415" s="57" t="s">
        <v>34</v>
      </c>
      <c r="H415" s="68">
        <f t="shared" si="3"/>
        <v>0</v>
      </c>
      <c r="I415" s="62" t="s">
        <v>146</v>
      </c>
      <c r="J415" s="62"/>
      <c r="K415" s="71"/>
      <c r="L415" s="57" t="s">
        <v>115</v>
      </c>
      <c r="M415" s="61"/>
      <c r="N415" s="79"/>
      <c r="O415" s="62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3"/>
      <c r="BG415" s="53"/>
      <c r="BH415" s="53"/>
      <c r="BI415" s="53"/>
      <c r="BJ415" s="53"/>
      <c r="BK415" s="53"/>
      <c r="BL415" s="53"/>
      <c r="BM415" s="53"/>
      <c r="BN415" s="53"/>
      <c r="BO415" s="30"/>
      <c r="BP415" s="30"/>
      <c r="BQ415" s="30">
        <v>1.0</v>
      </c>
      <c r="BR415" s="30">
        <f t="shared" si="4"/>
        <v>0</v>
      </c>
      <c r="BS415" s="70">
        <f t="shared" si="5"/>
        <v>0</v>
      </c>
      <c r="BT415" s="70">
        <v>1.0</v>
      </c>
    </row>
    <row r="416" ht="15.75" customHeight="1">
      <c r="A416" s="54" t="s">
        <v>658</v>
      </c>
      <c r="B416" s="56" t="s">
        <v>694</v>
      </c>
      <c r="C416" s="56" t="s">
        <v>627</v>
      </c>
      <c r="D416" s="56" t="s">
        <v>678</v>
      </c>
      <c r="E416" s="56" t="s">
        <v>683</v>
      </c>
      <c r="F416" s="56" t="s">
        <v>193</v>
      </c>
      <c r="G416" s="57" t="s">
        <v>34</v>
      </c>
      <c r="H416" s="68">
        <f t="shared" si="3"/>
        <v>0</v>
      </c>
      <c r="I416" s="62" t="s">
        <v>146</v>
      </c>
      <c r="J416" s="62"/>
      <c r="K416" s="71"/>
      <c r="L416" s="57" t="s">
        <v>130</v>
      </c>
      <c r="M416" s="61"/>
      <c r="N416" s="79"/>
      <c r="O416" s="62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  <c r="BE416" s="53"/>
      <c r="BF416" s="53"/>
      <c r="BG416" s="53"/>
      <c r="BH416" s="53"/>
      <c r="BI416" s="53"/>
      <c r="BJ416" s="53"/>
      <c r="BK416" s="53"/>
      <c r="BL416" s="53"/>
      <c r="BM416" s="53"/>
      <c r="BN416" s="53"/>
      <c r="BO416" s="30"/>
      <c r="BP416" s="53"/>
      <c r="BQ416" s="30">
        <v>1.0</v>
      </c>
      <c r="BR416" s="30">
        <f t="shared" si="4"/>
        <v>0</v>
      </c>
      <c r="BS416" s="70">
        <f t="shared" si="5"/>
        <v>0</v>
      </c>
      <c r="BT416" s="70">
        <v>1.0</v>
      </c>
    </row>
    <row r="417" ht="15.75" customHeight="1">
      <c r="A417" s="54" t="s">
        <v>658</v>
      </c>
      <c r="B417" s="56" t="s">
        <v>694</v>
      </c>
      <c r="C417" s="56" t="s">
        <v>627</v>
      </c>
      <c r="D417" s="56" t="s">
        <v>678</v>
      </c>
      <c r="E417" s="56" t="s">
        <v>684</v>
      </c>
      <c r="F417" s="56" t="s">
        <v>249</v>
      </c>
      <c r="G417" s="57" t="s">
        <v>250</v>
      </c>
      <c r="H417" s="68">
        <f t="shared" si="3"/>
        <v>0.25</v>
      </c>
      <c r="I417" s="62"/>
      <c r="J417" s="62"/>
      <c r="K417" s="71"/>
      <c r="L417" s="57" t="s">
        <v>115</v>
      </c>
      <c r="M417" s="61"/>
      <c r="N417" s="61" t="s">
        <v>878</v>
      </c>
      <c r="O417" s="62" t="s">
        <v>687</v>
      </c>
      <c r="P417" s="53"/>
      <c r="Q417" s="53"/>
      <c r="R417" s="53"/>
      <c r="S417" s="53" t="s">
        <v>326</v>
      </c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3"/>
      <c r="BG417" s="53"/>
      <c r="BH417" s="53"/>
      <c r="BI417" s="53"/>
      <c r="BJ417" s="53"/>
      <c r="BK417" s="53"/>
      <c r="BL417" s="53"/>
      <c r="BM417" s="53"/>
      <c r="BN417" s="53"/>
      <c r="BO417" s="30"/>
      <c r="BP417" s="30"/>
      <c r="BQ417" s="30">
        <v>4.0</v>
      </c>
      <c r="BR417" s="30">
        <f t="shared" si="4"/>
        <v>1</v>
      </c>
      <c r="BS417" s="70">
        <f t="shared" si="5"/>
        <v>0</v>
      </c>
      <c r="BT417" s="70">
        <v>1.0</v>
      </c>
    </row>
    <row r="418" ht="15.75" customHeight="1">
      <c r="A418" s="54" t="s">
        <v>658</v>
      </c>
      <c r="B418" s="56" t="s">
        <v>694</v>
      </c>
      <c r="C418" s="56" t="s">
        <v>627</v>
      </c>
      <c r="D418" s="56" t="s">
        <v>678</v>
      </c>
      <c r="E418" s="56" t="s">
        <v>695</v>
      </c>
      <c r="F418" s="80" t="s">
        <v>249</v>
      </c>
      <c r="G418" s="57" t="s">
        <v>250</v>
      </c>
      <c r="H418" s="68" t="str">
        <f t="shared" si="3"/>
        <v> </v>
      </c>
      <c r="I418" s="62"/>
      <c r="J418" s="62"/>
      <c r="K418" s="71"/>
      <c r="L418" s="57" t="s">
        <v>115</v>
      </c>
      <c r="M418" s="61"/>
      <c r="N418" s="61" t="s">
        <v>637</v>
      </c>
      <c r="O418" s="62" t="s">
        <v>696</v>
      </c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87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87"/>
      <c r="BE418" s="53"/>
      <c r="BF418" s="53"/>
      <c r="BG418" s="53"/>
      <c r="BH418" s="53"/>
      <c r="BI418" s="53"/>
      <c r="BJ418" s="53"/>
      <c r="BK418" s="53"/>
      <c r="BL418" s="87"/>
      <c r="BM418" s="53"/>
      <c r="BN418" s="53"/>
      <c r="BO418" s="30"/>
      <c r="BP418" s="30"/>
      <c r="BQ418" s="107">
        <v>0.0</v>
      </c>
      <c r="BR418" s="30">
        <f t="shared" si="4"/>
        <v>0</v>
      </c>
      <c r="BS418" s="70">
        <f t="shared" si="5"/>
        <v>0</v>
      </c>
      <c r="BT418" s="70">
        <v>1.0</v>
      </c>
    </row>
    <row r="419" ht="15.75" customHeight="1">
      <c r="A419" s="54" t="s">
        <v>658</v>
      </c>
      <c r="B419" s="56" t="s">
        <v>694</v>
      </c>
      <c r="C419" s="56" t="s">
        <v>627</v>
      </c>
      <c r="D419" s="56" t="s">
        <v>678</v>
      </c>
      <c r="E419" s="56" t="s">
        <v>685</v>
      </c>
      <c r="F419" s="56" t="s">
        <v>249</v>
      </c>
      <c r="G419" s="57" t="s">
        <v>250</v>
      </c>
      <c r="H419" s="68">
        <f t="shared" si="3"/>
        <v>0.25</v>
      </c>
      <c r="I419" s="62"/>
      <c r="J419" s="62" t="s">
        <v>873</v>
      </c>
      <c r="K419" s="71"/>
      <c r="L419" s="57" t="s">
        <v>115</v>
      </c>
      <c r="M419" s="61"/>
      <c r="N419" s="61" t="s">
        <v>324</v>
      </c>
      <c r="O419" s="62" t="s">
        <v>689</v>
      </c>
      <c r="P419" s="53"/>
      <c r="Q419" s="53"/>
      <c r="R419" s="53"/>
      <c r="S419" s="53" t="s">
        <v>326</v>
      </c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3"/>
      <c r="BG419" s="53"/>
      <c r="BH419" s="53"/>
      <c r="BI419" s="53"/>
      <c r="BJ419" s="53"/>
      <c r="BK419" s="53"/>
      <c r="BL419" s="53"/>
      <c r="BM419" s="53"/>
      <c r="BN419" s="53"/>
      <c r="BO419" s="30"/>
      <c r="BP419" s="53"/>
      <c r="BQ419" s="30">
        <v>4.0</v>
      </c>
      <c r="BR419" s="30">
        <f t="shared" si="4"/>
        <v>1</v>
      </c>
      <c r="BS419" s="70">
        <f t="shared" si="5"/>
        <v>0</v>
      </c>
      <c r="BT419" s="70">
        <v>1.0</v>
      </c>
    </row>
    <row r="420" ht="15.75" customHeight="1">
      <c r="A420" s="54" t="s">
        <v>658</v>
      </c>
      <c r="B420" s="56" t="s">
        <v>697</v>
      </c>
      <c r="C420" s="56" t="s">
        <v>640</v>
      </c>
      <c r="D420" s="56" t="s">
        <v>660</v>
      </c>
      <c r="E420" s="56" t="s">
        <v>661</v>
      </c>
      <c r="F420" s="56" t="s">
        <v>193</v>
      </c>
      <c r="G420" s="57" t="s">
        <v>34</v>
      </c>
      <c r="H420" s="68">
        <f t="shared" si="3"/>
        <v>0</v>
      </c>
      <c r="I420" s="62" t="s">
        <v>146</v>
      </c>
      <c r="J420" s="62"/>
      <c r="K420" s="71"/>
      <c r="L420" s="57" t="s">
        <v>130</v>
      </c>
      <c r="M420" s="61"/>
      <c r="N420" s="79"/>
      <c r="O420" s="62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53"/>
      <c r="BG420" s="53"/>
      <c r="BH420" s="53"/>
      <c r="BI420" s="53"/>
      <c r="BJ420" s="53"/>
      <c r="BK420" s="53"/>
      <c r="BL420" s="53"/>
      <c r="BM420" s="53"/>
      <c r="BN420" s="53"/>
      <c r="BO420" s="53"/>
      <c r="BP420" s="30"/>
      <c r="BQ420" s="30">
        <v>1.0</v>
      </c>
      <c r="BR420" s="30">
        <f t="shared" si="4"/>
        <v>0</v>
      </c>
      <c r="BS420" s="70">
        <f t="shared" si="5"/>
        <v>0</v>
      </c>
      <c r="BT420" s="70">
        <v>1.0</v>
      </c>
    </row>
    <row r="421" ht="15.75" customHeight="1">
      <c r="A421" s="54" t="s">
        <v>658</v>
      </c>
      <c r="B421" s="56" t="s">
        <v>697</v>
      </c>
      <c r="C421" s="56" t="s">
        <v>640</v>
      </c>
      <c r="D421" s="56" t="s">
        <v>660</v>
      </c>
      <c r="E421" s="56" t="s">
        <v>662</v>
      </c>
      <c r="F421" s="56" t="s">
        <v>193</v>
      </c>
      <c r="G421" s="57" t="s">
        <v>34</v>
      </c>
      <c r="H421" s="68">
        <f t="shared" si="3"/>
        <v>0</v>
      </c>
      <c r="I421" s="62"/>
      <c r="J421" s="62"/>
      <c r="K421" s="71"/>
      <c r="L421" s="57" t="s">
        <v>115</v>
      </c>
      <c r="M421" s="61"/>
      <c r="N421" s="79"/>
      <c r="O421" s="62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3"/>
      <c r="BG421" s="53"/>
      <c r="BH421" s="53"/>
      <c r="BI421" s="53"/>
      <c r="BJ421" s="53"/>
      <c r="BK421" s="53"/>
      <c r="BL421" s="53"/>
      <c r="BM421" s="53"/>
      <c r="BN421" s="53"/>
      <c r="BO421" s="53"/>
      <c r="BP421" s="30"/>
      <c r="BQ421" s="30">
        <v>1.0</v>
      </c>
      <c r="BR421" s="30">
        <f t="shared" si="4"/>
        <v>0</v>
      </c>
      <c r="BS421" s="70">
        <f t="shared" si="5"/>
        <v>0</v>
      </c>
      <c r="BT421" s="70">
        <v>1.0</v>
      </c>
    </row>
    <row r="422" ht="15.75" customHeight="1">
      <c r="A422" s="54" t="s">
        <v>658</v>
      </c>
      <c r="B422" s="56" t="s">
        <v>697</v>
      </c>
      <c r="C422" s="56" t="s">
        <v>640</v>
      </c>
      <c r="D422" s="56" t="s">
        <v>660</v>
      </c>
      <c r="E422" s="56" t="s">
        <v>663</v>
      </c>
      <c r="F422" s="56" t="s">
        <v>193</v>
      </c>
      <c r="G422" s="57" t="s">
        <v>34</v>
      </c>
      <c r="H422" s="68">
        <f t="shared" si="3"/>
        <v>0</v>
      </c>
      <c r="I422" s="62" t="s">
        <v>146</v>
      </c>
      <c r="J422" s="62"/>
      <c r="K422" s="71"/>
      <c r="L422" s="57" t="s">
        <v>130</v>
      </c>
      <c r="M422" s="61"/>
      <c r="N422" s="79"/>
      <c r="O422" s="62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53"/>
      <c r="BG422" s="53"/>
      <c r="BH422" s="53"/>
      <c r="BI422" s="53"/>
      <c r="BJ422" s="53"/>
      <c r="BK422" s="53"/>
      <c r="BL422" s="53"/>
      <c r="BM422" s="53"/>
      <c r="BN422" s="53"/>
      <c r="BO422" s="53"/>
      <c r="BP422" s="30"/>
      <c r="BQ422" s="30">
        <v>1.0</v>
      </c>
      <c r="BR422" s="30">
        <f t="shared" si="4"/>
        <v>0</v>
      </c>
      <c r="BS422" s="70">
        <f t="shared" si="5"/>
        <v>0</v>
      </c>
      <c r="BT422" s="70">
        <v>1.0</v>
      </c>
    </row>
    <row r="423" ht="15.75" customHeight="1">
      <c r="A423" s="54" t="s">
        <v>658</v>
      </c>
      <c r="B423" s="56" t="s">
        <v>697</v>
      </c>
      <c r="C423" s="56" t="s">
        <v>640</v>
      </c>
      <c r="D423" s="56" t="s">
        <v>660</v>
      </c>
      <c r="E423" s="56" t="s">
        <v>664</v>
      </c>
      <c r="F423" s="56" t="s">
        <v>193</v>
      </c>
      <c r="G423" s="57" t="s">
        <v>34</v>
      </c>
      <c r="H423" s="68">
        <f t="shared" si="3"/>
        <v>0</v>
      </c>
      <c r="I423" s="62"/>
      <c r="J423" s="62"/>
      <c r="K423" s="71"/>
      <c r="L423" s="57" t="s">
        <v>115</v>
      </c>
      <c r="M423" s="61"/>
      <c r="N423" s="79"/>
      <c r="O423" s="62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3"/>
      <c r="BG423" s="53"/>
      <c r="BH423" s="53"/>
      <c r="BI423" s="53"/>
      <c r="BJ423" s="53"/>
      <c r="BK423" s="53"/>
      <c r="BL423" s="53"/>
      <c r="BM423" s="53"/>
      <c r="BN423" s="53"/>
      <c r="BO423" s="30"/>
      <c r="BP423" s="30"/>
      <c r="BQ423" s="30">
        <v>1.0</v>
      </c>
      <c r="BR423" s="30">
        <f t="shared" si="4"/>
        <v>0</v>
      </c>
      <c r="BS423" s="70">
        <f t="shared" si="5"/>
        <v>0</v>
      </c>
      <c r="BT423" s="70">
        <v>1.0</v>
      </c>
    </row>
    <row r="424" ht="15.75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665</v>
      </c>
      <c r="F424" s="56" t="s">
        <v>193</v>
      </c>
      <c r="G424" s="57" t="s">
        <v>34</v>
      </c>
      <c r="H424" s="68">
        <f t="shared" si="3"/>
        <v>0</v>
      </c>
      <c r="I424" s="62"/>
      <c r="J424" s="62"/>
      <c r="K424" s="71"/>
      <c r="L424" s="57" t="s">
        <v>130</v>
      </c>
      <c r="M424" s="61"/>
      <c r="N424" s="79"/>
      <c r="O424" s="62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53"/>
      <c r="BG424" s="53"/>
      <c r="BH424" s="53"/>
      <c r="BI424" s="53"/>
      <c r="BJ424" s="53"/>
      <c r="BK424" s="53"/>
      <c r="BL424" s="53"/>
      <c r="BM424" s="53"/>
      <c r="BN424" s="53"/>
      <c r="BO424" s="30"/>
      <c r="BP424" s="30"/>
      <c r="BQ424" s="30">
        <v>1.0</v>
      </c>
      <c r="BR424" s="30">
        <f t="shared" si="4"/>
        <v>0</v>
      </c>
      <c r="BS424" s="70">
        <f t="shared" si="5"/>
        <v>0</v>
      </c>
      <c r="BT424" s="70">
        <v>1.0</v>
      </c>
    </row>
    <row r="425" ht="15.75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614</v>
      </c>
      <c r="F425" s="56" t="s">
        <v>193</v>
      </c>
      <c r="G425" s="57" t="s">
        <v>34</v>
      </c>
      <c r="H425" s="68">
        <f t="shared" si="3"/>
        <v>0</v>
      </c>
      <c r="I425" s="62" t="s">
        <v>146</v>
      </c>
      <c r="J425" s="62"/>
      <c r="K425" s="71"/>
      <c r="L425" s="57" t="s">
        <v>115</v>
      </c>
      <c r="M425" s="61"/>
      <c r="N425" s="79"/>
      <c r="O425" s="62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3"/>
      <c r="BG425" s="53"/>
      <c r="BH425" s="53"/>
      <c r="BI425" s="53"/>
      <c r="BJ425" s="53"/>
      <c r="BK425" s="53"/>
      <c r="BL425" s="53"/>
      <c r="BM425" s="53"/>
      <c r="BN425" s="53"/>
      <c r="BO425" s="30"/>
      <c r="BP425" s="30"/>
      <c r="BQ425" s="30">
        <v>1.0</v>
      </c>
      <c r="BR425" s="30">
        <f t="shared" si="4"/>
        <v>0</v>
      </c>
      <c r="BS425" s="70">
        <f t="shared" si="5"/>
        <v>0</v>
      </c>
      <c r="BT425" s="70">
        <v>1.0</v>
      </c>
    </row>
    <row r="426" ht="15.75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666</v>
      </c>
      <c r="F426" s="56" t="s">
        <v>193</v>
      </c>
      <c r="G426" s="57" t="s">
        <v>34</v>
      </c>
      <c r="H426" s="68">
        <f t="shared" si="3"/>
        <v>0</v>
      </c>
      <c r="I426" s="62" t="s">
        <v>146</v>
      </c>
      <c r="J426" s="62"/>
      <c r="K426" s="71"/>
      <c r="L426" s="57" t="s">
        <v>115</v>
      </c>
      <c r="M426" s="61"/>
      <c r="N426" s="79"/>
      <c r="O426" s="62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53"/>
      <c r="BG426" s="53"/>
      <c r="BH426" s="53"/>
      <c r="BI426" s="53"/>
      <c r="BJ426" s="53"/>
      <c r="BK426" s="53"/>
      <c r="BL426" s="53"/>
      <c r="BM426" s="53"/>
      <c r="BN426" s="53"/>
      <c r="BO426" s="53"/>
      <c r="BP426" s="30"/>
      <c r="BQ426" s="30">
        <v>1.0</v>
      </c>
      <c r="BR426" s="30">
        <f t="shared" si="4"/>
        <v>0</v>
      </c>
      <c r="BS426" s="70">
        <f t="shared" si="5"/>
        <v>0</v>
      </c>
      <c r="BT426" s="70">
        <v>1.0</v>
      </c>
    </row>
    <row r="427" ht="15.75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667</v>
      </c>
      <c r="F427" s="56" t="s">
        <v>193</v>
      </c>
      <c r="G427" s="57" t="s">
        <v>34</v>
      </c>
      <c r="H427" s="68">
        <f t="shared" si="3"/>
        <v>0</v>
      </c>
      <c r="I427" s="62" t="s">
        <v>146</v>
      </c>
      <c r="J427" s="62"/>
      <c r="K427" s="71"/>
      <c r="L427" s="57" t="s">
        <v>130</v>
      </c>
      <c r="M427" s="61"/>
      <c r="N427" s="79"/>
      <c r="O427" s="62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3"/>
      <c r="BG427" s="53"/>
      <c r="BH427" s="53"/>
      <c r="BI427" s="53"/>
      <c r="BJ427" s="53"/>
      <c r="BK427" s="53"/>
      <c r="BL427" s="53"/>
      <c r="BM427" s="53"/>
      <c r="BN427" s="53"/>
      <c r="BO427" s="53"/>
      <c r="BP427" s="30"/>
      <c r="BQ427" s="30">
        <v>1.0</v>
      </c>
      <c r="BR427" s="30">
        <f t="shared" si="4"/>
        <v>0</v>
      </c>
      <c r="BS427" s="70">
        <f t="shared" si="5"/>
        <v>0</v>
      </c>
      <c r="BT427" s="70">
        <v>1.0</v>
      </c>
    </row>
    <row r="428" ht="15.75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668</v>
      </c>
      <c r="F428" s="56" t="s">
        <v>327</v>
      </c>
      <c r="G428" s="57" t="s">
        <v>154</v>
      </c>
      <c r="H428" s="68">
        <f t="shared" si="3"/>
        <v>0</v>
      </c>
      <c r="I428" s="62"/>
      <c r="J428" s="62" t="s">
        <v>617</v>
      </c>
      <c r="K428" s="71"/>
      <c r="L428" s="57" t="s">
        <v>115</v>
      </c>
      <c r="M428" s="61"/>
      <c r="N428" s="79"/>
      <c r="O428" s="62" t="s">
        <v>617</v>
      </c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53"/>
      <c r="BG428" s="53"/>
      <c r="BH428" s="53"/>
      <c r="BI428" s="53"/>
      <c r="BJ428" s="53"/>
      <c r="BK428" s="53"/>
      <c r="BL428" s="53"/>
      <c r="BM428" s="53"/>
      <c r="BN428" s="53"/>
      <c r="BO428" s="53"/>
      <c r="BP428" s="30"/>
      <c r="BQ428" s="30">
        <v>2.0</v>
      </c>
      <c r="BR428" s="30">
        <f t="shared" si="4"/>
        <v>0</v>
      </c>
      <c r="BS428" s="70">
        <f t="shared" si="5"/>
        <v>0</v>
      </c>
      <c r="BT428" s="70">
        <v>1.0</v>
      </c>
    </row>
    <row r="429" ht="15.75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669</v>
      </c>
      <c r="F429" s="56" t="s">
        <v>327</v>
      </c>
      <c r="G429" s="57" t="s">
        <v>154</v>
      </c>
      <c r="H429" s="68">
        <f t="shared" si="3"/>
        <v>0</v>
      </c>
      <c r="I429" s="62"/>
      <c r="J429" s="62" t="s">
        <v>617</v>
      </c>
      <c r="K429" s="71"/>
      <c r="L429" s="57" t="s">
        <v>115</v>
      </c>
      <c r="M429" s="61"/>
      <c r="N429" s="79"/>
      <c r="O429" s="62" t="s">
        <v>617</v>
      </c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3"/>
      <c r="BG429" s="53"/>
      <c r="BH429" s="53"/>
      <c r="BI429" s="53"/>
      <c r="BJ429" s="53"/>
      <c r="BK429" s="53"/>
      <c r="BL429" s="53"/>
      <c r="BM429" s="53"/>
      <c r="BN429" s="53"/>
      <c r="BO429" s="53"/>
      <c r="BP429" s="30"/>
      <c r="BQ429" s="30">
        <v>2.0</v>
      </c>
      <c r="BR429" s="30">
        <f t="shared" si="4"/>
        <v>0</v>
      </c>
      <c r="BS429" s="70">
        <f t="shared" si="5"/>
        <v>0</v>
      </c>
      <c r="BT429" s="70">
        <v>1.0</v>
      </c>
    </row>
    <row r="430" ht="15.75" customHeight="1">
      <c r="A430" s="54" t="s">
        <v>658</v>
      </c>
      <c r="B430" s="56" t="s">
        <v>697</v>
      </c>
      <c r="C430" s="56" t="s">
        <v>640</v>
      </c>
      <c r="D430" s="56" t="s">
        <v>660</v>
      </c>
      <c r="E430" s="56" t="s">
        <v>671</v>
      </c>
      <c r="F430" s="56" t="s">
        <v>327</v>
      </c>
      <c r="G430" s="57" t="s">
        <v>154</v>
      </c>
      <c r="H430" s="68">
        <f t="shared" si="3"/>
        <v>0</v>
      </c>
      <c r="I430" s="62" t="s">
        <v>146</v>
      </c>
      <c r="J430" s="62" t="s">
        <v>617</v>
      </c>
      <c r="K430" s="71"/>
      <c r="L430" s="57" t="s">
        <v>115</v>
      </c>
      <c r="M430" s="61"/>
      <c r="N430" s="79"/>
      <c r="O430" s="62" t="s">
        <v>617</v>
      </c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53"/>
      <c r="BG430" s="53"/>
      <c r="BH430" s="53"/>
      <c r="BI430" s="53"/>
      <c r="BJ430" s="53"/>
      <c r="BK430" s="53"/>
      <c r="BL430" s="53"/>
      <c r="BM430" s="53"/>
      <c r="BN430" s="53"/>
      <c r="BO430" s="53"/>
      <c r="BP430" s="30"/>
      <c r="BQ430" s="30">
        <v>2.0</v>
      </c>
      <c r="BR430" s="30">
        <f t="shared" si="4"/>
        <v>0</v>
      </c>
      <c r="BS430" s="70">
        <f t="shared" si="5"/>
        <v>0</v>
      </c>
      <c r="BT430" s="70">
        <v>1.0</v>
      </c>
    </row>
    <row r="431" ht="15.75" customHeight="1">
      <c r="A431" s="54" t="s">
        <v>658</v>
      </c>
      <c r="B431" s="56" t="s">
        <v>697</v>
      </c>
      <c r="C431" s="56" t="s">
        <v>640</v>
      </c>
      <c r="D431" s="56" t="s">
        <v>660</v>
      </c>
      <c r="E431" s="56" t="s">
        <v>672</v>
      </c>
      <c r="F431" s="56" t="s">
        <v>327</v>
      </c>
      <c r="G431" s="57" t="s">
        <v>154</v>
      </c>
      <c r="H431" s="68">
        <f t="shared" si="3"/>
        <v>0</v>
      </c>
      <c r="I431" s="62" t="s">
        <v>146</v>
      </c>
      <c r="J431" s="62" t="s">
        <v>617</v>
      </c>
      <c r="K431" s="71"/>
      <c r="L431" s="57" t="s">
        <v>115</v>
      </c>
      <c r="M431" s="61"/>
      <c r="N431" s="79"/>
      <c r="O431" s="62" t="s">
        <v>617</v>
      </c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53"/>
      <c r="BK431" s="53"/>
      <c r="BL431" s="53"/>
      <c r="BM431" s="53"/>
      <c r="BN431" s="53"/>
      <c r="BO431" s="53"/>
      <c r="BP431" s="30"/>
      <c r="BQ431" s="30">
        <v>2.0</v>
      </c>
      <c r="BR431" s="30">
        <f t="shared" si="4"/>
        <v>0</v>
      </c>
      <c r="BS431" s="70">
        <f t="shared" si="5"/>
        <v>0</v>
      </c>
      <c r="BT431" s="70">
        <v>1.0</v>
      </c>
    </row>
    <row r="432" ht="15.75" customHeight="1">
      <c r="A432" s="54" t="s">
        <v>658</v>
      </c>
      <c r="B432" s="56" t="s">
        <v>697</v>
      </c>
      <c r="C432" s="56" t="s">
        <v>640</v>
      </c>
      <c r="D432" s="56" t="s">
        <v>660</v>
      </c>
      <c r="E432" s="56" t="s">
        <v>673</v>
      </c>
      <c r="F432" s="56" t="s">
        <v>327</v>
      </c>
      <c r="G432" s="57" t="s">
        <v>154</v>
      </c>
      <c r="H432" s="68">
        <f t="shared" si="3"/>
        <v>0</v>
      </c>
      <c r="I432" s="62" t="s">
        <v>146</v>
      </c>
      <c r="J432" s="62" t="s">
        <v>617</v>
      </c>
      <c r="K432" s="71"/>
      <c r="L432" s="57" t="s">
        <v>115</v>
      </c>
      <c r="M432" s="61"/>
      <c r="N432" s="79"/>
      <c r="O432" s="62" t="s">
        <v>617</v>
      </c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53"/>
      <c r="BG432" s="53"/>
      <c r="BH432" s="53"/>
      <c r="BI432" s="53"/>
      <c r="BJ432" s="53"/>
      <c r="BK432" s="53"/>
      <c r="BL432" s="53"/>
      <c r="BM432" s="53"/>
      <c r="BN432" s="53"/>
      <c r="BO432" s="53"/>
      <c r="BP432" s="30"/>
      <c r="BQ432" s="30">
        <v>2.0</v>
      </c>
      <c r="BR432" s="30">
        <f t="shared" si="4"/>
        <v>0</v>
      </c>
      <c r="BS432" s="70">
        <f t="shared" si="5"/>
        <v>0</v>
      </c>
      <c r="BT432" s="70">
        <v>1.0</v>
      </c>
    </row>
    <row r="433" ht="15.75" customHeight="1">
      <c r="A433" s="54" t="s">
        <v>658</v>
      </c>
      <c r="B433" s="56" t="s">
        <v>698</v>
      </c>
      <c r="C433" s="56" t="s">
        <v>640</v>
      </c>
      <c r="D433" s="56" t="s">
        <v>675</v>
      </c>
      <c r="E433" s="56" t="s">
        <v>676</v>
      </c>
      <c r="F433" s="56" t="s">
        <v>193</v>
      </c>
      <c r="G433" s="57" t="s">
        <v>34</v>
      </c>
      <c r="H433" s="68">
        <f t="shared" si="3"/>
        <v>0</v>
      </c>
      <c r="I433" s="62" t="s">
        <v>146</v>
      </c>
      <c r="J433" s="62"/>
      <c r="K433" s="71"/>
      <c r="L433" s="57" t="s">
        <v>115</v>
      </c>
      <c r="M433" s="61"/>
      <c r="N433" s="79"/>
      <c r="O433" s="62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53"/>
      <c r="BK433" s="53"/>
      <c r="BL433" s="53"/>
      <c r="BM433" s="53"/>
      <c r="BN433" s="53"/>
      <c r="BO433" s="53"/>
      <c r="BP433" s="30"/>
      <c r="BQ433" s="30">
        <v>1.0</v>
      </c>
      <c r="BR433" s="30">
        <f t="shared" si="4"/>
        <v>0</v>
      </c>
      <c r="BS433" s="70">
        <f t="shared" si="5"/>
        <v>0</v>
      </c>
      <c r="BT433" s="70">
        <v>1.0</v>
      </c>
    </row>
    <row r="434" ht="15.75" customHeight="1">
      <c r="A434" s="54" t="s">
        <v>658</v>
      </c>
      <c r="B434" s="56" t="s">
        <v>699</v>
      </c>
      <c r="C434" s="56" t="s">
        <v>640</v>
      </c>
      <c r="D434" s="56" t="s">
        <v>678</v>
      </c>
      <c r="E434" s="56" t="s">
        <v>679</v>
      </c>
      <c r="F434" s="56" t="s">
        <v>246</v>
      </c>
      <c r="G434" s="57" t="s">
        <v>154</v>
      </c>
      <c r="H434" s="68">
        <f t="shared" si="3"/>
        <v>0</v>
      </c>
      <c r="I434" s="62" t="s">
        <v>146</v>
      </c>
      <c r="J434" s="62"/>
      <c r="K434" s="71"/>
      <c r="L434" s="57" t="s">
        <v>115</v>
      </c>
      <c r="M434" s="61"/>
      <c r="N434" s="61" t="s">
        <v>322</v>
      </c>
      <c r="O434" s="62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53"/>
      <c r="BG434" s="53"/>
      <c r="BH434" s="53"/>
      <c r="BI434" s="53"/>
      <c r="BJ434" s="53"/>
      <c r="BK434" s="53"/>
      <c r="BL434" s="53"/>
      <c r="BM434" s="53"/>
      <c r="BN434" s="53"/>
      <c r="BO434" s="30"/>
      <c r="BP434" s="30"/>
      <c r="BQ434" s="30">
        <v>2.0</v>
      </c>
      <c r="BR434" s="30">
        <f t="shared" si="4"/>
        <v>0</v>
      </c>
      <c r="BS434" s="70">
        <f t="shared" si="5"/>
        <v>0</v>
      </c>
      <c r="BT434" s="70">
        <v>1.0</v>
      </c>
    </row>
    <row r="435" ht="15.75" customHeight="1">
      <c r="A435" s="54" t="s">
        <v>658</v>
      </c>
      <c r="B435" s="56" t="s">
        <v>699</v>
      </c>
      <c r="C435" s="56" t="s">
        <v>640</v>
      </c>
      <c r="D435" s="56" t="s">
        <v>678</v>
      </c>
      <c r="E435" s="56" t="s">
        <v>680</v>
      </c>
      <c r="F435" s="56" t="s">
        <v>193</v>
      </c>
      <c r="G435" s="57" t="s">
        <v>34</v>
      </c>
      <c r="H435" s="68">
        <f t="shared" si="3"/>
        <v>0</v>
      </c>
      <c r="I435" s="62" t="s">
        <v>146</v>
      </c>
      <c r="J435" s="62"/>
      <c r="K435" s="71"/>
      <c r="L435" s="57" t="s">
        <v>115</v>
      </c>
      <c r="M435" s="61"/>
      <c r="N435" s="79"/>
      <c r="O435" s="62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53"/>
      <c r="BK435" s="53"/>
      <c r="BL435" s="53"/>
      <c r="BM435" s="53"/>
      <c r="BN435" s="53"/>
      <c r="BO435" s="30"/>
      <c r="BP435" s="30"/>
      <c r="BQ435" s="30">
        <v>1.0</v>
      </c>
      <c r="BR435" s="30">
        <f t="shared" si="4"/>
        <v>0</v>
      </c>
      <c r="BS435" s="70">
        <f t="shared" si="5"/>
        <v>0</v>
      </c>
      <c r="BT435" s="70">
        <v>1.0</v>
      </c>
    </row>
    <row r="436" ht="15.75" customHeight="1">
      <c r="A436" s="54" t="s">
        <v>658</v>
      </c>
      <c r="B436" s="56" t="s">
        <v>699</v>
      </c>
      <c r="C436" s="56" t="s">
        <v>640</v>
      </c>
      <c r="D436" s="56" t="s">
        <v>678</v>
      </c>
      <c r="E436" s="56" t="s">
        <v>682</v>
      </c>
      <c r="F436" s="56" t="s">
        <v>193</v>
      </c>
      <c r="G436" s="57" t="s">
        <v>34</v>
      </c>
      <c r="H436" s="68">
        <f t="shared" si="3"/>
        <v>0</v>
      </c>
      <c r="I436" s="62" t="s">
        <v>146</v>
      </c>
      <c r="J436" s="62"/>
      <c r="K436" s="71"/>
      <c r="L436" s="57" t="s">
        <v>115</v>
      </c>
      <c r="M436" s="61"/>
      <c r="N436" s="79"/>
      <c r="O436" s="62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53"/>
      <c r="BG436" s="53"/>
      <c r="BH436" s="53"/>
      <c r="BI436" s="53"/>
      <c r="BJ436" s="53"/>
      <c r="BK436" s="53"/>
      <c r="BL436" s="53"/>
      <c r="BM436" s="53"/>
      <c r="BN436" s="53"/>
      <c r="BO436" s="30"/>
      <c r="BP436" s="30"/>
      <c r="BQ436" s="30">
        <v>1.0</v>
      </c>
      <c r="BR436" s="30">
        <f t="shared" si="4"/>
        <v>0</v>
      </c>
      <c r="BS436" s="70">
        <f t="shared" si="5"/>
        <v>0</v>
      </c>
      <c r="BT436" s="70">
        <v>1.0</v>
      </c>
    </row>
    <row r="437" ht="15.75" customHeight="1">
      <c r="A437" s="54" t="s">
        <v>658</v>
      </c>
      <c r="B437" s="56" t="s">
        <v>699</v>
      </c>
      <c r="C437" s="56" t="s">
        <v>640</v>
      </c>
      <c r="D437" s="56" t="s">
        <v>678</v>
      </c>
      <c r="E437" s="56" t="s">
        <v>683</v>
      </c>
      <c r="F437" s="56" t="s">
        <v>193</v>
      </c>
      <c r="G437" s="57" t="s">
        <v>34</v>
      </c>
      <c r="H437" s="68">
        <f t="shared" si="3"/>
        <v>0</v>
      </c>
      <c r="I437" s="62" t="s">
        <v>146</v>
      </c>
      <c r="J437" s="62"/>
      <c r="K437" s="71"/>
      <c r="L437" s="57" t="s">
        <v>130</v>
      </c>
      <c r="M437" s="61"/>
      <c r="N437" s="79"/>
      <c r="O437" s="62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53"/>
      <c r="BK437" s="53"/>
      <c r="BL437" s="53"/>
      <c r="BM437" s="53"/>
      <c r="BN437" s="53"/>
      <c r="BO437" s="30"/>
      <c r="BP437" s="30"/>
      <c r="BQ437" s="30">
        <v>1.0</v>
      </c>
      <c r="BR437" s="30">
        <f t="shared" si="4"/>
        <v>0</v>
      </c>
      <c r="BS437" s="70">
        <f t="shared" si="5"/>
        <v>0</v>
      </c>
      <c r="BT437" s="70">
        <v>1.0</v>
      </c>
    </row>
    <row r="438" ht="15.75" customHeight="1">
      <c r="A438" s="54" t="s">
        <v>658</v>
      </c>
      <c r="B438" s="56" t="s">
        <v>699</v>
      </c>
      <c r="C438" s="56" t="s">
        <v>640</v>
      </c>
      <c r="D438" s="56" t="s">
        <v>678</v>
      </c>
      <c r="E438" s="56" t="s">
        <v>684</v>
      </c>
      <c r="F438" s="56" t="s">
        <v>249</v>
      </c>
      <c r="G438" s="57" t="s">
        <v>250</v>
      </c>
      <c r="H438" s="68">
        <f t="shared" si="3"/>
        <v>0.25</v>
      </c>
      <c r="I438" s="62"/>
      <c r="J438" s="62"/>
      <c r="K438" s="71"/>
      <c r="L438" s="57" t="s">
        <v>115</v>
      </c>
      <c r="M438" s="61"/>
      <c r="N438" s="61" t="s">
        <v>878</v>
      </c>
      <c r="O438" s="62" t="s">
        <v>687</v>
      </c>
      <c r="P438" s="53"/>
      <c r="Q438" s="53"/>
      <c r="R438" s="53"/>
      <c r="S438" s="53" t="s">
        <v>326</v>
      </c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53"/>
      <c r="BG438" s="53"/>
      <c r="BH438" s="53"/>
      <c r="BI438" s="53"/>
      <c r="BJ438" s="53"/>
      <c r="BK438" s="53"/>
      <c r="BL438" s="53"/>
      <c r="BM438" s="53"/>
      <c r="BN438" s="53"/>
      <c r="BO438" s="30"/>
      <c r="BP438" s="30"/>
      <c r="BQ438" s="30">
        <v>4.0</v>
      </c>
      <c r="BR438" s="30">
        <f t="shared" si="4"/>
        <v>1</v>
      </c>
      <c r="BS438" s="70">
        <f t="shared" si="5"/>
        <v>0</v>
      </c>
      <c r="BT438" s="70">
        <v>1.0</v>
      </c>
    </row>
    <row r="439" ht="15.75" customHeight="1">
      <c r="A439" s="54" t="s">
        <v>658</v>
      </c>
      <c r="B439" s="56" t="s">
        <v>699</v>
      </c>
      <c r="C439" s="56" t="s">
        <v>640</v>
      </c>
      <c r="D439" s="56" t="s">
        <v>678</v>
      </c>
      <c r="E439" s="56" t="s">
        <v>695</v>
      </c>
      <c r="F439" s="56" t="s">
        <v>249</v>
      </c>
      <c r="G439" s="57" t="s">
        <v>250</v>
      </c>
      <c r="H439" s="68">
        <f t="shared" si="3"/>
        <v>0.25</v>
      </c>
      <c r="I439" s="62"/>
      <c r="J439" s="62"/>
      <c r="K439" s="71"/>
      <c r="L439" s="57" t="s">
        <v>115</v>
      </c>
      <c r="M439" s="61"/>
      <c r="N439" s="61" t="s">
        <v>637</v>
      </c>
      <c r="O439" s="62" t="s">
        <v>696</v>
      </c>
      <c r="P439" s="53"/>
      <c r="Q439" s="53"/>
      <c r="R439" s="53"/>
      <c r="S439" s="53" t="s">
        <v>638</v>
      </c>
      <c r="T439" s="53"/>
      <c r="U439" s="53"/>
      <c r="V439" s="53"/>
      <c r="W439" s="53"/>
      <c r="X439" s="53"/>
      <c r="Y439" s="87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87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53"/>
      <c r="BK439" s="53"/>
      <c r="BL439" s="87"/>
      <c r="BM439" s="53"/>
      <c r="BN439" s="53"/>
      <c r="BO439" s="30"/>
      <c r="BP439" s="30"/>
      <c r="BQ439" s="30">
        <v>4.0</v>
      </c>
      <c r="BR439" s="30">
        <f t="shared" si="4"/>
        <v>1</v>
      </c>
      <c r="BS439" s="70">
        <f t="shared" si="5"/>
        <v>0</v>
      </c>
      <c r="BT439" s="70">
        <v>1.0</v>
      </c>
    </row>
    <row r="440" ht="15.75" customHeight="1">
      <c r="A440" s="54" t="s">
        <v>658</v>
      </c>
      <c r="B440" s="56" t="s">
        <v>699</v>
      </c>
      <c r="C440" s="56" t="s">
        <v>640</v>
      </c>
      <c r="D440" s="56" t="s">
        <v>678</v>
      </c>
      <c r="E440" s="56" t="s">
        <v>685</v>
      </c>
      <c r="F440" s="56" t="s">
        <v>249</v>
      </c>
      <c r="G440" s="57" t="s">
        <v>250</v>
      </c>
      <c r="H440" s="68">
        <f t="shared" si="3"/>
        <v>0.25</v>
      </c>
      <c r="I440" s="62"/>
      <c r="J440" s="62" t="s">
        <v>873</v>
      </c>
      <c r="K440" s="71"/>
      <c r="L440" s="57" t="s">
        <v>115</v>
      </c>
      <c r="M440" s="61"/>
      <c r="N440" s="61" t="s">
        <v>324</v>
      </c>
      <c r="O440" s="62" t="s">
        <v>689</v>
      </c>
      <c r="P440" s="53"/>
      <c r="Q440" s="53"/>
      <c r="R440" s="53"/>
      <c r="S440" s="53" t="s">
        <v>326</v>
      </c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53"/>
      <c r="BG440" s="53"/>
      <c r="BH440" s="53"/>
      <c r="BI440" s="53"/>
      <c r="BJ440" s="53"/>
      <c r="BK440" s="53"/>
      <c r="BL440" s="53"/>
      <c r="BM440" s="53"/>
      <c r="BN440" s="53"/>
      <c r="BO440" s="30"/>
      <c r="BP440" s="53"/>
      <c r="BQ440" s="30">
        <v>4.0</v>
      </c>
      <c r="BR440" s="30">
        <f t="shared" si="4"/>
        <v>1</v>
      </c>
      <c r="BS440" s="70">
        <f t="shared" si="5"/>
        <v>0</v>
      </c>
      <c r="BT440" s="70">
        <v>1.0</v>
      </c>
    </row>
    <row r="441" ht="15.75" customHeight="1">
      <c r="A441" s="54" t="s">
        <v>658</v>
      </c>
      <c r="B441" s="56" t="s">
        <v>700</v>
      </c>
      <c r="C441" s="56" t="s">
        <v>645</v>
      </c>
      <c r="D441" s="56" t="s">
        <v>660</v>
      </c>
      <c r="E441" s="56" t="s">
        <v>661</v>
      </c>
      <c r="F441" s="56" t="s">
        <v>193</v>
      </c>
      <c r="G441" s="57" t="s">
        <v>34</v>
      </c>
      <c r="H441" s="68">
        <f t="shared" si="3"/>
        <v>0</v>
      </c>
      <c r="I441" s="62" t="s">
        <v>146</v>
      </c>
      <c r="J441" s="62"/>
      <c r="K441" s="71"/>
      <c r="L441" s="57" t="s">
        <v>130</v>
      </c>
      <c r="M441" s="61"/>
      <c r="N441" s="79"/>
      <c r="O441" s="62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30"/>
      <c r="BQ441" s="30">
        <v>1.0</v>
      </c>
      <c r="BR441" s="30">
        <f t="shared" si="4"/>
        <v>0</v>
      </c>
      <c r="BS441" s="70">
        <f t="shared" si="5"/>
        <v>0</v>
      </c>
      <c r="BT441" s="70">
        <v>1.0</v>
      </c>
    </row>
    <row r="442" ht="15.75" customHeight="1">
      <c r="A442" s="54" t="s">
        <v>658</v>
      </c>
      <c r="B442" s="56" t="s">
        <v>700</v>
      </c>
      <c r="C442" s="56" t="s">
        <v>645</v>
      </c>
      <c r="D442" s="56" t="s">
        <v>660</v>
      </c>
      <c r="E442" s="56" t="s">
        <v>662</v>
      </c>
      <c r="F442" s="56" t="s">
        <v>193</v>
      </c>
      <c r="G442" s="57" t="s">
        <v>34</v>
      </c>
      <c r="H442" s="68">
        <f t="shared" si="3"/>
        <v>0</v>
      </c>
      <c r="I442" s="62"/>
      <c r="J442" s="62"/>
      <c r="K442" s="71"/>
      <c r="L442" s="57" t="s">
        <v>115</v>
      </c>
      <c r="M442" s="61"/>
      <c r="N442" s="61"/>
      <c r="O442" s="62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53"/>
      <c r="BG442" s="53"/>
      <c r="BH442" s="53"/>
      <c r="BI442" s="53"/>
      <c r="BJ442" s="53"/>
      <c r="BK442" s="53"/>
      <c r="BL442" s="53"/>
      <c r="BM442" s="53"/>
      <c r="BN442" s="53"/>
      <c r="BO442" s="53"/>
      <c r="BP442" s="30"/>
      <c r="BQ442" s="30">
        <v>1.0</v>
      </c>
      <c r="BR442" s="30">
        <f t="shared" si="4"/>
        <v>0</v>
      </c>
      <c r="BS442" s="70">
        <f t="shared" si="5"/>
        <v>0</v>
      </c>
      <c r="BT442" s="70">
        <v>1.0</v>
      </c>
    </row>
    <row r="443" ht="15.75" customHeight="1">
      <c r="A443" s="54" t="s">
        <v>658</v>
      </c>
      <c r="B443" s="56" t="s">
        <v>700</v>
      </c>
      <c r="C443" s="56" t="s">
        <v>645</v>
      </c>
      <c r="D443" s="56" t="s">
        <v>660</v>
      </c>
      <c r="E443" s="56" t="s">
        <v>663</v>
      </c>
      <c r="F443" s="56" t="s">
        <v>193</v>
      </c>
      <c r="G443" s="57" t="s">
        <v>34</v>
      </c>
      <c r="H443" s="68">
        <f t="shared" si="3"/>
        <v>0</v>
      </c>
      <c r="I443" s="62" t="s">
        <v>146</v>
      </c>
      <c r="J443" s="62"/>
      <c r="K443" s="71"/>
      <c r="L443" s="57" t="s">
        <v>130</v>
      </c>
      <c r="M443" s="61"/>
      <c r="N443" s="61"/>
      <c r="O443" s="62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53"/>
      <c r="BK443" s="53"/>
      <c r="BL443" s="53"/>
      <c r="BM443" s="53"/>
      <c r="BN443" s="53"/>
      <c r="BO443" s="53"/>
      <c r="BP443" s="30"/>
      <c r="BQ443" s="30">
        <v>1.0</v>
      </c>
      <c r="BR443" s="30">
        <f t="shared" si="4"/>
        <v>0</v>
      </c>
      <c r="BS443" s="70">
        <f t="shared" si="5"/>
        <v>0</v>
      </c>
      <c r="BT443" s="70">
        <v>1.0</v>
      </c>
    </row>
    <row r="444" ht="15.75" customHeight="1">
      <c r="A444" s="54" t="s">
        <v>658</v>
      </c>
      <c r="B444" s="56" t="s">
        <v>700</v>
      </c>
      <c r="C444" s="56" t="s">
        <v>645</v>
      </c>
      <c r="D444" s="56" t="s">
        <v>660</v>
      </c>
      <c r="E444" s="56" t="s">
        <v>664</v>
      </c>
      <c r="F444" s="56" t="s">
        <v>193</v>
      </c>
      <c r="G444" s="57" t="s">
        <v>34</v>
      </c>
      <c r="H444" s="68">
        <f t="shared" si="3"/>
        <v>0</v>
      </c>
      <c r="I444" s="62"/>
      <c r="J444" s="62"/>
      <c r="K444" s="71"/>
      <c r="L444" s="57" t="s">
        <v>115</v>
      </c>
      <c r="M444" s="61"/>
      <c r="N444" s="79"/>
      <c r="O444" s="62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53"/>
      <c r="BG444" s="53"/>
      <c r="BH444" s="53"/>
      <c r="BI444" s="53"/>
      <c r="BJ444" s="53"/>
      <c r="BK444" s="53"/>
      <c r="BL444" s="53"/>
      <c r="BM444" s="53"/>
      <c r="BN444" s="53"/>
      <c r="BO444" s="30"/>
      <c r="BP444" s="30"/>
      <c r="BQ444" s="30">
        <v>1.0</v>
      </c>
      <c r="BR444" s="30">
        <f t="shared" si="4"/>
        <v>0</v>
      </c>
      <c r="BS444" s="70">
        <f t="shared" si="5"/>
        <v>0</v>
      </c>
      <c r="BT444" s="70">
        <v>1.0</v>
      </c>
    </row>
    <row r="445" ht="15.75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665</v>
      </c>
      <c r="F445" s="56" t="s">
        <v>193</v>
      </c>
      <c r="G445" s="57" t="s">
        <v>34</v>
      </c>
      <c r="H445" s="68">
        <f t="shared" si="3"/>
        <v>0</v>
      </c>
      <c r="I445" s="62"/>
      <c r="J445" s="62"/>
      <c r="K445" s="71"/>
      <c r="L445" s="57" t="s">
        <v>130</v>
      </c>
      <c r="M445" s="61"/>
      <c r="N445" s="79"/>
      <c r="O445" s="62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3"/>
      <c r="BN445" s="53"/>
      <c r="BO445" s="30"/>
      <c r="BP445" s="30"/>
      <c r="BQ445" s="30">
        <v>1.0</v>
      </c>
      <c r="BR445" s="30">
        <f t="shared" si="4"/>
        <v>0</v>
      </c>
      <c r="BS445" s="70">
        <f t="shared" si="5"/>
        <v>0</v>
      </c>
      <c r="BT445" s="70">
        <v>1.0</v>
      </c>
    </row>
    <row r="446" ht="15.75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614</v>
      </c>
      <c r="F446" s="56" t="s">
        <v>193</v>
      </c>
      <c r="G446" s="57" t="s">
        <v>34</v>
      </c>
      <c r="H446" s="68">
        <f t="shared" si="3"/>
        <v>0</v>
      </c>
      <c r="I446" s="62" t="s">
        <v>146</v>
      </c>
      <c r="J446" s="62"/>
      <c r="K446" s="71"/>
      <c r="L446" s="57" t="s">
        <v>115</v>
      </c>
      <c r="M446" s="61"/>
      <c r="N446" s="79"/>
      <c r="O446" s="62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53"/>
      <c r="BG446" s="53"/>
      <c r="BH446" s="53"/>
      <c r="BI446" s="53"/>
      <c r="BJ446" s="53"/>
      <c r="BK446" s="53"/>
      <c r="BL446" s="53"/>
      <c r="BM446" s="53"/>
      <c r="BN446" s="53"/>
      <c r="BO446" s="30"/>
      <c r="BP446" s="30"/>
      <c r="BQ446" s="30">
        <v>1.0</v>
      </c>
      <c r="BR446" s="30">
        <f t="shared" si="4"/>
        <v>0</v>
      </c>
      <c r="BS446" s="70">
        <f t="shared" si="5"/>
        <v>0</v>
      </c>
      <c r="BT446" s="70">
        <v>1.0</v>
      </c>
    </row>
    <row r="447" ht="15.75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666</v>
      </c>
      <c r="F447" s="56" t="s">
        <v>193</v>
      </c>
      <c r="G447" s="57" t="s">
        <v>34</v>
      </c>
      <c r="H447" s="68">
        <f t="shared" si="3"/>
        <v>0</v>
      </c>
      <c r="I447" s="62" t="s">
        <v>146</v>
      </c>
      <c r="J447" s="62"/>
      <c r="K447" s="71"/>
      <c r="L447" s="57" t="s">
        <v>115</v>
      </c>
      <c r="M447" s="61"/>
      <c r="N447" s="79"/>
      <c r="O447" s="62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  <c r="BE447" s="53"/>
      <c r="BF447" s="53"/>
      <c r="BG447" s="53"/>
      <c r="BH447" s="53"/>
      <c r="BI447" s="53"/>
      <c r="BJ447" s="53"/>
      <c r="BK447" s="53"/>
      <c r="BL447" s="53"/>
      <c r="BM447" s="53"/>
      <c r="BN447" s="53"/>
      <c r="BO447" s="53"/>
      <c r="BP447" s="30"/>
      <c r="BQ447" s="30">
        <v>1.0</v>
      </c>
      <c r="BR447" s="30">
        <f t="shared" si="4"/>
        <v>0</v>
      </c>
      <c r="BS447" s="70">
        <f t="shared" si="5"/>
        <v>0</v>
      </c>
      <c r="BT447" s="70">
        <v>1.0</v>
      </c>
    </row>
    <row r="448" ht="15.75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667</v>
      </c>
      <c r="F448" s="56" t="s">
        <v>193</v>
      </c>
      <c r="G448" s="57" t="s">
        <v>34</v>
      </c>
      <c r="H448" s="68">
        <f t="shared" si="3"/>
        <v>0</v>
      </c>
      <c r="I448" s="62" t="s">
        <v>146</v>
      </c>
      <c r="J448" s="62"/>
      <c r="K448" s="71"/>
      <c r="L448" s="57" t="s">
        <v>130</v>
      </c>
      <c r="M448" s="61"/>
      <c r="N448" s="61"/>
      <c r="O448" s="62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  <c r="BE448" s="53"/>
      <c r="BF448" s="53"/>
      <c r="BG448" s="53"/>
      <c r="BH448" s="53"/>
      <c r="BI448" s="53"/>
      <c r="BJ448" s="53"/>
      <c r="BK448" s="53"/>
      <c r="BL448" s="53"/>
      <c r="BM448" s="53"/>
      <c r="BN448" s="53"/>
      <c r="BO448" s="53"/>
      <c r="BP448" s="30"/>
      <c r="BQ448" s="30">
        <v>1.0</v>
      </c>
      <c r="BR448" s="30">
        <f t="shared" si="4"/>
        <v>0</v>
      </c>
      <c r="BS448" s="70">
        <f t="shared" si="5"/>
        <v>0</v>
      </c>
      <c r="BT448" s="70">
        <v>1.0</v>
      </c>
    </row>
    <row r="449" ht="15.75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668</v>
      </c>
      <c r="F449" s="56" t="s">
        <v>327</v>
      </c>
      <c r="G449" s="57" t="s">
        <v>154</v>
      </c>
      <c r="H449" s="68">
        <f t="shared" si="3"/>
        <v>0</v>
      </c>
      <c r="I449" s="62"/>
      <c r="J449" s="62" t="s">
        <v>617</v>
      </c>
      <c r="K449" s="71"/>
      <c r="L449" s="57" t="s">
        <v>115</v>
      </c>
      <c r="M449" s="61"/>
      <c r="N449" s="61"/>
      <c r="O449" s="62" t="s">
        <v>617</v>
      </c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  <c r="BE449" s="53"/>
      <c r="BF449" s="53"/>
      <c r="BG449" s="53"/>
      <c r="BH449" s="53"/>
      <c r="BI449" s="53"/>
      <c r="BJ449" s="53"/>
      <c r="BK449" s="53"/>
      <c r="BL449" s="53"/>
      <c r="BM449" s="53"/>
      <c r="BN449" s="53"/>
      <c r="BO449" s="53"/>
      <c r="BP449" s="30"/>
      <c r="BQ449" s="30">
        <v>2.0</v>
      </c>
      <c r="BR449" s="30">
        <f t="shared" si="4"/>
        <v>0</v>
      </c>
      <c r="BS449" s="70">
        <f t="shared" si="5"/>
        <v>0</v>
      </c>
      <c r="BT449" s="70">
        <v>1.0</v>
      </c>
    </row>
    <row r="450" ht="15.75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669</v>
      </c>
      <c r="F450" s="56" t="s">
        <v>327</v>
      </c>
      <c r="G450" s="57" t="s">
        <v>154</v>
      </c>
      <c r="H450" s="68">
        <f t="shared" si="3"/>
        <v>0</v>
      </c>
      <c r="I450" s="62"/>
      <c r="J450" s="62" t="s">
        <v>617</v>
      </c>
      <c r="K450" s="71"/>
      <c r="L450" s="57" t="s">
        <v>115</v>
      </c>
      <c r="M450" s="61"/>
      <c r="N450" s="61"/>
      <c r="O450" s="62" t="s">
        <v>617</v>
      </c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  <c r="BE450" s="53"/>
      <c r="BF450" s="53"/>
      <c r="BG450" s="53"/>
      <c r="BH450" s="53"/>
      <c r="BI450" s="53"/>
      <c r="BJ450" s="53"/>
      <c r="BK450" s="53"/>
      <c r="BL450" s="53"/>
      <c r="BM450" s="53"/>
      <c r="BN450" s="53"/>
      <c r="BO450" s="53"/>
      <c r="BP450" s="30"/>
      <c r="BQ450" s="30">
        <v>2.0</v>
      </c>
      <c r="BR450" s="30">
        <f t="shared" si="4"/>
        <v>0</v>
      </c>
      <c r="BS450" s="70">
        <f t="shared" si="5"/>
        <v>0</v>
      </c>
      <c r="BT450" s="70">
        <v>1.0</v>
      </c>
    </row>
    <row r="451" ht="15.75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680</v>
      </c>
      <c r="F451" s="56" t="s">
        <v>327</v>
      </c>
      <c r="G451" s="57" t="s">
        <v>154</v>
      </c>
      <c r="H451" s="68">
        <f t="shared" si="3"/>
        <v>0</v>
      </c>
      <c r="I451" s="62" t="s">
        <v>146</v>
      </c>
      <c r="J451" s="62" t="s">
        <v>617</v>
      </c>
      <c r="K451" s="71"/>
      <c r="L451" s="57" t="s">
        <v>115</v>
      </c>
      <c r="M451" s="61"/>
      <c r="N451" s="61"/>
      <c r="O451" s="62" t="s">
        <v>617</v>
      </c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  <c r="BE451" s="53"/>
      <c r="BF451" s="53"/>
      <c r="BG451" s="53"/>
      <c r="BH451" s="53"/>
      <c r="BI451" s="53"/>
      <c r="BJ451" s="53"/>
      <c r="BK451" s="53"/>
      <c r="BL451" s="53"/>
      <c r="BM451" s="53"/>
      <c r="BN451" s="53"/>
      <c r="BO451" s="53"/>
      <c r="BP451" s="30"/>
      <c r="BQ451" s="30">
        <v>2.0</v>
      </c>
      <c r="BR451" s="30">
        <f t="shared" si="4"/>
        <v>0</v>
      </c>
      <c r="BS451" s="70">
        <f t="shared" si="5"/>
        <v>0</v>
      </c>
      <c r="BT451" s="70">
        <v>1.0</v>
      </c>
    </row>
    <row r="452" ht="15.75" customHeight="1">
      <c r="A452" s="54" t="s">
        <v>658</v>
      </c>
      <c r="B452" s="56" t="s">
        <v>700</v>
      </c>
      <c r="C452" s="56" t="s">
        <v>645</v>
      </c>
      <c r="D452" s="56" t="s">
        <v>660</v>
      </c>
      <c r="E452" s="56" t="s">
        <v>671</v>
      </c>
      <c r="F452" s="56" t="s">
        <v>327</v>
      </c>
      <c r="G452" s="57" t="s">
        <v>154</v>
      </c>
      <c r="H452" s="68">
        <f t="shared" si="3"/>
        <v>0</v>
      </c>
      <c r="I452" s="62" t="s">
        <v>146</v>
      </c>
      <c r="J452" s="62" t="s">
        <v>617</v>
      </c>
      <c r="K452" s="71"/>
      <c r="L452" s="57" t="s">
        <v>115</v>
      </c>
      <c r="M452" s="61"/>
      <c r="N452" s="79"/>
      <c r="O452" s="62" t="s">
        <v>617</v>
      </c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53"/>
      <c r="BG452" s="53"/>
      <c r="BH452" s="53"/>
      <c r="BI452" s="53"/>
      <c r="BJ452" s="53"/>
      <c r="BK452" s="53"/>
      <c r="BL452" s="53"/>
      <c r="BM452" s="53"/>
      <c r="BN452" s="53"/>
      <c r="BO452" s="53"/>
      <c r="BP452" s="30"/>
      <c r="BQ452" s="30">
        <v>2.0</v>
      </c>
      <c r="BR452" s="30">
        <f t="shared" si="4"/>
        <v>0</v>
      </c>
      <c r="BS452" s="70">
        <f t="shared" si="5"/>
        <v>0</v>
      </c>
      <c r="BT452" s="70">
        <v>1.0</v>
      </c>
    </row>
    <row r="453" ht="15.75" customHeight="1">
      <c r="A453" s="54" t="s">
        <v>658</v>
      </c>
      <c r="B453" s="56" t="s">
        <v>700</v>
      </c>
      <c r="C453" s="56" t="s">
        <v>645</v>
      </c>
      <c r="D453" s="56" t="s">
        <v>660</v>
      </c>
      <c r="E453" s="56" t="s">
        <v>672</v>
      </c>
      <c r="F453" s="56" t="s">
        <v>327</v>
      </c>
      <c r="G453" s="57" t="s">
        <v>154</v>
      </c>
      <c r="H453" s="68">
        <f t="shared" si="3"/>
        <v>0</v>
      </c>
      <c r="I453" s="62" t="s">
        <v>146</v>
      </c>
      <c r="J453" s="62" t="s">
        <v>617</v>
      </c>
      <c r="K453" s="71"/>
      <c r="L453" s="57" t="s">
        <v>115</v>
      </c>
      <c r="M453" s="61"/>
      <c r="N453" s="79"/>
      <c r="O453" s="62" t="s">
        <v>617</v>
      </c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53"/>
      <c r="BG453" s="53"/>
      <c r="BH453" s="53"/>
      <c r="BI453" s="53"/>
      <c r="BJ453" s="53"/>
      <c r="BK453" s="53"/>
      <c r="BL453" s="53"/>
      <c r="BM453" s="53"/>
      <c r="BN453" s="53"/>
      <c r="BO453" s="53"/>
      <c r="BP453" s="30"/>
      <c r="BQ453" s="30">
        <v>2.0</v>
      </c>
      <c r="BR453" s="30">
        <f t="shared" si="4"/>
        <v>0</v>
      </c>
      <c r="BS453" s="70">
        <f t="shared" si="5"/>
        <v>0</v>
      </c>
      <c r="BT453" s="70">
        <v>1.0</v>
      </c>
    </row>
    <row r="454" ht="15.75" customHeight="1">
      <c r="A454" s="54" t="s">
        <v>658</v>
      </c>
      <c r="B454" s="56" t="s">
        <v>700</v>
      </c>
      <c r="C454" s="56" t="s">
        <v>645</v>
      </c>
      <c r="D454" s="56" t="s">
        <v>660</v>
      </c>
      <c r="E454" s="56" t="s">
        <v>673</v>
      </c>
      <c r="F454" s="56" t="s">
        <v>327</v>
      </c>
      <c r="G454" s="57" t="s">
        <v>154</v>
      </c>
      <c r="H454" s="68">
        <f t="shared" si="3"/>
        <v>0</v>
      </c>
      <c r="I454" s="62" t="s">
        <v>146</v>
      </c>
      <c r="J454" s="62" t="s">
        <v>617</v>
      </c>
      <c r="K454" s="71"/>
      <c r="L454" s="57" t="s">
        <v>115</v>
      </c>
      <c r="M454" s="61"/>
      <c r="N454" s="79"/>
      <c r="O454" s="62" t="s">
        <v>617</v>
      </c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53"/>
      <c r="BG454" s="53"/>
      <c r="BH454" s="53"/>
      <c r="BI454" s="53"/>
      <c r="BJ454" s="53"/>
      <c r="BK454" s="53"/>
      <c r="BL454" s="53"/>
      <c r="BM454" s="53"/>
      <c r="BN454" s="53"/>
      <c r="BO454" s="53"/>
      <c r="BP454" s="30"/>
      <c r="BQ454" s="30">
        <v>2.0</v>
      </c>
      <c r="BR454" s="30">
        <f t="shared" si="4"/>
        <v>0</v>
      </c>
      <c r="BS454" s="70">
        <f t="shared" si="5"/>
        <v>0</v>
      </c>
      <c r="BT454" s="70">
        <v>1.0</v>
      </c>
    </row>
    <row r="455" ht="15.75" customHeight="1">
      <c r="A455" s="54" t="s">
        <v>658</v>
      </c>
      <c r="B455" s="56" t="s">
        <v>703</v>
      </c>
      <c r="C455" s="56" t="s">
        <v>645</v>
      </c>
      <c r="D455" s="56" t="s">
        <v>675</v>
      </c>
      <c r="E455" s="56" t="s">
        <v>676</v>
      </c>
      <c r="F455" s="56" t="s">
        <v>193</v>
      </c>
      <c r="G455" s="57" t="s">
        <v>34</v>
      </c>
      <c r="H455" s="68">
        <f t="shared" si="3"/>
        <v>0</v>
      </c>
      <c r="I455" s="62" t="s">
        <v>146</v>
      </c>
      <c r="J455" s="62"/>
      <c r="K455" s="71"/>
      <c r="L455" s="57" t="s">
        <v>115</v>
      </c>
      <c r="M455" s="61"/>
      <c r="N455" s="79"/>
      <c r="O455" s="62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53"/>
      <c r="BG455" s="53"/>
      <c r="BH455" s="53"/>
      <c r="BI455" s="53"/>
      <c r="BJ455" s="53"/>
      <c r="BK455" s="53"/>
      <c r="BL455" s="53"/>
      <c r="BM455" s="53"/>
      <c r="BN455" s="53"/>
      <c r="BO455" s="53"/>
      <c r="BP455" s="30"/>
      <c r="BQ455" s="30">
        <v>1.0</v>
      </c>
      <c r="BR455" s="30">
        <f t="shared" si="4"/>
        <v>0</v>
      </c>
      <c r="BS455" s="70">
        <f t="shared" si="5"/>
        <v>0</v>
      </c>
      <c r="BT455" s="70">
        <v>1.0</v>
      </c>
    </row>
    <row r="456" ht="15.75" customHeight="1">
      <c r="A456" s="54" t="s">
        <v>658</v>
      </c>
      <c r="B456" s="56" t="s">
        <v>704</v>
      </c>
      <c r="C456" s="56" t="s">
        <v>645</v>
      </c>
      <c r="D456" s="56" t="s">
        <v>678</v>
      </c>
      <c r="E456" s="56" t="s">
        <v>679</v>
      </c>
      <c r="F456" s="56" t="s">
        <v>246</v>
      </c>
      <c r="G456" s="57" t="s">
        <v>154</v>
      </c>
      <c r="H456" s="68">
        <f t="shared" si="3"/>
        <v>0</v>
      </c>
      <c r="I456" s="62" t="s">
        <v>146</v>
      </c>
      <c r="J456" s="62"/>
      <c r="K456" s="71"/>
      <c r="L456" s="57" t="s">
        <v>115</v>
      </c>
      <c r="M456" s="61"/>
      <c r="N456" s="61" t="s">
        <v>322</v>
      </c>
      <c r="O456" s="62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53"/>
      <c r="BG456" s="53"/>
      <c r="BH456" s="53"/>
      <c r="BI456" s="53"/>
      <c r="BJ456" s="53"/>
      <c r="BK456" s="53"/>
      <c r="BL456" s="53"/>
      <c r="BM456" s="53"/>
      <c r="BN456" s="53"/>
      <c r="BO456" s="102"/>
      <c r="BP456" s="30"/>
      <c r="BQ456" s="30">
        <v>2.0</v>
      </c>
      <c r="BR456" s="30">
        <f t="shared" si="4"/>
        <v>0</v>
      </c>
      <c r="BS456" s="70">
        <f t="shared" si="5"/>
        <v>0</v>
      </c>
      <c r="BT456" s="70">
        <v>1.0</v>
      </c>
    </row>
    <row r="457" ht="15.75" customHeight="1">
      <c r="A457" s="54" t="s">
        <v>658</v>
      </c>
      <c r="B457" s="56" t="s">
        <v>704</v>
      </c>
      <c r="C457" s="56" t="s">
        <v>645</v>
      </c>
      <c r="D457" s="56" t="s">
        <v>678</v>
      </c>
      <c r="E457" s="56" t="s">
        <v>680</v>
      </c>
      <c r="F457" s="56" t="s">
        <v>193</v>
      </c>
      <c r="G457" s="57" t="s">
        <v>34</v>
      </c>
      <c r="H457" s="68">
        <f t="shared" si="3"/>
        <v>0</v>
      </c>
      <c r="I457" s="62" t="s">
        <v>146</v>
      </c>
      <c r="J457" s="62"/>
      <c r="K457" s="71"/>
      <c r="L457" s="57" t="s">
        <v>115</v>
      </c>
      <c r="M457" s="61"/>
      <c r="N457" s="79"/>
      <c r="O457" s="62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53"/>
      <c r="BG457" s="53"/>
      <c r="BH457" s="53"/>
      <c r="BI457" s="53"/>
      <c r="BJ457" s="53"/>
      <c r="BK457" s="53"/>
      <c r="BL457" s="53"/>
      <c r="BM457" s="53"/>
      <c r="BN457" s="53"/>
      <c r="BO457" s="30"/>
      <c r="BP457" s="30"/>
      <c r="BQ457" s="30">
        <v>1.0</v>
      </c>
      <c r="BR457" s="30">
        <f t="shared" si="4"/>
        <v>0</v>
      </c>
      <c r="BS457" s="70">
        <f t="shared" si="5"/>
        <v>0</v>
      </c>
      <c r="BT457" s="70">
        <v>1.0</v>
      </c>
    </row>
    <row r="458" ht="15.75" customHeight="1">
      <c r="A458" s="54" t="s">
        <v>658</v>
      </c>
      <c r="B458" s="56" t="s">
        <v>704</v>
      </c>
      <c r="C458" s="56" t="s">
        <v>645</v>
      </c>
      <c r="D458" s="56" t="s">
        <v>678</v>
      </c>
      <c r="E458" s="56" t="s">
        <v>682</v>
      </c>
      <c r="F458" s="56" t="s">
        <v>193</v>
      </c>
      <c r="G458" s="57" t="s">
        <v>34</v>
      </c>
      <c r="H458" s="68">
        <f t="shared" si="3"/>
        <v>0</v>
      </c>
      <c r="I458" s="62" t="s">
        <v>146</v>
      </c>
      <c r="J458" s="62"/>
      <c r="K458" s="71"/>
      <c r="L458" s="57" t="s">
        <v>115</v>
      </c>
      <c r="M458" s="61"/>
      <c r="N458" s="79"/>
      <c r="O458" s="62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53"/>
      <c r="BG458" s="53"/>
      <c r="BH458" s="53"/>
      <c r="BI458" s="53"/>
      <c r="BJ458" s="53"/>
      <c r="BK458" s="53"/>
      <c r="BL458" s="53"/>
      <c r="BM458" s="53"/>
      <c r="BN458" s="53"/>
      <c r="BO458" s="30"/>
      <c r="BP458" s="30"/>
      <c r="BQ458" s="30">
        <v>1.0</v>
      </c>
      <c r="BR458" s="30">
        <f t="shared" si="4"/>
        <v>0</v>
      </c>
      <c r="BS458" s="70">
        <f t="shared" si="5"/>
        <v>0</v>
      </c>
      <c r="BT458" s="70">
        <v>1.0</v>
      </c>
    </row>
    <row r="459" ht="15.75" customHeight="1">
      <c r="A459" s="54" t="s">
        <v>658</v>
      </c>
      <c r="B459" s="56" t="s">
        <v>704</v>
      </c>
      <c r="C459" s="56" t="s">
        <v>645</v>
      </c>
      <c r="D459" s="56" t="s">
        <v>678</v>
      </c>
      <c r="E459" s="56" t="s">
        <v>683</v>
      </c>
      <c r="F459" s="56" t="s">
        <v>193</v>
      </c>
      <c r="G459" s="57" t="s">
        <v>34</v>
      </c>
      <c r="H459" s="68">
        <f t="shared" si="3"/>
        <v>0</v>
      </c>
      <c r="I459" s="62" t="s">
        <v>146</v>
      </c>
      <c r="J459" s="62"/>
      <c r="K459" s="71"/>
      <c r="L459" s="57" t="s">
        <v>130</v>
      </c>
      <c r="M459" s="61"/>
      <c r="N459" s="79"/>
      <c r="O459" s="62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53"/>
      <c r="BG459" s="53"/>
      <c r="BH459" s="53"/>
      <c r="BI459" s="53"/>
      <c r="BJ459" s="53"/>
      <c r="BK459" s="53"/>
      <c r="BL459" s="53"/>
      <c r="BM459" s="53"/>
      <c r="BN459" s="53"/>
      <c r="BO459" s="30"/>
      <c r="BP459" s="30"/>
      <c r="BQ459" s="30">
        <v>1.0</v>
      </c>
      <c r="BR459" s="30">
        <f t="shared" si="4"/>
        <v>0</v>
      </c>
      <c r="BS459" s="70">
        <f t="shared" si="5"/>
        <v>0</v>
      </c>
      <c r="BT459" s="70">
        <v>1.0</v>
      </c>
    </row>
    <row r="460" ht="15.75" customHeight="1">
      <c r="A460" s="54" t="s">
        <v>658</v>
      </c>
      <c r="B460" s="56" t="s">
        <v>704</v>
      </c>
      <c r="C460" s="56" t="s">
        <v>645</v>
      </c>
      <c r="D460" s="56" t="s">
        <v>678</v>
      </c>
      <c r="E460" s="56" t="s">
        <v>684</v>
      </c>
      <c r="F460" s="56" t="s">
        <v>249</v>
      </c>
      <c r="G460" s="57" t="s">
        <v>250</v>
      </c>
      <c r="H460" s="68">
        <f t="shared" si="3"/>
        <v>0.25</v>
      </c>
      <c r="I460" s="62"/>
      <c r="J460" s="62"/>
      <c r="K460" s="71"/>
      <c r="L460" s="57" t="s">
        <v>115</v>
      </c>
      <c r="M460" s="61"/>
      <c r="N460" s="61" t="s">
        <v>878</v>
      </c>
      <c r="O460" s="62" t="s">
        <v>687</v>
      </c>
      <c r="P460" s="53"/>
      <c r="Q460" s="53"/>
      <c r="R460" s="53"/>
      <c r="S460" s="53" t="s">
        <v>326</v>
      </c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53"/>
      <c r="BG460" s="53"/>
      <c r="BH460" s="53"/>
      <c r="BI460" s="53"/>
      <c r="BJ460" s="53"/>
      <c r="BK460" s="53"/>
      <c r="BL460" s="53"/>
      <c r="BM460" s="53"/>
      <c r="BN460" s="53"/>
      <c r="BO460" s="30"/>
      <c r="BP460" s="30"/>
      <c r="BQ460" s="30">
        <v>4.0</v>
      </c>
      <c r="BR460" s="30">
        <f t="shared" si="4"/>
        <v>1</v>
      </c>
      <c r="BS460" s="70">
        <f t="shared" si="5"/>
        <v>0</v>
      </c>
      <c r="BT460" s="70">
        <v>1.0</v>
      </c>
    </row>
    <row r="461" ht="15.75" customHeight="1">
      <c r="A461" s="54" t="s">
        <v>658</v>
      </c>
      <c r="B461" s="56" t="s">
        <v>704</v>
      </c>
      <c r="C461" s="56" t="s">
        <v>645</v>
      </c>
      <c r="D461" s="56" t="s">
        <v>678</v>
      </c>
      <c r="E461" s="56" t="s">
        <v>695</v>
      </c>
      <c r="F461" s="56" t="s">
        <v>249</v>
      </c>
      <c r="G461" s="57" t="s">
        <v>250</v>
      </c>
      <c r="H461" s="68">
        <f t="shared" si="3"/>
        <v>0.25</v>
      </c>
      <c r="I461" s="62"/>
      <c r="J461" s="62"/>
      <c r="K461" s="71"/>
      <c r="L461" s="57" t="s">
        <v>115</v>
      </c>
      <c r="M461" s="61"/>
      <c r="N461" s="61" t="s">
        <v>637</v>
      </c>
      <c r="O461" s="62" t="s">
        <v>696</v>
      </c>
      <c r="P461" s="53"/>
      <c r="Q461" s="53"/>
      <c r="R461" s="53"/>
      <c r="S461" s="53" t="s">
        <v>638</v>
      </c>
      <c r="T461" s="53"/>
      <c r="U461" s="53"/>
      <c r="V461" s="53"/>
      <c r="W461" s="53"/>
      <c r="X461" s="53"/>
      <c r="Y461" s="87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87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53"/>
      <c r="BG461" s="53"/>
      <c r="BH461" s="53"/>
      <c r="BI461" s="53"/>
      <c r="BJ461" s="53"/>
      <c r="BK461" s="53"/>
      <c r="BL461" s="87"/>
      <c r="BM461" s="53"/>
      <c r="BN461" s="53"/>
      <c r="BO461" s="30"/>
      <c r="BP461" s="30"/>
      <c r="BQ461" s="30">
        <v>4.0</v>
      </c>
      <c r="BR461" s="30">
        <f t="shared" si="4"/>
        <v>1</v>
      </c>
      <c r="BS461" s="70">
        <f t="shared" si="5"/>
        <v>0</v>
      </c>
      <c r="BT461" s="70">
        <v>1.0</v>
      </c>
    </row>
    <row r="462" ht="15.75" customHeight="1">
      <c r="A462" s="54" t="s">
        <v>658</v>
      </c>
      <c r="B462" s="56" t="s">
        <v>704</v>
      </c>
      <c r="C462" s="56" t="s">
        <v>645</v>
      </c>
      <c r="D462" s="56" t="s">
        <v>678</v>
      </c>
      <c r="E462" s="56" t="s">
        <v>685</v>
      </c>
      <c r="F462" s="56" t="s">
        <v>249</v>
      </c>
      <c r="G462" s="57" t="s">
        <v>250</v>
      </c>
      <c r="H462" s="68">
        <f t="shared" si="3"/>
        <v>0.25</v>
      </c>
      <c r="I462" s="62"/>
      <c r="J462" s="62" t="s">
        <v>873</v>
      </c>
      <c r="K462" s="71"/>
      <c r="L462" s="57" t="s">
        <v>115</v>
      </c>
      <c r="M462" s="61"/>
      <c r="N462" s="61" t="s">
        <v>324</v>
      </c>
      <c r="O462" s="62" t="s">
        <v>689</v>
      </c>
      <c r="P462" s="53"/>
      <c r="Q462" s="53"/>
      <c r="R462" s="53"/>
      <c r="S462" s="53" t="s">
        <v>326</v>
      </c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53"/>
      <c r="BG462" s="53"/>
      <c r="BH462" s="53"/>
      <c r="BI462" s="53"/>
      <c r="BJ462" s="53"/>
      <c r="BK462" s="53"/>
      <c r="BL462" s="53"/>
      <c r="BM462" s="53"/>
      <c r="BN462" s="53"/>
      <c r="BO462" s="30"/>
      <c r="BP462" s="53"/>
      <c r="BQ462" s="30">
        <v>4.0</v>
      </c>
      <c r="BR462" s="30">
        <f t="shared" si="4"/>
        <v>1</v>
      </c>
      <c r="BS462" s="70">
        <f t="shared" si="5"/>
        <v>0</v>
      </c>
      <c r="BT462" s="70">
        <v>1.0</v>
      </c>
    </row>
    <row r="463" ht="15.75" customHeight="1">
      <c r="A463" s="54" t="s">
        <v>658</v>
      </c>
      <c r="B463" s="56" t="s">
        <v>705</v>
      </c>
      <c r="C463" s="56" t="s">
        <v>606</v>
      </c>
      <c r="D463" s="56" t="s">
        <v>660</v>
      </c>
      <c r="E463" s="56" t="s">
        <v>661</v>
      </c>
      <c r="F463" s="56" t="s">
        <v>193</v>
      </c>
      <c r="G463" s="57" t="s">
        <v>34</v>
      </c>
      <c r="H463" s="68">
        <f t="shared" si="3"/>
        <v>0</v>
      </c>
      <c r="I463" s="62"/>
      <c r="J463" s="62"/>
      <c r="K463" s="71"/>
      <c r="L463" s="57" t="s">
        <v>130</v>
      </c>
      <c r="M463" s="61"/>
      <c r="N463" s="79"/>
      <c r="O463" s="62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53"/>
      <c r="BG463" s="53"/>
      <c r="BH463" s="53"/>
      <c r="BI463" s="53"/>
      <c r="BJ463" s="53"/>
      <c r="BK463" s="53"/>
      <c r="BL463" s="53"/>
      <c r="BM463" s="53"/>
      <c r="BN463" s="53"/>
      <c r="BO463" s="30"/>
      <c r="BP463" s="30"/>
      <c r="BQ463" s="30">
        <v>1.0</v>
      </c>
      <c r="BR463" s="30">
        <f t="shared" si="4"/>
        <v>0</v>
      </c>
      <c r="BS463" s="70">
        <f t="shared" si="5"/>
        <v>0</v>
      </c>
      <c r="BT463" s="70">
        <v>1.0</v>
      </c>
    </row>
    <row r="464" ht="15.75" customHeight="1">
      <c r="A464" s="54" t="s">
        <v>658</v>
      </c>
      <c r="B464" s="56" t="s">
        <v>705</v>
      </c>
      <c r="C464" s="56" t="s">
        <v>606</v>
      </c>
      <c r="D464" s="56" t="s">
        <v>660</v>
      </c>
      <c r="E464" s="56" t="s">
        <v>662</v>
      </c>
      <c r="F464" s="56" t="s">
        <v>193</v>
      </c>
      <c r="G464" s="57" t="s">
        <v>34</v>
      </c>
      <c r="H464" s="68">
        <f t="shared" si="3"/>
        <v>0</v>
      </c>
      <c r="I464" s="62"/>
      <c r="J464" s="62"/>
      <c r="K464" s="71"/>
      <c r="L464" s="57" t="s">
        <v>115</v>
      </c>
      <c r="M464" s="61"/>
      <c r="N464" s="61"/>
      <c r="O464" s="62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53"/>
      <c r="BG464" s="53"/>
      <c r="BH464" s="53"/>
      <c r="BI464" s="53"/>
      <c r="BJ464" s="53"/>
      <c r="BK464" s="53"/>
      <c r="BL464" s="53"/>
      <c r="BM464" s="53"/>
      <c r="BN464" s="53"/>
      <c r="BO464" s="53"/>
      <c r="BP464" s="30"/>
      <c r="BQ464" s="30">
        <v>1.0</v>
      </c>
      <c r="BR464" s="30">
        <f t="shared" si="4"/>
        <v>0</v>
      </c>
      <c r="BS464" s="70">
        <f t="shared" si="5"/>
        <v>0</v>
      </c>
      <c r="BT464" s="70">
        <v>1.0</v>
      </c>
    </row>
    <row r="465" ht="15.75" customHeight="1">
      <c r="A465" s="54" t="s">
        <v>658</v>
      </c>
      <c r="B465" s="56" t="s">
        <v>705</v>
      </c>
      <c r="C465" s="56" t="s">
        <v>606</v>
      </c>
      <c r="D465" s="56" t="s">
        <v>660</v>
      </c>
      <c r="E465" s="56" t="s">
        <v>663</v>
      </c>
      <c r="F465" s="56" t="s">
        <v>193</v>
      </c>
      <c r="G465" s="57" t="s">
        <v>34</v>
      </c>
      <c r="H465" s="68">
        <f t="shared" si="3"/>
        <v>0</v>
      </c>
      <c r="I465" s="62" t="s">
        <v>146</v>
      </c>
      <c r="J465" s="62"/>
      <c r="K465" s="71"/>
      <c r="L465" s="57" t="s">
        <v>130</v>
      </c>
      <c r="M465" s="61"/>
      <c r="N465" s="61"/>
      <c r="O465" s="62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53"/>
      <c r="BG465" s="53"/>
      <c r="BH465" s="53"/>
      <c r="BI465" s="53"/>
      <c r="BJ465" s="53"/>
      <c r="BK465" s="53"/>
      <c r="BL465" s="53"/>
      <c r="BM465" s="53"/>
      <c r="BN465" s="53"/>
      <c r="BO465" s="53"/>
      <c r="BP465" s="30"/>
      <c r="BQ465" s="30">
        <v>1.0</v>
      </c>
      <c r="BR465" s="30">
        <f t="shared" si="4"/>
        <v>0</v>
      </c>
      <c r="BS465" s="70">
        <f t="shared" si="5"/>
        <v>0</v>
      </c>
      <c r="BT465" s="70">
        <v>1.0</v>
      </c>
    </row>
    <row r="466" ht="15.75" customHeight="1">
      <c r="A466" s="54" t="s">
        <v>658</v>
      </c>
      <c r="B466" s="56" t="s">
        <v>705</v>
      </c>
      <c r="C466" s="56" t="s">
        <v>606</v>
      </c>
      <c r="D466" s="56" t="s">
        <v>660</v>
      </c>
      <c r="E466" s="56" t="s">
        <v>664</v>
      </c>
      <c r="F466" s="56" t="s">
        <v>193</v>
      </c>
      <c r="G466" s="57" t="s">
        <v>34</v>
      </c>
      <c r="H466" s="68">
        <f t="shared" si="3"/>
        <v>0</v>
      </c>
      <c r="I466" s="62"/>
      <c r="J466" s="62"/>
      <c r="K466" s="71"/>
      <c r="L466" s="57" t="s">
        <v>115</v>
      </c>
      <c r="M466" s="61"/>
      <c r="N466" s="79"/>
      <c r="O466" s="62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53"/>
      <c r="BG466" s="53"/>
      <c r="BH466" s="53"/>
      <c r="BI466" s="53"/>
      <c r="BJ466" s="53"/>
      <c r="BK466" s="53"/>
      <c r="BL466" s="53"/>
      <c r="BM466" s="53"/>
      <c r="BN466" s="53"/>
      <c r="BO466" s="30"/>
      <c r="BP466" s="30"/>
      <c r="BQ466" s="30">
        <v>1.0</v>
      </c>
      <c r="BR466" s="30">
        <f t="shared" si="4"/>
        <v>0</v>
      </c>
      <c r="BS466" s="70">
        <f t="shared" si="5"/>
        <v>0</v>
      </c>
      <c r="BT466" s="70">
        <v>1.0</v>
      </c>
    </row>
    <row r="467" ht="15.75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665</v>
      </c>
      <c r="F467" s="56" t="s">
        <v>193</v>
      </c>
      <c r="G467" s="57" t="s">
        <v>34</v>
      </c>
      <c r="H467" s="68">
        <f t="shared" si="3"/>
        <v>0</v>
      </c>
      <c r="I467" s="103"/>
      <c r="J467" s="103"/>
      <c r="K467" s="71"/>
      <c r="L467" s="57" t="s">
        <v>130</v>
      </c>
      <c r="M467" s="61"/>
      <c r="N467" s="79"/>
      <c r="O467" s="10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53"/>
      <c r="BG467" s="53"/>
      <c r="BH467" s="53"/>
      <c r="BI467" s="53"/>
      <c r="BJ467" s="53"/>
      <c r="BK467" s="53"/>
      <c r="BL467" s="53"/>
      <c r="BM467" s="53"/>
      <c r="BN467" s="53"/>
      <c r="BO467" s="30"/>
      <c r="BP467" s="30"/>
      <c r="BQ467" s="30">
        <v>1.0</v>
      </c>
      <c r="BR467" s="30">
        <f t="shared" si="4"/>
        <v>0</v>
      </c>
      <c r="BS467" s="70">
        <f t="shared" si="5"/>
        <v>0</v>
      </c>
      <c r="BT467" s="70">
        <v>1.0</v>
      </c>
    </row>
    <row r="468" ht="15.75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614</v>
      </c>
      <c r="F468" s="56" t="s">
        <v>193</v>
      </c>
      <c r="G468" s="57" t="s">
        <v>34</v>
      </c>
      <c r="H468" s="68">
        <f t="shared" si="3"/>
        <v>0</v>
      </c>
      <c r="I468" s="62" t="s">
        <v>146</v>
      </c>
      <c r="J468" s="62"/>
      <c r="K468" s="71"/>
      <c r="L468" s="57" t="s">
        <v>115</v>
      </c>
      <c r="M468" s="61"/>
      <c r="N468" s="79"/>
      <c r="O468" s="62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53"/>
      <c r="BG468" s="53"/>
      <c r="BH468" s="53"/>
      <c r="BI468" s="53"/>
      <c r="BJ468" s="53"/>
      <c r="BK468" s="53"/>
      <c r="BL468" s="53"/>
      <c r="BM468" s="53"/>
      <c r="BN468" s="53"/>
      <c r="BO468" s="30"/>
      <c r="BP468" s="101"/>
      <c r="BQ468" s="30">
        <v>1.0</v>
      </c>
      <c r="BR468" s="30">
        <f t="shared" si="4"/>
        <v>0</v>
      </c>
      <c r="BS468" s="70">
        <f t="shared" si="5"/>
        <v>0</v>
      </c>
      <c r="BT468" s="70">
        <v>1.0</v>
      </c>
    </row>
    <row r="469" ht="15.75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666</v>
      </c>
      <c r="F469" s="56" t="s">
        <v>193</v>
      </c>
      <c r="G469" s="57" t="s">
        <v>34</v>
      </c>
      <c r="H469" s="68">
        <f t="shared" si="3"/>
        <v>0</v>
      </c>
      <c r="I469" s="62" t="s">
        <v>146</v>
      </c>
      <c r="J469" s="62"/>
      <c r="K469" s="71"/>
      <c r="L469" s="57" t="s">
        <v>115</v>
      </c>
      <c r="M469" s="61"/>
      <c r="N469" s="79"/>
      <c r="O469" s="62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101"/>
      <c r="BQ469" s="30">
        <v>1.0</v>
      </c>
      <c r="BR469" s="30">
        <f t="shared" si="4"/>
        <v>0</v>
      </c>
      <c r="BS469" s="70">
        <f t="shared" si="5"/>
        <v>0</v>
      </c>
      <c r="BT469" s="70">
        <v>1.0</v>
      </c>
    </row>
    <row r="470" ht="15.75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667</v>
      </c>
      <c r="F470" s="56" t="s">
        <v>193</v>
      </c>
      <c r="G470" s="57" t="s">
        <v>34</v>
      </c>
      <c r="H470" s="68">
        <f t="shared" si="3"/>
        <v>0</v>
      </c>
      <c r="I470" s="62" t="s">
        <v>146</v>
      </c>
      <c r="J470" s="62"/>
      <c r="K470" s="71"/>
      <c r="L470" s="57" t="s">
        <v>130</v>
      </c>
      <c r="M470" s="61"/>
      <c r="N470" s="61"/>
      <c r="O470" s="62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53"/>
      <c r="BG470" s="53"/>
      <c r="BH470" s="53"/>
      <c r="BI470" s="53"/>
      <c r="BJ470" s="53"/>
      <c r="BK470" s="53"/>
      <c r="BL470" s="53"/>
      <c r="BM470" s="53"/>
      <c r="BN470" s="53"/>
      <c r="BO470" s="30"/>
      <c r="BP470" s="101"/>
      <c r="BQ470" s="30">
        <v>1.0</v>
      </c>
      <c r="BR470" s="30">
        <f t="shared" si="4"/>
        <v>0</v>
      </c>
      <c r="BS470" s="70">
        <f t="shared" si="5"/>
        <v>0</v>
      </c>
      <c r="BT470" s="70">
        <v>1.0</v>
      </c>
    </row>
    <row r="471" ht="15.75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668</v>
      </c>
      <c r="F471" s="56" t="s">
        <v>327</v>
      </c>
      <c r="G471" s="57" t="s">
        <v>154</v>
      </c>
      <c r="H471" s="68">
        <f t="shared" si="3"/>
        <v>0</v>
      </c>
      <c r="I471" s="62"/>
      <c r="J471" s="62" t="s">
        <v>617</v>
      </c>
      <c r="K471" s="71"/>
      <c r="L471" s="57" t="s">
        <v>115</v>
      </c>
      <c r="M471" s="61"/>
      <c r="N471" s="61"/>
      <c r="O471" s="62" t="s">
        <v>617</v>
      </c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53"/>
      <c r="BG471" s="53"/>
      <c r="BH471" s="53"/>
      <c r="BI471" s="53"/>
      <c r="BJ471" s="53"/>
      <c r="BK471" s="53"/>
      <c r="BL471" s="53"/>
      <c r="BM471" s="53"/>
      <c r="BN471" s="53"/>
      <c r="BO471" s="53"/>
      <c r="BP471" s="30"/>
      <c r="BQ471" s="30">
        <v>2.0</v>
      </c>
      <c r="BR471" s="30">
        <f t="shared" si="4"/>
        <v>0</v>
      </c>
      <c r="BS471" s="70">
        <f t="shared" si="5"/>
        <v>0</v>
      </c>
      <c r="BT471" s="70">
        <v>1.0</v>
      </c>
    </row>
    <row r="472" ht="15.75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669</v>
      </c>
      <c r="F472" s="56" t="s">
        <v>327</v>
      </c>
      <c r="G472" s="57" t="s">
        <v>154</v>
      </c>
      <c r="H472" s="68">
        <f t="shared" si="3"/>
        <v>0</v>
      </c>
      <c r="I472" s="62"/>
      <c r="J472" s="62" t="s">
        <v>617</v>
      </c>
      <c r="K472" s="71"/>
      <c r="L472" s="57" t="s">
        <v>115</v>
      </c>
      <c r="M472" s="61"/>
      <c r="N472" s="61"/>
      <c r="O472" s="62" t="s">
        <v>617</v>
      </c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  <c r="BE472" s="53"/>
      <c r="BF472" s="53"/>
      <c r="BG472" s="53"/>
      <c r="BH472" s="53"/>
      <c r="BI472" s="53"/>
      <c r="BJ472" s="53"/>
      <c r="BK472" s="53"/>
      <c r="BL472" s="53"/>
      <c r="BM472" s="53"/>
      <c r="BN472" s="53"/>
      <c r="BO472" s="53"/>
      <c r="BP472" s="30"/>
      <c r="BQ472" s="30">
        <v>2.0</v>
      </c>
      <c r="BR472" s="30">
        <f t="shared" si="4"/>
        <v>0</v>
      </c>
      <c r="BS472" s="70">
        <f t="shared" si="5"/>
        <v>0</v>
      </c>
      <c r="BT472" s="70">
        <v>1.0</v>
      </c>
    </row>
    <row r="473" ht="15.75" customHeight="1">
      <c r="A473" s="54" t="s">
        <v>658</v>
      </c>
      <c r="B473" s="56" t="s">
        <v>705</v>
      </c>
      <c r="C473" s="56" t="s">
        <v>606</v>
      </c>
      <c r="D473" s="56" t="s">
        <v>660</v>
      </c>
      <c r="E473" s="56" t="s">
        <v>671</v>
      </c>
      <c r="F473" s="56" t="s">
        <v>327</v>
      </c>
      <c r="G473" s="57" t="s">
        <v>154</v>
      </c>
      <c r="H473" s="68">
        <f t="shared" si="3"/>
        <v>0</v>
      </c>
      <c r="I473" s="62" t="s">
        <v>146</v>
      </c>
      <c r="J473" s="62" t="s">
        <v>617</v>
      </c>
      <c r="K473" s="71"/>
      <c r="L473" s="57" t="s">
        <v>115</v>
      </c>
      <c r="M473" s="61"/>
      <c r="N473" s="61"/>
      <c r="O473" s="62" t="s">
        <v>617</v>
      </c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53"/>
      <c r="BG473" s="53"/>
      <c r="BH473" s="53"/>
      <c r="BI473" s="53"/>
      <c r="BJ473" s="53"/>
      <c r="BK473" s="53"/>
      <c r="BL473" s="53"/>
      <c r="BM473" s="53"/>
      <c r="BN473" s="53"/>
      <c r="BO473" s="30"/>
      <c r="BP473" s="30"/>
      <c r="BQ473" s="30">
        <v>2.0</v>
      </c>
      <c r="BR473" s="30">
        <f t="shared" si="4"/>
        <v>0</v>
      </c>
      <c r="BS473" s="70">
        <f t="shared" si="5"/>
        <v>0</v>
      </c>
      <c r="BT473" s="70">
        <v>1.0</v>
      </c>
    </row>
    <row r="474" ht="15.75" customHeight="1">
      <c r="A474" s="54" t="s">
        <v>658</v>
      </c>
      <c r="B474" s="56" t="s">
        <v>705</v>
      </c>
      <c r="C474" s="56" t="s">
        <v>606</v>
      </c>
      <c r="D474" s="56" t="s">
        <v>660</v>
      </c>
      <c r="E474" s="56" t="s">
        <v>672</v>
      </c>
      <c r="F474" s="56" t="s">
        <v>327</v>
      </c>
      <c r="G474" s="57" t="s">
        <v>154</v>
      </c>
      <c r="H474" s="68">
        <f t="shared" si="3"/>
        <v>0</v>
      </c>
      <c r="I474" s="62" t="s">
        <v>146</v>
      </c>
      <c r="J474" s="62" t="s">
        <v>617</v>
      </c>
      <c r="K474" s="71"/>
      <c r="L474" s="57" t="s">
        <v>115</v>
      </c>
      <c r="M474" s="61"/>
      <c r="N474" s="61"/>
      <c r="O474" s="62" t="s">
        <v>617</v>
      </c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53"/>
      <c r="BG474" s="53"/>
      <c r="BH474" s="53"/>
      <c r="BI474" s="53"/>
      <c r="BJ474" s="53"/>
      <c r="BK474" s="53"/>
      <c r="BL474" s="53"/>
      <c r="BM474" s="53"/>
      <c r="BN474" s="53"/>
      <c r="BO474" s="30"/>
      <c r="BP474" s="30"/>
      <c r="BQ474" s="30">
        <v>2.0</v>
      </c>
      <c r="BR474" s="30">
        <f t="shared" si="4"/>
        <v>0</v>
      </c>
      <c r="BS474" s="70">
        <f t="shared" si="5"/>
        <v>0</v>
      </c>
      <c r="BT474" s="70">
        <v>1.0</v>
      </c>
    </row>
    <row r="475" ht="15.75" customHeight="1">
      <c r="A475" s="54" t="s">
        <v>658</v>
      </c>
      <c r="B475" s="56" t="s">
        <v>705</v>
      </c>
      <c r="C475" s="56" t="s">
        <v>606</v>
      </c>
      <c r="D475" s="56" t="s">
        <v>660</v>
      </c>
      <c r="E475" s="56" t="s">
        <v>673</v>
      </c>
      <c r="F475" s="56" t="s">
        <v>327</v>
      </c>
      <c r="G475" s="57" t="s">
        <v>154</v>
      </c>
      <c r="H475" s="68">
        <f t="shared" si="3"/>
        <v>0</v>
      </c>
      <c r="I475" s="62" t="s">
        <v>146</v>
      </c>
      <c r="J475" s="62" t="s">
        <v>617</v>
      </c>
      <c r="K475" s="71"/>
      <c r="L475" s="57" t="s">
        <v>115</v>
      </c>
      <c r="M475" s="61"/>
      <c r="N475" s="79"/>
      <c r="O475" s="62" t="s">
        <v>617</v>
      </c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53"/>
      <c r="BG475" s="53"/>
      <c r="BH475" s="53"/>
      <c r="BI475" s="53"/>
      <c r="BJ475" s="53"/>
      <c r="BK475" s="53"/>
      <c r="BL475" s="53"/>
      <c r="BM475" s="53"/>
      <c r="BN475" s="53"/>
      <c r="BO475" s="30"/>
      <c r="BP475" s="30"/>
      <c r="BQ475" s="30">
        <v>2.0</v>
      </c>
      <c r="BR475" s="30">
        <f t="shared" si="4"/>
        <v>0</v>
      </c>
      <c r="BS475" s="70">
        <f t="shared" si="5"/>
        <v>0</v>
      </c>
      <c r="BT475" s="70">
        <v>1.0</v>
      </c>
    </row>
    <row r="476" ht="15.75" customHeight="1">
      <c r="A476" s="54" t="s">
        <v>658</v>
      </c>
      <c r="B476" s="56" t="s">
        <v>714</v>
      </c>
      <c r="C476" s="56" t="s">
        <v>606</v>
      </c>
      <c r="D476" s="56" t="s">
        <v>675</v>
      </c>
      <c r="E476" s="56" t="s">
        <v>676</v>
      </c>
      <c r="F476" s="56" t="s">
        <v>193</v>
      </c>
      <c r="G476" s="57" t="s">
        <v>34</v>
      </c>
      <c r="H476" s="68">
        <f t="shared" si="3"/>
        <v>0</v>
      </c>
      <c r="I476" s="62" t="s">
        <v>146</v>
      </c>
      <c r="J476" s="62"/>
      <c r="K476" s="71"/>
      <c r="L476" s="57" t="s">
        <v>115</v>
      </c>
      <c r="M476" s="61"/>
      <c r="N476" s="79"/>
      <c r="O476" s="62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53"/>
      <c r="BG476" s="53"/>
      <c r="BH476" s="53"/>
      <c r="BI476" s="53"/>
      <c r="BJ476" s="53"/>
      <c r="BK476" s="53"/>
      <c r="BL476" s="53"/>
      <c r="BM476" s="53"/>
      <c r="BN476" s="53"/>
      <c r="BO476" s="53"/>
      <c r="BP476" s="30"/>
      <c r="BQ476" s="30">
        <v>1.0</v>
      </c>
      <c r="BR476" s="30">
        <f t="shared" si="4"/>
        <v>0</v>
      </c>
      <c r="BS476" s="70">
        <f t="shared" si="5"/>
        <v>0</v>
      </c>
      <c r="BT476" s="70">
        <v>1.0</v>
      </c>
    </row>
    <row r="477" ht="15.75" customHeight="1">
      <c r="A477" s="54" t="s">
        <v>658</v>
      </c>
      <c r="B477" s="56" t="s">
        <v>715</v>
      </c>
      <c r="C477" s="56" t="s">
        <v>606</v>
      </c>
      <c r="D477" s="56" t="s">
        <v>716</v>
      </c>
      <c r="E477" s="56" t="s">
        <v>679</v>
      </c>
      <c r="F477" s="56" t="s">
        <v>246</v>
      </c>
      <c r="G477" s="57" t="s">
        <v>154</v>
      </c>
      <c r="H477" s="68">
        <f t="shared" si="3"/>
        <v>0.5</v>
      </c>
      <c r="I477" s="62" t="s">
        <v>146</v>
      </c>
      <c r="J477" s="62"/>
      <c r="K477" s="71"/>
      <c r="L477" s="57" t="s">
        <v>115</v>
      </c>
      <c r="M477" s="61"/>
      <c r="N477" s="61" t="s">
        <v>322</v>
      </c>
      <c r="O477" s="62"/>
      <c r="P477" s="53"/>
      <c r="Q477" s="53"/>
      <c r="R477" s="53" t="s">
        <v>323</v>
      </c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53"/>
      <c r="BG477" s="53"/>
      <c r="BH477" s="53"/>
      <c r="BI477" s="53"/>
      <c r="BJ477" s="53"/>
      <c r="BK477" s="53"/>
      <c r="BL477" s="53"/>
      <c r="BM477" s="53"/>
      <c r="BN477" s="53"/>
      <c r="BO477" s="30"/>
      <c r="BP477" s="30"/>
      <c r="BQ477" s="30">
        <v>2.0</v>
      </c>
      <c r="BR477" s="30">
        <f t="shared" si="4"/>
        <v>1</v>
      </c>
      <c r="BS477" s="70">
        <f t="shared" si="5"/>
        <v>0</v>
      </c>
      <c r="BT477" s="70">
        <v>1.0</v>
      </c>
    </row>
    <row r="478" ht="15.75" customHeight="1">
      <c r="A478" s="54" t="s">
        <v>658</v>
      </c>
      <c r="B478" s="56" t="s">
        <v>715</v>
      </c>
      <c r="C478" s="56" t="s">
        <v>606</v>
      </c>
      <c r="D478" s="56" t="s">
        <v>678</v>
      </c>
      <c r="E478" s="56" t="s">
        <v>680</v>
      </c>
      <c r="F478" s="56" t="s">
        <v>193</v>
      </c>
      <c r="G478" s="57" t="s">
        <v>34</v>
      </c>
      <c r="H478" s="68">
        <f t="shared" si="3"/>
        <v>0</v>
      </c>
      <c r="I478" s="62" t="s">
        <v>146</v>
      </c>
      <c r="J478" s="62"/>
      <c r="K478" s="71"/>
      <c r="L478" s="57" t="s">
        <v>115</v>
      </c>
      <c r="M478" s="61"/>
      <c r="N478" s="79"/>
      <c r="O478" s="62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53"/>
      <c r="BG478" s="53"/>
      <c r="BH478" s="53"/>
      <c r="BI478" s="53"/>
      <c r="BJ478" s="53"/>
      <c r="BK478" s="53"/>
      <c r="BL478" s="53"/>
      <c r="BM478" s="53"/>
      <c r="BN478" s="53"/>
      <c r="BO478" s="30"/>
      <c r="BP478" s="30"/>
      <c r="BQ478" s="30">
        <v>1.0</v>
      </c>
      <c r="BR478" s="30">
        <f t="shared" si="4"/>
        <v>0</v>
      </c>
      <c r="BS478" s="70">
        <f t="shared" si="5"/>
        <v>0</v>
      </c>
      <c r="BT478" s="70">
        <v>1.0</v>
      </c>
    </row>
    <row r="479" ht="15.75" customHeight="1">
      <c r="A479" s="54" t="s">
        <v>658</v>
      </c>
      <c r="B479" s="56" t="s">
        <v>715</v>
      </c>
      <c r="C479" s="56" t="s">
        <v>606</v>
      </c>
      <c r="D479" s="56" t="s">
        <v>716</v>
      </c>
      <c r="E479" s="56" t="s">
        <v>682</v>
      </c>
      <c r="F479" s="56" t="s">
        <v>193</v>
      </c>
      <c r="G479" s="57" t="s">
        <v>34</v>
      </c>
      <c r="H479" s="68">
        <f t="shared" si="3"/>
        <v>0</v>
      </c>
      <c r="I479" s="62" t="s">
        <v>146</v>
      </c>
      <c r="J479" s="62"/>
      <c r="K479" s="71"/>
      <c r="L479" s="57" t="s">
        <v>115</v>
      </c>
      <c r="M479" s="61"/>
      <c r="N479" s="79"/>
      <c r="O479" s="62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53"/>
      <c r="BG479" s="53"/>
      <c r="BH479" s="53"/>
      <c r="BI479" s="53"/>
      <c r="BJ479" s="53"/>
      <c r="BK479" s="53"/>
      <c r="BL479" s="53"/>
      <c r="BM479" s="53"/>
      <c r="BN479" s="53"/>
      <c r="BO479" s="30"/>
      <c r="BP479" s="30"/>
      <c r="BQ479" s="30">
        <v>1.0</v>
      </c>
      <c r="BR479" s="30">
        <f t="shared" si="4"/>
        <v>0</v>
      </c>
      <c r="BS479" s="70">
        <f t="shared" si="5"/>
        <v>0</v>
      </c>
      <c r="BT479" s="70">
        <v>1.0</v>
      </c>
    </row>
    <row r="480" ht="15.75" customHeight="1">
      <c r="A480" s="54" t="s">
        <v>658</v>
      </c>
      <c r="B480" s="56" t="s">
        <v>715</v>
      </c>
      <c r="C480" s="56" t="s">
        <v>606</v>
      </c>
      <c r="D480" s="56" t="s">
        <v>716</v>
      </c>
      <c r="E480" s="56" t="s">
        <v>683</v>
      </c>
      <c r="F480" s="56" t="s">
        <v>193</v>
      </c>
      <c r="G480" s="57" t="s">
        <v>34</v>
      </c>
      <c r="H480" s="68">
        <f t="shared" si="3"/>
        <v>0</v>
      </c>
      <c r="I480" s="62" t="s">
        <v>146</v>
      </c>
      <c r="J480" s="62"/>
      <c r="K480" s="71"/>
      <c r="L480" s="57" t="s">
        <v>130</v>
      </c>
      <c r="M480" s="61"/>
      <c r="N480" s="79"/>
      <c r="O480" s="62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53"/>
      <c r="BG480" s="53"/>
      <c r="BH480" s="53"/>
      <c r="BI480" s="53"/>
      <c r="BJ480" s="53"/>
      <c r="BK480" s="53"/>
      <c r="BL480" s="53"/>
      <c r="BM480" s="53"/>
      <c r="BN480" s="53"/>
      <c r="BO480" s="30"/>
      <c r="BP480" s="30"/>
      <c r="BQ480" s="30">
        <v>1.0</v>
      </c>
      <c r="BR480" s="30">
        <f t="shared" si="4"/>
        <v>0</v>
      </c>
      <c r="BS480" s="70">
        <f t="shared" si="5"/>
        <v>0</v>
      </c>
      <c r="BT480" s="70">
        <v>1.0</v>
      </c>
    </row>
    <row r="481" ht="15.75" customHeight="1">
      <c r="A481" s="54" t="s">
        <v>658</v>
      </c>
      <c r="B481" s="56" t="s">
        <v>715</v>
      </c>
      <c r="C481" s="56" t="s">
        <v>606</v>
      </c>
      <c r="D481" s="56" t="s">
        <v>716</v>
      </c>
      <c r="E481" s="56" t="s">
        <v>684</v>
      </c>
      <c r="F481" s="56" t="s">
        <v>249</v>
      </c>
      <c r="G481" s="57" t="s">
        <v>250</v>
      </c>
      <c r="H481" s="68">
        <f t="shared" si="3"/>
        <v>0.25</v>
      </c>
      <c r="I481" s="62"/>
      <c r="J481" s="62"/>
      <c r="K481" s="71"/>
      <c r="L481" s="57" t="s">
        <v>115</v>
      </c>
      <c r="M481" s="61"/>
      <c r="N481" s="61" t="s">
        <v>878</v>
      </c>
      <c r="O481" s="62" t="s">
        <v>687</v>
      </c>
      <c r="P481" s="53"/>
      <c r="Q481" s="53"/>
      <c r="R481" s="53"/>
      <c r="S481" s="53" t="s">
        <v>326</v>
      </c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53"/>
      <c r="BG481" s="53"/>
      <c r="BH481" s="53"/>
      <c r="BI481" s="53"/>
      <c r="BJ481" s="53"/>
      <c r="BK481" s="53"/>
      <c r="BL481" s="53"/>
      <c r="BM481" s="53"/>
      <c r="BN481" s="53"/>
      <c r="BO481" s="30"/>
      <c r="BP481" s="30"/>
      <c r="BQ481" s="30">
        <v>4.0</v>
      </c>
      <c r="BR481" s="30">
        <f t="shared" si="4"/>
        <v>1</v>
      </c>
      <c r="BS481" s="70">
        <f t="shared" si="5"/>
        <v>0</v>
      </c>
      <c r="BT481" s="70">
        <v>1.0</v>
      </c>
    </row>
    <row r="482" ht="15.75" customHeight="1">
      <c r="A482" s="54" t="s">
        <v>658</v>
      </c>
      <c r="B482" s="56" t="s">
        <v>715</v>
      </c>
      <c r="C482" s="56" t="s">
        <v>606</v>
      </c>
      <c r="D482" s="56" t="s">
        <v>716</v>
      </c>
      <c r="E482" s="56" t="s">
        <v>695</v>
      </c>
      <c r="F482" s="56" t="s">
        <v>249</v>
      </c>
      <c r="G482" s="57" t="s">
        <v>250</v>
      </c>
      <c r="H482" s="68">
        <f t="shared" si="3"/>
        <v>0.25</v>
      </c>
      <c r="I482" s="62"/>
      <c r="J482" s="62"/>
      <c r="K482" s="71"/>
      <c r="L482" s="57" t="s">
        <v>115</v>
      </c>
      <c r="M482" s="61"/>
      <c r="N482" s="61" t="s">
        <v>637</v>
      </c>
      <c r="O482" s="62" t="s">
        <v>696</v>
      </c>
      <c r="P482" s="53"/>
      <c r="Q482" s="53"/>
      <c r="R482" s="53"/>
      <c r="S482" s="53" t="s">
        <v>638</v>
      </c>
      <c r="T482" s="53"/>
      <c r="U482" s="53"/>
      <c r="V482" s="53"/>
      <c r="W482" s="53"/>
      <c r="X482" s="53"/>
      <c r="Y482" s="87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87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  <c r="BE482" s="53"/>
      <c r="BF482" s="53"/>
      <c r="BG482" s="53"/>
      <c r="BH482" s="53"/>
      <c r="BI482" s="53"/>
      <c r="BJ482" s="53"/>
      <c r="BK482" s="53"/>
      <c r="BL482" s="87"/>
      <c r="BM482" s="53"/>
      <c r="BN482" s="53"/>
      <c r="BO482" s="30"/>
      <c r="BP482" s="30"/>
      <c r="BQ482" s="30">
        <v>4.0</v>
      </c>
      <c r="BR482" s="30">
        <f t="shared" si="4"/>
        <v>1</v>
      </c>
      <c r="BS482" s="70">
        <f t="shared" si="5"/>
        <v>0</v>
      </c>
      <c r="BT482" s="70">
        <v>1.0</v>
      </c>
    </row>
    <row r="483" ht="15.75" customHeight="1">
      <c r="A483" s="54" t="s">
        <v>658</v>
      </c>
      <c r="B483" s="56" t="s">
        <v>715</v>
      </c>
      <c r="C483" s="56" t="s">
        <v>606</v>
      </c>
      <c r="D483" s="56" t="s">
        <v>716</v>
      </c>
      <c r="E483" s="56" t="s">
        <v>685</v>
      </c>
      <c r="F483" s="56" t="s">
        <v>249</v>
      </c>
      <c r="G483" s="57" t="s">
        <v>250</v>
      </c>
      <c r="H483" s="68">
        <f t="shared" si="3"/>
        <v>0.25</v>
      </c>
      <c r="I483" s="62"/>
      <c r="J483" s="62" t="s">
        <v>873</v>
      </c>
      <c r="K483" s="71"/>
      <c r="L483" s="57" t="s">
        <v>115</v>
      </c>
      <c r="M483" s="61"/>
      <c r="N483" s="61" t="s">
        <v>324</v>
      </c>
      <c r="O483" s="62" t="s">
        <v>689</v>
      </c>
      <c r="P483" s="53"/>
      <c r="Q483" s="53"/>
      <c r="R483" s="53"/>
      <c r="S483" s="53" t="s">
        <v>326</v>
      </c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  <c r="BE483" s="53"/>
      <c r="BF483" s="53"/>
      <c r="BG483" s="53"/>
      <c r="BH483" s="53"/>
      <c r="BI483" s="53"/>
      <c r="BJ483" s="53"/>
      <c r="BK483" s="53"/>
      <c r="BL483" s="53"/>
      <c r="BM483" s="53"/>
      <c r="BN483" s="53"/>
      <c r="BO483" s="30"/>
      <c r="BP483" s="53"/>
      <c r="BQ483" s="30">
        <v>4.0</v>
      </c>
      <c r="BR483" s="30">
        <f t="shared" si="4"/>
        <v>1</v>
      </c>
      <c r="BS483" s="70">
        <f t="shared" si="5"/>
        <v>0</v>
      </c>
      <c r="BT483" s="70">
        <v>1.0</v>
      </c>
    </row>
    <row r="484" ht="15.75" customHeight="1">
      <c r="A484" s="54" t="s">
        <v>658</v>
      </c>
      <c r="B484" s="56" t="s">
        <v>717</v>
      </c>
      <c r="C484" s="56" t="s">
        <v>718</v>
      </c>
      <c r="D484" s="56" t="s">
        <v>719</v>
      </c>
      <c r="E484" s="56" t="s">
        <v>239</v>
      </c>
      <c r="F484" s="56" t="s">
        <v>327</v>
      </c>
      <c r="G484" s="57" t="s">
        <v>154</v>
      </c>
      <c r="H484" s="68">
        <f t="shared" si="3"/>
        <v>0</v>
      </c>
      <c r="I484" s="62" t="s">
        <v>146</v>
      </c>
      <c r="J484" s="62" t="s">
        <v>207</v>
      </c>
      <c r="K484" s="71"/>
      <c r="L484" s="57" t="s">
        <v>115</v>
      </c>
      <c r="M484" s="61"/>
      <c r="N484" s="79"/>
      <c r="O484" s="62" t="s">
        <v>207</v>
      </c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53"/>
      <c r="BG484" s="53"/>
      <c r="BH484" s="53"/>
      <c r="BI484" s="53"/>
      <c r="BJ484" s="53"/>
      <c r="BK484" s="53"/>
      <c r="BL484" s="53"/>
      <c r="BM484" s="53"/>
      <c r="BN484" s="53"/>
      <c r="BO484" s="53"/>
      <c r="BP484" s="53"/>
      <c r="BQ484" s="30">
        <v>2.0</v>
      </c>
      <c r="BR484" s="30">
        <f t="shared" si="4"/>
        <v>0</v>
      </c>
      <c r="BS484" s="70">
        <f t="shared" si="5"/>
        <v>0</v>
      </c>
      <c r="BT484" s="70">
        <v>1.0</v>
      </c>
    </row>
    <row r="485" ht="15.75" customHeight="1">
      <c r="A485" s="54" t="s">
        <v>658</v>
      </c>
      <c r="B485" s="56" t="s">
        <v>720</v>
      </c>
      <c r="C485" s="56" t="s">
        <v>718</v>
      </c>
      <c r="D485" s="56" t="s">
        <v>721</v>
      </c>
      <c r="E485" s="56" t="s">
        <v>722</v>
      </c>
      <c r="F485" s="56" t="s">
        <v>327</v>
      </c>
      <c r="G485" s="57" t="s">
        <v>154</v>
      </c>
      <c r="H485" s="68">
        <f t="shared" si="3"/>
        <v>0</v>
      </c>
      <c r="I485" s="62" t="s">
        <v>146</v>
      </c>
      <c r="J485" s="62"/>
      <c r="K485" s="71"/>
      <c r="L485" s="57" t="s">
        <v>130</v>
      </c>
      <c r="M485" s="61"/>
      <c r="N485" s="79"/>
      <c r="O485" s="62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3"/>
      <c r="BN485" s="53"/>
      <c r="BO485" s="102"/>
      <c r="BP485" s="53"/>
      <c r="BQ485" s="30">
        <v>2.0</v>
      </c>
      <c r="BR485" s="30">
        <f t="shared" si="4"/>
        <v>0</v>
      </c>
      <c r="BS485" s="70">
        <f t="shared" si="5"/>
        <v>0</v>
      </c>
      <c r="BT485" s="70">
        <v>1.0</v>
      </c>
    </row>
    <row r="486" ht="15.75" customHeight="1">
      <c r="A486" s="54" t="s">
        <v>658</v>
      </c>
      <c r="B486" s="56" t="s">
        <v>720</v>
      </c>
      <c r="C486" s="56" t="s">
        <v>718</v>
      </c>
      <c r="D486" s="56" t="s">
        <v>721</v>
      </c>
      <c r="E486" s="56" t="s">
        <v>723</v>
      </c>
      <c r="F486" s="56" t="s">
        <v>327</v>
      </c>
      <c r="G486" s="57" t="s">
        <v>154</v>
      </c>
      <c r="H486" s="68">
        <f t="shared" si="3"/>
        <v>0</v>
      </c>
      <c r="I486" s="62" t="s">
        <v>146</v>
      </c>
      <c r="J486" s="62"/>
      <c r="K486" s="71"/>
      <c r="L486" s="57" t="s">
        <v>130</v>
      </c>
      <c r="M486" s="61"/>
      <c r="N486" s="79"/>
      <c r="O486" s="62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53"/>
      <c r="BG486" s="53"/>
      <c r="BH486" s="53"/>
      <c r="BI486" s="53"/>
      <c r="BJ486" s="53"/>
      <c r="BK486" s="53"/>
      <c r="BL486" s="53"/>
      <c r="BM486" s="53"/>
      <c r="BN486" s="53"/>
      <c r="BO486" s="102"/>
      <c r="BP486" s="75"/>
      <c r="BQ486" s="30">
        <v>2.0</v>
      </c>
      <c r="BR486" s="30">
        <f t="shared" si="4"/>
        <v>0</v>
      </c>
      <c r="BS486" s="70">
        <f t="shared" si="5"/>
        <v>0</v>
      </c>
      <c r="BT486" s="70">
        <v>1.0</v>
      </c>
    </row>
    <row r="487" ht="15.75" customHeight="1">
      <c r="A487" s="54" t="s">
        <v>658</v>
      </c>
      <c r="B487" s="56" t="s">
        <v>724</v>
      </c>
      <c r="C487" s="56" t="s">
        <v>718</v>
      </c>
      <c r="D487" s="56" t="s">
        <v>725</v>
      </c>
      <c r="E487" s="56" t="s">
        <v>239</v>
      </c>
      <c r="F487" s="56" t="s">
        <v>327</v>
      </c>
      <c r="G487" s="57" t="s">
        <v>154</v>
      </c>
      <c r="H487" s="68">
        <f t="shared" si="3"/>
        <v>0</v>
      </c>
      <c r="I487" s="62" t="s">
        <v>146</v>
      </c>
      <c r="J487" s="62" t="s">
        <v>207</v>
      </c>
      <c r="K487" s="71"/>
      <c r="L487" s="57" t="s">
        <v>115</v>
      </c>
      <c r="M487" s="61"/>
      <c r="N487" s="79"/>
      <c r="O487" s="62" t="s">
        <v>207</v>
      </c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53"/>
      <c r="BG487" s="53"/>
      <c r="BH487" s="53"/>
      <c r="BI487" s="53"/>
      <c r="BJ487" s="53"/>
      <c r="BK487" s="53"/>
      <c r="BL487" s="53"/>
      <c r="BM487" s="53"/>
      <c r="BN487" s="53"/>
      <c r="BO487" s="53"/>
      <c r="BP487" s="53"/>
      <c r="BQ487" s="30">
        <v>2.0</v>
      </c>
      <c r="BR487" s="30">
        <f t="shared" si="4"/>
        <v>0</v>
      </c>
      <c r="BS487" s="70">
        <f t="shared" si="5"/>
        <v>0</v>
      </c>
      <c r="BT487" s="70">
        <v>1.0</v>
      </c>
    </row>
    <row r="488" ht="15.75" customHeight="1">
      <c r="A488" s="54" t="s">
        <v>658</v>
      </c>
      <c r="B488" s="56" t="s">
        <v>720</v>
      </c>
      <c r="C488" s="56" t="s">
        <v>718</v>
      </c>
      <c r="D488" s="56" t="s">
        <v>728</v>
      </c>
      <c r="E488" s="56" t="s">
        <v>722</v>
      </c>
      <c r="F488" s="56" t="s">
        <v>327</v>
      </c>
      <c r="G488" s="57" t="s">
        <v>154</v>
      </c>
      <c r="H488" s="68">
        <f t="shared" si="3"/>
        <v>0</v>
      </c>
      <c r="I488" s="62" t="s">
        <v>146</v>
      </c>
      <c r="J488" s="62"/>
      <c r="K488" s="71"/>
      <c r="L488" s="57" t="s">
        <v>130</v>
      </c>
      <c r="M488" s="61"/>
      <c r="N488" s="79"/>
      <c r="O488" s="62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53"/>
      <c r="BG488" s="53"/>
      <c r="BH488" s="53"/>
      <c r="BI488" s="53"/>
      <c r="BJ488" s="53"/>
      <c r="BK488" s="53"/>
      <c r="BL488" s="53"/>
      <c r="BM488" s="53"/>
      <c r="BN488" s="53"/>
      <c r="BO488" s="102"/>
      <c r="BP488" s="53"/>
      <c r="BQ488" s="30">
        <v>2.0</v>
      </c>
      <c r="BR488" s="30">
        <f t="shared" si="4"/>
        <v>0</v>
      </c>
      <c r="BS488" s="70">
        <f t="shared" si="5"/>
        <v>0</v>
      </c>
      <c r="BT488" s="70">
        <v>1.0</v>
      </c>
    </row>
    <row r="489" ht="15.75" customHeight="1">
      <c r="A489" s="54" t="s">
        <v>658</v>
      </c>
      <c r="B489" s="56" t="s">
        <v>720</v>
      </c>
      <c r="C489" s="56" t="s">
        <v>718</v>
      </c>
      <c r="D489" s="56" t="s">
        <v>728</v>
      </c>
      <c r="E489" s="56" t="s">
        <v>723</v>
      </c>
      <c r="F489" s="56" t="s">
        <v>327</v>
      </c>
      <c r="G489" s="57" t="s">
        <v>154</v>
      </c>
      <c r="H489" s="68">
        <f t="shared" si="3"/>
        <v>0</v>
      </c>
      <c r="I489" s="62" t="s">
        <v>146</v>
      </c>
      <c r="J489" s="62"/>
      <c r="K489" s="71"/>
      <c r="L489" s="57" t="s">
        <v>130</v>
      </c>
      <c r="M489" s="61"/>
      <c r="N489" s="79"/>
      <c r="O489" s="62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53"/>
      <c r="BG489" s="53"/>
      <c r="BH489" s="53"/>
      <c r="BI489" s="53"/>
      <c r="BJ489" s="53"/>
      <c r="BK489" s="53"/>
      <c r="BL489" s="53"/>
      <c r="BM489" s="53"/>
      <c r="BN489" s="53"/>
      <c r="BO489" s="102"/>
      <c r="BP489" s="53"/>
      <c r="BQ489" s="30">
        <v>2.0</v>
      </c>
      <c r="BR489" s="30">
        <f t="shared" si="4"/>
        <v>0</v>
      </c>
      <c r="BS489" s="70">
        <f t="shared" si="5"/>
        <v>0</v>
      </c>
      <c r="BT489" s="70">
        <v>1.0</v>
      </c>
    </row>
    <row r="490" ht="15.75" customHeight="1">
      <c r="A490" s="54" t="s">
        <v>729</v>
      </c>
      <c r="B490" s="56" t="s">
        <v>730</v>
      </c>
      <c r="C490" s="56" t="s">
        <v>731</v>
      </c>
      <c r="D490" s="56" t="s">
        <v>732</v>
      </c>
      <c r="E490" s="56" t="s">
        <v>167</v>
      </c>
      <c r="F490" s="56" t="s">
        <v>327</v>
      </c>
      <c r="G490" s="57" t="s">
        <v>154</v>
      </c>
      <c r="H490" s="68">
        <f t="shared" si="3"/>
        <v>0</v>
      </c>
      <c r="I490" s="62"/>
      <c r="J490" s="62"/>
      <c r="K490" s="71"/>
      <c r="L490" s="57" t="s">
        <v>115</v>
      </c>
      <c r="M490" s="61"/>
      <c r="N490" s="61"/>
      <c r="O490" s="62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53"/>
      <c r="BG490" s="53"/>
      <c r="BH490" s="53"/>
      <c r="BI490" s="53"/>
      <c r="BJ490" s="53"/>
      <c r="BK490" s="53"/>
      <c r="BL490" s="53"/>
      <c r="BM490" s="53"/>
      <c r="BN490" s="53"/>
      <c r="BO490" s="102"/>
      <c r="BP490" s="53"/>
      <c r="BQ490" s="30">
        <v>2.0</v>
      </c>
      <c r="BR490" s="30">
        <f t="shared" si="4"/>
        <v>0</v>
      </c>
      <c r="BS490" s="70">
        <f t="shared" si="5"/>
        <v>0</v>
      </c>
      <c r="BT490" s="70">
        <v>1.0</v>
      </c>
    </row>
    <row r="491" ht="15.75" customHeight="1">
      <c r="A491" s="54" t="s">
        <v>729</v>
      </c>
      <c r="B491" s="56" t="s">
        <v>730</v>
      </c>
      <c r="C491" s="56" t="s">
        <v>731</v>
      </c>
      <c r="D491" s="56" t="s">
        <v>732</v>
      </c>
      <c r="E491" s="56" t="s">
        <v>733</v>
      </c>
      <c r="F491" s="56" t="s">
        <v>327</v>
      </c>
      <c r="G491" s="57" t="s">
        <v>154</v>
      </c>
      <c r="H491" s="68">
        <f t="shared" si="3"/>
        <v>0</v>
      </c>
      <c r="I491" s="62"/>
      <c r="J491" s="62"/>
      <c r="K491" s="71"/>
      <c r="L491" s="57" t="s">
        <v>115</v>
      </c>
      <c r="M491" s="61"/>
      <c r="N491" s="61"/>
      <c r="O491" s="62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53"/>
      <c r="BG491" s="53"/>
      <c r="BH491" s="53"/>
      <c r="BI491" s="53"/>
      <c r="BJ491" s="53"/>
      <c r="BK491" s="53"/>
      <c r="BL491" s="53"/>
      <c r="BM491" s="53"/>
      <c r="BN491" s="53"/>
      <c r="BO491" s="102"/>
      <c r="BP491" s="53"/>
      <c r="BQ491" s="30">
        <v>2.0</v>
      </c>
      <c r="BR491" s="30">
        <f t="shared" si="4"/>
        <v>0</v>
      </c>
      <c r="BS491" s="70">
        <f t="shared" si="5"/>
        <v>0</v>
      </c>
      <c r="BT491" s="70">
        <v>1.0</v>
      </c>
    </row>
    <row r="492" ht="15.75" customHeight="1">
      <c r="A492" s="54" t="s">
        <v>729</v>
      </c>
      <c r="B492" s="56" t="s">
        <v>730</v>
      </c>
      <c r="C492" s="56" t="s">
        <v>731</v>
      </c>
      <c r="D492" s="56" t="s">
        <v>732</v>
      </c>
      <c r="E492" s="56" t="s">
        <v>176</v>
      </c>
      <c r="F492" s="56" t="s">
        <v>327</v>
      </c>
      <c r="G492" s="57" t="s">
        <v>154</v>
      </c>
      <c r="H492" s="68">
        <f t="shared" si="3"/>
        <v>0</v>
      </c>
      <c r="I492" s="62"/>
      <c r="J492" s="62"/>
      <c r="K492" s="71"/>
      <c r="L492" s="57" t="s">
        <v>115</v>
      </c>
      <c r="M492" s="61"/>
      <c r="N492" s="61"/>
      <c r="O492" s="62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53"/>
      <c r="BG492" s="53"/>
      <c r="BH492" s="53"/>
      <c r="BI492" s="53"/>
      <c r="BJ492" s="53"/>
      <c r="BK492" s="53"/>
      <c r="BL492" s="53"/>
      <c r="BM492" s="53"/>
      <c r="BN492" s="53"/>
      <c r="BO492" s="102"/>
      <c r="BP492" s="53"/>
      <c r="BQ492" s="30">
        <v>2.0</v>
      </c>
      <c r="BR492" s="30">
        <f t="shared" si="4"/>
        <v>0</v>
      </c>
      <c r="BS492" s="70">
        <f t="shared" si="5"/>
        <v>0</v>
      </c>
      <c r="BT492" s="70">
        <v>1.0</v>
      </c>
    </row>
    <row r="493" ht="15.75" customHeight="1">
      <c r="A493" s="54" t="s">
        <v>729</v>
      </c>
      <c r="B493" s="56" t="s">
        <v>734</v>
      </c>
      <c r="C493" s="56" t="s">
        <v>731</v>
      </c>
      <c r="D493" s="56" t="s">
        <v>735</v>
      </c>
      <c r="E493" s="56" t="s">
        <v>167</v>
      </c>
      <c r="F493" s="56" t="s">
        <v>327</v>
      </c>
      <c r="G493" s="57" t="s">
        <v>154</v>
      </c>
      <c r="H493" s="68">
        <f t="shared" si="3"/>
        <v>0</v>
      </c>
      <c r="I493" s="62"/>
      <c r="J493" s="62"/>
      <c r="K493" s="71"/>
      <c r="L493" s="57" t="s">
        <v>115</v>
      </c>
      <c r="M493" s="61"/>
      <c r="N493" s="61"/>
      <c r="O493" s="62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53"/>
      <c r="BG493" s="53"/>
      <c r="BH493" s="53"/>
      <c r="BI493" s="53"/>
      <c r="BJ493" s="53"/>
      <c r="BK493" s="53"/>
      <c r="BL493" s="53"/>
      <c r="BM493" s="53"/>
      <c r="BN493" s="53"/>
      <c r="BO493" s="102"/>
      <c r="BP493" s="53"/>
      <c r="BQ493" s="30">
        <v>2.0</v>
      </c>
      <c r="BR493" s="30">
        <f t="shared" si="4"/>
        <v>0</v>
      </c>
      <c r="BS493" s="70">
        <f t="shared" si="5"/>
        <v>0</v>
      </c>
      <c r="BT493" s="70">
        <v>1.0</v>
      </c>
    </row>
    <row r="494" ht="15.75" customHeight="1">
      <c r="A494" s="54" t="s">
        <v>729</v>
      </c>
      <c r="B494" s="56" t="s">
        <v>734</v>
      </c>
      <c r="C494" s="56" t="s">
        <v>731</v>
      </c>
      <c r="D494" s="56" t="s">
        <v>735</v>
      </c>
      <c r="E494" s="56" t="s">
        <v>733</v>
      </c>
      <c r="F494" s="56" t="s">
        <v>327</v>
      </c>
      <c r="G494" s="57" t="s">
        <v>154</v>
      </c>
      <c r="H494" s="68">
        <f t="shared" si="3"/>
        <v>0</v>
      </c>
      <c r="I494" s="62"/>
      <c r="J494" s="62"/>
      <c r="K494" s="71"/>
      <c r="L494" s="57" t="s">
        <v>115</v>
      </c>
      <c r="M494" s="61"/>
      <c r="N494" s="61"/>
      <c r="O494" s="62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53"/>
      <c r="BG494" s="53"/>
      <c r="BH494" s="53"/>
      <c r="BI494" s="53"/>
      <c r="BJ494" s="53"/>
      <c r="BK494" s="53"/>
      <c r="BL494" s="53"/>
      <c r="BM494" s="53"/>
      <c r="BN494" s="53"/>
      <c r="BO494" s="102"/>
      <c r="BP494" s="53"/>
      <c r="BQ494" s="30">
        <v>2.0</v>
      </c>
      <c r="BR494" s="30">
        <f t="shared" si="4"/>
        <v>0</v>
      </c>
      <c r="BS494" s="70">
        <f t="shared" si="5"/>
        <v>0</v>
      </c>
      <c r="BT494" s="70">
        <v>1.0</v>
      </c>
    </row>
    <row r="495" ht="15.75" customHeight="1">
      <c r="A495" s="54" t="s">
        <v>729</v>
      </c>
      <c r="B495" s="56" t="s">
        <v>734</v>
      </c>
      <c r="C495" s="56" t="s">
        <v>731</v>
      </c>
      <c r="D495" s="56" t="s">
        <v>735</v>
      </c>
      <c r="E495" s="56" t="s">
        <v>176</v>
      </c>
      <c r="F495" s="56" t="s">
        <v>327</v>
      </c>
      <c r="G495" s="57" t="s">
        <v>154</v>
      </c>
      <c r="H495" s="68">
        <f t="shared" si="3"/>
        <v>0</v>
      </c>
      <c r="I495" s="62"/>
      <c r="J495" s="62"/>
      <c r="K495" s="71"/>
      <c r="L495" s="57" t="s">
        <v>115</v>
      </c>
      <c r="M495" s="61"/>
      <c r="N495" s="61"/>
      <c r="O495" s="62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53"/>
      <c r="BG495" s="53"/>
      <c r="BH495" s="53"/>
      <c r="BI495" s="53"/>
      <c r="BJ495" s="53"/>
      <c r="BK495" s="53"/>
      <c r="BL495" s="53"/>
      <c r="BM495" s="53"/>
      <c r="BN495" s="53"/>
      <c r="BO495" s="102"/>
      <c r="BP495" s="53"/>
      <c r="BQ495" s="30">
        <v>2.0</v>
      </c>
      <c r="BR495" s="30">
        <f t="shared" si="4"/>
        <v>0</v>
      </c>
      <c r="BS495" s="70">
        <f t="shared" si="5"/>
        <v>0</v>
      </c>
      <c r="BT495" s="70">
        <v>1.0</v>
      </c>
    </row>
    <row r="496" ht="15.75" customHeight="1">
      <c r="A496" s="54" t="s">
        <v>729</v>
      </c>
      <c r="B496" s="56" t="s">
        <v>736</v>
      </c>
      <c r="C496" s="56" t="s">
        <v>731</v>
      </c>
      <c r="D496" s="56" t="s">
        <v>737</v>
      </c>
      <c r="E496" s="56" t="s">
        <v>167</v>
      </c>
      <c r="F496" s="56" t="s">
        <v>246</v>
      </c>
      <c r="G496" s="57" t="s">
        <v>154</v>
      </c>
      <c r="H496" s="68">
        <f t="shared" si="3"/>
        <v>0</v>
      </c>
      <c r="I496" s="62"/>
      <c r="J496" s="62"/>
      <c r="K496" s="71"/>
      <c r="L496" s="57" t="s">
        <v>115</v>
      </c>
      <c r="M496" s="61"/>
      <c r="N496" s="61"/>
      <c r="O496" s="62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53"/>
      <c r="BG496" s="53"/>
      <c r="BH496" s="53"/>
      <c r="BI496" s="53"/>
      <c r="BJ496" s="53"/>
      <c r="BK496" s="53"/>
      <c r="BL496" s="53"/>
      <c r="BM496" s="53"/>
      <c r="BN496" s="53"/>
      <c r="BO496" s="102"/>
      <c r="BP496" s="53"/>
      <c r="BQ496" s="30">
        <v>2.0</v>
      </c>
      <c r="BR496" s="30">
        <f t="shared" si="4"/>
        <v>0</v>
      </c>
      <c r="BS496" s="70">
        <f t="shared" si="5"/>
        <v>0</v>
      </c>
      <c r="BT496" s="70">
        <v>1.0</v>
      </c>
    </row>
    <row r="497" ht="15.75" customHeight="1">
      <c r="A497" s="54" t="s">
        <v>729</v>
      </c>
      <c r="B497" s="56" t="s">
        <v>736</v>
      </c>
      <c r="C497" s="56" t="s">
        <v>731</v>
      </c>
      <c r="D497" s="56" t="s">
        <v>737</v>
      </c>
      <c r="E497" s="56" t="s">
        <v>733</v>
      </c>
      <c r="F497" s="56" t="s">
        <v>246</v>
      </c>
      <c r="G497" s="57" t="s">
        <v>154</v>
      </c>
      <c r="H497" s="68">
        <f t="shared" si="3"/>
        <v>0</v>
      </c>
      <c r="I497" s="62"/>
      <c r="J497" s="62"/>
      <c r="K497" s="71"/>
      <c r="L497" s="57" t="s">
        <v>115</v>
      </c>
      <c r="M497" s="61"/>
      <c r="N497" s="61"/>
      <c r="O497" s="62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53"/>
      <c r="BG497" s="53"/>
      <c r="BH497" s="53"/>
      <c r="BI497" s="53"/>
      <c r="BJ497" s="53"/>
      <c r="BK497" s="53"/>
      <c r="BL497" s="53"/>
      <c r="BM497" s="53"/>
      <c r="BN497" s="53"/>
      <c r="BO497" s="102"/>
      <c r="BP497" s="53"/>
      <c r="BQ497" s="30">
        <v>2.0</v>
      </c>
      <c r="BR497" s="30">
        <f t="shared" si="4"/>
        <v>0</v>
      </c>
      <c r="BS497" s="70">
        <f t="shared" si="5"/>
        <v>0</v>
      </c>
      <c r="BT497" s="70">
        <v>1.0</v>
      </c>
    </row>
    <row r="498" ht="15.75" customHeight="1">
      <c r="A498" s="54" t="s">
        <v>729</v>
      </c>
      <c r="B498" s="56" t="s">
        <v>736</v>
      </c>
      <c r="C498" s="56" t="s">
        <v>731</v>
      </c>
      <c r="D498" s="56" t="s">
        <v>737</v>
      </c>
      <c r="E498" s="56" t="s">
        <v>176</v>
      </c>
      <c r="F498" s="56" t="s">
        <v>246</v>
      </c>
      <c r="G498" s="57" t="s">
        <v>154</v>
      </c>
      <c r="H498" s="68">
        <f t="shared" si="3"/>
        <v>0</v>
      </c>
      <c r="I498" s="62"/>
      <c r="J498" s="62"/>
      <c r="K498" s="71"/>
      <c r="L498" s="57" t="s">
        <v>115</v>
      </c>
      <c r="M498" s="61"/>
      <c r="N498" s="61"/>
      <c r="O498" s="62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102"/>
      <c r="BP498" s="53"/>
      <c r="BQ498" s="30">
        <v>2.0</v>
      </c>
      <c r="BR498" s="30">
        <f t="shared" si="4"/>
        <v>0</v>
      </c>
      <c r="BS498" s="70">
        <f t="shared" si="5"/>
        <v>0</v>
      </c>
      <c r="BT498" s="70">
        <v>1.0</v>
      </c>
    </row>
    <row r="499" ht="15.75" customHeight="1">
      <c r="A499" s="54" t="s">
        <v>729</v>
      </c>
      <c r="B499" s="56" t="s">
        <v>738</v>
      </c>
      <c r="C499" s="56" t="s">
        <v>731</v>
      </c>
      <c r="D499" s="56" t="s">
        <v>175</v>
      </c>
      <c r="E499" s="56" t="s">
        <v>163</v>
      </c>
      <c r="F499" s="56" t="s">
        <v>327</v>
      </c>
      <c r="G499" s="57" t="s">
        <v>154</v>
      </c>
      <c r="H499" s="68">
        <f t="shared" si="3"/>
        <v>0</v>
      </c>
      <c r="I499" s="62"/>
      <c r="J499" s="62"/>
      <c r="K499" s="71"/>
      <c r="L499" s="57" t="s">
        <v>115</v>
      </c>
      <c r="M499" s="61"/>
      <c r="N499" s="61"/>
      <c r="O499" s="62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53"/>
      <c r="BG499" s="53"/>
      <c r="BH499" s="53"/>
      <c r="BI499" s="53"/>
      <c r="BJ499" s="53"/>
      <c r="BK499" s="53"/>
      <c r="BL499" s="53"/>
      <c r="BM499" s="53"/>
      <c r="BN499" s="53"/>
      <c r="BO499" s="102"/>
      <c r="BP499" s="53"/>
      <c r="BQ499" s="30">
        <v>2.0</v>
      </c>
      <c r="BR499" s="30">
        <f t="shared" si="4"/>
        <v>0</v>
      </c>
      <c r="BS499" s="70">
        <f t="shared" si="5"/>
        <v>0</v>
      </c>
      <c r="BT499" s="70">
        <v>1.0</v>
      </c>
    </row>
    <row r="500" ht="15.75" customHeight="1">
      <c r="A500" s="54" t="s">
        <v>729</v>
      </c>
      <c r="B500" s="56" t="s">
        <v>738</v>
      </c>
      <c r="C500" s="56" t="s">
        <v>731</v>
      </c>
      <c r="D500" s="56" t="s">
        <v>175</v>
      </c>
      <c r="E500" s="56" t="s">
        <v>176</v>
      </c>
      <c r="F500" s="56" t="s">
        <v>327</v>
      </c>
      <c r="G500" s="57" t="s">
        <v>154</v>
      </c>
      <c r="H500" s="68">
        <f t="shared" si="3"/>
        <v>0</v>
      </c>
      <c r="I500" s="62"/>
      <c r="J500" s="62"/>
      <c r="K500" s="71"/>
      <c r="L500" s="57" t="s">
        <v>115</v>
      </c>
      <c r="M500" s="61"/>
      <c r="N500" s="61"/>
      <c r="O500" s="62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53"/>
      <c r="BG500" s="53"/>
      <c r="BH500" s="53"/>
      <c r="BI500" s="53"/>
      <c r="BJ500" s="53"/>
      <c r="BK500" s="53"/>
      <c r="BL500" s="53"/>
      <c r="BM500" s="53"/>
      <c r="BN500" s="53"/>
      <c r="BO500" s="102"/>
      <c r="BP500" s="53"/>
      <c r="BQ500" s="30">
        <v>2.0</v>
      </c>
      <c r="BR500" s="30">
        <f t="shared" si="4"/>
        <v>0</v>
      </c>
      <c r="BS500" s="70">
        <f t="shared" si="5"/>
        <v>0</v>
      </c>
      <c r="BT500" s="70">
        <v>1.0</v>
      </c>
    </row>
    <row r="501" ht="15.75" customHeight="1">
      <c r="A501" s="54" t="s">
        <v>729</v>
      </c>
      <c r="B501" s="56" t="s">
        <v>739</v>
      </c>
      <c r="C501" s="56" t="s">
        <v>731</v>
      </c>
      <c r="D501" s="56" t="s">
        <v>186</v>
      </c>
      <c r="E501" s="56" t="s">
        <v>163</v>
      </c>
      <c r="F501" s="56" t="s">
        <v>327</v>
      </c>
      <c r="G501" s="57" t="s">
        <v>154</v>
      </c>
      <c r="H501" s="68">
        <f t="shared" si="3"/>
        <v>0</v>
      </c>
      <c r="I501" s="62"/>
      <c r="J501" s="62"/>
      <c r="K501" s="71"/>
      <c r="L501" s="57" t="s">
        <v>115</v>
      </c>
      <c r="M501" s="61"/>
      <c r="N501" s="61"/>
      <c r="O501" s="62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53"/>
      <c r="BG501" s="53"/>
      <c r="BH501" s="53"/>
      <c r="BI501" s="53"/>
      <c r="BJ501" s="53"/>
      <c r="BK501" s="53"/>
      <c r="BL501" s="53"/>
      <c r="BM501" s="53"/>
      <c r="BN501" s="53"/>
      <c r="BO501" s="102"/>
      <c r="BP501" s="53"/>
      <c r="BQ501" s="30">
        <v>2.0</v>
      </c>
      <c r="BR501" s="30">
        <f t="shared" si="4"/>
        <v>0</v>
      </c>
      <c r="BS501" s="70">
        <f t="shared" si="5"/>
        <v>0</v>
      </c>
      <c r="BT501" s="70">
        <v>1.0</v>
      </c>
    </row>
    <row r="502" ht="15.75" customHeight="1">
      <c r="A502" s="54" t="s">
        <v>729</v>
      </c>
      <c r="B502" s="56" t="s">
        <v>739</v>
      </c>
      <c r="C502" s="56" t="s">
        <v>731</v>
      </c>
      <c r="D502" s="56" t="s">
        <v>186</v>
      </c>
      <c r="E502" s="56" t="s">
        <v>176</v>
      </c>
      <c r="F502" s="56" t="s">
        <v>327</v>
      </c>
      <c r="G502" s="57" t="s">
        <v>154</v>
      </c>
      <c r="H502" s="68">
        <f t="shared" si="3"/>
        <v>0</v>
      </c>
      <c r="I502" s="62"/>
      <c r="J502" s="62"/>
      <c r="K502" s="71"/>
      <c r="L502" s="57" t="s">
        <v>115</v>
      </c>
      <c r="M502" s="61"/>
      <c r="N502" s="61"/>
      <c r="O502" s="62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53"/>
      <c r="BG502" s="53"/>
      <c r="BH502" s="53"/>
      <c r="BI502" s="53"/>
      <c r="BJ502" s="53"/>
      <c r="BK502" s="53"/>
      <c r="BL502" s="53"/>
      <c r="BM502" s="53"/>
      <c r="BN502" s="53"/>
      <c r="BO502" s="102"/>
      <c r="BP502" s="53"/>
      <c r="BQ502" s="30">
        <v>2.0</v>
      </c>
      <c r="BR502" s="30">
        <f t="shared" si="4"/>
        <v>0</v>
      </c>
      <c r="BS502" s="70">
        <f t="shared" si="5"/>
        <v>0</v>
      </c>
      <c r="BT502" s="70">
        <v>1.0</v>
      </c>
    </row>
    <row r="503" ht="15.75" customHeight="1">
      <c r="A503" s="54" t="s">
        <v>729</v>
      </c>
      <c r="B503" s="56" t="s">
        <v>740</v>
      </c>
      <c r="C503" s="56" t="s">
        <v>731</v>
      </c>
      <c r="D503" s="56" t="s">
        <v>183</v>
      </c>
      <c r="E503" s="56" t="s">
        <v>163</v>
      </c>
      <c r="F503" s="56" t="s">
        <v>327</v>
      </c>
      <c r="G503" s="57" t="s">
        <v>154</v>
      </c>
      <c r="H503" s="68">
        <f t="shared" si="3"/>
        <v>0</v>
      </c>
      <c r="I503" s="62"/>
      <c r="J503" s="62"/>
      <c r="K503" s="71"/>
      <c r="L503" s="57" t="s">
        <v>115</v>
      </c>
      <c r="M503" s="61"/>
      <c r="N503" s="61"/>
      <c r="O503" s="62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53"/>
      <c r="BG503" s="53"/>
      <c r="BH503" s="53"/>
      <c r="BI503" s="53"/>
      <c r="BJ503" s="53"/>
      <c r="BK503" s="53"/>
      <c r="BL503" s="53"/>
      <c r="BM503" s="53"/>
      <c r="BN503" s="53"/>
      <c r="BO503" s="102"/>
      <c r="BP503" s="53"/>
      <c r="BQ503" s="30">
        <v>2.0</v>
      </c>
      <c r="BR503" s="30">
        <f t="shared" si="4"/>
        <v>0</v>
      </c>
      <c r="BS503" s="70">
        <f t="shared" si="5"/>
        <v>0</v>
      </c>
      <c r="BT503" s="70">
        <v>1.0</v>
      </c>
    </row>
    <row r="504" ht="15.75" customHeight="1">
      <c r="A504" s="54" t="s">
        <v>729</v>
      </c>
      <c r="B504" s="56" t="s">
        <v>740</v>
      </c>
      <c r="C504" s="56" t="s">
        <v>731</v>
      </c>
      <c r="D504" s="56" t="s">
        <v>183</v>
      </c>
      <c r="E504" s="56" t="s">
        <v>176</v>
      </c>
      <c r="F504" s="56" t="s">
        <v>327</v>
      </c>
      <c r="G504" s="57" t="s">
        <v>154</v>
      </c>
      <c r="H504" s="68">
        <f t="shared" si="3"/>
        <v>0</v>
      </c>
      <c r="I504" s="62"/>
      <c r="J504" s="62"/>
      <c r="K504" s="71"/>
      <c r="L504" s="57" t="s">
        <v>115</v>
      </c>
      <c r="M504" s="61"/>
      <c r="N504" s="61"/>
      <c r="O504" s="62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53"/>
      <c r="BG504" s="53"/>
      <c r="BH504" s="53"/>
      <c r="BI504" s="53"/>
      <c r="BJ504" s="53"/>
      <c r="BK504" s="53"/>
      <c r="BL504" s="53"/>
      <c r="BM504" s="53"/>
      <c r="BN504" s="53"/>
      <c r="BO504" s="102"/>
      <c r="BP504" s="53"/>
      <c r="BQ504" s="30">
        <v>2.0</v>
      </c>
      <c r="BR504" s="30">
        <f t="shared" si="4"/>
        <v>0</v>
      </c>
      <c r="BS504" s="70">
        <f t="shared" si="5"/>
        <v>0</v>
      </c>
      <c r="BT504" s="70">
        <v>1.0</v>
      </c>
    </row>
    <row r="505" ht="15.75" customHeight="1">
      <c r="A505" s="54" t="s">
        <v>741</v>
      </c>
      <c r="B505" s="56" t="s">
        <v>742</v>
      </c>
      <c r="C505" s="56" t="s">
        <v>405</v>
      </c>
      <c r="D505" s="56" t="s">
        <v>743</v>
      </c>
      <c r="E505" s="56" t="s">
        <v>409</v>
      </c>
      <c r="F505" s="56" t="s">
        <v>246</v>
      </c>
      <c r="G505" s="57" t="s">
        <v>154</v>
      </c>
      <c r="H505" s="68">
        <f t="shared" si="3"/>
        <v>0</v>
      </c>
      <c r="I505" s="62" t="s">
        <v>146</v>
      </c>
      <c r="J505" s="62"/>
      <c r="K505" s="71"/>
      <c r="L505" s="57" t="s">
        <v>115</v>
      </c>
      <c r="M505" s="61"/>
      <c r="N505" s="61"/>
      <c r="O505" s="62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53"/>
      <c r="BG505" s="53"/>
      <c r="BH505" s="53"/>
      <c r="BI505" s="53"/>
      <c r="BJ505" s="53"/>
      <c r="BK505" s="53"/>
      <c r="BL505" s="53"/>
      <c r="BM505" s="53"/>
      <c r="BN505" s="53"/>
      <c r="BO505" s="102"/>
      <c r="BP505" s="53"/>
      <c r="BQ505" s="30">
        <v>2.0</v>
      </c>
      <c r="BR505" s="30">
        <f t="shared" si="4"/>
        <v>0</v>
      </c>
      <c r="BS505" s="70">
        <f t="shared" si="5"/>
        <v>0</v>
      </c>
      <c r="BT505" s="70">
        <v>1.0</v>
      </c>
    </row>
    <row r="506" ht="15.75" customHeight="1">
      <c r="A506" s="54" t="s">
        <v>741</v>
      </c>
      <c r="B506" s="56" t="s">
        <v>744</v>
      </c>
      <c r="C506" s="56" t="s">
        <v>745</v>
      </c>
      <c r="D506" s="56" t="s">
        <v>746</v>
      </c>
      <c r="E506" s="56" t="s">
        <v>747</v>
      </c>
      <c r="F506" s="56" t="s">
        <v>875</v>
      </c>
      <c r="G506" s="57" t="s">
        <v>34</v>
      </c>
      <c r="H506" s="68">
        <f t="shared" si="3"/>
        <v>0</v>
      </c>
      <c r="I506" s="62"/>
      <c r="J506" s="62"/>
      <c r="K506" s="71"/>
      <c r="L506" s="57" t="s">
        <v>130</v>
      </c>
      <c r="M506" s="61"/>
      <c r="N506" s="61"/>
      <c r="O506" s="62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53"/>
      <c r="BG506" s="53"/>
      <c r="BH506" s="53"/>
      <c r="BI506" s="53"/>
      <c r="BJ506" s="53"/>
      <c r="BK506" s="53"/>
      <c r="BL506" s="53"/>
      <c r="BM506" s="53"/>
      <c r="BN506" s="53"/>
      <c r="BO506" s="53"/>
      <c r="BP506" s="53"/>
      <c r="BQ506" s="30">
        <v>1.0</v>
      </c>
      <c r="BR506" s="30">
        <f t="shared" si="4"/>
        <v>0</v>
      </c>
      <c r="BS506" s="70">
        <f t="shared" si="5"/>
        <v>0</v>
      </c>
      <c r="BT506" s="70">
        <v>1.0</v>
      </c>
    </row>
    <row r="507" ht="15.75" customHeight="1">
      <c r="A507" s="54" t="s">
        <v>741</v>
      </c>
      <c r="B507" s="56" t="s">
        <v>744</v>
      </c>
      <c r="C507" s="56" t="s">
        <v>745</v>
      </c>
      <c r="D507" s="56" t="s">
        <v>746</v>
      </c>
      <c r="E507" s="56" t="s">
        <v>748</v>
      </c>
      <c r="F507" s="56" t="s">
        <v>246</v>
      </c>
      <c r="G507" s="57" t="s">
        <v>154</v>
      </c>
      <c r="H507" s="68">
        <f t="shared" si="3"/>
        <v>0</v>
      </c>
      <c r="I507" s="62"/>
      <c r="J507" s="62"/>
      <c r="K507" s="71"/>
      <c r="L507" s="57" t="s">
        <v>130</v>
      </c>
      <c r="M507" s="61"/>
      <c r="N507" s="61"/>
      <c r="O507" s="62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53"/>
      <c r="BG507" s="53"/>
      <c r="BH507" s="53"/>
      <c r="BI507" s="53"/>
      <c r="BJ507" s="53"/>
      <c r="BK507" s="53"/>
      <c r="BL507" s="53"/>
      <c r="BM507" s="53"/>
      <c r="BN507" s="53"/>
      <c r="BO507" s="53"/>
      <c r="BP507" s="30"/>
      <c r="BQ507" s="30">
        <v>2.0</v>
      </c>
      <c r="BR507" s="30">
        <f t="shared" si="4"/>
        <v>0</v>
      </c>
      <c r="BS507" s="70">
        <f t="shared" si="5"/>
        <v>0</v>
      </c>
      <c r="BT507" s="70">
        <v>1.0</v>
      </c>
    </row>
    <row r="508" ht="15.75" customHeight="1">
      <c r="A508" s="54" t="s">
        <v>741</v>
      </c>
      <c r="B508" s="56" t="s">
        <v>749</v>
      </c>
      <c r="C508" s="56" t="s">
        <v>745</v>
      </c>
      <c r="D508" s="56" t="s">
        <v>750</v>
      </c>
      <c r="E508" s="56" t="s">
        <v>747</v>
      </c>
      <c r="F508" s="56" t="s">
        <v>875</v>
      </c>
      <c r="G508" s="57" t="s">
        <v>34</v>
      </c>
      <c r="H508" s="68">
        <f t="shared" si="3"/>
        <v>0</v>
      </c>
      <c r="I508" s="62"/>
      <c r="J508" s="62"/>
      <c r="K508" s="71"/>
      <c r="L508" s="57" t="s">
        <v>130</v>
      </c>
      <c r="M508" s="61"/>
      <c r="N508" s="61"/>
      <c r="O508" s="62" t="s">
        <v>617</v>
      </c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53"/>
      <c r="BG508" s="53"/>
      <c r="BH508" s="53"/>
      <c r="BI508" s="53"/>
      <c r="BJ508" s="53"/>
      <c r="BK508" s="53"/>
      <c r="BL508" s="53"/>
      <c r="BM508" s="53"/>
      <c r="BN508" s="53"/>
      <c r="BO508" s="53"/>
      <c r="BP508" s="53"/>
      <c r="BQ508" s="30">
        <v>1.0</v>
      </c>
      <c r="BR508" s="30">
        <f t="shared" si="4"/>
        <v>0</v>
      </c>
      <c r="BS508" s="70">
        <f t="shared" si="5"/>
        <v>0</v>
      </c>
      <c r="BT508" s="70">
        <v>1.0</v>
      </c>
    </row>
    <row r="509" ht="15.75" customHeight="1">
      <c r="A509" s="54" t="s">
        <v>741</v>
      </c>
      <c r="B509" s="56" t="s">
        <v>749</v>
      </c>
      <c r="C509" s="56" t="s">
        <v>745</v>
      </c>
      <c r="D509" s="56" t="s">
        <v>750</v>
      </c>
      <c r="E509" s="56" t="s">
        <v>748</v>
      </c>
      <c r="F509" s="56" t="s">
        <v>246</v>
      </c>
      <c r="G509" s="57" t="s">
        <v>154</v>
      </c>
      <c r="H509" s="68">
        <f t="shared" si="3"/>
        <v>0</v>
      </c>
      <c r="I509" s="62"/>
      <c r="J509" s="62"/>
      <c r="K509" s="71"/>
      <c r="L509" s="57" t="s">
        <v>130</v>
      </c>
      <c r="M509" s="61"/>
      <c r="N509" s="61"/>
      <c r="O509" s="62" t="s">
        <v>617</v>
      </c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53"/>
      <c r="BG509" s="53"/>
      <c r="BH509" s="53"/>
      <c r="BI509" s="53"/>
      <c r="BJ509" s="53"/>
      <c r="BK509" s="53"/>
      <c r="BL509" s="53"/>
      <c r="BM509" s="53"/>
      <c r="BN509" s="53"/>
      <c r="BO509" s="53"/>
      <c r="BP509" s="30"/>
      <c r="BQ509" s="30">
        <v>2.0</v>
      </c>
      <c r="BR509" s="30">
        <f t="shared" si="4"/>
        <v>0</v>
      </c>
      <c r="BS509" s="70">
        <f t="shared" si="5"/>
        <v>0</v>
      </c>
      <c r="BT509" s="70">
        <v>1.0</v>
      </c>
    </row>
    <row r="510" ht="15.75" customHeight="1">
      <c r="A510" s="54" t="s">
        <v>741</v>
      </c>
      <c r="B510" s="56" t="s">
        <v>751</v>
      </c>
      <c r="C510" s="56" t="s">
        <v>610</v>
      </c>
      <c r="D510" s="56" t="s">
        <v>752</v>
      </c>
      <c r="E510" s="56" t="s">
        <v>753</v>
      </c>
      <c r="F510" s="56" t="s">
        <v>246</v>
      </c>
      <c r="G510" s="57" t="s">
        <v>154</v>
      </c>
      <c r="H510" s="68">
        <f t="shared" si="3"/>
        <v>0</v>
      </c>
      <c r="I510" s="62"/>
      <c r="J510" s="62" t="s">
        <v>617</v>
      </c>
      <c r="K510" s="71"/>
      <c r="L510" s="57" t="s">
        <v>115</v>
      </c>
      <c r="M510" s="61"/>
      <c r="N510" s="61"/>
      <c r="O510" s="62" t="s">
        <v>617</v>
      </c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53"/>
      <c r="BG510" s="53"/>
      <c r="BH510" s="53"/>
      <c r="BI510" s="53"/>
      <c r="BJ510" s="53"/>
      <c r="BK510" s="53"/>
      <c r="BL510" s="53"/>
      <c r="BM510" s="53"/>
      <c r="BN510" s="53"/>
      <c r="BO510" s="53"/>
      <c r="BP510" s="30"/>
      <c r="BQ510" s="30">
        <v>2.0</v>
      </c>
      <c r="BR510" s="30">
        <f t="shared" si="4"/>
        <v>0</v>
      </c>
      <c r="BS510" s="70">
        <f t="shared" si="5"/>
        <v>0</v>
      </c>
      <c r="BT510" s="70">
        <v>1.0</v>
      </c>
    </row>
    <row r="511" ht="15.75" customHeight="1">
      <c r="A511" s="54" t="s">
        <v>741</v>
      </c>
      <c r="B511" s="56" t="s">
        <v>751</v>
      </c>
      <c r="C511" s="56" t="s">
        <v>610</v>
      </c>
      <c r="D511" s="56" t="s">
        <v>752</v>
      </c>
      <c r="E511" s="56" t="s">
        <v>754</v>
      </c>
      <c r="F511" s="56" t="s">
        <v>246</v>
      </c>
      <c r="G511" s="57" t="s">
        <v>154</v>
      </c>
      <c r="H511" s="68">
        <f t="shared" si="3"/>
        <v>0</v>
      </c>
      <c r="I511" s="62"/>
      <c r="J511" s="62" t="s">
        <v>617</v>
      </c>
      <c r="K511" s="71"/>
      <c r="L511" s="57" t="s">
        <v>115</v>
      </c>
      <c r="M511" s="61"/>
      <c r="N511" s="61"/>
      <c r="O511" s="62" t="s">
        <v>617</v>
      </c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53"/>
      <c r="BG511" s="53"/>
      <c r="BH511" s="53"/>
      <c r="BI511" s="53"/>
      <c r="BJ511" s="53"/>
      <c r="BK511" s="53"/>
      <c r="BL511" s="53"/>
      <c r="BM511" s="53"/>
      <c r="BN511" s="53"/>
      <c r="BO511" s="53"/>
      <c r="BP511" s="30"/>
      <c r="BQ511" s="30">
        <v>2.0</v>
      </c>
      <c r="BR511" s="30">
        <f t="shared" si="4"/>
        <v>0</v>
      </c>
      <c r="BS511" s="70">
        <f t="shared" si="5"/>
        <v>0</v>
      </c>
      <c r="BT511" s="70">
        <v>1.0</v>
      </c>
    </row>
    <row r="512" ht="15.75" customHeight="1">
      <c r="A512" s="54" t="s">
        <v>741</v>
      </c>
      <c r="B512" s="56" t="s">
        <v>751</v>
      </c>
      <c r="C512" s="56" t="s">
        <v>610</v>
      </c>
      <c r="D512" s="56" t="s">
        <v>752</v>
      </c>
      <c r="E512" s="56" t="s">
        <v>755</v>
      </c>
      <c r="F512" s="56" t="s">
        <v>246</v>
      </c>
      <c r="G512" s="57" t="s">
        <v>154</v>
      </c>
      <c r="H512" s="68">
        <f t="shared" si="3"/>
        <v>0</v>
      </c>
      <c r="I512" s="62"/>
      <c r="J512" s="62" t="s">
        <v>617</v>
      </c>
      <c r="K512" s="71"/>
      <c r="L512" s="57" t="s">
        <v>115</v>
      </c>
      <c r="M512" s="61"/>
      <c r="N512" s="61"/>
      <c r="O512" s="62" t="s">
        <v>617</v>
      </c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53"/>
      <c r="BG512" s="53"/>
      <c r="BH512" s="53"/>
      <c r="BI512" s="53"/>
      <c r="BJ512" s="53"/>
      <c r="BK512" s="53"/>
      <c r="BL512" s="53"/>
      <c r="BM512" s="53"/>
      <c r="BN512" s="53"/>
      <c r="BO512" s="53"/>
      <c r="BP512" s="30"/>
      <c r="BQ512" s="30">
        <v>2.0</v>
      </c>
      <c r="BR512" s="30">
        <f t="shared" si="4"/>
        <v>0</v>
      </c>
      <c r="BS512" s="70">
        <f t="shared" si="5"/>
        <v>0</v>
      </c>
      <c r="BT512" s="70">
        <v>1.0</v>
      </c>
    </row>
    <row r="513" ht="15.75" customHeight="1">
      <c r="A513" s="54" t="s">
        <v>741</v>
      </c>
      <c r="B513" s="56" t="s">
        <v>756</v>
      </c>
      <c r="C513" s="56" t="s">
        <v>624</v>
      </c>
      <c r="D513" s="56" t="s">
        <v>752</v>
      </c>
      <c r="E513" s="56" t="s">
        <v>753</v>
      </c>
      <c r="F513" s="56" t="s">
        <v>246</v>
      </c>
      <c r="G513" s="57" t="s">
        <v>154</v>
      </c>
      <c r="H513" s="68">
        <f t="shared" si="3"/>
        <v>0.5</v>
      </c>
      <c r="I513" s="62"/>
      <c r="J513" s="62" t="s">
        <v>617</v>
      </c>
      <c r="K513" s="71"/>
      <c r="L513" s="57" t="s">
        <v>115</v>
      </c>
      <c r="M513" s="61"/>
      <c r="N513" s="61"/>
      <c r="O513" s="62" t="s">
        <v>617</v>
      </c>
      <c r="P513" s="53"/>
      <c r="Q513" s="53"/>
      <c r="R513" s="53"/>
      <c r="S513" s="53"/>
      <c r="T513" s="53"/>
      <c r="U513" s="53"/>
      <c r="V513" s="53"/>
      <c r="W513" s="53"/>
      <c r="X513" s="53" t="s">
        <v>876</v>
      </c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53"/>
      <c r="BG513" s="53"/>
      <c r="BH513" s="53"/>
      <c r="BI513" s="53"/>
      <c r="BJ513" s="53"/>
      <c r="BK513" s="53"/>
      <c r="BL513" s="53"/>
      <c r="BM513" s="53"/>
      <c r="BN513" s="53"/>
      <c r="BO513" s="53"/>
      <c r="BP513" s="30"/>
      <c r="BQ513" s="30">
        <v>2.0</v>
      </c>
      <c r="BR513" s="30">
        <f t="shared" si="4"/>
        <v>1</v>
      </c>
      <c r="BS513" s="70">
        <f t="shared" si="5"/>
        <v>0</v>
      </c>
      <c r="BT513" s="70">
        <v>1.0</v>
      </c>
    </row>
    <row r="514" ht="15.75" customHeight="1">
      <c r="A514" s="54" t="s">
        <v>741</v>
      </c>
      <c r="B514" s="56" t="s">
        <v>756</v>
      </c>
      <c r="C514" s="56" t="s">
        <v>624</v>
      </c>
      <c r="D514" s="56" t="s">
        <v>752</v>
      </c>
      <c r="E514" s="56" t="s">
        <v>754</v>
      </c>
      <c r="F514" s="56" t="s">
        <v>246</v>
      </c>
      <c r="G514" s="57" t="s">
        <v>154</v>
      </c>
      <c r="H514" s="68">
        <f t="shared" si="3"/>
        <v>0.5</v>
      </c>
      <c r="I514" s="62"/>
      <c r="J514" s="62" t="s">
        <v>617</v>
      </c>
      <c r="K514" s="71"/>
      <c r="L514" s="57" t="s">
        <v>115</v>
      </c>
      <c r="M514" s="61"/>
      <c r="N514" s="61"/>
      <c r="O514" s="62" t="s">
        <v>617</v>
      </c>
      <c r="P514" s="53"/>
      <c r="Q514" s="53"/>
      <c r="R514" s="53"/>
      <c r="S514" s="53"/>
      <c r="T514" s="53"/>
      <c r="U514" s="53"/>
      <c r="V514" s="53"/>
      <c r="W514" s="53"/>
      <c r="X514" s="53" t="s">
        <v>876</v>
      </c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  <c r="BE514" s="53"/>
      <c r="BF514" s="53"/>
      <c r="BG514" s="53"/>
      <c r="BH514" s="53"/>
      <c r="BI514" s="53"/>
      <c r="BJ514" s="53"/>
      <c r="BK514" s="53"/>
      <c r="BL514" s="53"/>
      <c r="BM514" s="53"/>
      <c r="BN514" s="53"/>
      <c r="BO514" s="53"/>
      <c r="BP514" s="30"/>
      <c r="BQ514" s="30">
        <v>2.0</v>
      </c>
      <c r="BR514" s="30">
        <f t="shared" si="4"/>
        <v>1</v>
      </c>
      <c r="BS514" s="70">
        <f t="shared" si="5"/>
        <v>0</v>
      </c>
      <c r="BT514" s="70">
        <v>1.0</v>
      </c>
    </row>
    <row r="515" ht="15.75" customHeight="1">
      <c r="A515" s="54" t="s">
        <v>741</v>
      </c>
      <c r="B515" s="56" t="s">
        <v>756</v>
      </c>
      <c r="C515" s="56" t="s">
        <v>624</v>
      </c>
      <c r="D515" s="56" t="s">
        <v>752</v>
      </c>
      <c r="E515" s="56" t="s">
        <v>755</v>
      </c>
      <c r="F515" s="56" t="s">
        <v>246</v>
      </c>
      <c r="G515" s="57" t="s">
        <v>154</v>
      </c>
      <c r="H515" s="68">
        <f t="shared" si="3"/>
        <v>0.5</v>
      </c>
      <c r="I515" s="62"/>
      <c r="J515" s="62" t="s">
        <v>617</v>
      </c>
      <c r="K515" s="71"/>
      <c r="L515" s="57" t="s">
        <v>115</v>
      </c>
      <c r="M515" s="61"/>
      <c r="N515" s="61"/>
      <c r="O515" s="62" t="s">
        <v>617</v>
      </c>
      <c r="P515" s="53"/>
      <c r="Q515" s="53"/>
      <c r="R515" s="53"/>
      <c r="S515" s="53"/>
      <c r="T515" s="53"/>
      <c r="U515" s="53"/>
      <c r="V515" s="53"/>
      <c r="W515" s="53"/>
      <c r="X515" s="53" t="s">
        <v>876</v>
      </c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  <c r="BE515" s="53"/>
      <c r="BF515" s="53"/>
      <c r="BG515" s="53"/>
      <c r="BH515" s="53"/>
      <c r="BI515" s="53"/>
      <c r="BJ515" s="53"/>
      <c r="BK515" s="53"/>
      <c r="BL515" s="53"/>
      <c r="BM515" s="53"/>
      <c r="BN515" s="53"/>
      <c r="BO515" s="53"/>
      <c r="BP515" s="30"/>
      <c r="BQ515" s="30">
        <v>2.0</v>
      </c>
      <c r="BR515" s="30">
        <f t="shared" si="4"/>
        <v>1</v>
      </c>
      <c r="BS515" s="70">
        <f t="shared" si="5"/>
        <v>0</v>
      </c>
      <c r="BT515" s="70">
        <v>1.0</v>
      </c>
    </row>
    <row r="516" ht="15.75" customHeight="1">
      <c r="A516" s="54" t="s">
        <v>741</v>
      </c>
      <c r="B516" s="56" t="s">
        <v>757</v>
      </c>
      <c r="C516" s="56" t="s">
        <v>627</v>
      </c>
      <c r="D516" s="56" t="s">
        <v>752</v>
      </c>
      <c r="E516" s="56" t="s">
        <v>753</v>
      </c>
      <c r="F516" s="56" t="s">
        <v>249</v>
      </c>
      <c r="G516" s="57" t="s">
        <v>250</v>
      </c>
      <c r="H516" s="68">
        <f t="shared" si="3"/>
        <v>0.25</v>
      </c>
      <c r="I516" s="62"/>
      <c r="J516" s="62" t="s">
        <v>617</v>
      </c>
      <c r="K516" s="71"/>
      <c r="L516" s="57" t="s">
        <v>115</v>
      </c>
      <c r="M516" s="61"/>
      <c r="N516" s="61"/>
      <c r="O516" s="62" t="s">
        <v>617</v>
      </c>
      <c r="P516" s="53"/>
      <c r="Q516" s="53"/>
      <c r="R516" s="53"/>
      <c r="S516" s="53"/>
      <c r="T516" s="53"/>
      <c r="U516" s="53"/>
      <c r="V516" s="53"/>
      <c r="W516" s="53" t="s">
        <v>879</v>
      </c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  <c r="BE516" s="53"/>
      <c r="BF516" s="53"/>
      <c r="BG516" s="53"/>
      <c r="BH516" s="53"/>
      <c r="BI516" s="53"/>
      <c r="BJ516" s="53"/>
      <c r="BK516" s="53"/>
      <c r="BL516" s="53"/>
      <c r="BM516" s="53"/>
      <c r="BN516" s="53"/>
      <c r="BO516" s="53"/>
      <c r="BP516" s="30"/>
      <c r="BQ516" s="30">
        <v>4.0</v>
      </c>
      <c r="BR516" s="30">
        <f t="shared" si="4"/>
        <v>1</v>
      </c>
      <c r="BS516" s="70">
        <f t="shared" si="5"/>
        <v>0</v>
      </c>
      <c r="BT516" s="70">
        <v>1.0</v>
      </c>
    </row>
    <row r="517" ht="15.75" customHeight="1">
      <c r="A517" s="54" t="s">
        <v>741</v>
      </c>
      <c r="B517" s="56" t="s">
        <v>757</v>
      </c>
      <c r="C517" s="56" t="s">
        <v>627</v>
      </c>
      <c r="D517" s="56" t="s">
        <v>752</v>
      </c>
      <c r="E517" s="56" t="s">
        <v>754</v>
      </c>
      <c r="F517" s="56" t="s">
        <v>249</v>
      </c>
      <c r="G517" s="57" t="s">
        <v>250</v>
      </c>
      <c r="H517" s="68">
        <f t="shared" si="3"/>
        <v>0.25</v>
      </c>
      <c r="I517" s="62"/>
      <c r="J517" s="62" t="s">
        <v>617</v>
      </c>
      <c r="K517" s="71"/>
      <c r="L517" s="57" t="s">
        <v>115</v>
      </c>
      <c r="M517" s="61"/>
      <c r="N517" s="61"/>
      <c r="O517" s="62" t="s">
        <v>617</v>
      </c>
      <c r="P517" s="53"/>
      <c r="Q517" s="53"/>
      <c r="R517" s="53"/>
      <c r="S517" s="53"/>
      <c r="T517" s="53"/>
      <c r="U517" s="53"/>
      <c r="V517" s="53"/>
      <c r="W517" s="53" t="s">
        <v>879</v>
      </c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  <c r="BE517" s="53"/>
      <c r="BF517" s="53"/>
      <c r="BG517" s="53"/>
      <c r="BH517" s="53"/>
      <c r="BI517" s="53"/>
      <c r="BJ517" s="53"/>
      <c r="BK517" s="53"/>
      <c r="BL517" s="53"/>
      <c r="BM517" s="53"/>
      <c r="BN517" s="53"/>
      <c r="BO517" s="53"/>
      <c r="BP517" s="30"/>
      <c r="BQ517" s="30">
        <v>4.0</v>
      </c>
      <c r="BR517" s="30">
        <f t="shared" si="4"/>
        <v>1</v>
      </c>
      <c r="BS517" s="70">
        <f t="shared" si="5"/>
        <v>0</v>
      </c>
      <c r="BT517" s="70">
        <v>1.0</v>
      </c>
    </row>
    <row r="518" ht="15.75" customHeight="1">
      <c r="A518" s="54" t="s">
        <v>741</v>
      </c>
      <c r="B518" s="56" t="s">
        <v>757</v>
      </c>
      <c r="C518" s="56" t="s">
        <v>627</v>
      </c>
      <c r="D518" s="56" t="s">
        <v>752</v>
      </c>
      <c r="E518" s="56" t="s">
        <v>755</v>
      </c>
      <c r="F518" s="56" t="s">
        <v>249</v>
      </c>
      <c r="G518" s="57" t="s">
        <v>250</v>
      </c>
      <c r="H518" s="68">
        <f t="shared" si="3"/>
        <v>0.25</v>
      </c>
      <c r="I518" s="62"/>
      <c r="J518" s="62" t="s">
        <v>617</v>
      </c>
      <c r="K518" s="71"/>
      <c r="L518" s="57" t="s">
        <v>115</v>
      </c>
      <c r="M518" s="61"/>
      <c r="N518" s="61"/>
      <c r="O518" s="62" t="s">
        <v>617</v>
      </c>
      <c r="P518" s="53"/>
      <c r="Q518" s="53"/>
      <c r="R518" s="53"/>
      <c r="S518" s="53"/>
      <c r="T518" s="53"/>
      <c r="U518" s="53"/>
      <c r="V518" s="53"/>
      <c r="W518" s="53" t="s">
        <v>879</v>
      </c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  <c r="BE518" s="53"/>
      <c r="BF518" s="53"/>
      <c r="BG518" s="53"/>
      <c r="BH518" s="53"/>
      <c r="BI518" s="53"/>
      <c r="BJ518" s="53"/>
      <c r="BK518" s="53"/>
      <c r="BL518" s="53"/>
      <c r="BM518" s="53"/>
      <c r="BN518" s="53"/>
      <c r="BO518" s="53"/>
      <c r="BP518" s="30"/>
      <c r="BQ518" s="30">
        <v>4.0</v>
      </c>
      <c r="BR518" s="30">
        <f t="shared" si="4"/>
        <v>1</v>
      </c>
      <c r="BS518" s="70">
        <f t="shared" si="5"/>
        <v>0</v>
      </c>
      <c r="BT518" s="70">
        <v>1.0</v>
      </c>
    </row>
    <row r="519" ht="15.75" customHeight="1">
      <c r="A519" s="54" t="s">
        <v>741</v>
      </c>
      <c r="B519" s="56" t="s">
        <v>758</v>
      </c>
      <c r="C519" s="56" t="s">
        <v>640</v>
      </c>
      <c r="D519" s="56" t="s">
        <v>752</v>
      </c>
      <c r="E519" s="56" t="s">
        <v>753</v>
      </c>
      <c r="F519" s="56" t="s">
        <v>249</v>
      </c>
      <c r="G519" s="57" t="s">
        <v>250</v>
      </c>
      <c r="H519" s="68">
        <f t="shared" si="3"/>
        <v>0</v>
      </c>
      <c r="I519" s="62"/>
      <c r="J519" s="62" t="s">
        <v>617</v>
      </c>
      <c r="K519" s="71"/>
      <c r="L519" s="57" t="s">
        <v>115</v>
      </c>
      <c r="M519" s="61"/>
      <c r="N519" s="61"/>
      <c r="O519" s="62" t="s">
        <v>617</v>
      </c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53"/>
      <c r="BG519" s="53"/>
      <c r="BH519" s="53"/>
      <c r="BI519" s="53"/>
      <c r="BJ519" s="53"/>
      <c r="BK519" s="53"/>
      <c r="BL519" s="53"/>
      <c r="BM519" s="53"/>
      <c r="BN519" s="53"/>
      <c r="BO519" s="53"/>
      <c r="BP519" s="30"/>
      <c r="BQ519" s="30">
        <v>4.0</v>
      </c>
      <c r="BR519" s="30">
        <f t="shared" si="4"/>
        <v>0</v>
      </c>
      <c r="BS519" s="70">
        <f t="shared" si="5"/>
        <v>0</v>
      </c>
      <c r="BT519" s="70">
        <v>1.0</v>
      </c>
    </row>
    <row r="520" ht="15.75" customHeight="1">
      <c r="A520" s="54" t="s">
        <v>741</v>
      </c>
      <c r="B520" s="56" t="s">
        <v>758</v>
      </c>
      <c r="C520" s="56" t="s">
        <v>640</v>
      </c>
      <c r="D520" s="56" t="s">
        <v>752</v>
      </c>
      <c r="E520" s="56" t="s">
        <v>754</v>
      </c>
      <c r="F520" s="56" t="s">
        <v>249</v>
      </c>
      <c r="G520" s="57" t="s">
        <v>250</v>
      </c>
      <c r="H520" s="68">
        <f t="shared" si="3"/>
        <v>0</v>
      </c>
      <c r="I520" s="62"/>
      <c r="J520" s="62" t="s">
        <v>617</v>
      </c>
      <c r="K520" s="71"/>
      <c r="L520" s="57" t="s">
        <v>115</v>
      </c>
      <c r="M520" s="61"/>
      <c r="N520" s="61"/>
      <c r="O520" s="62" t="s">
        <v>617</v>
      </c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53"/>
      <c r="BG520" s="53"/>
      <c r="BH520" s="53"/>
      <c r="BI520" s="53"/>
      <c r="BJ520" s="53"/>
      <c r="BK520" s="53"/>
      <c r="BL520" s="53"/>
      <c r="BM520" s="53"/>
      <c r="BN520" s="53"/>
      <c r="BO520" s="53"/>
      <c r="BP520" s="30"/>
      <c r="BQ520" s="30">
        <v>4.0</v>
      </c>
      <c r="BR520" s="30">
        <f t="shared" si="4"/>
        <v>0</v>
      </c>
      <c r="BS520" s="70">
        <f t="shared" si="5"/>
        <v>0</v>
      </c>
      <c r="BT520" s="70">
        <v>1.0</v>
      </c>
    </row>
    <row r="521" ht="15.75" customHeight="1">
      <c r="A521" s="54" t="s">
        <v>741</v>
      </c>
      <c r="B521" s="56" t="s">
        <v>758</v>
      </c>
      <c r="C521" s="56" t="s">
        <v>640</v>
      </c>
      <c r="D521" s="56" t="s">
        <v>752</v>
      </c>
      <c r="E521" s="56" t="s">
        <v>755</v>
      </c>
      <c r="F521" s="56" t="s">
        <v>249</v>
      </c>
      <c r="G521" s="57" t="s">
        <v>250</v>
      </c>
      <c r="H521" s="68">
        <f t="shared" si="3"/>
        <v>0</v>
      </c>
      <c r="I521" s="62"/>
      <c r="J521" s="62" t="s">
        <v>617</v>
      </c>
      <c r="K521" s="71"/>
      <c r="L521" s="57" t="s">
        <v>115</v>
      </c>
      <c r="M521" s="61"/>
      <c r="N521" s="61"/>
      <c r="O521" s="62" t="s">
        <v>617</v>
      </c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53"/>
      <c r="BG521" s="53"/>
      <c r="BH521" s="53"/>
      <c r="BI521" s="53"/>
      <c r="BJ521" s="53"/>
      <c r="BK521" s="53"/>
      <c r="BL521" s="53"/>
      <c r="BM521" s="53"/>
      <c r="BN521" s="53"/>
      <c r="BO521" s="53"/>
      <c r="BP521" s="30"/>
      <c r="BQ521" s="30">
        <v>4.0</v>
      </c>
      <c r="BR521" s="30">
        <f t="shared" si="4"/>
        <v>0</v>
      </c>
      <c r="BS521" s="70">
        <f t="shared" si="5"/>
        <v>0</v>
      </c>
      <c r="BT521" s="70">
        <v>1.0</v>
      </c>
    </row>
    <row r="522" ht="15.75" customHeight="1">
      <c r="A522" s="54" t="s">
        <v>741</v>
      </c>
      <c r="B522" s="56" t="s">
        <v>759</v>
      </c>
      <c r="C522" s="56" t="s">
        <v>645</v>
      </c>
      <c r="D522" s="56" t="s">
        <v>752</v>
      </c>
      <c r="E522" s="56" t="s">
        <v>753</v>
      </c>
      <c r="F522" s="56" t="s">
        <v>249</v>
      </c>
      <c r="G522" s="57" t="s">
        <v>250</v>
      </c>
      <c r="H522" s="68">
        <f t="shared" si="3"/>
        <v>0.25</v>
      </c>
      <c r="I522" s="62"/>
      <c r="J522" s="62" t="s">
        <v>617</v>
      </c>
      <c r="K522" s="71"/>
      <c r="L522" s="57" t="s">
        <v>115</v>
      </c>
      <c r="M522" s="61"/>
      <c r="N522" s="61"/>
      <c r="O522" s="62" t="s">
        <v>617</v>
      </c>
      <c r="P522" s="53"/>
      <c r="Q522" s="53"/>
      <c r="R522" s="53"/>
      <c r="S522" s="53"/>
      <c r="T522" s="53"/>
      <c r="U522" s="53"/>
      <c r="V522" s="53"/>
      <c r="W522" s="53"/>
      <c r="X522" s="53" t="s">
        <v>880</v>
      </c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53"/>
      <c r="BG522" s="53"/>
      <c r="BH522" s="53"/>
      <c r="BI522" s="53"/>
      <c r="BJ522" s="53"/>
      <c r="BK522" s="53"/>
      <c r="BL522" s="53"/>
      <c r="BM522" s="53"/>
      <c r="BN522" s="53"/>
      <c r="BO522" s="53"/>
      <c r="BP522" s="30"/>
      <c r="BQ522" s="30">
        <v>4.0</v>
      </c>
      <c r="BR522" s="30">
        <f t="shared" si="4"/>
        <v>1</v>
      </c>
      <c r="BS522" s="70">
        <f t="shared" si="5"/>
        <v>0</v>
      </c>
      <c r="BT522" s="70">
        <v>1.0</v>
      </c>
    </row>
    <row r="523" ht="15.75" customHeight="1">
      <c r="A523" s="54" t="s">
        <v>741</v>
      </c>
      <c r="B523" s="56" t="s">
        <v>759</v>
      </c>
      <c r="C523" s="56" t="s">
        <v>645</v>
      </c>
      <c r="D523" s="56" t="s">
        <v>752</v>
      </c>
      <c r="E523" s="56" t="s">
        <v>754</v>
      </c>
      <c r="F523" s="56" t="s">
        <v>249</v>
      </c>
      <c r="G523" s="57" t="s">
        <v>250</v>
      </c>
      <c r="H523" s="68">
        <f t="shared" si="3"/>
        <v>0.25</v>
      </c>
      <c r="I523" s="62"/>
      <c r="J523" s="62" t="s">
        <v>617</v>
      </c>
      <c r="K523" s="71"/>
      <c r="L523" s="57" t="s">
        <v>115</v>
      </c>
      <c r="M523" s="61"/>
      <c r="N523" s="61"/>
      <c r="O523" s="62" t="s">
        <v>617</v>
      </c>
      <c r="P523" s="53"/>
      <c r="Q523" s="53"/>
      <c r="R523" s="53"/>
      <c r="S523" s="53"/>
      <c r="T523" s="53"/>
      <c r="U523" s="53"/>
      <c r="V523" s="53"/>
      <c r="W523" s="53"/>
      <c r="X523" s="53" t="s">
        <v>880</v>
      </c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53"/>
      <c r="BG523" s="53"/>
      <c r="BH523" s="53"/>
      <c r="BI523" s="53"/>
      <c r="BJ523" s="53"/>
      <c r="BK523" s="53"/>
      <c r="BL523" s="53"/>
      <c r="BM523" s="53"/>
      <c r="BN523" s="53"/>
      <c r="BO523" s="53"/>
      <c r="BP523" s="30"/>
      <c r="BQ523" s="30">
        <v>4.0</v>
      </c>
      <c r="BR523" s="30">
        <f t="shared" si="4"/>
        <v>1</v>
      </c>
      <c r="BS523" s="70">
        <f t="shared" si="5"/>
        <v>0</v>
      </c>
      <c r="BT523" s="70">
        <v>1.0</v>
      </c>
    </row>
    <row r="524" ht="15.75" customHeight="1">
      <c r="A524" s="54" t="s">
        <v>741</v>
      </c>
      <c r="B524" s="56" t="s">
        <v>759</v>
      </c>
      <c r="C524" s="56" t="s">
        <v>645</v>
      </c>
      <c r="D524" s="56" t="s">
        <v>752</v>
      </c>
      <c r="E524" s="56" t="s">
        <v>755</v>
      </c>
      <c r="F524" s="56" t="s">
        <v>249</v>
      </c>
      <c r="G524" s="57" t="s">
        <v>250</v>
      </c>
      <c r="H524" s="68">
        <f t="shared" si="3"/>
        <v>0.25</v>
      </c>
      <c r="I524" s="62"/>
      <c r="J524" s="62" t="s">
        <v>617</v>
      </c>
      <c r="K524" s="71"/>
      <c r="L524" s="57" t="s">
        <v>115</v>
      </c>
      <c r="M524" s="61"/>
      <c r="N524" s="61"/>
      <c r="O524" s="62" t="s">
        <v>617</v>
      </c>
      <c r="P524" s="53"/>
      <c r="Q524" s="53"/>
      <c r="R524" s="53"/>
      <c r="S524" s="53"/>
      <c r="T524" s="53"/>
      <c r="U524" s="53"/>
      <c r="V524" s="53"/>
      <c r="W524" s="53"/>
      <c r="X524" s="53" t="s">
        <v>880</v>
      </c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53"/>
      <c r="BG524" s="53"/>
      <c r="BH524" s="53"/>
      <c r="BI524" s="53"/>
      <c r="BJ524" s="53"/>
      <c r="BK524" s="53"/>
      <c r="BL524" s="53"/>
      <c r="BM524" s="53"/>
      <c r="BN524" s="53"/>
      <c r="BO524" s="53"/>
      <c r="BP524" s="30"/>
      <c r="BQ524" s="30">
        <v>4.0</v>
      </c>
      <c r="BR524" s="30">
        <f t="shared" si="4"/>
        <v>1</v>
      </c>
      <c r="BS524" s="70">
        <f t="shared" si="5"/>
        <v>0</v>
      </c>
      <c r="BT524" s="70">
        <v>1.0</v>
      </c>
    </row>
    <row r="525" ht="15.75" customHeight="1">
      <c r="A525" s="54" t="s">
        <v>741</v>
      </c>
      <c r="B525" s="56" t="s">
        <v>760</v>
      </c>
      <c r="C525" s="56" t="s">
        <v>606</v>
      </c>
      <c r="D525" s="56" t="s">
        <v>752</v>
      </c>
      <c r="E525" s="56" t="s">
        <v>753</v>
      </c>
      <c r="F525" s="56" t="s">
        <v>249</v>
      </c>
      <c r="G525" s="57" t="s">
        <v>250</v>
      </c>
      <c r="H525" s="68">
        <f t="shared" si="3"/>
        <v>0</v>
      </c>
      <c r="I525" s="62"/>
      <c r="J525" s="62" t="s">
        <v>617</v>
      </c>
      <c r="K525" s="71"/>
      <c r="L525" s="57" t="s">
        <v>115</v>
      </c>
      <c r="M525" s="61"/>
      <c r="N525" s="61"/>
      <c r="O525" s="62" t="s">
        <v>617</v>
      </c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53"/>
      <c r="BG525" s="53"/>
      <c r="BH525" s="53"/>
      <c r="BI525" s="53"/>
      <c r="BJ525" s="53"/>
      <c r="BK525" s="53"/>
      <c r="BL525" s="53"/>
      <c r="BM525" s="53"/>
      <c r="BN525" s="53"/>
      <c r="BO525" s="30"/>
      <c r="BP525" s="53"/>
      <c r="BQ525" s="30">
        <v>4.0</v>
      </c>
      <c r="BR525" s="30">
        <f t="shared" si="4"/>
        <v>0</v>
      </c>
      <c r="BS525" s="70">
        <f t="shared" si="5"/>
        <v>0</v>
      </c>
      <c r="BT525" s="70">
        <v>1.0</v>
      </c>
    </row>
    <row r="526" ht="15.75" customHeight="1">
      <c r="A526" s="54" t="s">
        <v>741</v>
      </c>
      <c r="B526" s="56" t="s">
        <v>760</v>
      </c>
      <c r="C526" s="56" t="s">
        <v>606</v>
      </c>
      <c r="D526" s="56" t="s">
        <v>752</v>
      </c>
      <c r="E526" s="56" t="s">
        <v>754</v>
      </c>
      <c r="F526" s="56" t="s">
        <v>249</v>
      </c>
      <c r="G526" s="57" t="s">
        <v>250</v>
      </c>
      <c r="H526" s="68">
        <f t="shared" si="3"/>
        <v>0</v>
      </c>
      <c r="I526" s="62"/>
      <c r="J526" s="62" t="s">
        <v>617</v>
      </c>
      <c r="K526" s="71"/>
      <c r="L526" s="57" t="s">
        <v>115</v>
      </c>
      <c r="M526" s="61"/>
      <c r="N526" s="61"/>
      <c r="O526" s="62" t="s">
        <v>617</v>
      </c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53"/>
      <c r="BG526" s="53"/>
      <c r="BH526" s="53"/>
      <c r="BI526" s="53"/>
      <c r="BJ526" s="53"/>
      <c r="BK526" s="53"/>
      <c r="BL526" s="53"/>
      <c r="BM526" s="53"/>
      <c r="BN526" s="53"/>
      <c r="BO526" s="53"/>
      <c r="BP526" s="53"/>
      <c r="BQ526" s="30">
        <v>4.0</v>
      </c>
      <c r="BR526" s="30">
        <f t="shared" si="4"/>
        <v>0</v>
      </c>
      <c r="BS526" s="70">
        <f t="shared" si="5"/>
        <v>0</v>
      </c>
      <c r="BT526" s="70">
        <v>1.0</v>
      </c>
    </row>
    <row r="527" ht="15.75" customHeight="1">
      <c r="A527" s="54" t="s">
        <v>741</v>
      </c>
      <c r="B527" s="56" t="s">
        <v>760</v>
      </c>
      <c r="C527" s="56" t="s">
        <v>606</v>
      </c>
      <c r="D527" s="56" t="s">
        <v>752</v>
      </c>
      <c r="E527" s="56" t="s">
        <v>755</v>
      </c>
      <c r="F527" s="56" t="s">
        <v>249</v>
      </c>
      <c r="G527" s="57" t="s">
        <v>250</v>
      </c>
      <c r="H527" s="68">
        <f t="shared" si="3"/>
        <v>0</v>
      </c>
      <c r="I527" s="62"/>
      <c r="J527" s="62" t="s">
        <v>617</v>
      </c>
      <c r="K527" s="71"/>
      <c r="L527" s="57" t="s">
        <v>115</v>
      </c>
      <c r="M527" s="61"/>
      <c r="N527" s="61"/>
      <c r="O527" s="62" t="s">
        <v>617</v>
      </c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53"/>
      <c r="BG527" s="53"/>
      <c r="BH527" s="53"/>
      <c r="BI527" s="53"/>
      <c r="BJ527" s="53"/>
      <c r="BK527" s="53"/>
      <c r="BL527" s="53"/>
      <c r="BM527" s="53"/>
      <c r="BN527" s="53"/>
      <c r="BO527" s="30"/>
      <c r="BP527" s="53"/>
      <c r="BQ527" s="30">
        <v>4.0</v>
      </c>
      <c r="BR527" s="30">
        <f t="shared" si="4"/>
        <v>0</v>
      </c>
      <c r="BS527" s="70">
        <f t="shared" si="5"/>
        <v>0</v>
      </c>
      <c r="BT527" s="70">
        <v>1.0</v>
      </c>
    </row>
    <row r="528" ht="15.75" customHeight="1">
      <c r="A528" s="54" t="s">
        <v>761</v>
      </c>
      <c r="B528" s="56" t="s">
        <v>762</v>
      </c>
      <c r="C528" s="56" t="s">
        <v>763</v>
      </c>
      <c r="D528" s="56" t="s">
        <v>764</v>
      </c>
      <c r="E528" s="56" t="s">
        <v>195</v>
      </c>
      <c r="F528" s="56" t="s">
        <v>246</v>
      </c>
      <c r="G528" s="57" t="s">
        <v>154</v>
      </c>
      <c r="H528" s="68">
        <f t="shared" si="3"/>
        <v>0.5</v>
      </c>
      <c r="I528" s="62"/>
      <c r="J528" s="62"/>
      <c r="K528" s="71"/>
      <c r="L528" s="57" t="s">
        <v>115</v>
      </c>
      <c r="M528" s="61"/>
      <c r="N528" s="61" t="s">
        <v>322</v>
      </c>
      <c r="O528" s="62"/>
      <c r="P528" s="53"/>
      <c r="Q528" s="53"/>
      <c r="R528" s="53" t="s">
        <v>323</v>
      </c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53"/>
      <c r="BG528" s="53"/>
      <c r="BH528" s="53"/>
      <c r="BI528" s="53"/>
      <c r="BJ528" s="53"/>
      <c r="BK528" s="53"/>
      <c r="BL528" s="53"/>
      <c r="BM528" s="53"/>
      <c r="BN528" s="53"/>
      <c r="BO528" s="30"/>
      <c r="BP528" s="30"/>
      <c r="BQ528" s="30">
        <v>2.0</v>
      </c>
      <c r="BR528" s="30">
        <f t="shared" si="4"/>
        <v>1</v>
      </c>
      <c r="BS528" s="70">
        <f t="shared" si="5"/>
        <v>0</v>
      </c>
      <c r="BT528" s="70">
        <v>1.0</v>
      </c>
    </row>
    <row r="529" ht="15.75" customHeight="1">
      <c r="A529" s="54" t="s">
        <v>761</v>
      </c>
      <c r="B529" s="56" t="s">
        <v>762</v>
      </c>
      <c r="C529" s="56" t="s">
        <v>763</v>
      </c>
      <c r="D529" s="56" t="s">
        <v>764</v>
      </c>
      <c r="E529" s="56" t="s">
        <v>196</v>
      </c>
      <c r="F529" s="56" t="s">
        <v>249</v>
      </c>
      <c r="G529" s="57" t="s">
        <v>250</v>
      </c>
      <c r="H529" s="68">
        <f t="shared" si="3"/>
        <v>0.25</v>
      </c>
      <c r="I529" s="62"/>
      <c r="J529" s="62" t="s">
        <v>201</v>
      </c>
      <c r="K529" s="71"/>
      <c r="L529" s="57" t="s">
        <v>115</v>
      </c>
      <c r="M529" s="61"/>
      <c r="N529" s="61" t="s">
        <v>324</v>
      </c>
      <c r="O529" s="62" t="s">
        <v>201</v>
      </c>
      <c r="P529" s="53"/>
      <c r="Q529" s="53"/>
      <c r="R529" s="53"/>
      <c r="S529" s="53" t="s">
        <v>326</v>
      </c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53"/>
      <c r="BG529" s="53"/>
      <c r="BH529" s="53"/>
      <c r="BI529" s="53"/>
      <c r="BJ529" s="53"/>
      <c r="BK529" s="53"/>
      <c r="BL529" s="53"/>
      <c r="BM529" s="53"/>
      <c r="BN529" s="53"/>
      <c r="BO529" s="30"/>
      <c r="BP529" s="30"/>
      <c r="BQ529" s="30">
        <v>4.0</v>
      </c>
      <c r="BR529" s="30">
        <f t="shared" si="4"/>
        <v>1</v>
      </c>
      <c r="BS529" s="70">
        <f t="shared" si="5"/>
        <v>0</v>
      </c>
      <c r="BT529" s="70">
        <v>3.0</v>
      </c>
    </row>
    <row r="530" ht="15.75" customHeight="1">
      <c r="A530" s="54" t="s">
        <v>761</v>
      </c>
      <c r="B530" s="56" t="s">
        <v>762</v>
      </c>
      <c r="C530" s="56" t="s">
        <v>763</v>
      </c>
      <c r="D530" s="56" t="s">
        <v>764</v>
      </c>
      <c r="E530" s="56" t="s">
        <v>191</v>
      </c>
      <c r="F530" s="56" t="s">
        <v>313</v>
      </c>
      <c r="G530" s="57" t="s">
        <v>192</v>
      </c>
      <c r="H530" s="68">
        <f t="shared" si="3"/>
        <v>0</v>
      </c>
      <c r="I530" s="62"/>
      <c r="J530" s="62"/>
      <c r="K530" s="71"/>
      <c r="L530" s="57" t="s">
        <v>130</v>
      </c>
      <c r="M530" s="61"/>
      <c r="N530" s="61"/>
      <c r="O530" s="62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53"/>
      <c r="BG530" s="53"/>
      <c r="BH530" s="53"/>
      <c r="BI530" s="53"/>
      <c r="BJ530" s="53"/>
      <c r="BK530" s="53"/>
      <c r="BL530" s="53"/>
      <c r="BM530" s="53"/>
      <c r="BN530" s="53"/>
      <c r="BO530" s="53"/>
      <c r="BP530" s="53"/>
      <c r="BQ530" s="30">
        <v>3.0</v>
      </c>
      <c r="BR530" s="30">
        <f t="shared" si="4"/>
        <v>0</v>
      </c>
      <c r="BS530" s="70">
        <f t="shared" si="5"/>
        <v>0</v>
      </c>
      <c r="BT530" s="70">
        <v>1.0</v>
      </c>
    </row>
    <row r="531" ht="15.75" customHeight="1">
      <c r="A531" s="54" t="s">
        <v>761</v>
      </c>
      <c r="B531" s="56" t="s">
        <v>762</v>
      </c>
      <c r="C531" s="56" t="s">
        <v>763</v>
      </c>
      <c r="D531" s="56" t="s">
        <v>764</v>
      </c>
      <c r="E531" s="56" t="s">
        <v>194</v>
      </c>
      <c r="F531" s="56" t="s">
        <v>321</v>
      </c>
      <c r="G531" s="57" t="s">
        <v>192</v>
      </c>
      <c r="H531" s="68">
        <f t="shared" si="3"/>
        <v>0</v>
      </c>
      <c r="I531" s="62"/>
      <c r="J531" s="62"/>
      <c r="K531" s="71"/>
      <c r="L531" s="57" t="s">
        <v>130</v>
      </c>
      <c r="M531" s="61"/>
      <c r="N531" s="61"/>
      <c r="O531" s="62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53"/>
      <c r="BG531" s="53"/>
      <c r="BH531" s="53"/>
      <c r="BI531" s="53"/>
      <c r="BJ531" s="53"/>
      <c r="BK531" s="53"/>
      <c r="BL531" s="53"/>
      <c r="BM531" s="53"/>
      <c r="BN531" s="53"/>
      <c r="BO531" s="53"/>
      <c r="BP531" s="53"/>
      <c r="BQ531" s="30">
        <v>3.0</v>
      </c>
      <c r="BR531" s="30">
        <f t="shared" si="4"/>
        <v>0</v>
      </c>
      <c r="BS531" s="70">
        <f t="shared" si="5"/>
        <v>0</v>
      </c>
      <c r="BT531" s="70">
        <v>1.0</v>
      </c>
    </row>
    <row r="532" ht="15.75" customHeight="1">
      <c r="A532" s="54" t="s">
        <v>761</v>
      </c>
      <c r="B532" s="56" t="s">
        <v>765</v>
      </c>
      <c r="C532" s="56" t="s">
        <v>766</v>
      </c>
      <c r="D532" s="56" t="s">
        <v>767</v>
      </c>
      <c r="E532" s="56" t="s">
        <v>768</v>
      </c>
      <c r="F532" s="56" t="s">
        <v>249</v>
      </c>
      <c r="G532" s="57" t="s">
        <v>250</v>
      </c>
      <c r="H532" s="68">
        <f t="shared" si="3"/>
        <v>0.25</v>
      </c>
      <c r="I532" s="62"/>
      <c r="J532" s="62" t="s">
        <v>770</v>
      </c>
      <c r="K532" s="71"/>
      <c r="L532" s="57" t="s">
        <v>115</v>
      </c>
      <c r="M532" s="61"/>
      <c r="N532" s="61" t="s">
        <v>881</v>
      </c>
      <c r="O532" s="62" t="s">
        <v>770</v>
      </c>
      <c r="P532" s="53"/>
      <c r="Q532" s="53"/>
      <c r="R532" s="53"/>
      <c r="S532" s="53" t="s">
        <v>326</v>
      </c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53"/>
      <c r="BG532" s="53"/>
      <c r="BH532" s="53"/>
      <c r="BI532" s="53"/>
      <c r="BJ532" s="53"/>
      <c r="BK532" s="53"/>
      <c r="BL532" s="53"/>
      <c r="BM532" s="53"/>
      <c r="BN532" s="53"/>
      <c r="BO532" s="30"/>
      <c r="BP532" s="30"/>
      <c r="BQ532" s="30">
        <v>4.0</v>
      </c>
      <c r="BR532" s="30">
        <f t="shared" si="4"/>
        <v>1</v>
      </c>
      <c r="BS532" s="70">
        <f t="shared" si="5"/>
        <v>0</v>
      </c>
      <c r="BT532" s="70">
        <v>1.0</v>
      </c>
    </row>
    <row r="533" ht="15.75" customHeight="1">
      <c r="A533" s="54" t="s">
        <v>761</v>
      </c>
      <c r="B533" s="56" t="s">
        <v>765</v>
      </c>
      <c r="C533" s="56" t="s">
        <v>766</v>
      </c>
      <c r="D533" s="56" t="s">
        <v>767</v>
      </c>
      <c r="E533" s="56" t="s">
        <v>771</v>
      </c>
      <c r="F533" s="56" t="s">
        <v>249</v>
      </c>
      <c r="G533" s="57" t="s">
        <v>250</v>
      </c>
      <c r="H533" s="68">
        <f t="shared" si="3"/>
        <v>0.25</v>
      </c>
      <c r="I533" s="62"/>
      <c r="J533" s="62" t="s">
        <v>772</v>
      </c>
      <c r="K533" s="71"/>
      <c r="L533" s="57" t="s">
        <v>115</v>
      </c>
      <c r="M533" s="61"/>
      <c r="N533" s="61" t="s">
        <v>881</v>
      </c>
      <c r="O533" s="62" t="s">
        <v>772</v>
      </c>
      <c r="P533" s="53"/>
      <c r="Q533" s="53"/>
      <c r="R533" s="53"/>
      <c r="S533" s="53" t="s">
        <v>326</v>
      </c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53"/>
      <c r="BG533" s="53"/>
      <c r="BH533" s="53"/>
      <c r="BI533" s="53"/>
      <c r="BJ533" s="53"/>
      <c r="BK533" s="53"/>
      <c r="BL533" s="53"/>
      <c r="BM533" s="53"/>
      <c r="BN533" s="53"/>
      <c r="BO533" s="30"/>
      <c r="BP533" s="30"/>
      <c r="BQ533" s="30">
        <v>4.0</v>
      </c>
      <c r="BR533" s="30">
        <f t="shared" si="4"/>
        <v>1</v>
      </c>
      <c r="BS533" s="70">
        <f t="shared" si="5"/>
        <v>0</v>
      </c>
      <c r="BT533" s="70">
        <v>1.0</v>
      </c>
    </row>
    <row r="534" ht="15.75" customHeight="1">
      <c r="A534" s="54" t="s">
        <v>761</v>
      </c>
      <c r="B534" s="56" t="s">
        <v>765</v>
      </c>
      <c r="C534" s="56" t="s">
        <v>766</v>
      </c>
      <c r="D534" s="56" t="s">
        <v>767</v>
      </c>
      <c r="E534" s="56" t="s">
        <v>773</v>
      </c>
      <c r="F534" s="56" t="s">
        <v>246</v>
      </c>
      <c r="G534" s="57" t="s">
        <v>154</v>
      </c>
      <c r="H534" s="68">
        <f t="shared" si="3"/>
        <v>1</v>
      </c>
      <c r="I534" s="62"/>
      <c r="J534" s="62"/>
      <c r="K534" s="71"/>
      <c r="L534" s="57" t="s">
        <v>115</v>
      </c>
      <c r="M534" s="61"/>
      <c r="N534" s="61" t="s">
        <v>882</v>
      </c>
      <c r="O534" s="62"/>
      <c r="P534" s="53"/>
      <c r="Q534" s="53" t="s">
        <v>883</v>
      </c>
      <c r="R534" s="53"/>
      <c r="S534" s="53"/>
      <c r="T534" s="53" t="s">
        <v>884</v>
      </c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53"/>
      <c r="BG534" s="53"/>
      <c r="BH534" s="53"/>
      <c r="BI534" s="53"/>
      <c r="BJ534" s="53"/>
      <c r="BK534" s="53"/>
      <c r="BL534" s="53"/>
      <c r="BM534" s="53"/>
      <c r="BN534" s="53"/>
      <c r="BO534" s="53"/>
      <c r="BP534" s="53"/>
      <c r="BQ534" s="30">
        <v>2.0</v>
      </c>
      <c r="BR534" s="30">
        <f t="shared" si="4"/>
        <v>2</v>
      </c>
      <c r="BS534" s="70">
        <f t="shared" si="5"/>
        <v>1</v>
      </c>
      <c r="BT534" s="70">
        <v>1.0</v>
      </c>
    </row>
    <row r="535" ht="15.75" customHeight="1">
      <c r="A535" s="54" t="s">
        <v>761</v>
      </c>
      <c r="B535" s="56" t="s">
        <v>765</v>
      </c>
      <c r="C535" s="56" t="s">
        <v>766</v>
      </c>
      <c r="D535" s="56" t="s">
        <v>767</v>
      </c>
      <c r="E535" s="56" t="s">
        <v>774</v>
      </c>
      <c r="F535" s="56" t="s">
        <v>246</v>
      </c>
      <c r="G535" s="57" t="s">
        <v>154</v>
      </c>
      <c r="H535" s="68">
        <f t="shared" si="3"/>
        <v>0</v>
      </c>
      <c r="I535" s="62"/>
      <c r="J535" s="62"/>
      <c r="K535" s="71"/>
      <c r="L535" s="57" t="s">
        <v>115</v>
      </c>
      <c r="M535" s="61"/>
      <c r="N535" s="61"/>
      <c r="O535" s="62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53"/>
      <c r="BG535" s="53"/>
      <c r="BH535" s="53"/>
      <c r="BI535" s="53"/>
      <c r="BJ535" s="53"/>
      <c r="BK535" s="53"/>
      <c r="BL535" s="53"/>
      <c r="BM535" s="53"/>
      <c r="BN535" s="53"/>
      <c r="BO535" s="53"/>
      <c r="BP535" s="30"/>
      <c r="BQ535" s="30">
        <v>2.0</v>
      </c>
      <c r="BR535" s="30">
        <f t="shared" si="4"/>
        <v>0</v>
      </c>
      <c r="BS535" s="70">
        <f t="shared" si="5"/>
        <v>0</v>
      </c>
      <c r="BT535" s="70">
        <v>1.0</v>
      </c>
    </row>
    <row r="536" ht="15.75" customHeight="1">
      <c r="A536" s="54" t="s">
        <v>761</v>
      </c>
      <c r="B536" s="56" t="s">
        <v>765</v>
      </c>
      <c r="C536" s="56" t="s">
        <v>766</v>
      </c>
      <c r="D536" s="56" t="s">
        <v>767</v>
      </c>
      <c r="E536" s="56" t="s">
        <v>775</v>
      </c>
      <c r="F536" s="56" t="s">
        <v>246</v>
      </c>
      <c r="G536" s="57" t="s">
        <v>154</v>
      </c>
      <c r="H536" s="68">
        <f t="shared" si="3"/>
        <v>0</v>
      </c>
      <c r="I536" s="62"/>
      <c r="J536" s="62"/>
      <c r="K536" s="71"/>
      <c r="L536" s="57" t="s">
        <v>115</v>
      </c>
      <c r="M536" s="61"/>
      <c r="N536" s="61"/>
      <c r="O536" s="62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53"/>
      <c r="BG536" s="53"/>
      <c r="BH536" s="53"/>
      <c r="BI536" s="53"/>
      <c r="BJ536" s="53"/>
      <c r="BK536" s="53"/>
      <c r="BL536" s="53"/>
      <c r="BM536" s="53"/>
      <c r="BN536" s="53"/>
      <c r="BO536" s="53"/>
      <c r="BP536" s="30"/>
      <c r="BQ536" s="30">
        <v>2.0</v>
      </c>
      <c r="BR536" s="30">
        <f t="shared" si="4"/>
        <v>0</v>
      </c>
      <c r="BS536" s="70">
        <f t="shared" si="5"/>
        <v>0</v>
      </c>
      <c r="BT536" s="70">
        <v>1.0</v>
      </c>
    </row>
    <row r="537" ht="15.75" customHeight="1">
      <c r="A537" s="54" t="s">
        <v>761</v>
      </c>
      <c r="B537" s="56" t="s">
        <v>765</v>
      </c>
      <c r="C537" s="56" t="s">
        <v>766</v>
      </c>
      <c r="D537" s="56" t="s">
        <v>776</v>
      </c>
      <c r="E537" s="56" t="s">
        <v>777</v>
      </c>
      <c r="F537" s="56" t="s">
        <v>15</v>
      </c>
      <c r="G537" s="57" t="s">
        <v>15</v>
      </c>
      <c r="H537" s="68">
        <f t="shared" si="3"/>
        <v>0.2115384615</v>
      </c>
      <c r="I537" s="62"/>
      <c r="J537" s="62"/>
      <c r="K537" s="71"/>
      <c r="L537" s="57" t="s">
        <v>115</v>
      </c>
      <c r="M537" s="61"/>
      <c r="N537" s="61"/>
      <c r="O537" s="62"/>
      <c r="P537" s="53" t="s">
        <v>131</v>
      </c>
      <c r="Q537" s="53" t="s">
        <v>131</v>
      </c>
      <c r="R537" s="53" t="s">
        <v>131</v>
      </c>
      <c r="S537" s="53" t="s">
        <v>131</v>
      </c>
      <c r="T537" s="53" t="s">
        <v>131</v>
      </c>
      <c r="U537" s="53" t="s">
        <v>131</v>
      </c>
      <c r="V537" s="53" t="s">
        <v>131</v>
      </c>
      <c r="W537" s="53" t="s">
        <v>131</v>
      </c>
      <c r="X537" s="53" t="s">
        <v>131</v>
      </c>
      <c r="Y537" s="53" t="s">
        <v>131</v>
      </c>
      <c r="Z537" s="53" t="s">
        <v>131</v>
      </c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53"/>
      <c r="BG537" s="53"/>
      <c r="BH537" s="53"/>
      <c r="BI537" s="53"/>
      <c r="BJ537" s="53"/>
      <c r="BK537" s="53"/>
      <c r="BL537" s="53"/>
      <c r="BM537" s="53"/>
      <c r="BN537" s="53"/>
      <c r="BO537" s="53"/>
      <c r="BP537" s="30"/>
      <c r="BQ537" s="30">
        <v>52.0</v>
      </c>
      <c r="BR537" s="30">
        <f t="shared" si="4"/>
        <v>11</v>
      </c>
      <c r="BS537" s="70">
        <f t="shared" si="5"/>
        <v>0</v>
      </c>
      <c r="BT537" s="70">
        <v>1.0</v>
      </c>
    </row>
    <row r="538" ht="15.75" customHeight="1">
      <c r="A538" s="54" t="s">
        <v>761</v>
      </c>
      <c r="B538" s="56" t="s">
        <v>765</v>
      </c>
      <c r="C538" s="56" t="s">
        <v>766</v>
      </c>
      <c r="D538" s="56" t="s">
        <v>776</v>
      </c>
      <c r="E538" s="56" t="s">
        <v>778</v>
      </c>
      <c r="F538" s="56" t="s">
        <v>15</v>
      </c>
      <c r="G538" s="57" t="s">
        <v>15</v>
      </c>
      <c r="H538" s="68">
        <f t="shared" si="3"/>
        <v>0.2115384615</v>
      </c>
      <c r="I538" s="62"/>
      <c r="J538" s="62"/>
      <c r="K538" s="71"/>
      <c r="L538" s="57" t="s">
        <v>130</v>
      </c>
      <c r="M538" s="61"/>
      <c r="N538" s="61"/>
      <c r="O538" s="62"/>
      <c r="P538" s="53" t="s">
        <v>131</v>
      </c>
      <c r="Q538" s="53" t="s">
        <v>131</v>
      </c>
      <c r="R538" s="53" t="s">
        <v>131</v>
      </c>
      <c r="S538" s="53" t="s">
        <v>131</v>
      </c>
      <c r="T538" s="53" t="s">
        <v>131</v>
      </c>
      <c r="U538" s="53" t="s">
        <v>131</v>
      </c>
      <c r="V538" s="53" t="s">
        <v>131</v>
      </c>
      <c r="W538" s="53" t="s">
        <v>131</v>
      </c>
      <c r="X538" s="53" t="s">
        <v>131</v>
      </c>
      <c r="Y538" s="53" t="s">
        <v>131</v>
      </c>
      <c r="Z538" s="53" t="s">
        <v>131</v>
      </c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53"/>
      <c r="BG538" s="53"/>
      <c r="BH538" s="53"/>
      <c r="BI538" s="53"/>
      <c r="BJ538" s="53"/>
      <c r="BK538" s="53"/>
      <c r="BL538" s="53"/>
      <c r="BM538" s="53"/>
      <c r="BN538" s="53"/>
      <c r="BO538" s="53"/>
      <c r="BP538" s="30"/>
      <c r="BQ538" s="30">
        <v>52.0</v>
      </c>
      <c r="BR538" s="30">
        <f t="shared" si="4"/>
        <v>11</v>
      </c>
      <c r="BS538" s="70">
        <f t="shared" si="5"/>
        <v>0</v>
      </c>
      <c r="BT538" s="70">
        <v>1.0</v>
      </c>
    </row>
    <row r="539" ht="15.75" customHeight="1">
      <c r="A539" s="54" t="s">
        <v>761</v>
      </c>
      <c r="B539" s="56" t="s">
        <v>779</v>
      </c>
      <c r="C539" s="56" t="s">
        <v>780</v>
      </c>
      <c r="D539" s="56" t="s">
        <v>781</v>
      </c>
      <c r="E539" s="56" t="s">
        <v>232</v>
      </c>
      <c r="F539" s="56" t="s">
        <v>249</v>
      </c>
      <c r="G539" s="57" t="s">
        <v>250</v>
      </c>
      <c r="H539" s="68">
        <f t="shared" si="3"/>
        <v>0.25</v>
      </c>
      <c r="I539" s="62"/>
      <c r="J539" s="62"/>
      <c r="K539" s="71"/>
      <c r="L539" s="57" t="s">
        <v>115</v>
      </c>
      <c r="M539" s="61"/>
      <c r="N539" s="61" t="s">
        <v>881</v>
      </c>
      <c r="O539" s="62" t="s">
        <v>782</v>
      </c>
      <c r="P539" s="83"/>
      <c r="Q539" s="53"/>
      <c r="R539" s="53"/>
      <c r="S539" s="53" t="s">
        <v>326</v>
      </c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3"/>
      <c r="BN539" s="53"/>
      <c r="BO539" s="30"/>
      <c r="BP539" s="53"/>
      <c r="BQ539" s="30">
        <v>4.0</v>
      </c>
      <c r="BR539" s="30">
        <f t="shared" si="4"/>
        <v>1</v>
      </c>
      <c r="BS539" s="70">
        <f t="shared" si="5"/>
        <v>0</v>
      </c>
      <c r="BT539" s="70">
        <v>1.0</v>
      </c>
    </row>
    <row r="540" ht="15.75" customHeight="1">
      <c r="A540" s="54" t="s">
        <v>761</v>
      </c>
      <c r="B540" s="56" t="s">
        <v>779</v>
      </c>
      <c r="C540" s="56" t="s">
        <v>780</v>
      </c>
      <c r="D540" s="56" t="s">
        <v>781</v>
      </c>
      <c r="E540" s="56" t="s">
        <v>783</v>
      </c>
      <c r="F540" s="56" t="s">
        <v>246</v>
      </c>
      <c r="G540" s="57" t="s">
        <v>154</v>
      </c>
      <c r="H540" s="68">
        <f t="shared" si="3"/>
        <v>0</v>
      </c>
      <c r="I540" s="62"/>
      <c r="J540" s="62"/>
      <c r="K540" s="71"/>
      <c r="L540" s="57" t="s">
        <v>115</v>
      </c>
      <c r="M540" s="61"/>
      <c r="N540" s="61"/>
      <c r="O540" s="62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53"/>
      <c r="BG540" s="53"/>
      <c r="BH540" s="53"/>
      <c r="BI540" s="53"/>
      <c r="BJ540" s="53"/>
      <c r="BK540" s="53"/>
      <c r="BL540" s="53"/>
      <c r="BM540" s="53"/>
      <c r="BN540" s="53"/>
      <c r="BO540" s="30"/>
      <c r="BP540" s="53"/>
      <c r="BQ540" s="30">
        <v>2.0</v>
      </c>
      <c r="BR540" s="30">
        <f t="shared" si="4"/>
        <v>0</v>
      </c>
      <c r="BS540" s="70">
        <f t="shared" si="5"/>
        <v>0</v>
      </c>
      <c r="BT540" s="70">
        <v>1.0</v>
      </c>
    </row>
    <row r="541" ht="15.75" customHeight="1">
      <c r="A541" s="54" t="s">
        <v>761</v>
      </c>
      <c r="B541" s="56" t="s">
        <v>779</v>
      </c>
      <c r="C541" s="56" t="s">
        <v>780</v>
      </c>
      <c r="D541" s="56" t="s">
        <v>781</v>
      </c>
      <c r="E541" s="56" t="s">
        <v>230</v>
      </c>
      <c r="F541" s="56" t="s">
        <v>246</v>
      </c>
      <c r="G541" s="57" t="s">
        <v>154</v>
      </c>
      <c r="H541" s="68">
        <f t="shared" si="3"/>
        <v>0</v>
      </c>
      <c r="I541" s="62" t="s">
        <v>146</v>
      </c>
      <c r="J541" s="62"/>
      <c r="K541" s="71"/>
      <c r="L541" s="57" t="s">
        <v>115</v>
      </c>
      <c r="M541" s="61"/>
      <c r="N541" s="61"/>
      <c r="O541" s="62"/>
      <c r="P541" s="8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53"/>
      <c r="BG541" s="53"/>
      <c r="BH541" s="53"/>
      <c r="BI541" s="53"/>
      <c r="BJ541" s="53"/>
      <c r="BK541" s="53"/>
      <c r="BL541" s="53"/>
      <c r="BM541" s="53"/>
      <c r="BN541" s="53"/>
      <c r="BO541" s="53"/>
      <c r="BP541" s="53"/>
      <c r="BQ541" s="30">
        <v>2.0</v>
      </c>
      <c r="BR541" s="30">
        <f t="shared" si="4"/>
        <v>0</v>
      </c>
      <c r="BS541" s="70">
        <f t="shared" si="5"/>
        <v>0</v>
      </c>
      <c r="BT541" s="70">
        <v>1.0</v>
      </c>
    </row>
    <row r="542" ht="15.75" customHeight="1">
      <c r="A542" s="54" t="s">
        <v>761</v>
      </c>
      <c r="B542" s="56" t="s">
        <v>784</v>
      </c>
      <c r="C542" s="56" t="s">
        <v>763</v>
      </c>
      <c r="D542" s="56" t="s">
        <v>785</v>
      </c>
      <c r="E542" s="56" t="s">
        <v>216</v>
      </c>
      <c r="F542" s="56" t="s">
        <v>168</v>
      </c>
      <c r="G542" s="57" t="s">
        <v>34</v>
      </c>
      <c r="H542" s="68">
        <f t="shared" si="3"/>
        <v>0</v>
      </c>
      <c r="I542" s="62" t="s">
        <v>146</v>
      </c>
      <c r="J542" s="62"/>
      <c r="K542" s="71"/>
      <c r="L542" s="57" t="s">
        <v>115</v>
      </c>
      <c r="M542" s="61"/>
      <c r="N542" s="61"/>
      <c r="O542" s="62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53"/>
      <c r="BG542" s="53"/>
      <c r="BH542" s="53"/>
      <c r="BI542" s="53"/>
      <c r="BJ542" s="53"/>
      <c r="BK542" s="53"/>
      <c r="BL542" s="53"/>
      <c r="BM542" s="53"/>
      <c r="BN542" s="53"/>
      <c r="BO542" s="30"/>
      <c r="BP542" s="30"/>
      <c r="BQ542" s="30">
        <v>1.0</v>
      </c>
      <c r="BR542" s="30">
        <f t="shared" si="4"/>
        <v>0</v>
      </c>
      <c r="BS542" s="70">
        <f t="shared" si="5"/>
        <v>0</v>
      </c>
      <c r="BT542" s="70">
        <v>1.0</v>
      </c>
    </row>
    <row r="543" ht="15.75" customHeight="1">
      <c r="A543" s="54" t="s">
        <v>761</v>
      </c>
      <c r="B543" s="56" t="s">
        <v>784</v>
      </c>
      <c r="C543" s="56" t="s">
        <v>763</v>
      </c>
      <c r="D543" s="56" t="s">
        <v>785</v>
      </c>
      <c r="E543" s="56" t="s">
        <v>786</v>
      </c>
      <c r="F543" s="56" t="s">
        <v>168</v>
      </c>
      <c r="G543" s="57" t="s">
        <v>34</v>
      </c>
      <c r="H543" s="68">
        <f t="shared" si="3"/>
        <v>0</v>
      </c>
      <c r="I543" s="62" t="s">
        <v>146</v>
      </c>
      <c r="J543" s="62"/>
      <c r="K543" s="71"/>
      <c r="L543" s="57" t="s">
        <v>115</v>
      </c>
      <c r="M543" s="61"/>
      <c r="N543" s="61"/>
      <c r="O543" s="62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53"/>
      <c r="BG543" s="53"/>
      <c r="BH543" s="53"/>
      <c r="BI543" s="53"/>
      <c r="BJ543" s="53"/>
      <c r="BK543" s="53"/>
      <c r="BL543" s="53"/>
      <c r="BM543" s="53"/>
      <c r="BN543" s="53"/>
      <c r="BO543" s="30"/>
      <c r="BP543" s="30"/>
      <c r="BQ543" s="30">
        <v>1.0</v>
      </c>
      <c r="BR543" s="30">
        <f t="shared" si="4"/>
        <v>0</v>
      </c>
      <c r="BS543" s="70">
        <f t="shared" si="5"/>
        <v>0</v>
      </c>
      <c r="BT543" s="70">
        <v>2.0</v>
      </c>
    </row>
    <row r="544" ht="15.75" customHeight="1">
      <c r="A544" s="54" t="s">
        <v>761</v>
      </c>
      <c r="B544" s="56" t="s">
        <v>784</v>
      </c>
      <c r="C544" s="56" t="s">
        <v>763</v>
      </c>
      <c r="D544" s="56" t="s">
        <v>787</v>
      </c>
      <c r="E544" s="56" t="s">
        <v>163</v>
      </c>
      <c r="F544" s="56" t="s">
        <v>168</v>
      </c>
      <c r="G544" s="57" t="s">
        <v>34</v>
      </c>
      <c r="H544" s="68">
        <f t="shared" si="3"/>
        <v>0</v>
      </c>
      <c r="I544" s="62" t="s">
        <v>146</v>
      </c>
      <c r="J544" s="62"/>
      <c r="K544" s="71"/>
      <c r="L544" s="57" t="s">
        <v>115</v>
      </c>
      <c r="M544" s="61"/>
      <c r="N544" s="61"/>
      <c r="O544" s="62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53"/>
      <c r="BG544" s="53"/>
      <c r="BH544" s="53"/>
      <c r="BI544" s="53"/>
      <c r="BJ544" s="53"/>
      <c r="BK544" s="53"/>
      <c r="BL544" s="53"/>
      <c r="BM544" s="53"/>
      <c r="BN544" s="53"/>
      <c r="BO544" s="30"/>
      <c r="BP544" s="30"/>
      <c r="BQ544" s="30">
        <v>1.0</v>
      </c>
      <c r="BR544" s="30">
        <f t="shared" si="4"/>
        <v>0</v>
      </c>
      <c r="BS544" s="70">
        <f t="shared" si="5"/>
        <v>0</v>
      </c>
      <c r="BT544" s="70">
        <v>1.0</v>
      </c>
    </row>
    <row r="545" ht="15.75" customHeight="1">
      <c r="A545" s="54" t="s">
        <v>761</v>
      </c>
      <c r="B545" s="56" t="s">
        <v>784</v>
      </c>
      <c r="C545" s="56" t="s">
        <v>763</v>
      </c>
      <c r="D545" s="56" t="s">
        <v>787</v>
      </c>
      <c r="E545" s="56" t="s">
        <v>788</v>
      </c>
      <c r="F545" s="56" t="s">
        <v>246</v>
      </c>
      <c r="G545" s="57" t="s">
        <v>154</v>
      </c>
      <c r="H545" s="68">
        <f t="shared" si="3"/>
        <v>0</v>
      </c>
      <c r="I545" s="62" t="s">
        <v>146</v>
      </c>
      <c r="J545" s="62"/>
      <c r="K545" s="71"/>
      <c r="L545" s="57" t="s">
        <v>115</v>
      </c>
      <c r="M545" s="61"/>
      <c r="N545" s="61"/>
      <c r="O545" s="62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53"/>
      <c r="BG545" s="53"/>
      <c r="BH545" s="53"/>
      <c r="BI545" s="53"/>
      <c r="BJ545" s="53"/>
      <c r="BK545" s="53"/>
      <c r="BL545" s="53"/>
      <c r="BM545" s="53"/>
      <c r="BN545" s="53"/>
      <c r="BO545" s="102"/>
      <c r="BP545" s="53"/>
      <c r="BQ545" s="30">
        <v>2.0</v>
      </c>
      <c r="BR545" s="30">
        <f t="shared" si="4"/>
        <v>0</v>
      </c>
      <c r="BS545" s="70">
        <f t="shared" si="5"/>
        <v>0</v>
      </c>
      <c r="BT545" s="70">
        <v>1.0</v>
      </c>
    </row>
    <row r="546" ht="15.75" customHeight="1">
      <c r="A546" s="54" t="s">
        <v>761</v>
      </c>
      <c r="B546" s="56" t="s">
        <v>784</v>
      </c>
      <c r="C546" s="56" t="s">
        <v>763</v>
      </c>
      <c r="D546" s="56" t="s">
        <v>787</v>
      </c>
      <c r="E546" s="56" t="s">
        <v>213</v>
      </c>
      <c r="F546" s="56" t="s">
        <v>125</v>
      </c>
      <c r="G546" s="57"/>
      <c r="H546" s="68">
        <f t="shared" si="3"/>
        <v>0</v>
      </c>
      <c r="I546" s="84"/>
      <c r="J546" s="84"/>
      <c r="K546" s="96"/>
      <c r="L546" s="53" t="s">
        <v>115</v>
      </c>
      <c r="M546" s="50"/>
      <c r="N546" s="50"/>
      <c r="O546" s="84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53"/>
      <c r="BG546" s="53"/>
      <c r="BH546" s="53"/>
      <c r="BI546" s="53"/>
      <c r="BJ546" s="53"/>
      <c r="BK546" s="53"/>
      <c r="BL546" s="53"/>
      <c r="BM546" s="53"/>
      <c r="BN546" s="53"/>
      <c r="BO546" s="53"/>
      <c r="BP546" s="30"/>
      <c r="BQ546" s="30">
        <v>1.0</v>
      </c>
      <c r="BR546" s="30">
        <f t="shared" si="4"/>
        <v>0</v>
      </c>
      <c r="BS546" s="70">
        <f t="shared" si="5"/>
        <v>0</v>
      </c>
      <c r="BT546" s="70">
        <v>1.0</v>
      </c>
    </row>
    <row r="547" ht="15.75" customHeight="1">
      <c r="A547" s="54" t="s">
        <v>761</v>
      </c>
      <c r="B547" s="56" t="s">
        <v>784</v>
      </c>
      <c r="C547" s="56" t="s">
        <v>763</v>
      </c>
      <c r="D547" s="56" t="s">
        <v>789</v>
      </c>
      <c r="E547" s="56" t="s">
        <v>790</v>
      </c>
      <c r="F547" s="56" t="s">
        <v>249</v>
      </c>
      <c r="G547" s="57" t="s">
        <v>250</v>
      </c>
      <c r="H547" s="68">
        <f t="shared" si="3"/>
        <v>0.25</v>
      </c>
      <c r="I547" s="62"/>
      <c r="J547" s="62"/>
      <c r="K547" s="71"/>
      <c r="L547" s="57"/>
      <c r="M547" s="61"/>
      <c r="N547" s="61" t="s">
        <v>885</v>
      </c>
      <c r="O547" s="62"/>
      <c r="P547" s="53"/>
      <c r="Q547" s="53"/>
      <c r="R547" s="53"/>
      <c r="S547" s="53" t="s">
        <v>886</v>
      </c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53"/>
      <c r="BG547" s="53"/>
      <c r="BH547" s="53"/>
      <c r="BI547" s="53"/>
      <c r="BJ547" s="53"/>
      <c r="BK547" s="53"/>
      <c r="BL547" s="53"/>
      <c r="BM547" s="53"/>
      <c r="BN547" s="53"/>
      <c r="BO547" s="102"/>
      <c r="BP547" s="30"/>
      <c r="BQ547" s="30">
        <v>4.0</v>
      </c>
      <c r="BR547" s="30">
        <f t="shared" si="4"/>
        <v>1</v>
      </c>
      <c r="BS547" s="70">
        <f t="shared" si="5"/>
        <v>0</v>
      </c>
      <c r="BT547" s="70"/>
    </row>
    <row r="548" ht="15.75" customHeight="1">
      <c r="A548" s="54" t="s">
        <v>761</v>
      </c>
      <c r="B548" s="56" t="s">
        <v>791</v>
      </c>
      <c r="C548" s="56" t="s">
        <v>792</v>
      </c>
      <c r="D548" s="56" t="s">
        <v>793</v>
      </c>
      <c r="E548" s="56" t="s">
        <v>794</v>
      </c>
      <c r="F548" s="56" t="s">
        <v>246</v>
      </c>
      <c r="G548" s="57" t="s">
        <v>154</v>
      </c>
      <c r="H548" s="68">
        <f t="shared" si="3"/>
        <v>0</v>
      </c>
      <c r="I548" s="62"/>
      <c r="J548" s="62"/>
      <c r="K548" s="71"/>
      <c r="L548" s="57" t="s">
        <v>115</v>
      </c>
      <c r="M548" s="61"/>
      <c r="N548" s="61"/>
      <c r="O548" s="62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87"/>
      <c r="AW548" s="53"/>
      <c r="AX548" s="53"/>
      <c r="AY548" s="53"/>
      <c r="AZ548" s="53"/>
      <c r="BA548" s="53"/>
      <c r="BB548" s="53"/>
      <c r="BC548" s="53"/>
      <c r="BD548" s="53"/>
      <c r="BE548" s="53"/>
      <c r="BF548" s="53"/>
      <c r="BG548" s="53"/>
      <c r="BH548" s="53"/>
      <c r="BI548" s="53"/>
      <c r="BJ548" s="53"/>
      <c r="BK548" s="53"/>
      <c r="BL548" s="53"/>
      <c r="BM548" s="53"/>
      <c r="BN548" s="53"/>
      <c r="BO548" s="53"/>
      <c r="BP548" s="53"/>
      <c r="BQ548" s="30">
        <v>2.0</v>
      </c>
      <c r="BR548" s="30">
        <f t="shared" si="4"/>
        <v>0</v>
      </c>
      <c r="BS548" s="70">
        <f t="shared" si="5"/>
        <v>0</v>
      </c>
      <c r="BT548" s="70">
        <v>1.0</v>
      </c>
    </row>
    <row r="549" ht="15.75" customHeight="1">
      <c r="A549" s="54" t="s">
        <v>761</v>
      </c>
      <c r="B549" s="56" t="s">
        <v>795</v>
      </c>
      <c r="C549" s="56" t="s">
        <v>792</v>
      </c>
      <c r="D549" s="56" t="s">
        <v>796</v>
      </c>
      <c r="E549" s="56" t="s">
        <v>797</v>
      </c>
      <c r="F549" s="56" t="s">
        <v>249</v>
      </c>
      <c r="G549" s="57" t="s">
        <v>250</v>
      </c>
      <c r="H549" s="68">
        <f t="shared" si="3"/>
        <v>0.25</v>
      </c>
      <c r="I549" s="62"/>
      <c r="J549" s="57"/>
      <c r="K549" s="90"/>
      <c r="L549" s="57" t="s">
        <v>115</v>
      </c>
      <c r="M549" s="81"/>
      <c r="N549" s="61" t="s">
        <v>881</v>
      </c>
      <c r="O549" s="62" t="s">
        <v>800</v>
      </c>
      <c r="P549" s="53"/>
      <c r="Q549" s="53"/>
      <c r="R549" s="53"/>
      <c r="S549" s="53" t="s">
        <v>326</v>
      </c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87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  <c r="BE549" s="53"/>
      <c r="BF549" s="53"/>
      <c r="BG549" s="53"/>
      <c r="BH549" s="53"/>
      <c r="BI549" s="53"/>
      <c r="BJ549" s="53"/>
      <c r="BK549" s="53"/>
      <c r="BL549" s="53"/>
      <c r="BM549" s="53"/>
      <c r="BN549" s="30"/>
      <c r="BO549" s="30"/>
      <c r="BP549" s="30"/>
      <c r="BQ549" s="30">
        <v>4.0</v>
      </c>
      <c r="BR549" s="30">
        <f t="shared" si="4"/>
        <v>1</v>
      </c>
      <c r="BS549" s="70">
        <f t="shared" si="5"/>
        <v>0</v>
      </c>
      <c r="BT549" s="70">
        <v>1.0</v>
      </c>
    </row>
    <row r="550" ht="15.75" customHeight="1">
      <c r="A550" s="54" t="s">
        <v>761</v>
      </c>
      <c r="B550" s="56" t="s">
        <v>798</v>
      </c>
      <c r="C550" s="56" t="s">
        <v>792</v>
      </c>
      <c r="D550" s="56" t="s">
        <v>799</v>
      </c>
      <c r="E550" s="56" t="s">
        <v>790</v>
      </c>
      <c r="F550" s="56" t="s">
        <v>249</v>
      </c>
      <c r="G550" s="57" t="s">
        <v>250</v>
      </c>
      <c r="H550" s="68">
        <f t="shared" si="3"/>
        <v>0.25</v>
      </c>
      <c r="I550" s="62"/>
      <c r="J550" s="62"/>
      <c r="K550" s="71"/>
      <c r="L550" s="57" t="s">
        <v>115</v>
      </c>
      <c r="M550" s="61"/>
      <c r="N550" s="61" t="s">
        <v>881</v>
      </c>
      <c r="O550" s="62" t="s">
        <v>803</v>
      </c>
      <c r="P550" s="53"/>
      <c r="Q550" s="53"/>
      <c r="R550" s="53"/>
      <c r="S550" s="53" t="s">
        <v>326</v>
      </c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87"/>
      <c r="AW550" s="53"/>
      <c r="AX550" s="53"/>
      <c r="AY550" s="53"/>
      <c r="AZ550" s="53"/>
      <c r="BA550" s="53"/>
      <c r="BB550" s="53"/>
      <c r="BC550" s="53"/>
      <c r="BD550" s="53"/>
      <c r="BE550" s="53"/>
      <c r="BF550" s="53"/>
      <c r="BG550" s="53"/>
      <c r="BH550" s="53"/>
      <c r="BI550" s="53"/>
      <c r="BJ550" s="53"/>
      <c r="BK550" s="53"/>
      <c r="BL550" s="53"/>
      <c r="BM550" s="53"/>
      <c r="BN550" s="53"/>
      <c r="BO550" s="53"/>
      <c r="BP550" s="53"/>
      <c r="BQ550" s="30">
        <v>4.0</v>
      </c>
      <c r="BR550" s="30">
        <f t="shared" si="4"/>
        <v>1</v>
      </c>
      <c r="BS550" s="70">
        <f t="shared" si="5"/>
        <v>0</v>
      </c>
      <c r="BT550" s="70">
        <v>1.0</v>
      </c>
    </row>
    <row r="551" ht="15.75" customHeight="1">
      <c r="A551" s="54" t="s">
        <v>761</v>
      </c>
      <c r="B551" s="56" t="s">
        <v>801</v>
      </c>
      <c r="C551" s="56" t="s">
        <v>792</v>
      </c>
      <c r="D551" s="56" t="s">
        <v>802</v>
      </c>
      <c r="E551" s="56" t="s">
        <v>790</v>
      </c>
      <c r="F551" s="56" t="s">
        <v>249</v>
      </c>
      <c r="G551" s="57" t="s">
        <v>250</v>
      </c>
      <c r="H551" s="68">
        <f t="shared" si="3"/>
        <v>0.25</v>
      </c>
      <c r="I551" s="62"/>
      <c r="J551" s="62"/>
      <c r="K551" s="71"/>
      <c r="L551" s="57" t="s">
        <v>115</v>
      </c>
      <c r="M551" s="61"/>
      <c r="N551" s="61" t="s">
        <v>881</v>
      </c>
      <c r="O551" s="62" t="s">
        <v>806</v>
      </c>
      <c r="P551" s="53"/>
      <c r="Q551" s="53"/>
      <c r="R551" s="53"/>
      <c r="S551" s="53" t="s">
        <v>326</v>
      </c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87"/>
      <c r="AW551" s="53"/>
      <c r="AX551" s="53"/>
      <c r="AY551" s="53"/>
      <c r="AZ551" s="53"/>
      <c r="BA551" s="53"/>
      <c r="BB551" s="53"/>
      <c r="BC551" s="53"/>
      <c r="BD551" s="53"/>
      <c r="BE551" s="53"/>
      <c r="BF551" s="53"/>
      <c r="BG551" s="53"/>
      <c r="BH551" s="53"/>
      <c r="BI551" s="53"/>
      <c r="BJ551" s="53"/>
      <c r="BK551" s="53"/>
      <c r="BL551" s="53"/>
      <c r="BM551" s="53"/>
      <c r="BN551" s="53"/>
      <c r="BO551" s="53"/>
      <c r="BP551" s="53"/>
      <c r="BQ551" s="30">
        <v>4.0</v>
      </c>
      <c r="BR551" s="30">
        <f t="shared" si="4"/>
        <v>1</v>
      </c>
      <c r="BS551" s="70">
        <f t="shared" si="5"/>
        <v>0</v>
      </c>
      <c r="BT551" s="70">
        <v>1.0</v>
      </c>
    </row>
    <row r="552" ht="15.75" customHeight="1">
      <c r="A552" s="54" t="s">
        <v>761</v>
      </c>
      <c r="B552" s="56" t="s">
        <v>804</v>
      </c>
      <c r="C552" s="56" t="s">
        <v>792</v>
      </c>
      <c r="D552" s="56" t="s">
        <v>805</v>
      </c>
      <c r="E552" s="56" t="s">
        <v>790</v>
      </c>
      <c r="F552" s="56" t="s">
        <v>249</v>
      </c>
      <c r="G552" s="57" t="s">
        <v>250</v>
      </c>
      <c r="H552" s="68">
        <f t="shared" si="3"/>
        <v>0.25</v>
      </c>
      <c r="I552" s="62"/>
      <c r="J552" s="62"/>
      <c r="K552" s="71"/>
      <c r="L552" s="57" t="s">
        <v>115</v>
      </c>
      <c r="M552" s="61"/>
      <c r="N552" s="61" t="s">
        <v>881</v>
      </c>
      <c r="O552" s="62" t="s">
        <v>810</v>
      </c>
      <c r="P552" s="53"/>
      <c r="Q552" s="53"/>
      <c r="R552" s="53"/>
      <c r="S552" s="53" t="s">
        <v>326</v>
      </c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87"/>
      <c r="AW552" s="53"/>
      <c r="AX552" s="53"/>
      <c r="AY552" s="53"/>
      <c r="AZ552" s="53"/>
      <c r="BA552" s="53"/>
      <c r="BB552" s="53"/>
      <c r="BC552" s="53"/>
      <c r="BD552" s="53"/>
      <c r="BE552" s="53"/>
      <c r="BF552" s="53"/>
      <c r="BG552" s="53"/>
      <c r="BH552" s="53"/>
      <c r="BI552" s="53"/>
      <c r="BJ552" s="53"/>
      <c r="BK552" s="53"/>
      <c r="BL552" s="53"/>
      <c r="BM552" s="53"/>
      <c r="BN552" s="53"/>
      <c r="BO552" s="53"/>
      <c r="BP552" s="53"/>
      <c r="BQ552" s="30">
        <v>4.0</v>
      </c>
      <c r="BR552" s="30">
        <f t="shared" si="4"/>
        <v>1</v>
      </c>
      <c r="BS552" s="70">
        <f t="shared" si="5"/>
        <v>0</v>
      </c>
      <c r="BT552" s="70">
        <v>1.0</v>
      </c>
    </row>
    <row r="553" ht="15.75" customHeight="1">
      <c r="A553" s="54" t="s">
        <v>761</v>
      </c>
      <c r="B553" s="56" t="s">
        <v>807</v>
      </c>
      <c r="C553" s="56" t="s">
        <v>792</v>
      </c>
      <c r="D553" s="56" t="s">
        <v>808</v>
      </c>
      <c r="E553" s="56" t="s">
        <v>790</v>
      </c>
      <c r="F553" s="56" t="s">
        <v>249</v>
      </c>
      <c r="G553" s="57" t="s">
        <v>250</v>
      </c>
      <c r="H553" s="68">
        <f t="shared" si="3"/>
        <v>0.25</v>
      </c>
      <c r="I553" s="62"/>
      <c r="J553" s="62"/>
      <c r="K553" s="71"/>
      <c r="L553" s="57" t="s">
        <v>115</v>
      </c>
      <c r="M553" s="61"/>
      <c r="N553" s="61" t="s">
        <v>881</v>
      </c>
      <c r="O553" s="62" t="s">
        <v>806</v>
      </c>
      <c r="P553" s="53"/>
      <c r="Q553" s="53"/>
      <c r="R553" s="53"/>
      <c r="S553" s="53" t="s">
        <v>326</v>
      </c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87"/>
      <c r="AW553" s="53"/>
      <c r="AX553" s="53"/>
      <c r="AY553" s="53"/>
      <c r="AZ553" s="53"/>
      <c r="BA553" s="53"/>
      <c r="BB553" s="53"/>
      <c r="BC553" s="53"/>
      <c r="BD553" s="53"/>
      <c r="BE553" s="53"/>
      <c r="BF553" s="53"/>
      <c r="BG553" s="53"/>
      <c r="BH553" s="53"/>
      <c r="BI553" s="53"/>
      <c r="BJ553" s="53"/>
      <c r="BK553" s="53"/>
      <c r="BL553" s="53"/>
      <c r="BM553" s="53"/>
      <c r="BN553" s="53"/>
      <c r="BO553" s="53"/>
      <c r="BP553" s="53"/>
      <c r="BQ553" s="30">
        <v>4.0</v>
      </c>
      <c r="BR553" s="30">
        <f t="shared" si="4"/>
        <v>1</v>
      </c>
      <c r="BS553" s="70">
        <f t="shared" si="5"/>
        <v>0</v>
      </c>
      <c r="BT553" s="70">
        <v>1.0</v>
      </c>
    </row>
    <row r="554" ht="15.75" customHeight="1">
      <c r="A554" s="54" t="s">
        <v>761</v>
      </c>
      <c r="B554" s="56" t="s">
        <v>807</v>
      </c>
      <c r="C554" s="56" t="s">
        <v>792</v>
      </c>
      <c r="D554" s="56" t="s">
        <v>809</v>
      </c>
      <c r="E554" s="56" t="s">
        <v>790</v>
      </c>
      <c r="F554" s="56" t="s">
        <v>249</v>
      </c>
      <c r="G554" s="57" t="s">
        <v>250</v>
      </c>
      <c r="H554" s="68">
        <f t="shared" si="3"/>
        <v>0.25</v>
      </c>
      <c r="I554" s="62"/>
      <c r="J554" s="62"/>
      <c r="K554" s="71"/>
      <c r="L554" s="57" t="s">
        <v>115</v>
      </c>
      <c r="M554" s="61"/>
      <c r="N554" s="61" t="s">
        <v>881</v>
      </c>
      <c r="O554" s="62" t="s">
        <v>806</v>
      </c>
      <c r="P554" s="53"/>
      <c r="Q554" s="53"/>
      <c r="R554" s="53"/>
      <c r="S554" s="53" t="s">
        <v>326</v>
      </c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87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30">
        <v>4.0</v>
      </c>
      <c r="BR554" s="30">
        <f t="shared" si="4"/>
        <v>1</v>
      </c>
      <c r="BS554" s="70">
        <f t="shared" si="5"/>
        <v>0</v>
      </c>
      <c r="BT554" s="70">
        <v>1.0</v>
      </c>
    </row>
    <row r="555" ht="15.75" customHeight="1">
      <c r="A555" s="54" t="s">
        <v>761</v>
      </c>
      <c r="B555" s="56" t="s">
        <v>811</v>
      </c>
      <c r="C555" s="56" t="s">
        <v>792</v>
      </c>
      <c r="D555" s="56" t="s">
        <v>812</v>
      </c>
      <c r="E555" s="56" t="s">
        <v>790</v>
      </c>
      <c r="F555" s="56" t="s">
        <v>249</v>
      </c>
      <c r="G555" s="57" t="s">
        <v>250</v>
      </c>
      <c r="H555" s="68">
        <f t="shared" si="3"/>
        <v>0.25</v>
      </c>
      <c r="I555" s="62"/>
      <c r="J555" s="62"/>
      <c r="K555" s="71"/>
      <c r="L555" s="57" t="s">
        <v>115</v>
      </c>
      <c r="M555" s="61"/>
      <c r="N555" s="61" t="s">
        <v>881</v>
      </c>
      <c r="O555" s="62" t="s">
        <v>806</v>
      </c>
      <c r="P555" s="53"/>
      <c r="Q555" s="53"/>
      <c r="R555" s="53"/>
      <c r="S555" s="53" t="s">
        <v>326</v>
      </c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87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30">
        <v>4.0</v>
      </c>
      <c r="BR555" s="30">
        <f t="shared" si="4"/>
        <v>1</v>
      </c>
      <c r="BS555" s="70">
        <f t="shared" si="5"/>
        <v>0</v>
      </c>
      <c r="BT555" s="70">
        <v>1.0</v>
      </c>
    </row>
    <row r="556" ht="15.75" customHeight="1">
      <c r="A556" s="54" t="s">
        <v>761</v>
      </c>
      <c r="B556" s="56" t="s">
        <v>813</v>
      </c>
      <c r="C556" s="56" t="s">
        <v>792</v>
      </c>
      <c r="D556" s="56" t="s">
        <v>814</v>
      </c>
      <c r="E556" s="56" t="s">
        <v>790</v>
      </c>
      <c r="F556" s="56" t="s">
        <v>249</v>
      </c>
      <c r="G556" s="57" t="s">
        <v>250</v>
      </c>
      <c r="H556" s="68">
        <f t="shared" si="3"/>
        <v>0.25</v>
      </c>
      <c r="I556" s="62"/>
      <c r="J556" s="62"/>
      <c r="K556" s="71"/>
      <c r="L556" s="57" t="s">
        <v>115</v>
      </c>
      <c r="M556" s="61"/>
      <c r="N556" s="61" t="s">
        <v>881</v>
      </c>
      <c r="O556" s="62" t="s">
        <v>810</v>
      </c>
      <c r="P556" s="53"/>
      <c r="Q556" s="53"/>
      <c r="R556" s="53"/>
      <c r="S556" s="53" t="s">
        <v>326</v>
      </c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87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30">
        <v>4.0</v>
      </c>
      <c r="BR556" s="30">
        <f t="shared" si="4"/>
        <v>1</v>
      </c>
      <c r="BS556" s="70">
        <f t="shared" si="5"/>
        <v>0</v>
      </c>
      <c r="BT556" s="70">
        <v>1.0</v>
      </c>
    </row>
    <row r="557" ht="15.75" customHeight="1">
      <c r="A557" s="54" t="s">
        <v>761</v>
      </c>
      <c r="B557" s="56" t="s">
        <v>815</v>
      </c>
      <c r="C557" s="56" t="s">
        <v>792</v>
      </c>
      <c r="D557" s="56" t="s">
        <v>816</v>
      </c>
      <c r="E557" s="56" t="s">
        <v>790</v>
      </c>
      <c r="F557" s="56" t="s">
        <v>249</v>
      </c>
      <c r="G557" s="57" t="s">
        <v>250</v>
      </c>
      <c r="H557" s="68">
        <f t="shared" si="3"/>
        <v>0.25</v>
      </c>
      <c r="I557" s="62"/>
      <c r="J557" s="62"/>
      <c r="K557" s="71"/>
      <c r="L557" s="57" t="s">
        <v>115</v>
      </c>
      <c r="M557" s="61"/>
      <c r="N557" s="61" t="s">
        <v>881</v>
      </c>
      <c r="O557" s="62" t="s">
        <v>806</v>
      </c>
      <c r="P557" s="53"/>
      <c r="Q557" s="53"/>
      <c r="R557" s="53"/>
      <c r="S557" s="53" t="s">
        <v>326</v>
      </c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87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30">
        <v>4.0</v>
      </c>
      <c r="BR557" s="30">
        <f t="shared" si="4"/>
        <v>1</v>
      </c>
      <c r="BS557" s="70">
        <f t="shared" si="5"/>
        <v>0</v>
      </c>
      <c r="BT557" s="70">
        <v>1.0</v>
      </c>
    </row>
    <row r="558" ht="15.75" customHeight="1">
      <c r="A558" s="54" t="s">
        <v>761</v>
      </c>
      <c r="B558" s="56" t="s">
        <v>815</v>
      </c>
      <c r="C558" s="104" t="s">
        <v>792</v>
      </c>
      <c r="D558" s="56" t="s">
        <v>816</v>
      </c>
      <c r="E558" s="56" t="s">
        <v>817</v>
      </c>
      <c r="F558" s="56" t="s">
        <v>249</v>
      </c>
      <c r="G558" s="57" t="s">
        <v>250</v>
      </c>
      <c r="H558" s="68">
        <f t="shared" si="3"/>
        <v>0.25</v>
      </c>
      <c r="I558" s="62"/>
      <c r="J558" s="62"/>
      <c r="K558" s="71"/>
      <c r="L558" s="57" t="s">
        <v>115</v>
      </c>
      <c r="M558" s="61"/>
      <c r="N558" s="61" t="s">
        <v>881</v>
      </c>
      <c r="O558" s="62" t="s">
        <v>823</v>
      </c>
      <c r="P558" s="53"/>
      <c r="Q558" s="53"/>
      <c r="R558" s="53"/>
      <c r="S558" s="53" t="s">
        <v>326</v>
      </c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87"/>
      <c r="AW558" s="53"/>
      <c r="AX558" s="53"/>
      <c r="AY558" s="53"/>
      <c r="AZ558" s="53"/>
      <c r="BA558" s="53"/>
      <c r="BB558" s="53"/>
      <c r="BC558" s="53"/>
      <c r="BD558" s="53"/>
      <c r="BE558" s="53"/>
      <c r="BF558" s="53"/>
      <c r="BG558" s="53"/>
      <c r="BH558" s="53"/>
      <c r="BI558" s="53"/>
      <c r="BJ558" s="53"/>
      <c r="BK558" s="53"/>
      <c r="BL558" s="53"/>
      <c r="BM558" s="53"/>
      <c r="BN558" s="53"/>
      <c r="BO558" s="53"/>
      <c r="BP558" s="53"/>
      <c r="BQ558" s="30">
        <v>4.0</v>
      </c>
      <c r="BR558" s="30">
        <f t="shared" si="4"/>
        <v>1</v>
      </c>
      <c r="BS558" s="70">
        <f t="shared" si="5"/>
        <v>0</v>
      </c>
      <c r="BT558" s="70">
        <v>1.0</v>
      </c>
    </row>
    <row r="559" ht="15.75" customHeight="1">
      <c r="A559" s="54" t="s">
        <v>761</v>
      </c>
      <c r="B559" s="56" t="s">
        <v>818</v>
      </c>
      <c r="C559" s="104" t="s">
        <v>792</v>
      </c>
      <c r="D559" s="56" t="s">
        <v>819</v>
      </c>
      <c r="E559" s="56" t="s">
        <v>790</v>
      </c>
      <c r="F559" s="56" t="s">
        <v>249</v>
      </c>
      <c r="G559" s="57" t="s">
        <v>250</v>
      </c>
      <c r="H559" s="68">
        <f t="shared" si="3"/>
        <v>0.25</v>
      </c>
      <c r="I559" s="62"/>
      <c r="J559" s="62"/>
      <c r="K559" s="71"/>
      <c r="L559" s="57" t="s">
        <v>115</v>
      </c>
      <c r="M559" s="61"/>
      <c r="N559" s="61" t="s">
        <v>881</v>
      </c>
      <c r="O559" s="62" t="s">
        <v>806</v>
      </c>
      <c r="P559" s="53"/>
      <c r="Q559" s="53"/>
      <c r="R559" s="53"/>
      <c r="S559" s="53" t="s">
        <v>326</v>
      </c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87"/>
      <c r="AW559" s="53"/>
      <c r="AX559" s="53"/>
      <c r="AY559" s="53"/>
      <c r="AZ559" s="53"/>
      <c r="BA559" s="53"/>
      <c r="BB559" s="53"/>
      <c r="BC559" s="53"/>
      <c r="BD559" s="53"/>
      <c r="BE559" s="53"/>
      <c r="BF559" s="53"/>
      <c r="BG559" s="53"/>
      <c r="BH559" s="53"/>
      <c r="BI559" s="53"/>
      <c r="BJ559" s="53"/>
      <c r="BK559" s="53"/>
      <c r="BL559" s="53"/>
      <c r="BM559" s="53"/>
      <c r="BN559" s="53"/>
      <c r="BO559" s="53"/>
      <c r="BP559" s="53"/>
      <c r="BQ559" s="30">
        <v>4.0</v>
      </c>
      <c r="BR559" s="30">
        <f t="shared" si="4"/>
        <v>1</v>
      </c>
      <c r="BS559" s="70">
        <f t="shared" si="5"/>
        <v>0</v>
      </c>
      <c r="BT559" s="70">
        <v>1.0</v>
      </c>
    </row>
    <row r="560" ht="15.75" customHeight="1">
      <c r="A560" s="54" t="s">
        <v>761</v>
      </c>
      <c r="B560" s="56" t="s">
        <v>818</v>
      </c>
      <c r="C560" s="104" t="s">
        <v>792</v>
      </c>
      <c r="D560" s="56" t="s">
        <v>820</v>
      </c>
      <c r="E560" s="56" t="s">
        <v>817</v>
      </c>
      <c r="F560" s="56" t="s">
        <v>249</v>
      </c>
      <c r="G560" s="57" t="s">
        <v>250</v>
      </c>
      <c r="H560" s="68">
        <f t="shared" si="3"/>
        <v>0.25</v>
      </c>
      <c r="I560" s="62"/>
      <c r="J560" s="62"/>
      <c r="K560" s="71"/>
      <c r="L560" s="57" t="s">
        <v>115</v>
      </c>
      <c r="M560" s="61"/>
      <c r="N560" s="61" t="s">
        <v>881</v>
      </c>
      <c r="O560" s="62" t="s">
        <v>823</v>
      </c>
      <c r="P560" s="53"/>
      <c r="Q560" s="53"/>
      <c r="R560" s="53"/>
      <c r="S560" s="53" t="s">
        <v>326</v>
      </c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87"/>
      <c r="AW560" s="53"/>
      <c r="AX560" s="53"/>
      <c r="AY560" s="53"/>
      <c r="AZ560" s="53"/>
      <c r="BA560" s="53"/>
      <c r="BB560" s="53"/>
      <c r="BC560" s="53"/>
      <c r="BD560" s="53"/>
      <c r="BE560" s="53"/>
      <c r="BF560" s="53"/>
      <c r="BG560" s="53"/>
      <c r="BH560" s="53"/>
      <c r="BI560" s="53"/>
      <c r="BJ560" s="53"/>
      <c r="BK560" s="53"/>
      <c r="BL560" s="53"/>
      <c r="BM560" s="53"/>
      <c r="BN560" s="53"/>
      <c r="BO560" s="53"/>
      <c r="BP560" s="53"/>
      <c r="BQ560" s="30">
        <v>4.0</v>
      </c>
      <c r="BR560" s="30">
        <f t="shared" si="4"/>
        <v>1</v>
      </c>
      <c r="BS560" s="70">
        <f t="shared" si="5"/>
        <v>0</v>
      </c>
      <c r="BT560" s="70">
        <v>1.0</v>
      </c>
    </row>
    <row r="561" ht="15.75" customHeight="1">
      <c r="A561" s="54" t="s">
        <v>761</v>
      </c>
      <c r="B561" s="56" t="s">
        <v>818</v>
      </c>
      <c r="C561" s="104" t="s">
        <v>792</v>
      </c>
      <c r="D561" s="56" t="s">
        <v>821</v>
      </c>
      <c r="E561" s="56" t="s">
        <v>817</v>
      </c>
      <c r="F561" s="56" t="s">
        <v>249</v>
      </c>
      <c r="G561" s="57" t="s">
        <v>250</v>
      </c>
      <c r="H561" s="68">
        <f t="shared" si="3"/>
        <v>0.25</v>
      </c>
      <c r="I561" s="62"/>
      <c r="J561" s="62"/>
      <c r="K561" s="71"/>
      <c r="L561" s="57" t="s">
        <v>115</v>
      </c>
      <c r="M561" s="61"/>
      <c r="N561" s="61" t="s">
        <v>881</v>
      </c>
      <c r="O561" s="62" t="s">
        <v>823</v>
      </c>
      <c r="P561" s="53"/>
      <c r="Q561" s="53"/>
      <c r="R561" s="53"/>
      <c r="S561" s="53" t="s">
        <v>326</v>
      </c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87"/>
      <c r="AW561" s="53"/>
      <c r="AX561" s="53"/>
      <c r="AY561" s="53"/>
      <c r="AZ561" s="53"/>
      <c r="BA561" s="53"/>
      <c r="BB561" s="53"/>
      <c r="BC561" s="53"/>
      <c r="BD561" s="53"/>
      <c r="BE561" s="53"/>
      <c r="BF561" s="53"/>
      <c r="BG561" s="53"/>
      <c r="BH561" s="53"/>
      <c r="BI561" s="53"/>
      <c r="BJ561" s="53"/>
      <c r="BK561" s="53"/>
      <c r="BL561" s="53"/>
      <c r="BM561" s="53"/>
      <c r="BN561" s="53"/>
      <c r="BO561" s="53"/>
      <c r="BP561" s="53"/>
      <c r="BQ561" s="30">
        <v>4.0</v>
      </c>
      <c r="BR561" s="30">
        <f t="shared" si="4"/>
        <v>1</v>
      </c>
      <c r="BS561" s="70">
        <f t="shared" si="5"/>
        <v>0</v>
      </c>
      <c r="BT561" s="70">
        <v>1.0</v>
      </c>
    </row>
    <row r="562" ht="15.75" customHeight="1">
      <c r="A562" s="54" t="s">
        <v>761</v>
      </c>
      <c r="B562" s="56" t="s">
        <v>818</v>
      </c>
      <c r="C562" s="104" t="s">
        <v>792</v>
      </c>
      <c r="D562" s="56" t="s">
        <v>822</v>
      </c>
      <c r="E562" s="56" t="s">
        <v>790</v>
      </c>
      <c r="F562" s="56" t="s">
        <v>249</v>
      </c>
      <c r="G562" s="57" t="s">
        <v>250</v>
      </c>
      <c r="H562" s="68">
        <f t="shared" si="3"/>
        <v>0.25</v>
      </c>
      <c r="I562" s="62"/>
      <c r="J562" s="62"/>
      <c r="K562" s="71"/>
      <c r="L562" s="57" t="s">
        <v>115</v>
      </c>
      <c r="M562" s="61"/>
      <c r="N562" s="61" t="s">
        <v>881</v>
      </c>
      <c r="O562" s="62" t="s">
        <v>823</v>
      </c>
      <c r="P562" s="53"/>
      <c r="Q562" s="53"/>
      <c r="R562" s="53"/>
      <c r="S562" s="53" t="s">
        <v>326</v>
      </c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87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3"/>
      <c r="BN562" s="53"/>
      <c r="BO562" s="53"/>
      <c r="BP562" s="53"/>
      <c r="BQ562" s="30">
        <v>4.0</v>
      </c>
      <c r="BR562" s="30">
        <f t="shared" si="4"/>
        <v>1</v>
      </c>
      <c r="BS562" s="70">
        <f t="shared" si="5"/>
        <v>0</v>
      </c>
      <c r="BT562" s="70">
        <v>1.0</v>
      </c>
    </row>
    <row r="563" ht="15.75" customHeight="1">
      <c r="A563" s="54" t="s">
        <v>761</v>
      </c>
      <c r="B563" s="56" t="s">
        <v>791</v>
      </c>
      <c r="C563" s="104" t="s">
        <v>792</v>
      </c>
      <c r="D563" s="56" t="s">
        <v>793</v>
      </c>
      <c r="E563" s="56" t="s">
        <v>824</v>
      </c>
      <c r="F563" s="56" t="s">
        <v>313</v>
      </c>
      <c r="G563" s="57" t="s">
        <v>192</v>
      </c>
      <c r="H563" s="68">
        <f t="shared" si="3"/>
        <v>0.6666666667</v>
      </c>
      <c r="I563" s="62"/>
      <c r="J563" s="62"/>
      <c r="K563" s="71"/>
      <c r="L563" s="57" t="s">
        <v>115</v>
      </c>
      <c r="M563" s="61"/>
      <c r="N563" s="61" t="s">
        <v>882</v>
      </c>
      <c r="O563" s="62"/>
      <c r="P563" s="53"/>
      <c r="Q563" s="53" t="s">
        <v>883</v>
      </c>
      <c r="R563" s="53"/>
      <c r="S563" s="53"/>
      <c r="T563" s="53" t="s">
        <v>884</v>
      </c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53"/>
      <c r="BG563" s="53"/>
      <c r="BH563" s="53"/>
      <c r="BI563" s="53"/>
      <c r="BJ563" s="53"/>
      <c r="BK563" s="53"/>
      <c r="BL563" s="53"/>
      <c r="BM563" s="53"/>
      <c r="BN563" s="53"/>
      <c r="BO563" s="53"/>
      <c r="BP563" s="30"/>
      <c r="BQ563" s="30">
        <v>3.0</v>
      </c>
      <c r="BR563" s="30">
        <f t="shared" si="4"/>
        <v>2</v>
      </c>
      <c r="BS563" s="70">
        <f t="shared" si="5"/>
        <v>0</v>
      </c>
      <c r="BT563" s="70">
        <v>1.0</v>
      </c>
    </row>
    <row r="564" ht="15.75" customHeight="1">
      <c r="A564" s="54" t="s">
        <v>761</v>
      </c>
      <c r="B564" s="56" t="s">
        <v>825</v>
      </c>
      <c r="C564" s="56" t="s">
        <v>792</v>
      </c>
      <c r="D564" s="56" t="s">
        <v>826</v>
      </c>
      <c r="E564" s="56" t="s">
        <v>794</v>
      </c>
      <c r="F564" s="56" t="s">
        <v>246</v>
      </c>
      <c r="G564" s="57" t="s">
        <v>154</v>
      </c>
      <c r="H564" s="68">
        <f t="shared" si="3"/>
        <v>0</v>
      </c>
      <c r="I564" s="62"/>
      <c r="J564" s="62"/>
      <c r="K564" s="71"/>
      <c r="L564" s="57" t="s">
        <v>115</v>
      </c>
      <c r="M564" s="61"/>
      <c r="N564" s="61"/>
      <c r="O564" s="62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87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30">
        <v>2.0</v>
      </c>
      <c r="BR564" s="30">
        <f t="shared" si="4"/>
        <v>0</v>
      </c>
      <c r="BS564" s="70">
        <f t="shared" si="5"/>
        <v>0</v>
      </c>
      <c r="BT564" s="70">
        <v>1.0</v>
      </c>
    </row>
    <row r="565" ht="15.75" customHeight="1">
      <c r="A565" s="54" t="s">
        <v>761</v>
      </c>
      <c r="B565" s="56" t="s">
        <v>825</v>
      </c>
      <c r="C565" s="56" t="s">
        <v>792</v>
      </c>
      <c r="D565" s="56" t="s">
        <v>826</v>
      </c>
      <c r="E565" s="56" t="s">
        <v>824</v>
      </c>
      <c r="F565" s="56" t="s">
        <v>313</v>
      </c>
      <c r="G565" s="57" t="s">
        <v>192</v>
      </c>
      <c r="H565" s="68">
        <f t="shared" si="3"/>
        <v>0.6666666667</v>
      </c>
      <c r="I565" s="62"/>
      <c r="J565" s="62"/>
      <c r="K565" s="71"/>
      <c r="L565" s="57" t="s">
        <v>115</v>
      </c>
      <c r="M565" s="61"/>
      <c r="N565" s="61" t="s">
        <v>882</v>
      </c>
      <c r="O565" s="62"/>
      <c r="P565" s="53"/>
      <c r="Q565" s="53" t="s">
        <v>883</v>
      </c>
      <c r="R565" s="53"/>
      <c r="S565" s="53"/>
      <c r="T565" s="53" t="s">
        <v>884</v>
      </c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53"/>
      <c r="BG565" s="53"/>
      <c r="BH565" s="53"/>
      <c r="BI565" s="53"/>
      <c r="BJ565" s="53"/>
      <c r="BK565" s="53"/>
      <c r="BL565" s="53"/>
      <c r="BM565" s="53"/>
      <c r="BN565" s="53"/>
      <c r="BO565" s="53"/>
      <c r="BP565" s="30"/>
      <c r="BQ565" s="30">
        <v>3.0</v>
      </c>
      <c r="BR565" s="30">
        <f t="shared" si="4"/>
        <v>2</v>
      </c>
      <c r="BS565" s="70">
        <f t="shared" si="5"/>
        <v>0</v>
      </c>
      <c r="BT565" s="70">
        <v>1.0</v>
      </c>
    </row>
    <row r="566" ht="15.75" customHeight="1">
      <c r="A566" s="54" t="s">
        <v>761</v>
      </c>
      <c r="B566" s="56" t="s">
        <v>827</v>
      </c>
      <c r="C566" s="56" t="s">
        <v>792</v>
      </c>
      <c r="D566" s="56" t="s">
        <v>828</v>
      </c>
      <c r="E566" s="56" t="s">
        <v>830</v>
      </c>
      <c r="F566" s="56" t="s">
        <v>246</v>
      </c>
      <c r="G566" s="57" t="s">
        <v>154</v>
      </c>
      <c r="H566" s="68">
        <f t="shared" si="3"/>
        <v>0</v>
      </c>
      <c r="I566" s="62"/>
      <c r="J566" s="62"/>
      <c r="K566" s="71"/>
      <c r="L566" s="57" t="s">
        <v>115</v>
      </c>
      <c r="M566" s="61"/>
      <c r="N566" s="61"/>
      <c r="O566" s="62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53"/>
      <c r="BG566" s="53"/>
      <c r="BH566" s="53"/>
      <c r="BI566" s="53"/>
      <c r="BJ566" s="53"/>
      <c r="BK566" s="53"/>
      <c r="BL566" s="53"/>
      <c r="BM566" s="53"/>
      <c r="BN566" s="53"/>
      <c r="BO566" s="53"/>
      <c r="BP566" s="30"/>
      <c r="BQ566" s="30">
        <v>2.0</v>
      </c>
      <c r="BR566" s="30">
        <f t="shared" si="4"/>
        <v>0</v>
      </c>
      <c r="BS566" s="70">
        <f t="shared" si="5"/>
        <v>0</v>
      </c>
      <c r="BT566" s="70">
        <v>2.0</v>
      </c>
    </row>
    <row r="567" ht="15.75" customHeight="1">
      <c r="A567" s="54" t="s">
        <v>831</v>
      </c>
      <c r="B567" s="56" t="s">
        <v>832</v>
      </c>
      <c r="C567" s="56" t="s">
        <v>833</v>
      </c>
      <c r="D567" s="56" t="s">
        <v>834</v>
      </c>
      <c r="E567" s="56" t="s">
        <v>111</v>
      </c>
      <c r="F567" s="56" t="s">
        <v>168</v>
      </c>
      <c r="G567" s="57" t="s">
        <v>34</v>
      </c>
      <c r="H567" s="68">
        <f t="shared" si="3"/>
        <v>0</v>
      </c>
      <c r="I567" s="62" t="s">
        <v>146</v>
      </c>
      <c r="J567" s="62"/>
      <c r="K567" s="71"/>
      <c r="L567" s="57" t="s">
        <v>130</v>
      </c>
      <c r="M567" s="61"/>
      <c r="N567" s="61"/>
      <c r="O567" s="62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53"/>
      <c r="BG567" s="53"/>
      <c r="BH567" s="53"/>
      <c r="BI567" s="53"/>
      <c r="BJ567" s="53"/>
      <c r="BK567" s="53"/>
      <c r="BL567" s="53"/>
      <c r="BM567" s="53"/>
      <c r="BN567" s="53"/>
      <c r="BO567" s="30"/>
      <c r="BP567" s="30"/>
      <c r="BQ567" s="30">
        <v>1.0</v>
      </c>
      <c r="BR567" s="30">
        <f t="shared" si="4"/>
        <v>0</v>
      </c>
      <c r="BS567" s="70">
        <f t="shared" si="5"/>
        <v>0</v>
      </c>
      <c r="BT567" s="70">
        <v>1.0</v>
      </c>
    </row>
    <row r="568" ht="15.75" customHeight="1">
      <c r="A568" s="54" t="s">
        <v>831</v>
      </c>
      <c r="B568" s="56" t="s">
        <v>832</v>
      </c>
      <c r="C568" s="56" t="s">
        <v>833</v>
      </c>
      <c r="D568" s="56" t="s">
        <v>834</v>
      </c>
      <c r="E568" s="56" t="s">
        <v>835</v>
      </c>
      <c r="F568" s="56" t="s">
        <v>138</v>
      </c>
      <c r="G568" s="57" t="s">
        <v>34</v>
      </c>
      <c r="H568" s="68">
        <f t="shared" si="3"/>
        <v>0</v>
      </c>
      <c r="I568" s="62" t="s">
        <v>146</v>
      </c>
      <c r="J568" s="62"/>
      <c r="K568" s="71"/>
      <c r="L568" s="57" t="s">
        <v>130</v>
      </c>
      <c r="M568" s="61"/>
      <c r="N568" s="61"/>
      <c r="O568" s="62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53"/>
      <c r="BG568" s="53"/>
      <c r="BH568" s="53"/>
      <c r="BI568" s="53"/>
      <c r="BJ568" s="53"/>
      <c r="BK568" s="53"/>
      <c r="BL568" s="53"/>
      <c r="BM568" s="53"/>
      <c r="BN568" s="53"/>
      <c r="BO568" s="30"/>
      <c r="BP568" s="30"/>
      <c r="BQ568" s="30">
        <v>1.0</v>
      </c>
      <c r="BR568" s="30">
        <f t="shared" si="4"/>
        <v>0</v>
      </c>
      <c r="BS568" s="70">
        <f t="shared" si="5"/>
        <v>0</v>
      </c>
      <c r="BT568" s="70">
        <v>1.0</v>
      </c>
    </row>
    <row r="569" ht="15.75" customHeight="1">
      <c r="A569" s="54" t="s">
        <v>831</v>
      </c>
      <c r="B569" s="56" t="s">
        <v>832</v>
      </c>
      <c r="C569" s="56" t="s">
        <v>833</v>
      </c>
      <c r="D569" s="56" t="s">
        <v>834</v>
      </c>
      <c r="E569" s="56" t="s">
        <v>836</v>
      </c>
      <c r="F569" s="56" t="s">
        <v>249</v>
      </c>
      <c r="G569" s="57" t="s">
        <v>250</v>
      </c>
      <c r="H569" s="68">
        <f t="shared" si="3"/>
        <v>0</v>
      </c>
      <c r="I569" s="62"/>
      <c r="J569" s="62"/>
      <c r="K569" s="71"/>
      <c r="L569" s="57" t="s">
        <v>115</v>
      </c>
      <c r="M569" s="61"/>
      <c r="N569" s="61" t="s">
        <v>251</v>
      </c>
      <c r="O569" s="62" t="s">
        <v>160</v>
      </c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53"/>
      <c r="BG569" s="53"/>
      <c r="BH569" s="53"/>
      <c r="BI569" s="53"/>
      <c r="BJ569" s="53"/>
      <c r="BK569" s="53"/>
      <c r="BL569" s="53"/>
      <c r="BM569" s="53"/>
      <c r="BN569" s="53"/>
      <c r="BO569" s="53"/>
      <c r="BP569" s="30"/>
      <c r="BQ569" s="30">
        <v>4.0</v>
      </c>
      <c r="BR569" s="30">
        <f t="shared" si="4"/>
        <v>0</v>
      </c>
      <c r="BS569" s="70">
        <f t="shared" si="5"/>
        <v>0</v>
      </c>
      <c r="BT569" s="70">
        <v>1.0</v>
      </c>
    </row>
    <row r="570" ht="15.75" customHeight="1">
      <c r="A570" s="54" t="s">
        <v>831</v>
      </c>
      <c r="B570" s="56" t="s">
        <v>837</v>
      </c>
      <c r="C570" s="56" t="s">
        <v>838</v>
      </c>
      <c r="D570" s="56" t="s">
        <v>839</v>
      </c>
      <c r="E570" s="56" t="s">
        <v>771</v>
      </c>
      <c r="F570" s="56" t="s">
        <v>249</v>
      </c>
      <c r="G570" s="57" t="s">
        <v>250</v>
      </c>
      <c r="H570" s="68">
        <f t="shared" si="3"/>
        <v>0.25</v>
      </c>
      <c r="I570" s="62" t="s">
        <v>146</v>
      </c>
      <c r="J570" s="62" t="s">
        <v>772</v>
      </c>
      <c r="K570" s="71"/>
      <c r="L570" s="57" t="s">
        <v>115</v>
      </c>
      <c r="M570" s="61"/>
      <c r="N570" s="61" t="s">
        <v>710</v>
      </c>
      <c r="O570" s="62" t="s">
        <v>772</v>
      </c>
      <c r="P570" s="53"/>
      <c r="Q570" s="53"/>
      <c r="R570" s="53"/>
      <c r="S570" s="53" t="s">
        <v>326</v>
      </c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3"/>
      <c r="BN570" s="53"/>
      <c r="BO570" s="53"/>
      <c r="BP570" s="30"/>
      <c r="BQ570" s="30">
        <v>4.0</v>
      </c>
      <c r="BR570" s="30">
        <f t="shared" si="4"/>
        <v>1</v>
      </c>
      <c r="BS570" s="70">
        <f t="shared" si="5"/>
        <v>0</v>
      </c>
      <c r="BT570" s="70">
        <v>1.0</v>
      </c>
    </row>
    <row r="571" ht="15.75" customHeight="1">
      <c r="A571" s="54" t="s">
        <v>831</v>
      </c>
      <c r="B571" s="56" t="s">
        <v>837</v>
      </c>
      <c r="C571" s="56" t="s">
        <v>838</v>
      </c>
      <c r="D571" s="56" t="s">
        <v>839</v>
      </c>
      <c r="E571" s="56" t="s">
        <v>768</v>
      </c>
      <c r="F571" s="56" t="s">
        <v>249</v>
      </c>
      <c r="G571" s="57" t="s">
        <v>250</v>
      </c>
      <c r="H571" s="68">
        <f t="shared" si="3"/>
        <v>0.25</v>
      </c>
      <c r="I571" s="62"/>
      <c r="J571" s="62" t="s">
        <v>770</v>
      </c>
      <c r="K571" s="71"/>
      <c r="L571" s="57" t="s">
        <v>115</v>
      </c>
      <c r="M571" s="61"/>
      <c r="N571" s="61" t="s">
        <v>710</v>
      </c>
      <c r="O571" s="62" t="s">
        <v>770</v>
      </c>
      <c r="P571" s="53"/>
      <c r="Q571" s="53"/>
      <c r="R571" s="53"/>
      <c r="S571" s="53" t="s">
        <v>326</v>
      </c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53"/>
      <c r="BG571" s="53"/>
      <c r="BH571" s="53"/>
      <c r="BI571" s="53"/>
      <c r="BJ571" s="53"/>
      <c r="BK571" s="53"/>
      <c r="BL571" s="53"/>
      <c r="BM571" s="53"/>
      <c r="BN571" s="53"/>
      <c r="BO571" s="53"/>
      <c r="BP571" s="53"/>
      <c r="BQ571" s="30">
        <v>4.0</v>
      </c>
      <c r="BR571" s="30">
        <f t="shared" si="4"/>
        <v>1</v>
      </c>
      <c r="BS571" s="70">
        <f t="shared" si="5"/>
        <v>0</v>
      </c>
      <c r="BT571" s="70">
        <v>1.0</v>
      </c>
    </row>
    <row r="572" ht="15.75" customHeight="1">
      <c r="A572" s="54" t="s">
        <v>831</v>
      </c>
      <c r="B572" s="56" t="s">
        <v>837</v>
      </c>
      <c r="C572" s="56" t="s">
        <v>838</v>
      </c>
      <c r="D572" s="56" t="s">
        <v>839</v>
      </c>
      <c r="E572" s="56" t="s">
        <v>773</v>
      </c>
      <c r="F572" s="56" t="s">
        <v>246</v>
      </c>
      <c r="G572" s="57" t="s">
        <v>154</v>
      </c>
      <c r="H572" s="68">
        <f t="shared" si="3"/>
        <v>0</v>
      </c>
      <c r="I572" s="62"/>
      <c r="J572" s="62"/>
      <c r="K572" s="71"/>
      <c r="L572" s="57" t="s">
        <v>115</v>
      </c>
      <c r="M572" s="61"/>
      <c r="N572" s="61"/>
      <c r="O572" s="62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53"/>
      <c r="BG572" s="53"/>
      <c r="BH572" s="53"/>
      <c r="BI572" s="53"/>
      <c r="BJ572" s="53"/>
      <c r="BK572" s="53"/>
      <c r="BL572" s="53"/>
      <c r="BM572" s="53"/>
      <c r="BN572" s="53"/>
      <c r="BO572" s="53"/>
      <c r="BP572" s="53"/>
      <c r="BQ572" s="30">
        <v>2.0</v>
      </c>
      <c r="BR572" s="30">
        <f t="shared" si="4"/>
        <v>0</v>
      </c>
      <c r="BS572" s="70">
        <f t="shared" si="5"/>
        <v>0</v>
      </c>
      <c r="BT572" s="70">
        <v>1.0</v>
      </c>
    </row>
    <row r="573" ht="15.75" customHeight="1">
      <c r="A573" s="54" t="s">
        <v>831</v>
      </c>
      <c r="B573" s="56" t="s">
        <v>837</v>
      </c>
      <c r="C573" s="56" t="s">
        <v>838</v>
      </c>
      <c r="D573" s="56" t="s">
        <v>839</v>
      </c>
      <c r="E573" s="56" t="s">
        <v>841</v>
      </c>
      <c r="F573" s="56" t="s">
        <v>246</v>
      </c>
      <c r="G573" s="57" t="s">
        <v>154</v>
      </c>
      <c r="H573" s="68">
        <f t="shared" si="3"/>
        <v>0</v>
      </c>
      <c r="I573" s="62"/>
      <c r="J573" s="62"/>
      <c r="K573" s="71"/>
      <c r="L573" s="57" t="s">
        <v>115</v>
      </c>
      <c r="M573" s="61"/>
      <c r="N573" s="61"/>
      <c r="O573" s="62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53"/>
      <c r="BG573" s="53"/>
      <c r="BH573" s="53"/>
      <c r="BI573" s="53"/>
      <c r="BJ573" s="53"/>
      <c r="BK573" s="53"/>
      <c r="BL573" s="53"/>
      <c r="BM573" s="53"/>
      <c r="BN573" s="53"/>
      <c r="BO573" s="53"/>
      <c r="BP573" s="53"/>
      <c r="BQ573" s="30">
        <v>2.0</v>
      </c>
      <c r="BR573" s="30">
        <f t="shared" si="4"/>
        <v>0</v>
      </c>
      <c r="BS573" s="70">
        <f t="shared" si="5"/>
        <v>0</v>
      </c>
      <c r="BT573" s="70">
        <v>1.0</v>
      </c>
    </row>
    <row r="574" ht="15.75" customHeight="1">
      <c r="A574" s="54" t="s">
        <v>831</v>
      </c>
      <c r="B574" s="56" t="s">
        <v>837</v>
      </c>
      <c r="C574" s="56" t="s">
        <v>838</v>
      </c>
      <c r="D574" s="56" t="s">
        <v>839</v>
      </c>
      <c r="E574" s="56" t="s">
        <v>777</v>
      </c>
      <c r="F574" s="56" t="s">
        <v>15</v>
      </c>
      <c r="G574" s="57" t="s">
        <v>15</v>
      </c>
      <c r="H574" s="68">
        <f t="shared" si="3"/>
        <v>0.2115384615</v>
      </c>
      <c r="I574" s="62"/>
      <c r="J574" s="62"/>
      <c r="K574" s="71"/>
      <c r="L574" s="57" t="s">
        <v>115</v>
      </c>
      <c r="M574" s="61"/>
      <c r="N574" s="61"/>
      <c r="O574" s="62"/>
      <c r="P574" s="53" t="s">
        <v>131</v>
      </c>
      <c r="Q574" s="53" t="s">
        <v>131</v>
      </c>
      <c r="R574" s="53" t="s">
        <v>131</v>
      </c>
      <c r="S574" s="53" t="s">
        <v>131</v>
      </c>
      <c r="T574" s="53" t="s">
        <v>131</v>
      </c>
      <c r="U574" s="53" t="s">
        <v>131</v>
      </c>
      <c r="V574" s="53" t="s">
        <v>131</v>
      </c>
      <c r="W574" s="53" t="s">
        <v>131</v>
      </c>
      <c r="X574" s="53" t="s">
        <v>131</v>
      </c>
      <c r="Y574" s="53" t="s">
        <v>131</v>
      </c>
      <c r="Z574" s="53" t="s">
        <v>131</v>
      </c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53"/>
      <c r="BG574" s="53"/>
      <c r="BH574" s="53"/>
      <c r="BI574" s="53"/>
      <c r="BJ574" s="53"/>
      <c r="BK574" s="53"/>
      <c r="BL574" s="53"/>
      <c r="BM574" s="53"/>
      <c r="BN574" s="53"/>
      <c r="BO574" s="53"/>
      <c r="BP574" s="30"/>
      <c r="BQ574" s="30">
        <v>52.0</v>
      </c>
      <c r="BR574" s="30">
        <f t="shared" si="4"/>
        <v>11</v>
      </c>
      <c r="BS574" s="70">
        <f t="shared" si="5"/>
        <v>0</v>
      </c>
      <c r="BT574" s="70">
        <v>1.0</v>
      </c>
    </row>
    <row r="575" ht="15.75" customHeight="1">
      <c r="A575" s="54" t="s">
        <v>831</v>
      </c>
      <c r="B575" s="56" t="s">
        <v>837</v>
      </c>
      <c r="C575" s="56" t="s">
        <v>838</v>
      </c>
      <c r="D575" s="56" t="s">
        <v>839</v>
      </c>
      <c r="E575" s="56" t="s">
        <v>778</v>
      </c>
      <c r="F575" s="56" t="s">
        <v>15</v>
      </c>
      <c r="G575" s="57" t="s">
        <v>15</v>
      </c>
      <c r="H575" s="68">
        <f t="shared" si="3"/>
        <v>0.2115384615</v>
      </c>
      <c r="I575" s="62"/>
      <c r="J575" s="62"/>
      <c r="K575" s="71"/>
      <c r="L575" s="57" t="s">
        <v>130</v>
      </c>
      <c r="M575" s="61"/>
      <c r="N575" s="61"/>
      <c r="O575" s="62"/>
      <c r="P575" s="53" t="s">
        <v>131</v>
      </c>
      <c r="Q575" s="53" t="s">
        <v>131</v>
      </c>
      <c r="R575" s="53" t="s">
        <v>131</v>
      </c>
      <c r="S575" s="53" t="s">
        <v>131</v>
      </c>
      <c r="T575" s="53" t="s">
        <v>131</v>
      </c>
      <c r="U575" s="53" t="s">
        <v>131</v>
      </c>
      <c r="V575" s="53" t="s">
        <v>131</v>
      </c>
      <c r="W575" s="53" t="s">
        <v>131</v>
      </c>
      <c r="X575" s="53" t="s">
        <v>131</v>
      </c>
      <c r="Y575" s="53" t="s">
        <v>131</v>
      </c>
      <c r="Z575" s="53" t="s">
        <v>131</v>
      </c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53"/>
      <c r="BG575" s="53"/>
      <c r="BH575" s="53"/>
      <c r="BI575" s="53"/>
      <c r="BJ575" s="53"/>
      <c r="BK575" s="53"/>
      <c r="BL575" s="53"/>
      <c r="BM575" s="53"/>
      <c r="BN575" s="53"/>
      <c r="BO575" s="53"/>
      <c r="BP575" s="30"/>
      <c r="BQ575" s="30">
        <v>52.0</v>
      </c>
      <c r="BR575" s="30">
        <f t="shared" si="4"/>
        <v>11</v>
      </c>
      <c r="BS575" s="70">
        <f t="shared" si="5"/>
        <v>0</v>
      </c>
      <c r="BT575" s="70">
        <v>1.0</v>
      </c>
    </row>
    <row r="576" ht="15.75" customHeight="1">
      <c r="A576" s="54" t="s">
        <v>831</v>
      </c>
      <c r="B576" s="56" t="s">
        <v>842</v>
      </c>
      <c r="C576" s="56" t="s">
        <v>838</v>
      </c>
      <c r="D576" s="56" t="s">
        <v>843</v>
      </c>
      <c r="E576" s="56" t="s">
        <v>111</v>
      </c>
      <c r="F576" s="56" t="s">
        <v>246</v>
      </c>
      <c r="G576" s="57" t="s">
        <v>154</v>
      </c>
      <c r="H576" s="68">
        <f t="shared" si="3"/>
        <v>0</v>
      </c>
      <c r="I576" s="62"/>
      <c r="J576" s="62"/>
      <c r="K576" s="71"/>
      <c r="L576" s="57" t="s">
        <v>115</v>
      </c>
      <c r="M576" s="61"/>
      <c r="N576" s="61"/>
      <c r="O576" s="62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53"/>
      <c r="BG576" s="53"/>
      <c r="BH576" s="53"/>
      <c r="BI576" s="53"/>
      <c r="BJ576" s="53"/>
      <c r="BK576" s="53"/>
      <c r="BL576" s="53"/>
      <c r="BM576" s="53"/>
      <c r="BN576" s="53"/>
      <c r="BO576" s="53"/>
      <c r="BP576" s="53"/>
      <c r="BQ576" s="30">
        <v>2.0</v>
      </c>
      <c r="BR576" s="30">
        <f t="shared" si="4"/>
        <v>0</v>
      </c>
      <c r="BS576" s="70">
        <f t="shared" si="5"/>
        <v>0</v>
      </c>
      <c r="BT576" s="70">
        <v>1.0</v>
      </c>
    </row>
    <row r="577" ht="15.75" customHeight="1">
      <c r="A577" s="54" t="s">
        <v>831</v>
      </c>
      <c r="B577" s="56" t="s">
        <v>842</v>
      </c>
      <c r="C577" s="56" t="s">
        <v>838</v>
      </c>
      <c r="D577" s="56" t="s">
        <v>843</v>
      </c>
      <c r="E577" s="56" t="s">
        <v>844</v>
      </c>
      <c r="F577" s="56" t="s">
        <v>246</v>
      </c>
      <c r="G577" s="57" t="s">
        <v>154</v>
      </c>
      <c r="H577" s="68">
        <f t="shared" si="3"/>
        <v>0</v>
      </c>
      <c r="I577" s="62"/>
      <c r="J577" s="62"/>
      <c r="K577" s="71"/>
      <c r="L577" s="57" t="s">
        <v>115</v>
      </c>
      <c r="M577" s="61"/>
      <c r="N577" s="61"/>
      <c r="O577" s="62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53"/>
      <c r="BG577" s="53"/>
      <c r="BH577" s="53"/>
      <c r="BI577" s="53"/>
      <c r="BJ577" s="53"/>
      <c r="BK577" s="53"/>
      <c r="BL577" s="53"/>
      <c r="BM577" s="53"/>
      <c r="BN577" s="53"/>
      <c r="BO577" s="53"/>
      <c r="BP577" s="53"/>
      <c r="BQ577" s="30">
        <v>2.0</v>
      </c>
      <c r="BR577" s="30">
        <f t="shared" si="4"/>
        <v>0</v>
      </c>
      <c r="BS577" s="70">
        <f t="shared" si="5"/>
        <v>0</v>
      </c>
      <c r="BT577" s="70">
        <v>1.0</v>
      </c>
    </row>
    <row r="578" ht="15.75" customHeight="1">
      <c r="A578" s="54" t="s">
        <v>831</v>
      </c>
      <c r="B578" s="56" t="s">
        <v>842</v>
      </c>
      <c r="C578" s="56" t="s">
        <v>838</v>
      </c>
      <c r="D578" s="56" t="s">
        <v>843</v>
      </c>
      <c r="E578" s="56" t="s">
        <v>797</v>
      </c>
      <c r="F578" s="56" t="s">
        <v>249</v>
      </c>
      <c r="G578" s="57" t="s">
        <v>250</v>
      </c>
      <c r="H578" s="68">
        <f t="shared" si="3"/>
        <v>0.25</v>
      </c>
      <c r="I578" s="62"/>
      <c r="J578" s="62" t="s">
        <v>855</v>
      </c>
      <c r="K578" s="71"/>
      <c r="L578" s="57" t="s">
        <v>115</v>
      </c>
      <c r="M578" s="61"/>
      <c r="N578" s="61" t="s">
        <v>710</v>
      </c>
      <c r="O578" s="62" t="s">
        <v>855</v>
      </c>
      <c r="P578" s="53"/>
      <c r="Q578" s="53"/>
      <c r="R578" s="53"/>
      <c r="S578" s="53" t="s">
        <v>326</v>
      </c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53"/>
      <c r="BG578" s="53"/>
      <c r="BH578" s="53"/>
      <c r="BI578" s="53"/>
      <c r="BJ578" s="53"/>
      <c r="BK578" s="53"/>
      <c r="BL578" s="53"/>
      <c r="BM578" s="53"/>
      <c r="BN578" s="53"/>
      <c r="BO578" s="30"/>
      <c r="BP578" s="30"/>
      <c r="BQ578" s="30">
        <v>4.0</v>
      </c>
      <c r="BR578" s="30">
        <f t="shared" si="4"/>
        <v>1</v>
      </c>
      <c r="BS578" s="70">
        <f t="shared" si="5"/>
        <v>0</v>
      </c>
      <c r="BT578" s="70">
        <v>1.0</v>
      </c>
    </row>
    <row r="579" ht="15.75" customHeight="1">
      <c r="A579" s="54" t="s">
        <v>831</v>
      </c>
      <c r="B579" s="56" t="s">
        <v>845</v>
      </c>
      <c r="C579" s="56" t="s">
        <v>838</v>
      </c>
      <c r="D579" s="56" t="s">
        <v>846</v>
      </c>
      <c r="E579" s="56" t="s">
        <v>771</v>
      </c>
      <c r="F579" s="56" t="s">
        <v>249</v>
      </c>
      <c r="G579" s="57" t="s">
        <v>250</v>
      </c>
      <c r="H579" s="68">
        <f t="shared" si="3"/>
        <v>0.25</v>
      </c>
      <c r="I579" s="62"/>
      <c r="J579" s="62" t="s">
        <v>772</v>
      </c>
      <c r="K579" s="71"/>
      <c r="L579" s="57" t="s">
        <v>115</v>
      </c>
      <c r="M579" s="61"/>
      <c r="N579" s="61" t="s">
        <v>710</v>
      </c>
      <c r="O579" s="62" t="s">
        <v>772</v>
      </c>
      <c r="P579" s="53"/>
      <c r="Q579" s="53"/>
      <c r="R579" s="53"/>
      <c r="S579" s="53" t="s">
        <v>326</v>
      </c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53"/>
      <c r="BG579" s="53"/>
      <c r="BH579" s="53"/>
      <c r="BI579" s="53"/>
      <c r="BJ579" s="53"/>
      <c r="BK579" s="53"/>
      <c r="BL579" s="53"/>
      <c r="BM579" s="53"/>
      <c r="BN579" s="53"/>
      <c r="BO579" s="53"/>
      <c r="BP579" s="30"/>
      <c r="BQ579" s="30">
        <v>4.0</v>
      </c>
      <c r="BR579" s="30">
        <f t="shared" si="4"/>
        <v>1</v>
      </c>
      <c r="BS579" s="70">
        <f t="shared" si="5"/>
        <v>0</v>
      </c>
      <c r="BT579" s="70">
        <v>1.0</v>
      </c>
    </row>
    <row r="580" ht="15.75" customHeight="1">
      <c r="A580" s="54" t="s">
        <v>831</v>
      </c>
      <c r="B580" s="56" t="s">
        <v>845</v>
      </c>
      <c r="C580" s="56" t="s">
        <v>838</v>
      </c>
      <c r="D580" s="56" t="s">
        <v>846</v>
      </c>
      <c r="E580" s="56" t="s">
        <v>768</v>
      </c>
      <c r="F580" s="56" t="s">
        <v>249</v>
      </c>
      <c r="G580" s="57" t="s">
        <v>250</v>
      </c>
      <c r="H580" s="68">
        <f t="shared" si="3"/>
        <v>0.25</v>
      </c>
      <c r="I580" s="62"/>
      <c r="J580" s="62" t="s">
        <v>770</v>
      </c>
      <c r="K580" s="71"/>
      <c r="L580" s="57" t="s">
        <v>115</v>
      </c>
      <c r="M580" s="61"/>
      <c r="N580" s="61" t="s">
        <v>710</v>
      </c>
      <c r="O580" s="62" t="s">
        <v>770</v>
      </c>
      <c r="P580" s="53"/>
      <c r="Q580" s="53"/>
      <c r="R580" s="53"/>
      <c r="S580" s="53" t="s">
        <v>326</v>
      </c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53"/>
      <c r="BG580" s="53"/>
      <c r="BH580" s="53"/>
      <c r="BI580" s="53"/>
      <c r="BJ580" s="53"/>
      <c r="BK580" s="53"/>
      <c r="BL580" s="53"/>
      <c r="BM580" s="53"/>
      <c r="BN580" s="53"/>
      <c r="BO580" s="30"/>
      <c r="BP580" s="30"/>
      <c r="BQ580" s="30">
        <v>4.0</v>
      </c>
      <c r="BR580" s="30">
        <f t="shared" si="4"/>
        <v>1</v>
      </c>
      <c r="BS580" s="70">
        <f t="shared" si="5"/>
        <v>0</v>
      </c>
      <c r="BT580" s="70">
        <v>1.0</v>
      </c>
    </row>
    <row r="581" ht="15.75" customHeight="1">
      <c r="A581" s="54" t="s">
        <v>831</v>
      </c>
      <c r="B581" s="56" t="s">
        <v>845</v>
      </c>
      <c r="C581" s="56" t="s">
        <v>838</v>
      </c>
      <c r="D581" s="56" t="s">
        <v>846</v>
      </c>
      <c r="E581" s="56" t="s">
        <v>773</v>
      </c>
      <c r="F581" s="56" t="s">
        <v>246</v>
      </c>
      <c r="G581" s="57" t="s">
        <v>154</v>
      </c>
      <c r="H581" s="68">
        <f t="shared" si="3"/>
        <v>0</v>
      </c>
      <c r="I581" s="62"/>
      <c r="J581" s="62"/>
      <c r="K581" s="71"/>
      <c r="L581" s="57" t="s">
        <v>115</v>
      </c>
      <c r="M581" s="61"/>
      <c r="N581" s="61"/>
      <c r="O581" s="62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  <c r="BE581" s="53"/>
      <c r="BF581" s="53"/>
      <c r="BG581" s="53"/>
      <c r="BH581" s="53"/>
      <c r="BI581" s="53"/>
      <c r="BJ581" s="53"/>
      <c r="BK581" s="53"/>
      <c r="BL581" s="53"/>
      <c r="BM581" s="53"/>
      <c r="BN581" s="53"/>
      <c r="BO581" s="53"/>
      <c r="BP581" s="53"/>
      <c r="BQ581" s="30">
        <v>2.0</v>
      </c>
      <c r="BR581" s="30">
        <f t="shared" si="4"/>
        <v>0</v>
      </c>
      <c r="BS581" s="70">
        <f t="shared" si="5"/>
        <v>0</v>
      </c>
      <c r="BT581" s="70">
        <v>1.0</v>
      </c>
    </row>
    <row r="582" ht="15.75" customHeight="1">
      <c r="A582" s="54" t="s">
        <v>831</v>
      </c>
      <c r="B582" s="56" t="s">
        <v>845</v>
      </c>
      <c r="C582" s="56" t="s">
        <v>838</v>
      </c>
      <c r="D582" s="56" t="s">
        <v>846</v>
      </c>
      <c r="E582" s="56" t="s">
        <v>841</v>
      </c>
      <c r="F582" s="56" t="s">
        <v>246</v>
      </c>
      <c r="G582" s="57" t="s">
        <v>154</v>
      </c>
      <c r="H582" s="68">
        <f t="shared" si="3"/>
        <v>0</v>
      </c>
      <c r="I582" s="62"/>
      <c r="J582" s="62"/>
      <c r="K582" s="71"/>
      <c r="L582" s="57" t="s">
        <v>115</v>
      </c>
      <c r="M582" s="61"/>
      <c r="N582" s="61"/>
      <c r="O582" s="62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  <c r="BE582" s="53"/>
      <c r="BF582" s="53"/>
      <c r="BG582" s="53"/>
      <c r="BH582" s="53"/>
      <c r="BI582" s="53"/>
      <c r="BJ582" s="53"/>
      <c r="BK582" s="53"/>
      <c r="BL582" s="53"/>
      <c r="BM582" s="53"/>
      <c r="BN582" s="53"/>
      <c r="BO582" s="53"/>
      <c r="BP582" s="53"/>
      <c r="BQ582" s="30">
        <v>2.0</v>
      </c>
      <c r="BR582" s="30">
        <f t="shared" si="4"/>
        <v>0</v>
      </c>
      <c r="BS582" s="70">
        <f t="shared" si="5"/>
        <v>0</v>
      </c>
      <c r="BT582" s="70">
        <v>1.0</v>
      </c>
    </row>
    <row r="583" ht="15.75" customHeight="1">
      <c r="A583" s="54" t="s">
        <v>831</v>
      </c>
      <c r="B583" s="56" t="s">
        <v>845</v>
      </c>
      <c r="C583" s="56" t="s">
        <v>838</v>
      </c>
      <c r="D583" s="56" t="s">
        <v>846</v>
      </c>
      <c r="E583" s="56" t="s">
        <v>777</v>
      </c>
      <c r="F583" s="56" t="s">
        <v>15</v>
      </c>
      <c r="G583" s="57" t="s">
        <v>15</v>
      </c>
      <c r="H583" s="68">
        <f t="shared" si="3"/>
        <v>0.2115384615</v>
      </c>
      <c r="I583" s="62"/>
      <c r="J583" s="62"/>
      <c r="K583" s="71"/>
      <c r="L583" s="57" t="s">
        <v>115</v>
      </c>
      <c r="M583" s="61"/>
      <c r="N583" s="61"/>
      <c r="O583" s="62"/>
      <c r="P583" s="53" t="s">
        <v>131</v>
      </c>
      <c r="Q583" s="53" t="s">
        <v>131</v>
      </c>
      <c r="R583" s="53" t="s">
        <v>131</v>
      </c>
      <c r="S583" s="53" t="s">
        <v>131</v>
      </c>
      <c r="T583" s="53" t="s">
        <v>131</v>
      </c>
      <c r="U583" s="53" t="s">
        <v>131</v>
      </c>
      <c r="V583" s="53" t="s">
        <v>131</v>
      </c>
      <c r="W583" s="53" t="s">
        <v>131</v>
      </c>
      <c r="X583" s="53" t="s">
        <v>131</v>
      </c>
      <c r="Y583" s="53" t="s">
        <v>131</v>
      </c>
      <c r="Z583" s="53" t="s">
        <v>131</v>
      </c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  <c r="BE583" s="53"/>
      <c r="BF583" s="53"/>
      <c r="BG583" s="53"/>
      <c r="BH583" s="53"/>
      <c r="BI583" s="53"/>
      <c r="BJ583" s="53"/>
      <c r="BK583" s="53"/>
      <c r="BL583" s="53"/>
      <c r="BM583" s="53"/>
      <c r="BN583" s="53"/>
      <c r="BO583" s="53"/>
      <c r="BP583" s="30"/>
      <c r="BQ583" s="30">
        <v>52.0</v>
      </c>
      <c r="BR583" s="30">
        <f t="shared" si="4"/>
        <v>11</v>
      </c>
      <c r="BS583" s="70">
        <f t="shared" si="5"/>
        <v>0</v>
      </c>
      <c r="BT583" s="70">
        <v>1.0</v>
      </c>
    </row>
    <row r="584" ht="15.75" customHeight="1">
      <c r="A584" s="54" t="s">
        <v>831</v>
      </c>
      <c r="B584" s="56" t="s">
        <v>845</v>
      </c>
      <c r="C584" s="56" t="s">
        <v>838</v>
      </c>
      <c r="D584" s="56" t="s">
        <v>846</v>
      </c>
      <c r="E584" s="56" t="s">
        <v>778</v>
      </c>
      <c r="F584" s="56" t="s">
        <v>15</v>
      </c>
      <c r="G584" s="57" t="s">
        <v>15</v>
      </c>
      <c r="H584" s="68">
        <f t="shared" si="3"/>
        <v>0.2115384615</v>
      </c>
      <c r="I584" s="62"/>
      <c r="J584" s="62"/>
      <c r="K584" s="71"/>
      <c r="L584" s="57" t="s">
        <v>130</v>
      </c>
      <c r="M584" s="61"/>
      <c r="N584" s="61"/>
      <c r="O584" s="62"/>
      <c r="P584" s="53" t="s">
        <v>131</v>
      </c>
      <c r="Q584" s="53" t="s">
        <v>131</v>
      </c>
      <c r="R584" s="53" t="s">
        <v>131</v>
      </c>
      <c r="S584" s="53" t="s">
        <v>131</v>
      </c>
      <c r="T584" s="53" t="s">
        <v>131</v>
      </c>
      <c r="U584" s="53" t="s">
        <v>131</v>
      </c>
      <c r="V584" s="53" t="s">
        <v>131</v>
      </c>
      <c r="W584" s="53" t="s">
        <v>131</v>
      </c>
      <c r="X584" s="53" t="s">
        <v>131</v>
      </c>
      <c r="Y584" s="53" t="s">
        <v>131</v>
      </c>
      <c r="Z584" s="53" t="s">
        <v>131</v>
      </c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  <c r="BE584" s="53"/>
      <c r="BF584" s="53"/>
      <c r="BG584" s="53"/>
      <c r="BH584" s="53"/>
      <c r="BI584" s="53"/>
      <c r="BJ584" s="53"/>
      <c r="BK584" s="53"/>
      <c r="BL584" s="53"/>
      <c r="BM584" s="53"/>
      <c r="BN584" s="53"/>
      <c r="BO584" s="53"/>
      <c r="BP584" s="30"/>
      <c r="BQ584" s="30">
        <v>52.0</v>
      </c>
      <c r="BR584" s="30">
        <f t="shared" si="4"/>
        <v>11</v>
      </c>
      <c r="BS584" s="70">
        <f t="shared" si="5"/>
        <v>0</v>
      </c>
      <c r="BT584" s="70">
        <v>1.0</v>
      </c>
    </row>
    <row r="585" ht="15.75" customHeight="1">
      <c r="A585" s="54" t="s">
        <v>831</v>
      </c>
      <c r="B585" s="56" t="s">
        <v>847</v>
      </c>
      <c r="C585" s="56" t="s">
        <v>838</v>
      </c>
      <c r="D585" s="56" t="s">
        <v>848</v>
      </c>
      <c r="E585" s="56" t="s">
        <v>111</v>
      </c>
      <c r="F585" s="56" t="s">
        <v>246</v>
      </c>
      <c r="G585" s="57" t="s">
        <v>154</v>
      </c>
      <c r="H585" s="68">
        <f t="shared" si="3"/>
        <v>0</v>
      </c>
      <c r="I585" s="62"/>
      <c r="J585" s="62"/>
      <c r="K585" s="71"/>
      <c r="L585" s="57" t="s">
        <v>115</v>
      </c>
      <c r="M585" s="61"/>
      <c r="N585" s="61"/>
      <c r="O585" s="62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  <c r="BE585" s="53"/>
      <c r="BF585" s="53"/>
      <c r="BG585" s="53"/>
      <c r="BH585" s="53"/>
      <c r="BI585" s="53"/>
      <c r="BJ585" s="53"/>
      <c r="BK585" s="53"/>
      <c r="BL585" s="53"/>
      <c r="BM585" s="53"/>
      <c r="BN585" s="53"/>
      <c r="BO585" s="53"/>
      <c r="BP585" s="53"/>
      <c r="BQ585" s="30">
        <v>2.0</v>
      </c>
      <c r="BR585" s="30">
        <f t="shared" si="4"/>
        <v>0</v>
      </c>
      <c r="BS585" s="70">
        <f t="shared" si="5"/>
        <v>0</v>
      </c>
      <c r="BT585" s="70">
        <v>1.0</v>
      </c>
    </row>
    <row r="586" ht="15.75" customHeight="1">
      <c r="A586" s="54" t="s">
        <v>831</v>
      </c>
      <c r="B586" s="56" t="s">
        <v>847</v>
      </c>
      <c r="C586" s="56" t="s">
        <v>838</v>
      </c>
      <c r="D586" s="56" t="s">
        <v>848</v>
      </c>
      <c r="E586" s="56" t="s">
        <v>844</v>
      </c>
      <c r="F586" s="56" t="s">
        <v>246</v>
      </c>
      <c r="G586" s="57" t="s">
        <v>154</v>
      </c>
      <c r="H586" s="68">
        <f t="shared" si="3"/>
        <v>0</v>
      </c>
      <c r="I586" s="62"/>
      <c r="J586" s="62"/>
      <c r="K586" s="71"/>
      <c r="L586" s="57" t="s">
        <v>115</v>
      </c>
      <c r="M586" s="61"/>
      <c r="N586" s="61"/>
      <c r="O586" s="62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53"/>
      <c r="BG586" s="53"/>
      <c r="BH586" s="53"/>
      <c r="BI586" s="53"/>
      <c r="BJ586" s="53"/>
      <c r="BK586" s="53"/>
      <c r="BL586" s="53"/>
      <c r="BM586" s="53"/>
      <c r="BN586" s="53"/>
      <c r="BO586" s="53"/>
      <c r="BP586" s="53"/>
      <c r="BQ586" s="30">
        <v>2.0</v>
      </c>
      <c r="BR586" s="30">
        <f t="shared" si="4"/>
        <v>0</v>
      </c>
      <c r="BS586" s="70">
        <f t="shared" si="5"/>
        <v>0</v>
      </c>
      <c r="BT586" s="70">
        <v>1.0</v>
      </c>
    </row>
    <row r="587" ht="15.75" customHeight="1">
      <c r="A587" s="54" t="s">
        <v>831</v>
      </c>
      <c r="B587" s="56" t="s">
        <v>847</v>
      </c>
      <c r="C587" s="56" t="s">
        <v>838</v>
      </c>
      <c r="D587" s="56" t="s">
        <v>848</v>
      </c>
      <c r="E587" s="56" t="s">
        <v>797</v>
      </c>
      <c r="F587" s="56" t="s">
        <v>249</v>
      </c>
      <c r="G587" s="57" t="s">
        <v>250</v>
      </c>
      <c r="H587" s="68">
        <f t="shared" si="3"/>
        <v>0.25</v>
      </c>
      <c r="I587" s="62"/>
      <c r="J587" s="62" t="s">
        <v>855</v>
      </c>
      <c r="K587" s="71"/>
      <c r="L587" s="57" t="s">
        <v>115</v>
      </c>
      <c r="M587" s="61"/>
      <c r="N587" s="61" t="s">
        <v>710</v>
      </c>
      <c r="O587" s="62" t="s">
        <v>855</v>
      </c>
      <c r="P587" s="53"/>
      <c r="Q587" s="53"/>
      <c r="R587" s="53"/>
      <c r="S587" s="53" t="s">
        <v>326</v>
      </c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53"/>
      <c r="BG587" s="53"/>
      <c r="BH587" s="53"/>
      <c r="BI587" s="53"/>
      <c r="BJ587" s="53"/>
      <c r="BK587" s="53"/>
      <c r="BL587" s="53"/>
      <c r="BM587" s="53"/>
      <c r="BN587" s="53"/>
      <c r="BO587" s="30"/>
      <c r="BP587" s="30"/>
      <c r="BQ587" s="30">
        <v>4.0</v>
      </c>
      <c r="BR587" s="30">
        <f t="shared" si="4"/>
        <v>1</v>
      </c>
      <c r="BS587" s="70">
        <f t="shared" si="5"/>
        <v>0</v>
      </c>
      <c r="BT587" s="70">
        <v>1.0</v>
      </c>
    </row>
    <row r="588" ht="15.75" customHeight="1">
      <c r="A588" s="54" t="s">
        <v>831</v>
      </c>
      <c r="B588" s="56" t="s">
        <v>849</v>
      </c>
      <c r="C588" s="56" t="s">
        <v>833</v>
      </c>
      <c r="D588" s="56" t="s">
        <v>850</v>
      </c>
      <c r="E588" s="56" t="s">
        <v>336</v>
      </c>
      <c r="F588" s="56" t="s">
        <v>313</v>
      </c>
      <c r="G588" s="57" t="s">
        <v>192</v>
      </c>
      <c r="H588" s="68">
        <f t="shared" si="3"/>
        <v>0</v>
      </c>
      <c r="I588" s="62"/>
      <c r="J588" s="62"/>
      <c r="K588" s="71"/>
      <c r="L588" s="57" t="s">
        <v>115</v>
      </c>
      <c r="M588" s="61"/>
      <c r="N588" s="61"/>
      <c r="O588" s="62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53"/>
      <c r="BG588" s="53"/>
      <c r="BH588" s="53"/>
      <c r="BI588" s="53"/>
      <c r="BJ588" s="53"/>
      <c r="BK588" s="53"/>
      <c r="BL588" s="53"/>
      <c r="BM588" s="53"/>
      <c r="BN588" s="53"/>
      <c r="BO588" s="53"/>
      <c r="BP588" s="53"/>
      <c r="BQ588" s="30">
        <v>3.0</v>
      </c>
      <c r="BR588" s="30">
        <f t="shared" si="4"/>
        <v>0</v>
      </c>
      <c r="BS588" s="70">
        <f t="shared" si="5"/>
        <v>0</v>
      </c>
      <c r="BT588" s="70">
        <v>1.0</v>
      </c>
    </row>
    <row r="589" ht="15.75" customHeight="1">
      <c r="A589" s="54" t="s">
        <v>831</v>
      </c>
      <c r="B589" s="56" t="s">
        <v>851</v>
      </c>
      <c r="C589" s="56" t="s">
        <v>852</v>
      </c>
      <c r="D589" s="56" t="s">
        <v>853</v>
      </c>
      <c r="E589" s="56" t="s">
        <v>854</v>
      </c>
      <c r="F589" s="56" t="s">
        <v>249</v>
      </c>
      <c r="G589" s="57" t="s">
        <v>250</v>
      </c>
      <c r="H589" s="68">
        <f t="shared" si="3"/>
        <v>0.25</v>
      </c>
      <c r="I589" s="62"/>
      <c r="J589" s="62" t="s">
        <v>864</v>
      </c>
      <c r="K589" s="71"/>
      <c r="L589" s="57" t="s">
        <v>130</v>
      </c>
      <c r="M589" s="61"/>
      <c r="N589" s="61" t="s">
        <v>710</v>
      </c>
      <c r="O589" s="62" t="s">
        <v>864</v>
      </c>
      <c r="P589" s="53"/>
      <c r="Q589" s="53"/>
      <c r="R589" s="53"/>
      <c r="S589" s="53" t="s">
        <v>326</v>
      </c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53"/>
      <c r="BG589" s="53"/>
      <c r="BH589" s="53"/>
      <c r="BI589" s="53"/>
      <c r="BJ589" s="53"/>
      <c r="BK589" s="53"/>
      <c r="BL589" s="53"/>
      <c r="BM589" s="53"/>
      <c r="BN589" s="53"/>
      <c r="BO589" s="53"/>
      <c r="BP589" s="53"/>
      <c r="BQ589" s="30">
        <v>4.0</v>
      </c>
      <c r="BR589" s="30">
        <f t="shared" si="4"/>
        <v>1</v>
      </c>
      <c r="BS589" s="70">
        <f t="shared" si="5"/>
        <v>0</v>
      </c>
      <c r="BT589" s="70">
        <v>1.0</v>
      </c>
    </row>
    <row r="590" ht="15.75" customHeight="1">
      <c r="A590" s="54" t="s">
        <v>831</v>
      </c>
      <c r="B590" s="56" t="s">
        <v>851</v>
      </c>
      <c r="C590" s="56" t="s">
        <v>852</v>
      </c>
      <c r="D590" s="56" t="s">
        <v>853</v>
      </c>
      <c r="E590" s="56" t="s">
        <v>824</v>
      </c>
      <c r="F590" s="56" t="s">
        <v>246</v>
      </c>
      <c r="G590" s="57" t="s">
        <v>154</v>
      </c>
      <c r="H590" s="68">
        <f t="shared" si="3"/>
        <v>0</v>
      </c>
      <c r="I590" s="62"/>
      <c r="J590" s="62"/>
      <c r="K590" s="71"/>
      <c r="L590" s="57" t="s">
        <v>115</v>
      </c>
      <c r="M590" s="61"/>
      <c r="N590" s="61"/>
      <c r="O590" s="62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53"/>
      <c r="BG590" s="53"/>
      <c r="BH590" s="53"/>
      <c r="BI590" s="53"/>
      <c r="BJ590" s="53"/>
      <c r="BK590" s="53"/>
      <c r="BL590" s="53"/>
      <c r="BM590" s="53"/>
      <c r="BN590" s="53"/>
      <c r="BO590" s="53"/>
      <c r="BP590" s="30"/>
      <c r="BQ590" s="30">
        <v>2.0</v>
      </c>
      <c r="BR590" s="30">
        <f t="shared" si="4"/>
        <v>0</v>
      </c>
      <c r="BS590" s="70">
        <f t="shared" si="5"/>
        <v>0</v>
      </c>
      <c r="BT590" s="70">
        <v>1.0</v>
      </c>
    </row>
    <row r="591" ht="15.75" customHeight="1">
      <c r="A591" s="54" t="s">
        <v>831</v>
      </c>
      <c r="B591" s="56" t="s">
        <v>851</v>
      </c>
      <c r="C591" s="56" t="s">
        <v>852</v>
      </c>
      <c r="D591" s="56" t="s">
        <v>853</v>
      </c>
      <c r="E591" s="56" t="s">
        <v>111</v>
      </c>
      <c r="F591" s="56" t="s">
        <v>313</v>
      </c>
      <c r="G591" s="57" t="s">
        <v>192</v>
      </c>
      <c r="H591" s="68">
        <f t="shared" si="3"/>
        <v>0</v>
      </c>
      <c r="I591" s="62"/>
      <c r="J591" s="62"/>
      <c r="K591" s="71"/>
      <c r="L591" s="57" t="s">
        <v>130</v>
      </c>
      <c r="M591" s="61"/>
      <c r="N591" s="61"/>
      <c r="O591" s="62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53"/>
      <c r="BG591" s="53"/>
      <c r="BH591" s="53"/>
      <c r="BI591" s="53"/>
      <c r="BJ591" s="53"/>
      <c r="BK591" s="53"/>
      <c r="BL591" s="53"/>
      <c r="BM591" s="53"/>
      <c r="BN591" s="53"/>
      <c r="BO591" s="53"/>
      <c r="BP591" s="30"/>
      <c r="BQ591" s="30">
        <v>3.0</v>
      </c>
      <c r="BR591" s="30">
        <f t="shared" si="4"/>
        <v>0</v>
      </c>
      <c r="BS591" s="70">
        <f t="shared" si="5"/>
        <v>0</v>
      </c>
      <c r="BT591" s="70">
        <v>1.0</v>
      </c>
    </row>
    <row r="592" ht="15.75" customHeight="1">
      <c r="A592" s="54" t="s">
        <v>831</v>
      </c>
      <c r="B592" s="56" t="s">
        <v>851</v>
      </c>
      <c r="C592" s="56" t="s">
        <v>852</v>
      </c>
      <c r="D592" s="56" t="s">
        <v>853</v>
      </c>
      <c r="E592" s="56" t="s">
        <v>856</v>
      </c>
      <c r="F592" s="56" t="s">
        <v>313</v>
      </c>
      <c r="G592" s="57" t="s">
        <v>192</v>
      </c>
      <c r="H592" s="68">
        <f t="shared" si="3"/>
        <v>0</v>
      </c>
      <c r="I592" s="62"/>
      <c r="J592" s="62"/>
      <c r="K592" s="71"/>
      <c r="L592" s="57" t="s">
        <v>115</v>
      </c>
      <c r="M592" s="61"/>
      <c r="N592" s="61"/>
      <c r="O592" s="62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53"/>
      <c r="BG592" s="53"/>
      <c r="BH592" s="53"/>
      <c r="BI592" s="53"/>
      <c r="BJ592" s="53"/>
      <c r="BK592" s="53"/>
      <c r="BL592" s="53"/>
      <c r="BM592" s="53"/>
      <c r="BN592" s="53"/>
      <c r="BO592" s="53"/>
      <c r="BP592" s="30"/>
      <c r="BQ592" s="30">
        <v>3.0</v>
      </c>
      <c r="BR592" s="30">
        <f t="shared" si="4"/>
        <v>0</v>
      </c>
      <c r="BS592" s="70">
        <f t="shared" si="5"/>
        <v>0</v>
      </c>
      <c r="BT592" s="70">
        <v>1.0</v>
      </c>
    </row>
    <row r="593" ht="15.75" customHeight="1">
      <c r="A593" s="54" t="s">
        <v>831</v>
      </c>
      <c r="B593" s="56" t="s">
        <v>851</v>
      </c>
      <c r="C593" s="56" t="s">
        <v>852</v>
      </c>
      <c r="D593" s="56" t="s">
        <v>853</v>
      </c>
      <c r="E593" s="56" t="s">
        <v>857</v>
      </c>
      <c r="F593" s="56" t="s">
        <v>313</v>
      </c>
      <c r="G593" s="57" t="s">
        <v>192</v>
      </c>
      <c r="H593" s="68">
        <f t="shared" si="3"/>
        <v>0</v>
      </c>
      <c r="I593" s="62"/>
      <c r="J593" s="62"/>
      <c r="K593" s="71"/>
      <c r="L593" s="57" t="s">
        <v>130</v>
      </c>
      <c r="M593" s="61"/>
      <c r="N593" s="61"/>
      <c r="O593" s="62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53"/>
      <c r="BG593" s="53"/>
      <c r="BH593" s="53"/>
      <c r="BI593" s="53"/>
      <c r="BJ593" s="53"/>
      <c r="BK593" s="53"/>
      <c r="BL593" s="53"/>
      <c r="BM593" s="53"/>
      <c r="BN593" s="53"/>
      <c r="BO593" s="53"/>
      <c r="BP593" s="30"/>
      <c r="BQ593" s="30">
        <v>3.0</v>
      </c>
      <c r="BR593" s="30">
        <f t="shared" si="4"/>
        <v>0</v>
      </c>
      <c r="BS593" s="70">
        <f t="shared" si="5"/>
        <v>0</v>
      </c>
      <c r="BT593" s="70">
        <v>1.0</v>
      </c>
    </row>
    <row r="594" ht="15.75" customHeight="1">
      <c r="A594" s="54" t="s">
        <v>831</v>
      </c>
      <c r="B594" s="56" t="s">
        <v>858</v>
      </c>
      <c r="C594" s="56" t="s">
        <v>838</v>
      </c>
      <c r="D594" s="56" t="s">
        <v>859</v>
      </c>
      <c r="E594" s="56" t="s">
        <v>111</v>
      </c>
      <c r="F594" s="56" t="s">
        <v>246</v>
      </c>
      <c r="G594" s="57" t="s">
        <v>154</v>
      </c>
      <c r="H594" s="68">
        <f t="shared" si="3"/>
        <v>0</v>
      </c>
      <c r="I594" s="62"/>
      <c r="J594" s="62"/>
      <c r="K594" s="71"/>
      <c r="L594" s="57" t="s">
        <v>115</v>
      </c>
      <c r="M594" s="61"/>
      <c r="N594" s="61"/>
      <c r="O594" s="62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53"/>
      <c r="BG594" s="53"/>
      <c r="BH594" s="53"/>
      <c r="BI594" s="53"/>
      <c r="BJ594" s="53"/>
      <c r="BK594" s="53"/>
      <c r="BL594" s="53"/>
      <c r="BM594" s="53"/>
      <c r="BN594" s="53"/>
      <c r="BO594" s="53"/>
      <c r="BP594" s="53"/>
      <c r="BQ594" s="30">
        <v>2.0</v>
      </c>
      <c r="BR594" s="30">
        <f t="shared" si="4"/>
        <v>0</v>
      </c>
      <c r="BS594" s="70">
        <f t="shared" si="5"/>
        <v>0</v>
      </c>
      <c r="BT594" s="70">
        <v>1.0</v>
      </c>
    </row>
    <row r="595" ht="15.75" customHeight="1">
      <c r="A595" s="54" t="s">
        <v>831</v>
      </c>
      <c r="B595" s="56" t="s">
        <v>858</v>
      </c>
      <c r="C595" s="56" t="s">
        <v>838</v>
      </c>
      <c r="D595" s="56" t="s">
        <v>859</v>
      </c>
      <c r="E595" s="56" t="s">
        <v>824</v>
      </c>
      <c r="F595" s="56" t="s">
        <v>246</v>
      </c>
      <c r="G595" s="57" t="s">
        <v>154</v>
      </c>
      <c r="H595" s="68">
        <f t="shared" si="3"/>
        <v>0</v>
      </c>
      <c r="I595" s="62"/>
      <c r="J595" s="62"/>
      <c r="K595" s="71"/>
      <c r="L595" s="57" t="s">
        <v>115</v>
      </c>
      <c r="M595" s="61"/>
      <c r="N595" s="61"/>
      <c r="O595" s="62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53"/>
      <c r="BG595" s="53"/>
      <c r="BH595" s="53"/>
      <c r="BI595" s="53"/>
      <c r="BJ595" s="53"/>
      <c r="BK595" s="53"/>
      <c r="BL595" s="53"/>
      <c r="BM595" s="53"/>
      <c r="BN595" s="53"/>
      <c r="BO595" s="53"/>
      <c r="BP595" s="53"/>
      <c r="BQ595" s="30">
        <v>2.0</v>
      </c>
      <c r="BR595" s="30">
        <f t="shared" si="4"/>
        <v>0</v>
      </c>
      <c r="BS595" s="70">
        <f t="shared" si="5"/>
        <v>0</v>
      </c>
      <c r="BT595" s="70">
        <v>1.0</v>
      </c>
    </row>
    <row r="596" ht="15.75" customHeight="1">
      <c r="A596" s="54" t="s">
        <v>831</v>
      </c>
      <c r="B596" s="56" t="s">
        <v>858</v>
      </c>
      <c r="C596" s="56" t="s">
        <v>838</v>
      </c>
      <c r="D596" s="56" t="s">
        <v>859</v>
      </c>
      <c r="E596" s="56" t="s">
        <v>797</v>
      </c>
      <c r="F596" s="56" t="s">
        <v>249</v>
      </c>
      <c r="G596" s="57" t="s">
        <v>250</v>
      </c>
      <c r="H596" s="68">
        <f t="shared" si="3"/>
        <v>0.25</v>
      </c>
      <c r="I596" s="62"/>
      <c r="J596" s="62" t="s">
        <v>872</v>
      </c>
      <c r="K596" s="71"/>
      <c r="L596" s="57" t="s">
        <v>115</v>
      </c>
      <c r="M596" s="61"/>
      <c r="N596" s="61" t="s">
        <v>710</v>
      </c>
      <c r="O596" s="62" t="s">
        <v>872</v>
      </c>
      <c r="P596" s="53"/>
      <c r="Q596" s="53"/>
      <c r="R596" s="53"/>
      <c r="S596" s="53" t="s">
        <v>326</v>
      </c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53"/>
      <c r="BG596" s="53"/>
      <c r="BH596" s="53"/>
      <c r="BI596" s="53"/>
      <c r="BJ596" s="53"/>
      <c r="BK596" s="53"/>
      <c r="BL596" s="53"/>
      <c r="BM596" s="53"/>
      <c r="BN596" s="53"/>
      <c r="BO596" s="30"/>
      <c r="BP596" s="30"/>
      <c r="BQ596" s="30">
        <v>4.0</v>
      </c>
      <c r="BR596" s="30">
        <f t="shared" si="4"/>
        <v>1</v>
      </c>
      <c r="BS596" s="70">
        <f t="shared" si="5"/>
        <v>0</v>
      </c>
      <c r="BT596" s="70">
        <v>1.0</v>
      </c>
    </row>
    <row r="597" ht="15.75" customHeight="1">
      <c r="A597" s="54" t="s">
        <v>831</v>
      </c>
      <c r="B597" s="56" t="s">
        <v>860</v>
      </c>
      <c r="C597" s="56" t="s">
        <v>852</v>
      </c>
      <c r="D597" s="56" t="s">
        <v>861</v>
      </c>
      <c r="E597" s="56" t="s">
        <v>854</v>
      </c>
      <c r="F597" s="56" t="s">
        <v>249</v>
      </c>
      <c r="G597" s="57" t="s">
        <v>250</v>
      </c>
      <c r="H597" s="68">
        <f t="shared" si="3"/>
        <v>0.25</v>
      </c>
      <c r="I597" s="62"/>
      <c r="J597" s="62" t="s">
        <v>864</v>
      </c>
      <c r="K597" s="71"/>
      <c r="L597" s="57" t="s">
        <v>130</v>
      </c>
      <c r="M597" s="61"/>
      <c r="N597" s="61" t="s">
        <v>710</v>
      </c>
      <c r="O597" s="62" t="s">
        <v>864</v>
      </c>
      <c r="P597" s="53"/>
      <c r="Q597" s="53"/>
      <c r="R597" s="53"/>
      <c r="S597" s="53" t="s">
        <v>326</v>
      </c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53"/>
      <c r="BG597" s="53"/>
      <c r="BH597" s="53"/>
      <c r="BI597" s="53"/>
      <c r="BJ597" s="53"/>
      <c r="BK597" s="53"/>
      <c r="BL597" s="53"/>
      <c r="BM597" s="53"/>
      <c r="BN597" s="53"/>
      <c r="BO597" s="30"/>
      <c r="BP597" s="30"/>
      <c r="BQ597" s="30">
        <v>4.0</v>
      </c>
      <c r="BR597" s="30">
        <f t="shared" si="4"/>
        <v>1</v>
      </c>
      <c r="BS597" s="70">
        <f t="shared" si="5"/>
        <v>0</v>
      </c>
      <c r="BT597" s="70">
        <v>1.0</v>
      </c>
    </row>
    <row r="598" ht="15.75" customHeight="1">
      <c r="A598" s="54" t="s">
        <v>831</v>
      </c>
      <c r="B598" s="56" t="s">
        <v>860</v>
      </c>
      <c r="C598" s="56" t="s">
        <v>852</v>
      </c>
      <c r="D598" s="56" t="s">
        <v>861</v>
      </c>
      <c r="E598" s="56" t="s">
        <v>824</v>
      </c>
      <c r="F598" s="56" t="s">
        <v>246</v>
      </c>
      <c r="G598" s="57" t="s">
        <v>154</v>
      </c>
      <c r="H598" s="68">
        <f t="shared" si="3"/>
        <v>0</v>
      </c>
      <c r="I598" s="62"/>
      <c r="J598" s="62"/>
      <c r="K598" s="71"/>
      <c r="L598" s="57" t="s">
        <v>115</v>
      </c>
      <c r="M598" s="61"/>
      <c r="N598" s="61"/>
      <c r="O598" s="62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53"/>
      <c r="BG598" s="53"/>
      <c r="BH598" s="53"/>
      <c r="BI598" s="53"/>
      <c r="BJ598" s="53"/>
      <c r="BK598" s="53"/>
      <c r="BL598" s="53"/>
      <c r="BM598" s="53"/>
      <c r="BN598" s="53"/>
      <c r="BO598" s="53"/>
      <c r="BP598" s="30"/>
      <c r="BQ598" s="30">
        <v>2.0</v>
      </c>
      <c r="BR598" s="30">
        <f t="shared" si="4"/>
        <v>0</v>
      </c>
      <c r="BS598" s="70">
        <f t="shared" si="5"/>
        <v>0</v>
      </c>
      <c r="BT598" s="70">
        <v>1.0</v>
      </c>
    </row>
    <row r="599" ht="15.75" customHeight="1">
      <c r="A599" s="54" t="s">
        <v>831</v>
      </c>
      <c r="B599" s="56" t="s">
        <v>860</v>
      </c>
      <c r="C599" s="56" t="s">
        <v>852</v>
      </c>
      <c r="D599" s="56" t="s">
        <v>861</v>
      </c>
      <c r="E599" s="56" t="s">
        <v>856</v>
      </c>
      <c r="F599" s="56" t="s">
        <v>246</v>
      </c>
      <c r="G599" s="57" t="s">
        <v>154</v>
      </c>
      <c r="H599" s="68">
        <f t="shared" si="3"/>
        <v>0</v>
      </c>
      <c r="I599" s="62"/>
      <c r="J599" s="62"/>
      <c r="K599" s="71"/>
      <c r="L599" s="57" t="s">
        <v>115</v>
      </c>
      <c r="M599" s="61"/>
      <c r="N599" s="61"/>
      <c r="O599" s="62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53"/>
      <c r="BG599" s="53"/>
      <c r="BH599" s="53"/>
      <c r="BI599" s="53"/>
      <c r="BJ599" s="53"/>
      <c r="BK599" s="53"/>
      <c r="BL599" s="53"/>
      <c r="BM599" s="53"/>
      <c r="BN599" s="53"/>
      <c r="BO599" s="53"/>
      <c r="BP599" s="30"/>
      <c r="BQ599" s="30">
        <v>2.0</v>
      </c>
      <c r="BR599" s="30">
        <f t="shared" si="4"/>
        <v>0</v>
      </c>
      <c r="BS599" s="70">
        <f t="shared" si="5"/>
        <v>0</v>
      </c>
      <c r="BT599" s="70">
        <v>1.0</v>
      </c>
    </row>
    <row r="600" ht="15.75" customHeight="1">
      <c r="A600" s="54" t="s">
        <v>831</v>
      </c>
      <c r="B600" s="56" t="s">
        <v>860</v>
      </c>
      <c r="C600" s="56" t="s">
        <v>852</v>
      </c>
      <c r="D600" s="56" t="s">
        <v>861</v>
      </c>
      <c r="E600" s="56" t="s">
        <v>111</v>
      </c>
      <c r="F600" s="56" t="s">
        <v>313</v>
      </c>
      <c r="G600" s="57" t="s">
        <v>192</v>
      </c>
      <c r="H600" s="68">
        <f t="shared" si="3"/>
        <v>0</v>
      </c>
      <c r="I600" s="62"/>
      <c r="J600" s="62"/>
      <c r="K600" s="71"/>
      <c r="L600" s="57" t="s">
        <v>130</v>
      </c>
      <c r="M600" s="61"/>
      <c r="N600" s="61"/>
      <c r="O600" s="62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53"/>
      <c r="BG600" s="53"/>
      <c r="BH600" s="53"/>
      <c r="BI600" s="53"/>
      <c r="BJ600" s="53"/>
      <c r="BK600" s="53"/>
      <c r="BL600" s="53"/>
      <c r="BM600" s="53"/>
      <c r="BN600" s="53"/>
      <c r="BO600" s="53"/>
      <c r="BP600" s="53"/>
      <c r="BQ600" s="30">
        <v>3.0</v>
      </c>
      <c r="BR600" s="30">
        <f t="shared" si="4"/>
        <v>0</v>
      </c>
      <c r="BS600" s="70">
        <f t="shared" si="5"/>
        <v>0</v>
      </c>
      <c r="BT600" s="70">
        <v>1.0</v>
      </c>
    </row>
    <row r="601" ht="15.75" customHeight="1">
      <c r="A601" s="54" t="s">
        <v>831</v>
      </c>
      <c r="B601" s="56" t="s">
        <v>860</v>
      </c>
      <c r="C601" s="56" t="s">
        <v>852</v>
      </c>
      <c r="D601" s="56" t="s">
        <v>861</v>
      </c>
      <c r="E601" s="56" t="s">
        <v>857</v>
      </c>
      <c r="F601" s="56" t="s">
        <v>313</v>
      </c>
      <c r="G601" s="57" t="s">
        <v>192</v>
      </c>
      <c r="H601" s="68">
        <f t="shared" si="3"/>
        <v>0</v>
      </c>
      <c r="I601" s="62"/>
      <c r="J601" s="62"/>
      <c r="K601" s="71"/>
      <c r="L601" s="57" t="s">
        <v>130</v>
      </c>
      <c r="M601" s="61"/>
      <c r="N601" s="61"/>
      <c r="O601" s="62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53"/>
      <c r="BG601" s="53"/>
      <c r="BH601" s="53"/>
      <c r="BI601" s="53"/>
      <c r="BJ601" s="53"/>
      <c r="BK601" s="53"/>
      <c r="BL601" s="53"/>
      <c r="BM601" s="53"/>
      <c r="BN601" s="53"/>
      <c r="BO601" s="53"/>
      <c r="BP601" s="30"/>
      <c r="BQ601" s="30">
        <v>3.0</v>
      </c>
      <c r="BR601" s="30">
        <f t="shared" si="4"/>
        <v>0</v>
      </c>
      <c r="BS601" s="70">
        <f t="shared" si="5"/>
        <v>0</v>
      </c>
      <c r="BT601" s="70">
        <v>1.0</v>
      </c>
    </row>
    <row r="602" ht="15.75" customHeight="1">
      <c r="A602" s="54" t="s">
        <v>831</v>
      </c>
      <c r="B602" s="56" t="s">
        <v>862</v>
      </c>
      <c r="C602" s="56" t="s">
        <v>838</v>
      </c>
      <c r="D602" s="56" t="s">
        <v>863</v>
      </c>
      <c r="E602" s="56" t="s">
        <v>111</v>
      </c>
      <c r="F602" s="56" t="s">
        <v>246</v>
      </c>
      <c r="G602" s="57" t="s">
        <v>154</v>
      </c>
      <c r="H602" s="68">
        <f t="shared" si="3"/>
        <v>0</v>
      </c>
      <c r="I602" s="62"/>
      <c r="J602" s="62"/>
      <c r="K602" s="71"/>
      <c r="L602" s="57" t="s">
        <v>115</v>
      </c>
      <c r="M602" s="61"/>
      <c r="N602" s="61"/>
      <c r="O602" s="62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53"/>
      <c r="BG602" s="53"/>
      <c r="BH602" s="53"/>
      <c r="BI602" s="53"/>
      <c r="BJ602" s="53"/>
      <c r="BK602" s="53"/>
      <c r="BL602" s="53"/>
      <c r="BM602" s="53"/>
      <c r="BN602" s="53"/>
      <c r="BO602" s="53"/>
      <c r="BP602" s="53"/>
      <c r="BQ602" s="30">
        <v>2.0</v>
      </c>
      <c r="BR602" s="30">
        <f t="shared" si="4"/>
        <v>0</v>
      </c>
      <c r="BS602" s="70">
        <f t="shared" si="5"/>
        <v>0</v>
      </c>
      <c r="BT602" s="70">
        <v>1.0</v>
      </c>
    </row>
    <row r="603" ht="15.75" customHeight="1">
      <c r="A603" s="54" t="s">
        <v>831</v>
      </c>
      <c r="B603" s="56" t="s">
        <v>862</v>
      </c>
      <c r="C603" s="56" t="s">
        <v>838</v>
      </c>
      <c r="D603" s="56" t="s">
        <v>863</v>
      </c>
      <c r="E603" s="56" t="s">
        <v>824</v>
      </c>
      <c r="F603" s="56" t="s">
        <v>246</v>
      </c>
      <c r="G603" s="57" t="s">
        <v>154</v>
      </c>
      <c r="H603" s="68">
        <f t="shared" si="3"/>
        <v>0</v>
      </c>
      <c r="I603" s="62"/>
      <c r="J603" s="62"/>
      <c r="K603" s="71"/>
      <c r="L603" s="57" t="s">
        <v>115</v>
      </c>
      <c r="M603" s="61"/>
      <c r="N603" s="61"/>
      <c r="O603" s="62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53"/>
      <c r="BG603" s="53"/>
      <c r="BH603" s="53"/>
      <c r="BI603" s="53"/>
      <c r="BJ603" s="53"/>
      <c r="BK603" s="53"/>
      <c r="BL603" s="53"/>
      <c r="BM603" s="53"/>
      <c r="BN603" s="53"/>
      <c r="BO603" s="53"/>
      <c r="BP603" s="53"/>
      <c r="BQ603" s="30">
        <v>2.0</v>
      </c>
      <c r="BR603" s="30">
        <f t="shared" si="4"/>
        <v>0</v>
      </c>
      <c r="BS603" s="70">
        <f t="shared" si="5"/>
        <v>0</v>
      </c>
      <c r="BT603" s="70">
        <v>1.0</v>
      </c>
    </row>
    <row r="604" ht="15.75" customHeight="1">
      <c r="A604" s="54" t="s">
        <v>831</v>
      </c>
      <c r="B604" s="56" t="s">
        <v>862</v>
      </c>
      <c r="C604" s="56" t="s">
        <v>838</v>
      </c>
      <c r="D604" s="56" t="s">
        <v>863</v>
      </c>
      <c r="E604" s="56" t="s">
        <v>797</v>
      </c>
      <c r="F604" s="56" t="s">
        <v>249</v>
      </c>
      <c r="G604" s="57" t="s">
        <v>250</v>
      </c>
      <c r="H604" s="68">
        <f t="shared" si="3"/>
        <v>0.25</v>
      </c>
      <c r="I604" s="62"/>
      <c r="J604" s="62" t="s">
        <v>872</v>
      </c>
      <c r="K604" s="71"/>
      <c r="L604" s="57" t="s">
        <v>115</v>
      </c>
      <c r="M604" s="61"/>
      <c r="N604" s="61" t="s">
        <v>710</v>
      </c>
      <c r="O604" s="62" t="s">
        <v>872</v>
      </c>
      <c r="P604" s="53"/>
      <c r="Q604" s="53"/>
      <c r="R604" s="53"/>
      <c r="S604" s="53" t="s">
        <v>326</v>
      </c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53"/>
      <c r="BG604" s="53"/>
      <c r="BH604" s="53"/>
      <c r="BI604" s="53"/>
      <c r="BJ604" s="53"/>
      <c r="BK604" s="53"/>
      <c r="BL604" s="53"/>
      <c r="BM604" s="53"/>
      <c r="BN604" s="53"/>
      <c r="BO604" s="30"/>
      <c r="BP604" s="30"/>
      <c r="BQ604" s="30">
        <v>4.0</v>
      </c>
      <c r="BR604" s="30">
        <f t="shared" si="4"/>
        <v>1</v>
      </c>
      <c r="BS604" s="70">
        <f t="shared" si="5"/>
        <v>0</v>
      </c>
      <c r="BT604" s="70">
        <v>1.0</v>
      </c>
    </row>
    <row r="605" ht="15.75" customHeight="1">
      <c r="A605" s="54" t="s">
        <v>831</v>
      </c>
      <c r="B605" s="56" t="s">
        <v>865</v>
      </c>
      <c r="C605" s="56" t="s">
        <v>838</v>
      </c>
      <c r="D605" s="56" t="s">
        <v>866</v>
      </c>
      <c r="E605" s="56" t="s">
        <v>867</v>
      </c>
      <c r="F605" s="56" t="s">
        <v>246</v>
      </c>
      <c r="G605" s="57" t="s">
        <v>154</v>
      </c>
      <c r="H605" s="68">
        <f t="shared" si="3"/>
        <v>0</v>
      </c>
      <c r="I605" s="62" t="s">
        <v>146</v>
      </c>
      <c r="J605" s="62"/>
      <c r="K605" s="71"/>
      <c r="L605" s="57" t="s">
        <v>130</v>
      </c>
      <c r="M605" s="61"/>
      <c r="N605" s="61"/>
      <c r="O605" s="62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53"/>
      <c r="BG605" s="53"/>
      <c r="BH605" s="53"/>
      <c r="BI605" s="53"/>
      <c r="BJ605" s="53"/>
      <c r="BK605" s="53"/>
      <c r="BL605" s="53"/>
      <c r="BM605" s="53"/>
      <c r="BN605" s="53"/>
      <c r="BO605" s="53"/>
      <c r="BP605" s="53"/>
      <c r="BQ605" s="30">
        <v>2.0</v>
      </c>
      <c r="BR605" s="30">
        <f t="shared" si="4"/>
        <v>0</v>
      </c>
      <c r="BS605" s="70">
        <f t="shared" si="5"/>
        <v>0</v>
      </c>
      <c r="BT605" s="70">
        <v>1.0</v>
      </c>
    </row>
    <row r="606" ht="15.75" customHeight="1">
      <c r="A606" s="54" t="s">
        <v>831</v>
      </c>
      <c r="B606" s="56" t="s">
        <v>865</v>
      </c>
      <c r="C606" s="56" t="s">
        <v>838</v>
      </c>
      <c r="D606" s="56" t="s">
        <v>866</v>
      </c>
      <c r="E606" s="56" t="s">
        <v>868</v>
      </c>
      <c r="F606" s="56" t="s">
        <v>246</v>
      </c>
      <c r="G606" s="57" t="s">
        <v>154</v>
      </c>
      <c r="H606" s="68">
        <f t="shared" si="3"/>
        <v>0</v>
      </c>
      <c r="I606" s="62"/>
      <c r="J606" s="62"/>
      <c r="K606" s="71"/>
      <c r="L606" s="57" t="s">
        <v>130</v>
      </c>
      <c r="M606" s="61"/>
      <c r="N606" s="61"/>
      <c r="O606" s="62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53"/>
      <c r="BG606" s="53"/>
      <c r="BH606" s="53"/>
      <c r="BI606" s="53"/>
      <c r="BJ606" s="53"/>
      <c r="BK606" s="53"/>
      <c r="BL606" s="53"/>
      <c r="BM606" s="53"/>
      <c r="BN606" s="53"/>
      <c r="BO606" s="53"/>
      <c r="BP606" s="53"/>
      <c r="BQ606" s="30">
        <v>2.0</v>
      </c>
      <c r="BR606" s="30">
        <f t="shared" si="4"/>
        <v>0</v>
      </c>
      <c r="BS606" s="70">
        <f t="shared" si="5"/>
        <v>0</v>
      </c>
      <c r="BT606" s="70">
        <v>1.0</v>
      </c>
    </row>
    <row r="607" ht="15.75" customHeight="1">
      <c r="A607" s="54" t="s">
        <v>831</v>
      </c>
      <c r="B607" s="56" t="s">
        <v>869</v>
      </c>
      <c r="C607" s="56" t="s">
        <v>833</v>
      </c>
      <c r="D607" s="56" t="s">
        <v>850</v>
      </c>
      <c r="E607" s="56" t="s">
        <v>870</v>
      </c>
      <c r="F607" s="56" t="s">
        <v>246</v>
      </c>
      <c r="G607" s="57" t="s">
        <v>154</v>
      </c>
      <c r="H607" s="68">
        <f t="shared" si="3"/>
        <v>0</v>
      </c>
      <c r="I607" s="62"/>
      <c r="J607" s="62"/>
      <c r="K607" s="71"/>
      <c r="L607" s="57" t="s">
        <v>130</v>
      </c>
      <c r="M607" s="61"/>
      <c r="N607" s="61"/>
      <c r="O607" s="62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53"/>
      <c r="BG607" s="53"/>
      <c r="BH607" s="53"/>
      <c r="BI607" s="53"/>
      <c r="BJ607" s="53"/>
      <c r="BK607" s="53"/>
      <c r="BL607" s="53"/>
      <c r="BM607" s="53"/>
      <c r="BN607" s="53"/>
      <c r="BO607" s="53"/>
      <c r="BP607" s="53"/>
      <c r="BQ607" s="30">
        <v>2.0</v>
      </c>
      <c r="BR607" s="30">
        <f t="shared" si="4"/>
        <v>0</v>
      </c>
      <c r="BS607" s="70">
        <f t="shared" si="5"/>
        <v>0</v>
      </c>
      <c r="BT607" s="70">
        <v>1.0</v>
      </c>
    </row>
    <row r="608" ht="15.75" customHeight="1">
      <c r="A608" s="54" t="s">
        <v>831</v>
      </c>
      <c r="B608" s="56" t="s">
        <v>869</v>
      </c>
      <c r="C608" s="56" t="s">
        <v>833</v>
      </c>
      <c r="D608" s="56" t="s">
        <v>850</v>
      </c>
      <c r="E608" s="56" t="s">
        <v>871</v>
      </c>
      <c r="F608" s="56" t="s">
        <v>313</v>
      </c>
      <c r="G608" s="57" t="s">
        <v>192</v>
      </c>
      <c r="H608" s="68">
        <f t="shared" si="3"/>
        <v>0</v>
      </c>
      <c r="I608" s="62"/>
      <c r="J608" s="62"/>
      <c r="K608" s="71"/>
      <c r="L608" s="57" t="s">
        <v>130</v>
      </c>
      <c r="M608" s="61"/>
      <c r="N608" s="61"/>
      <c r="O608" s="62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53"/>
      <c r="BG608" s="53"/>
      <c r="BH608" s="53"/>
      <c r="BI608" s="53"/>
      <c r="BJ608" s="53"/>
      <c r="BK608" s="53"/>
      <c r="BL608" s="53"/>
      <c r="BM608" s="53"/>
      <c r="BN608" s="53"/>
      <c r="BO608" s="53"/>
      <c r="BP608" s="53"/>
      <c r="BQ608" s="30">
        <v>3.0</v>
      </c>
      <c r="BR608" s="30">
        <f t="shared" si="4"/>
        <v>0</v>
      </c>
      <c r="BS608" s="70">
        <f t="shared" si="5"/>
        <v>0</v>
      </c>
      <c r="BT608" s="70">
        <v>1.0</v>
      </c>
    </row>
    <row r="609" ht="15.75" customHeight="1">
      <c r="A609" s="54"/>
      <c r="B609" s="56"/>
      <c r="C609" s="56"/>
      <c r="D609" s="56"/>
      <c r="E609" s="56"/>
      <c r="F609" s="56"/>
      <c r="G609" s="57"/>
      <c r="H609" s="68" t="str">
        <f>IF(BQ609=0," ",(IF((BR609/BQ609&lt;=1),IF(BR609=0,0,BR609/BQ609),1)))</f>
        <v> </v>
      </c>
      <c r="I609" s="62"/>
      <c r="J609" s="62"/>
      <c r="K609" s="71"/>
      <c r="L609" s="57"/>
      <c r="M609" s="61"/>
      <c r="N609" s="61"/>
      <c r="O609" s="62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53"/>
      <c r="BG609" s="53"/>
      <c r="BH609" s="53"/>
      <c r="BI609" s="53"/>
      <c r="BJ609" s="53"/>
      <c r="BK609" s="53"/>
      <c r="BL609" s="53"/>
      <c r="BM609" s="53"/>
      <c r="BN609" s="53"/>
      <c r="BO609" s="30"/>
      <c r="BP609" s="30"/>
      <c r="BQ609" s="30"/>
      <c r="BR609" s="30"/>
      <c r="BS609" s="70"/>
      <c r="BT609" s="70"/>
    </row>
  </sheetData>
  <autoFilter ref="$A$3:$IP$609">
    <sortState ref="A3:IP609">
      <sortCondition ref="A3:A609"/>
    </sortState>
  </autoFilter>
  <mergeCells count="14">
    <mergeCell ref="AL1:AO1"/>
    <mergeCell ref="AP1:AT1"/>
    <mergeCell ref="AU1:AX1"/>
    <mergeCell ref="AY1:BB1"/>
    <mergeCell ref="BC1:BG1"/>
    <mergeCell ref="BH1:BK1"/>
    <mergeCell ref="BL1:BO1"/>
    <mergeCell ref="K1:K2"/>
    <mergeCell ref="N1:N2"/>
    <mergeCell ref="P1:T1"/>
    <mergeCell ref="U1:X1"/>
    <mergeCell ref="Y1:AB1"/>
    <mergeCell ref="AC1:AG1"/>
    <mergeCell ref="AH1:AK1"/>
  </mergeCells>
  <conditionalFormatting sqref="H4:H609">
    <cfRule type="cellIs" dxfId="0" priority="1" operator="between">
      <formula>0.5</formula>
      <formula>0.74</formula>
    </cfRule>
  </conditionalFormatting>
  <conditionalFormatting sqref="H4:H609">
    <cfRule type="cellIs" dxfId="1" priority="2" operator="lessThanOrEqual">
      <formula>0.49</formula>
    </cfRule>
  </conditionalFormatting>
  <conditionalFormatting sqref="H4:H609">
    <cfRule type="cellIs" dxfId="2" priority="3" operator="greaterThanOrEqual">
      <formula>0.75</formula>
    </cfRule>
  </conditionalFormatting>
  <conditionalFormatting sqref="I115:I118">
    <cfRule type="cellIs" dxfId="0" priority="4" operator="between">
      <formula>0.5</formula>
      <formula>0.74</formula>
    </cfRule>
  </conditionalFormatting>
  <conditionalFormatting sqref="I115:I118">
    <cfRule type="cellIs" dxfId="1" priority="5" operator="lessThanOrEqual">
      <formula>0.49</formula>
    </cfRule>
  </conditionalFormatting>
  <conditionalFormatting sqref="I115:I118">
    <cfRule type="cellIs" dxfId="3" priority="6" operator="greaterThanOrEqual">
      <formula>0.75</formula>
    </cfRule>
  </conditionalFormatting>
  <printOptions/>
  <pageMargins bottom="0.17" footer="0.0" header="0.0" left="0.15748031496062992" right="0.15748031496062992" top="0.17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5867"/>
    <pageSetUpPr fitToPage="1"/>
  </sheetPr>
  <sheetViews>
    <sheetView showGridLines="0"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41.29"/>
    <col customWidth="1" min="6" max="7" width="12.0"/>
    <col customWidth="1" min="8" max="8" width="7.71"/>
    <col customWidth="1" min="9" max="9" width="7.43"/>
    <col customWidth="1" hidden="1" min="10" max="10" width="24.86"/>
    <col customWidth="1" hidden="1" min="11" max="11" width="23.43"/>
    <col customWidth="1" min="12" max="12" width="7.14"/>
    <col customWidth="1" hidden="1" min="13" max="13" width="6.86"/>
    <col customWidth="1" min="14" max="14" width="32.43"/>
    <col customWidth="1" min="15" max="15" width="50.71"/>
    <col customWidth="1" min="16" max="18" width="15.71"/>
    <col customWidth="1" min="19" max="19" width="11.29"/>
    <col customWidth="1" min="20" max="20" width="13.0"/>
    <col customWidth="1" min="21" max="21" width="17.57"/>
    <col customWidth="1" min="22" max="22" width="13.71"/>
    <col customWidth="1" min="23" max="23" width="12.43"/>
    <col customWidth="1" min="24" max="28" width="11.29"/>
    <col customWidth="1" min="29" max="29" width="13.29"/>
    <col customWidth="1" min="30" max="32" width="13.57"/>
  </cols>
  <sheetData>
    <row r="1" ht="15.75" customHeight="1">
      <c r="A1" s="2"/>
      <c r="B1" s="2"/>
      <c r="C1" s="2"/>
      <c r="D1" s="2"/>
      <c r="E1" s="2"/>
      <c r="F1" s="4"/>
      <c r="G1" s="4"/>
      <c r="H1" s="6"/>
      <c r="I1" s="4"/>
      <c r="J1" s="4" t="s">
        <v>0</v>
      </c>
      <c r="K1" s="7" t="s">
        <v>1</v>
      </c>
      <c r="L1" s="2"/>
      <c r="M1" s="9"/>
      <c r="N1" s="10"/>
      <c r="O1" s="4" t="s">
        <v>0</v>
      </c>
      <c r="P1" s="11" t="s">
        <v>2</v>
      </c>
      <c r="Q1" s="13" t="s">
        <v>3</v>
      </c>
      <c r="R1" s="11" t="s">
        <v>4</v>
      </c>
      <c r="S1" s="16" t="s">
        <v>5</v>
      </c>
      <c r="T1" s="18" t="s">
        <v>6</v>
      </c>
      <c r="U1" s="16" t="s">
        <v>7</v>
      </c>
      <c r="V1" s="19" t="s">
        <v>8</v>
      </c>
      <c r="W1" s="16" t="s">
        <v>9</v>
      </c>
      <c r="X1" s="19" t="s">
        <v>10</v>
      </c>
      <c r="Y1" s="16" t="s">
        <v>11</v>
      </c>
      <c r="Z1" s="19" t="s">
        <v>12</v>
      </c>
      <c r="AA1" s="16" t="s">
        <v>13</v>
      </c>
      <c r="AB1" s="21" t="s">
        <v>14</v>
      </c>
      <c r="AC1" s="28">
        <f>+AD2/AC2</f>
        <v>0.08333333333</v>
      </c>
      <c r="AD1" s="30">
        <f>+AC2-AD2</f>
        <v>33</v>
      </c>
      <c r="AE1" s="31" t="s">
        <v>16</v>
      </c>
      <c r="AF1" s="34">
        <f>+AE2/AF2</f>
        <v>0</v>
      </c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</row>
    <row r="2" ht="15.75" customHeight="1">
      <c r="A2" s="8"/>
      <c r="B2" s="9"/>
      <c r="C2" s="9"/>
      <c r="D2" s="9"/>
      <c r="E2" s="9"/>
      <c r="F2" s="9"/>
      <c r="G2" s="2"/>
      <c r="H2" s="43"/>
      <c r="I2" s="45"/>
      <c r="J2" s="45"/>
      <c r="K2" s="46"/>
      <c r="L2" s="9"/>
      <c r="M2" s="8"/>
      <c r="N2" s="35"/>
      <c r="O2" s="45"/>
      <c r="P2" s="21" t="s">
        <v>28</v>
      </c>
      <c r="Q2" s="49" t="s">
        <v>36</v>
      </c>
      <c r="R2" s="21" t="s">
        <v>40</v>
      </c>
      <c r="S2" s="49" t="s">
        <v>44</v>
      </c>
      <c r="T2" s="21" t="s">
        <v>49</v>
      </c>
      <c r="U2" s="49" t="s">
        <v>53</v>
      </c>
      <c r="V2" s="21" t="s">
        <v>57</v>
      </c>
      <c r="W2" s="49" t="s">
        <v>62</v>
      </c>
      <c r="X2" s="21" t="s">
        <v>66</v>
      </c>
      <c r="Y2" s="49" t="s">
        <v>70</v>
      </c>
      <c r="Z2" s="21" t="s">
        <v>75</v>
      </c>
      <c r="AA2" s="49" t="s">
        <v>79</v>
      </c>
      <c r="AB2" s="55" t="s">
        <v>28</v>
      </c>
      <c r="AC2" s="30">
        <f t="shared" ref="AC2:AD2" si="1">SUBTOTAL(9,AC4:AC1038)</f>
        <v>36</v>
      </c>
      <c r="AD2" s="30">
        <f t="shared" si="1"/>
        <v>3</v>
      </c>
      <c r="AE2" s="30">
        <f t="shared" ref="AE2:AF2" si="2">SUBTOTAL(9,(AE4:AE1038))</f>
        <v>0</v>
      </c>
      <c r="AF2" s="30">
        <f t="shared" si="2"/>
        <v>18</v>
      </c>
    </row>
    <row r="3" ht="51.0" customHeight="1">
      <c r="A3" s="39" t="s">
        <v>17</v>
      </c>
      <c r="B3" s="39" t="s">
        <v>18</v>
      </c>
      <c r="C3" s="39" t="s">
        <v>19</v>
      </c>
      <c r="D3" s="39" t="s">
        <v>20</v>
      </c>
      <c r="E3" s="39" t="s">
        <v>21</v>
      </c>
      <c r="F3" s="39" t="s">
        <v>92</v>
      </c>
      <c r="G3" s="39" t="s">
        <v>22</v>
      </c>
      <c r="H3" s="39" t="s">
        <v>93</v>
      </c>
      <c r="I3" s="39"/>
      <c r="J3" s="39" t="s">
        <v>26</v>
      </c>
      <c r="K3" s="39" t="s">
        <v>25</v>
      </c>
      <c r="L3" s="39" t="s">
        <v>94</v>
      </c>
      <c r="M3" s="39" t="s">
        <v>23</v>
      </c>
      <c r="N3" s="39" t="s">
        <v>24</v>
      </c>
      <c r="O3" s="39" t="s">
        <v>26</v>
      </c>
      <c r="P3" s="63" t="s">
        <v>25</v>
      </c>
      <c r="Q3" s="64" t="s">
        <v>25</v>
      </c>
      <c r="R3" s="63" t="s">
        <v>25</v>
      </c>
      <c r="S3" s="64" t="s">
        <v>25</v>
      </c>
      <c r="T3" s="63" t="s">
        <v>25</v>
      </c>
      <c r="U3" s="64" t="s">
        <v>25</v>
      </c>
      <c r="V3" s="63" t="s">
        <v>25</v>
      </c>
      <c r="W3" s="64" t="s">
        <v>25</v>
      </c>
      <c r="X3" s="63" t="s">
        <v>25</v>
      </c>
      <c r="Y3" s="64" t="s">
        <v>25</v>
      </c>
      <c r="Z3" s="63" t="s">
        <v>25</v>
      </c>
      <c r="AA3" s="64" t="s">
        <v>25</v>
      </c>
      <c r="AB3" s="63" t="s">
        <v>25</v>
      </c>
      <c r="AC3" s="40" t="s">
        <v>104</v>
      </c>
      <c r="AD3" s="67" t="s">
        <v>105</v>
      </c>
      <c r="AE3" s="31" t="s">
        <v>106</v>
      </c>
      <c r="AF3" s="31" t="s">
        <v>107</v>
      </c>
    </row>
    <row r="4" ht="15.75" hidden="1" customHeight="1">
      <c r="A4" s="44">
        <v>10.0</v>
      </c>
      <c r="B4" s="47" t="s">
        <v>27</v>
      </c>
      <c r="C4" s="47" t="s">
        <v>29</v>
      </c>
      <c r="D4" s="47" t="s">
        <v>29</v>
      </c>
      <c r="E4" s="47" t="s">
        <v>32</v>
      </c>
      <c r="F4" s="47" t="s">
        <v>112</v>
      </c>
      <c r="G4" s="48" t="s">
        <v>34</v>
      </c>
      <c r="H4" s="68">
        <f t="shared" ref="H4:H605" si="3">IF(AC4=0," ",(AD4/AC4))</f>
        <v>0</v>
      </c>
      <c r="I4" s="52"/>
      <c r="J4" s="52"/>
      <c r="K4" s="69"/>
      <c r="L4" s="48" t="s">
        <v>115</v>
      </c>
      <c r="M4" s="50"/>
      <c r="N4" s="51"/>
      <c r="O4" s="52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30">
        <v>1.0</v>
      </c>
      <c r="AD4" s="30">
        <f t="shared" ref="AD4:AD605" si="4">IF(COUNTA(P4:AB4)&gt;AC4,AC4,COUNTA(P4:AB4))</f>
        <v>0</v>
      </c>
      <c r="AE4" s="70">
        <f t="shared" ref="AE4:AE605" si="5">IF(H4=1,1,0)</f>
        <v>0</v>
      </c>
      <c r="AF4" s="70">
        <v>1.0</v>
      </c>
    </row>
    <row r="5" ht="15.75" hidden="1" customHeight="1">
      <c r="A5" s="54">
        <v>20.0</v>
      </c>
      <c r="B5" s="56" t="s">
        <v>83</v>
      </c>
      <c r="C5" s="56" t="s">
        <v>84</v>
      </c>
      <c r="D5" s="56" t="s">
        <v>85</v>
      </c>
      <c r="E5" s="56" t="s">
        <v>86</v>
      </c>
      <c r="F5" s="56" t="s">
        <v>125</v>
      </c>
      <c r="G5" s="57" t="s">
        <v>87</v>
      </c>
      <c r="H5" s="68">
        <f t="shared" si="3"/>
        <v>0</v>
      </c>
      <c r="I5" s="62"/>
      <c r="J5" s="62" t="s">
        <v>88</v>
      </c>
      <c r="K5" s="71"/>
      <c r="L5" s="57" t="s">
        <v>130</v>
      </c>
      <c r="M5" s="58"/>
      <c r="N5" s="58"/>
      <c r="O5" s="62" t="s">
        <v>88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72"/>
      <c r="AC5" s="30">
        <v>12.0</v>
      </c>
      <c r="AD5" s="30">
        <f t="shared" si="4"/>
        <v>0</v>
      </c>
      <c r="AE5" s="70">
        <f t="shared" si="5"/>
        <v>0</v>
      </c>
      <c r="AF5" s="70">
        <v>1.0</v>
      </c>
    </row>
    <row r="6" ht="15.75" hidden="1" customHeight="1">
      <c r="A6" s="54">
        <v>20.0</v>
      </c>
      <c r="B6" s="56" t="s">
        <v>89</v>
      </c>
      <c r="C6" s="56" t="s">
        <v>90</v>
      </c>
      <c r="D6" s="56" t="s">
        <v>91</v>
      </c>
      <c r="E6" s="56"/>
      <c r="F6" s="56" t="s">
        <v>138</v>
      </c>
      <c r="G6" s="57" t="s">
        <v>34</v>
      </c>
      <c r="H6" s="68">
        <f t="shared" si="3"/>
        <v>0</v>
      </c>
      <c r="I6" s="62"/>
      <c r="J6" s="62"/>
      <c r="K6" s="71"/>
      <c r="L6" s="57" t="s">
        <v>130</v>
      </c>
      <c r="M6" s="61"/>
      <c r="N6" s="61"/>
      <c r="O6" s="62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30">
        <v>1.0</v>
      </c>
      <c r="AD6" s="30">
        <f t="shared" si="4"/>
        <v>0</v>
      </c>
      <c r="AE6" s="70">
        <f t="shared" si="5"/>
        <v>0</v>
      </c>
      <c r="AF6" s="70">
        <v>1.0</v>
      </c>
    </row>
    <row r="7" ht="15.75" hidden="1" customHeight="1">
      <c r="A7" s="54">
        <v>20.0</v>
      </c>
      <c r="B7" s="56" t="s">
        <v>95</v>
      </c>
      <c r="C7" s="56" t="s">
        <v>90</v>
      </c>
      <c r="D7" s="56" t="s">
        <v>96</v>
      </c>
      <c r="E7" s="56" t="s">
        <v>97</v>
      </c>
      <c r="F7" s="56" t="s">
        <v>138</v>
      </c>
      <c r="G7" s="57" t="s">
        <v>34</v>
      </c>
      <c r="H7" s="68">
        <f t="shared" si="3"/>
        <v>0</v>
      </c>
      <c r="I7" s="62" t="s">
        <v>146</v>
      </c>
      <c r="J7" s="62"/>
      <c r="K7" s="71"/>
      <c r="L7" s="57" t="s">
        <v>130</v>
      </c>
      <c r="M7" s="61"/>
      <c r="N7" s="61"/>
      <c r="O7" s="62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30">
        <v>1.0</v>
      </c>
      <c r="AD7" s="30">
        <f t="shared" si="4"/>
        <v>0</v>
      </c>
      <c r="AE7" s="70">
        <f t="shared" si="5"/>
        <v>0</v>
      </c>
      <c r="AF7" s="70">
        <v>1.0</v>
      </c>
    </row>
    <row r="8" ht="15.75" hidden="1" customHeight="1">
      <c r="A8" s="54">
        <v>20.0</v>
      </c>
      <c r="B8" s="56" t="s">
        <v>98</v>
      </c>
      <c r="C8" s="56" t="s">
        <v>90</v>
      </c>
      <c r="D8" s="56" t="s">
        <v>99</v>
      </c>
      <c r="E8" s="56" t="s">
        <v>97</v>
      </c>
      <c r="F8" s="56" t="s">
        <v>138</v>
      </c>
      <c r="G8" s="57" t="s">
        <v>34</v>
      </c>
      <c r="H8" s="68">
        <f t="shared" si="3"/>
        <v>0</v>
      </c>
      <c r="I8" s="62" t="s">
        <v>146</v>
      </c>
      <c r="J8" s="62"/>
      <c r="K8" s="71"/>
      <c r="L8" s="57" t="s">
        <v>130</v>
      </c>
      <c r="M8" s="61"/>
      <c r="N8" s="61"/>
      <c r="O8" s="62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30">
        <v>1.0</v>
      </c>
      <c r="AD8" s="30">
        <f t="shared" si="4"/>
        <v>0</v>
      </c>
      <c r="AE8" s="70">
        <f t="shared" si="5"/>
        <v>0</v>
      </c>
      <c r="AF8" s="70">
        <v>1.0</v>
      </c>
    </row>
    <row r="9" ht="15.75" hidden="1" customHeight="1">
      <c r="A9" s="54">
        <v>20.0</v>
      </c>
      <c r="B9" s="56" t="s">
        <v>100</v>
      </c>
      <c r="C9" s="56" t="s">
        <v>101</v>
      </c>
      <c r="D9" s="56" t="s">
        <v>102</v>
      </c>
      <c r="E9" s="56" t="s">
        <v>103</v>
      </c>
      <c r="F9" s="56" t="s">
        <v>168</v>
      </c>
      <c r="G9" s="57" t="s">
        <v>34</v>
      </c>
      <c r="H9" s="68">
        <f t="shared" si="3"/>
        <v>0</v>
      </c>
      <c r="I9" s="62" t="s">
        <v>146</v>
      </c>
      <c r="J9" s="62"/>
      <c r="K9" s="71"/>
      <c r="L9" s="57" t="s">
        <v>130</v>
      </c>
      <c r="M9" s="61"/>
      <c r="N9" s="61"/>
      <c r="O9" s="62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30">
        <v>1.0</v>
      </c>
      <c r="AD9" s="30">
        <f t="shared" si="4"/>
        <v>0</v>
      </c>
      <c r="AE9" s="70">
        <f t="shared" si="5"/>
        <v>0</v>
      </c>
      <c r="AF9" s="70">
        <v>1.0</v>
      </c>
    </row>
    <row r="10" ht="15.75" hidden="1" customHeight="1">
      <c r="A10" s="54">
        <v>30.0</v>
      </c>
      <c r="B10" s="56" t="s">
        <v>108</v>
      </c>
      <c r="C10" s="56" t="s">
        <v>109</v>
      </c>
      <c r="D10" s="56" t="s">
        <v>110</v>
      </c>
      <c r="E10" s="56" t="s">
        <v>111</v>
      </c>
      <c r="F10" s="56" t="s">
        <v>173</v>
      </c>
      <c r="G10" s="57" t="s">
        <v>87</v>
      </c>
      <c r="H10" s="68">
        <f t="shared" si="3"/>
        <v>0</v>
      </c>
      <c r="I10" s="62"/>
      <c r="J10" s="62"/>
      <c r="K10" s="71"/>
      <c r="L10" s="57" t="s">
        <v>115</v>
      </c>
      <c r="M10" s="61"/>
      <c r="N10" s="61"/>
      <c r="O10" s="62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75"/>
      <c r="AC10" s="30">
        <v>12.0</v>
      </c>
      <c r="AD10" s="30">
        <f t="shared" si="4"/>
        <v>0</v>
      </c>
      <c r="AE10" s="70">
        <f t="shared" si="5"/>
        <v>0</v>
      </c>
      <c r="AF10" s="70">
        <v>1.0</v>
      </c>
    </row>
    <row r="11" ht="15.75" hidden="1" customHeight="1">
      <c r="A11" s="54">
        <v>30.0</v>
      </c>
      <c r="B11" s="56" t="s">
        <v>113</v>
      </c>
      <c r="C11" s="56" t="s">
        <v>109</v>
      </c>
      <c r="D11" s="56" t="s">
        <v>114</v>
      </c>
      <c r="E11" s="56" t="s">
        <v>111</v>
      </c>
      <c r="F11" s="56" t="s">
        <v>173</v>
      </c>
      <c r="G11" s="57" t="s">
        <v>87</v>
      </c>
      <c r="H11" s="68">
        <f t="shared" si="3"/>
        <v>0</v>
      </c>
      <c r="I11" s="62"/>
      <c r="J11" s="62"/>
      <c r="K11" s="71"/>
      <c r="L11" s="57" t="s">
        <v>115</v>
      </c>
      <c r="M11" s="61"/>
      <c r="N11" s="61"/>
      <c r="O11" s="62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30">
        <v>12.0</v>
      </c>
      <c r="AD11" s="30">
        <f t="shared" si="4"/>
        <v>0</v>
      </c>
      <c r="AE11" s="70">
        <f t="shared" si="5"/>
        <v>0</v>
      </c>
      <c r="AF11" s="70">
        <v>1.0</v>
      </c>
    </row>
    <row r="12" ht="15.75" hidden="1" customHeight="1">
      <c r="A12" s="54">
        <v>30.0</v>
      </c>
      <c r="B12" s="56" t="s">
        <v>116</v>
      </c>
      <c r="C12" s="56" t="s">
        <v>109</v>
      </c>
      <c r="D12" s="56" t="s">
        <v>117</v>
      </c>
      <c r="E12" s="56" t="s">
        <v>118</v>
      </c>
      <c r="F12" s="56" t="s">
        <v>173</v>
      </c>
      <c r="G12" s="57" t="s">
        <v>87</v>
      </c>
      <c r="H12" s="68">
        <f t="shared" si="3"/>
        <v>0</v>
      </c>
      <c r="I12" s="62"/>
      <c r="J12" s="62"/>
      <c r="K12" s="71"/>
      <c r="L12" s="57" t="s">
        <v>115</v>
      </c>
      <c r="M12" s="61"/>
      <c r="N12" s="61"/>
      <c r="O12" s="62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30">
        <v>12.0</v>
      </c>
      <c r="AD12" s="30">
        <f t="shared" si="4"/>
        <v>0</v>
      </c>
      <c r="AE12" s="70">
        <f t="shared" si="5"/>
        <v>0</v>
      </c>
      <c r="AF12" s="70">
        <v>1.0</v>
      </c>
    </row>
    <row r="13" ht="15.75" hidden="1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119</v>
      </c>
      <c r="F13" s="56" t="s">
        <v>168</v>
      </c>
      <c r="G13" s="57" t="s">
        <v>34</v>
      </c>
      <c r="H13" s="68">
        <f t="shared" si="3"/>
        <v>0</v>
      </c>
      <c r="I13" s="62"/>
      <c r="J13" s="62"/>
      <c r="K13" s="71"/>
      <c r="L13" s="57" t="s">
        <v>115</v>
      </c>
      <c r="M13" s="61"/>
      <c r="N13" s="61"/>
      <c r="O13" s="62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30">
        <v>1.0</v>
      </c>
      <c r="AD13" s="30">
        <f t="shared" si="4"/>
        <v>0</v>
      </c>
      <c r="AE13" s="70">
        <f t="shared" si="5"/>
        <v>0</v>
      </c>
      <c r="AF13" s="70">
        <v>1.0</v>
      </c>
    </row>
    <row r="14" ht="15.75" hidden="1" customHeight="1">
      <c r="A14" s="54">
        <v>30.0</v>
      </c>
      <c r="B14" s="56" t="s">
        <v>120</v>
      </c>
      <c r="C14" s="56" t="s">
        <v>109</v>
      </c>
      <c r="D14" s="56" t="s">
        <v>121</v>
      </c>
      <c r="E14" s="56" t="s">
        <v>111</v>
      </c>
      <c r="F14" s="56" t="s">
        <v>173</v>
      </c>
      <c r="G14" s="57" t="s">
        <v>87</v>
      </c>
      <c r="H14" s="68">
        <f t="shared" si="3"/>
        <v>0</v>
      </c>
      <c r="I14" s="62"/>
      <c r="J14" s="62"/>
      <c r="K14" s="71"/>
      <c r="L14" s="57" t="s">
        <v>130</v>
      </c>
      <c r="M14" s="61"/>
      <c r="N14" s="61"/>
      <c r="O14" s="62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30">
        <v>12.0</v>
      </c>
      <c r="AD14" s="30">
        <f t="shared" si="4"/>
        <v>0</v>
      </c>
      <c r="AE14" s="70">
        <f t="shared" si="5"/>
        <v>0</v>
      </c>
      <c r="AF14" s="70">
        <v>1.0</v>
      </c>
    </row>
    <row r="15" ht="15.75" hidden="1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122</v>
      </c>
      <c r="F15" s="56" t="s">
        <v>193</v>
      </c>
      <c r="G15" s="57" t="s">
        <v>34</v>
      </c>
      <c r="H15" s="68">
        <f t="shared" si="3"/>
        <v>0</v>
      </c>
      <c r="I15" s="62"/>
      <c r="J15" s="62"/>
      <c r="K15" s="71"/>
      <c r="L15" s="57" t="s">
        <v>115</v>
      </c>
      <c r="M15" s="61"/>
      <c r="N15" s="61"/>
      <c r="O15" s="62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30">
        <v>1.0</v>
      </c>
      <c r="AD15" s="30">
        <f t="shared" si="4"/>
        <v>0</v>
      </c>
      <c r="AE15" s="70">
        <f t="shared" si="5"/>
        <v>0</v>
      </c>
      <c r="AF15" s="70">
        <v>1.0</v>
      </c>
    </row>
    <row r="16" ht="15.75" hidden="1" customHeight="1">
      <c r="A16" s="54">
        <v>30.0</v>
      </c>
      <c r="B16" s="56" t="s">
        <v>123</v>
      </c>
      <c r="C16" s="56" t="s">
        <v>109</v>
      </c>
      <c r="D16" s="56" t="s">
        <v>124</v>
      </c>
      <c r="E16" s="56" t="s">
        <v>86</v>
      </c>
      <c r="F16" s="56" t="s">
        <v>173</v>
      </c>
      <c r="G16" s="57" t="s">
        <v>87</v>
      </c>
      <c r="H16" s="68">
        <f t="shared" si="3"/>
        <v>0</v>
      </c>
      <c r="I16" s="62"/>
      <c r="J16" s="62"/>
      <c r="K16" s="71"/>
      <c r="L16" s="57" t="s">
        <v>130</v>
      </c>
      <c r="M16" s="61"/>
      <c r="N16" s="61"/>
      <c r="O16" s="62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75"/>
      <c r="AC16" s="30">
        <v>12.0</v>
      </c>
      <c r="AD16" s="30">
        <f t="shared" si="4"/>
        <v>0</v>
      </c>
      <c r="AE16" s="70">
        <f t="shared" si="5"/>
        <v>0</v>
      </c>
      <c r="AF16" s="70">
        <v>1.0</v>
      </c>
    </row>
    <row r="17" ht="15.75" hidden="1" customHeight="1">
      <c r="A17" s="54">
        <v>31.0</v>
      </c>
      <c r="B17" s="56" t="s">
        <v>126</v>
      </c>
      <c r="C17" s="56" t="s">
        <v>127</v>
      </c>
      <c r="D17" s="56" t="s">
        <v>128</v>
      </c>
      <c r="E17" s="56" t="s">
        <v>129</v>
      </c>
      <c r="F17" s="56" t="s">
        <v>202</v>
      </c>
      <c r="G17" s="57" t="s">
        <v>34</v>
      </c>
      <c r="H17" s="68">
        <f t="shared" si="3"/>
        <v>0</v>
      </c>
      <c r="I17" s="62" t="s">
        <v>146</v>
      </c>
      <c r="J17" s="62" t="s">
        <v>133</v>
      </c>
      <c r="K17" s="71"/>
      <c r="L17" s="57" t="s">
        <v>115</v>
      </c>
      <c r="M17" s="61"/>
      <c r="N17" s="61"/>
      <c r="O17" s="62" t="s">
        <v>133</v>
      </c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30">
        <v>1.0</v>
      </c>
      <c r="AD17" s="30">
        <f t="shared" si="4"/>
        <v>0</v>
      </c>
      <c r="AE17" s="70">
        <f t="shared" si="5"/>
        <v>0</v>
      </c>
      <c r="AF17" s="70">
        <v>1.0</v>
      </c>
    </row>
    <row r="18" ht="15.75" hidden="1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132</v>
      </c>
      <c r="F18" s="56" t="s">
        <v>112</v>
      </c>
      <c r="G18" s="57" t="s">
        <v>34</v>
      </c>
      <c r="H18" s="68">
        <f t="shared" si="3"/>
        <v>0</v>
      </c>
      <c r="I18" s="62" t="s">
        <v>146</v>
      </c>
      <c r="J18" s="62" t="s">
        <v>133</v>
      </c>
      <c r="K18" s="71"/>
      <c r="L18" s="57" t="s">
        <v>115</v>
      </c>
      <c r="M18" s="61"/>
      <c r="N18" s="61"/>
      <c r="O18" s="62" t="s">
        <v>133</v>
      </c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>
        <v>1.0</v>
      </c>
      <c r="AD18" s="30">
        <f t="shared" si="4"/>
        <v>0</v>
      </c>
      <c r="AE18" s="70">
        <f t="shared" si="5"/>
        <v>0</v>
      </c>
      <c r="AF18" s="70">
        <v>1.0</v>
      </c>
    </row>
    <row r="19" ht="15.75" hidden="1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134</v>
      </c>
      <c r="F19" s="56" t="s">
        <v>202</v>
      </c>
      <c r="G19" s="57" t="s">
        <v>34</v>
      </c>
      <c r="H19" s="68">
        <f t="shared" si="3"/>
        <v>0</v>
      </c>
      <c r="I19" s="62" t="s">
        <v>146</v>
      </c>
      <c r="J19" s="62" t="s">
        <v>133</v>
      </c>
      <c r="K19" s="71"/>
      <c r="L19" s="57" t="s">
        <v>115</v>
      </c>
      <c r="M19" s="61"/>
      <c r="N19" s="61"/>
      <c r="O19" s="62" t="s">
        <v>133</v>
      </c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75"/>
      <c r="AC19" s="30">
        <v>1.0</v>
      </c>
      <c r="AD19" s="30">
        <f t="shared" si="4"/>
        <v>0</v>
      </c>
      <c r="AE19" s="70">
        <f t="shared" si="5"/>
        <v>0</v>
      </c>
      <c r="AF19" s="70">
        <v>1.0</v>
      </c>
    </row>
    <row r="20" ht="15.75" hidden="1" customHeight="1">
      <c r="A20" s="54">
        <v>40.0</v>
      </c>
      <c r="B20" s="56" t="s">
        <v>135</v>
      </c>
      <c r="C20" s="56" t="s">
        <v>136</v>
      </c>
      <c r="D20" s="56" t="s">
        <v>137</v>
      </c>
      <c r="E20" s="56" t="s">
        <v>111</v>
      </c>
      <c r="F20" s="56" t="s">
        <v>168</v>
      </c>
      <c r="G20" s="57" t="s">
        <v>34</v>
      </c>
      <c r="H20" s="68">
        <f t="shared" si="3"/>
        <v>0</v>
      </c>
      <c r="I20" s="62" t="s">
        <v>146</v>
      </c>
      <c r="J20" s="62"/>
      <c r="K20" s="71"/>
      <c r="L20" s="57" t="s">
        <v>130</v>
      </c>
      <c r="M20" s="61"/>
      <c r="N20" s="61"/>
      <c r="O20" s="62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30">
        <v>1.0</v>
      </c>
      <c r="AD20" s="30">
        <f t="shared" si="4"/>
        <v>0</v>
      </c>
      <c r="AE20" s="70">
        <f t="shared" si="5"/>
        <v>0</v>
      </c>
      <c r="AF20" s="70">
        <v>1.0</v>
      </c>
    </row>
    <row r="21" ht="15.75" hidden="1" customHeight="1">
      <c r="A21" s="54">
        <v>40.0</v>
      </c>
      <c r="B21" s="56" t="s">
        <v>139</v>
      </c>
      <c r="C21" s="56" t="s">
        <v>101</v>
      </c>
      <c r="D21" s="56" t="s">
        <v>102</v>
      </c>
      <c r="E21" s="56" t="s">
        <v>111</v>
      </c>
      <c r="F21" s="56" t="s">
        <v>168</v>
      </c>
      <c r="G21" s="57" t="s">
        <v>34</v>
      </c>
      <c r="H21" s="68">
        <f t="shared" si="3"/>
        <v>0</v>
      </c>
      <c r="I21" s="62" t="s">
        <v>146</v>
      </c>
      <c r="J21" s="62"/>
      <c r="K21" s="71"/>
      <c r="L21" s="57"/>
      <c r="M21" s="61"/>
      <c r="N21" s="61"/>
      <c r="O21" s="62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75"/>
      <c r="AC21" s="30">
        <v>1.0</v>
      </c>
      <c r="AD21" s="30">
        <f t="shared" si="4"/>
        <v>0</v>
      </c>
      <c r="AE21" s="70">
        <f t="shared" si="5"/>
        <v>0</v>
      </c>
      <c r="AF21" s="70">
        <v>1.0</v>
      </c>
    </row>
    <row r="22" ht="15.75" hidden="1" customHeight="1">
      <c r="A22" s="54">
        <v>40.0</v>
      </c>
      <c r="B22" s="56" t="s">
        <v>140</v>
      </c>
      <c r="C22" s="56" t="s">
        <v>141</v>
      </c>
      <c r="D22" s="56" t="s">
        <v>142</v>
      </c>
      <c r="E22" s="56" t="s">
        <v>111</v>
      </c>
      <c r="F22" s="56" t="s">
        <v>168</v>
      </c>
      <c r="G22" s="57" t="s">
        <v>34</v>
      </c>
      <c r="H22" s="68">
        <f t="shared" si="3"/>
        <v>0</v>
      </c>
      <c r="I22" s="62" t="s">
        <v>146</v>
      </c>
      <c r="J22" s="62"/>
      <c r="K22" s="71"/>
      <c r="L22" s="57" t="s">
        <v>130</v>
      </c>
      <c r="M22" s="61"/>
      <c r="N22" s="61"/>
      <c r="O22" s="62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75"/>
      <c r="AC22" s="30">
        <v>1.0</v>
      </c>
      <c r="AD22" s="30">
        <f t="shared" si="4"/>
        <v>0</v>
      </c>
      <c r="AE22" s="70">
        <f t="shared" si="5"/>
        <v>0</v>
      </c>
      <c r="AF22" s="70">
        <v>1.0</v>
      </c>
    </row>
    <row r="23" ht="15.75" hidden="1" customHeight="1">
      <c r="A23" s="54">
        <v>40.0</v>
      </c>
      <c r="B23" s="56" t="s">
        <v>143</v>
      </c>
      <c r="C23" s="56" t="s">
        <v>144</v>
      </c>
      <c r="D23" s="56" t="s">
        <v>145</v>
      </c>
      <c r="E23" s="56" t="s">
        <v>111</v>
      </c>
      <c r="F23" s="56" t="s">
        <v>168</v>
      </c>
      <c r="G23" s="57" t="s">
        <v>34</v>
      </c>
      <c r="H23" s="68">
        <f t="shared" si="3"/>
        <v>0</v>
      </c>
      <c r="I23" s="62" t="s">
        <v>146</v>
      </c>
      <c r="J23" s="62"/>
      <c r="K23" s="71"/>
      <c r="L23" s="57"/>
      <c r="M23" s="61"/>
      <c r="N23" s="61"/>
      <c r="O23" s="62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75"/>
      <c r="AC23" s="30">
        <v>1.0</v>
      </c>
      <c r="AD23" s="30">
        <f t="shared" si="4"/>
        <v>0</v>
      </c>
      <c r="AE23" s="70">
        <f t="shared" si="5"/>
        <v>0</v>
      </c>
      <c r="AF23" s="70">
        <v>1.0</v>
      </c>
    </row>
    <row r="24" ht="15.75" hidden="1" customHeight="1">
      <c r="A24" s="54">
        <v>50.0</v>
      </c>
      <c r="B24" s="56" t="s">
        <v>147</v>
      </c>
      <c r="C24" s="56" t="s">
        <v>148</v>
      </c>
      <c r="D24" s="56" t="s">
        <v>149</v>
      </c>
      <c r="E24" s="56" t="s">
        <v>150</v>
      </c>
      <c r="F24" s="56" t="s">
        <v>168</v>
      </c>
      <c r="G24" s="57" t="s">
        <v>34</v>
      </c>
      <c r="H24" s="68">
        <f t="shared" si="3"/>
        <v>0</v>
      </c>
      <c r="I24" s="62" t="s">
        <v>146</v>
      </c>
      <c r="J24" s="62"/>
      <c r="K24" s="71"/>
      <c r="L24" s="57" t="s">
        <v>130</v>
      </c>
      <c r="M24" s="61"/>
      <c r="N24" s="61"/>
      <c r="O24" s="62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75"/>
      <c r="AC24" s="30">
        <v>1.0</v>
      </c>
      <c r="AD24" s="30">
        <f t="shared" si="4"/>
        <v>0</v>
      </c>
      <c r="AE24" s="70">
        <f t="shared" si="5"/>
        <v>0</v>
      </c>
      <c r="AF24" s="70">
        <v>1.0</v>
      </c>
    </row>
    <row r="25" ht="15.75" hidden="1" customHeight="1">
      <c r="A25" s="54">
        <v>50.0</v>
      </c>
      <c r="B25" s="56" t="s">
        <v>151</v>
      </c>
      <c r="C25" s="56" t="s">
        <v>152</v>
      </c>
      <c r="D25" s="56" t="s">
        <v>152</v>
      </c>
      <c r="E25" s="56" t="s">
        <v>111</v>
      </c>
      <c r="F25" s="56" t="s">
        <v>168</v>
      </c>
      <c r="G25" s="57" t="s">
        <v>34</v>
      </c>
      <c r="H25" s="68">
        <f t="shared" si="3"/>
        <v>0</v>
      </c>
      <c r="I25" s="62" t="s">
        <v>146</v>
      </c>
      <c r="J25" s="62"/>
      <c r="K25" s="71"/>
      <c r="L25" s="57" t="s">
        <v>115</v>
      </c>
      <c r="M25" s="61"/>
      <c r="N25" s="61"/>
      <c r="O25" s="62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75"/>
      <c r="AC25" s="30">
        <v>1.0</v>
      </c>
      <c r="AD25" s="30">
        <f t="shared" si="4"/>
        <v>0</v>
      </c>
      <c r="AE25" s="70">
        <f t="shared" si="5"/>
        <v>0</v>
      </c>
      <c r="AF25" s="70">
        <v>1.0</v>
      </c>
    </row>
    <row r="26" ht="15.75" hidden="1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153</v>
      </c>
      <c r="F26" s="56" t="s">
        <v>246</v>
      </c>
      <c r="G26" s="57" t="s">
        <v>154</v>
      </c>
      <c r="H26" s="68">
        <f t="shared" si="3"/>
        <v>0</v>
      </c>
      <c r="I26" s="62" t="s">
        <v>146</v>
      </c>
      <c r="J26" s="62"/>
      <c r="K26" s="71"/>
      <c r="L26" s="57" t="s">
        <v>130</v>
      </c>
      <c r="M26" s="61"/>
      <c r="N26" s="61"/>
      <c r="O26" s="62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30">
        <v>2.0</v>
      </c>
      <c r="AD26" s="30">
        <f t="shared" si="4"/>
        <v>0</v>
      </c>
      <c r="AE26" s="70">
        <f t="shared" si="5"/>
        <v>0</v>
      </c>
      <c r="AF26" s="70">
        <v>1.0</v>
      </c>
    </row>
    <row r="27" ht="15.75" hidden="1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155</v>
      </c>
      <c r="F27" s="56" t="s">
        <v>249</v>
      </c>
      <c r="G27" s="57" t="s">
        <v>250</v>
      </c>
      <c r="H27" s="68">
        <f t="shared" si="3"/>
        <v>0</v>
      </c>
      <c r="I27" s="62"/>
      <c r="J27" s="62"/>
      <c r="K27" s="71"/>
      <c r="L27" s="57" t="s">
        <v>115</v>
      </c>
      <c r="M27" s="61"/>
      <c r="N27" s="61" t="s">
        <v>159</v>
      </c>
      <c r="O27" s="62" t="s">
        <v>160</v>
      </c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75"/>
      <c r="AC27" s="30">
        <v>2.0</v>
      </c>
      <c r="AD27" s="30">
        <f t="shared" si="4"/>
        <v>0</v>
      </c>
      <c r="AE27" s="70">
        <f t="shared" si="5"/>
        <v>0</v>
      </c>
      <c r="AF27" s="70">
        <v>1.0</v>
      </c>
    </row>
    <row r="28" ht="15.75" hidden="1" customHeight="1">
      <c r="A28" s="54">
        <v>50.0</v>
      </c>
      <c r="B28" s="56" t="s">
        <v>156</v>
      </c>
      <c r="C28" s="56" t="s">
        <v>152</v>
      </c>
      <c r="D28" s="56" t="s">
        <v>157</v>
      </c>
      <c r="E28" s="56" t="s">
        <v>158</v>
      </c>
      <c r="F28" s="56" t="s">
        <v>168</v>
      </c>
      <c r="G28" s="57" t="s">
        <v>34</v>
      </c>
      <c r="H28" s="68">
        <f t="shared" si="3"/>
        <v>0</v>
      </c>
      <c r="I28" s="62" t="s">
        <v>146</v>
      </c>
      <c r="J28" s="62"/>
      <c r="K28" s="71"/>
      <c r="L28" s="57" t="s">
        <v>130</v>
      </c>
      <c r="M28" s="61"/>
      <c r="N28" s="61"/>
      <c r="O28" s="62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75"/>
      <c r="AC28" s="30">
        <v>1.0</v>
      </c>
      <c r="AD28" s="30">
        <f t="shared" si="4"/>
        <v>0</v>
      </c>
      <c r="AE28" s="70">
        <f t="shared" si="5"/>
        <v>0</v>
      </c>
      <c r="AF28" s="70">
        <v>1.0</v>
      </c>
    </row>
    <row r="29" ht="15.75" hidden="1" customHeight="1">
      <c r="A29" s="54">
        <v>50.0</v>
      </c>
      <c r="B29" s="56" t="s">
        <v>161</v>
      </c>
      <c r="C29" s="56" t="s">
        <v>152</v>
      </c>
      <c r="D29" s="56" t="s">
        <v>162</v>
      </c>
      <c r="E29" s="56" t="s">
        <v>163</v>
      </c>
      <c r="F29" s="56" t="s">
        <v>168</v>
      </c>
      <c r="G29" s="57" t="s">
        <v>34</v>
      </c>
      <c r="H29" s="68">
        <f t="shared" si="3"/>
        <v>0</v>
      </c>
      <c r="I29" s="62" t="s">
        <v>146</v>
      </c>
      <c r="J29" s="62"/>
      <c r="K29" s="71"/>
      <c r="L29" s="57" t="s">
        <v>130</v>
      </c>
      <c r="M29" s="61"/>
      <c r="N29" s="61"/>
      <c r="O29" s="62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75"/>
      <c r="AC29" s="30">
        <v>1.0</v>
      </c>
      <c r="AD29" s="30">
        <f t="shared" si="4"/>
        <v>0</v>
      </c>
      <c r="AE29" s="70">
        <f t="shared" si="5"/>
        <v>0</v>
      </c>
      <c r="AF29" s="70">
        <v>1.0</v>
      </c>
    </row>
    <row r="30" ht="15.75" hidden="1" customHeight="1">
      <c r="A30" s="54">
        <v>60.0</v>
      </c>
      <c r="B30" s="56" t="s">
        <v>164</v>
      </c>
      <c r="C30" s="56" t="s">
        <v>165</v>
      </c>
      <c r="D30" s="56" t="s">
        <v>166</v>
      </c>
      <c r="E30" s="56" t="s">
        <v>167</v>
      </c>
      <c r="F30" s="56" t="s">
        <v>246</v>
      </c>
      <c r="G30" s="57" t="s">
        <v>154</v>
      </c>
      <c r="H30" s="68">
        <f t="shared" si="3"/>
        <v>0</v>
      </c>
      <c r="I30" s="62" t="s">
        <v>146</v>
      </c>
      <c r="J30" s="62"/>
      <c r="K30" s="71"/>
      <c r="L30" s="57" t="s">
        <v>130</v>
      </c>
      <c r="M30" s="61"/>
      <c r="N30" s="61"/>
      <c r="O30" s="62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75"/>
      <c r="AC30" s="30">
        <v>2.0</v>
      </c>
      <c r="AD30" s="30">
        <f t="shared" si="4"/>
        <v>0</v>
      </c>
      <c r="AE30" s="70">
        <f t="shared" si="5"/>
        <v>0</v>
      </c>
      <c r="AF30" s="70">
        <v>1.0</v>
      </c>
    </row>
    <row r="31" ht="15.75" hidden="1" customHeight="1">
      <c r="A31" s="54">
        <v>60.0</v>
      </c>
      <c r="B31" s="56" t="s">
        <v>169</v>
      </c>
      <c r="C31" s="56" t="s">
        <v>165</v>
      </c>
      <c r="D31" s="56" t="s">
        <v>170</v>
      </c>
      <c r="E31" s="56" t="s">
        <v>167</v>
      </c>
      <c r="F31" s="56" t="s">
        <v>246</v>
      </c>
      <c r="G31" s="57" t="s">
        <v>154</v>
      </c>
      <c r="H31" s="68">
        <f t="shared" si="3"/>
        <v>0</v>
      </c>
      <c r="I31" s="62" t="s">
        <v>146</v>
      </c>
      <c r="J31" s="62"/>
      <c r="K31" s="71"/>
      <c r="L31" s="57" t="s">
        <v>130</v>
      </c>
      <c r="M31" s="61"/>
      <c r="N31" s="61"/>
      <c r="O31" s="62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30">
        <v>2.0</v>
      </c>
      <c r="AD31" s="30">
        <f t="shared" si="4"/>
        <v>0</v>
      </c>
      <c r="AE31" s="70">
        <f t="shared" si="5"/>
        <v>0</v>
      </c>
      <c r="AF31" s="70">
        <v>1.0</v>
      </c>
    </row>
    <row r="32" ht="15.75" hidden="1" customHeight="1">
      <c r="A32" s="54">
        <v>60.0</v>
      </c>
      <c r="B32" s="56" t="s">
        <v>171</v>
      </c>
      <c r="C32" s="56" t="s">
        <v>165</v>
      </c>
      <c r="D32" s="56" t="s">
        <v>172</v>
      </c>
      <c r="E32" s="56" t="s">
        <v>167</v>
      </c>
      <c r="F32" s="56" t="s">
        <v>246</v>
      </c>
      <c r="G32" s="57" t="s">
        <v>154</v>
      </c>
      <c r="H32" s="68">
        <f t="shared" si="3"/>
        <v>0</v>
      </c>
      <c r="I32" s="62" t="s">
        <v>146</v>
      </c>
      <c r="J32" s="62"/>
      <c r="K32" s="71"/>
      <c r="L32" s="57" t="s">
        <v>130</v>
      </c>
      <c r="M32" s="61"/>
      <c r="N32" s="61"/>
      <c r="O32" s="62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30">
        <v>2.0</v>
      </c>
      <c r="AD32" s="30">
        <f t="shared" si="4"/>
        <v>0</v>
      </c>
      <c r="AE32" s="70">
        <f t="shared" si="5"/>
        <v>0</v>
      </c>
      <c r="AF32" s="70">
        <v>1.0</v>
      </c>
    </row>
    <row r="33" ht="15.75" hidden="1" customHeight="1">
      <c r="A33" s="54">
        <v>60.0</v>
      </c>
      <c r="B33" s="56" t="s">
        <v>174</v>
      </c>
      <c r="C33" s="56" t="s">
        <v>165</v>
      </c>
      <c r="D33" s="56" t="s">
        <v>175</v>
      </c>
      <c r="E33" s="56" t="s">
        <v>167</v>
      </c>
      <c r="F33" s="56" t="s">
        <v>246</v>
      </c>
      <c r="G33" s="57" t="s">
        <v>154</v>
      </c>
      <c r="H33" s="68">
        <f t="shared" si="3"/>
        <v>0</v>
      </c>
      <c r="I33" s="62" t="s">
        <v>146</v>
      </c>
      <c r="J33" s="62"/>
      <c r="K33" s="71"/>
      <c r="L33" s="57" t="s">
        <v>130</v>
      </c>
      <c r="M33" s="61"/>
      <c r="N33" s="61"/>
      <c r="O33" s="62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30">
        <v>2.0</v>
      </c>
      <c r="AD33" s="30">
        <f t="shared" si="4"/>
        <v>0</v>
      </c>
      <c r="AE33" s="70">
        <f t="shared" si="5"/>
        <v>0</v>
      </c>
      <c r="AF33" s="70">
        <v>1.0</v>
      </c>
    </row>
    <row r="34" ht="15.75" hidden="1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176</v>
      </c>
      <c r="F34" s="56" t="s">
        <v>246</v>
      </c>
      <c r="G34" s="57" t="s">
        <v>154</v>
      </c>
      <c r="H34" s="68">
        <f t="shared" si="3"/>
        <v>0</v>
      </c>
      <c r="I34" s="62" t="s">
        <v>146</v>
      </c>
      <c r="J34" s="62"/>
      <c r="K34" s="71"/>
      <c r="L34" s="57" t="s">
        <v>130</v>
      </c>
      <c r="M34" s="61"/>
      <c r="N34" s="61"/>
      <c r="O34" s="62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30">
        <v>2.0</v>
      </c>
      <c r="AD34" s="30">
        <f t="shared" si="4"/>
        <v>0</v>
      </c>
      <c r="AE34" s="70">
        <f t="shared" si="5"/>
        <v>0</v>
      </c>
      <c r="AF34" s="70">
        <v>1.0</v>
      </c>
    </row>
    <row r="35" ht="15.75" hidden="1" customHeight="1">
      <c r="A35" s="54">
        <v>60.0</v>
      </c>
      <c r="B35" s="56" t="s">
        <v>177</v>
      </c>
      <c r="C35" s="56" t="s">
        <v>165</v>
      </c>
      <c r="D35" s="56" t="s">
        <v>178</v>
      </c>
      <c r="E35" s="56" t="s">
        <v>111</v>
      </c>
      <c r="F35" s="56" t="s">
        <v>246</v>
      </c>
      <c r="G35" s="57" t="s">
        <v>154</v>
      </c>
      <c r="H35" s="68">
        <f t="shared" si="3"/>
        <v>0</v>
      </c>
      <c r="I35" s="62" t="s">
        <v>146</v>
      </c>
      <c r="J35" s="62"/>
      <c r="K35" s="71"/>
      <c r="L35" s="57" t="s">
        <v>130</v>
      </c>
      <c r="M35" s="61"/>
      <c r="N35" s="61"/>
      <c r="O35" s="62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30">
        <v>2.0</v>
      </c>
      <c r="AD35" s="30">
        <f t="shared" si="4"/>
        <v>0</v>
      </c>
      <c r="AE35" s="70">
        <f t="shared" si="5"/>
        <v>0</v>
      </c>
      <c r="AF35" s="70">
        <v>1.0</v>
      </c>
    </row>
    <row r="36" ht="15.75" hidden="1" customHeight="1">
      <c r="A36" s="54">
        <v>60.0</v>
      </c>
      <c r="B36" s="56" t="s">
        <v>179</v>
      </c>
      <c r="C36" s="56" t="s">
        <v>165</v>
      </c>
      <c r="D36" s="56" t="s">
        <v>180</v>
      </c>
      <c r="E36" s="56" t="s">
        <v>167</v>
      </c>
      <c r="F36" s="56" t="s">
        <v>246</v>
      </c>
      <c r="G36" s="57" t="s">
        <v>154</v>
      </c>
      <c r="H36" s="68">
        <f t="shared" si="3"/>
        <v>0</v>
      </c>
      <c r="I36" s="62" t="s">
        <v>146</v>
      </c>
      <c r="J36" s="62"/>
      <c r="K36" s="71"/>
      <c r="L36" s="57" t="s">
        <v>130</v>
      </c>
      <c r="M36" s="61"/>
      <c r="N36" s="61"/>
      <c r="O36" s="62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30">
        <v>2.0</v>
      </c>
      <c r="AD36" s="30">
        <f t="shared" si="4"/>
        <v>0</v>
      </c>
      <c r="AE36" s="70">
        <f t="shared" si="5"/>
        <v>0</v>
      </c>
      <c r="AF36" s="70">
        <v>1.0</v>
      </c>
    </row>
    <row r="37" ht="15.75" hidden="1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176</v>
      </c>
      <c r="F37" s="56" t="s">
        <v>246</v>
      </c>
      <c r="G37" s="57" t="s">
        <v>154</v>
      </c>
      <c r="H37" s="68">
        <f t="shared" si="3"/>
        <v>0</v>
      </c>
      <c r="I37" s="62" t="s">
        <v>146</v>
      </c>
      <c r="J37" s="62"/>
      <c r="K37" s="71"/>
      <c r="L37" s="57" t="s">
        <v>130</v>
      </c>
      <c r="M37" s="61"/>
      <c r="N37" s="61"/>
      <c r="O37" s="62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30">
        <v>2.0</v>
      </c>
      <c r="AD37" s="30">
        <f t="shared" si="4"/>
        <v>0</v>
      </c>
      <c r="AE37" s="70">
        <f t="shared" si="5"/>
        <v>0</v>
      </c>
      <c r="AF37" s="70">
        <v>1.0</v>
      </c>
    </row>
    <row r="38" ht="15.75" hidden="1" customHeight="1">
      <c r="A38" s="54">
        <v>60.0</v>
      </c>
      <c r="B38" s="56" t="s">
        <v>181</v>
      </c>
      <c r="C38" s="56" t="s">
        <v>165</v>
      </c>
      <c r="D38" s="56" t="s">
        <v>178</v>
      </c>
      <c r="E38" s="56" t="s">
        <v>167</v>
      </c>
      <c r="F38" s="56" t="s">
        <v>246</v>
      </c>
      <c r="G38" s="57" t="s">
        <v>154</v>
      </c>
      <c r="H38" s="68">
        <f t="shared" si="3"/>
        <v>0</v>
      </c>
      <c r="I38" s="62" t="s">
        <v>146</v>
      </c>
      <c r="J38" s="62"/>
      <c r="K38" s="71"/>
      <c r="L38" s="57" t="s">
        <v>130</v>
      </c>
      <c r="M38" s="61"/>
      <c r="N38" s="61"/>
      <c r="O38" s="62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30">
        <v>2.0</v>
      </c>
      <c r="AD38" s="30">
        <f t="shared" si="4"/>
        <v>0</v>
      </c>
      <c r="AE38" s="70">
        <f t="shared" si="5"/>
        <v>0</v>
      </c>
      <c r="AF38" s="70">
        <v>1.0</v>
      </c>
    </row>
    <row r="39" ht="15.75" hidden="1" customHeight="1">
      <c r="A39" s="54">
        <v>60.0</v>
      </c>
      <c r="B39" s="56" t="s">
        <v>182</v>
      </c>
      <c r="C39" s="56" t="s">
        <v>165</v>
      </c>
      <c r="D39" s="56" t="s">
        <v>183</v>
      </c>
      <c r="E39" s="56" t="s">
        <v>167</v>
      </c>
      <c r="F39" s="56" t="s">
        <v>246</v>
      </c>
      <c r="G39" s="57" t="s">
        <v>154</v>
      </c>
      <c r="H39" s="68">
        <f t="shared" si="3"/>
        <v>0</v>
      </c>
      <c r="I39" s="62" t="s">
        <v>146</v>
      </c>
      <c r="J39" s="62"/>
      <c r="K39" s="71"/>
      <c r="L39" s="57" t="s">
        <v>130</v>
      </c>
      <c r="M39" s="61"/>
      <c r="N39" s="61"/>
      <c r="O39" s="62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30">
        <v>2.0</v>
      </c>
      <c r="AD39" s="30">
        <f t="shared" si="4"/>
        <v>0</v>
      </c>
      <c r="AE39" s="70">
        <f t="shared" si="5"/>
        <v>0</v>
      </c>
      <c r="AF39" s="70">
        <v>1.0</v>
      </c>
    </row>
    <row r="40" ht="15.75" hidden="1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176</v>
      </c>
      <c r="F40" s="56" t="s">
        <v>246</v>
      </c>
      <c r="G40" s="57" t="s">
        <v>154</v>
      </c>
      <c r="H40" s="68">
        <f t="shared" si="3"/>
        <v>0</v>
      </c>
      <c r="I40" s="62" t="s">
        <v>146</v>
      </c>
      <c r="J40" s="62"/>
      <c r="K40" s="71"/>
      <c r="L40" s="57" t="s">
        <v>130</v>
      </c>
      <c r="M40" s="61"/>
      <c r="N40" s="61"/>
      <c r="O40" s="62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30">
        <v>2.0</v>
      </c>
      <c r="AD40" s="30">
        <f t="shared" si="4"/>
        <v>0</v>
      </c>
      <c r="AE40" s="70">
        <f t="shared" si="5"/>
        <v>0</v>
      </c>
      <c r="AF40" s="70">
        <v>1.0</v>
      </c>
    </row>
    <row r="41" ht="15.75" hidden="1" customHeight="1">
      <c r="A41" s="54">
        <v>60.0</v>
      </c>
      <c r="B41" s="56" t="s">
        <v>184</v>
      </c>
      <c r="C41" s="56" t="s">
        <v>165</v>
      </c>
      <c r="D41" s="56" t="s">
        <v>178</v>
      </c>
      <c r="E41" s="56" t="s">
        <v>167</v>
      </c>
      <c r="F41" s="56" t="s">
        <v>246</v>
      </c>
      <c r="G41" s="57" t="s">
        <v>154</v>
      </c>
      <c r="H41" s="68">
        <f t="shared" si="3"/>
        <v>0</v>
      </c>
      <c r="I41" s="62" t="s">
        <v>146</v>
      </c>
      <c r="J41" s="62"/>
      <c r="K41" s="71"/>
      <c r="L41" s="57" t="s">
        <v>130</v>
      </c>
      <c r="M41" s="61"/>
      <c r="N41" s="61"/>
      <c r="O41" s="62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30">
        <v>2.0</v>
      </c>
      <c r="AD41" s="30">
        <f t="shared" si="4"/>
        <v>0</v>
      </c>
      <c r="AE41" s="70">
        <f t="shared" si="5"/>
        <v>0</v>
      </c>
      <c r="AF41" s="70">
        <v>1.0</v>
      </c>
    </row>
    <row r="42" ht="15.75" hidden="1" customHeight="1">
      <c r="A42" s="54">
        <v>60.0</v>
      </c>
      <c r="B42" s="56" t="s">
        <v>185</v>
      </c>
      <c r="C42" s="56" t="s">
        <v>165</v>
      </c>
      <c r="D42" s="56" t="s">
        <v>186</v>
      </c>
      <c r="E42" s="56" t="s">
        <v>167</v>
      </c>
      <c r="F42" s="56" t="s">
        <v>246</v>
      </c>
      <c r="G42" s="57" t="s">
        <v>154</v>
      </c>
      <c r="H42" s="68">
        <f t="shared" si="3"/>
        <v>0</v>
      </c>
      <c r="I42" s="62" t="s">
        <v>146</v>
      </c>
      <c r="J42" s="62"/>
      <c r="K42" s="71"/>
      <c r="L42" s="57" t="s">
        <v>130</v>
      </c>
      <c r="M42" s="61"/>
      <c r="N42" s="61"/>
      <c r="O42" s="62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30">
        <v>2.0</v>
      </c>
      <c r="AD42" s="30">
        <f t="shared" si="4"/>
        <v>0</v>
      </c>
      <c r="AE42" s="70">
        <f t="shared" si="5"/>
        <v>0</v>
      </c>
      <c r="AF42" s="70">
        <v>1.0</v>
      </c>
    </row>
    <row r="43" ht="15.75" hidden="1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176</v>
      </c>
      <c r="F43" s="56" t="s">
        <v>246</v>
      </c>
      <c r="G43" s="57" t="s">
        <v>154</v>
      </c>
      <c r="H43" s="68">
        <f t="shared" si="3"/>
        <v>0</v>
      </c>
      <c r="I43" s="62" t="s">
        <v>146</v>
      </c>
      <c r="J43" s="62"/>
      <c r="K43" s="71"/>
      <c r="L43" s="57" t="s">
        <v>130</v>
      </c>
      <c r="M43" s="61"/>
      <c r="N43" s="61"/>
      <c r="O43" s="6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30">
        <v>2.0</v>
      </c>
      <c r="AD43" s="30">
        <f t="shared" si="4"/>
        <v>0</v>
      </c>
      <c r="AE43" s="70">
        <f t="shared" si="5"/>
        <v>0</v>
      </c>
      <c r="AF43" s="70">
        <v>1.0</v>
      </c>
    </row>
    <row r="44" ht="15.75" hidden="1" customHeight="1">
      <c r="A44" s="54">
        <v>60.0</v>
      </c>
      <c r="B44" s="56" t="s">
        <v>187</v>
      </c>
      <c r="C44" s="56" t="s">
        <v>165</v>
      </c>
      <c r="D44" s="56" t="s">
        <v>178</v>
      </c>
      <c r="E44" s="56" t="s">
        <v>167</v>
      </c>
      <c r="F44" s="56" t="s">
        <v>246</v>
      </c>
      <c r="G44" s="57" t="s">
        <v>154</v>
      </c>
      <c r="H44" s="68">
        <f t="shared" si="3"/>
        <v>0</v>
      </c>
      <c r="I44" s="62" t="s">
        <v>146</v>
      </c>
      <c r="J44" s="62"/>
      <c r="K44" s="71"/>
      <c r="L44" s="57" t="s">
        <v>130</v>
      </c>
      <c r="M44" s="61"/>
      <c r="N44" s="61"/>
      <c r="O44" s="62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30">
        <v>2.0</v>
      </c>
      <c r="AD44" s="30">
        <f t="shared" si="4"/>
        <v>0</v>
      </c>
      <c r="AE44" s="70">
        <f t="shared" si="5"/>
        <v>0</v>
      </c>
      <c r="AF44" s="70">
        <v>1.0</v>
      </c>
    </row>
    <row r="45" ht="15.75" hidden="1" customHeight="1">
      <c r="A45" s="54">
        <v>80.0</v>
      </c>
      <c r="B45" s="56" t="s">
        <v>188</v>
      </c>
      <c r="C45" s="56" t="s">
        <v>189</v>
      </c>
      <c r="D45" s="56" t="s">
        <v>190</v>
      </c>
      <c r="E45" s="56" t="s">
        <v>191</v>
      </c>
      <c r="F45" s="56" t="s">
        <v>313</v>
      </c>
      <c r="G45" s="57" t="s">
        <v>192</v>
      </c>
      <c r="H45" s="68">
        <f t="shared" si="3"/>
        <v>0</v>
      </c>
      <c r="I45" s="62"/>
      <c r="J45" s="62"/>
      <c r="K45" s="71"/>
      <c r="L45" s="57" t="s">
        <v>130</v>
      </c>
      <c r="M45" s="61"/>
      <c r="N45" s="61"/>
      <c r="O45" s="62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30">
        <v>3.0</v>
      </c>
      <c r="AD45" s="30">
        <f t="shared" si="4"/>
        <v>0</v>
      </c>
      <c r="AE45" s="70">
        <f t="shared" si="5"/>
        <v>0</v>
      </c>
      <c r="AF45" s="70">
        <v>1.0</v>
      </c>
    </row>
    <row r="46" ht="15.75" hidden="1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194</v>
      </c>
      <c r="F46" s="56" t="s">
        <v>321</v>
      </c>
      <c r="G46" s="57" t="s">
        <v>192</v>
      </c>
      <c r="H46" s="68">
        <f t="shared" si="3"/>
        <v>0</v>
      </c>
      <c r="I46" s="62"/>
      <c r="J46" s="62"/>
      <c r="K46" s="71"/>
      <c r="L46" s="57" t="s">
        <v>130</v>
      </c>
      <c r="M46" s="61"/>
      <c r="N46" s="61"/>
      <c r="O46" s="62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30">
        <v>3.0</v>
      </c>
      <c r="AD46" s="30">
        <f t="shared" si="4"/>
        <v>0</v>
      </c>
      <c r="AE46" s="70">
        <f t="shared" si="5"/>
        <v>0</v>
      </c>
      <c r="AF46" s="70">
        <v>1.0</v>
      </c>
    </row>
    <row r="47" ht="15.75" hidden="1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195</v>
      </c>
      <c r="F47" s="56" t="s">
        <v>330</v>
      </c>
      <c r="G47" s="57" t="s">
        <v>34</v>
      </c>
      <c r="H47" s="68">
        <f t="shared" si="3"/>
        <v>0</v>
      </c>
      <c r="I47" s="62"/>
      <c r="J47" s="62"/>
      <c r="K47" s="71"/>
      <c r="L47" s="57" t="s">
        <v>115</v>
      </c>
      <c r="M47" s="61"/>
      <c r="N47" s="61" t="s">
        <v>197</v>
      </c>
      <c r="O47" s="6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30">
        <v>1.0</v>
      </c>
      <c r="AD47" s="30">
        <f t="shared" si="4"/>
        <v>0</v>
      </c>
      <c r="AE47" s="70">
        <f t="shared" si="5"/>
        <v>0</v>
      </c>
      <c r="AF47" s="70">
        <v>1.0</v>
      </c>
    </row>
    <row r="48" ht="15.75" hidden="1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196</v>
      </c>
      <c r="F48" s="56" t="s">
        <v>249</v>
      </c>
      <c r="G48" s="57" t="s">
        <v>250</v>
      </c>
      <c r="H48" s="68">
        <f t="shared" si="3"/>
        <v>0</v>
      </c>
      <c r="I48" s="62"/>
      <c r="J48" s="62" t="s">
        <v>201</v>
      </c>
      <c r="K48" s="71"/>
      <c r="L48" s="57" t="s">
        <v>130</v>
      </c>
      <c r="M48" s="61"/>
      <c r="N48" s="61" t="s">
        <v>200</v>
      </c>
      <c r="O48" s="62" t="s">
        <v>201</v>
      </c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30">
        <v>2.0</v>
      </c>
      <c r="AD48" s="30">
        <f t="shared" si="4"/>
        <v>0</v>
      </c>
      <c r="AE48" s="70">
        <f t="shared" si="5"/>
        <v>0</v>
      </c>
      <c r="AF48" s="70">
        <v>1.0</v>
      </c>
    </row>
    <row r="49" ht="15.75" hidden="1" customHeight="1">
      <c r="A49" s="54">
        <v>80.0</v>
      </c>
      <c r="B49" s="56" t="s">
        <v>198</v>
      </c>
      <c r="C49" s="56" t="s">
        <v>189</v>
      </c>
      <c r="D49" s="56" t="s">
        <v>199</v>
      </c>
      <c r="E49" s="56" t="s">
        <v>163</v>
      </c>
      <c r="F49" s="56" t="s">
        <v>327</v>
      </c>
      <c r="G49" s="57" t="s">
        <v>154</v>
      </c>
      <c r="H49" s="68">
        <f t="shared" si="3"/>
        <v>0</v>
      </c>
      <c r="I49" s="62" t="s">
        <v>146</v>
      </c>
      <c r="J49" s="62" t="s">
        <v>207</v>
      </c>
      <c r="K49" s="71"/>
      <c r="L49" s="57" t="s">
        <v>115</v>
      </c>
      <c r="M49" s="61"/>
      <c r="N49" s="61"/>
      <c r="O49" s="62" t="s">
        <v>207</v>
      </c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30">
        <v>2.0</v>
      </c>
      <c r="AD49" s="30">
        <f t="shared" si="4"/>
        <v>0</v>
      </c>
      <c r="AE49" s="70">
        <f t="shared" si="5"/>
        <v>0</v>
      </c>
      <c r="AF49" s="70">
        <v>1.0</v>
      </c>
    </row>
    <row r="50" ht="15.75" hidden="1" customHeight="1">
      <c r="A50" s="54">
        <v>80.0</v>
      </c>
      <c r="B50" s="56" t="s">
        <v>203</v>
      </c>
      <c r="C50" s="56" t="s">
        <v>204</v>
      </c>
      <c r="D50" s="56" t="s">
        <v>205</v>
      </c>
      <c r="E50" s="56" t="s">
        <v>208</v>
      </c>
      <c r="F50" s="56" t="s">
        <v>327</v>
      </c>
      <c r="G50" s="57" t="s">
        <v>154</v>
      </c>
      <c r="H50" s="68">
        <f t="shared" si="3"/>
        <v>0</v>
      </c>
      <c r="I50" s="62"/>
      <c r="J50" s="62" t="s">
        <v>207</v>
      </c>
      <c r="K50" s="71"/>
      <c r="L50" s="57" t="s">
        <v>115</v>
      </c>
      <c r="M50" s="61"/>
      <c r="N50" s="61"/>
      <c r="O50" s="62" t="s">
        <v>207</v>
      </c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30">
        <v>2.0</v>
      </c>
      <c r="AD50" s="30">
        <f t="shared" si="4"/>
        <v>0</v>
      </c>
      <c r="AE50" s="70">
        <f t="shared" si="5"/>
        <v>0</v>
      </c>
      <c r="AF50" s="70">
        <v>1.0</v>
      </c>
    </row>
    <row r="51" ht="15.75" hidden="1" customHeight="1">
      <c r="A51" s="54">
        <v>80.0</v>
      </c>
      <c r="B51" s="56" t="s">
        <v>210</v>
      </c>
      <c r="C51" s="56" t="s">
        <v>189</v>
      </c>
      <c r="D51" s="56" t="s">
        <v>212</v>
      </c>
      <c r="E51" s="56" t="s">
        <v>213</v>
      </c>
      <c r="F51" s="56" t="s">
        <v>125</v>
      </c>
      <c r="G51" s="57"/>
      <c r="H51" s="68">
        <f t="shared" si="3"/>
        <v>0</v>
      </c>
      <c r="I51" s="62"/>
      <c r="J51" s="62"/>
      <c r="K51" s="71"/>
      <c r="L51" s="57" t="s">
        <v>115</v>
      </c>
      <c r="M51" s="61"/>
      <c r="N51" s="61"/>
      <c r="O51" s="62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30">
        <v>1.0</v>
      </c>
      <c r="AD51" s="30">
        <f t="shared" si="4"/>
        <v>0</v>
      </c>
      <c r="AE51" s="70">
        <f t="shared" si="5"/>
        <v>0</v>
      </c>
      <c r="AF51" s="70">
        <v>1.0</v>
      </c>
    </row>
    <row r="52" ht="15.75" hidden="1" customHeight="1">
      <c r="A52" s="54">
        <v>80.0</v>
      </c>
      <c r="B52" s="56" t="s">
        <v>214</v>
      </c>
      <c r="C52" s="56" t="s">
        <v>204</v>
      </c>
      <c r="D52" s="56" t="s">
        <v>215</v>
      </c>
      <c r="E52" s="56" t="s">
        <v>216</v>
      </c>
      <c r="F52" s="56" t="s">
        <v>327</v>
      </c>
      <c r="G52" s="57" t="s">
        <v>154</v>
      </c>
      <c r="H52" s="68">
        <f t="shared" si="3"/>
        <v>0</v>
      </c>
      <c r="I52" s="62" t="s">
        <v>146</v>
      </c>
      <c r="J52" s="62" t="s">
        <v>207</v>
      </c>
      <c r="K52" s="71"/>
      <c r="L52" s="57" t="s">
        <v>115</v>
      </c>
      <c r="M52" s="61"/>
      <c r="N52" s="61"/>
      <c r="O52" s="62" t="s">
        <v>207</v>
      </c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30">
        <v>2.0</v>
      </c>
      <c r="AD52" s="30">
        <f t="shared" si="4"/>
        <v>0</v>
      </c>
      <c r="AE52" s="70">
        <f t="shared" si="5"/>
        <v>0</v>
      </c>
      <c r="AF52" s="70">
        <v>1.0</v>
      </c>
    </row>
    <row r="53" ht="15.75" hidden="1" customHeight="1">
      <c r="A53" s="54">
        <v>80.0</v>
      </c>
      <c r="B53" s="56" t="s">
        <v>214</v>
      </c>
      <c r="C53" s="56" t="s">
        <v>204</v>
      </c>
      <c r="D53" s="56" t="s">
        <v>215</v>
      </c>
      <c r="E53" s="56" t="s">
        <v>217</v>
      </c>
      <c r="F53" s="56" t="s">
        <v>327</v>
      </c>
      <c r="G53" s="57" t="s">
        <v>154</v>
      </c>
      <c r="H53" s="68">
        <f t="shared" si="3"/>
        <v>0</v>
      </c>
      <c r="I53" s="62" t="s">
        <v>146</v>
      </c>
      <c r="J53" s="62" t="s">
        <v>207</v>
      </c>
      <c r="K53" s="71"/>
      <c r="L53" s="57" t="s">
        <v>115</v>
      </c>
      <c r="M53" s="61"/>
      <c r="N53" s="61"/>
      <c r="O53" s="62" t="s">
        <v>207</v>
      </c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30">
        <v>2.0</v>
      </c>
      <c r="AD53" s="30">
        <f t="shared" si="4"/>
        <v>0</v>
      </c>
      <c r="AE53" s="70">
        <f t="shared" si="5"/>
        <v>0</v>
      </c>
      <c r="AF53" s="70">
        <v>1.0</v>
      </c>
    </row>
    <row r="54" ht="15.75" hidden="1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163</v>
      </c>
      <c r="F54" s="56" t="s">
        <v>327</v>
      </c>
      <c r="G54" s="57" t="s">
        <v>154</v>
      </c>
      <c r="H54" s="68">
        <f t="shared" si="3"/>
        <v>0</v>
      </c>
      <c r="I54" s="62" t="s">
        <v>146</v>
      </c>
      <c r="J54" s="62" t="s">
        <v>207</v>
      </c>
      <c r="K54" s="71"/>
      <c r="L54" s="57" t="s">
        <v>115</v>
      </c>
      <c r="M54" s="61"/>
      <c r="N54" s="61"/>
      <c r="O54" s="62" t="s">
        <v>207</v>
      </c>
      <c r="P54" s="53"/>
      <c r="Q54" s="53"/>
      <c r="R54" s="53"/>
      <c r="S54" s="53"/>
      <c r="T54" s="53"/>
      <c r="U54" s="53"/>
      <c r="V54" s="83"/>
      <c r="W54" s="53"/>
      <c r="X54" s="53"/>
      <c r="Y54" s="53"/>
      <c r="Z54" s="53"/>
      <c r="AA54" s="53"/>
      <c r="AB54" s="53"/>
      <c r="AC54" s="30">
        <v>2.0</v>
      </c>
      <c r="AD54" s="30">
        <f t="shared" si="4"/>
        <v>0</v>
      </c>
      <c r="AE54" s="70">
        <f t="shared" si="5"/>
        <v>0</v>
      </c>
      <c r="AF54" s="70">
        <v>1.0</v>
      </c>
    </row>
    <row r="55" ht="15.75" hidden="1" customHeight="1">
      <c r="A55" s="54">
        <v>80.0</v>
      </c>
      <c r="B55" s="56" t="s">
        <v>218</v>
      </c>
      <c r="C55" s="56" t="s">
        <v>204</v>
      </c>
      <c r="D55" s="56" t="s">
        <v>219</v>
      </c>
      <c r="E55" s="56" t="s">
        <v>191</v>
      </c>
      <c r="F55" s="56" t="s">
        <v>313</v>
      </c>
      <c r="G55" s="57" t="s">
        <v>192</v>
      </c>
      <c r="H55" s="68">
        <f t="shared" si="3"/>
        <v>0</v>
      </c>
      <c r="I55" s="62"/>
      <c r="J55" s="62"/>
      <c r="K55" s="71"/>
      <c r="L55" s="57" t="s">
        <v>130</v>
      </c>
      <c r="M55" s="61"/>
      <c r="N55" s="61"/>
      <c r="O55" s="62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30">
        <v>3.0</v>
      </c>
      <c r="AD55" s="30">
        <f t="shared" si="4"/>
        <v>0</v>
      </c>
      <c r="AE55" s="70">
        <f t="shared" si="5"/>
        <v>0</v>
      </c>
      <c r="AF55" s="70">
        <v>1.0</v>
      </c>
    </row>
    <row r="56" ht="15.75" hidden="1" customHeight="1">
      <c r="A56" s="54">
        <v>80.0</v>
      </c>
      <c r="B56" s="56" t="s">
        <v>218</v>
      </c>
      <c r="C56" s="56" t="s">
        <v>204</v>
      </c>
      <c r="D56" s="56" t="s">
        <v>219</v>
      </c>
      <c r="E56" s="56" t="s">
        <v>194</v>
      </c>
      <c r="F56" s="56" t="s">
        <v>321</v>
      </c>
      <c r="G56" s="57" t="s">
        <v>192</v>
      </c>
      <c r="H56" s="68">
        <f t="shared" si="3"/>
        <v>0</v>
      </c>
      <c r="I56" s="62"/>
      <c r="J56" s="62"/>
      <c r="K56" s="71"/>
      <c r="L56" s="57" t="s">
        <v>130</v>
      </c>
      <c r="M56" s="61"/>
      <c r="N56" s="61"/>
      <c r="O56" s="62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30">
        <v>3.0</v>
      </c>
      <c r="AD56" s="30">
        <f t="shared" si="4"/>
        <v>0</v>
      </c>
      <c r="AE56" s="70">
        <f t="shared" si="5"/>
        <v>0</v>
      </c>
      <c r="AF56" s="70">
        <v>1.0</v>
      </c>
    </row>
    <row r="57" ht="15.75" hidden="1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195</v>
      </c>
      <c r="F57" s="56" t="s">
        <v>330</v>
      </c>
      <c r="G57" s="57" t="s">
        <v>34</v>
      </c>
      <c r="H57" s="68">
        <f t="shared" si="3"/>
        <v>0</v>
      </c>
      <c r="I57" s="62"/>
      <c r="J57" s="62"/>
      <c r="K57" s="71"/>
      <c r="L57" s="57" t="s">
        <v>115</v>
      </c>
      <c r="M57" s="61"/>
      <c r="N57" s="61" t="s">
        <v>197</v>
      </c>
      <c r="O57" s="62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30">
        <v>1.0</v>
      </c>
      <c r="AD57" s="30">
        <f t="shared" si="4"/>
        <v>0</v>
      </c>
      <c r="AE57" s="70">
        <f t="shared" si="5"/>
        <v>0</v>
      </c>
      <c r="AF57" s="70">
        <v>1.0</v>
      </c>
    </row>
    <row r="58" ht="15.75" hidden="1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196</v>
      </c>
      <c r="F58" s="56" t="s">
        <v>249</v>
      </c>
      <c r="G58" s="57" t="s">
        <v>250</v>
      </c>
      <c r="H58" s="68">
        <f t="shared" si="3"/>
        <v>0</v>
      </c>
      <c r="I58" s="62"/>
      <c r="J58" s="62" t="s">
        <v>201</v>
      </c>
      <c r="K58" s="71"/>
      <c r="L58" s="57" t="s">
        <v>130</v>
      </c>
      <c r="M58" s="61"/>
      <c r="N58" s="61" t="s">
        <v>200</v>
      </c>
      <c r="O58" s="62" t="s">
        <v>201</v>
      </c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30">
        <v>2.0</v>
      </c>
      <c r="AD58" s="30">
        <f t="shared" si="4"/>
        <v>0</v>
      </c>
      <c r="AE58" s="70">
        <f t="shared" si="5"/>
        <v>0</v>
      </c>
      <c r="AF58" s="70">
        <v>1.0</v>
      </c>
    </row>
    <row r="59" ht="15.75" hidden="1" customHeight="1">
      <c r="A59" s="54">
        <v>80.0</v>
      </c>
      <c r="B59" s="56" t="s">
        <v>220</v>
      </c>
      <c r="C59" s="56" t="s">
        <v>204</v>
      </c>
      <c r="D59" s="56" t="s">
        <v>221</v>
      </c>
      <c r="E59" s="56" t="s">
        <v>222</v>
      </c>
      <c r="F59" s="56" t="s">
        <v>246</v>
      </c>
      <c r="G59" s="57" t="s">
        <v>154</v>
      </c>
      <c r="H59" s="68">
        <f t="shared" si="3"/>
        <v>0</v>
      </c>
      <c r="I59" s="62"/>
      <c r="J59" s="62"/>
      <c r="K59" s="71"/>
      <c r="L59" s="57" t="s">
        <v>130</v>
      </c>
      <c r="M59" s="61"/>
      <c r="N59" s="61"/>
      <c r="O59" s="62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30">
        <v>2.0</v>
      </c>
      <c r="AD59" s="30">
        <f t="shared" si="4"/>
        <v>0</v>
      </c>
      <c r="AE59" s="70">
        <f t="shared" si="5"/>
        <v>0</v>
      </c>
      <c r="AF59" s="70">
        <v>1.0</v>
      </c>
    </row>
    <row r="60" ht="15.75" hidden="1" customHeight="1">
      <c r="A60" s="54">
        <v>80.0</v>
      </c>
      <c r="B60" s="56" t="s">
        <v>223</v>
      </c>
      <c r="C60" s="56" t="s">
        <v>204</v>
      </c>
      <c r="D60" s="56" t="s">
        <v>224</v>
      </c>
      <c r="E60" s="56" t="s">
        <v>225</v>
      </c>
      <c r="F60" s="56" t="s">
        <v>168</v>
      </c>
      <c r="G60" s="57" t="s">
        <v>34</v>
      </c>
      <c r="H60" s="68">
        <f t="shared" si="3"/>
        <v>0</v>
      </c>
      <c r="I60" s="62"/>
      <c r="J60" s="62"/>
      <c r="K60" s="71"/>
      <c r="L60" s="57" t="s">
        <v>130</v>
      </c>
      <c r="M60" s="61"/>
      <c r="N60" s="61"/>
      <c r="O60" s="62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30">
        <v>1.0</v>
      </c>
      <c r="AD60" s="30">
        <f t="shared" si="4"/>
        <v>0</v>
      </c>
      <c r="AE60" s="70">
        <f t="shared" si="5"/>
        <v>0</v>
      </c>
      <c r="AF60" s="70">
        <v>1.0</v>
      </c>
    </row>
    <row r="61" ht="15.75" hidden="1" customHeight="1">
      <c r="A61" s="54">
        <v>80.0</v>
      </c>
      <c r="B61" s="56" t="s">
        <v>223</v>
      </c>
      <c r="C61" s="56" t="s">
        <v>204</v>
      </c>
      <c r="D61" s="56" t="s">
        <v>224</v>
      </c>
      <c r="E61" s="56" t="s">
        <v>167</v>
      </c>
      <c r="F61" s="56" t="s">
        <v>246</v>
      </c>
      <c r="G61" s="57" t="s">
        <v>154</v>
      </c>
      <c r="H61" s="68">
        <f t="shared" si="3"/>
        <v>0</v>
      </c>
      <c r="I61" s="62"/>
      <c r="J61" s="62"/>
      <c r="K61" s="71"/>
      <c r="L61" s="57" t="s">
        <v>115</v>
      </c>
      <c r="M61" s="61"/>
      <c r="N61" s="61"/>
      <c r="O61" s="62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30">
        <v>2.0</v>
      </c>
      <c r="AD61" s="30">
        <f t="shared" si="4"/>
        <v>0</v>
      </c>
      <c r="AE61" s="70">
        <f t="shared" si="5"/>
        <v>0</v>
      </c>
      <c r="AF61" s="70">
        <v>1.0</v>
      </c>
    </row>
    <row r="62" ht="15.75" hidden="1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226</v>
      </c>
      <c r="F62" s="56" t="s">
        <v>246</v>
      </c>
      <c r="G62" s="57" t="s">
        <v>154</v>
      </c>
      <c r="H62" s="68">
        <f t="shared" si="3"/>
        <v>0</v>
      </c>
      <c r="I62" s="62"/>
      <c r="J62" s="62"/>
      <c r="K62" s="71"/>
      <c r="L62" s="57" t="s">
        <v>115</v>
      </c>
      <c r="M62" s="61"/>
      <c r="N62" s="61"/>
      <c r="O62" s="62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30">
        <v>2.0</v>
      </c>
      <c r="AD62" s="30">
        <f t="shared" si="4"/>
        <v>0</v>
      </c>
      <c r="AE62" s="70">
        <f t="shared" si="5"/>
        <v>0</v>
      </c>
      <c r="AF62" s="70">
        <v>1.0</v>
      </c>
    </row>
    <row r="63" ht="15.75" hidden="1" customHeight="1">
      <c r="A63" s="54">
        <v>80.0</v>
      </c>
      <c r="B63" s="56" t="s">
        <v>227</v>
      </c>
      <c r="C63" s="56" t="s">
        <v>228</v>
      </c>
      <c r="D63" s="56" t="s">
        <v>229</v>
      </c>
      <c r="E63" s="56" t="s">
        <v>230</v>
      </c>
      <c r="F63" s="56" t="s">
        <v>246</v>
      </c>
      <c r="G63" s="57" t="s">
        <v>154</v>
      </c>
      <c r="H63" s="68">
        <f t="shared" si="3"/>
        <v>0</v>
      </c>
      <c r="I63" s="62" t="s">
        <v>146</v>
      </c>
      <c r="J63" s="62"/>
      <c r="K63" s="71"/>
      <c r="L63" s="57" t="s">
        <v>115</v>
      </c>
      <c r="M63" s="61"/>
      <c r="N63" s="61"/>
      <c r="O63" s="62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75"/>
      <c r="AC63" s="30">
        <v>2.0</v>
      </c>
      <c r="AD63" s="30">
        <f t="shared" si="4"/>
        <v>0</v>
      </c>
      <c r="AE63" s="70">
        <f t="shared" si="5"/>
        <v>0</v>
      </c>
      <c r="AF63" s="70">
        <v>1.0</v>
      </c>
    </row>
    <row r="64" ht="15.75" hidden="1" customHeight="1">
      <c r="A64" s="54">
        <v>80.0</v>
      </c>
      <c r="B64" s="56" t="s">
        <v>227</v>
      </c>
      <c r="C64" s="56" t="s">
        <v>228</v>
      </c>
      <c r="D64" s="56" t="s">
        <v>231</v>
      </c>
      <c r="E64" s="56" t="s">
        <v>232</v>
      </c>
      <c r="F64" s="56" t="s">
        <v>249</v>
      </c>
      <c r="G64" s="57" t="s">
        <v>250</v>
      </c>
      <c r="H64" s="68">
        <f t="shared" si="3"/>
        <v>0</v>
      </c>
      <c r="I64" s="62"/>
      <c r="J64" s="62"/>
      <c r="K64" s="71"/>
      <c r="L64" s="57" t="s">
        <v>115</v>
      </c>
      <c r="M64" s="61"/>
      <c r="N64" s="61" t="s">
        <v>200</v>
      </c>
      <c r="O64" s="62" t="s">
        <v>240</v>
      </c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30">
        <v>3.0</v>
      </c>
      <c r="AD64" s="30">
        <f t="shared" si="4"/>
        <v>0</v>
      </c>
      <c r="AE64" s="70">
        <f t="shared" si="5"/>
        <v>0</v>
      </c>
      <c r="AF64" s="70">
        <v>1.0</v>
      </c>
    </row>
    <row r="65" ht="15.75" hidden="1" customHeight="1">
      <c r="A65" s="54">
        <v>90.0</v>
      </c>
      <c r="B65" s="56" t="s">
        <v>298</v>
      </c>
      <c r="C65" s="56" t="s">
        <v>278</v>
      </c>
      <c r="D65" s="56" t="s">
        <v>299</v>
      </c>
      <c r="E65" s="56" t="s">
        <v>167</v>
      </c>
      <c r="F65" s="56" t="s">
        <v>15</v>
      </c>
      <c r="G65" s="57" t="s">
        <v>15</v>
      </c>
      <c r="H65" s="68">
        <f t="shared" si="3"/>
        <v>0</v>
      </c>
      <c r="I65" s="62"/>
      <c r="J65" s="62"/>
      <c r="K65" s="71"/>
      <c r="L65" s="57" t="s">
        <v>115</v>
      </c>
      <c r="M65" s="61"/>
      <c r="N65" s="61"/>
      <c r="O65" s="62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30">
        <v>12.0</v>
      </c>
      <c r="AD65" s="30">
        <f t="shared" si="4"/>
        <v>0</v>
      </c>
      <c r="AE65" s="70">
        <f t="shared" si="5"/>
        <v>0</v>
      </c>
      <c r="AF65" s="70">
        <v>1.0</v>
      </c>
    </row>
    <row r="66" ht="15.75" hidden="1" customHeight="1">
      <c r="A66" s="54">
        <v>90.0</v>
      </c>
      <c r="B66" s="56" t="s">
        <v>236</v>
      </c>
      <c r="C66" s="56" t="s">
        <v>237</v>
      </c>
      <c r="D66" s="56" t="s">
        <v>238</v>
      </c>
      <c r="E66" s="56" t="s">
        <v>239</v>
      </c>
      <c r="F66" s="56" t="s">
        <v>193</v>
      </c>
      <c r="G66" s="57" t="s">
        <v>34</v>
      </c>
      <c r="H66" s="68">
        <f t="shared" si="3"/>
        <v>0</v>
      </c>
      <c r="I66" s="62" t="s">
        <v>146</v>
      </c>
      <c r="J66" s="62" t="s">
        <v>245</v>
      </c>
      <c r="K66" s="71"/>
      <c r="L66" s="57" t="s">
        <v>115</v>
      </c>
      <c r="M66" s="61"/>
      <c r="N66" s="61"/>
      <c r="O66" s="62" t="s">
        <v>245</v>
      </c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30">
        <v>1.0</v>
      </c>
      <c r="AD66" s="30">
        <f t="shared" si="4"/>
        <v>0</v>
      </c>
      <c r="AE66" s="70">
        <f t="shared" si="5"/>
        <v>0</v>
      </c>
      <c r="AF66" s="70">
        <v>1.0</v>
      </c>
    </row>
    <row r="67" ht="15.75" hidden="1" customHeight="1">
      <c r="A67" s="54">
        <v>90.0</v>
      </c>
      <c r="B67" s="56" t="s">
        <v>236</v>
      </c>
      <c r="C67" s="56" t="s">
        <v>237</v>
      </c>
      <c r="D67" s="56" t="s">
        <v>238</v>
      </c>
      <c r="E67" s="56" t="s">
        <v>241</v>
      </c>
      <c r="F67" s="56" t="s">
        <v>193</v>
      </c>
      <c r="G67" s="57" t="s">
        <v>34</v>
      </c>
      <c r="H67" s="68">
        <f t="shared" si="3"/>
        <v>0</v>
      </c>
      <c r="I67" s="62" t="s">
        <v>146</v>
      </c>
      <c r="J67" s="62" t="s">
        <v>245</v>
      </c>
      <c r="K67" s="71"/>
      <c r="L67" s="57" t="s">
        <v>115</v>
      </c>
      <c r="M67" s="61"/>
      <c r="N67" s="61"/>
      <c r="O67" s="62" t="s">
        <v>245</v>
      </c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75"/>
      <c r="AC67" s="30">
        <v>1.0</v>
      </c>
      <c r="AD67" s="30">
        <f t="shared" si="4"/>
        <v>0</v>
      </c>
      <c r="AE67" s="70">
        <f t="shared" si="5"/>
        <v>0</v>
      </c>
      <c r="AF67" s="70">
        <v>1.0</v>
      </c>
    </row>
    <row r="68" ht="15.75" hidden="1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242</v>
      </c>
      <c r="F68" s="56" t="s">
        <v>379</v>
      </c>
      <c r="G68" s="57" t="s">
        <v>34</v>
      </c>
      <c r="H68" s="68">
        <f t="shared" si="3"/>
        <v>0</v>
      </c>
      <c r="I68" s="62"/>
      <c r="J68" s="62" t="s">
        <v>245</v>
      </c>
      <c r="K68" s="71"/>
      <c r="L68" s="57" t="s">
        <v>115</v>
      </c>
      <c r="M68" s="61"/>
      <c r="N68" s="61"/>
      <c r="O68" s="62" t="s">
        <v>245</v>
      </c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75"/>
      <c r="AC68" s="30">
        <v>1.0</v>
      </c>
      <c r="AD68" s="30">
        <f t="shared" si="4"/>
        <v>0</v>
      </c>
      <c r="AE68" s="70">
        <f t="shared" si="5"/>
        <v>0</v>
      </c>
      <c r="AF68" s="70">
        <v>1.0</v>
      </c>
    </row>
    <row r="69" ht="15.75" hidden="1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244</v>
      </c>
      <c r="F69" s="56" t="s">
        <v>384</v>
      </c>
      <c r="G69" s="57" t="s">
        <v>34</v>
      </c>
      <c r="H69" s="68">
        <f t="shared" si="3"/>
        <v>0</v>
      </c>
      <c r="I69" s="62"/>
      <c r="J69" s="62" t="s">
        <v>245</v>
      </c>
      <c r="K69" s="71"/>
      <c r="L69" s="57" t="s">
        <v>115</v>
      </c>
      <c r="M69" s="61"/>
      <c r="N69" s="61"/>
      <c r="O69" s="62" t="s">
        <v>245</v>
      </c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30">
        <v>1.0</v>
      </c>
      <c r="AD69" s="30">
        <f t="shared" si="4"/>
        <v>0</v>
      </c>
      <c r="AE69" s="70">
        <f t="shared" si="5"/>
        <v>0</v>
      </c>
      <c r="AF69" s="70">
        <v>1.0</v>
      </c>
    </row>
    <row r="70" ht="15.75" hidden="1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247</v>
      </c>
      <c r="F70" s="56" t="s">
        <v>387</v>
      </c>
      <c r="G70" s="57" t="s">
        <v>34</v>
      </c>
      <c r="H70" s="68">
        <f t="shared" si="3"/>
        <v>0</v>
      </c>
      <c r="I70" s="62"/>
      <c r="J70" s="62" t="s">
        <v>245</v>
      </c>
      <c r="K70" s="71"/>
      <c r="L70" s="57" t="s">
        <v>115</v>
      </c>
      <c r="M70" s="61"/>
      <c r="N70" s="61"/>
      <c r="O70" s="62" t="s">
        <v>245</v>
      </c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30">
        <v>1.0</v>
      </c>
      <c r="AD70" s="30">
        <f t="shared" si="4"/>
        <v>0</v>
      </c>
      <c r="AE70" s="70">
        <f t="shared" si="5"/>
        <v>0</v>
      </c>
      <c r="AF70" s="70">
        <v>1.0</v>
      </c>
    </row>
    <row r="71" ht="15.75" hidden="1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248</v>
      </c>
      <c r="F71" s="56" t="s">
        <v>193</v>
      </c>
      <c r="G71" s="57" t="s">
        <v>34</v>
      </c>
      <c r="H71" s="68">
        <f t="shared" si="3"/>
        <v>0</v>
      </c>
      <c r="I71" s="62"/>
      <c r="J71" s="62"/>
      <c r="K71" s="71"/>
      <c r="L71" s="57" t="s">
        <v>115</v>
      </c>
      <c r="M71" s="61"/>
      <c r="N71" s="61"/>
      <c r="O71" s="62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30">
        <v>1.0</v>
      </c>
      <c r="AD71" s="30">
        <f t="shared" si="4"/>
        <v>0</v>
      </c>
      <c r="AE71" s="70">
        <f t="shared" si="5"/>
        <v>0</v>
      </c>
      <c r="AF71" s="70">
        <v>1.0</v>
      </c>
    </row>
    <row r="72" ht="15.75" hidden="1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252</v>
      </c>
      <c r="F72" s="56" t="s">
        <v>384</v>
      </c>
      <c r="G72" s="57" t="s">
        <v>34</v>
      </c>
      <c r="H72" s="68">
        <f t="shared" si="3"/>
        <v>0</v>
      </c>
      <c r="I72" s="62" t="s">
        <v>146</v>
      </c>
      <c r="J72" s="62" t="s">
        <v>245</v>
      </c>
      <c r="K72" s="71"/>
      <c r="L72" s="57" t="s">
        <v>115</v>
      </c>
      <c r="M72" s="61"/>
      <c r="N72" s="61"/>
      <c r="O72" s="62" t="s">
        <v>245</v>
      </c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75"/>
      <c r="AC72" s="30">
        <v>1.0</v>
      </c>
      <c r="AD72" s="30">
        <f t="shared" si="4"/>
        <v>0</v>
      </c>
      <c r="AE72" s="70">
        <f t="shared" si="5"/>
        <v>0</v>
      </c>
      <c r="AF72" s="70">
        <v>1.0</v>
      </c>
    </row>
    <row r="73" ht="15.75" hidden="1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308</v>
      </c>
      <c r="F73" s="56" t="s">
        <v>15</v>
      </c>
      <c r="G73" s="57" t="s">
        <v>15</v>
      </c>
      <c r="H73" s="68">
        <f t="shared" si="3"/>
        <v>0</v>
      </c>
      <c r="I73" s="62"/>
      <c r="J73" s="62"/>
      <c r="K73" s="71"/>
      <c r="L73" s="57" t="s">
        <v>115</v>
      </c>
      <c r="M73" s="61"/>
      <c r="N73" s="61"/>
      <c r="O73" s="62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30">
        <v>12.0</v>
      </c>
      <c r="AD73" s="30">
        <f t="shared" si="4"/>
        <v>0</v>
      </c>
      <c r="AE73" s="70">
        <f t="shared" si="5"/>
        <v>0</v>
      </c>
      <c r="AF73" s="70">
        <v>1.0</v>
      </c>
    </row>
    <row r="74" ht="15.75" hidden="1" customHeight="1">
      <c r="A74" s="54">
        <v>90.0</v>
      </c>
      <c r="B74" s="56" t="s">
        <v>236</v>
      </c>
      <c r="C74" s="56" t="s">
        <v>237</v>
      </c>
      <c r="D74" s="56" t="s">
        <v>238</v>
      </c>
      <c r="E74" s="56" t="s">
        <v>311</v>
      </c>
      <c r="F74" s="56" t="s">
        <v>15</v>
      </c>
      <c r="G74" s="57" t="s">
        <v>15</v>
      </c>
      <c r="H74" s="68">
        <f t="shared" si="3"/>
        <v>0</v>
      </c>
      <c r="I74" s="62"/>
      <c r="J74" s="62"/>
      <c r="K74" s="71"/>
      <c r="L74" s="57" t="s">
        <v>115</v>
      </c>
      <c r="M74" s="61"/>
      <c r="N74" s="61"/>
      <c r="O74" s="62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30">
        <v>12.0</v>
      </c>
      <c r="AD74" s="30">
        <f t="shared" si="4"/>
        <v>0</v>
      </c>
      <c r="AE74" s="70">
        <f t="shared" si="5"/>
        <v>0</v>
      </c>
      <c r="AF74" s="70">
        <v>1.0</v>
      </c>
    </row>
    <row r="75" ht="15.75" hidden="1" customHeight="1">
      <c r="A75" s="54">
        <v>90.0</v>
      </c>
      <c r="B75" s="56" t="s">
        <v>236</v>
      </c>
      <c r="C75" s="56" t="s">
        <v>237</v>
      </c>
      <c r="D75" s="56" t="s">
        <v>238</v>
      </c>
      <c r="E75" s="56" t="s">
        <v>312</v>
      </c>
      <c r="F75" s="56" t="s">
        <v>15</v>
      </c>
      <c r="G75" s="57" t="s">
        <v>15</v>
      </c>
      <c r="H75" s="68">
        <f t="shared" si="3"/>
        <v>0</v>
      </c>
      <c r="I75" s="62"/>
      <c r="J75" s="62"/>
      <c r="K75" s="71"/>
      <c r="L75" s="57" t="s">
        <v>115</v>
      </c>
      <c r="M75" s="61"/>
      <c r="N75" s="61"/>
      <c r="O75" s="62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30">
        <v>12.0</v>
      </c>
      <c r="AD75" s="30">
        <f t="shared" si="4"/>
        <v>0</v>
      </c>
      <c r="AE75" s="70">
        <f t="shared" si="5"/>
        <v>0</v>
      </c>
      <c r="AF75" s="70">
        <v>1.0</v>
      </c>
    </row>
    <row r="76" ht="15.75" hidden="1" customHeight="1">
      <c r="A76" s="54">
        <v>90.0</v>
      </c>
      <c r="B76" s="56" t="s">
        <v>337</v>
      </c>
      <c r="C76" s="56" t="s">
        <v>237</v>
      </c>
      <c r="D76" s="56" t="s">
        <v>338</v>
      </c>
      <c r="E76" s="56" t="s">
        <v>111</v>
      </c>
      <c r="F76" s="56" t="s">
        <v>15</v>
      </c>
      <c r="G76" s="57" t="s">
        <v>15</v>
      </c>
      <c r="H76" s="68">
        <f t="shared" si="3"/>
        <v>0</v>
      </c>
      <c r="I76" s="62" t="s">
        <v>146</v>
      </c>
      <c r="J76" s="62"/>
      <c r="K76" s="71"/>
      <c r="L76" s="57" t="s">
        <v>130</v>
      </c>
      <c r="M76" s="61"/>
      <c r="N76" s="61"/>
      <c r="O76" s="62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30">
        <v>12.0</v>
      </c>
      <c r="AD76" s="30">
        <f t="shared" si="4"/>
        <v>0</v>
      </c>
      <c r="AE76" s="70">
        <f t="shared" si="5"/>
        <v>0</v>
      </c>
      <c r="AF76" s="70">
        <v>1.0</v>
      </c>
    </row>
    <row r="77" ht="15.75" hidden="1" customHeight="1">
      <c r="A77" s="54">
        <v>90.0</v>
      </c>
      <c r="B77" s="56" t="s">
        <v>348</v>
      </c>
      <c r="C77" s="56" t="s">
        <v>237</v>
      </c>
      <c r="D77" s="56" t="s">
        <v>349</v>
      </c>
      <c r="E77" s="56" t="s">
        <v>111</v>
      </c>
      <c r="F77" s="56" t="s">
        <v>15</v>
      </c>
      <c r="G77" s="57" t="s">
        <v>15</v>
      </c>
      <c r="H77" s="68">
        <f t="shared" si="3"/>
        <v>0</v>
      </c>
      <c r="I77" s="62" t="s">
        <v>146</v>
      </c>
      <c r="J77" s="62"/>
      <c r="K77" s="71"/>
      <c r="L77" s="57" t="s">
        <v>130</v>
      </c>
      <c r="M77" s="61"/>
      <c r="N77" s="61"/>
      <c r="O77" s="62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30">
        <v>12.0</v>
      </c>
      <c r="AD77" s="30">
        <f t="shared" si="4"/>
        <v>0</v>
      </c>
      <c r="AE77" s="70">
        <f t="shared" si="5"/>
        <v>0</v>
      </c>
      <c r="AF77" s="70">
        <v>1.0</v>
      </c>
    </row>
    <row r="78" ht="15.75" hidden="1" customHeight="1">
      <c r="A78" s="54">
        <v>90.0</v>
      </c>
      <c r="B78" s="56" t="s">
        <v>265</v>
      </c>
      <c r="C78" s="56" t="s">
        <v>237</v>
      </c>
      <c r="D78" s="56" t="s">
        <v>266</v>
      </c>
      <c r="E78" s="56" t="s">
        <v>267</v>
      </c>
      <c r="F78" s="56" t="s">
        <v>313</v>
      </c>
      <c r="G78" s="57" t="s">
        <v>192</v>
      </c>
      <c r="H78" s="68">
        <f t="shared" si="3"/>
        <v>0</v>
      </c>
      <c r="I78" s="62" t="s">
        <v>146</v>
      </c>
      <c r="J78" s="62" t="s">
        <v>245</v>
      </c>
      <c r="K78" s="71"/>
      <c r="L78" s="57" t="s">
        <v>115</v>
      </c>
      <c r="M78" s="61"/>
      <c r="N78" s="61"/>
      <c r="O78" s="62" t="s">
        <v>245</v>
      </c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30">
        <v>3.0</v>
      </c>
      <c r="AD78" s="30">
        <f t="shared" si="4"/>
        <v>0</v>
      </c>
      <c r="AE78" s="70">
        <f t="shared" si="5"/>
        <v>0</v>
      </c>
      <c r="AF78" s="70">
        <v>1.0</v>
      </c>
    </row>
    <row r="79" ht="15.75" hidden="1" customHeight="1">
      <c r="A79" s="54">
        <v>90.0</v>
      </c>
      <c r="B79" s="56" t="s">
        <v>265</v>
      </c>
      <c r="C79" s="56" t="s">
        <v>237</v>
      </c>
      <c r="D79" s="56" t="s">
        <v>266</v>
      </c>
      <c r="E79" s="56" t="s">
        <v>268</v>
      </c>
      <c r="F79" s="56" t="s">
        <v>193</v>
      </c>
      <c r="G79" s="57" t="s">
        <v>34</v>
      </c>
      <c r="H79" s="68">
        <f t="shared" si="3"/>
        <v>0</v>
      </c>
      <c r="I79" s="62" t="s">
        <v>146</v>
      </c>
      <c r="J79" s="62" t="s">
        <v>245</v>
      </c>
      <c r="K79" s="71"/>
      <c r="L79" s="57" t="s">
        <v>115</v>
      </c>
      <c r="M79" s="61"/>
      <c r="N79" s="61"/>
      <c r="O79" s="62" t="s">
        <v>245</v>
      </c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30">
        <v>1.0</v>
      </c>
      <c r="AD79" s="30">
        <f t="shared" si="4"/>
        <v>0</v>
      </c>
      <c r="AE79" s="70">
        <f t="shared" si="5"/>
        <v>0</v>
      </c>
      <c r="AF79" s="70">
        <v>1.0</v>
      </c>
    </row>
    <row r="80" ht="15.75" hidden="1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111</v>
      </c>
      <c r="F80" s="56" t="s">
        <v>15</v>
      </c>
      <c r="G80" s="57" t="s">
        <v>15</v>
      </c>
      <c r="H80" s="68">
        <f t="shared" si="3"/>
        <v>0</v>
      </c>
      <c r="I80" s="62"/>
      <c r="J80" s="62" t="s">
        <v>283</v>
      </c>
      <c r="K80" s="71"/>
      <c r="L80" s="57" t="s">
        <v>115</v>
      </c>
      <c r="M80" s="61"/>
      <c r="N80" s="61"/>
      <c r="O80" s="62" t="s">
        <v>283</v>
      </c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75"/>
      <c r="AC80" s="30">
        <v>12.0</v>
      </c>
      <c r="AD80" s="30">
        <f t="shared" si="4"/>
        <v>0</v>
      </c>
      <c r="AE80" s="70">
        <f t="shared" si="5"/>
        <v>0</v>
      </c>
      <c r="AF80" s="70">
        <v>1.0</v>
      </c>
    </row>
    <row r="81" ht="15.75" hidden="1" customHeight="1">
      <c r="A81" s="54">
        <v>90.0</v>
      </c>
      <c r="B81" s="56" t="s">
        <v>274</v>
      </c>
      <c r="C81" s="56" t="s">
        <v>237</v>
      </c>
      <c r="D81" s="56" t="s">
        <v>275</v>
      </c>
      <c r="E81" s="56" t="s">
        <v>239</v>
      </c>
      <c r="F81" s="56" t="s">
        <v>193</v>
      </c>
      <c r="G81" s="57" t="s">
        <v>34</v>
      </c>
      <c r="H81" s="68">
        <f t="shared" si="3"/>
        <v>0</v>
      </c>
      <c r="I81" s="62" t="s">
        <v>146</v>
      </c>
      <c r="J81" s="62" t="s">
        <v>245</v>
      </c>
      <c r="K81" s="71"/>
      <c r="L81" s="57" t="s">
        <v>115</v>
      </c>
      <c r="M81" s="61"/>
      <c r="N81" s="61"/>
      <c r="O81" s="62" t="s">
        <v>245</v>
      </c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30">
        <v>1.0</v>
      </c>
      <c r="AD81" s="30">
        <f t="shared" si="4"/>
        <v>0</v>
      </c>
      <c r="AE81" s="70">
        <f t="shared" si="5"/>
        <v>0</v>
      </c>
      <c r="AF81" s="70">
        <v>1.0</v>
      </c>
    </row>
    <row r="82" ht="15.75" hidden="1" customHeight="1">
      <c r="A82" s="54">
        <v>90.0</v>
      </c>
      <c r="B82" s="56" t="s">
        <v>274</v>
      </c>
      <c r="C82" s="56" t="s">
        <v>237</v>
      </c>
      <c r="D82" s="56" t="s">
        <v>275</v>
      </c>
      <c r="E82" s="56" t="s">
        <v>248</v>
      </c>
      <c r="F82" s="56" t="s">
        <v>193</v>
      </c>
      <c r="G82" s="57" t="s">
        <v>34</v>
      </c>
      <c r="H82" s="68">
        <f t="shared" si="3"/>
        <v>0</v>
      </c>
      <c r="I82" s="62" t="s">
        <v>146</v>
      </c>
      <c r="J82" s="62"/>
      <c r="K82" s="71"/>
      <c r="L82" s="57" t="s">
        <v>115</v>
      </c>
      <c r="M82" s="61"/>
      <c r="N82" s="61"/>
      <c r="O82" s="62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30">
        <v>1.0</v>
      </c>
      <c r="AD82" s="30">
        <f t="shared" si="4"/>
        <v>0</v>
      </c>
      <c r="AE82" s="70">
        <f t="shared" si="5"/>
        <v>0</v>
      </c>
      <c r="AF82" s="70">
        <v>1.0</v>
      </c>
    </row>
    <row r="83" ht="15.75" hidden="1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111</v>
      </c>
      <c r="F83" s="56" t="s">
        <v>15</v>
      </c>
      <c r="G83" s="57" t="s">
        <v>15</v>
      </c>
      <c r="H83" s="68">
        <f t="shared" si="3"/>
        <v>0</v>
      </c>
      <c r="I83" s="62"/>
      <c r="J83" s="62"/>
      <c r="K83" s="71"/>
      <c r="L83" s="57" t="s">
        <v>130</v>
      </c>
      <c r="M83" s="61"/>
      <c r="N83" s="61"/>
      <c r="O83" s="62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75"/>
      <c r="AC83" s="30">
        <v>12.0</v>
      </c>
      <c r="AD83" s="30">
        <f t="shared" si="4"/>
        <v>0</v>
      </c>
      <c r="AE83" s="70">
        <f t="shared" si="5"/>
        <v>0</v>
      </c>
      <c r="AF83" s="70">
        <v>1.0</v>
      </c>
    </row>
    <row r="84" ht="15.75" hidden="1" customHeight="1">
      <c r="A84" s="54">
        <v>90.0</v>
      </c>
      <c r="B84" s="56" t="s">
        <v>277</v>
      </c>
      <c r="C84" s="56" t="s">
        <v>278</v>
      </c>
      <c r="D84" s="56" t="s">
        <v>279</v>
      </c>
      <c r="E84" s="56" t="s">
        <v>239</v>
      </c>
      <c r="F84" s="56" t="s">
        <v>193</v>
      </c>
      <c r="G84" s="57" t="s">
        <v>34</v>
      </c>
      <c r="H84" s="68">
        <f t="shared" si="3"/>
        <v>0</v>
      </c>
      <c r="I84" s="62" t="s">
        <v>146</v>
      </c>
      <c r="J84" s="62" t="s">
        <v>283</v>
      </c>
      <c r="K84" s="71"/>
      <c r="L84" s="57" t="s">
        <v>115</v>
      </c>
      <c r="M84" s="61"/>
      <c r="N84" s="61"/>
      <c r="O84" s="62" t="s">
        <v>283</v>
      </c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75"/>
      <c r="AC84" s="30">
        <v>1.0</v>
      </c>
      <c r="AD84" s="30">
        <f t="shared" si="4"/>
        <v>0</v>
      </c>
      <c r="AE84" s="70">
        <f t="shared" si="5"/>
        <v>0</v>
      </c>
      <c r="AF84" s="70">
        <v>1.0</v>
      </c>
    </row>
    <row r="85" ht="15.75" hidden="1" customHeight="1">
      <c r="A85" s="54">
        <v>90.0</v>
      </c>
      <c r="B85" s="56" t="s">
        <v>277</v>
      </c>
      <c r="C85" s="56" t="s">
        <v>278</v>
      </c>
      <c r="D85" s="56" t="s">
        <v>279</v>
      </c>
      <c r="E85" s="56" t="s">
        <v>163</v>
      </c>
      <c r="F85" s="56" t="s">
        <v>193</v>
      </c>
      <c r="G85" s="57" t="s">
        <v>34</v>
      </c>
      <c r="H85" s="68">
        <f t="shared" si="3"/>
        <v>0</v>
      </c>
      <c r="I85" s="62" t="s">
        <v>146</v>
      </c>
      <c r="J85" s="62" t="s">
        <v>283</v>
      </c>
      <c r="K85" s="71"/>
      <c r="L85" s="57" t="s">
        <v>115</v>
      </c>
      <c r="M85" s="61"/>
      <c r="N85" s="61"/>
      <c r="O85" s="62" t="s">
        <v>283</v>
      </c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75"/>
      <c r="AC85" s="30">
        <v>1.0</v>
      </c>
      <c r="AD85" s="30">
        <f t="shared" si="4"/>
        <v>0</v>
      </c>
      <c r="AE85" s="70">
        <f t="shared" si="5"/>
        <v>0</v>
      </c>
      <c r="AF85" s="70">
        <v>1.0</v>
      </c>
    </row>
    <row r="86" ht="15.75" hidden="1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241</v>
      </c>
      <c r="F86" s="56" t="s">
        <v>193</v>
      </c>
      <c r="G86" s="57" t="s">
        <v>34</v>
      </c>
      <c r="H86" s="68">
        <f t="shared" si="3"/>
        <v>0</v>
      </c>
      <c r="I86" s="62" t="s">
        <v>146</v>
      </c>
      <c r="J86" s="62" t="s">
        <v>283</v>
      </c>
      <c r="K86" s="71"/>
      <c r="L86" s="57" t="s">
        <v>115</v>
      </c>
      <c r="M86" s="61"/>
      <c r="N86" s="61"/>
      <c r="O86" s="62" t="s">
        <v>283</v>
      </c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75"/>
      <c r="AC86" s="30">
        <v>1.0</v>
      </c>
      <c r="AD86" s="30">
        <f t="shared" si="4"/>
        <v>0</v>
      </c>
      <c r="AE86" s="70">
        <f t="shared" si="5"/>
        <v>0</v>
      </c>
      <c r="AF86" s="70">
        <v>1.0</v>
      </c>
    </row>
    <row r="87" ht="15.75" hidden="1" customHeight="1">
      <c r="A87" s="54">
        <v>90.0</v>
      </c>
      <c r="B87" s="56" t="s">
        <v>280</v>
      </c>
      <c r="C87" s="56" t="s">
        <v>278</v>
      </c>
      <c r="D87" s="56" t="s">
        <v>281</v>
      </c>
      <c r="E87" s="56" t="s">
        <v>196</v>
      </c>
      <c r="F87" s="56" t="s">
        <v>249</v>
      </c>
      <c r="G87" s="57" t="s">
        <v>250</v>
      </c>
      <c r="H87" s="68">
        <f t="shared" si="3"/>
        <v>0</v>
      </c>
      <c r="I87" s="62"/>
      <c r="J87" s="62" t="s">
        <v>288</v>
      </c>
      <c r="K87" s="71"/>
      <c r="L87" s="57" t="s">
        <v>115</v>
      </c>
      <c r="M87" s="61"/>
      <c r="N87" s="61" t="s">
        <v>287</v>
      </c>
      <c r="O87" s="62" t="s">
        <v>288</v>
      </c>
      <c r="P87" s="53"/>
      <c r="Q87" s="53"/>
      <c r="R87" s="87"/>
      <c r="S87" s="53"/>
      <c r="T87" s="53"/>
      <c r="U87" s="53"/>
      <c r="V87" s="87"/>
      <c r="W87" s="53"/>
      <c r="X87" s="53"/>
      <c r="Y87" s="53"/>
      <c r="Z87" s="53"/>
      <c r="AA87" s="87"/>
      <c r="AB87" s="75"/>
      <c r="AC87" s="30">
        <v>3.0</v>
      </c>
      <c r="AD87" s="30">
        <f t="shared" si="4"/>
        <v>0</v>
      </c>
      <c r="AE87" s="70">
        <f t="shared" si="5"/>
        <v>0</v>
      </c>
      <c r="AF87" s="70">
        <v>1.0</v>
      </c>
    </row>
    <row r="88" ht="15.75" hidden="1" customHeight="1">
      <c r="A88" s="54">
        <v>90.0</v>
      </c>
      <c r="B88" s="56" t="s">
        <v>280</v>
      </c>
      <c r="C88" s="56" t="s">
        <v>278</v>
      </c>
      <c r="D88" s="56" t="s">
        <v>281</v>
      </c>
      <c r="E88" s="56" t="s">
        <v>272</v>
      </c>
      <c r="F88" s="56" t="s">
        <v>15</v>
      </c>
      <c r="G88" s="57" t="s">
        <v>15</v>
      </c>
      <c r="H88" s="68">
        <f t="shared" si="3"/>
        <v>0</v>
      </c>
      <c r="I88" s="62" t="s">
        <v>146</v>
      </c>
      <c r="J88" s="62"/>
      <c r="K88" s="71"/>
      <c r="L88" s="57" t="s">
        <v>115</v>
      </c>
      <c r="M88" s="61"/>
      <c r="N88" s="61"/>
      <c r="O88" s="62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30">
        <v>12.0</v>
      </c>
      <c r="AD88" s="30">
        <f t="shared" si="4"/>
        <v>0</v>
      </c>
      <c r="AE88" s="70">
        <f t="shared" si="5"/>
        <v>0</v>
      </c>
      <c r="AF88" s="70">
        <v>1.0</v>
      </c>
    </row>
    <row r="89" ht="15.75" hidden="1" customHeight="1">
      <c r="A89" s="54">
        <v>90.0</v>
      </c>
      <c r="B89" s="56" t="s">
        <v>402</v>
      </c>
      <c r="C89" s="56" t="s">
        <v>278</v>
      </c>
      <c r="D89" s="56" t="s">
        <v>403</v>
      </c>
      <c r="E89" s="56" t="s">
        <v>111</v>
      </c>
      <c r="F89" s="56" t="s">
        <v>15</v>
      </c>
      <c r="G89" s="57" t="s">
        <v>15</v>
      </c>
      <c r="H89" s="68">
        <f t="shared" si="3"/>
        <v>0</v>
      </c>
      <c r="I89" s="62"/>
      <c r="J89" s="62"/>
      <c r="K89" s="71"/>
      <c r="L89" s="57" t="s">
        <v>130</v>
      </c>
      <c r="M89" s="61"/>
      <c r="N89" s="61"/>
      <c r="O89" s="62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30">
        <v>12.0</v>
      </c>
      <c r="AD89" s="30">
        <f t="shared" si="4"/>
        <v>0</v>
      </c>
      <c r="AE89" s="70">
        <f t="shared" si="5"/>
        <v>0</v>
      </c>
      <c r="AF89" s="70">
        <v>1.0</v>
      </c>
    </row>
    <row r="90" ht="15.75" hidden="1" customHeight="1">
      <c r="A90" s="54">
        <v>90.0</v>
      </c>
      <c r="B90" s="56" t="s">
        <v>286</v>
      </c>
      <c r="C90" s="56" t="s">
        <v>278</v>
      </c>
      <c r="D90" s="56" t="s">
        <v>266</v>
      </c>
      <c r="E90" s="56" t="s">
        <v>268</v>
      </c>
      <c r="F90" s="56" t="s">
        <v>193</v>
      </c>
      <c r="G90" s="57" t="s">
        <v>34</v>
      </c>
      <c r="H90" s="68">
        <f t="shared" si="3"/>
        <v>0</v>
      </c>
      <c r="I90" s="62" t="s">
        <v>146</v>
      </c>
      <c r="J90" s="62" t="s">
        <v>283</v>
      </c>
      <c r="K90" s="71"/>
      <c r="L90" s="57" t="s">
        <v>115</v>
      </c>
      <c r="M90" s="61"/>
      <c r="N90" s="61"/>
      <c r="O90" s="62" t="s">
        <v>283</v>
      </c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30">
        <v>1.0</v>
      </c>
      <c r="AD90" s="30">
        <f t="shared" si="4"/>
        <v>0</v>
      </c>
      <c r="AE90" s="70">
        <f t="shared" si="5"/>
        <v>0</v>
      </c>
      <c r="AF90" s="70">
        <v>1.0</v>
      </c>
    </row>
    <row r="91" ht="15.75" hidden="1" customHeight="1">
      <c r="A91" s="54">
        <v>90.0</v>
      </c>
      <c r="B91" s="56" t="s">
        <v>286</v>
      </c>
      <c r="C91" s="56" t="s">
        <v>278</v>
      </c>
      <c r="D91" s="56" t="s">
        <v>266</v>
      </c>
      <c r="E91" s="56" t="s">
        <v>111</v>
      </c>
      <c r="F91" s="56" t="s">
        <v>15</v>
      </c>
      <c r="G91" s="57" t="s">
        <v>15</v>
      </c>
      <c r="H91" s="68">
        <f t="shared" si="3"/>
        <v>0</v>
      </c>
      <c r="I91" s="62"/>
      <c r="J91" s="62"/>
      <c r="K91" s="71"/>
      <c r="L91" s="57" t="s">
        <v>115</v>
      </c>
      <c r="M91" s="61"/>
      <c r="N91" s="61"/>
      <c r="O91" s="62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30">
        <v>12.0</v>
      </c>
      <c r="AD91" s="30">
        <f t="shared" si="4"/>
        <v>0</v>
      </c>
      <c r="AE91" s="70">
        <f t="shared" si="5"/>
        <v>0</v>
      </c>
      <c r="AF91" s="70">
        <v>1.0</v>
      </c>
    </row>
    <row r="92" ht="15.75" hidden="1" customHeight="1">
      <c r="A92" s="54">
        <v>90.0</v>
      </c>
      <c r="B92" s="56" t="s">
        <v>294</v>
      </c>
      <c r="C92" s="56" t="s">
        <v>278</v>
      </c>
      <c r="D92" s="56" t="s">
        <v>275</v>
      </c>
      <c r="E92" s="56" t="s">
        <v>239</v>
      </c>
      <c r="F92" s="56" t="s">
        <v>193</v>
      </c>
      <c r="G92" s="57" t="s">
        <v>34</v>
      </c>
      <c r="H92" s="68">
        <f t="shared" si="3"/>
        <v>0</v>
      </c>
      <c r="I92" s="62" t="s">
        <v>146</v>
      </c>
      <c r="J92" s="62"/>
      <c r="K92" s="71"/>
      <c r="L92" s="57" t="s">
        <v>115</v>
      </c>
      <c r="M92" s="61"/>
      <c r="N92" s="61"/>
      <c r="O92" s="62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75"/>
      <c r="AC92" s="30">
        <v>1.0</v>
      </c>
      <c r="AD92" s="30">
        <f t="shared" si="4"/>
        <v>0</v>
      </c>
      <c r="AE92" s="70">
        <f t="shared" si="5"/>
        <v>0</v>
      </c>
      <c r="AF92" s="70">
        <v>1.0</v>
      </c>
    </row>
    <row r="93" ht="15.75" hidden="1" customHeight="1">
      <c r="A93" s="54">
        <v>92.0</v>
      </c>
      <c r="B93" s="56" t="s">
        <v>233</v>
      </c>
      <c r="C93" s="56" t="s">
        <v>234</v>
      </c>
      <c r="D93" s="56" t="s">
        <v>235</v>
      </c>
      <c r="E93" s="56" t="s">
        <v>111</v>
      </c>
      <c r="F93" s="56" t="s">
        <v>173</v>
      </c>
      <c r="G93" s="57" t="s">
        <v>87</v>
      </c>
      <c r="H93" s="68">
        <f t="shared" si="3"/>
        <v>0</v>
      </c>
      <c r="I93" s="62"/>
      <c r="J93" s="62" t="s">
        <v>243</v>
      </c>
      <c r="K93" s="71"/>
      <c r="L93" s="57" t="s">
        <v>130</v>
      </c>
      <c r="M93" s="61"/>
      <c r="N93" s="61"/>
      <c r="O93" s="62" t="s">
        <v>243</v>
      </c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75"/>
      <c r="AC93" s="30">
        <v>12.0</v>
      </c>
      <c r="AD93" s="30">
        <f t="shared" si="4"/>
        <v>0</v>
      </c>
      <c r="AE93" s="70">
        <f t="shared" si="5"/>
        <v>0</v>
      </c>
      <c r="AF93" s="70">
        <v>1.0</v>
      </c>
    </row>
    <row r="94" ht="15.75" hidden="1" customHeight="1">
      <c r="A94" s="54">
        <v>92.0</v>
      </c>
      <c r="B94" s="56" t="s">
        <v>233</v>
      </c>
      <c r="C94" s="56" t="s">
        <v>234</v>
      </c>
      <c r="D94" s="56" t="s">
        <v>296</v>
      </c>
      <c r="E94" s="56" t="s">
        <v>297</v>
      </c>
      <c r="F94" s="56" t="s">
        <v>460</v>
      </c>
      <c r="G94" s="57"/>
      <c r="H94" s="68">
        <f t="shared" si="3"/>
        <v>0</v>
      </c>
      <c r="I94" s="62"/>
      <c r="J94" s="62" t="s">
        <v>283</v>
      </c>
      <c r="K94" s="71"/>
      <c r="L94" s="57" t="s">
        <v>115</v>
      </c>
      <c r="M94" s="61"/>
      <c r="N94" s="61"/>
      <c r="O94" s="62" t="s">
        <v>283</v>
      </c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30">
        <v>1.0</v>
      </c>
      <c r="AD94" s="30">
        <f t="shared" si="4"/>
        <v>0</v>
      </c>
      <c r="AE94" s="70">
        <f t="shared" si="5"/>
        <v>0</v>
      </c>
      <c r="AF94" s="70">
        <v>1.0</v>
      </c>
    </row>
    <row r="95" ht="15.75" hidden="1" customHeight="1">
      <c r="A95" s="54">
        <v>92.0</v>
      </c>
      <c r="B95" s="56" t="s">
        <v>253</v>
      </c>
      <c r="C95" s="56" t="s">
        <v>234</v>
      </c>
      <c r="D95" s="56" t="s">
        <v>254</v>
      </c>
      <c r="E95" s="56" t="s">
        <v>111</v>
      </c>
      <c r="F95" s="56" t="s">
        <v>173</v>
      </c>
      <c r="G95" s="57" t="s">
        <v>87</v>
      </c>
      <c r="H95" s="68">
        <f t="shared" si="3"/>
        <v>0</v>
      </c>
      <c r="I95" s="62"/>
      <c r="J95" s="62" t="s">
        <v>243</v>
      </c>
      <c r="K95" s="71"/>
      <c r="L95" s="57" t="s">
        <v>130</v>
      </c>
      <c r="M95" s="61"/>
      <c r="N95" s="61"/>
      <c r="O95" s="62" t="s">
        <v>243</v>
      </c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30">
        <v>12.0</v>
      </c>
      <c r="AD95" s="30">
        <f t="shared" si="4"/>
        <v>0</v>
      </c>
      <c r="AE95" s="70">
        <f t="shared" si="5"/>
        <v>0</v>
      </c>
      <c r="AF95" s="70">
        <v>1.0</v>
      </c>
    </row>
    <row r="96" ht="15.75" hidden="1" customHeight="1">
      <c r="A96" s="54">
        <v>92.0</v>
      </c>
      <c r="B96" s="56" t="s">
        <v>253</v>
      </c>
      <c r="C96" s="56" t="s">
        <v>234</v>
      </c>
      <c r="D96" s="56" t="s">
        <v>300</v>
      </c>
      <c r="E96" s="56" t="s">
        <v>297</v>
      </c>
      <c r="F96" s="56" t="s">
        <v>460</v>
      </c>
      <c r="G96" s="57"/>
      <c r="H96" s="68">
        <f t="shared" si="3"/>
        <v>0</v>
      </c>
      <c r="I96" s="62"/>
      <c r="J96" s="62" t="s">
        <v>283</v>
      </c>
      <c r="K96" s="71"/>
      <c r="L96" s="57" t="s">
        <v>115</v>
      </c>
      <c r="M96" s="61"/>
      <c r="N96" s="61"/>
      <c r="O96" s="62" t="s">
        <v>283</v>
      </c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30">
        <v>1.0</v>
      </c>
      <c r="AD96" s="30">
        <f t="shared" si="4"/>
        <v>0</v>
      </c>
      <c r="AE96" s="70">
        <f t="shared" si="5"/>
        <v>0</v>
      </c>
      <c r="AF96" s="70">
        <v>1.0</v>
      </c>
    </row>
    <row r="97" ht="15.75" hidden="1" customHeight="1">
      <c r="A97" s="54">
        <v>92.0</v>
      </c>
      <c r="B97" s="56" t="s">
        <v>301</v>
      </c>
      <c r="C97" s="56" t="s">
        <v>234</v>
      </c>
      <c r="D97" s="56" t="s">
        <v>302</v>
      </c>
      <c r="E97" s="56" t="s">
        <v>163</v>
      </c>
      <c r="F97" s="56" t="s">
        <v>193</v>
      </c>
      <c r="G97" s="57" t="s">
        <v>34</v>
      </c>
      <c r="H97" s="68">
        <f t="shared" si="3"/>
        <v>0</v>
      </c>
      <c r="I97" s="62"/>
      <c r="J97" s="62"/>
      <c r="K97" s="71"/>
      <c r="L97" s="57" t="s">
        <v>130</v>
      </c>
      <c r="M97" s="61"/>
      <c r="N97" s="61"/>
      <c r="O97" s="62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30">
        <v>1.0</v>
      </c>
      <c r="AD97" s="30">
        <f t="shared" si="4"/>
        <v>0</v>
      </c>
      <c r="AE97" s="70">
        <f t="shared" si="5"/>
        <v>0</v>
      </c>
      <c r="AF97" s="70">
        <v>1.0</v>
      </c>
    </row>
    <row r="98" ht="15.75" hidden="1" customHeight="1">
      <c r="A98" s="54">
        <v>92.0</v>
      </c>
      <c r="B98" s="56" t="s">
        <v>301</v>
      </c>
      <c r="C98" s="56" t="s">
        <v>234</v>
      </c>
      <c r="D98" s="56" t="s">
        <v>302</v>
      </c>
      <c r="E98" s="56" t="s">
        <v>111</v>
      </c>
      <c r="F98" s="56" t="s">
        <v>246</v>
      </c>
      <c r="G98" s="57" t="s">
        <v>154</v>
      </c>
      <c r="H98" s="68">
        <f t="shared" si="3"/>
        <v>0</v>
      </c>
      <c r="I98" s="62"/>
      <c r="J98" s="62"/>
      <c r="K98" s="71"/>
      <c r="L98" s="57" t="s">
        <v>130</v>
      </c>
      <c r="M98" s="61"/>
      <c r="N98" s="61"/>
      <c r="O98" s="62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75"/>
      <c r="AC98" s="30">
        <v>2.0</v>
      </c>
      <c r="AD98" s="30">
        <f t="shared" si="4"/>
        <v>0</v>
      </c>
      <c r="AE98" s="70">
        <f t="shared" si="5"/>
        <v>0</v>
      </c>
      <c r="AF98" s="70">
        <v>1.0</v>
      </c>
    </row>
    <row r="99" ht="15.75" hidden="1" customHeight="1">
      <c r="A99" s="54">
        <v>92.0</v>
      </c>
      <c r="B99" s="56" t="s">
        <v>301</v>
      </c>
      <c r="C99" s="56" t="s">
        <v>234</v>
      </c>
      <c r="D99" s="56" t="s">
        <v>302</v>
      </c>
      <c r="E99" s="56" t="s">
        <v>248</v>
      </c>
      <c r="F99" s="56" t="s">
        <v>112</v>
      </c>
      <c r="G99" s="57" t="s">
        <v>303</v>
      </c>
      <c r="H99" s="68">
        <f t="shared" si="3"/>
        <v>0</v>
      </c>
      <c r="I99" s="62"/>
      <c r="J99" s="62"/>
      <c r="K99" s="71"/>
      <c r="L99" s="57" t="s">
        <v>115</v>
      </c>
      <c r="M99" s="61"/>
      <c r="N99" s="61"/>
      <c r="O99" s="62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30">
        <v>1.0</v>
      </c>
      <c r="AD99" s="30">
        <f t="shared" si="4"/>
        <v>0</v>
      </c>
      <c r="AE99" s="70">
        <f t="shared" si="5"/>
        <v>0</v>
      </c>
      <c r="AF99" s="70">
        <v>1.0</v>
      </c>
    </row>
    <row r="100" ht="15.75" hidden="1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247</v>
      </c>
      <c r="F100" s="56" t="s">
        <v>384</v>
      </c>
      <c r="G100" s="57" t="s">
        <v>303</v>
      </c>
      <c r="H100" s="68">
        <f t="shared" si="3"/>
        <v>0</v>
      </c>
      <c r="I100" s="62"/>
      <c r="J100" s="62"/>
      <c r="K100" s="71"/>
      <c r="L100" s="57" t="s">
        <v>115</v>
      </c>
      <c r="M100" s="61"/>
      <c r="N100" s="61"/>
      <c r="O100" s="62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75"/>
      <c r="AC100" s="30">
        <v>1.0</v>
      </c>
      <c r="AD100" s="30">
        <f t="shared" si="4"/>
        <v>0</v>
      </c>
      <c r="AE100" s="70">
        <f t="shared" si="5"/>
        <v>0</v>
      </c>
      <c r="AF100" s="70">
        <v>1.0</v>
      </c>
    </row>
    <row r="101" ht="15.75" hidden="1" customHeight="1">
      <c r="A101" s="54">
        <v>92.0</v>
      </c>
      <c r="B101" s="56" t="s">
        <v>304</v>
      </c>
      <c r="C101" s="56" t="s">
        <v>234</v>
      </c>
      <c r="D101" s="56" t="s">
        <v>305</v>
      </c>
      <c r="E101" s="56" t="s">
        <v>163</v>
      </c>
      <c r="F101" s="56" t="s">
        <v>193</v>
      </c>
      <c r="G101" s="57" t="s">
        <v>34</v>
      </c>
      <c r="H101" s="68">
        <f t="shared" si="3"/>
        <v>0</v>
      </c>
      <c r="I101" s="62"/>
      <c r="J101" s="62"/>
      <c r="K101" s="71"/>
      <c r="L101" s="57" t="s">
        <v>130</v>
      </c>
      <c r="M101" s="61"/>
      <c r="N101" s="61"/>
      <c r="O101" s="62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30">
        <v>1.0</v>
      </c>
      <c r="AD101" s="30">
        <f t="shared" si="4"/>
        <v>0</v>
      </c>
      <c r="AE101" s="70">
        <f t="shared" si="5"/>
        <v>0</v>
      </c>
      <c r="AF101" s="70">
        <v>1.0</v>
      </c>
    </row>
    <row r="102" ht="15.75" hidden="1" customHeight="1">
      <c r="A102" s="54">
        <v>92.0</v>
      </c>
      <c r="B102" s="56" t="s">
        <v>304</v>
      </c>
      <c r="C102" s="56" t="s">
        <v>234</v>
      </c>
      <c r="D102" s="56" t="s">
        <v>305</v>
      </c>
      <c r="E102" s="56" t="s">
        <v>111</v>
      </c>
      <c r="F102" s="56" t="s">
        <v>246</v>
      </c>
      <c r="G102" s="57" t="s">
        <v>154</v>
      </c>
      <c r="H102" s="68">
        <f t="shared" si="3"/>
        <v>0</v>
      </c>
      <c r="I102" s="62"/>
      <c r="J102" s="62"/>
      <c r="K102" s="71"/>
      <c r="L102" s="57" t="s">
        <v>130</v>
      </c>
      <c r="M102" s="61"/>
      <c r="N102" s="61"/>
      <c r="O102" s="62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75"/>
      <c r="AC102" s="30">
        <v>2.0</v>
      </c>
      <c r="AD102" s="30">
        <f t="shared" si="4"/>
        <v>0</v>
      </c>
      <c r="AE102" s="70">
        <f t="shared" si="5"/>
        <v>0</v>
      </c>
      <c r="AF102" s="70">
        <v>1.0</v>
      </c>
    </row>
    <row r="103" ht="15.75" hidden="1" customHeight="1">
      <c r="A103" s="54">
        <v>92.0</v>
      </c>
      <c r="B103" s="56" t="s">
        <v>304</v>
      </c>
      <c r="C103" s="56" t="s">
        <v>234</v>
      </c>
      <c r="D103" s="56" t="s">
        <v>305</v>
      </c>
      <c r="E103" s="56" t="s">
        <v>248</v>
      </c>
      <c r="F103" s="56" t="s">
        <v>112</v>
      </c>
      <c r="G103" s="57" t="s">
        <v>303</v>
      </c>
      <c r="H103" s="68">
        <f t="shared" si="3"/>
        <v>0</v>
      </c>
      <c r="I103" s="62"/>
      <c r="J103" s="62"/>
      <c r="K103" s="71"/>
      <c r="L103" s="57" t="s">
        <v>115</v>
      </c>
      <c r="M103" s="61"/>
      <c r="N103" s="61"/>
      <c r="O103" s="62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30">
        <v>1.0</v>
      </c>
      <c r="AD103" s="30">
        <f t="shared" si="4"/>
        <v>0</v>
      </c>
      <c r="AE103" s="70">
        <f t="shared" si="5"/>
        <v>0</v>
      </c>
      <c r="AF103" s="70">
        <v>1.0</v>
      </c>
    </row>
    <row r="104" ht="15.75" hidden="1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247</v>
      </c>
      <c r="F104" s="56" t="s">
        <v>384</v>
      </c>
      <c r="G104" s="57" t="s">
        <v>303</v>
      </c>
      <c r="H104" s="68">
        <f t="shared" si="3"/>
        <v>0</v>
      </c>
      <c r="I104" s="62"/>
      <c r="J104" s="62"/>
      <c r="K104" s="71"/>
      <c r="L104" s="57" t="s">
        <v>115</v>
      </c>
      <c r="M104" s="61"/>
      <c r="N104" s="61"/>
      <c r="O104" s="62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75"/>
      <c r="AC104" s="30">
        <v>1.0</v>
      </c>
      <c r="AD104" s="30">
        <f t="shared" si="4"/>
        <v>0</v>
      </c>
      <c r="AE104" s="70">
        <f t="shared" si="5"/>
        <v>0</v>
      </c>
      <c r="AF104" s="70">
        <v>1.0</v>
      </c>
    </row>
    <row r="105" ht="15.75" hidden="1" customHeight="1">
      <c r="A105" s="54">
        <v>92.0</v>
      </c>
      <c r="B105" s="56" t="s">
        <v>306</v>
      </c>
      <c r="C105" s="56" t="s">
        <v>234</v>
      </c>
      <c r="D105" s="56" t="s">
        <v>307</v>
      </c>
      <c r="E105" s="56" t="s">
        <v>163</v>
      </c>
      <c r="F105" s="56" t="s">
        <v>193</v>
      </c>
      <c r="G105" s="57" t="s">
        <v>34</v>
      </c>
      <c r="H105" s="68">
        <f t="shared" si="3"/>
        <v>0</v>
      </c>
      <c r="I105" s="62"/>
      <c r="J105" s="62"/>
      <c r="K105" s="71"/>
      <c r="L105" s="57" t="s">
        <v>130</v>
      </c>
      <c r="M105" s="61"/>
      <c r="N105" s="61"/>
      <c r="O105" s="62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89"/>
      <c r="AC105" s="30">
        <v>1.0</v>
      </c>
      <c r="AD105" s="30">
        <f t="shared" si="4"/>
        <v>0</v>
      </c>
      <c r="AE105" s="70">
        <f t="shared" si="5"/>
        <v>0</v>
      </c>
      <c r="AF105" s="70">
        <v>1.0</v>
      </c>
    </row>
    <row r="106" ht="15.75" hidden="1" customHeight="1">
      <c r="A106" s="54">
        <v>92.0</v>
      </c>
      <c r="B106" s="56" t="s">
        <v>306</v>
      </c>
      <c r="C106" s="56" t="s">
        <v>234</v>
      </c>
      <c r="D106" s="56" t="s">
        <v>307</v>
      </c>
      <c r="E106" s="56" t="s">
        <v>111</v>
      </c>
      <c r="F106" s="56" t="s">
        <v>246</v>
      </c>
      <c r="G106" s="57" t="s">
        <v>154</v>
      </c>
      <c r="H106" s="68">
        <f t="shared" si="3"/>
        <v>0</v>
      </c>
      <c r="I106" s="62"/>
      <c r="J106" s="62"/>
      <c r="K106" s="71"/>
      <c r="L106" s="57" t="s">
        <v>130</v>
      </c>
      <c r="M106" s="61"/>
      <c r="N106" s="61"/>
      <c r="O106" s="62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75"/>
      <c r="AC106" s="30">
        <v>2.0</v>
      </c>
      <c r="AD106" s="30">
        <f t="shared" si="4"/>
        <v>0</v>
      </c>
      <c r="AE106" s="70">
        <f t="shared" si="5"/>
        <v>0</v>
      </c>
      <c r="AF106" s="70">
        <v>1.0</v>
      </c>
    </row>
    <row r="107" ht="15.75" hidden="1" customHeight="1">
      <c r="A107" s="54">
        <v>92.0</v>
      </c>
      <c r="B107" s="56" t="s">
        <v>306</v>
      </c>
      <c r="C107" s="56" t="s">
        <v>234</v>
      </c>
      <c r="D107" s="56" t="s">
        <v>307</v>
      </c>
      <c r="E107" s="56" t="s">
        <v>248</v>
      </c>
      <c r="F107" s="56" t="s">
        <v>112</v>
      </c>
      <c r="G107" s="57" t="s">
        <v>303</v>
      </c>
      <c r="H107" s="68">
        <f t="shared" si="3"/>
        <v>0</v>
      </c>
      <c r="I107" s="62"/>
      <c r="J107" s="62"/>
      <c r="K107" s="71"/>
      <c r="L107" s="57" t="s">
        <v>115</v>
      </c>
      <c r="M107" s="61"/>
      <c r="N107" s="61"/>
      <c r="O107" s="62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30">
        <v>1.0</v>
      </c>
      <c r="AD107" s="30">
        <f t="shared" si="4"/>
        <v>0</v>
      </c>
      <c r="AE107" s="70">
        <f t="shared" si="5"/>
        <v>0</v>
      </c>
      <c r="AF107" s="70">
        <v>1.0</v>
      </c>
    </row>
    <row r="108" ht="15.75" hidden="1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247</v>
      </c>
      <c r="F108" s="56" t="s">
        <v>384</v>
      </c>
      <c r="G108" s="57" t="s">
        <v>303</v>
      </c>
      <c r="H108" s="68">
        <f t="shared" si="3"/>
        <v>0</v>
      </c>
      <c r="I108" s="62"/>
      <c r="J108" s="62"/>
      <c r="K108" s="71"/>
      <c r="L108" s="57" t="s">
        <v>115</v>
      </c>
      <c r="M108" s="61"/>
      <c r="N108" s="61"/>
      <c r="O108" s="62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75"/>
      <c r="AC108" s="30">
        <v>1.0</v>
      </c>
      <c r="AD108" s="30">
        <f t="shared" si="4"/>
        <v>0</v>
      </c>
      <c r="AE108" s="70">
        <f t="shared" si="5"/>
        <v>0</v>
      </c>
      <c r="AF108" s="70">
        <v>1.0</v>
      </c>
    </row>
    <row r="109" ht="15.75" hidden="1" customHeight="1">
      <c r="A109" s="54">
        <v>92.0</v>
      </c>
      <c r="B109" s="56" t="s">
        <v>255</v>
      </c>
      <c r="C109" s="56" t="s">
        <v>234</v>
      </c>
      <c r="D109" s="56" t="s">
        <v>256</v>
      </c>
      <c r="E109" s="56" t="s">
        <v>257</v>
      </c>
      <c r="F109" s="56" t="s">
        <v>173</v>
      </c>
      <c r="G109" s="57" t="s">
        <v>87</v>
      </c>
      <c r="H109" s="68">
        <f t="shared" si="3"/>
        <v>0</v>
      </c>
      <c r="I109" s="62"/>
      <c r="J109" s="62"/>
      <c r="K109" s="71"/>
      <c r="L109" s="57" t="s">
        <v>130</v>
      </c>
      <c r="M109" s="61"/>
      <c r="N109" s="61"/>
      <c r="O109" s="62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30">
        <v>12.0</v>
      </c>
      <c r="AD109" s="30">
        <f t="shared" si="4"/>
        <v>0</v>
      </c>
      <c r="AE109" s="70">
        <f t="shared" si="5"/>
        <v>0</v>
      </c>
      <c r="AF109" s="70">
        <v>1.0</v>
      </c>
    </row>
    <row r="110" ht="15.75" hidden="1" customHeight="1">
      <c r="A110" s="54">
        <v>100.0</v>
      </c>
      <c r="B110" s="56" t="s">
        <v>451</v>
      </c>
      <c r="C110" s="56" t="s">
        <v>315</v>
      </c>
      <c r="D110" s="56" t="s">
        <v>452</v>
      </c>
      <c r="E110" s="56" t="s">
        <v>453</v>
      </c>
      <c r="F110" s="56" t="s">
        <v>15</v>
      </c>
      <c r="G110" s="57" t="s">
        <v>15</v>
      </c>
      <c r="H110" s="68">
        <f t="shared" si="3"/>
        <v>0</v>
      </c>
      <c r="I110" s="62"/>
      <c r="J110" s="62"/>
      <c r="K110" s="71"/>
      <c r="L110" s="57" t="s">
        <v>130</v>
      </c>
      <c r="M110" s="61"/>
      <c r="N110" s="61"/>
      <c r="O110" s="62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30">
        <v>12.0</v>
      </c>
      <c r="AD110" s="30">
        <f t="shared" si="4"/>
        <v>0</v>
      </c>
      <c r="AE110" s="70">
        <f t="shared" si="5"/>
        <v>0</v>
      </c>
      <c r="AF110" s="70">
        <v>1.0</v>
      </c>
    </row>
    <row r="111" ht="15.75" hidden="1" customHeight="1">
      <c r="A111" s="54">
        <v>100.0</v>
      </c>
      <c r="B111" s="56" t="s">
        <v>454</v>
      </c>
      <c r="C111" s="56" t="s">
        <v>315</v>
      </c>
      <c r="D111" s="56" t="s">
        <v>316</v>
      </c>
      <c r="E111" s="56" t="s">
        <v>455</v>
      </c>
      <c r="F111" s="56" t="s">
        <v>15</v>
      </c>
      <c r="G111" s="57" t="s">
        <v>15</v>
      </c>
      <c r="H111" s="68">
        <f t="shared" si="3"/>
        <v>0</v>
      </c>
      <c r="I111" s="62"/>
      <c r="J111" s="62"/>
      <c r="K111" s="71"/>
      <c r="L111" s="57" t="s">
        <v>130</v>
      </c>
      <c r="M111" s="61"/>
      <c r="N111" s="61"/>
      <c r="O111" s="62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75"/>
      <c r="AC111" s="30">
        <v>12.0</v>
      </c>
      <c r="AD111" s="30">
        <f t="shared" si="4"/>
        <v>0</v>
      </c>
      <c r="AE111" s="70">
        <f t="shared" si="5"/>
        <v>0</v>
      </c>
      <c r="AF111" s="70">
        <v>1.0</v>
      </c>
    </row>
    <row r="112" ht="15.75" hidden="1" customHeight="1">
      <c r="A112" s="54">
        <v>100.0</v>
      </c>
      <c r="B112" s="56" t="s">
        <v>314</v>
      </c>
      <c r="C112" s="56" t="s">
        <v>315</v>
      </c>
      <c r="D112" s="56" t="s">
        <v>316</v>
      </c>
      <c r="E112" s="56" t="s">
        <v>317</v>
      </c>
      <c r="F112" s="56" t="s">
        <v>193</v>
      </c>
      <c r="G112" s="57" t="s">
        <v>34</v>
      </c>
      <c r="H112" s="68">
        <f t="shared" si="3"/>
        <v>0</v>
      </c>
      <c r="I112" s="62"/>
      <c r="J112" s="57" t="s">
        <v>130</v>
      </c>
      <c r="K112" s="90"/>
      <c r="L112" s="62"/>
      <c r="M112" s="81"/>
      <c r="N112" s="81"/>
      <c r="O112" s="57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30"/>
      <c r="AC112" s="30">
        <v>1.0</v>
      </c>
      <c r="AD112" s="30">
        <f t="shared" si="4"/>
        <v>0</v>
      </c>
      <c r="AE112" s="70">
        <f t="shared" si="5"/>
        <v>0</v>
      </c>
      <c r="AF112" s="70">
        <v>1.0</v>
      </c>
    </row>
    <row r="113" ht="15.75" hidden="1" customHeight="1">
      <c r="A113" s="54">
        <v>100.0</v>
      </c>
      <c r="B113" s="56" t="s">
        <v>318</v>
      </c>
      <c r="C113" s="56" t="s">
        <v>315</v>
      </c>
      <c r="D113" s="56" t="s">
        <v>319</v>
      </c>
      <c r="E113" s="56" t="s">
        <v>320</v>
      </c>
      <c r="F113" s="56" t="s">
        <v>193</v>
      </c>
      <c r="G113" s="57" t="s">
        <v>34</v>
      </c>
      <c r="H113" s="68">
        <f t="shared" si="3"/>
        <v>0</v>
      </c>
      <c r="I113" s="91"/>
      <c r="J113" s="92"/>
      <c r="K113" s="57"/>
      <c r="L113" s="57"/>
      <c r="M113" s="81"/>
      <c r="N113" s="81"/>
      <c r="O113" s="57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30"/>
      <c r="AB113" s="30"/>
      <c r="AC113" s="30">
        <v>1.0</v>
      </c>
      <c r="AD113" s="30">
        <f t="shared" si="4"/>
        <v>0</v>
      </c>
      <c r="AE113" s="70">
        <f t="shared" si="5"/>
        <v>0</v>
      </c>
      <c r="AF113" s="70">
        <v>1.0</v>
      </c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2"/>
      <c r="CB113" s="82"/>
      <c r="CC113" s="82"/>
      <c r="CD113" s="82"/>
      <c r="CE113" s="82"/>
      <c r="CF113" s="82"/>
      <c r="CG113" s="82"/>
      <c r="CH113" s="82"/>
      <c r="CI113" s="82"/>
      <c r="CJ113" s="82"/>
      <c r="CK113" s="82"/>
      <c r="CL113" s="82"/>
      <c r="CM113" s="82"/>
      <c r="CN113" s="82"/>
      <c r="CO113" s="82"/>
      <c r="CP113" s="82"/>
      <c r="CQ113" s="82"/>
      <c r="CR113" s="82"/>
      <c r="CS113" s="82"/>
      <c r="CT113" s="82"/>
      <c r="CU113" s="82"/>
      <c r="CV113" s="82"/>
      <c r="CW113" s="82"/>
      <c r="CX113" s="82"/>
      <c r="CY113" s="82"/>
      <c r="CZ113" s="82"/>
      <c r="DA113" s="82"/>
      <c r="DB113" s="82"/>
      <c r="DC113" s="82"/>
      <c r="DD113" s="82"/>
      <c r="DE113" s="82"/>
      <c r="DF113" s="82"/>
      <c r="DG113" s="82"/>
      <c r="DH113" s="82"/>
      <c r="DI113" s="82"/>
      <c r="DJ113" s="82"/>
      <c r="DK113" s="82"/>
      <c r="DL113" s="82"/>
      <c r="DM113" s="82"/>
      <c r="DN113" s="82"/>
      <c r="DO113" s="82"/>
      <c r="DP113" s="82"/>
      <c r="DQ113" s="82"/>
      <c r="DR113" s="82"/>
      <c r="DS113" s="82"/>
      <c r="DT113" s="82"/>
      <c r="DU113" s="82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2"/>
      <c r="FF113" s="82"/>
      <c r="FG113" s="82"/>
      <c r="FH113" s="82"/>
      <c r="FI113" s="82"/>
      <c r="FJ113" s="82"/>
      <c r="FK113" s="82"/>
      <c r="FL113" s="82"/>
      <c r="FM113" s="82"/>
      <c r="FN113" s="82"/>
      <c r="FO113" s="82"/>
      <c r="FP113" s="82"/>
      <c r="FQ113" s="82"/>
      <c r="FR113" s="82"/>
      <c r="FS113" s="82"/>
      <c r="FT113" s="82"/>
      <c r="FU113" s="82"/>
      <c r="FV113" s="82"/>
      <c r="FW113" s="82"/>
      <c r="FX113" s="82"/>
      <c r="FY113" s="82"/>
      <c r="FZ113" s="82"/>
      <c r="GA113" s="82"/>
      <c r="GB113" s="82"/>
      <c r="GC113" s="82"/>
      <c r="GD113" s="82"/>
      <c r="GE113" s="82"/>
      <c r="GF113" s="82"/>
      <c r="GG113" s="82"/>
      <c r="GH113" s="82"/>
      <c r="GI113" s="82"/>
      <c r="GJ113" s="82"/>
      <c r="GK113" s="82"/>
      <c r="GL113" s="82"/>
      <c r="GM113" s="82"/>
      <c r="GN113" s="82"/>
      <c r="GO113" s="82"/>
      <c r="GP113" s="82"/>
      <c r="GQ113" s="82"/>
      <c r="GR113" s="82"/>
      <c r="GS113" s="82"/>
      <c r="GT113" s="82"/>
      <c r="GU113" s="82"/>
      <c r="GV113" s="82"/>
      <c r="GW113" s="82"/>
      <c r="GX113" s="82"/>
      <c r="GY113" s="82"/>
      <c r="GZ113" s="82"/>
      <c r="HA113" s="82"/>
      <c r="HB113" s="82"/>
    </row>
    <row r="114" ht="15.75" hidden="1" customHeight="1">
      <c r="A114" s="54">
        <v>100.0</v>
      </c>
      <c r="B114" s="56" t="s">
        <v>318</v>
      </c>
      <c r="C114" s="56" t="s">
        <v>315</v>
      </c>
      <c r="D114" s="56" t="s">
        <v>319</v>
      </c>
      <c r="E114" s="56" t="s">
        <v>325</v>
      </c>
      <c r="F114" s="56" t="s">
        <v>193</v>
      </c>
      <c r="G114" s="57" t="s">
        <v>34</v>
      </c>
      <c r="H114" s="68">
        <f t="shared" si="3"/>
        <v>0</v>
      </c>
      <c r="I114" s="91"/>
      <c r="J114" s="92"/>
      <c r="K114" s="81"/>
      <c r="L114" s="57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30"/>
      <c r="AB114" s="30"/>
      <c r="AC114" s="30">
        <v>1.0</v>
      </c>
      <c r="AD114" s="30">
        <f t="shared" si="4"/>
        <v>0</v>
      </c>
      <c r="AE114" s="70">
        <f t="shared" si="5"/>
        <v>0</v>
      </c>
      <c r="AF114" s="70">
        <v>1.0</v>
      </c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  <c r="AU114" s="82"/>
      <c r="AV114" s="82"/>
      <c r="AW114" s="82"/>
      <c r="AX114" s="82"/>
      <c r="AY114" s="82"/>
      <c r="AZ114" s="82"/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  <c r="BT114" s="82"/>
      <c r="BU114" s="82"/>
      <c r="BV114" s="82"/>
      <c r="BW114" s="82"/>
      <c r="BX114" s="82"/>
      <c r="BY114" s="82"/>
      <c r="BZ114" s="82"/>
      <c r="CA114" s="82"/>
      <c r="CB114" s="82"/>
      <c r="CC114" s="82"/>
      <c r="CD114" s="82"/>
      <c r="CE114" s="82"/>
      <c r="CF114" s="82"/>
      <c r="CG114" s="82"/>
      <c r="CH114" s="82"/>
      <c r="CI114" s="82"/>
      <c r="CJ114" s="82"/>
      <c r="CK114" s="82"/>
      <c r="CL114" s="82"/>
      <c r="CM114" s="82"/>
      <c r="CN114" s="82"/>
      <c r="CO114" s="82"/>
      <c r="CP114" s="82"/>
      <c r="CQ114" s="82"/>
      <c r="CR114" s="82"/>
      <c r="CS114" s="82"/>
      <c r="CT114" s="82"/>
      <c r="CU114" s="82"/>
      <c r="CV114" s="82"/>
      <c r="CW114" s="82"/>
      <c r="CX114" s="82"/>
      <c r="CY114" s="82"/>
      <c r="CZ114" s="82"/>
      <c r="DA114" s="82"/>
      <c r="DB114" s="82"/>
      <c r="DC114" s="82"/>
      <c r="DD114" s="82"/>
      <c r="DE114" s="82"/>
      <c r="DF114" s="82"/>
      <c r="DG114" s="82"/>
      <c r="DH114" s="82"/>
      <c r="DI114" s="82"/>
      <c r="DJ114" s="82"/>
      <c r="DK114" s="82"/>
      <c r="DL114" s="82"/>
      <c r="DM114" s="82"/>
      <c r="DN114" s="82"/>
      <c r="DO114" s="82"/>
      <c r="DP114" s="82"/>
      <c r="DQ114" s="82"/>
      <c r="DR114" s="82"/>
      <c r="DS114" s="82"/>
      <c r="DT114" s="82"/>
      <c r="DU114" s="82"/>
      <c r="DV114" s="82"/>
      <c r="DW114" s="82"/>
      <c r="DX114" s="82"/>
      <c r="DY114" s="82"/>
      <c r="DZ114" s="82"/>
      <c r="EA114" s="82"/>
      <c r="EB114" s="82"/>
      <c r="EC114" s="82"/>
      <c r="ED114" s="82"/>
      <c r="EE114" s="82"/>
      <c r="EF114" s="82"/>
      <c r="EG114" s="82"/>
      <c r="EH114" s="82"/>
      <c r="EI114" s="82"/>
      <c r="EJ114" s="82"/>
      <c r="EK114" s="82"/>
      <c r="EL114" s="82"/>
      <c r="EM114" s="82"/>
      <c r="EN114" s="82"/>
      <c r="EO114" s="82"/>
      <c r="EP114" s="82"/>
      <c r="EQ114" s="82"/>
      <c r="ER114" s="82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2"/>
      <c r="FF114" s="82"/>
      <c r="FG114" s="82"/>
      <c r="FH114" s="82"/>
      <c r="FI114" s="82"/>
      <c r="FJ114" s="82"/>
      <c r="FK114" s="82"/>
      <c r="FL114" s="82"/>
      <c r="FM114" s="82"/>
      <c r="FN114" s="82"/>
      <c r="FO114" s="82"/>
      <c r="FP114" s="82"/>
      <c r="FQ114" s="82"/>
      <c r="FR114" s="82"/>
      <c r="FS114" s="82"/>
      <c r="FT114" s="82"/>
      <c r="FU114" s="82"/>
      <c r="FV114" s="82"/>
      <c r="FW114" s="82"/>
      <c r="FX114" s="82"/>
      <c r="FY114" s="82"/>
      <c r="FZ114" s="82"/>
      <c r="GA114" s="82"/>
      <c r="GB114" s="82"/>
      <c r="GC114" s="82"/>
      <c r="GD114" s="82"/>
      <c r="GE114" s="82"/>
      <c r="GF114" s="82"/>
      <c r="GG114" s="82"/>
      <c r="GH114" s="82"/>
      <c r="GI114" s="82"/>
      <c r="GJ114" s="82"/>
      <c r="GK114" s="82"/>
      <c r="GL114" s="82"/>
      <c r="GM114" s="82"/>
      <c r="GN114" s="82"/>
      <c r="GO114" s="82"/>
      <c r="GP114" s="82"/>
      <c r="GQ114" s="82"/>
      <c r="GR114" s="82"/>
      <c r="GS114" s="82"/>
      <c r="GT114" s="82"/>
      <c r="GU114" s="82"/>
      <c r="GV114" s="82"/>
      <c r="GW114" s="82"/>
      <c r="GX114" s="82"/>
      <c r="GY114" s="82"/>
      <c r="GZ114" s="82"/>
      <c r="HA114" s="82"/>
      <c r="HB114" s="82"/>
    </row>
    <row r="115" ht="15.75" hidden="1" customHeight="1">
      <c r="A115" s="54">
        <v>100.0</v>
      </c>
      <c r="B115" s="56" t="s">
        <v>328</v>
      </c>
      <c r="C115" s="56" t="s">
        <v>315</v>
      </c>
      <c r="D115" s="56" t="s">
        <v>329</v>
      </c>
      <c r="E115" s="56" t="s">
        <v>320</v>
      </c>
      <c r="F115" s="56" t="s">
        <v>193</v>
      </c>
      <c r="G115" s="57" t="s">
        <v>34</v>
      </c>
      <c r="H115" s="68">
        <f t="shared" si="3"/>
        <v>0</v>
      </c>
      <c r="I115" s="94"/>
      <c r="J115" s="92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70"/>
      <c r="AB115" s="70"/>
      <c r="AC115" s="30">
        <v>1.0</v>
      </c>
      <c r="AD115" s="30">
        <f t="shared" si="4"/>
        <v>0</v>
      </c>
      <c r="AE115" s="70">
        <f t="shared" si="5"/>
        <v>0</v>
      </c>
      <c r="AF115" s="70">
        <v>1.0</v>
      </c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82"/>
      <c r="EB115" s="82"/>
      <c r="EC115" s="82"/>
      <c r="ED115" s="82"/>
      <c r="EE115" s="82"/>
      <c r="EF115" s="82"/>
      <c r="EG115" s="82"/>
      <c r="EH115" s="82"/>
      <c r="EI115" s="82"/>
      <c r="EJ115" s="82"/>
      <c r="EK115" s="82"/>
      <c r="EL115" s="82"/>
      <c r="EM115" s="82"/>
      <c r="EN115" s="82"/>
      <c r="EO115" s="82"/>
      <c r="EP115" s="82"/>
      <c r="EQ115" s="82"/>
      <c r="ER115" s="82"/>
      <c r="ES115" s="82"/>
      <c r="ET115" s="82"/>
      <c r="EU115" s="82"/>
      <c r="EV115" s="82"/>
      <c r="EW115" s="82"/>
      <c r="EX115" s="82"/>
      <c r="EY115" s="82"/>
      <c r="EZ115" s="82"/>
      <c r="FA115" s="82"/>
      <c r="FB115" s="82"/>
      <c r="FC115" s="82"/>
      <c r="FD115" s="82"/>
      <c r="FE115" s="82"/>
      <c r="FF115" s="82"/>
      <c r="FG115" s="82"/>
      <c r="FH115" s="82"/>
      <c r="FI115" s="82"/>
      <c r="FJ115" s="82"/>
      <c r="FK115" s="82"/>
      <c r="FL115" s="82"/>
      <c r="FM115" s="82"/>
      <c r="FN115" s="82"/>
      <c r="FO115" s="82"/>
      <c r="FP115" s="82"/>
      <c r="FQ115" s="82"/>
      <c r="FR115" s="82"/>
      <c r="FS115" s="82"/>
      <c r="FT115" s="82"/>
      <c r="FU115" s="82"/>
      <c r="FV115" s="82"/>
      <c r="FW115" s="82"/>
      <c r="FX115" s="82"/>
      <c r="FY115" s="82"/>
      <c r="FZ115" s="82"/>
      <c r="GA115" s="82"/>
      <c r="GB115" s="82"/>
      <c r="GC115" s="82"/>
      <c r="GD115" s="82"/>
      <c r="GE115" s="82"/>
      <c r="GF115" s="82"/>
      <c r="GG115" s="82"/>
      <c r="GH115" s="82"/>
      <c r="GI115" s="82"/>
      <c r="GJ115" s="82"/>
      <c r="GK115" s="82"/>
      <c r="GL115" s="82"/>
      <c r="GM115" s="82"/>
      <c r="GN115" s="82"/>
      <c r="GO115" s="82"/>
      <c r="GP115" s="82"/>
      <c r="GQ115" s="82"/>
      <c r="GR115" s="82"/>
      <c r="GS115" s="82"/>
      <c r="GT115" s="82"/>
      <c r="GU115" s="82"/>
      <c r="GV115" s="82"/>
      <c r="GW115" s="82"/>
      <c r="GX115" s="82"/>
      <c r="GY115" s="82"/>
      <c r="GZ115" s="82"/>
      <c r="HA115" s="82"/>
      <c r="HB115" s="82"/>
    </row>
    <row r="116" ht="15.75" hidden="1" customHeight="1">
      <c r="A116" s="54">
        <v>100.0</v>
      </c>
      <c r="B116" s="56" t="s">
        <v>328</v>
      </c>
      <c r="C116" s="56" t="s">
        <v>315</v>
      </c>
      <c r="D116" s="56" t="s">
        <v>329</v>
      </c>
      <c r="E116" s="56" t="s">
        <v>325</v>
      </c>
      <c r="F116" s="56" t="s">
        <v>193</v>
      </c>
      <c r="G116" s="57" t="s">
        <v>34</v>
      </c>
      <c r="H116" s="68">
        <f t="shared" si="3"/>
        <v>0</v>
      </c>
      <c r="I116" s="94"/>
      <c r="J116" s="92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70"/>
      <c r="AB116" s="70"/>
      <c r="AC116" s="30">
        <v>1.0</v>
      </c>
      <c r="AD116" s="30">
        <f t="shared" si="4"/>
        <v>0</v>
      </c>
      <c r="AE116" s="70">
        <f t="shared" si="5"/>
        <v>0</v>
      </c>
      <c r="AF116" s="70">
        <v>1.0</v>
      </c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F116" s="82"/>
      <c r="EG116" s="82"/>
      <c r="EH116" s="82"/>
      <c r="EI116" s="82"/>
      <c r="EJ116" s="82"/>
      <c r="EK116" s="82"/>
      <c r="EL116" s="82"/>
      <c r="EM116" s="82"/>
      <c r="EN116" s="82"/>
      <c r="EO116" s="82"/>
      <c r="EP116" s="82"/>
      <c r="EQ116" s="82"/>
      <c r="ER116" s="82"/>
      <c r="ES116" s="82"/>
      <c r="ET116" s="82"/>
      <c r="EU116" s="82"/>
      <c r="EV116" s="82"/>
      <c r="EW116" s="82"/>
      <c r="EX116" s="82"/>
      <c r="EY116" s="82"/>
      <c r="EZ116" s="82"/>
      <c r="FA116" s="82"/>
      <c r="FB116" s="82"/>
      <c r="FC116" s="82"/>
      <c r="FD116" s="82"/>
      <c r="FE116" s="82"/>
      <c r="FF116" s="82"/>
      <c r="FG116" s="82"/>
      <c r="FH116" s="82"/>
      <c r="FI116" s="82"/>
      <c r="FJ116" s="82"/>
      <c r="FK116" s="82"/>
      <c r="FL116" s="82"/>
      <c r="FM116" s="82"/>
      <c r="FN116" s="82"/>
      <c r="FO116" s="82"/>
      <c r="FP116" s="82"/>
      <c r="FQ116" s="82"/>
      <c r="FR116" s="82"/>
      <c r="FS116" s="82"/>
      <c r="FT116" s="82"/>
      <c r="FU116" s="82"/>
      <c r="FV116" s="82"/>
      <c r="FW116" s="82"/>
      <c r="FX116" s="82"/>
      <c r="FY116" s="82"/>
      <c r="FZ116" s="82"/>
      <c r="GA116" s="82"/>
      <c r="GB116" s="82"/>
      <c r="GC116" s="82"/>
      <c r="GD116" s="82"/>
      <c r="GE116" s="82"/>
      <c r="GF116" s="82"/>
      <c r="GG116" s="82"/>
      <c r="GH116" s="82"/>
      <c r="GI116" s="82"/>
      <c r="GJ116" s="82"/>
      <c r="GK116" s="82"/>
      <c r="GL116" s="82"/>
      <c r="GM116" s="82"/>
      <c r="GN116" s="82"/>
      <c r="GO116" s="82"/>
      <c r="GP116" s="82"/>
      <c r="GQ116" s="82"/>
      <c r="GR116" s="82"/>
      <c r="GS116" s="82"/>
      <c r="GT116" s="82"/>
      <c r="GU116" s="82"/>
      <c r="GV116" s="82"/>
      <c r="GW116" s="82"/>
      <c r="GX116" s="82"/>
      <c r="GY116" s="82"/>
      <c r="GZ116" s="82"/>
      <c r="HA116" s="82"/>
      <c r="HB116" s="82"/>
    </row>
    <row r="117" ht="15.75" hidden="1" customHeight="1">
      <c r="A117" s="54">
        <v>100.0</v>
      </c>
      <c r="B117" s="56" t="s">
        <v>331</v>
      </c>
      <c r="C117" s="56" t="s">
        <v>315</v>
      </c>
      <c r="D117" s="56" t="s">
        <v>332</v>
      </c>
      <c r="E117" s="56" t="s">
        <v>333</v>
      </c>
      <c r="F117" s="56" t="s">
        <v>249</v>
      </c>
      <c r="G117" s="57" t="s">
        <v>250</v>
      </c>
      <c r="H117" s="68">
        <f t="shared" si="3"/>
        <v>0</v>
      </c>
      <c r="I117" s="95"/>
      <c r="J117" s="62" t="s">
        <v>542</v>
      </c>
      <c r="K117" s="96"/>
      <c r="L117" s="53" t="s">
        <v>115</v>
      </c>
      <c r="M117" s="50"/>
      <c r="N117" s="61" t="s">
        <v>346</v>
      </c>
      <c r="O117" s="84" t="s">
        <v>347</v>
      </c>
      <c r="P117" s="53"/>
      <c r="Q117" s="53"/>
      <c r="R117" s="53"/>
      <c r="S117" s="53"/>
      <c r="T117" s="53"/>
      <c r="U117" s="53"/>
      <c r="V117" s="87"/>
      <c r="W117" s="53"/>
      <c r="X117" s="53"/>
      <c r="Y117" s="53"/>
      <c r="Z117" s="53"/>
      <c r="AA117" s="97"/>
      <c r="AB117" s="98"/>
      <c r="AC117" s="30">
        <v>2.0</v>
      </c>
      <c r="AD117" s="30">
        <f t="shared" si="4"/>
        <v>0</v>
      </c>
      <c r="AE117" s="70">
        <f t="shared" si="5"/>
        <v>0</v>
      </c>
      <c r="AF117" s="70">
        <v>1.0</v>
      </c>
    </row>
    <row r="118" ht="15.75" hidden="1" customHeight="1">
      <c r="A118" s="54">
        <v>100.0</v>
      </c>
      <c r="B118" s="56" t="s">
        <v>334</v>
      </c>
      <c r="C118" s="56" t="s">
        <v>315</v>
      </c>
      <c r="D118" s="56" t="s">
        <v>335</v>
      </c>
      <c r="E118" s="56" t="s">
        <v>336</v>
      </c>
      <c r="F118" s="56" t="s">
        <v>313</v>
      </c>
      <c r="G118" s="57" t="s">
        <v>192</v>
      </c>
      <c r="H118" s="68">
        <f t="shared" si="3"/>
        <v>0</v>
      </c>
      <c r="I118" s="95"/>
      <c r="J118" s="62"/>
      <c r="K118" s="96"/>
      <c r="L118" s="53" t="s">
        <v>115</v>
      </c>
      <c r="M118" s="50"/>
      <c r="N118" s="50"/>
      <c r="O118" s="84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98"/>
      <c r="AB118" s="98"/>
      <c r="AC118" s="30">
        <v>3.0</v>
      </c>
      <c r="AD118" s="30">
        <f t="shared" si="4"/>
        <v>0</v>
      </c>
      <c r="AE118" s="70">
        <f t="shared" si="5"/>
        <v>0</v>
      </c>
      <c r="AF118" s="70">
        <v>1.0</v>
      </c>
    </row>
    <row r="119" ht="15.75" hidden="1" customHeight="1">
      <c r="A119" s="54">
        <v>101.0</v>
      </c>
      <c r="B119" s="56" t="s">
        <v>456</v>
      </c>
      <c r="C119" s="56" t="s">
        <v>315</v>
      </c>
      <c r="D119" s="56" t="s">
        <v>340</v>
      </c>
      <c r="E119" s="56" t="s">
        <v>457</v>
      </c>
      <c r="F119" s="56" t="s">
        <v>15</v>
      </c>
      <c r="G119" s="57" t="s">
        <v>15</v>
      </c>
      <c r="H119" s="68">
        <f t="shared" si="3"/>
        <v>0</v>
      </c>
      <c r="I119" s="62"/>
      <c r="J119" s="62"/>
      <c r="K119" s="71"/>
      <c r="L119" s="57" t="s">
        <v>115</v>
      </c>
      <c r="M119" s="61"/>
      <c r="N119" s="61"/>
      <c r="O119" s="62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30">
        <v>12.0</v>
      </c>
      <c r="AD119" s="30">
        <f t="shared" si="4"/>
        <v>0</v>
      </c>
      <c r="AE119" s="70">
        <f t="shared" si="5"/>
        <v>0</v>
      </c>
      <c r="AF119" s="70">
        <v>1.0</v>
      </c>
    </row>
    <row r="120" ht="15.75" hidden="1" customHeight="1">
      <c r="A120" s="54">
        <v>101.0</v>
      </c>
      <c r="B120" s="56" t="s">
        <v>339</v>
      </c>
      <c r="C120" s="56" t="s">
        <v>315</v>
      </c>
      <c r="D120" s="56" t="s">
        <v>340</v>
      </c>
      <c r="E120" s="56" t="s">
        <v>341</v>
      </c>
      <c r="F120" s="56" t="s">
        <v>327</v>
      </c>
      <c r="G120" s="57" t="s">
        <v>154</v>
      </c>
      <c r="H120" s="68">
        <f t="shared" si="3"/>
        <v>0</v>
      </c>
      <c r="I120" s="62"/>
      <c r="J120" s="62"/>
      <c r="K120" s="71"/>
      <c r="L120" s="57" t="s">
        <v>115</v>
      </c>
      <c r="M120" s="61"/>
      <c r="N120" s="61"/>
      <c r="O120" s="62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30">
        <v>2.0</v>
      </c>
      <c r="AD120" s="30">
        <f t="shared" si="4"/>
        <v>0</v>
      </c>
      <c r="AE120" s="70">
        <f t="shared" si="5"/>
        <v>0</v>
      </c>
      <c r="AF120" s="70">
        <v>1.0</v>
      </c>
    </row>
    <row r="121" ht="15.75" hidden="1" customHeight="1">
      <c r="A121" s="54">
        <v>101.0</v>
      </c>
      <c r="B121" s="56" t="s">
        <v>342</v>
      </c>
      <c r="C121" s="56" t="s">
        <v>315</v>
      </c>
      <c r="D121" s="56" t="s">
        <v>340</v>
      </c>
      <c r="E121" s="56" t="s">
        <v>333</v>
      </c>
      <c r="F121" s="56" t="s">
        <v>249</v>
      </c>
      <c r="G121" s="57" t="s">
        <v>250</v>
      </c>
      <c r="H121" s="68">
        <f t="shared" si="3"/>
        <v>0</v>
      </c>
      <c r="I121" s="62"/>
      <c r="J121" s="62" t="s">
        <v>542</v>
      </c>
      <c r="K121" s="71"/>
      <c r="L121" s="57" t="s">
        <v>115</v>
      </c>
      <c r="M121" s="61"/>
      <c r="N121" s="61" t="s">
        <v>346</v>
      </c>
      <c r="O121" s="62" t="s">
        <v>347</v>
      </c>
      <c r="P121" s="53"/>
      <c r="Q121" s="53"/>
      <c r="R121" s="53"/>
      <c r="S121" s="53"/>
      <c r="T121" s="53"/>
      <c r="U121" s="53"/>
      <c r="V121" s="87"/>
      <c r="W121" s="53"/>
      <c r="X121" s="53"/>
      <c r="Y121" s="53"/>
      <c r="Z121" s="53"/>
      <c r="AA121" s="87"/>
      <c r="AB121" s="53"/>
      <c r="AC121" s="30">
        <v>2.0</v>
      </c>
      <c r="AD121" s="30">
        <f t="shared" si="4"/>
        <v>0</v>
      </c>
      <c r="AE121" s="70">
        <f t="shared" si="5"/>
        <v>0</v>
      </c>
      <c r="AF121" s="70">
        <v>1.0</v>
      </c>
    </row>
    <row r="122" ht="15.75" hidden="1" customHeight="1">
      <c r="A122" s="54">
        <v>101.0</v>
      </c>
      <c r="B122" s="56" t="s">
        <v>343</v>
      </c>
      <c r="C122" s="56" t="s">
        <v>315</v>
      </c>
      <c r="D122" s="56" t="s">
        <v>340</v>
      </c>
      <c r="E122" s="56" t="s">
        <v>333</v>
      </c>
      <c r="F122" s="56" t="s">
        <v>249</v>
      </c>
      <c r="G122" s="57" t="s">
        <v>250</v>
      </c>
      <c r="H122" s="68">
        <f t="shared" si="3"/>
        <v>0</v>
      </c>
      <c r="I122" s="62"/>
      <c r="J122" s="62"/>
      <c r="K122" s="71"/>
      <c r="L122" s="57" t="s">
        <v>115</v>
      </c>
      <c r="M122" s="61"/>
      <c r="N122" s="61" t="s">
        <v>346</v>
      </c>
      <c r="O122" s="62" t="s">
        <v>347</v>
      </c>
      <c r="P122" s="53"/>
      <c r="Q122" s="53"/>
      <c r="R122" s="53"/>
      <c r="S122" s="53"/>
      <c r="T122" s="53"/>
      <c r="U122" s="53"/>
      <c r="V122" s="87"/>
      <c r="W122" s="53"/>
      <c r="X122" s="53"/>
      <c r="Y122" s="53"/>
      <c r="Z122" s="53"/>
      <c r="AA122" s="87"/>
      <c r="AB122" s="53"/>
      <c r="AC122" s="30">
        <v>2.0</v>
      </c>
      <c r="AD122" s="30">
        <f t="shared" si="4"/>
        <v>0</v>
      </c>
      <c r="AE122" s="70">
        <f t="shared" si="5"/>
        <v>0</v>
      </c>
      <c r="AF122" s="70">
        <v>1.0</v>
      </c>
    </row>
    <row r="123" ht="15.75" hidden="1" customHeight="1">
      <c r="A123" s="54">
        <v>101.0</v>
      </c>
      <c r="B123" s="56" t="s">
        <v>344</v>
      </c>
      <c r="C123" s="56" t="s">
        <v>315</v>
      </c>
      <c r="D123" s="56" t="s">
        <v>340</v>
      </c>
      <c r="E123" s="56" t="s">
        <v>345</v>
      </c>
      <c r="F123" s="56" t="s">
        <v>327</v>
      </c>
      <c r="G123" s="57" t="s">
        <v>154</v>
      </c>
      <c r="H123" s="68">
        <f t="shared" si="3"/>
        <v>0</v>
      </c>
      <c r="I123" s="62"/>
      <c r="J123" s="62"/>
      <c r="K123" s="71"/>
      <c r="L123" s="57" t="s">
        <v>115</v>
      </c>
      <c r="M123" s="61"/>
      <c r="N123" s="61"/>
      <c r="O123" s="62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30">
        <v>2.0</v>
      </c>
      <c r="AD123" s="30">
        <f t="shared" si="4"/>
        <v>0</v>
      </c>
      <c r="AE123" s="70">
        <f t="shared" si="5"/>
        <v>0</v>
      </c>
      <c r="AF123" s="70">
        <v>1.0</v>
      </c>
    </row>
    <row r="124" ht="15.75" hidden="1" customHeight="1">
      <c r="A124" s="54">
        <v>101.0</v>
      </c>
      <c r="B124" s="56" t="s">
        <v>458</v>
      </c>
      <c r="C124" s="56" t="s">
        <v>315</v>
      </c>
      <c r="D124" s="56" t="s">
        <v>351</v>
      </c>
      <c r="E124" s="56" t="s">
        <v>459</v>
      </c>
      <c r="F124" s="56" t="s">
        <v>15</v>
      </c>
      <c r="G124" s="57" t="s">
        <v>15</v>
      </c>
      <c r="H124" s="68">
        <f t="shared" si="3"/>
        <v>0</v>
      </c>
      <c r="I124" s="62"/>
      <c r="J124" s="62"/>
      <c r="K124" s="71"/>
      <c r="L124" s="57" t="s">
        <v>115</v>
      </c>
      <c r="M124" s="61"/>
      <c r="N124" s="61"/>
      <c r="O124" s="62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30">
        <v>12.0</v>
      </c>
      <c r="AD124" s="30">
        <f t="shared" si="4"/>
        <v>0</v>
      </c>
      <c r="AE124" s="70">
        <f t="shared" si="5"/>
        <v>0</v>
      </c>
      <c r="AF124" s="70">
        <v>1.0</v>
      </c>
    </row>
    <row r="125" ht="15.75" hidden="1" customHeight="1">
      <c r="A125" s="54">
        <v>101.0</v>
      </c>
      <c r="B125" s="56" t="s">
        <v>350</v>
      </c>
      <c r="C125" s="56" t="s">
        <v>315</v>
      </c>
      <c r="D125" s="56" t="s">
        <v>351</v>
      </c>
      <c r="E125" s="56" t="s">
        <v>352</v>
      </c>
      <c r="F125" s="56" t="s">
        <v>246</v>
      </c>
      <c r="G125" s="57" t="s">
        <v>154</v>
      </c>
      <c r="H125" s="68">
        <f t="shared" si="3"/>
        <v>0</v>
      </c>
      <c r="I125" s="62"/>
      <c r="J125" s="62"/>
      <c r="K125" s="71"/>
      <c r="L125" s="57" t="s">
        <v>115</v>
      </c>
      <c r="M125" s="61"/>
      <c r="N125" s="61"/>
      <c r="O125" s="62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30">
        <v>2.0</v>
      </c>
      <c r="AD125" s="30">
        <f t="shared" si="4"/>
        <v>0</v>
      </c>
      <c r="AE125" s="70">
        <f t="shared" si="5"/>
        <v>0</v>
      </c>
      <c r="AF125" s="70">
        <v>1.0</v>
      </c>
    </row>
    <row r="126" ht="15.75" hidden="1" customHeight="1">
      <c r="A126" s="54">
        <v>102.0</v>
      </c>
      <c r="B126" s="56" t="s">
        <v>353</v>
      </c>
      <c r="C126" s="56" t="s">
        <v>315</v>
      </c>
      <c r="D126" s="56" t="s">
        <v>354</v>
      </c>
      <c r="E126" s="56" t="s">
        <v>355</v>
      </c>
      <c r="F126" s="56" t="s">
        <v>249</v>
      </c>
      <c r="G126" s="57" t="s">
        <v>250</v>
      </c>
      <c r="H126" s="68">
        <f t="shared" si="3"/>
        <v>0</v>
      </c>
      <c r="I126" s="62"/>
      <c r="J126" s="62" t="s">
        <v>557</v>
      </c>
      <c r="K126" s="71"/>
      <c r="L126" s="57" t="s">
        <v>115</v>
      </c>
      <c r="M126" s="61"/>
      <c r="N126" s="61" t="s">
        <v>346</v>
      </c>
      <c r="O126" s="62" t="s">
        <v>363</v>
      </c>
      <c r="P126" s="53"/>
      <c r="Q126" s="53"/>
      <c r="R126" s="53"/>
      <c r="S126" s="53"/>
      <c r="T126" s="53"/>
      <c r="U126" s="53"/>
      <c r="V126" s="87"/>
      <c r="W126" s="53"/>
      <c r="X126" s="53"/>
      <c r="Y126" s="53"/>
      <c r="Z126" s="53"/>
      <c r="AA126" s="87"/>
      <c r="AB126" s="53"/>
      <c r="AC126" s="30">
        <v>2.0</v>
      </c>
      <c r="AD126" s="30">
        <f t="shared" si="4"/>
        <v>0</v>
      </c>
      <c r="AE126" s="70">
        <f t="shared" si="5"/>
        <v>0</v>
      </c>
      <c r="AF126" s="70">
        <v>1.0</v>
      </c>
    </row>
    <row r="127" ht="15.75" hidden="1" customHeight="1">
      <c r="A127" s="54">
        <v>102.0</v>
      </c>
      <c r="B127" s="56" t="s">
        <v>353</v>
      </c>
      <c r="C127" s="56" t="s">
        <v>315</v>
      </c>
      <c r="D127" s="56" t="s">
        <v>354</v>
      </c>
      <c r="E127" s="56" t="s">
        <v>461</v>
      </c>
      <c r="F127" s="56" t="s">
        <v>15</v>
      </c>
      <c r="G127" s="57" t="s">
        <v>15</v>
      </c>
      <c r="H127" s="68">
        <f t="shared" si="3"/>
        <v>0</v>
      </c>
      <c r="I127" s="62"/>
      <c r="J127" s="62"/>
      <c r="K127" s="71"/>
      <c r="L127" s="57" t="s">
        <v>115</v>
      </c>
      <c r="M127" s="61"/>
      <c r="N127" s="61"/>
      <c r="O127" s="62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30">
        <v>12.0</v>
      </c>
      <c r="AD127" s="30">
        <f t="shared" si="4"/>
        <v>0</v>
      </c>
      <c r="AE127" s="70">
        <f t="shared" si="5"/>
        <v>0</v>
      </c>
      <c r="AF127" s="70">
        <v>1.0</v>
      </c>
    </row>
    <row r="128" ht="15.75" hidden="1" customHeight="1">
      <c r="A128" s="54">
        <v>110.0</v>
      </c>
      <c r="B128" s="56" t="s">
        <v>356</v>
      </c>
      <c r="C128" s="56" t="s">
        <v>259</v>
      </c>
      <c r="D128" s="56" t="s">
        <v>357</v>
      </c>
      <c r="E128" s="56" t="s">
        <v>358</v>
      </c>
      <c r="F128" s="56" t="s">
        <v>193</v>
      </c>
      <c r="G128" s="57" t="s">
        <v>34</v>
      </c>
      <c r="H128" s="68">
        <f t="shared" si="3"/>
        <v>0</v>
      </c>
      <c r="I128" s="62"/>
      <c r="J128" s="62"/>
      <c r="K128" s="71"/>
      <c r="L128" s="57" t="s">
        <v>115</v>
      </c>
      <c r="M128" s="61"/>
      <c r="N128" s="61"/>
      <c r="O128" s="62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75"/>
      <c r="AC128" s="30">
        <v>1.0</v>
      </c>
      <c r="AD128" s="30">
        <f t="shared" si="4"/>
        <v>0</v>
      </c>
      <c r="AE128" s="70">
        <f t="shared" si="5"/>
        <v>0</v>
      </c>
      <c r="AF128" s="70">
        <v>1.0</v>
      </c>
    </row>
    <row r="129" ht="15.75" hidden="1" customHeight="1">
      <c r="A129" s="54">
        <v>110.0</v>
      </c>
      <c r="B129" s="56" t="s">
        <v>359</v>
      </c>
      <c r="C129" s="56" t="s">
        <v>259</v>
      </c>
      <c r="D129" s="56" t="s">
        <v>360</v>
      </c>
      <c r="E129" s="56" t="s">
        <v>358</v>
      </c>
      <c r="F129" s="56" t="s">
        <v>193</v>
      </c>
      <c r="G129" s="57" t="s">
        <v>34</v>
      </c>
      <c r="H129" s="68">
        <f t="shared" si="3"/>
        <v>0</v>
      </c>
      <c r="I129" s="62"/>
      <c r="J129" s="62"/>
      <c r="K129" s="71"/>
      <c r="L129" s="57" t="s">
        <v>115</v>
      </c>
      <c r="M129" s="61"/>
      <c r="N129" s="61"/>
      <c r="O129" s="62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75"/>
      <c r="AC129" s="30">
        <v>1.0</v>
      </c>
      <c r="AD129" s="30">
        <f t="shared" si="4"/>
        <v>0</v>
      </c>
      <c r="AE129" s="70">
        <f t="shared" si="5"/>
        <v>0</v>
      </c>
      <c r="AF129" s="70">
        <v>1.0</v>
      </c>
    </row>
    <row r="130" ht="15.75" hidden="1" customHeight="1">
      <c r="A130" s="54">
        <v>110.0</v>
      </c>
      <c r="B130" s="56" t="s">
        <v>258</v>
      </c>
      <c r="C130" s="56" t="s">
        <v>259</v>
      </c>
      <c r="D130" s="56" t="s">
        <v>85</v>
      </c>
      <c r="E130" s="56" t="s">
        <v>86</v>
      </c>
      <c r="F130" s="56" t="s">
        <v>173</v>
      </c>
      <c r="G130" s="57" t="s">
        <v>87</v>
      </c>
      <c r="H130" s="68">
        <f t="shared" si="3"/>
        <v>0</v>
      </c>
      <c r="I130" s="62"/>
      <c r="J130" s="62" t="s">
        <v>88</v>
      </c>
      <c r="K130" s="71"/>
      <c r="L130" s="57" t="s">
        <v>130</v>
      </c>
      <c r="M130" s="61"/>
      <c r="N130" s="61"/>
      <c r="O130" s="62" t="s">
        <v>88</v>
      </c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30">
        <v>12.0</v>
      </c>
      <c r="AD130" s="30">
        <f t="shared" si="4"/>
        <v>0</v>
      </c>
      <c r="AE130" s="70">
        <f t="shared" si="5"/>
        <v>0</v>
      </c>
      <c r="AF130" s="70">
        <v>1.0</v>
      </c>
    </row>
    <row r="131" ht="15.75" hidden="1" customHeight="1">
      <c r="A131" s="54">
        <v>110.0</v>
      </c>
      <c r="B131" s="56" t="s">
        <v>260</v>
      </c>
      <c r="C131" s="56" t="s">
        <v>259</v>
      </c>
      <c r="D131" s="56" t="s">
        <v>261</v>
      </c>
      <c r="E131" s="56" t="s">
        <v>86</v>
      </c>
      <c r="F131" s="56" t="s">
        <v>173</v>
      </c>
      <c r="G131" s="57" t="s">
        <v>87</v>
      </c>
      <c r="H131" s="68">
        <f t="shared" si="3"/>
        <v>0</v>
      </c>
      <c r="I131" s="62"/>
      <c r="J131" s="62" t="s">
        <v>88</v>
      </c>
      <c r="K131" s="71"/>
      <c r="L131" s="57" t="s">
        <v>130</v>
      </c>
      <c r="M131" s="61"/>
      <c r="N131" s="61"/>
      <c r="O131" s="62" t="s">
        <v>88</v>
      </c>
      <c r="P131" s="53"/>
      <c r="Q131" s="99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30">
        <v>12.0</v>
      </c>
      <c r="AD131" s="30">
        <f t="shared" si="4"/>
        <v>0</v>
      </c>
      <c r="AE131" s="70">
        <f t="shared" si="5"/>
        <v>0</v>
      </c>
      <c r="AF131" s="70">
        <v>1.0</v>
      </c>
    </row>
    <row r="132" ht="15.75" hidden="1" customHeight="1">
      <c r="A132" s="54">
        <v>110.0</v>
      </c>
      <c r="B132" s="56" t="s">
        <v>361</v>
      </c>
      <c r="C132" s="56" t="s">
        <v>259</v>
      </c>
      <c r="D132" s="56" t="s">
        <v>362</v>
      </c>
      <c r="E132" s="56" t="s">
        <v>358</v>
      </c>
      <c r="F132" s="56" t="s">
        <v>193</v>
      </c>
      <c r="G132" s="57" t="s">
        <v>34</v>
      </c>
      <c r="H132" s="68">
        <f t="shared" si="3"/>
        <v>0</v>
      </c>
      <c r="I132" s="62"/>
      <c r="J132" s="62"/>
      <c r="K132" s="71"/>
      <c r="L132" s="57" t="s">
        <v>115</v>
      </c>
      <c r="M132" s="61"/>
      <c r="N132" s="61"/>
      <c r="O132" s="62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75"/>
      <c r="AC132" s="30">
        <v>1.0</v>
      </c>
      <c r="AD132" s="30">
        <f t="shared" si="4"/>
        <v>0</v>
      </c>
      <c r="AE132" s="70">
        <f t="shared" si="5"/>
        <v>0</v>
      </c>
      <c r="AF132" s="70">
        <v>1.0</v>
      </c>
    </row>
    <row r="133" ht="15.75" hidden="1" customHeight="1">
      <c r="A133" s="54">
        <v>110.0</v>
      </c>
      <c r="B133" s="56" t="s">
        <v>364</v>
      </c>
      <c r="C133" s="56" t="s">
        <v>259</v>
      </c>
      <c r="D133" s="56" t="s">
        <v>365</v>
      </c>
      <c r="E133" s="56" t="s">
        <v>358</v>
      </c>
      <c r="F133" s="56" t="s">
        <v>193</v>
      </c>
      <c r="G133" s="57" t="s">
        <v>34</v>
      </c>
      <c r="H133" s="68">
        <f t="shared" si="3"/>
        <v>0</v>
      </c>
      <c r="I133" s="62"/>
      <c r="J133" s="62"/>
      <c r="K133" s="71"/>
      <c r="L133" s="57" t="s">
        <v>115</v>
      </c>
      <c r="M133" s="61"/>
      <c r="N133" s="61"/>
      <c r="O133" s="62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75"/>
      <c r="AC133" s="30">
        <v>1.0</v>
      </c>
      <c r="AD133" s="30">
        <f t="shared" si="4"/>
        <v>0</v>
      </c>
      <c r="AE133" s="70">
        <f t="shared" si="5"/>
        <v>0</v>
      </c>
      <c r="AF133" s="70">
        <v>1.0</v>
      </c>
    </row>
    <row r="134" ht="15.75" hidden="1" customHeight="1">
      <c r="A134" s="54">
        <v>110.0</v>
      </c>
      <c r="B134" s="56" t="s">
        <v>366</v>
      </c>
      <c r="C134" s="56" t="s">
        <v>259</v>
      </c>
      <c r="D134" s="56" t="s">
        <v>367</v>
      </c>
      <c r="E134" s="56" t="s">
        <v>358</v>
      </c>
      <c r="F134" s="56" t="s">
        <v>193</v>
      </c>
      <c r="G134" s="57" t="s">
        <v>34</v>
      </c>
      <c r="H134" s="68">
        <f t="shared" si="3"/>
        <v>0</v>
      </c>
      <c r="I134" s="62"/>
      <c r="J134" s="62"/>
      <c r="K134" s="71"/>
      <c r="L134" s="57" t="s">
        <v>115</v>
      </c>
      <c r="M134" s="61"/>
      <c r="N134" s="61"/>
      <c r="O134" s="62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75"/>
      <c r="AC134" s="30">
        <v>1.0</v>
      </c>
      <c r="AD134" s="30">
        <f t="shared" si="4"/>
        <v>0</v>
      </c>
      <c r="AE134" s="70">
        <f t="shared" si="5"/>
        <v>0</v>
      </c>
      <c r="AF134" s="70">
        <v>1.0</v>
      </c>
    </row>
    <row r="135" ht="15.75" hidden="1" customHeight="1">
      <c r="A135" s="54">
        <v>110.0</v>
      </c>
      <c r="B135" s="56" t="s">
        <v>368</v>
      </c>
      <c r="C135" s="56" t="s">
        <v>259</v>
      </c>
      <c r="D135" s="56" t="s">
        <v>369</v>
      </c>
      <c r="E135" s="56" t="s">
        <v>358</v>
      </c>
      <c r="F135" s="56" t="s">
        <v>193</v>
      </c>
      <c r="G135" s="57" t="s">
        <v>34</v>
      </c>
      <c r="H135" s="68">
        <f t="shared" si="3"/>
        <v>0</v>
      </c>
      <c r="I135" s="62"/>
      <c r="J135" s="62"/>
      <c r="K135" s="71"/>
      <c r="L135" s="57" t="s">
        <v>115</v>
      </c>
      <c r="M135" s="61"/>
      <c r="N135" s="61"/>
      <c r="O135" s="62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75"/>
      <c r="AC135" s="30">
        <v>1.0</v>
      </c>
      <c r="AD135" s="30">
        <f t="shared" si="4"/>
        <v>0</v>
      </c>
      <c r="AE135" s="70">
        <f t="shared" si="5"/>
        <v>0</v>
      </c>
      <c r="AF135" s="70">
        <v>1.0</v>
      </c>
    </row>
    <row r="136" ht="15.75" hidden="1" customHeight="1">
      <c r="A136" s="54">
        <v>110.0</v>
      </c>
      <c r="B136" s="56" t="s">
        <v>370</v>
      </c>
      <c r="C136" s="56" t="s">
        <v>259</v>
      </c>
      <c r="D136" s="56" t="s">
        <v>371</v>
      </c>
      <c r="E136" s="56" t="s">
        <v>336</v>
      </c>
      <c r="F136" s="56" t="s">
        <v>313</v>
      </c>
      <c r="G136" s="57" t="s">
        <v>192</v>
      </c>
      <c r="H136" s="68">
        <f t="shared" si="3"/>
        <v>0</v>
      </c>
      <c r="I136" s="62"/>
      <c r="J136" s="62"/>
      <c r="K136" s="71"/>
      <c r="L136" s="57" t="s">
        <v>115</v>
      </c>
      <c r="M136" s="61"/>
      <c r="N136" s="61"/>
      <c r="O136" s="62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30">
        <v>3.0</v>
      </c>
      <c r="AD136" s="30">
        <f t="shared" si="4"/>
        <v>0</v>
      </c>
      <c r="AE136" s="70">
        <f t="shared" si="5"/>
        <v>0</v>
      </c>
      <c r="AF136" s="70">
        <v>1.0</v>
      </c>
    </row>
    <row r="137" ht="15.75" hidden="1" customHeight="1">
      <c r="A137" s="54">
        <v>110.0</v>
      </c>
      <c r="B137" s="56" t="s">
        <v>370</v>
      </c>
      <c r="C137" s="56" t="s">
        <v>259</v>
      </c>
      <c r="D137" s="56" t="s">
        <v>371</v>
      </c>
      <c r="E137" s="56" t="s">
        <v>372</v>
      </c>
      <c r="F137" s="56" t="s">
        <v>193</v>
      </c>
      <c r="G137" s="57" t="s">
        <v>34</v>
      </c>
      <c r="H137" s="68">
        <f t="shared" si="3"/>
        <v>0</v>
      </c>
      <c r="I137" s="62"/>
      <c r="J137" s="62"/>
      <c r="K137" s="71"/>
      <c r="L137" s="57" t="s">
        <v>115</v>
      </c>
      <c r="M137" s="61"/>
      <c r="N137" s="61"/>
      <c r="O137" s="62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30">
        <v>1.0</v>
      </c>
      <c r="AD137" s="30">
        <f t="shared" si="4"/>
        <v>0</v>
      </c>
      <c r="AE137" s="70">
        <f t="shared" si="5"/>
        <v>0</v>
      </c>
      <c r="AF137" s="70">
        <v>1.0</v>
      </c>
    </row>
    <row r="138" ht="15.75" hidden="1" customHeight="1">
      <c r="A138" s="54">
        <v>110.0</v>
      </c>
      <c r="B138" s="56" t="s">
        <v>370</v>
      </c>
      <c r="C138" s="56" t="s">
        <v>259</v>
      </c>
      <c r="D138" s="56" t="s">
        <v>371</v>
      </c>
      <c r="E138" s="56" t="s">
        <v>158</v>
      </c>
      <c r="F138" s="56" t="s">
        <v>193</v>
      </c>
      <c r="G138" s="57" t="s">
        <v>34</v>
      </c>
      <c r="H138" s="68">
        <f t="shared" si="3"/>
        <v>0</v>
      </c>
      <c r="I138" s="62"/>
      <c r="J138" s="62"/>
      <c r="K138" s="71"/>
      <c r="L138" s="57" t="s">
        <v>115</v>
      </c>
      <c r="M138" s="61"/>
      <c r="N138" s="61"/>
      <c r="O138" s="62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30">
        <v>1.0</v>
      </c>
      <c r="AD138" s="30">
        <f t="shared" si="4"/>
        <v>0</v>
      </c>
      <c r="AE138" s="70">
        <f t="shared" si="5"/>
        <v>0</v>
      </c>
      <c r="AF138" s="70">
        <v>1.0</v>
      </c>
    </row>
    <row r="139" ht="15.75" hidden="1" customHeight="1">
      <c r="A139" s="54">
        <v>110.0</v>
      </c>
      <c r="B139" s="56" t="s">
        <v>373</v>
      </c>
      <c r="C139" s="56" t="s">
        <v>259</v>
      </c>
      <c r="D139" s="56" t="s">
        <v>374</v>
      </c>
      <c r="E139" s="56" t="s">
        <v>336</v>
      </c>
      <c r="F139" s="56" t="s">
        <v>313</v>
      </c>
      <c r="G139" s="57" t="s">
        <v>192</v>
      </c>
      <c r="H139" s="68">
        <f t="shared" si="3"/>
        <v>0</v>
      </c>
      <c r="I139" s="62"/>
      <c r="J139" s="62"/>
      <c r="K139" s="71"/>
      <c r="L139" s="57" t="s">
        <v>115</v>
      </c>
      <c r="M139" s="61"/>
      <c r="N139" s="61"/>
      <c r="O139" s="62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30">
        <v>3.0</v>
      </c>
      <c r="AD139" s="30">
        <f t="shared" si="4"/>
        <v>0</v>
      </c>
      <c r="AE139" s="70">
        <f t="shared" si="5"/>
        <v>0</v>
      </c>
      <c r="AF139" s="70">
        <v>1.0</v>
      </c>
    </row>
    <row r="140" ht="15.75" hidden="1" customHeight="1">
      <c r="A140" s="54">
        <v>110.0</v>
      </c>
      <c r="B140" s="56" t="s">
        <v>375</v>
      </c>
      <c r="C140" s="56" t="s">
        <v>259</v>
      </c>
      <c r="D140" s="56" t="s">
        <v>376</v>
      </c>
      <c r="E140" s="56" t="s">
        <v>336</v>
      </c>
      <c r="F140" s="56" t="s">
        <v>313</v>
      </c>
      <c r="G140" s="57" t="s">
        <v>192</v>
      </c>
      <c r="H140" s="68">
        <f t="shared" si="3"/>
        <v>0</v>
      </c>
      <c r="I140" s="62"/>
      <c r="J140" s="62"/>
      <c r="K140" s="71"/>
      <c r="L140" s="57" t="s">
        <v>115</v>
      </c>
      <c r="M140" s="61"/>
      <c r="N140" s="61"/>
      <c r="O140" s="62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30">
        <v>3.0</v>
      </c>
      <c r="AD140" s="30">
        <f t="shared" si="4"/>
        <v>0</v>
      </c>
      <c r="AE140" s="70">
        <f t="shared" si="5"/>
        <v>0</v>
      </c>
      <c r="AF140" s="70">
        <v>1.0</v>
      </c>
    </row>
    <row r="141" ht="15.75" hidden="1" customHeight="1">
      <c r="A141" s="54">
        <v>110.0</v>
      </c>
      <c r="B141" s="56" t="s">
        <v>375</v>
      </c>
      <c r="C141" s="56" t="s">
        <v>259</v>
      </c>
      <c r="D141" s="56" t="s">
        <v>376</v>
      </c>
      <c r="E141" s="56" t="s">
        <v>372</v>
      </c>
      <c r="F141" s="56" t="s">
        <v>193</v>
      </c>
      <c r="G141" s="57" t="s">
        <v>34</v>
      </c>
      <c r="H141" s="68">
        <f t="shared" si="3"/>
        <v>0</v>
      </c>
      <c r="I141" s="62"/>
      <c r="J141" s="62"/>
      <c r="K141" s="71"/>
      <c r="L141" s="57" t="s">
        <v>115</v>
      </c>
      <c r="M141" s="61"/>
      <c r="N141" s="61"/>
      <c r="O141" s="62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30">
        <v>1.0</v>
      </c>
      <c r="AD141" s="30">
        <f t="shared" si="4"/>
        <v>0</v>
      </c>
      <c r="AE141" s="70">
        <f t="shared" si="5"/>
        <v>0</v>
      </c>
      <c r="AF141" s="70">
        <v>1.0</v>
      </c>
    </row>
    <row r="142" ht="15.75" hidden="1" customHeight="1">
      <c r="A142" s="54">
        <v>110.0</v>
      </c>
      <c r="B142" s="56" t="s">
        <v>375</v>
      </c>
      <c r="C142" s="56" t="s">
        <v>259</v>
      </c>
      <c r="D142" s="56" t="s">
        <v>376</v>
      </c>
      <c r="E142" s="56" t="s">
        <v>158</v>
      </c>
      <c r="F142" s="56" t="s">
        <v>193</v>
      </c>
      <c r="G142" s="57" t="s">
        <v>34</v>
      </c>
      <c r="H142" s="68">
        <f t="shared" si="3"/>
        <v>0</v>
      </c>
      <c r="I142" s="62"/>
      <c r="J142" s="62"/>
      <c r="K142" s="71"/>
      <c r="L142" s="57" t="s">
        <v>115</v>
      </c>
      <c r="M142" s="61"/>
      <c r="N142" s="61"/>
      <c r="O142" s="62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30">
        <v>1.0</v>
      </c>
      <c r="AD142" s="30">
        <f t="shared" si="4"/>
        <v>0</v>
      </c>
      <c r="AE142" s="70">
        <f t="shared" si="5"/>
        <v>0</v>
      </c>
      <c r="AF142" s="70">
        <v>1.0</v>
      </c>
    </row>
    <row r="143" ht="15.75" hidden="1" customHeight="1">
      <c r="A143" s="54">
        <v>110.0</v>
      </c>
      <c r="B143" s="56" t="s">
        <v>377</v>
      </c>
      <c r="C143" s="56" t="s">
        <v>259</v>
      </c>
      <c r="D143" s="56" t="s">
        <v>378</v>
      </c>
      <c r="E143" s="56" t="s">
        <v>336</v>
      </c>
      <c r="F143" s="56" t="s">
        <v>313</v>
      </c>
      <c r="G143" s="57" t="s">
        <v>192</v>
      </c>
      <c r="H143" s="68">
        <f t="shared" si="3"/>
        <v>0</v>
      </c>
      <c r="I143" s="62"/>
      <c r="J143" s="62"/>
      <c r="K143" s="71"/>
      <c r="L143" s="57" t="s">
        <v>115</v>
      </c>
      <c r="M143" s="61"/>
      <c r="N143" s="61"/>
      <c r="O143" s="62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30">
        <v>3.0</v>
      </c>
      <c r="AD143" s="30">
        <f t="shared" si="4"/>
        <v>0</v>
      </c>
      <c r="AE143" s="70">
        <f t="shared" si="5"/>
        <v>0</v>
      </c>
      <c r="AF143" s="70">
        <v>1.0</v>
      </c>
    </row>
    <row r="144" ht="15.75" hidden="1" customHeight="1">
      <c r="A144" s="54">
        <v>110.0</v>
      </c>
      <c r="B144" s="56" t="s">
        <v>380</v>
      </c>
      <c r="C144" s="56" t="s">
        <v>259</v>
      </c>
      <c r="D144" s="56" t="s">
        <v>381</v>
      </c>
      <c r="E144" s="56" t="s">
        <v>336</v>
      </c>
      <c r="F144" s="56" t="s">
        <v>313</v>
      </c>
      <c r="G144" s="57" t="s">
        <v>192</v>
      </c>
      <c r="H144" s="68">
        <f t="shared" si="3"/>
        <v>0</v>
      </c>
      <c r="I144" s="62"/>
      <c r="J144" s="62"/>
      <c r="K144" s="71"/>
      <c r="L144" s="57" t="s">
        <v>115</v>
      </c>
      <c r="M144" s="61"/>
      <c r="N144" s="61"/>
      <c r="O144" s="62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30">
        <v>3.0</v>
      </c>
      <c r="AD144" s="30">
        <f t="shared" si="4"/>
        <v>0</v>
      </c>
      <c r="AE144" s="70">
        <f t="shared" si="5"/>
        <v>0</v>
      </c>
      <c r="AF144" s="70">
        <v>1.0</v>
      </c>
    </row>
    <row r="145" ht="15.75" hidden="1" customHeight="1">
      <c r="A145" s="54">
        <v>110.0</v>
      </c>
      <c r="B145" s="56" t="s">
        <v>382</v>
      </c>
      <c r="C145" s="56" t="s">
        <v>259</v>
      </c>
      <c r="D145" s="56" t="s">
        <v>383</v>
      </c>
      <c r="E145" s="56" t="s">
        <v>336</v>
      </c>
      <c r="F145" s="56" t="s">
        <v>313</v>
      </c>
      <c r="G145" s="57" t="s">
        <v>192</v>
      </c>
      <c r="H145" s="68">
        <f t="shared" si="3"/>
        <v>0</v>
      </c>
      <c r="I145" s="62"/>
      <c r="J145" s="62"/>
      <c r="K145" s="71"/>
      <c r="L145" s="57" t="s">
        <v>115</v>
      </c>
      <c r="M145" s="61"/>
      <c r="N145" s="61"/>
      <c r="O145" s="62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30">
        <v>3.0</v>
      </c>
      <c r="AD145" s="30">
        <f t="shared" si="4"/>
        <v>0</v>
      </c>
      <c r="AE145" s="70">
        <f t="shared" si="5"/>
        <v>0</v>
      </c>
      <c r="AF145" s="70">
        <v>1.0</v>
      </c>
    </row>
    <row r="146" ht="15.75" hidden="1" customHeight="1">
      <c r="A146" s="54">
        <v>110.0</v>
      </c>
      <c r="B146" s="56" t="s">
        <v>385</v>
      </c>
      <c r="C146" s="56" t="s">
        <v>259</v>
      </c>
      <c r="D146" s="56" t="s">
        <v>386</v>
      </c>
      <c r="E146" s="56" t="s">
        <v>336</v>
      </c>
      <c r="F146" s="56" t="s">
        <v>313</v>
      </c>
      <c r="G146" s="57" t="s">
        <v>192</v>
      </c>
      <c r="H146" s="68">
        <f t="shared" si="3"/>
        <v>0</v>
      </c>
      <c r="I146" s="62"/>
      <c r="J146" s="62"/>
      <c r="K146" s="71"/>
      <c r="L146" s="57" t="s">
        <v>115</v>
      </c>
      <c r="M146" s="61"/>
      <c r="N146" s="61"/>
      <c r="O146" s="62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30">
        <v>3.0</v>
      </c>
      <c r="AD146" s="30">
        <f t="shared" si="4"/>
        <v>0</v>
      </c>
      <c r="AE146" s="70">
        <f t="shared" si="5"/>
        <v>0</v>
      </c>
      <c r="AF146" s="70">
        <v>1.0</v>
      </c>
    </row>
    <row r="147" ht="15.75" hidden="1" customHeight="1">
      <c r="A147" s="54">
        <v>110.0</v>
      </c>
      <c r="B147" s="56" t="s">
        <v>385</v>
      </c>
      <c r="C147" s="56" t="s">
        <v>259</v>
      </c>
      <c r="D147" s="56" t="s">
        <v>386</v>
      </c>
      <c r="E147" s="56" t="s">
        <v>372</v>
      </c>
      <c r="F147" s="56" t="s">
        <v>193</v>
      </c>
      <c r="G147" s="57" t="s">
        <v>34</v>
      </c>
      <c r="H147" s="68">
        <f t="shared" si="3"/>
        <v>0</v>
      </c>
      <c r="I147" s="62"/>
      <c r="J147" s="62"/>
      <c r="K147" s="71"/>
      <c r="L147" s="57" t="s">
        <v>115</v>
      </c>
      <c r="M147" s="61"/>
      <c r="N147" s="61"/>
      <c r="O147" s="62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30">
        <v>1.0</v>
      </c>
      <c r="AD147" s="30">
        <f t="shared" si="4"/>
        <v>0</v>
      </c>
      <c r="AE147" s="70">
        <f t="shared" si="5"/>
        <v>0</v>
      </c>
      <c r="AF147" s="70">
        <v>1.0</v>
      </c>
    </row>
    <row r="148" ht="15.75" hidden="1" customHeight="1">
      <c r="A148" s="54">
        <v>110.0</v>
      </c>
      <c r="B148" s="56" t="s">
        <v>385</v>
      </c>
      <c r="C148" s="56" t="s">
        <v>259</v>
      </c>
      <c r="D148" s="56" t="s">
        <v>386</v>
      </c>
      <c r="E148" s="56" t="s">
        <v>158</v>
      </c>
      <c r="F148" s="56" t="s">
        <v>193</v>
      </c>
      <c r="G148" s="57" t="s">
        <v>34</v>
      </c>
      <c r="H148" s="68">
        <f t="shared" si="3"/>
        <v>0</v>
      </c>
      <c r="I148" s="62"/>
      <c r="J148" s="62"/>
      <c r="K148" s="71"/>
      <c r="L148" s="57" t="s">
        <v>115</v>
      </c>
      <c r="M148" s="61"/>
      <c r="N148" s="61"/>
      <c r="O148" s="62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30">
        <v>1.0</v>
      </c>
      <c r="AD148" s="30">
        <f t="shared" si="4"/>
        <v>0</v>
      </c>
      <c r="AE148" s="70">
        <f t="shared" si="5"/>
        <v>0</v>
      </c>
      <c r="AF148" s="70">
        <v>1.0</v>
      </c>
    </row>
    <row r="149" ht="15.75" hidden="1" customHeight="1">
      <c r="A149" s="54">
        <v>110.0</v>
      </c>
      <c r="B149" s="56" t="s">
        <v>388</v>
      </c>
      <c r="C149" s="56" t="s">
        <v>259</v>
      </c>
      <c r="D149" s="56" t="s">
        <v>389</v>
      </c>
      <c r="E149" s="56" t="s">
        <v>336</v>
      </c>
      <c r="F149" s="56" t="s">
        <v>313</v>
      </c>
      <c r="G149" s="57" t="s">
        <v>192</v>
      </c>
      <c r="H149" s="68">
        <f t="shared" si="3"/>
        <v>0</v>
      </c>
      <c r="I149" s="62"/>
      <c r="J149" s="62"/>
      <c r="K149" s="71"/>
      <c r="L149" s="57" t="s">
        <v>115</v>
      </c>
      <c r="M149" s="61"/>
      <c r="N149" s="61"/>
      <c r="O149" s="62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30">
        <v>3.0</v>
      </c>
      <c r="AD149" s="30">
        <f t="shared" si="4"/>
        <v>0</v>
      </c>
      <c r="AE149" s="70">
        <f t="shared" si="5"/>
        <v>0</v>
      </c>
      <c r="AF149" s="70">
        <v>1.0</v>
      </c>
    </row>
    <row r="150" ht="15.75" hidden="1" customHeight="1">
      <c r="A150" s="54">
        <v>110.0</v>
      </c>
      <c r="B150" s="56" t="s">
        <v>388</v>
      </c>
      <c r="C150" s="56" t="s">
        <v>259</v>
      </c>
      <c r="D150" s="56" t="s">
        <v>389</v>
      </c>
      <c r="E150" s="56" t="s">
        <v>372</v>
      </c>
      <c r="F150" s="56" t="s">
        <v>193</v>
      </c>
      <c r="G150" s="57" t="s">
        <v>34</v>
      </c>
      <c r="H150" s="68">
        <f t="shared" si="3"/>
        <v>0</v>
      </c>
      <c r="I150" s="62"/>
      <c r="J150" s="62"/>
      <c r="K150" s="71"/>
      <c r="L150" s="57" t="s">
        <v>115</v>
      </c>
      <c r="M150" s="61"/>
      <c r="N150" s="61"/>
      <c r="O150" s="62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>
        <v>1.0</v>
      </c>
      <c r="AD150" s="30">
        <f t="shared" si="4"/>
        <v>0</v>
      </c>
      <c r="AE150" s="70">
        <f t="shared" si="5"/>
        <v>0</v>
      </c>
      <c r="AF150" s="70">
        <v>1.0</v>
      </c>
    </row>
    <row r="151" ht="15.75" hidden="1" customHeight="1">
      <c r="A151" s="54">
        <v>110.0</v>
      </c>
      <c r="B151" s="56" t="s">
        <v>388</v>
      </c>
      <c r="C151" s="56" t="s">
        <v>259</v>
      </c>
      <c r="D151" s="56" t="s">
        <v>389</v>
      </c>
      <c r="E151" s="56" t="s">
        <v>158</v>
      </c>
      <c r="F151" s="56" t="s">
        <v>193</v>
      </c>
      <c r="G151" s="57" t="s">
        <v>34</v>
      </c>
      <c r="H151" s="68">
        <f t="shared" si="3"/>
        <v>0</v>
      </c>
      <c r="I151" s="62"/>
      <c r="J151" s="62"/>
      <c r="K151" s="71"/>
      <c r="L151" s="57" t="s">
        <v>115</v>
      </c>
      <c r="M151" s="61"/>
      <c r="N151" s="61"/>
      <c r="O151" s="62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30">
        <v>1.0</v>
      </c>
      <c r="AD151" s="30">
        <f t="shared" si="4"/>
        <v>0</v>
      </c>
      <c r="AE151" s="70">
        <f t="shared" si="5"/>
        <v>0</v>
      </c>
      <c r="AF151" s="70">
        <v>1.0</v>
      </c>
    </row>
    <row r="152" ht="15.75" hidden="1" customHeight="1">
      <c r="A152" s="54">
        <v>110.0</v>
      </c>
      <c r="B152" s="56" t="s">
        <v>390</v>
      </c>
      <c r="C152" s="56" t="s">
        <v>259</v>
      </c>
      <c r="D152" s="56" t="s">
        <v>391</v>
      </c>
      <c r="E152" s="56" t="s">
        <v>372</v>
      </c>
      <c r="F152" s="56" t="s">
        <v>193</v>
      </c>
      <c r="G152" s="57" t="s">
        <v>34</v>
      </c>
      <c r="H152" s="68">
        <f t="shared" si="3"/>
        <v>0</v>
      </c>
      <c r="I152" s="62"/>
      <c r="J152" s="62"/>
      <c r="K152" s="71"/>
      <c r="L152" s="57" t="s">
        <v>115</v>
      </c>
      <c r="M152" s="61"/>
      <c r="N152" s="61"/>
      <c r="O152" s="62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30">
        <v>1.0</v>
      </c>
      <c r="AD152" s="30">
        <f t="shared" si="4"/>
        <v>0</v>
      </c>
      <c r="AE152" s="70">
        <f t="shared" si="5"/>
        <v>0</v>
      </c>
      <c r="AF152" s="70">
        <v>1.0</v>
      </c>
    </row>
    <row r="153" ht="15.75" hidden="1" customHeight="1">
      <c r="A153" s="54">
        <v>110.0</v>
      </c>
      <c r="B153" s="56" t="s">
        <v>390</v>
      </c>
      <c r="C153" s="56" t="s">
        <v>259</v>
      </c>
      <c r="D153" s="56" t="s">
        <v>391</v>
      </c>
      <c r="E153" s="56" t="s">
        <v>158</v>
      </c>
      <c r="F153" s="56" t="s">
        <v>193</v>
      </c>
      <c r="G153" s="57" t="s">
        <v>34</v>
      </c>
      <c r="H153" s="68">
        <f t="shared" si="3"/>
        <v>0</v>
      </c>
      <c r="I153" s="62"/>
      <c r="J153" s="62"/>
      <c r="K153" s="71"/>
      <c r="L153" s="57" t="s">
        <v>115</v>
      </c>
      <c r="M153" s="61"/>
      <c r="N153" s="61"/>
      <c r="O153" s="62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75"/>
      <c r="AC153" s="30">
        <v>1.0</v>
      </c>
      <c r="AD153" s="30">
        <f t="shared" si="4"/>
        <v>0</v>
      </c>
      <c r="AE153" s="70">
        <f t="shared" si="5"/>
        <v>0</v>
      </c>
      <c r="AF153" s="70">
        <v>1.0</v>
      </c>
    </row>
    <row r="154" ht="15.75" hidden="1" customHeight="1">
      <c r="A154" s="54">
        <v>110.0</v>
      </c>
      <c r="B154" s="56" t="s">
        <v>392</v>
      </c>
      <c r="C154" s="56" t="s">
        <v>101</v>
      </c>
      <c r="D154" s="56" t="s">
        <v>102</v>
      </c>
      <c r="E154" s="56" t="s">
        <v>111</v>
      </c>
      <c r="F154" s="56" t="s">
        <v>168</v>
      </c>
      <c r="G154" s="57" t="s">
        <v>34</v>
      </c>
      <c r="H154" s="68">
        <f t="shared" si="3"/>
        <v>0</v>
      </c>
      <c r="I154" s="62"/>
      <c r="J154" s="62"/>
      <c r="K154" s="71"/>
      <c r="L154" s="57" t="s">
        <v>130</v>
      </c>
      <c r="M154" s="61"/>
      <c r="N154" s="61"/>
      <c r="O154" s="62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75"/>
      <c r="AC154" s="30">
        <v>1.0</v>
      </c>
      <c r="AD154" s="30">
        <f t="shared" si="4"/>
        <v>0</v>
      </c>
      <c r="AE154" s="70">
        <f t="shared" si="5"/>
        <v>0</v>
      </c>
      <c r="AF154" s="70">
        <v>1.0</v>
      </c>
    </row>
    <row r="155" ht="15.75" hidden="1" customHeight="1">
      <c r="A155" s="54">
        <v>120.0</v>
      </c>
      <c r="B155" s="56" t="s">
        <v>393</v>
      </c>
      <c r="C155" s="56" t="s">
        <v>394</v>
      </c>
      <c r="D155" s="56" t="s">
        <v>299</v>
      </c>
      <c r="E155" s="56" t="s">
        <v>163</v>
      </c>
      <c r="F155" s="56" t="s">
        <v>327</v>
      </c>
      <c r="G155" s="57" t="s">
        <v>154</v>
      </c>
      <c r="H155" s="68">
        <f t="shared" si="3"/>
        <v>0</v>
      </c>
      <c r="I155" s="62"/>
      <c r="J155" s="62" t="s">
        <v>207</v>
      </c>
      <c r="K155" s="71"/>
      <c r="L155" s="57" t="s">
        <v>115</v>
      </c>
      <c r="M155" s="61"/>
      <c r="N155" s="61"/>
      <c r="O155" s="62" t="s">
        <v>207</v>
      </c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30">
        <v>2.0</v>
      </c>
      <c r="AD155" s="30">
        <f t="shared" si="4"/>
        <v>0</v>
      </c>
      <c r="AE155" s="70">
        <f t="shared" si="5"/>
        <v>0</v>
      </c>
      <c r="AF155" s="70">
        <v>1.0</v>
      </c>
    </row>
    <row r="156" ht="15.75" hidden="1" customHeight="1">
      <c r="A156" s="54">
        <v>120.0</v>
      </c>
      <c r="B156" s="56" t="s">
        <v>395</v>
      </c>
      <c r="C156" s="56" t="s">
        <v>394</v>
      </c>
      <c r="D156" s="56" t="s">
        <v>172</v>
      </c>
      <c r="E156" s="56" t="s">
        <v>163</v>
      </c>
      <c r="F156" s="56" t="s">
        <v>327</v>
      </c>
      <c r="G156" s="57" t="s">
        <v>154</v>
      </c>
      <c r="H156" s="68">
        <f t="shared" si="3"/>
        <v>0</v>
      </c>
      <c r="I156" s="62"/>
      <c r="J156" s="62"/>
      <c r="K156" s="71"/>
      <c r="L156" s="57" t="s">
        <v>115</v>
      </c>
      <c r="M156" s="61"/>
      <c r="N156" s="61"/>
      <c r="O156" s="62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30">
        <v>2.0</v>
      </c>
      <c r="AD156" s="30">
        <f t="shared" si="4"/>
        <v>0</v>
      </c>
      <c r="AE156" s="70">
        <f t="shared" si="5"/>
        <v>0</v>
      </c>
      <c r="AF156" s="70">
        <v>1.0</v>
      </c>
    </row>
    <row r="157" ht="15.75" hidden="1" customHeight="1">
      <c r="A157" s="54">
        <v>120.0</v>
      </c>
      <c r="B157" s="56" t="s">
        <v>396</v>
      </c>
      <c r="C157" s="56" t="s">
        <v>394</v>
      </c>
      <c r="D157" s="56" t="s">
        <v>397</v>
      </c>
      <c r="E157" s="56" t="s">
        <v>163</v>
      </c>
      <c r="F157" s="56" t="s">
        <v>327</v>
      </c>
      <c r="G157" s="57" t="s">
        <v>154</v>
      </c>
      <c r="H157" s="68">
        <f t="shared" si="3"/>
        <v>0</v>
      </c>
      <c r="I157" s="62"/>
      <c r="J157" s="62"/>
      <c r="K157" s="71"/>
      <c r="L157" s="57" t="s">
        <v>115</v>
      </c>
      <c r="M157" s="61"/>
      <c r="N157" s="61"/>
      <c r="O157" s="62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30">
        <v>2.0</v>
      </c>
      <c r="AD157" s="30">
        <f t="shared" si="4"/>
        <v>0</v>
      </c>
      <c r="AE157" s="70">
        <f t="shared" si="5"/>
        <v>0</v>
      </c>
      <c r="AF157" s="70">
        <v>1.0</v>
      </c>
    </row>
    <row r="158" ht="15.75" hidden="1" customHeight="1">
      <c r="A158" s="54">
        <v>120.0</v>
      </c>
      <c r="B158" s="56" t="s">
        <v>398</v>
      </c>
      <c r="C158" s="56" t="s">
        <v>394</v>
      </c>
      <c r="D158" s="56" t="s">
        <v>399</v>
      </c>
      <c r="E158" s="56" t="s">
        <v>163</v>
      </c>
      <c r="F158" s="56" t="s">
        <v>327</v>
      </c>
      <c r="G158" s="57" t="s">
        <v>154</v>
      </c>
      <c r="H158" s="68">
        <f t="shared" si="3"/>
        <v>0</v>
      </c>
      <c r="I158" s="62"/>
      <c r="J158" s="62"/>
      <c r="K158" s="71"/>
      <c r="L158" s="57" t="s">
        <v>115</v>
      </c>
      <c r="M158" s="61"/>
      <c r="N158" s="61"/>
      <c r="O158" s="62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30">
        <v>2.0</v>
      </c>
      <c r="AD158" s="30">
        <f t="shared" si="4"/>
        <v>0</v>
      </c>
      <c r="AE158" s="70">
        <f t="shared" si="5"/>
        <v>0</v>
      </c>
      <c r="AF158" s="70">
        <v>1.0</v>
      </c>
    </row>
    <row r="159" ht="15.75" hidden="1" customHeight="1">
      <c r="A159" s="54">
        <v>120.0</v>
      </c>
      <c r="B159" s="56" t="s">
        <v>400</v>
      </c>
      <c r="C159" s="56" t="s">
        <v>394</v>
      </c>
      <c r="D159" s="56" t="s">
        <v>401</v>
      </c>
      <c r="E159" s="56" t="s">
        <v>163</v>
      </c>
      <c r="F159" s="56" t="s">
        <v>327</v>
      </c>
      <c r="G159" s="57" t="s">
        <v>154</v>
      </c>
      <c r="H159" s="68">
        <f t="shared" si="3"/>
        <v>0</v>
      </c>
      <c r="I159" s="62"/>
      <c r="J159" s="62"/>
      <c r="K159" s="71"/>
      <c r="L159" s="57" t="s">
        <v>115</v>
      </c>
      <c r="M159" s="61"/>
      <c r="N159" s="61"/>
      <c r="O159" s="62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30">
        <v>2.0</v>
      </c>
      <c r="AD159" s="30">
        <f t="shared" si="4"/>
        <v>0</v>
      </c>
      <c r="AE159" s="70">
        <f t="shared" si="5"/>
        <v>0</v>
      </c>
      <c r="AF159" s="70">
        <v>1.0</v>
      </c>
    </row>
    <row r="160" ht="15.75" hidden="1" customHeight="1">
      <c r="A160" s="54">
        <v>120.0</v>
      </c>
      <c r="B160" s="56" t="s">
        <v>262</v>
      </c>
      <c r="C160" s="56" t="s">
        <v>263</v>
      </c>
      <c r="D160" s="56" t="s">
        <v>263</v>
      </c>
      <c r="E160" s="56" t="s">
        <v>264</v>
      </c>
      <c r="F160" s="56" t="s">
        <v>630</v>
      </c>
      <c r="G160" s="57" t="s">
        <v>87</v>
      </c>
      <c r="H160" s="68">
        <f t="shared" si="3"/>
        <v>0</v>
      </c>
      <c r="I160" s="79"/>
      <c r="J160" s="79" t="s">
        <v>273</v>
      </c>
      <c r="K160" s="100"/>
      <c r="L160" s="57" t="s">
        <v>115</v>
      </c>
      <c r="M160" s="61"/>
      <c r="N160" s="61"/>
      <c r="O160" s="79" t="s">
        <v>273</v>
      </c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30">
        <v>12.0</v>
      </c>
      <c r="AD160" s="30">
        <f t="shared" si="4"/>
        <v>0</v>
      </c>
      <c r="AE160" s="70">
        <f t="shared" si="5"/>
        <v>0</v>
      </c>
      <c r="AF160" s="70">
        <v>1.0</v>
      </c>
    </row>
    <row r="161" ht="15.75" hidden="1" customHeight="1">
      <c r="A161" s="54">
        <v>130.0</v>
      </c>
      <c r="B161" s="56" t="s">
        <v>404</v>
      </c>
      <c r="C161" s="56" t="s">
        <v>405</v>
      </c>
      <c r="D161" s="56" t="s">
        <v>406</v>
      </c>
      <c r="E161" s="56" t="s">
        <v>407</v>
      </c>
      <c r="F161" s="56" t="s">
        <v>249</v>
      </c>
      <c r="G161" s="57" t="s">
        <v>250</v>
      </c>
      <c r="H161" s="68">
        <f t="shared" si="3"/>
        <v>0</v>
      </c>
      <c r="I161" s="62" t="s">
        <v>634</v>
      </c>
      <c r="J161" s="62" t="s">
        <v>414</v>
      </c>
      <c r="K161" s="71"/>
      <c r="L161" s="57" t="s">
        <v>115</v>
      </c>
      <c r="M161" s="61"/>
      <c r="N161" s="61" t="s">
        <v>346</v>
      </c>
      <c r="O161" s="62" t="s">
        <v>414</v>
      </c>
      <c r="P161" s="53"/>
      <c r="Q161" s="53"/>
      <c r="R161" s="53"/>
      <c r="S161" s="53"/>
      <c r="T161" s="53"/>
      <c r="U161" s="53"/>
      <c r="V161" s="87"/>
      <c r="W161" s="53"/>
      <c r="X161" s="53"/>
      <c r="Y161" s="53"/>
      <c r="Z161" s="53"/>
      <c r="AA161" s="87"/>
      <c r="AB161" s="30"/>
      <c r="AC161" s="30">
        <v>3.0</v>
      </c>
      <c r="AD161" s="30">
        <f t="shared" si="4"/>
        <v>0</v>
      </c>
      <c r="AE161" s="70">
        <f t="shared" si="5"/>
        <v>0</v>
      </c>
      <c r="AF161" s="70">
        <v>1.0</v>
      </c>
    </row>
    <row r="162" ht="15.75" hidden="1" customHeight="1">
      <c r="A162" s="54">
        <v>130.0</v>
      </c>
      <c r="B162" s="56" t="s">
        <v>404</v>
      </c>
      <c r="C162" s="56" t="s">
        <v>405</v>
      </c>
      <c r="D162" s="56" t="s">
        <v>406</v>
      </c>
      <c r="E162" s="56" t="s">
        <v>408</v>
      </c>
      <c r="F162" s="56" t="s">
        <v>249</v>
      </c>
      <c r="G162" s="57" t="s">
        <v>250</v>
      </c>
      <c r="H162" s="68">
        <f t="shared" si="3"/>
        <v>0</v>
      </c>
      <c r="I162" s="62" t="s">
        <v>634</v>
      </c>
      <c r="J162" s="62" t="s">
        <v>417</v>
      </c>
      <c r="K162" s="71"/>
      <c r="L162" s="57" t="s">
        <v>115</v>
      </c>
      <c r="M162" s="61"/>
      <c r="N162" s="61" t="s">
        <v>346</v>
      </c>
      <c r="O162" s="62" t="s">
        <v>417</v>
      </c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101"/>
      <c r="AC162" s="30">
        <v>3.0</v>
      </c>
      <c r="AD162" s="30">
        <f t="shared" si="4"/>
        <v>0</v>
      </c>
      <c r="AE162" s="70">
        <f t="shared" si="5"/>
        <v>0</v>
      </c>
      <c r="AF162" s="70">
        <v>1.0</v>
      </c>
    </row>
    <row r="163" ht="15.75" hidden="1" customHeight="1">
      <c r="A163" s="54">
        <v>130.0</v>
      </c>
      <c r="B163" s="56" t="s">
        <v>404</v>
      </c>
      <c r="C163" s="56" t="s">
        <v>405</v>
      </c>
      <c r="D163" s="56" t="s">
        <v>406</v>
      </c>
      <c r="E163" s="56" t="s">
        <v>111</v>
      </c>
      <c r="F163" s="56" t="s">
        <v>246</v>
      </c>
      <c r="G163" s="57" t="s">
        <v>154</v>
      </c>
      <c r="H163" s="68">
        <f t="shared" si="3"/>
        <v>0</v>
      </c>
      <c r="I163" s="62" t="s">
        <v>146</v>
      </c>
      <c r="J163" s="62"/>
      <c r="K163" s="71"/>
      <c r="L163" s="57" t="s">
        <v>115</v>
      </c>
      <c r="M163" s="61"/>
      <c r="N163" s="61"/>
      <c r="O163" s="62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30">
        <v>2.0</v>
      </c>
      <c r="AD163" s="30">
        <f t="shared" si="4"/>
        <v>0</v>
      </c>
      <c r="AE163" s="70">
        <f t="shared" si="5"/>
        <v>0</v>
      </c>
      <c r="AF163" s="70">
        <v>1.0</v>
      </c>
    </row>
    <row r="164" ht="15.75" hidden="1" customHeight="1">
      <c r="A164" s="54">
        <v>130.0</v>
      </c>
      <c r="B164" s="56" t="s">
        <v>404</v>
      </c>
      <c r="C164" s="56" t="s">
        <v>405</v>
      </c>
      <c r="D164" s="56" t="s">
        <v>406</v>
      </c>
      <c r="E164" s="56" t="s">
        <v>409</v>
      </c>
      <c r="F164" s="56" t="s">
        <v>246</v>
      </c>
      <c r="G164" s="57" t="s">
        <v>154</v>
      </c>
      <c r="H164" s="68">
        <f t="shared" si="3"/>
        <v>0</v>
      </c>
      <c r="I164" s="62" t="s">
        <v>146</v>
      </c>
      <c r="J164" s="62"/>
      <c r="K164" s="71"/>
      <c r="L164" s="57" t="s">
        <v>115</v>
      </c>
      <c r="M164" s="61"/>
      <c r="N164" s="61"/>
      <c r="O164" s="62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30">
        <v>2.0</v>
      </c>
      <c r="AD164" s="30">
        <f t="shared" si="4"/>
        <v>0</v>
      </c>
      <c r="AE164" s="70">
        <f t="shared" si="5"/>
        <v>0</v>
      </c>
      <c r="AF164" s="70">
        <v>1.0</v>
      </c>
    </row>
    <row r="165" ht="15.75" hidden="1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410</v>
      </c>
      <c r="F165" s="56" t="s">
        <v>246</v>
      </c>
      <c r="G165" s="57" t="s">
        <v>154</v>
      </c>
      <c r="H165" s="68">
        <f t="shared" si="3"/>
        <v>0</v>
      </c>
      <c r="I165" s="62" t="s">
        <v>146</v>
      </c>
      <c r="J165" s="62"/>
      <c r="K165" s="71"/>
      <c r="L165" s="57" t="s">
        <v>115</v>
      </c>
      <c r="M165" s="61"/>
      <c r="N165" s="61"/>
      <c r="O165" s="62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30">
        <v>2.0</v>
      </c>
      <c r="AD165" s="30">
        <f t="shared" si="4"/>
        <v>0</v>
      </c>
      <c r="AE165" s="70">
        <f t="shared" si="5"/>
        <v>0</v>
      </c>
      <c r="AF165" s="70">
        <v>1.0</v>
      </c>
    </row>
    <row r="166" ht="15.75" hidden="1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411</v>
      </c>
      <c r="F166" s="56" t="s">
        <v>246</v>
      </c>
      <c r="G166" s="57" t="s">
        <v>154</v>
      </c>
      <c r="H166" s="68">
        <f t="shared" si="3"/>
        <v>0</v>
      </c>
      <c r="I166" s="62" t="s">
        <v>146</v>
      </c>
      <c r="J166" s="62"/>
      <c r="K166" s="71"/>
      <c r="L166" s="57" t="s">
        <v>115</v>
      </c>
      <c r="M166" s="61"/>
      <c r="N166" s="61"/>
      <c r="O166" s="62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30">
        <v>2.0</v>
      </c>
      <c r="AD166" s="30">
        <f t="shared" si="4"/>
        <v>0</v>
      </c>
      <c r="AE166" s="70">
        <f t="shared" si="5"/>
        <v>0</v>
      </c>
      <c r="AF166" s="70">
        <v>1.0</v>
      </c>
    </row>
    <row r="167" ht="16.5" hidden="1" customHeight="1">
      <c r="A167" s="54">
        <v>130.0</v>
      </c>
      <c r="B167" s="56" t="s">
        <v>412</v>
      </c>
      <c r="C167" s="56"/>
      <c r="D167" s="56" t="s">
        <v>413</v>
      </c>
      <c r="E167" s="56" t="s">
        <v>336</v>
      </c>
      <c r="F167" s="56" t="s">
        <v>313</v>
      </c>
      <c r="G167" s="57" t="s">
        <v>192</v>
      </c>
      <c r="H167" s="68">
        <f t="shared" si="3"/>
        <v>0</v>
      </c>
      <c r="I167" s="62"/>
      <c r="J167" s="62"/>
      <c r="K167" s="71"/>
      <c r="L167" s="57" t="s">
        <v>115</v>
      </c>
      <c r="M167" s="61"/>
      <c r="N167" s="61"/>
      <c r="O167" s="62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30">
        <v>3.0</v>
      </c>
      <c r="AD167" s="30">
        <f t="shared" si="4"/>
        <v>0</v>
      </c>
      <c r="AE167" s="70">
        <f t="shared" si="5"/>
        <v>0</v>
      </c>
      <c r="AF167" s="70">
        <v>1.0</v>
      </c>
    </row>
    <row r="168" ht="15.75" hidden="1" customHeight="1">
      <c r="A168" s="54">
        <v>130.0</v>
      </c>
      <c r="B168" s="56" t="s">
        <v>415</v>
      </c>
      <c r="C168" s="56" t="s">
        <v>148</v>
      </c>
      <c r="D168" s="56" t="s">
        <v>416</v>
      </c>
      <c r="E168" s="56" t="s">
        <v>150</v>
      </c>
      <c r="F168" s="56" t="s">
        <v>168</v>
      </c>
      <c r="G168" s="57" t="s">
        <v>34</v>
      </c>
      <c r="H168" s="68">
        <f t="shared" si="3"/>
        <v>0</v>
      </c>
      <c r="I168" s="62"/>
      <c r="J168" s="62"/>
      <c r="K168" s="71"/>
      <c r="L168" s="57" t="s">
        <v>130</v>
      </c>
      <c r="M168" s="61"/>
      <c r="N168" s="61"/>
      <c r="O168" s="62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30"/>
      <c r="AC168" s="30">
        <v>1.0</v>
      </c>
      <c r="AD168" s="30">
        <f t="shared" si="4"/>
        <v>0</v>
      </c>
      <c r="AE168" s="70">
        <f t="shared" si="5"/>
        <v>0</v>
      </c>
      <c r="AF168" s="70">
        <v>1.0</v>
      </c>
    </row>
    <row r="169" ht="15.75" hidden="1" customHeight="1">
      <c r="A169" s="54">
        <v>130.0</v>
      </c>
      <c r="B169" s="56" t="s">
        <v>418</v>
      </c>
      <c r="C169" s="56" t="s">
        <v>148</v>
      </c>
      <c r="D169" s="56" t="s">
        <v>419</v>
      </c>
      <c r="E169" s="56" t="s">
        <v>150</v>
      </c>
      <c r="F169" s="56" t="s">
        <v>168</v>
      </c>
      <c r="G169" s="57" t="s">
        <v>34</v>
      </c>
      <c r="H169" s="68">
        <f t="shared" si="3"/>
        <v>0</v>
      </c>
      <c r="I169" s="62"/>
      <c r="J169" s="62"/>
      <c r="K169" s="71"/>
      <c r="L169" s="57" t="s">
        <v>130</v>
      </c>
      <c r="M169" s="61"/>
      <c r="N169" s="61"/>
      <c r="O169" s="62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30"/>
      <c r="AC169" s="30">
        <v>1.0</v>
      </c>
      <c r="AD169" s="30">
        <f t="shared" si="4"/>
        <v>0</v>
      </c>
      <c r="AE169" s="70">
        <f t="shared" si="5"/>
        <v>0</v>
      </c>
      <c r="AF169" s="70">
        <v>1.0</v>
      </c>
    </row>
    <row r="170" ht="15.75" hidden="1" customHeight="1">
      <c r="A170" s="54">
        <v>136.0</v>
      </c>
      <c r="B170" s="56" t="s">
        <v>421</v>
      </c>
      <c r="C170" s="56" t="s">
        <v>422</v>
      </c>
      <c r="D170" s="56" t="s">
        <v>422</v>
      </c>
      <c r="E170" s="56" t="s">
        <v>423</v>
      </c>
      <c r="F170" s="56" t="s">
        <v>327</v>
      </c>
      <c r="G170" s="57" t="s">
        <v>154</v>
      </c>
      <c r="H170" s="68">
        <f t="shared" si="3"/>
        <v>0</v>
      </c>
      <c r="I170" s="62" t="s">
        <v>634</v>
      </c>
      <c r="J170" s="62" t="s">
        <v>207</v>
      </c>
      <c r="K170" s="71"/>
      <c r="L170" s="57" t="s">
        <v>130</v>
      </c>
      <c r="M170" s="61"/>
      <c r="N170" s="61"/>
      <c r="O170" s="62" t="s">
        <v>207</v>
      </c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30">
        <v>2.0</v>
      </c>
      <c r="AD170" s="30">
        <f t="shared" si="4"/>
        <v>0</v>
      </c>
      <c r="AE170" s="70">
        <f t="shared" si="5"/>
        <v>0</v>
      </c>
      <c r="AF170" s="70">
        <v>1.0</v>
      </c>
    </row>
    <row r="171" ht="15.75" hidden="1" customHeight="1">
      <c r="A171" s="54">
        <v>136.0</v>
      </c>
      <c r="B171" s="56" t="s">
        <v>424</v>
      </c>
      <c r="C171" s="56" t="s">
        <v>422</v>
      </c>
      <c r="D171" s="56" t="s">
        <v>425</v>
      </c>
      <c r="E171" s="56" t="s">
        <v>111</v>
      </c>
      <c r="F171" s="56" t="s">
        <v>246</v>
      </c>
      <c r="G171" s="57" t="s">
        <v>154</v>
      </c>
      <c r="H171" s="68">
        <f t="shared" si="3"/>
        <v>0</v>
      </c>
      <c r="I171" s="62" t="s">
        <v>634</v>
      </c>
      <c r="J171" s="62"/>
      <c r="K171" s="71"/>
      <c r="L171" s="57" t="s">
        <v>115</v>
      </c>
      <c r="M171" s="61"/>
      <c r="N171" s="61"/>
      <c r="O171" s="62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30">
        <v>2.0</v>
      </c>
      <c r="AD171" s="30">
        <f t="shared" si="4"/>
        <v>0</v>
      </c>
      <c r="AE171" s="70">
        <f t="shared" si="5"/>
        <v>0</v>
      </c>
      <c r="AF171" s="70">
        <v>1.0</v>
      </c>
    </row>
    <row r="172" ht="15.75" hidden="1" customHeight="1">
      <c r="A172" s="54">
        <v>136.0</v>
      </c>
      <c r="B172" s="56" t="s">
        <v>426</v>
      </c>
      <c r="C172" s="56" t="s">
        <v>422</v>
      </c>
      <c r="D172" s="56" t="s">
        <v>427</v>
      </c>
      <c r="E172" s="56" t="s">
        <v>111</v>
      </c>
      <c r="F172" s="56" t="s">
        <v>246</v>
      </c>
      <c r="G172" s="57" t="s">
        <v>154</v>
      </c>
      <c r="H172" s="68">
        <f t="shared" si="3"/>
        <v>0</v>
      </c>
      <c r="I172" s="62" t="s">
        <v>634</v>
      </c>
      <c r="J172" s="62"/>
      <c r="K172" s="71"/>
      <c r="L172" s="57" t="s">
        <v>115</v>
      </c>
      <c r="M172" s="61"/>
      <c r="N172" s="61"/>
      <c r="O172" s="62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30">
        <v>2.0</v>
      </c>
      <c r="AD172" s="30">
        <f t="shared" si="4"/>
        <v>0</v>
      </c>
      <c r="AE172" s="70">
        <f t="shared" si="5"/>
        <v>0</v>
      </c>
      <c r="AF172" s="70">
        <v>1.0</v>
      </c>
    </row>
    <row r="173" ht="15.75" hidden="1" customHeight="1">
      <c r="A173" s="54">
        <v>136.0</v>
      </c>
      <c r="B173" s="56" t="s">
        <v>428</v>
      </c>
      <c r="C173" s="56" t="s">
        <v>422</v>
      </c>
      <c r="D173" s="56" t="s">
        <v>429</v>
      </c>
      <c r="E173" s="56" t="s">
        <v>111</v>
      </c>
      <c r="F173" s="56" t="s">
        <v>246</v>
      </c>
      <c r="G173" s="57" t="s">
        <v>154</v>
      </c>
      <c r="H173" s="68">
        <f t="shared" si="3"/>
        <v>0</v>
      </c>
      <c r="I173" s="62"/>
      <c r="J173" s="62"/>
      <c r="K173" s="71"/>
      <c r="L173" s="57" t="s">
        <v>115</v>
      </c>
      <c r="M173" s="61"/>
      <c r="N173" s="61"/>
      <c r="O173" s="62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30">
        <v>2.0</v>
      </c>
      <c r="AD173" s="30">
        <f t="shared" si="4"/>
        <v>0</v>
      </c>
      <c r="AE173" s="70">
        <f t="shared" si="5"/>
        <v>0</v>
      </c>
      <c r="AF173" s="70">
        <v>1.0</v>
      </c>
    </row>
    <row r="174" ht="15.75" hidden="1" customHeight="1">
      <c r="A174" s="54">
        <v>136.0</v>
      </c>
      <c r="B174" s="56" t="s">
        <v>430</v>
      </c>
      <c r="C174" s="56" t="s">
        <v>422</v>
      </c>
      <c r="D174" s="56" t="s">
        <v>431</v>
      </c>
      <c r="E174" s="56" t="s">
        <v>432</v>
      </c>
      <c r="F174" s="56" t="s">
        <v>327</v>
      </c>
      <c r="G174" s="57" t="s">
        <v>154</v>
      </c>
      <c r="H174" s="68">
        <f t="shared" si="3"/>
        <v>0</v>
      </c>
      <c r="I174" s="62" t="s">
        <v>146</v>
      </c>
      <c r="J174" s="62"/>
      <c r="K174" s="71"/>
      <c r="L174" s="57" t="s">
        <v>115</v>
      </c>
      <c r="M174" s="61"/>
      <c r="N174" s="61"/>
      <c r="O174" s="62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30">
        <v>2.0</v>
      </c>
      <c r="AD174" s="30">
        <f t="shared" si="4"/>
        <v>0</v>
      </c>
      <c r="AE174" s="70">
        <f t="shared" si="5"/>
        <v>0</v>
      </c>
      <c r="AF174" s="70">
        <v>1.0</v>
      </c>
    </row>
    <row r="175" ht="15.75" hidden="1" customHeight="1">
      <c r="A175" s="54">
        <v>140.0</v>
      </c>
      <c r="B175" s="56" t="s">
        <v>433</v>
      </c>
      <c r="C175" s="56" t="s">
        <v>434</v>
      </c>
      <c r="D175" s="56" t="s">
        <v>435</v>
      </c>
      <c r="E175" s="56" t="s">
        <v>167</v>
      </c>
      <c r="F175" s="56" t="s">
        <v>246</v>
      </c>
      <c r="G175" s="57" t="s">
        <v>154</v>
      </c>
      <c r="H175" s="68">
        <f t="shared" si="3"/>
        <v>0</v>
      </c>
      <c r="I175" s="62"/>
      <c r="J175" s="62"/>
      <c r="K175" s="71"/>
      <c r="L175" s="57"/>
      <c r="M175" s="61"/>
      <c r="N175" s="61"/>
      <c r="O175" s="62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30">
        <v>2.0</v>
      </c>
      <c r="AD175" s="30">
        <f t="shared" si="4"/>
        <v>0</v>
      </c>
      <c r="AE175" s="70">
        <f t="shared" si="5"/>
        <v>0</v>
      </c>
      <c r="AF175" s="70">
        <v>1.0</v>
      </c>
    </row>
    <row r="176" ht="15.75" hidden="1" customHeight="1">
      <c r="A176" s="54">
        <v>140.0</v>
      </c>
      <c r="B176" s="56" t="s">
        <v>436</v>
      </c>
      <c r="C176" s="56" t="s">
        <v>437</v>
      </c>
      <c r="D176" s="56" t="s">
        <v>438</v>
      </c>
      <c r="E176" s="56" t="s">
        <v>439</v>
      </c>
      <c r="F176" s="56" t="s">
        <v>246</v>
      </c>
      <c r="G176" s="57" t="s">
        <v>154</v>
      </c>
      <c r="H176" s="68">
        <f t="shared" si="3"/>
        <v>0</v>
      </c>
      <c r="I176" s="62"/>
      <c r="J176" s="62"/>
      <c r="K176" s="71"/>
      <c r="L176" s="57"/>
      <c r="M176" s="61"/>
      <c r="N176" s="61"/>
      <c r="O176" s="62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30">
        <v>2.0</v>
      </c>
      <c r="AD176" s="30">
        <f t="shared" si="4"/>
        <v>0</v>
      </c>
      <c r="AE176" s="70">
        <f t="shared" si="5"/>
        <v>0</v>
      </c>
      <c r="AF176" s="70">
        <v>1.0</v>
      </c>
    </row>
    <row r="177" ht="15.75" hidden="1" customHeight="1">
      <c r="A177" s="54">
        <v>140.0</v>
      </c>
      <c r="B177" s="56" t="s">
        <v>440</v>
      </c>
      <c r="C177" s="56" t="s">
        <v>437</v>
      </c>
      <c r="D177" s="56" t="s">
        <v>441</v>
      </c>
      <c r="E177" s="56" t="s">
        <v>439</v>
      </c>
      <c r="F177" s="56" t="s">
        <v>246</v>
      </c>
      <c r="G177" s="57" t="s">
        <v>154</v>
      </c>
      <c r="H177" s="68">
        <f t="shared" si="3"/>
        <v>0</v>
      </c>
      <c r="I177" s="62"/>
      <c r="J177" s="62"/>
      <c r="K177" s="71"/>
      <c r="L177" s="57"/>
      <c r="M177" s="61"/>
      <c r="N177" s="61"/>
      <c r="O177" s="62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30">
        <v>2.0</v>
      </c>
      <c r="AD177" s="30">
        <f t="shared" si="4"/>
        <v>0</v>
      </c>
      <c r="AE177" s="70">
        <f t="shared" si="5"/>
        <v>0</v>
      </c>
      <c r="AF177" s="70">
        <v>1.0</v>
      </c>
    </row>
    <row r="178" ht="15.75" hidden="1" customHeight="1">
      <c r="A178" s="54">
        <v>140.0</v>
      </c>
      <c r="B178" s="56" t="s">
        <v>442</v>
      </c>
      <c r="C178" s="56" t="s">
        <v>443</v>
      </c>
      <c r="D178" s="56" t="s">
        <v>444</v>
      </c>
      <c r="E178" s="56" t="s">
        <v>439</v>
      </c>
      <c r="F178" s="56" t="s">
        <v>246</v>
      </c>
      <c r="G178" s="57" t="s">
        <v>154</v>
      </c>
      <c r="H178" s="68">
        <f t="shared" si="3"/>
        <v>0</v>
      </c>
      <c r="I178" s="62"/>
      <c r="J178" s="62"/>
      <c r="K178" s="71"/>
      <c r="L178" s="57"/>
      <c r="M178" s="61"/>
      <c r="N178" s="61"/>
      <c r="O178" s="62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75"/>
      <c r="AC178" s="30">
        <v>2.0</v>
      </c>
      <c r="AD178" s="30">
        <f t="shared" si="4"/>
        <v>0</v>
      </c>
      <c r="AE178" s="70">
        <f t="shared" si="5"/>
        <v>0</v>
      </c>
      <c r="AF178" s="70">
        <v>1.0</v>
      </c>
    </row>
    <row r="179" ht="15.75" hidden="1" customHeight="1">
      <c r="A179" s="54">
        <v>140.0</v>
      </c>
      <c r="B179" s="56" t="s">
        <v>445</v>
      </c>
      <c r="C179" s="56" t="s">
        <v>446</v>
      </c>
      <c r="D179" s="56" t="s">
        <v>447</v>
      </c>
      <c r="E179" s="56" t="s">
        <v>439</v>
      </c>
      <c r="F179" s="56" t="s">
        <v>246</v>
      </c>
      <c r="G179" s="57" t="s">
        <v>154</v>
      </c>
      <c r="H179" s="68">
        <f t="shared" si="3"/>
        <v>0</v>
      </c>
      <c r="I179" s="62"/>
      <c r="J179" s="62"/>
      <c r="K179" s="71"/>
      <c r="L179" s="57"/>
      <c r="M179" s="61"/>
      <c r="N179" s="61"/>
      <c r="O179" s="62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30">
        <v>2.0</v>
      </c>
      <c r="AD179" s="30">
        <f t="shared" si="4"/>
        <v>0</v>
      </c>
      <c r="AE179" s="70">
        <f t="shared" si="5"/>
        <v>0</v>
      </c>
      <c r="AF179" s="70">
        <v>1.0</v>
      </c>
    </row>
    <row r="180" ht="15.75" hidden="1" customHeight="1">
      <c r="A180" s="54">
        <v>140.0</v>
      </c>
      <c r="B180" s="56" t="s">
        <v>448</v>
      </c>
      <c r="C180" s="88" t="s">
        <v>449</v>
      </c>
      <c r="D180" s="56" t="s">
        <v>450</v>
      </c>
      <c r="E180" s="56" t="s">
        <v>439</v>
      </c>
      <c r="F180" s="56" t="s">
        <v>246</v>
      </c>
      <c r="G180" s="57" t="s">
        <v>154</v>
      </c>
      <c r="H180" s="68">
        <f t="shared" si="3"/>
        <v>0</v>
      </c>
      <c r="I180" s="62"/>
      <c r="J180" s="62"/>
      <c r="K180" s="71"/>
      <c r="L180" s="57"/>
      <c r="M180" s="61"/>
      <c r="N180" s="61"/>
      <c r="O180" s="62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30">
        <v>2.0</v>
      </c>
      <c r="AD180" s="30">
        <f t="shared" si="4"/>
        <v>0</v>
      </c>
      <c r="AE180" s="70">
        <f t="shared" si="5"/>
        <v>0</v>
      </c>
      <c r="AF180" s="70">
        <v>1.0</v>
      </c>
    </row>
    <row r="181" ht="15.75" hidden="1" customHeight="1">
      <c r="A181" s="54">
        <v>140.0</v>
      </c>
      <c r="B181" s="56" t="s">
        <v>462</v>
      </c>
      <c r="C181" s="56" t="s">
        <v>434</v>
      </c>
      <c r="D181" s="56" t="s">
        <v>463</v>
      </c>
      <c r="E181" s="56" t="s">
        <v>272</v>
      </c>
      <c r="F181" s="56" t="s">
        <v>15</v>
      </c>
      <c r="G181" s="57" t="s">
        <v>15</v>
      </c>
      <c r="H181" s="68">
        <f t="shared" si="3"/>
        <v>0</v>
      </c>
      <c r="I181" s="62"/>
      <c r="J181" s="62"/>
      <c r="K181" s="71"/>
      <c r="L181" s="57"/>
      <c r="M181" s="61"/>
      <c r="N181" s="61"/>
      <c r="O181" s="62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30"/>
      <c r="AC181" s="30">
        <v>12.0</v>
      </c>
      <c r="AD181" s="30">
        <f t="shared" si="4"/>
        <v>0</v>
      </c>
      <c r="AE181" s="70">
        <f t="shared" si="5"/>
        <v>0</v>
      </c>
      <c r="AF181" s="70">
        <v>1.0</v>
      </c>
    </row>
    <row r="182" ht="15.75" hidden="1" customHeight="1">
      <c r="A182" s="54">
        <v>140.0</v>
      </c>
      <c r="B182" s="56" t="s">
        <v>464</v>
      </c>
      <c r="C182" s="56" t="s">
        <v>270</v>
      </c>
      <c r="D182" s="56" t="s">
        <v>465</v>
      </c>
      <c r="E182" s="56" t="s">
        <v>272</v>
      </c>
      <c r="F182" s="56" t="s">
        <v>15</v>
      </c>
      <c r="G182" s="57" t="s">
        <v>15</v>
      </c>
      <c r="H182" s="68">
        <f t="shared" si="3"/>
        <v>0</v>
      </c>
      <c r="I182" s="62"/>
      <c r="J182" s="62"/>
      <c r="K182" s="71"/>
      <c r="L182" s="57"/>
      <c r="M182" s="61"/>
      <c r="N182" s="61"/>
      <c r="O182" s="62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30"/>
      <c r="AC182" s="30">
        <v>12.0</v>
      </c>
      <c r="AD182" s="30">
        <f t="shared" si="4"/>
        <v>0</v>
      </c>
      <c r="AE182" s="70">
        <f t="shared" si="5"/>
        <v>0</v>
      </c>
      <c r="AF182" s="70">
        <v>1.0</v>
      </c>
    </row>
    <row r="183" ht="15.75" hidden="1" customHeight="1">
      <c r="A183" s="54">
        <v>140.0</v>
      </c>
      <c r="B183" s="56" t="s">
        <v>466</v>
      </c>
      <c r="C183" s="56" t="s">
        <v>443</v>
      </c>
      <c r="D183" s="56" t="s">
        <v>467</v>
      </c>
      <c r="E183" s="56" t="s">
        <v>272</v>
      </c>
      <c r="F183" s="56" t="s">
        <v>15</v>
      </c>
      <c r="G183" s="57" t="s">
        <v>15</v>
      </c>
      <c r="H183" s="68">
        <f t="shared" si="3"/>
        <v>0</v>
      </c>
      <c r="I183" s="62"/>
      <c r="J183" s="62"/>
      <c r="K183" s="71"/>
      <c r="L183" s="57"/>
      <c r="M183" s="61"/>
      <c r="N183" s="61"/>
      <c r="O183" s="62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30"/>
      <c r="AC183" s="30">
        <v>12.0</v>
      </c>
      <c r="AD183" s="30">
        <f t="shared" si="4"/>
        <v>0</v>
      </c>
      <c r="AE183" s="70">
        <f t="shared" si="5"/>
        <v>0</v>
      </c>
      <c r="AF183" s="70">
        <v>1.0</v>
      </c>
    </row>
    <row r="184" ht="15.75" hidden="1" customHeight="1">
      <c r="A184" s="54">
        <v>140.0</v>
      </c>
      <c r="B184" s="56" t="s">
        <v>468</v>
      </c>
      <c r="C184" s="56" t="s">
        <v>446</v>
      </c>
      <c r="D184" s="56" t="s">
        <v>469</v>
      </c>
      <c r="E184" s="56" t="s">
        <v>272</v>
      </c>
      <c r="F184" s="56" t="s">
        <v>15</v>
      </c>
      <c r="G184" s="57" t="s">
        <v>15</v>
      </c>
      <c r="H184" s="68">
        <f t="shared" si="3"/>
        <v>0</v>
      </c>
      <c r="I184" s="62"/>
      <c r="J184" s="62"/>
      <c r="K184" s="71"/>
      <c r="L184" s="57"/>
      <c r="M184" s="61"/>
      <c r="N184" s="61"/>
      <c r="O184" s="62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30"/>
      <c r="AC184" s="30">
        <v>12.0</v>
      </c>
      <c r="AD184" s="30">
        <f t="shared" si="4"/>
        <v>0</v>
      </c>
      <c r="AE184" s="70">
        <f t="shared" si="5"/>
        <v>0</v>
      </c>
      <c r="AF184" s="70">
        <v>1.0</v>
      </c>
    </row>
    <row r="185" ht="15.75" hidden="1" customHeight="1">
      <c r="A185" s="54">
        <v>140.0</v>
      </c>
      <c r="B185" s="56" t="s">
        <v>470</v>
      </c>
      <c r="C185" s="56" t="s">
        <v>443</v>
      </c>
      <c r="D185" s="56" t="s">
        <v>471</v>
      </c>
      <c r="E185" s="56" t="s">
        <v>272</v>
      </c>
      <c r="F185" s="56" t="s">
        <v>15</v>
      </c>
      <c r="G185" s="57" t="s">
        <v>15</v>
      </c>
      <c r="H185" s="68">
        <f t="shared" si="3"/>
        <v>0</v>
      </c>
      <c r="I185" s="62"/>
      <c r="J185" s="62"/>
      <c r="K185" s="71"/>
      <c r="L185" s="57"/>
      <c r="M185" s="61"/>
      <c r="N185" s="61"/>
      <c r="O185" s="62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30"/>
      <c r="AC185" s="30">
        <v>12.0</v>
      </c>
      <c r="AD185" s="30">
        <f t="shared" si="4"/>
        <v>0</v>
      </c>
      <c r="AE185" s="70">
        <f t="shared" si="5"/>
        <v>0</v>
      </c>
      <c r="AF185" s="70">
        <v>1.0</v>
      </c>
    </row>
    <row r="186" ht="15.75" hidden="1" customHeight="1">
      <c r="A186" s="54">
        <v>140.0</v>
      </c>
      <c r="B186" s="56" t="s">
        <v>472</v>
      </c>
      <c r="C186" s="56" t="s">
        <v>446</v>
      </c>
      <c r="D186" s="56" t="s">
        <v>473</v>
      </c>
      <c r="E186" s="56" t="s">
        <v>272</v>
      </c>
      <c r="F186" s="56" t="s">
        <v>15</v>
      </c>
      <c r="G186" s="57" t="s">
        <v>15</v>
      </c>
      <c r="H186" s="68">
        <f t="shared" si="3"/>
        <v>0</v>
      </c>
      <c r="I186" s="62"/>
      <c r="J186" s="62"/>
      <c r="K186" s="71"/>
      <c r="L186" s="57"/>
      <c r="M186" s="61"/>
      <c r="N186" s="61"/>
      <c r="O186" s="62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30"/>
      <c r="AC186" s="30">
        <v>12.0</v>
      </c>
      <c r="AD186" s="30">
        <f t="shared" si="4"/>
        <v>0</v>
      </c>
      <c r="AE186" s="70">
        <f t="shared" si="5"/>
        <v>0</v>
      </c>
      <c r="AF186" s="70">
        <v>1.0</v>
      </c>
    </row>
    <row r="187" ht="15.75" hidden="1" customHeight="1">
      <c r="A187" s="54">
        <v>140.0</v>
      </c>
      <c r="B187" s="56" t="s">
        <v>474</v>
      </c>
      <c r="C187" s="56" t="s">
        <v>443</v>
      </c>
      <c r="D187" s="56" t="s">
        <v>475</v>
      </c>
      <c r="E187" s="56" t="s">
        <v>272</v>
      </c>
      <c r="F187" s="56" t="s">
        <v>15</v>
      </c>
      <c r="G187" s="57" t="s">
        <v>15</v>
      </c>
      <c r="H187" s="68">
        <f t="shared" si="3"/>
        <v>0</v>
      </c>
      <c r="I187" s="62"/>
      <c r="J187" s="62"/>
      <c r="K187" s="71"/>
      <c r="L187" s="57"/>
      <c r="M187" s="61"/>
      <c r="N187" s="61"/>
      <c r="O187" s="62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30"/>
      <c r="AC187" s="30">
        <v>12.0</v>
      </c>
      <c r="AD187" s="30">
        <f t="shared" si="4"/>
        <v>0</v>
      </c>
      <c r="AE187" s="70">
        <f t="shared" si="5"/>
        <v>0</v>
      </c>
      <c r="AF187" s="70">
        <v>1.0</v>
      </c>
    </row>
    <row r="188" ht="15.75" hidden="1" customHeight="1">
      <c r="A188" s="54">
        <v>140.0</v>
      </c>
      <c r="B188" s="56" t="s">
        <v>476</v>
      </c>
      <c r="C188" s="56" t="s">
        <v>270</v>
      </c>
      <c r="D188" s="56" t="s">
        <v>477</v>
      </c>
      <c r="E188" s="56" t="s">
        <v>272</v>
      </c>
      <c r="F188" s="56" t="s">
        <v>15</v>
      </c>
      <c r="G188" s="57" t="s">
        <v>15</v>
      </c>
      <c r="H188" s="68">
        <f t="shared" si="3"/>
        <v>0</v>
      </c>
      <c r="I188" s="62"/>
      <c r="J188" s="62"/>
      <c r="K188" s="71"/>
      <c r="L188" s="57"/>
      <c r="M188" s="61"/>
      <c r="N188" s="61"/>
      <c r="O188" s="62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30"/>
      <c r="AC188" s="30">
        <v>12.0</v>
      </c>
      <c r="AD188" s="30">
        <f t="shared" si="4"/>
        <v>0</v>
      </c>
      <c r="AE188" s="70">
        <f t="shared" si="5"/>
        <v>0</v>
      </c>
      <c r="AF188" s="70">
        <v>1.0</v>
      </c>
    </row>
    <row r="189" ht="15.75" hidden="1" customHeight="1">
      <c r="A189" s="54">
        <v>140.0</v>
      </c>
      <c r="B189" s="56" t="s">
        <v>478</v>
      </c>
      <c r="C189" s="56" t="s">
        <v>270</v>
      </c>
      <c r="D189" s="56" t="s">
        <v>479</v>
      </c>
      <c r="E189" s="56" t="s">
        <v>272</v>
      </c>
      <c r="F189" s="56" t="s">
        <v>15</v>
      </c>
      <c r="G189" s="57" t="s">
        <v>15</v>
      </c>
      <c r="H189" s="68">
        <f t="shared" si="3"/>
        <v>0</v>
      </c>
      <c r="I189" s="62"/>
      <c r="J189" s="62"/>
      <c r="K189" s="71"/>
      <c r="L189" s="57"/>
      <c r="M189" s="61"/>
      <c r="N189" s="61"/>
      <c r="O189" s="62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30"/>
      <c r="AC189" s="30">
        <v>12.0</v>
      </c>
      <c r="AD189" s="30">
        <f t="shared" si="4"/>
        <v>0</v>
      </c>
      <c r="AE189" s="70">
        <f t="shared" si="5"/>
        <v>0</v>
      </c>
      <c r="AF189" s="70">
        <v>1.0</v>
      </c>
    </row>
    <row r="190" ht="15.75" hidden="1" customHeight="1">
      <c r="A190" s="54">
        <v>140.0</v>
      </c>
      <c r="B190" s="56" t="s">
        <v>480</v>
      </c>
      <c r="C190" s="56" t="s">
        <v>270</v>
      </c>
      <c r="D190" s="56" t="s">
        <v>481</v>
      </c>
      <c r="E190" s="56" t="s">
        <v>272</v>
      </c>
      <c r="F190" s="56" t="s">
        <v>15</v>
      </c>
      <c r="G190" s="57" t="s">
        <v>15</v>
      </c>
      <c r="H190" s="68">
        <f t="shared" si="3"/>
        <v>0</v>
      </c>
      <c r="I190" s="62"/>
      <c r="J190" s="62"/>
      <c r="K190" s="71"/>
      <c r="L190" s="57"/>
      <c r="M190" s="61"/>
      <c r="N190" s="61"/>
      <c r="O190" s="62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101"/>
      <c r="AC190" s="30">
        <v>12.0</v>
      </c>
      <c r="AD190" s="30">
        <f t="shared" si="4"/>
        <v>0</v>
      </c>
      <c r="AE190" s="70">
        <f t="shared" si="5"/>
        <v>0</v>
      </c>
      <c r="AF190" s="70">
        <v>1.0</v>
      </c>
    </row>
    <row r="191" ht="15.75" hidden="1" customHeight="1">
      <c r="A191" s="54">
        <v>140.0</v>
      </c>
      <c r="B191" s="56" t="s">
        <v>482</v>
      </c>
      <c r="C191" s="56" t="s">
        <v>443</v>
      </c>
      <c r="D191" s="56" t="s">
        <v>483</v>
      </c>
      <c r="E191" s="56" t="s">
        <v>272</v>
      </c>
      <c r="F191" s="56" t="s">
        <v>15</v>
      </c>
      <c r="G191" s="57" t="s">
        <v>15</v>
      </c>
      <c r="H191" s="68">
        <f t="shared" si="3"/>
        <v>0</v>
      </c>
      <c r="I191" s="62"/>
      <c r="J191" s="62"/>
      <c r="K191" s="71"/>
      <c r="L191" s="57"/>
      <c r="M191" s="61"/>
      <c r="N191" s="61"/>
      <c r="O191" s="62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30"/>
      <c r="AC191" s="30">
        <v>12.0</v>
      </c>
      <c r="AD191" s="30">
        <f t="shared" si="4"/>
        <v>0</v>
      </c>
      <c r="AE191" s="70">
        <f t="shared" si="5"/>
        <v>0</v>
      </c>
      <c r="AF191" s="70">
        <v>1.0</v>
      </c>
    </row>
    <row r="192" ht="15.75" hidden="1" customHeight="1">
      <c r="A192" s="54">
        <v>140.0</v>
      </c>
      <c r="B192" s="56" t="s">
        <v>484</v>
      </c>
      <c r="C192" s="56" t="s">
        <v>446</v>
      </c>
      <c r="D192" s="56" t="s">
        <v>485</v>
      </c>
      <c r="E192" s="56" t="s">
        <v>272</v>
      </c>
      <c r="F192" s="56" t="s">
        <v>15</v>
      </c>
      <c r="G192" s="57" t="s">
        <v>15</v>
      </c>
      <c r="H192" s="68">
        <f t="shared" si="3"/>
        <v>0</v>
      </c>
      <c r="I192" s="62"/>
      <c r="J192" s="62"/>
      <c r="K192" s="71"/>
      <c r="L192" s="57"/>
      <c r="M192" s="61"/>
      <c r="N192" s="61"/>
      <c r="O192" s="62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30"/>
      <c r="AC192" s="30">
        <v>12.0</v>
      </c>
      <c r="AD192" s="30">
        <f t="shared" si="4"/>
        <v>0</v>
      </c>
      <c r="AE192" s="70">
        <f t="shared" si="5"/>
        <v>0</v>
      </c>
      <c r="AF192" s="70">
        <v>1.0</v>
      </c>
    </row>
    <row r="193" ht="15.75" hidden="1" customHeight="1">
      <c r="A193" s="54">
        <v>140.0</v>
      </c>
      <c r="B193" s="56" t="s">
        <v>488</v>
      </c>
      <c r="C193" s="88" t="s">
        <v>449</v>
      </c>
      <c r="D193" s="56" t="s">
        <v>489</v>
      </c>
      <c r="E193" s="56" t="s">
        <v>272</v>
      </c>
      <c r="F193" s="56" t="s">
        <v>15</v>
      </c>
      <c r="G193" s="57" t="s">
        <v>15</v>
      </c>
      <c r="H193" s="68">
        <f t="shared" si="3"/>
        <v>0</v>
      </c>
      <c r="I193" s="62"/>
      <c r="J193" s="62"/>
      <c r="K193" s="71"/>
      <c r="L193" s="57"/>
      <c r="M193" s="61"/>
      <c r="N193" s="61"/>
      <c r="O193" s="62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30"/>
      <c r="AC193" s="30">
        <v>12.0</v>
      </c>
      <c r="AD193" s="30">
        <f t="shared" si="4"/>
        <v>0</v>
      </c>
      <c r="AE193" s="70">
        <f t="shared" si="5"/>
        <v>0</v>
      </c>
      <c r="AF193" s="70">
        <v>1.0</v>
      </c>
    </row>
    <row r="194" ht="15.75" hidden="1" customHeight="1">
      <c r="A194" s="54">
        <v>140.0</v>
      </c>
      <c r="B194" s="56" t="s">
        <v>490</v>
      </c>
      <c r="C194" s="56" t="s">
        <v>270</v>
      </c>
      <c r="D194" s="56" t="s">
        <v>491</v>
      </c>
      <c r="E194" s="56" t="s">
        <v>272</v>
      </c>
      <c r="F194" s="56" t="s">
        <v>15</v>
      </c>
      <c r="G194" s="57" t="s">
        <v>15</v>
      </c>
      <c r="H194" s="68">
        <f t="shared" si="3"/>
        <v>0</v>
      </c>
      <c r="I194" s="62"/>
      <c r="J194" s="62"/>
      <c r="K194" s="71"/>
      <c r="L194" s="57"/>
      <c r="M194" s="61"/>
      <c r="N194" s="61"/>
      <c r="O194" s="62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30"/>
      <c r="AC194" s="30">
        <v>12.0</v>
      </c>
      <c r="AD194" s="30">
        <f t="shared" si="4"/>
        <v>0</v>
      </c>
      <c r="AE194" s="70">
        <f t="shared" si="5"/>
        <v>0</v>
      </c>
      <c r="AF194" s="70">
        <v>1.0</v>
      </c>
    </row>
    <row r="195" ht="15.75" hidden="1" customHeight="1">
      <c r="A195" s="54">
        <v>140.0</v>
      </c>
      <c r="B195" s="56" t="s">
        <v>493</v>
      </c>
      <c r="C195" s="56" t="s">
        <v>270</v>
      </c>
      <c r="D195" s="56" t="s">
        <v>494</v>
      </c>
      <c r="E195" s="56" t="s">
        <v>272</v>
      </c>
      <c r="F195" s="56" t="s">
        <v>15</v>
      </c>
      <c r="G195" s="57" t="s">
        <v>15</v>
      </c>
      <c r="H195" s="68">
        <f t="shared" si="3"/>
        <v>0</v>
      </c>
      <c r="I195" s="62"/>
      <c r="J195" s="62"/>
      <c r="K195" s="71"/>
      <c r="L195" s="57"/>
      <c r="M195" s="61"/>
      <c r="N195" s="61"/>
      <c r="O195" s="62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30"/>
      <c r="AC195" s="30">
        <v>12.0</v>
      </c>
      <c r="AD195" s="30">
        <f t="shared" si="4"/>
        <v>0</v>
      </c>
      <c r="AE195" s="70">
        <f t="shared" si="5"/>
        <v>0</v>
      </c>
      <c r="AF195" s="70">
        <v>1.0</v>
      </c>
    </row>
    <row r="196" ht="15.75" hidden="1" customHeight="1">
      <c r="A196" s="54">
        <v>140.0</v>
      </c>
      <c r="B196" s="56" t="s">
        <v>496</v>
      </c>
      <c r="C196" s="56" t="s">
        <v>497</v>
      </c>
      <c r="D196" s="56" t="s">
        <v>498</v>
      </c>
      <c r="E196" s="56" t="s">
        <v>272</v>
      </c>
      <c r="F196" s="56" t="s">
        <v>15</v>
      </c>
      <c r="G196" s="57" t="s">
        <v>15</v>
      </c>
      <c r="H196" s="68">
        <f t="shared" si="3"/>
        <v>0</v>
      </c>
      <c r="I196" s="62"/>
      <c r="J196" s="62"/>
      <c r="K196" s="71"/>
      <c r="L196" s="57"/>
      <c r="M196" s="61"/>
      <c r="N196" s="61"/>
      <c r="O196" s="62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30"/>
      <c r="AC196" s="30">
        <v>12.0</v>
      </c>
      <c r="AD196" s="30">
        <f t="shared" si="4"/>
        <v>0</v>
      </c>
      <c r="AE196" s="70">
        <f t="shared" si="5"/>
        <v>0</v>
      </c>
      <c r="AF196" s="70">
        <v>1.0</v>
      </c>
    </row>
    <row r="197" ht="15.75" hidden="1" customHeight="1">
      <c r="A197" s="54">
        <v>140.0</v>
      </c>
      <c r="B197" s="56" t="s">
        <v>269</v>
      </c>
      <c r="C197" s="56" t="s">
        <v>270</v>
      </c>
      <c r="D197" s="56" t="s">
        <v>271</v>
      </c>
      <c r="E197" s="56" t="s">
        <v>272</v>
      </c>
      <c r="F197" s="56" t="s">
        <v>173</v>
      </c>
      <c r="G197" s="57" t="s">
        <v>87</v>
      </c>
      <c r="H197" s="68">
        <f t="shared" si="3"/>
        <v>0</v>
      </c>
      <c r="I197" s="62"/>
      <c r="J197" s="62"/>
      <c r="K197" s="71"/>
      <c r="L197" s="57"/>
      <c r="M197" s="61"/>
      <c r="N197" s="61"/>
      <c r="O197" s="62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30"/>
      <c r="AC197" s="30">
        <v>12.0</v>
      </c>
      <c r="AD197" s="30">
        <f t="shared" si="4"/>
        <v>0</v>
      </c>
      <c r="AE197" s="70">
        <f t="shared" si="5"/>
        <v>0</v>
      </c>
      <c r="AF197" s="70">
        <v>1.0</v>
      </c>
    </row>
    <row r="198" ht="15.75" hidden="1" customHeight="1">
      <c r="A198" s="54">
        <v>140.0</v>
      </c>
      <c r="B198" s="56" t="s">
        <v>269</v>
      </c>
      <c r="C198" s="56" t="s">
        <v>270</v>
      </c>
      <c r="D198" s="56" t="s">
        <v>271</v>
      </c>
      <c r="E198" s="56" t="s">
        <v>276</v>
      </c>
      <c r="F198" s="56" t="s">
        <v>173</v>
      </c>
      <c r="G198" s="57" t="s">
        <v>87</v>
      </c>
      <c r="H198" s="68">
        <f t="shared" si="3"/>
        <v>0</v>
      </c>
      <c r="I198" s="62"/>
      <c r="J198" s="62"/>
      <c r="K198" s="71"/>
      <c r="L198" s="57"/>
      <c r="M198" s="61"/>
      <c r="N198" s="61"/>
      <c r="O198" s="62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101"/>
      <c r="AC198" s="30">
        <v>12.0</v>
      </c>
      <c r="AD198" s="30">
        <f t="shared" si="4"/>
        <v>0</v>
      </c>
      <c r="AE198" s="70">
        <f t="shared" si="5"/>
        <v>0</v>
      </c>
      <c r="AF198" s="70">
        <v>1.0</v>
      </c>
    </row>
    <row r="199" ht="15.75" hidden="1" customHeight="1">
      <c r="A199" s="54">
        <v>140.0</v>
      </c>
      <c r="B199" s="56" t="s">
        <v>269</v>
      </c>
      <c r="C199" s="56" t="s">
        <v>270</v>
      </c>
      <c r="D199" s="56" t="s">
        <v>486</v>
      </c>
      <c r="E199" s="56" t="s">
        <v>487</v>
      </c>
      <c r="F199" s="56" t="s">
        <v>670</v>
      </c>
      <c r="G199" s="56"/>
      <c r="H199" s="68">
        <f t="shared" si="3"/>
        <v>0</v>
      </c>
      <c r="I199" s="62"/>
      <c r="J199" s="62"/>
      <c r="K199" s="71"/>
      <c r="L199" s="57"/>
      <c r="M199" s="61"/>
      <c r="N199" s="61"/>
      <c r="O199" s="62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101"/>
      <c r="AC199" s="30">
        <v>1.0</v>
      </c>
      <c r="AD199" s="30">
        <f t="shared" si="4"/>
        <v>0</v>
      </c>
      <c r="AE199" s="70">
        <f t="shared" si="5"/>
        <v>0</v>
      </c>
      <c r="AF199" s="70">
        <v>1.0</v>
      </c>
    </row>
    <row r="200" ht="15.75" hidden="1" customHeight="1">
      <c r="A200" s="54">
        <v>140.0</v>
      </c>
      <c r="B200" s="56" t="s">
        <v>284</v>
      </c>
      <c r="C200" s="56" t="s">
        <v>270</v>
      </c>
      <c r="D200" s="56" t="s">
        <v>285</v>
      </c>
      <c r="E200" s="56" t="s">
        <v>272</v>
      </c>
      <c r="F200" s="56" t="s">
        <v>173</v>
      </c>
      <c r="G200" s="57" t="s">
        <v>87</v>
      </c>
      <c r="H200" s="68">
        <f t="shared" si="3"/>
        <v>0</v>
      </c>
      <c r="I200" s="62"/>
      <c r="J200" s="62"/>
      <c r="K200" s="71"/>
      <c r="L200" s="57"/>
      <c r="M200" s="61"/>
      <c r="N200" s="61"/>
      <c r="O200" s="62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30"/>
      <c r="AC200" s="30">
        <v>12.0</v>
      </c>
      <c r="AD200" s="30">
        <f t="shared" si="4"/>
        <v>0</v>
      </c>
      <c r="AE200" s="70">
        <f t="shared" si="5"/>
        <v>0</v>
      </c>
      <c r="AF200" s="70">
        <v>1.0</v>
      </c>
    </row>
    <row r="201" ht="15.75" hidden="1" customHeight="1">
      <c r="A201" s="54">
        <v>140.0</v>
      </c>
      <c r="B201" s="56" t="s">
        <v>284</v>
      </c>
      <c r="C201" s="56" t="s">
        <v>270</v>
      </c>
      <c r="D201" s="56" t="s">
        <v>285</v>
      </c>
      <c r="E201" s="56" t="s">
        <v>276</v>
      </c>
      <c r="F201" s="56" t="s">
        <v>173</v>
      </c>
      <c r="G201" s="57" t="s">
        <v>87</v>
      </c>
      <c r="H201" s="68">
        <f t="shared" si="3"/>
        <v>0</v>
      </c>
      <c r="I201" s="62"/>
      <c r="J201" s="62"/>
      <c r="K201" s="71"/>
      <c r="L201" s="57"/>
      <c r="M201" s="61"/>
      <c r="N201" s="61"/>
      <c r="O201" s="62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101"/>
      <c r="AC201" s="30">
        <v>12.0</v>
      </c>
      <c r="AD201" s="30">
        <f t="shared" si="4"/>
        <v>0</v>
      </c>
      <c r="AE201" s="70">
        <f t="shared" si="5"/>
        <v>0</v>
      </c>
      <c r="AF201" s="70">
        <v>1.0</v>
      </c>
    </row>
    <row r="202" ht="15.75" hidden="1" customHeight="1">
      <c r="A202" s="54">
        <v>140.0</v>
      </c>
      <c r="B202" s="56" t="s">
        <v>284</v>
      </c>
      <c r="C202" s="56" t="s">
        <v>270</v>
      </c>
      <c r="D202" s="56" t="s">
        <v>492</v>
      </c>
      <c r="E202" s="56" t="s">
        <v>487</v>
      </c>
      <c r="F202" s="56" t="s">
        <v>670</v>
      </c>
      <c r="G202" s="56"/>
      <c r="H202" s="68">
        <f t="shared" si="3"/>
        <v>0</v>
      </c>
      <c r="I202" s="62"/>
      <c r="J202" s="62"/>
      <c r="K202" s="71"/>
      <c r="L202" s="57"/>
      <c r="M202" s="61"/>
      <c r="N202" s="61"/>
      <c r="O202" s="62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30"/>
      <c r="AC202" s="30">
        <v>1.0</v>
      </c>
      <c r="AD202" s="30">
        <f t="shared" si="4"/>
        <v>0</v>
      </c>
      <c r="AE202" s="70">
        <f t="shared" si="5"/>
        <v>0</v>
      </c>
      <c r="AF202" s="70">
        <v>1.0</v>
      </c>
    </row>
    <row r="203" ht="15.75" hidden="1" customHeight="1">
      <c r="A203" s="54">
        <v>140.0</v>
      </c>
      <c r="B203" s="56" t="s">
        <v>502</v>
      </c>
      <c r="C203" s="56" t="s">
        <v>497</v>
      </c>
      <c r="D203" s="56" t="s">
        <v>503</v>
      </c>
      <c r="E203" s="56" t="s">
        <v>272</v>
      </c>
      <c r="F203" s="56" t="s">
        <v>15</v>
      </c>
      <c r="G203" s="57" t="s">
        <v>15</v>
      </c>
      <c r="H203" s="68">
        <f t="shared" si="3"/>
        <v>0</v>
      </c>
      <c r="I203" s="62"/>
      <c r="J203" s="62"/>
      <c r="K203" s="71"/>
      <c r="L203" s="57"/>
      <c r="M203" s="61"/>
      <c r="N203" s="61"/>
      <c r="O203" s="62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30"/>
      <c r="AC203" s="30">
        <v>12.0</v>
      </c>
      <c r="AD203" s="30">
        <f t="shared" si="4"/>
        <v>0</v>
      </c>
      <c r="AE203" s="70">
        <f t="shared" si="5"/>
        <v>0</v>
      </c>
      <c r="AF203" s="70">
        <v>1.0</v>
      </c>
    </row>
    <row r="204" ht="15.75" hidden="1" customHeight="1">
      <c r="A204" s="54">
        <v>140.0</v>
      </c>
      <c r="B204" s="56" t="s">
        <v>502</v>
      </c>
      <c r="C204" s="56" t="s">
        <v>497</v>
      </c>
      <c r="D204" s="56" t="s">
        <v>509</v>
      </c>
      <c r="E204" s="56" t="s">
        <v>272</v>
      </c>
      <c r="F204" s="56" t="s">
        <v>15</v>
      </c>
      <c r="G204" s="57" t="s">
        <v>15</v>
      </c>
      <c r="H204" s="68">
        <f t="shared" si="3"/>
        <v>0</v>
      </c>
      <c r="I204" s="62"/>
      <c r="J204" s="62"/>
      <c r="K204" s="71"/>
      <c r="L204" s="57"/>
      <c r="M204" s="61"/>
      <c r="N204" s="61"/>
      <c r="O204" s="62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30"/>
      <c r="AC204" s="30">
        <v>12.0</v>
      </c>
      <c r="AD204" s="30">
        <f t="shared" si="4"/>
        <v>0</v>
      </c>
      <c r="AE204" s="70">
        <f t="shared" si="5"/>
        <v>0</v>
      </c>
      <c r="AF204" s="70">
        <v>1.0</v>
      </c>
    </row>
    <row r="205" ht="15.75" hidden="1" customHeight="1">
      <c r="A205" s="54">
        <v>140.0</v>
      </c>
      <c r="B205" s="56" t="s">
        <v>499</v>
      </c>
      <c r="C205" s="56" t="s">
        <v>500</v>
      </c>
      <c r="D205" s="56" t="s">
        <v>501</v>
      </c>
      <c r="E205" s="56" t="s">
        <v>225</v>
      </c>
      <c r="F205" s="56" t="s">
        <v>168</v>
      </c>
      <c r="G205" s="57" t="s">
        <v>34</v>
      </c>
      <c r="H205" s="68">
        <f t="shared" si="3"/>
        <v>0</v>
      </c>
      <c r="I205" s="62"/>
      <c r="J205" s="62"/>
      <c r="K205" s="71"/>
      <c r="L205" s="57"/>
      <c r="M205" s="61"/>
      <c r="N205" s="61"/>
      <c r="O205" s="62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30">
        <v>1.0</v>
      </c>
      <c r="AD205" s="30">
        <f t="shared" si="4"/>
        <v>0</v>
      </c>
      <c r="AE205" s="70">
        <f t="shared" si="5"/>
        <v>0</v>
      </c>
      <c r="AF205" s="70">
        <v>1.0</v>
      </c>
    </row>
    <row r="206" ht="15.75" hidden="1" customHeight="1">
      <c r="A206" s="54">
        <v>140.0</v>
      </c>
      <c r="B206" s="56" t="s">
        <v>499</v>
      </c>
      <c r="C206" s="56" t="s">
        <v>500</v>
      </c>
      <c r="D206" s="56" t="s">
        <v>501</v>
      </c>
      <c r="E206" s="56" t="s">
        <v>167</v>
      </c>
      <c r="F206" s="56" t="s">
        <v>246</v>
      </c>
      <c r="G206" s="57" t="s">
        <v>154</v>
      </c>
      <c r="H206" s="68">
        <f t="shared" si="3"/>
        <v>0</v>
      </c>
      <c r="I206" s="62"/>
      <c r="J206" s="62"/>
      <c r="K206" s="71"/>
      <c r="L206" s="57"/>
      <c r="M206" s="61"/>
      <c r="N206" s="61"/>
      <c r="O206" s="62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30">
        <v>2.0</v>
      </c>
      <c r="AD206" s="30">
        <f t="shared" si="4"/>
        <v>0</v>
      </c>
      <c r="AE206" s="70">
        <f t="shared" si="5"/>
        <v>0</v>
      </c>
      <c r="AF206" s="70">
        <v>1.0</v>
      </c>
    </row>
    <row r="207" ht="15.75" hidden="1" customHeight="1">
      <c r="A207" s="54">
        <v>140.0</v>
      </c>
      <c r="B207" s="56" t="s">
        <v>499</v>
      </c>
      <c r="C207" s="56" t="s">
        <v>500</v>
      </c>
      <c r="D207" s="56" t="s">
        <v>501</v>
      </c>
      <c r="E207" s="56" t="s">
        <v>226</v>
      </c>
      <c r="F207" s="56" t="s">
        <v>246</v>
      </c>
      <c r="G207" s="57" t="s">
        <v>154</v>
      </c>
      <c r="H207" s="68">
        <f t="shared" si="3"/>
        <v>0</v>
      </c>
      <c r="I207" s="62"/>
      <c r="J207" s="62"/>
      <c r="K207" s="71"/>
      <c r="L207" s="57"/>
      <c r="M207" s="61"/>
      <c r="N207" s="61"/>
      <c r="O207" s="62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30">
        <v>2.0</v>
      </c>
      <c r="AD207" s="30">
        <f t="shared" si="4"/>
        <v>0</v>
      </c>
      <c r="AE207" s="70">
        <f t="shared" si="5"/>
        <v>0</v>
      </c>
      <c r="AF207" s="70">
        <v>1.0</v>
      </c>
    </row>
    <row r="208" ht="15.75" hidden="1" customHeight="1">
      <c r="A208" s="54">
        <v>140.0</v>
      </c>
      <c r="B208" s="56" t="s">
        <v>499</v>
      </c>
      <c r="C208" s="56" t="s">
        <v>500</v>
      </c>
      <c r="D208" s="56" t="s">
        <v>510</v>
      </c>
      <c r="E208" s="56" t="s">
        <v>272</v>
      </c>
      <c r="F208" s="56" t="s">
        <v>15</v>
      </c>
      <c r="G208" s="57" t="s">
        <v>15</v>
      </c>
      <c r="H208" s="68">
        <f t="shared" si="3"/>
        <v>0</v>
      </c>
      <c r="I208" s="62"/>
      <c r="J208" s="62"/>
      <c r="K208" s="71"/>
      <c r="L208" s="57"/>
      <c r="M208" s="61"/>
      <c r="N208" s="61"/>
      <c r="O208" s="62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30"/>
      <c r="AC208" s="30">
        <v>12.0</v>
      </c>
      <c r="AD208" s="30">
        <f t="shared" si="4"/>
        <v>0</v>
      </c>
      <c r="AE208" s="70">
        <f t="shared" si="5"/>
        <v>0</v>
      </c>
      <c r="AF208" s="70">
        <v>1.0</v>
      </c>
    </row>
    <row r="209" ht="15.75" hidden="1" customHeight="1">
      <c r="A209" s="54">
        <v>140.0</v>
      </c>
      <c r="B209" s="56" t="s">
        <v>504</v>
      </c>
      <c r="C209" s="56" t="s">
        <v>443</v>
      </c>
      <c r="D209" s="56" t="s">
        <v>505</v>
      </c>
      <c r="E209" s="56" t="s">
        <v>439</v>
      </c>
      <c r="F209" s="56" t="s">
        <v>246</v>
      </c>
      <c r="G209" s="57" t="s">
        <v>154</v>
      </c>
      <c r="H209" s="68">
        <f t="shared" si="3"/>
        <v>0</v>
      </c>
      <c r="I209" s="62"/>
      <c r="J209" s="62"/>
      <c r="K209" s="71"/>
      <c r="L209" s="57"/>
      <c r="M209" s="61"/>
      <c r="N209" s="61"/>
      <c r="O209" s="62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30"/>
      <c r="AC209" s="30">
        <v>2.0</v>
      </c>
      <c r="AD209" s="30">
        <f t="shared" si="4"/>
        <v>0</v>
      </c>
      <c r="AE209" s="70">
        <f t="shared" si="5"/>
        <v>0</v>
      </c>
      <c r="AF209" s="70">
        <v>1.0</v>
      </c>
    </row>
    <row r="210" ht="15.75" hidden="1" customHeight="1">
      <c r="A210" s="54">
        <v>140.0</v>
      </c>
      <c r="B210" s="56" t="s">
        <v>506</v>
      </c>
      <c r="C210" s="56" t="s">
        <v>507</v>
      </c>
      <c r="D210" s="56" t="s">
        <v>508</v>
      </c>
      <c r="E210" s="56" t="s">
        <v>336</v>
      </c>
      <c r="F210" s="56" t="s">
        <v>313</v>
      </c>
      <c r="G210" s="57" t="s">
        <v>192</v>
      </c>
      <c r="H210" s="68">
        <f t="shared" si="3"/>
        <v>0</v>
      </c>
      <c r="I210" s="62"/>
      <c r="J210" s="62"/>
      <c r="K210" s="71"/>
      <c r="L210" s="57" t="s">
        <v>115</v>
      </c>
      <c r="M210" s="61"/>
      <c r="N210" s="61"/>
      <c r="O210" s="62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30">
        <v>3.0</v>
      </c>
      <c r="AD210" s="30">
        <f t="shared" si="4"/>
        <v>0</v>
      </c>
      <c r="AE210" s="70">
        <f t="shared" si="5"/>
        <v>0</v>
      </c>
      <c r="AF210" s="70">
        <v>1.0</v>
      </c>
    </row>
    <row r="211" ht="15.75" hidden="1" customHeight="1">
      <c r="A211" s="54">
        <v>140.0</v>
      </c>
      <c r="B211" s="56" t="s">
        <v>506</v>
      </c>
      <c r="C211" s="56" t="s">
        <v>507</v>
      </c>
      <c r="D211" s="56" t="s">
        <v>508</v>
      </c>
      <c r="E211" s="56" t="s">
        <v>372</v>
      </c>
      <c r="F211" s="56" t="s">
        <v>193</v>
      </c>
      <c r="G211" s="57" t="s">
        <v>34</v>
      </c>
      <c r="H211" s="68">
        <f t="shared" si="3"/>
        <v>0</v>
      </c>
      <c r="I211" s="62"/>
      <c r="J211" s="62"/>
      <c r="K211" s="71"/>
      <c r="L211" s="57" t="s">
        <v>115</v>
      </c>
      <c r="M211" s="61"/>
      <c r="N211" s="61"/>
      <c r="O211" s="62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30"/>
      <c r="AC211" s="30">
        <v>1.0</v>
      </c>
      <c r="AD211" s="30">
        <f t="shared" si="4"/>
        <v>0</v>
      </c>
      <c r="AE211" s="70">
        <f t="shared" si="5"/>
        <v>0</v>
      </c>
      <c r="AF211" s="70">
        <v>1.0</v>
      </c>
    </row>
    <row r="212" ht="15.75" hidden="1" customHeight="1">
      <c r="A212" s="54">
        <v>140.0</v>
      </c>
      <c r="B212" s="56" t="s">
        <v>506</v>
      </c>
      <c r="C212" s="56" t="s">
        <v>507</v>
      </c>
      <c r="D212" s="56" t="s">
        <v>508</v>
      </c>
      <c r="E212" s="56" t="s">
        <v>158</v>
      </c>
      <c r="F212" s="56" t="s">
        <v>193</v>
      </c>
      <c r="G212" s="57" t="s">
        <v>34</v>
      </c>
      <c r="H212" s="68">
        <f t="shared" si="3"/>
        <v>0</v>
      </c>
      <c r="I212" s="62"/>
      <c r="J212" s="62"/>
      <c r="K212" s="71"/>
      <c r="L212" s="57" t="s">
        <v>115</v>
      </c>
      <c r="M212" s="61"/>
      <c r="N212" s="61"/>
      <c r="O212" s="62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30"/>
      <c r="AC212" s="30">
        <v>1.0</v>
      </c>
      <c r="AD212" s="30">
        <f t="shared" si="4"/>
        <v>0</v>
      </c>
      <c r="AE212" s="70">
        <f t="shared" si="5"/>
        <v>0</v>
      </c>
      <c r="AF212" s="70">
        <v>1.0</v>
      </c>
    </row>
    <row r="213" ht="15.75" hidden="1" customHeight="1">
      <c r="A213" s="54">
        <v>140.0</v>
      </c>
      <c r="B213" s="56" t="s">
        <v>511</v>
      </c>
      <c r="C213" s="56" t="s">
        <v>497</v>
      </c>
      <c r="D213" s="56" t="s">
        <v>512</v>
      </c>
      <c r="E213" s="56" t="s">
        <v>272</v>
      </c>
      <c r="F213" s="56" t="s">
        <v>15</v>
      </c>
      <c r="G213" s="57" t="s">
        <v>15</v>
      </c>
      <c r="H213" s="68">
        <f t="shared" si="3"/>
        <v>0</v>
      </c>
      <c r="I213" s="62"/>
      <c r="J213" s="62"/>
      <c r="K213" s="71"/>
      <c r="L213" s="57"/>
      <c r="M213" s="61"/>
      <c r="N213" s="61"/>
      <c r="O213" s="62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30"/>
      <c r="AC213" s="30">
        <v>12.0</v>
      </c>
      <c r="AD213" s="30">
        <f t="shared" si="4"/>
        <v>0</v>
      </c>
      <c r="AE213" s="70">
        <f t="shared" si="5"/>
        <v>0</v>
      </c>
      <c r="AF213" s="70">
        <v>1.0</v>
      </c>
    </row>
    <row r="214" ht="15.75" hidden="1" customHeight="1">
      <c r="A214" s="54">
        <v>140.0</v>
      </c>
      <c r="B214" s="56" t="s">
        <v>513</v>
      </c>
      <c r="C214" s="56" t="s">
        <v>437</v>
      </c>
      <c r="D214" s="56" t="s">
        <v>514</v>
      </c>
      <c r="E214" s="56" t="s">
        <v>272</v>
      </c>
      <c r="F214" s="56" t="s">
        <v>15</v>
      </c>
      <c r="G214" s="57" t="s">
        <v>15</v>
      </c>
      <c r="H214" s="68">
        <f t="shared" si="3"/>
        <v>0</v>
      </c>
      <c r="I214" s="62"/>
      <c r="J214" s="62"/>
      <c r="K214" s="71"/>
      <c r="L214" s="57"/>
      <c r="M214" s="61"/>
      <c r="N214" s="61"/>
      <c r="O214" s="62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30"/>
      <c r="AC214" s="30">
        <v>12.0</v>
      </c>
      <c r="AD214" s="30">
        <f t="shared" si="4"/>
        <v>0</v>
      </c>
      <c r="AE214" s="70">
        <f t="shared" si="5"/>
        <v>0</v>
      </c>
      <c r="AF214" s="70">
        <v>1.0</v>
      </c>
    </row>
    <row r="215" ht="15.75" hidden="1" customHeight="1">
      <c r="A215" s="54">
        <v>140.0</v>
      </c>
      <c r="B215" s="56" t="s">
        <v>515</v>
      </c>
      <c r="C215" s="56" t="s">
        <v>437</v>
      </c>
      <c r="D215" s="56" t="s">
        <v>516</v>
      </c>
      <c r="E215" s="56" t="s">
        <v>272</v>
      </c>
      <c r="F215" s="56" t="s">
        <v>15</v>
      </c>
      <c r="G215" s="57" t="s">
        <v>15</v>
      </c>
      <c r="H215" s="68">
        <f t="shared" si="3"/>
        <v>0</v>
      </c>
      <c r="I215" s="62"/>
      <c r="J215" s="62"/>
      <c r="K215" s="71"/>
      <c r="L215" s="57"/>
      <c r="M215" s="61"/>
      <c r="N215" s="61"/>
      <c r="O215" s="62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30"/>
      <c r="AC215" s="30">
        <v>12.0</v>
      </c>
      <c r="AD215" s="30">
        <f t="shared" si="4"/>
        <v>0</v>
      </c>
      <c r="AE215" s="70">
        <f t="shared" si="5"/>
        <v>0</v>
      </c>
      <c r="AF215" s="70">
        <v>1.0</v>
      </c>
    </row>
    <row r="216" ht="15.75" hidden="1" customHeight="1">
      <c r="A216" s="54">
        <v>140.0</v>
      </c>
      <c r="B216" s="56" t="s">
        <v>517</v>
      </c>
      <c r="C216" s="56" t="s">
        <v>437</v>
      </c>
      <c r="D216" s="56" t="s">
        <v>518</v>
      </c>
      <c r="E216" s="56" t="s">
        <v>272</v>
      </c>
      <c r="F216" s="56" t="s">
        <v>15</v>
      </c>
      <c r="G216" s="57" t="s">
        <v>15</v>
      </c>
      <c r="H216" s="68">
        <f t="shared" si="3"/>
        <v>0</v>
      </c>
      <c r="I216" s="57"/>
      <c r="J216" s="57"/>
      <c r="K216" s="57"/>
      <c r="L216" s="57"/>
      <c r="M216" s="81"/>
      <c r="N216" s="81"/>
      <c r="O216" s="57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30"/>
      <c r="AC216" s="30">
        <v>12.0</v>
      </c>
      <c r="AD216" s="30">
        <f t="shared" si="4"/>
        <v>0</v>
      </c>
      <c r="AE216" s="70">
        <f t="shared" si="5"/>
        <v>0</v>
      </c>
      <c r="AF216" s="70">
        <v>1.0</v>
      </c>
    </row>
    <row r="217" ht="15.75" hidden="1" customHeight="1">
      <c r="A217" s="54">
        <v>140.0</v>
      </c>
      <c r="B217" s="56" t="s">
        <v>519</v>
      </c>
      <c r="C217" s="56" t="s">
        <v>437</v>
      </c>
      <c r="D217" s="56" t="s">
        <v>520</v>
      </c>
      <c r="E217" s="56" t="s">
        <v>272</v>
      </c>
      <c r="F217" s="56" t="s">
        <v>15</v>
      </c>
      <c r="G217" s="57" t="s">
        <v>15</v>
      </c>
      <c r="H217" s="68">
        <f t="shared" si="3"/>
        <v>0</v>
      </c>
      <c r="I217" s="62"/>
      <c r="J217" s="62"/>
      <c r="K217" s="71"/>
      <c r="L217" s="57"/>
      <c r="M217" s="61"/>
      <c r="N217" s="61"/>
      <c r="O217" s="62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30"/>
      <c r="AC217" s="30">
        <v>12.0</v>
      </c>
      <c r="AD217" s="30">
        <f t="shared" si="4"/>
        <v>0</v>
      </c>
      <c r="AE217" s="70">
        <f t="shared" si="5"/>
        <v>0</v>
      </c>
      <c r="AF217" s="70">
        <v>1.0</v>
      </c>
    </row>
    <row r="218" ht="15.75" hidden="1" customHeight="1">
      <c r="A218" s="54">
        <v>140.0</v>
      </c>
      <c r="B218" s="56" t="s">
        <v>521</v>
      </c>
      <c r="C218" s="56" t="s">
        <v>443</v>
      </c>
      <c r="D218" s="56" t="s">
        <v>522</v>
      </c>
      <c r="E218" s="56" t="s">
        <v>272</v>
      </c>
      <c r="F218" s="56" t="s">
        <v>15</v>
      </c>
      <c r="G218" s="57" t="s">
        <v>15</v>
      </c>
      <c r="H218" s="68">
        <f t="shared" si="3"/>
        <v>0</v>
      </c>
      <c r="I218" s="62"/>
      <c r="J218" s="62"/>
      <c r="K218" s="71"/>
      <c r="L218" s="57"/>
      <c r="M218" s="61"/>
      <c r="N218" s="61"/>
      <c r="O218" s="62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30"/>
      <c r="AC218" s="30">
        <v>12.0</v>
      </c>
      <c r="AD218" s="30">
        <f t="shared" si="4"/>
        <v>0</v>
      </c>
      <c r="AE218" s="70">
        <f t="shared" si="5"/>
        <v>0</v>
      </c>
      <c r="AF218" s="70">
        <v>1.0</v>
      </c>
    </row>
    <row r="219" ht="15.75" hidden="1" customHeight="1">
      <c r="A219" s="54">
        <v>140.0</v>
      </c>
      <c r="B219" s="56" t="s">
        <v>523</v>
      </c>
      <c r="C219" s="56" t="s">
        <v>443</v>
      </c>
      <c r="D219" s="56" t="s">
        <v>524</v>
      </c>
      <c r="E219" s="56" t="s">
        <v>272</v>
      </c>
      <c r="F219" s="56" t="s">
        <v>15</v>
      </c>
      <c r="G219" s="57" t="s">
        <v>15</v>
      </c>
      <c r="H219" s="68">
        <f t="shared" si="3"/>
        <v>0</v>
      </c>
      <c r="I219" s="62"/>
      <c r="J219" s="62"/>
      <c r="K219" s="71"/>
      <c r="L219" s="57"/>
      <c r="M219" s="61"/>
      <c r="N219" s="61"/>
      <c r="O219" s="62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30"/>
      <c r="AC219" s="30">
        <v>12.0</v>
      </c>
      <c r="AD219" s="30">
        <f t="shared" si="4"/>
        <v>0</v>
      </c>
      <c r="AE219" s="70">
        <f t="shared" si="5"/>
        <v>0</v>
      </c>
      <c r="AF219" s="70">
        <v>1.0</v>
      </c>
    </row>
    <row r="220" ht="15.75" hidden="1" customHeight="1">
      <c r="A220" s="54">
        <v>140.0</v>
      </c>
      <c r="B220" s="56" t="s">
        <v>525</v>
      </c>
      <c r="C220" s="56" t="s">
        <v>443</v>
      </c>
      <c r="D220" s="56" t="s">
        <v>526</v>
      </c>
      <c r="E220" s="56" t="s">
        <v>272</v>
      </c>
      <c r="F220" s="56" t="s">
        <v>15</v>
      </c>
      <c r="G220" s="57" t="s">
        <v>15</v>
      </c>
      <c r="H220" s="68">
        <f t="shared" si="3"/>
        <v>0</v>
      </c>
      <c r="I220" s="62"/>
      <c r="J220" s="62"/>
      <c r="K220" s="71"/>
      <c r="L220" s="57"/>
      <c r="M220" s="61"/>
      <c r="N220" s="61"/>
      <c r="O220" s="62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30"/>
      <c r="AC220" s="30">
        <v>12.0</v>
      </c>
      <c r="AD220" s="30">
        <f t="shared" si="4"/>
        <v>0</v>
      </c>
      <c r="AE220" s="70">
        <f t="shared" si="5"/>
        <v>0</v>
      </c>
      <c r="AF220" s="70">
        <v>1.0</v>
      </c>
    </row>
    <row r="221" ht="15.75" hidden="1" customHeight="1">
      <c r="A221" s="54">
        <v>140.0</v>
      </c>
      <c r="B221" s="56" t="s">
        <v>527</v>
      </c>
      <c r="C221" s="56" t="s">
        <v>446</v>
      </c>
      <c r="D221" s="56" t="s">
        <v>528</v>
      </c>
      <c r="E221" s="56" t="s">
        <v>272</v>
      </c>
      <c r="F221" s="56" t="s">
        <v>15</v>
      </c>
      <c r="G221" s="57" t="s">
        <v>15</v>
      </c>
      <c r="H221" s="68">
        <f t="shared" si="3"/>
        <v>0</v>
      </c>
      <c r="I221" s="62"/>
      <c r="J221" s="62"/>
      <c r="K221" s="71"/>
      <c r="L221" s="57"/>
      <c r="M221" s="61"/>
      <c r="N221" s="61"/>
      <c r="O221" s="62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30"/>
      <c r="AC221" s="30">
        <v>12.0</v>
      </c>
      <c r="AD221" s="30">
        <f t="shared" si="4"/>
        <v>0</v>
      </c>
      <c r="AE221" s="70">
        <f t="shared" si="5"/>
        <v>0</v>
      </c>
      <c r="AF221" s="70">
        <v>1.0</v>
      </c>
    </row>
    <row r="222" ht="15.75" hidden="1" customHeight="1">
      <c r="A222" s="54">
        <v>140.0</v>
      </c>
      <c r="B222" s="56" t="s">
        <v>529</v>
      </c>
      <c r="C222" s="56" t="s">
        <v>446</v>
      </c>
      <c r="D222" s="56" t="s">
        <v>530</v>
      </c>
      <c r="E222" s="56" t="s">
        <v>272</v>
      </c>
      <c r="F222" s="56" t="s">
        <v>15</v>
      </c>
      <c r="G222" s="57" t="s">
        <v>15</v>
      </c>
      <c r="H222" s="68">
        <f t="shared" si="3"/>
        <v>0</v>
      </c>
      <c r="I222" s="62"/>
      <c r="J222" s="62"/>
      <c r="K222" s="71"/>
      <c r="L222" s="57"/>
      <c r="M222" s="61"/>
      <c r="N222" s="61"/>
      <c r="O222" s="62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101"/>
      <c r="AC222" s="30">
        <v>12.0</v>
      </c>
      <c r="AD222" s="30">
        <f t="shared" si="4"/>
        <v>0</v>
      </c>
      <c r="AE222" s="70">
        <f t="shared" si="5"/>
        <v>0</v>
      </c>
      <c r="AF222" s="70">
        <v>1.0</v>
      </c>
    </row>
    <row r="223" ht="15.75" hidden="1" customHeight="1">
      <c r="A223" s="54">
        <v>140.0</v>
      </c>
      <c r="B223" s="56" t="s">
        <v>531</v>
      </c>
      <c r="C223" s="88" t="s">
        <v>449</v>
      </c>
      <c r="D223" s="56" t="s">
        <v>532</v>
      </c>
      <c r="E223" s="56" t="s">
        <v>272</v>
      </c>
      <c r="F223" s="56" t="s">
        <v>15</v>
      </c>
      <c r="G223" s="57" t="s">
        <v>15</v>
      </c>
      <c r="H223" s="68">
        <f t="shared" si="3"/>
        <v>0</v>
      </c>
      <c r="I223" s="62"/>
      <c r="J223" s="62"/>
      <c r="K223" s="71"/>
      <c r="L223" s="57"/>
      <c r="M223" s="61"/>
      <c r="N223" s="61"/>
      <c r="O223" s="62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30"/>
      <c r="AC223" s="30">
        <v>12.0</v>
      </c>
      <c r="AD223" s="30">
        <f t="shared" si="4"/>
        <v>0</v>
      </c>
      <c r="AE223" s="70">
        <f t="shared" si="5"/>
        <v>0</v>
      </c>
      <c r="AF223" s="70">
        <v>1.0</v>
      </c>
    </row>
    <row r="224" ht="15.75" hidden="1" customHeight="1">
      <c r="A224" s="54">
        <v>140.0</v>
      </c>
      <c r="B224" s="56" t="s">
        <v>568</v>
      </c>
      <c r="C224" s="56" t="s">
        <v>446</v>
      </c>
      <c r="D224" s="56" t="s">
        <v>569</v>
      </c>
      <c r="E224" s="56" t="s">
        <v>272</v>
      </c>
      <c r="F224" s="56" t="s">
        <v>15</v>
      </c>
      <c r="G224" s="57" t="s">
        <v>15</v>
      </c>
      <c r="H224" s="68">
        <f t="shared" si="3"/>
        <v>0</v>
      </c>
      <c r="I224" s="62"/>
      <c r="J224" s="62"/>
      <c r="K224" s="71"/>
      <c r="L224" s="57"/>
      <c r="M224" s="61"/>
      <c r="N224" s="61"/>
      <c r="O224" s="62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30"/>
      <c r="AC224" s="30">
        <v>12.0</v>
      </c>
      <c r="AD224" s="30">
        <f t="shared" si="4"/>
        <v>0</v>
      </c>
      <c r="AE224" s="70">
        <f t="shared" si="5"/>
        <v>0</v>
      </c>
      <c r="AF224" s="70">
        <v>1.0</v>
      </c>
    </row>
    <row r="225" ht="15.75" hidden="1" customHeight="1">
      <c r="A225" s="54">
        <v>140.0</v>
      </c>
      <c r="B225" s="56" t="s">
        <v>602</v>
      </c>
      <c r="C225" s="56" t="s">
        <v>500</v>
      </c>
      <c r="D225" s="56" t="s">
        <v>603</v>
      </c>
      <c r="E225" s="56" t="s">
        <v>272</v>
      </c>
      <c r="F225" s="56" t="s">
        <v>15</v>
      </c>
      <c r="G225" s="57" t="s">
        <v>15</v>
      </c>
      <c r="H225" s="68">
        <f t="shared" si="3"/>
        <v>0</v>
      </c>
      <c r="I225" s="62"/>
      <c r="J225" s="62"/>
      <c r="K225" s="71"/>
      <c r="L225" s="57"/>
      <c r="M225" s="61"/>
      <c r="N225" s="61"/>
      <c r="O225" s="62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30"/>
      <c r="AC225" s="30">
        <v>12.0</v>
      </c>
      <c r="AD225" s="30">
        <f t="shared" si="4"/>
        <v>0</v>
      </c>
      <c r="AE225" s="70">
        <f t="shared" si="5"/>
        <v>0</v>
      </c>
      <c r="AF225" s="70">
        <v>1.0</v>
      </c>
    </row>
    <row r="226" ht="15.75" hidden="1" customHeight="1">
      <c r="A226" s="54">
        <v>140.0</v>
      </c>
      <c r="B226" s="56" t="s">
        <v>533</v>
      </c>
      <c r="C226" s="56" t="s">
        <v>497</v>
      </c>
      <c r="D226" s="56" t="s">
        <v>534</v>
      </c>
      <c r="E226" s="56" t="s">
        <v>439</v>
      </c>
      <c r="F226" s="56" t="s">
        <v>246</v>
      </c>
      <c r="G226" s="57" t="s">
        <v>154</v>
      </c>
      <c r="H226" s="68">
        <f t="shared" si="3"/>
        <v>0</v>
      </c>
      <c r="I226" s="62"/>
      <c r="J226" s="62"/>
      <c r="K226" s="71"/>
      <c r="L226" s="57"/>
      <c r="M226" s="61"/>
      <c r="N226" s="61"/>
      <c r="O226" s="62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30"/>
      <c r="AC226" s="30">
        <v>2.0</v>
      </c>
      <c r="AD226" s="30">
        <f t="shared" si="4"/>
        <v>0</v>
      </c>
      <c r="AE226" s="70">
        <f t="shared" si="5"/>
        <v>0</v>
      </c>
      <c r="AF226" s="70">
        <v>1.0</v>
      </c>
    </row>
    <row r="227" ht="15.75" hidden="1" customHeight="1">
      <c r="A227" s="54">
        <v>140.0</v>
      </c>
      <c r="B227" s="56" t="s">
        <v>535</v>
      </c>
      <c r="C227" s="56" t="s">
        <v>443</v>
      </c>
      <c r="D227" s="56" t="s">
        <v>537</v>
      </c>
      <c r="E227" s="56" t="s">
        <v>439</v>
      </c>
      <c r="F227" s="56" t="s">
        <v>246</v>
      </c>
      <c r="G227" s="57" t="s">
        <v>154</v>
      </c>
      <c r="H227" s="68">
        <f t="shared" si="3"/>
        <v>0</v>
      </c>
      <c r="I227" s="62"/>
      <c r="J227" s="62"/>
      <c r="K227" s="71"/>
      <c r="L227" s="57"/>
      <c r="M227" s="61"/>
      <c r="N227" s="61"/>
      <c r="O227" s="62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30">
        <v>2.0</v>
      </c>
      <c r="AD227" s="30">
        <f t="shared" si="4"/>
        <v>0</v>
      </c>
      <c r="AE227" s="70">
        <f t="shared" si="5"/>
        <v>0</v>
      </c>
      <c r="AF227" s="70">
        <v>1.0</v>
      </c>
    </row>
    <row r="228" ht="15.75" hidden="1" customHeight="1">
      <c r="A228" s="54">
        <v>140.0</v>
      </c>
      <c r="B228" s="56" t="s">
        <v>538</v>
      </c>
      <c r="C228" s="56" t="s">
        <v>446</v>
      </c>
      <c r="D228" s="56" t="s">
        <v>539</v>
      </c>
      <c r="E228" s="56" t="s">
        <v>439</v>
      </c>
      <c r="F228" s="56" t="s">
        <v>246</v>
      </c>
      <c r="G228" s="57" t="s">
        <v>154</v>
      </c>
      <c r="H228" s="68">
        <f t="shared" si="3"/>
        <v>0</v>
      </c>
      <c r="I228" s="62"/>
      <c r="J228" s="62"/>
      <c r="K228" s="71"/>
      <c r="L228" s="57"/>
      <c r="M228" s="61"/>
      <c r="N228" s="61"/>
      <c r="O228" s="62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30">
        <v>2.0</v>
      </c>
      <c r="AD228" s="30">
        <f t="shared" si="4"/>
        <v>0</v>
      </c>
      <c r="AE228" s="70">
        <f t="shared" si="5"/>
        <v>0</v>
      </c>
      <c r="AF228" s="70">
        <v>1.0</v>
      </c>
    </row>
    <row r="229" ht="15.75" hidden="1" customHeight="1">
      <c r="A229" s="54">
        <v>140.0</v>
      </c>
      <c r="B229" s="56" t="s">
        <v>540</v>
      </c>
      <c r="C229" s="56" t="s">
        <v>434</v>
      </c>
      <c r="D229" s="56" t="s">
        <v>541</v>
      </c>
      <c r="E229" s="56" t="s">
        <v>167</v>
      </c>
      <c r="F229" s="56" t="s">
        <v>246</v>
      </c>
      <c r="G229" s="57" t="s">
        <v>154</v>
      </c>
      <c r="H229" s="68">
        <f t="shared" si="3"/>
        <v>0</v>
      </c>
      <c r="I229" s="62"/>
      <c r="J229" s="62"/>
      <c r="K229" s="71"/>
      <c r="L229" s="57"/>
      <c r="M229" s="61"/>
      <c r="N229" s="61"/>
      <c r="O229" s="62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30">
        <v>2.0</v>
      </c>
      <c r="AD229" s="30">
        <f t="shared" si="4"/>
        <v>0</v>
      </c>
      <c r="AE229" s="70">
        <f t="shared" si="5"/>
        <v>0</v>
      </c>
      <c r="AF229" s="70">
        <v>1.0</v>
      </c>
    </row>
    <row r="230" ht="15.75" hidden="1" customHeight="1">
      <c r="A230" s="54">
        <v>140.0</v>
      </c>
      <c r="B230" s="56" t="s">
        <v>540</v>
      </c>
      <c r="C230" s="56" t="s">
        <v>434</v>
      </c>
      <c r="D230" s="56" t="s">
        <v>541</v>
      </c>
      <c r="E230" s="56" t="s">
        <v>176</v>
      </c>
      <c r="F230" s="56" t="s">
        <v>246</v>
      </c>
      <c r="G230" s="57" t="s">
        <v>154</v>
      </c>
      <c r="H230" s="68">
        <f t="shared" si="3"/>
        <v>0</v>
      </c>
      <c r="I230" s="62"/>
      <c r="J230" s="62"/>
      <c r="K230" s="71"/>
      <c r="L230" s="57"/>
      <c r="M230" s="61"/>
      <c r="N230" s="61"/>
      <c r="O230" s="62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30">
        <v>2.0</v>
      </c>
      <c r="AD230" s="30">
        <f t="shared" si="4"/>
        <v>0</v>
      </c>
      <c r="AE230" s="70">
        <f t="shared" si="5"/>
        <v>0</v>
      </c>
      <c r="AF230" s="70">
        <v>1.0</v>
      </c>
    </row>
    <row r="231" ht="15.75" hidden="1" customHeight="1">
      <c r="A231" s="54">
        <v>140.0</v>
      </c>
      <c r="B231" s="56" t="s">
        <v>543</v>
      </c>
      <c r="C231" s="56" t="s">
        <v>437</v>
      </c>
      <c r="D231" s="56" t="s">
        <v>544</v>
      </c>
      <c r="E231" s="56" t="s">
        <v>167</v>
      </c>
      <c r="F231" s="56" t="s">
        <v>246</v>
      </c>
      <c r="G231" s="57" t="s">
        <v>154</v>
      </c>
      <c r="H231" s="68">
        <f t="shared" si="3"/>
        <v>0</v>
      </c>
      <c r="I231" s="62"/>
      <c r="J231" s="62"/>
      <c r="K231" s="71"/>
      <c r="L231" s="57"/>
      <c r="M231" s="61"/>
      <c r="N231" s="61"/>
      <c r="O231" s="62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30">
        <v>2.0</v>
      </c>
      <c r="AD231" s="30">
        <f t="shared" si="4"/>
        <v>0</v>
      </c>
      <c r="AE231" s="70">
        <f t="shared" si="5"/>
        <v>0</v>
      </c>
      <c r="AF231" s="70">
        <v>1.0</v>
      </c>
    </row>
    <row r="232" ht="15.75" hidden="1" customHeight="1">
      <c r="A232" s="54">
        <v>140.0</v>
      </c>
      <c r="B232" s="56" t="s">
        <v>543</v>
      </c>
      <c r="C232" s="56" t="s">
        <v>437</v>
      </c>
      <c r="D232" s="56" t="s">
        <v>544</v>
      </c>
      <c r="E232" s="56" t="s">
        <v>176</v>
      </c>
      <c r="F232" s="56" t="s">
        <v>246</v>
      </c>
      <c r="G232" s="57" t="s">
        <v>154</v>
      </c>
      <c r="H232" s="68">
        <f t="shared" si="3"/>
        <v>0</v>
      </c>
      <c r="I232" s="62"/>
      <c r="J232" s="62"/>
      <c r="K232" s="71"/>
      <c r="L232" s="57"/>
      <c r="M232" s="61"/>
      <c r="N232" s="61"/>
      <c r="O232" s="62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30">
        <v>2.0</v>
      </c>
      <c r="AD232" s="30">
        <f t="shared" si="4"/>
        <v>0</v>
      </c>
      <c r="AE232" s="70">
        <f t="shared" si="5"/>
        <v>0</v>
      </c>
      <c r="AF232" s="70">
        <v>1.0</v>
      </c>
    </row>
    <row r="233" ht="15.75" hidden="1" customHeight="1">
      <c r="A233" s="54">
        <v>140.0</v>
      </c>
      <c r="B233" s="56" t="s">
        <v>545</v>
      </c>
      <c r="C233" s="56" t="s">
        <v>437</v>
      </c>
      <c r="D233" s="56" t="s">
        <v>546</v>
      </c>
      <c r="E233" s="56" t="s">
        <v>167</v>
      </c>
      <c r="F233" s="56" t="s">
        <v>246</v>
      </c>
      <c r="G233" s="57" t="s">
        <v>154</v>
      </c>
      <c r="H233" s="68">
        <f t="shared" si="3"/>
        <v>0</v>
      </c>
      <c r="I233" s="62"/>
      <c r="J233" s="62"/>
      <c r="K233" s="71"/>
      <c r="L233" s="57"/>
      <c r="M233" s="61"/>
      <c r="N233" s="61"/>
      <c r="O233" s="62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30">
        <v>2.0</v>
      </c>
      <c r="AD233" s="30">
        <f t="shared" si="4"/>
        <v>0</v>
      </c>
      <c r="AE233" s="70">
        <f t="shared" si="5"/>
        <v>0</v>
      </c>
      <c r="AF233" s="70">
        <v>1.0</v>
      </c>
    </row>
    <row r="234" ht="15.75" hidden="1" customHeight="1">
      <c r="A234" s="54">
        <v>140.0</v>
      </c>
      <c r="B234" s="56" t="s">
        <v>545</v>
      </c>
      <c r="C234" s="56" t="s">
        <v>437</v>
      </c>
      <c r="D234" s="56" t="s">
        <v>546</v>
      </c>
      <c r="E234" s="56" t="s">
        <v>176</v>
      </c>
      <c r="F234" s="56" t="s">
        <v>246</v>
      </c>
      <c r="G234" s="57" t="s">
        <v>154</v>
      </c>
      <c r="H234" s="68">
        <f t="shared" si="3"/>
        <v>0</v>
      </c>
      <c r="I234" s="62"/>
      <c r="J234" s="62"/>
      <c r="K234" s="71"/>
      <c r="L234" s="57"/>
      <c r="M234" s="61"/>
      <c r="N234" s="61"/>
      <c r="O234" s="62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30">
        <v>2.0</v>
      </c>
      <c r="AD234" s="30">
        <f t="shared" si="4"/>
        <v>0</v>
      </c>
      <c r="AE234" s="70">
        <f t="shared" si="5"/>
        <v>0</v>
      </c>
      <c r="AF234" s="70">
        <v>1.0</v>
      </c>
    </row>
    <row r="235" ht="15.75" hidden="1" customHeight="1">
      <c r="A235" s="54">
        <v>140.0</v>
      </c>
      <c r="B235" s="56" t="s">
        <v>547</v>
      </c>
      <c r="C235" s="56" t="s">
        <v>437</v>
      </c>
      <c r="D235" s="56" t="s">
        <v>548</v>
      </c>
      <c r="E235" s="56" t="s">
        <v>167</v>
      </c>
      <c r="F235" s="56" t="s">
        <v>246</v>
      </c>
      <c r="G235" s="57" t="s">
        <v>154</v>
      </c>
      <c r="H235" s="68">
        <f t="shared" si="3"/>
        <v>0</v>
      </c>
      <c r="I235" s="62"/>
      <c r="J235" s="62"/>
      <c r="K235" s="71"/>
      <c r="L235" s="57"/>
      <c r="M235" s="61"/>
      <c r="N235" s="61"/>
      <c r="O235" s="62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30">
        <v>2.0</v>
      </c>
      <c r="AD235" s="30">
        <f t="shared" si="4"/>
        <v>0</v>
      </c>
      <c r="AE235" s="70">
        <f t="shared" si="5"/>
        <v>0</v>
      </c>
      <c r="AF235" s="70">
        <v>1.0</v>
      </c>
    </row>
    <row r="236" ht="15.75" hidden="1" customHeight="1">
      <c r="A236" s="54">
        <v>140.0</v>
      </c>
      <c r="B236" s="56" t="s">
        <v>547</v>
      </c>
      <c r="C236" s="56" t="s">
        <v>437</v>
      </c>
      <c r="D236" s="56" t="s">
        <v>548</v>
      </c>
      <c r="E236" s="56" t="s">
        <v>176</v>
      </c>
      <c r="F236" s="56" t="s">
        <v>246</v>
      </c>
      <c r="G236" s="57" t="s">
        <v>154</v>
      </c>
      <c r="H236" s="68">
        <f t="shared" si="3"/>
        <v>0</v>
      </c>
      <c r="I236" s="62"/>
      <c r="J236" s="62"/>
      <c r="K236" s="71"/>
      <c r="L236" s="57"/>
      <c r="M236" s="61"/>
      <c r="N236" s="61"/>
      <c r="O236" s="62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30">
        <v>2.0</v>
      </c>
      <c r="AD236" s="30">
        <f t="shared" si="4"/>
        <v>0</v>
      </c>
      <c r="AE236" s="70">
        <f t="shared" si="5"/>
        <v>0</v>
      </c>
      <c r="AF236" s="70">
        <v>1.0</v>
      </c>
    </row>
    <row r="237" ht="15.75" hidden="1" customHeight="1">
      <c r="A237" s="54">
        <v>140.0</v>
      </c>
      <c r="B237" s="56" t="s">
        <v>549</v>
      </c>
      <c r="C237" s="56" t="s">
        <v>434</v>
      </c>
      <c r="D237" s="56" t="s">
        <v>550</v>
      </c>
      <c r="E237" s="56" t="s">
        <v>167</v>
      </c>
      <c r="F237" s="56" t="s">
        <v>246</v>
      </c>
      <c r="G237" s="57" t="s">
        <v>154</v>
      </c>
      <c r="H237" s="68">
        <f t="shared" si="3"/>
        <v>0</v>
      </c>
      <c r="I237" s="62"/>
      <c r="J237" s="62"/>
      <c r="K237" s="71"/>
      <c r="L237" s="57"/>
      <c r="M237" s="61"/>
      <c r="N237" s="61"/>
      <c r="O237" s="62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30">
        <v>2.0</v>
      </c>
      <c r="AD237" s="30">
        <f t="shared" si="4"/>
        <v>0</v>
      </c>
      <c r="AE237" s="70">
        <f t="shared" si="5"/>
        <v>0</v>
      </c>
      <c r="AF237" s="70">
        <v>1.0</v>
      </c>
    </row>
    <row r="238" ht="15.75" hidden="1" customHeight="1">
      <c r="A238" s="54">
        <v>140.0</v>
      </c>
      <c r="B238" s="56" t="s">
        <v>549</v>
      </c>
      <c r="C238" s="56" t="s">
        <v>434</v>
      </c>
      <c r="D238" s="56" t="s">
        <v>550</v>
      </c>
      <c r="E238" s="56" t="s">
        <v>176</v>
      </c>
      <c r="F238" s="56" t="s">
        <v>246</v>
      </c>
      <c r="G238" s="57" t="s">
        <v>154</v>
      </c>
      <c r="H238" s="68">
        <f t="shared" si="3"/>
        <v>0</v>
      </c>
      <c r="I238" s="62"/>
      <c r="J238" s="62"/>
      <c r="K238" s="71"/>
      <c r="L238" s="57"/>
      <c r="M238" s="61"/>
      <c r="N238" s="61"/>
      <c r="O238" s="62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30">
        <v>2.0</v>
      </c>
      <c r="AD238" s="30">
        <f t="shared" si="4"/>
        <v>0</v>
      </c>
      <c r="AE238" s="70">
        <f t="shared" si="5"/>
        <v>0</v>
      </c>
      <c r="AF238" s="70">
        <v>1.0</v>
      </c>
    </row>
    <row r="239" ht="15.75" hidden="1" customHeight="1">
      <c r="A239" s="54">
        <v>140.0</v>
      </c>
      <c r="B239" s="56" t="s">
        <v>551</v>
      </c>
      <c r="C239" s="56" t="s">
        <v>497</v>
      </c>
      <c r="D239" s="56" t="s">
        <v>552</v>
      </c>
      <c r="E239" s="56" t="s">
        <v>167</v>
      </c>
      <c r="F239" s="56" t="s">
        <v>246</v>
      </c>
      <c r="G239" s="57" t="s">
        <v>154</v>
      </c>
      <c r="H239" s="68">
        <f t="shared" si="3"/>
        <v>0</v>
      </c>
      <c r="I239" s="62"/>
      <c r="J239" s="62"/>
      <c r="K239" s="71"/>
      <c r="L239" s="57"/>
      <c r="M239" s="61"/>
      <c r="N239" s="61"/>
      <c r="O239" s="62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30">
        <v>2.0</v>
      </c>
      <c r="AD239" s="30">
        <f t="shared" si="4"/>
        <v>0</v>
      </c>
      <c r="AE239" s="70">
        <f t="shared" si="5"/>
        <v>0</v>
      </c>
      <c r="AF239" s="70">
        <v>1.0</v>
      </c>
    </row>
    <row r="240" ht="15.75" hidden="1" customHeight="1">
      <c r="A240" s="54">
        <v>140.0</v>
      </c>
      <c r="B240" s="56" t="s">
        <v>551</v>
      </c>
      <c r="C240" s="56" t="s">
        <v>497</v>
      </c>
      <c r="D240" s="56" t="s">
        <v>552</v>
      </c>
      <c r="E240" s="56" t="s">
        <v>176</v>
      </c>
      <c r="F240" s="56" t="s">
        <v>246</v>
      </c>
      <c r="G240" s="57" t="s">
        <v>154</v>
      </c>
      <c r="H240" s="68">
        <f t="shared" si="3"/>
        <v>0</v>
      </c>
      <c r="I240" s="62"/>
      <c r="J240" s="62"/>
      <c r="K240" s="71"/>
      <c r="L240" s="57"/>
      <c r="M240" s="61"/>
      <c r="N240" s="61"/>
      <c r="O240" s="62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30">
        <v>2.0</v>
      </c>
      <c r="AD240" s="30">
        <f t="shared" si="4"/>
        <v>0</v>
      </c>
      <c r="AE240" s="70">
        <f t="shared" si="5"/>
        <v>0</v>
      </c>
      <c r="AF240" s="70">
        <v>1.0</v>
      </c>
    </row>
    <row r="241" ht="15.75" hidden="1" customHeight="1">
      <c r="A241" s="54">
        <v>140.0</v>
      </c>
      <c r="B241" s="56" t="s">
        <v>553</v>
      </c>
      <c r="C241" s="56" t="s">
        <v>443</v>
      </c>
      <c r="D241" s="56" t="s">
        <v>554</v>
      </c>
      <c r="E241" s="56" t="s">
        <v>167</v>
      </c>
      <c r="F241" s="56" t="s">
        <v>246</v>
      </c>
      <c r="G241" s="57" t="s">
        <v>154</v>
      </c>
      <c r="H241" s="68">
        <f t="shared" si="3"/>
        <v>0</v>
      </c>
      <c r="I241" s="62"/>
      <c r="J241" s="62"/>
      <c r="K241" s="71"/>
      <c r="L241" s="57"/>
      <c r="M241" s="61"/>
      <c r="N241" s="61"/>
      <c r="O241" s="62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30">
        <v>2.0</v>
      </c>
      <c r="AD241" s="30">
        <f t="shared" si="4"/>
        <v>0</v>
      </c>
      <c r="AE241" s="70">
        <f t="shared" si="5"/>
        <v>0</v>
      </c>
      <c r="AF241" s="70">
        <v>1.0</v>
      </c>
    </row>
    <row r="242" ht="15.75" hidden="1" customHeight="1">
      <c r="A242" s="54">
        <v>140.0</v>
      </c>
      <c r="B242" s="56" t="s">
        <v>553</v>
      </c>
      <c r="C242" s="56" t="s">
        <v>443</v>
      </c>
      <c r="D242" s="56" t="s">
        <v>554</v>
      </c>
      <c r="E242" s="56" t="s">
        <v>176</v>
      </c>
      <c r="F242" s="56" t="s">
        <v>246</v>
      </c>
      <c r="G242" s="57" t="s">
        <v>154</v>
      </c>
      <c r="H242" s="68">
        <f t="shared" si="3"/>
        <v>0</v>
      </c>
      <c r="I242" s="62"/>
      <c r="J242" s="62"/>
      <c r="K242" s="71"/>
      <c r="L242" s="57"/>
      <c r="M242" s="61"/>
      <c r="N242" s="61"/>
      <c r="O242" s="62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30">
        <v>2.0</v>
      </c>
      <c r="AD242" s="30">
        <f t="shared" si="4"/>
        <v>0</v>
      </c>
      <c r="AE242" s="70">
        <f t="shared" si="5"/>
        <v>0</v>
      </c>
      <c r="AF242" s="70">
        <v>1.0</v>
      </c>
    </row>
    <row r="243" ht="15.75" hidden="1" customHeight="1">
      <c r="A243" s="54">
        <v>140.0</v>
      </c>
      <c r="B243" s="56" t="s">
        <v>555</v>
      </c>
      <c r="C243" s="56" t="s">
        <v>434</v>
      </c>
      <c r="D243" s="56" t="s">
        <v>556</v>
      </c>
      <c r="E243" s="56" t="s">
        <v>167</v>
      </c>
      <c r="F243" s="56" t="s">
        <v>246</v>
      </c>
      <c r="G243" s="57" t="s">
        <v>154</v>
      </c>
      <c r="H243" s="68">
        <f t="shared" si="3"/>
        <v>0</v>
      </c>
      <c r="I243" s="62"/>
      <c r="J243" s="62"/>
      <c r="K243" s="71">
        <v>1.0</v>
      </c>
      <c r="L243" s="57"/>
      <c r="M243" s="61"/>
      <c r="N243" s="61"/>
      <c r="O243" s="62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30">
        <v>2.0</v>
      </c>
      <c r="AD243" s="30">
        <f t="shared" si="4"/>
        <v>0</v>
      </c>
      <c r="AE243" s="70">
        <f t="shared" si="5"/>
        <v>0</v>
      </c>
      <c r="AF243" s="70">
        <v>1.0</v>
      </c>
    </row>
    <row r="244" ht="15.75" hidden="1" customHeight="1">
      <c r="A244" s="54">
        <v>140.0</v>
      </c>
      <c r="B244" s="56" t="s">
        <v>555</v>
      </c>
      <c r="C244" s="56" t="s">
        <v>434</v>
      </c>
      <c r="D244" s="56" t="s">
        <v>556</v>
      </c>
      <c r="E244" s="56" t="s">
        <v>176</v>
      </c>
      <c r="F244" s="56" t="s">
        <v>246</v>
      </c>
      <c r="G244" s="57" t="s">
        <v>154</v>
      </c>
      <c r="H244" s="68">
        <f t="shared" si="3"/>
        <v>0</v>
      </c>
      <c r="I244" s="62"/>
      <c r="J244" s="62"/>
      <c r="K244" s="71">
        <v>1.0</v>
      </c>
      <c r="L244" s="57"/>
      <c r="M244" s="61"/>
      <c r="N244" s="61"/>
      <c r="O244" s="62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30">
        <v>2.0</v>
      </c>
      <c r="AD244" s="30">
        <f t="shared" si="4"/>
        <v>0</v>
      </c>
      <c r="AE244" s="70">
        <f t="shared" si="5"/>
        <v>0</v>
      </c>
      <c r="AF244" s="70">
        <v>1.0</v>
      </c>
    </row>
    <row r="245" ht="15.75" hidden="1" customHeight="1">
      <c r="A245" s="54">
        <v>140.0</v>
      </c>
      <c r="B245" s="56" t="s">
        <v>558</v>
      </c>
      <c r="C245" s="56" t="s">
        <v>270</v>
      </c>
      <c r="D245" s="56" t="s">
        <v>559</v>
      </c>
      <c r="E245" s="56" t="s">
        <v>167</v>
      </c>
      <c r="F245" s="56" t="s">
        <v>246</v>
      </c>
      <c r="G245" s="57" t="s">
        <v>154</v>
      </c>
      <c r="H245" s="68">
        <f t="shared" si="3"/>
        <v>0</v>
      </c>
      <c r="I245" s="62"/>
      <c r="J245" s="62"/>
      <c r="K245" s="71"/>
      <c r="L245" s="57"/>
      <c r="M245" s="61"/>
      <c r="N245" s="61"/>
      <c r="O245" s="62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30">
        <v>2.0</v>
      </c>
      <c r="AD245" s="30">
        <f t="shared" si="4"/>
        <v>0</v>
      </c>
      <c r="AE245" s="70">
        <f t="shared" si="5"/>
        <v>0</v>
      </c>
      <c r="AF245" s="70">
        <v>1.0</v>
      </c>
    </row>
    <row r="246" ht="15.75" hidden="1" customHeight="1">
      <c r="A246" s="54">
        <v>140.0</v>
      </c>
      <c r="B246" s="56" t="s">
        <v>558</v>
      </c>
      <c r="C246" s="56" t="s">
        <v>270</v>
      </c>
      <c r="D246" s="56" t="s">
        <v>559</v>
      </c>
      <c r="E246" s="56" t="s">
        <v>176</v>
      </c>
      <c r="F246" s="56" t="s">
        <v>246</v>
      </c>
      <c r="G246" s="57" t="s">
        <v>154</v>
      </c>
      <c r="H246" s="68">
        <f t="shared" si="3"/>
        <v>0</v>
      </c>
      <c r="I246" s="62"/>
      <c r="J246" s="62"/>
      <c r="K246" s="71"/>
      <c r="L246" s="57"/>
      <c r="M246" s="61"/>
      <c r="N246" s="61"/>
      <c r="O246" s="62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30">
        <v>2.0</v>
      </c>
      <c r="AD246" s="30">
        <f t="shared" si="4"/>
        <v>0</v>
      </c>
      <c r="AE246" s="70">
        <f t="shared" si="5"/>
        <v>0</v>
      </c>
      <c r="AF246" s="70">
        <v>1.0</v>
      </c>
    </row>
    <row r="247" ht="15.75" hidden="1" customHeight="1">
      <c r="A247" s="54">
        <v>140.0</v>
      </c>
      <c r="B247" s="56" t="s">
        <v>560</v>
      </c>
      <c r="C247" s="56" t="s">
        <v>446</v>
      </c>
      <c r="D247" s="56" t="s">
        <v>561</v>
      </c>
      <c r="E247" s="56" t="s">
        <v>167</v>
      </c>
      <c r="F247" s="56" t="s">
        <v>246</v>
      </c>
      <c r="G247" s="57" t="s">
        <v>154</v>
      </c>
      <c r="H247" s="68">
        <f t="shared" si="3"/>
        <v>0</v>
      </c>
      <c r="I247" s="62"/>
      <c r="J247" s="62"/>
      <c r="K247" s="71"/>
      <c r="L247" s="57"/>
      <c r="M247" s="61"/>
      <c r="N247" s="61"/>
      <c r="O247" s="62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30">
        <v>2.0</v>
      </c>
      <c r="AD247" s="30">
        <f t="shared" si="4"/>
        <v>0</v>
      </c>
      <c r="AE247" s="70">
        <f t="shared" si="5"/>
        <v>0</v>
      </c>
      <c r="AF247" s="70">
        <v>1.0</v>
      </c>
    </row>
    <row r="248" ht="15.75" hidden="1" customHeight="1">
      <c r="A248" s="54">
        <v>140.0</v>
      </c>
      <c r="B248" s="56" t="s">
        <v>560</v>
      </c>
      <c r="C248" s="56" t="s">
        <v>446</v>
      </c>
      <c r="D248" s="56" t="s">
        <v>561</v>
      </c>
      <c r="E248" s="56" t="s">
        <v>176</v>
      </c>
      <c r="F248" s="56" t="s">
        <v>246</v>
      </c>
      <c r="G248" s="57" t="s">
        <v>154</v>
      </c>
      <c r="H248" s="68">
        <f t="shared" si="3"/>
        <v>0</v>
      </c>
      <c r="I248" s="62"/>
      <c r="J248" s="62"/>
      <c r="K248" s="71"/>
      <c r="L248" s="57"/>
      <c r="M248" s="61"/>
      <c r="N248" s="61"/>
      <c r="O248" s="62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75"/>
      <c r="AC248" s="30">
        <v>2.0</v>
      </c>
      <c r="AD248" s="30">
        <f t="shared" si="4"/>
        <v>0</v>
      </c>
      <c r="AE248" s="70">
        <f t="shared" si="5"/>
        <v>0</v>
      </c>
      <c r="AF248" s="70">
        <v>1.0</v>
      </c>
    </row>
    <row r="249" ht="15.75" hidden="1" customHeight="1">
      <c r="A249" s="54">
        <v>140.0</v>
      </c>
      <c r="B249" s="56" t="s">
        <v>562</v>
      </c>
      <c r="C249" s="56" t="s">
        <v>443</v>
      </c>
      <c r="D249" s="56" t="s">
        <v>563</v>
      </c>
      <c r="E249" s="56" t="s">
        <v>167</v>
      </c>
      <c r="F249" s="56" t="s">
        <v>246</v>
      </c>
      <c r="G249" s="57" t="s">
        <v>154</v>
      </c>
      <c r="H249" s="68">
        <f t="shared" si="3"/>
        <v>0</v>
      </c>
      <c r="I249" s="62"/>
      <c r="J249" s="62"/>
      <c r="K249" s="71"/>
      <c r="L249" s="57"/>
      <c r="M249" s="61"/>
      <c r="N249" s="61"/>
      <c r="O249" s="62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30">
        <v>2.0</v>
      </c>
      <c r="AD249" s="30">
        <f t="shared" si="4"/>
        <v>0</v>
      </c>
      <c r="AE249" s="70">
        <f t="shared" si="5"/>
        <v>0</v>
      </c>
      <c r="AF249" s="70">
        <v>1.0</v>
      </c>
    </row>
    <row r="250" ht="15.75" hidden="1" customHeight="1">
      <c r="A250" s="54">
        <v>140.0</v>
      </c>
      <c r="B250" s="56" t="s">
        <v>562</v>
      </c>
      <c r="C250" s="56" t="s">
        <v>443</v>
      </c>
      <c r="D250" s="56" t="s">
        <v>563</v>
      </c>
      <c r="E250" s="56" t="s">
        <v>176</v>
      </c>
      <c r="F250" s="56" t="s">
        <v>246</v>
      </c>
      <c r="G250" s="57" t="s">
        <v>154</v>
      </c>
      <c r="H250" s="68">
        <f t="shared" si="3"/>
        <v>0</v>
      </c>
      <c r="I250" s="62"/>
      <c r="J250" s="62"/>
      <c r="K250" s="71"/>
      <c r="L250" s="57"/>
      <c r="M250" s="61"/>
      <c r="N250" s="61"/>
      <c r="O250" s="62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30">
        <v>2.0</v>
      </c>
      <c r="AD250" s="30">
        <f t="shared" si="4"/>
        <v>0</v>
      </c>
      <c r="AE250" s="70">
        <f t="shared" si="5"/>
        <v>0</v>
      </c>
      <c r="AF250" s="70">
        <v>1.0</v>
      </c>
    </row>
    <row r="251" ht="15.75" hidden="1" customHeight="1">
      <c r="A251" s="54">
        <v>140.0</v>
      </c>
      <c r="B251" s="56" t="s">
        <v>564</v>
      </c>
      <c r="C251" s="56" t="s">
        <v>446</v>
      </c>
      <c r="D251" s="56" t="s">
        <v>565</v>
      </c>
      <c r="E251" s="56" t="s">
        <v>167</v>
      </c>
      <c r="F251" s="56" t="s">
        <v>246</v>
      </c>
      <c r="G251" s="57" t="s">
        <v>154</v>
      </c>
      <c r="H251" s="68">
        <f t="shared" si="3"/>
        <v>0</v>
      </c>
      <c r="I251" s="62"/>
      <c r="J251" s="62"/>
      <c r="K251" s="71"/>
      <c r="L251" s="57"/>
      <c r="M251" s="61"/>
      <c r="N251" s="61"/>
      <c r="O251" s="62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75"/>
      <c r="AC251" s="30">
        <v>2.0</v>
      </c>
      <c r="AD251" s="30">
        <f t="shared" si="4"/>
        <v>0</v>
      </c>
      <c r="AE251" s="70">
        <f t="shared" si="5"/>
        <v>0</v>
      </c>
      <c r="AF251" s="70">
        <v>1.0</v>
      </c>
    </row>
    <row r="252" ht="15.75" hidden="1" customHeight="1">
      <c r="A252" s="54">
        <v>140.0</v>
      </c>
      <c r="B252" s="56" t="s">
        <v>564</v>
      </c>
      <c r="C252" s="56" t="s">
        <v>446</v>
      </c>
      <c r="D252" s="56" t="s">
        <v>565</v>
      </c>
      <c r="E252" s="56" t="s">
        <v>176</v>
      </c>
      <c r="F252" s="56" t="s">
        <v>246</v>
      </c>
      <c r="G252" s="57" t="s">
        <v>154</v>
      </c>
      <c r="H252" s="68">
        <f t="shared" si="3"/>
        <v>0</v>
      </c>
      <c r="I252" s="62"/>
      <c r="J252" s="62"/>
      <c r="K252" s="71"/>
      <c r="L252" s="57"/>
      <c r="M252" s="61"/>
      <c r="N252" s="61"/>
      <c r="O252" s="62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30">
        <v>2.0</v>
      </c>
      <c r="AD252" s="30">
        <f t="shared" si="4"/>
        <v>0</v>
      </c>
      <c r="AE252" s="70">
        <f t="shared" si="5"/>
        <v>0</v>
      </c>
      <c r="AF252" s="70">
        <v>1.0</v>
      </c>
    </row>
    <row r="253" ht="15.75" hidden="1" customHeight="1">
      <c r="A253" s="54">
        <v>140.0</v>
      </c>
      <c r="B253" s="56" t="s">
        <v>566</v>
      </c>
      <c r="C253" s="88" t="s">
        <v>449</v>
      </c>
      <c r="D253" s="56" t="s">
        <v>567</v>
      </c>
      <c r="E253" s="56" t="s">
        <v>167</v>
      </c>
      <c r="F253" s="56" t="s">
        <v>246</v>
      </c>
      <c r="G253" s="57" t="s">
        <v>154</v>
      </c>
      <c r="H253" s="68">
        <f t="shared" si="3"/>
        <v>0</v>
      </c>
      <c r="I253" s="62"/>
      <c r="J253" s="62"/>
      <c r="K253" s="71"/>
      <c r="L253" s="57"/>
      <c r="M253" s="61"/>
      <c r="N253" s="61"/>
      <c r="O253" s="62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30">
        <v>2.0</v>
      </c>
      <c r="AD253" s="30">
        <f t="shared" si="4"/>
        <v>0</v>
      </c>
      <c r="AE253" s="70">
        <f t="shared" si="5"/>
        <v>0</v>
      </c>
      <c r="AF253" s="70">
        <v>1.0</v>
      </c>
    </row>
    <row r="254" ht="15.75" hidden="1" customHeight="1">
      <c r="A254" s="54">
        <v>140.0</v>
      </c>
      <c r="B254" s="56" t="s">
        <v>566</v>
      </c>
      <c r="C254" s="88" t="s">
        <v>449</v>
      </c>
      <c r="D254" s="56" t="s">
        <v>567</v>
      </c>
      <c r="E254" s="56" t="s">
        <v>176</v>
      </c>
      <c r="F254" s="56" t="s">
        <v>246</v>
      </c>
      <c r="G254" s="57" t="s">
        <v>154</v>
      </c>
      <c r="H254" s="68">
        <f t="shared" si="3"/>
        <v>0</v>
      </c>
      <c r="I254" s="62"/>
      <c r="J254" s="62"/>
      <c r="K254" s="71"/>
      <c r="L254" s="57"/>
      <c r="M254" s="61"/>
      <c r="N254" s="61"/>
      <c r="O254" s="62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30">
        <v>2.0</v>
      </c>
      <c r="AD254" s="30">
        <f t="shared" si="4"/>
        <v>0</v>
      </c>
      <c r="AE254" s="70">
        <f t="shared" si="5"/>
        <v>0</v>
      </c>
      <c r="AF254" s="70">
        <v>1.0</v>
      </c>
    </row>
    <row r="255" ht="15.75" hidden="1" customHeight="1">
      <c r="A255" s="54">
        <v>140.0</v>
      </c>
      <c r="B255" s="56" t="s">
        <v>566</v>
      </c>
      <c r="C255" s="56" t="s">
        <v>500</v>
      </c>
      <c r="D255" s="56" t="s">
        <v>604</v>
      </c>
      <c r="E255" s="56" t="s">
        <v>272</v>
      </c>
      <c r="F255" s="56" t="s">
        <v>15</v>
      </c>
      <c r="G255" s="57" t="s">
        <v>15</v>
      </c>
      <c r="H255" s="68">
        <f t="shared" si="3"/>
        <v>0</v>
      </c>
      <c r="I255" s="62"/>
      <c r="J255" s="62"/>
      <c r="K255" s="71"/>
      <c r="L255" s="57"/>
      <c r="M255" s="61"/>
      <c r="N255" s="61"/>
      <c r="O255" s="62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30"/>
      <c r="AC255" s="30">
        <v>12.0</v>
      </c>
      <c r="AD255" s="30">
        <f t="shared" si="4"/>
        <v>0</v>
      </c>
      <c r="AE255" s="70">
        <f t="shared" si="5"/>
        <v>0</v>
      </c>
      <c r="AF255" s="70">
        <v>1.0</v>
      </c>
    </row>
    <row r="256" ht="15.75" hidden="1" customHeight="1">
      <c r="A256" s="54">
        <v>140.0</v>
      </c>
      <c r="B256" s="56" t="s">
        <v>570</v>
      </c>
      <c r="C256" s="88" t="s">
        <v>449</v>
      </c>
      <c r="D256" s="56" t="s">
        <v>571</v>
      </c>
      <c r="E256" s="56" t="s">
        <v>167</v>
      </c>
      <c r="F256" s="56" t="s">
        <v>246</v>
      </c>
      <c r="G256" s="57" t="s">
        <v>154</v>
      </c>
      <c r="H256" s="68">
        <f t="shared" si="3"/>
        <v>0</v>
      </c>
      <c r="I256" s="62"/>
      <c r="J256" s="62"/>
      <c r="K256" s="71"/>
      <c r="L256" s="57"/>
      <c r="M256" s="61"/>
      <c r="N256" s="61"/>
      <c r="O256" s="62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>
        <v>2.0</v>
      </c>
      <c r="AD256" s="30">
        <f t="shared" si="4"/>
        <v>0</v>
      </c>
      <c r="AE256" s="70">
        <f t="shared" si="5"/>
        <v>0</v>
      </c>
      <c r="AF256" s="70">
        <v>1.0</v>
      </c>
    </row>
    <row r="257" ht="15.75" hidden="1" customHeight="1">
      <c r="A257" s="54">
        <v>140.0</v>
      </c>
      <c r="B257" s="56" t="s">
        <v>570</v>
      </c>
      <c r="C257" s="88" t="s">
        <v>449</v>
      </c>
      <c r="D257" s="56" t="s">
        <v>571</v>
      </c>
      <c r="E257" s="56" t="s">
        <v>176</v>
      </c>
      <c r="F257" s="56" t="s">
        <v>246</v>
      </c>
      <c r="G257" s="57" t="s">
        <v>154</v>
      </c>
      <c r="H257" s="68">
        <f t="shared" si="3"/>
        <v>0</v>
      </c>
      <c r="I257" s="62"/>
      <c r="J257" s="62"/>
      <c r="K257" s="71"/>
      <c r="L257" s="57"/>
      <c r="M257" s="61"/>
      <c r="N257" s="61"/>
      <c r="O257" s="62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30">
        <v>2.0</v>
      </c>
      <c r="AD257" s="30">
        <f t="shared" si="4"/>
        <v>0</v>
      </c>
      <c r="AE257" s="70">
        <f t="shared" si="5"/>
        <v>0</v>
      </c>
      <c r="AF257" s="70">
        <v>1.0</v>
      </c>
    </row>
    <row r="258" ht="15.75" hidden="1" customHeight="1">
      <c r="A258" s="54" t="s">
        <v>572</v>
      </c>
      <c r="B258" s="56" t="s">
        <v>573</v>
      </c>
      <c r="C258" s="56" t="s">
        <v>574</v>
      </c>
      <c r="D258" s="56" t="s">
        <v>575</v>
      </c>
      <c r="E258" s="56" t="s">
        <v>239</v>
      </c>
      <c r="F258" s="56" t="s">
        <v>327</v>
      </c>
      <c r="G258" s="57" t="s">
        <v>154</v>
      </c>
      <c r="H258" s="68">
        <f t="shared" si="3"/>
        <v>0</v>
      </c>
      <c r="I258" s="62" t="s">
        <v>146</v>
      </c>
      <c r="J258" s="62" t="s">
        <v>207</v>
      </c>
      <c r="K258" s="71"/>
      <c r="L258" s="57" t="s">
        <v>115</v>
      </c>
      <c r="M258" s="61"/>
      <c r="N258" s="61"/>
      <c r="O258" s="62" t="s">
        <v>207</v>
      </c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30">
        <v>2.0</v>
      </c>
      <c r="AD258" s="30">
        <f t="shared" si="4"/>
        <v>0</v>
      </c>
      <c r="AE258" s="70">
        <f t="shared" si="5"/>
        <v>0</v>
      </c>
      <c r="AF258" s="70">
        <v>1.0</v>
      </c>
    </row>
    <row r="259" ht="15.75" hidden="1" customHeight="1">
      <c r="A259" s="54" t="s">
        <v>572</v>
      </c>
      <c r="B259" s="56" t="s">
        <v>576</v>
      </c>
      <c r="C259" s="56" t="s">
        <v>574</v>
      </c>
      <c r="D259" s="56" t="s">
        <v>577</v>
      </c>
      <c r="E259" s="56" t="s">
        <v>578</v>
      </c>
      <c r="F259" s="56" t="s">
        <v>327</v>
      </c>
      <c r="G259" s="57" t="s">
        <v>154</v>
      </c>
      <c r="H259" s="68">
        <f t="shared" si="3"/>
        <v>0</v>
      </c>
      <c r="I259" s="62" t="s">
        <v>146</v>
      </c>
      <c r="J259" s="62"/>
      <c r="K259" s="71"/>
      <c r="L259" s="57" t="s">
        <v>115</v>
      </c>
      <c r="M259" s="61"/>
      <c r="N259" s="61"/>
      <c r="O259" s="62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30">
        <v>2.0</v>
      </c>
      <c r="AD259" s="30">
        <f t="shared" si="4"/>
        <v>0</v>
      </c>
      <c r="AE259" s="70">
        <f t="shared" si="5"/>
        <v>0</v>
      </c>
      <c r="AF259" s="70">
        <v>1.0</v>
      </c>
    </row>
    <row r="260" ht="15.75" hidden="1" customHeight="1">
      <c r="A260" s="54" t="s">
        <v>572</v>
      </c>
      <c r="B260" s="56" t="s">
        <v>576</v>
      </c>
      <c r="C260" s="56" t="s">
        <v>574</v>
      </c>
      <c r="D260" s="56" t="s">
        <v>577</v>
      </c>
      <c r="E260" s="56" t="s">
        <v>196</v>
      </c>
      <c r="F260" s="56" t="s">
        <v>249</v>
      </c>
      <c r="G260" s="57" t="s">
        <v>250</v>
      </c>
      <c r="H260" s="68">
        <f t="shared" si="3"/>
        <v>0</v>
      </c>
      <c r="I260" s="62" t="s">
        <v>634</v>
      </c>
      <c r="J260" s="62" t="s">
        <v>581</v>
      </c>
      <c r="K260" s="71"/>
      <c r="L260" s="57" t="s">
        <v>115</v>
      </c>
      <c r="M260" s="61"/>
      <c r="N260" s="61" t="s">
        <v>197</v>
      </c>
      <c r="O260" s="62" t="s">
        <v>581</v>
      </c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30"/>
      <c r="AC260" s="30">
        <v>2.0</v>
      </c>
      <c r="AD260" s="30">
        <f t="shared" si="4"/>
        <v>0</v>
      </c>
      <c r="AE260" s="70">
        <f t="shared" si="5"/>
        <v>0</v>
      </c>
      <c r="AF260" s="70">
        <v>1.0</v>
      </c>
    </row>
    <row r="261" ht="15.75" hidden="1" customHeight="1">
      <c r="A261" s="54" t="s">
        <v>572</v>
      </c>
      <c r="B261" s="56" t="s">
        <v>579</v>
      </c>
      <c r="C261" s="56" t="s">
        <v>574</v>
      </c>
      <c r="D261" s="56" t="s">
        <v>580</v>
      </c>
      <c r="E261" s="56" t="s">
        <v>578</v>
      </c>
      <c r="F261" s="56" t="s">
        <v>327</v>
      </c>
      <c r="G261" s="57" t="s">
        <v>154</v>
      </c>
      <c r="H261" s="68">
        <f t="shared" si="3"/>
        <v>0</v>
      </c>
      <c r="I261" s="62" t="s">
        <v>146</v>
      </c>
      <c r="J261" s="62"/>
      <c r="K261" s="71"/>
      <c r="L261" s="57" t="s">
        <v>115</v>
      </c>
      <c r="M261" s="61"/>
      <c r="N261" s="61"/>
      <c r="O261" s="62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30">
        <v>2.0</v>
      </c>
      <c r="AD261" s="30">
        <f t="shared" si="4"/>
        <v>0</v>
      </c>
      <c r="AE261" s="70">
        <f t="shared" si="5"/>
        <v>0</v>
      </c>
      <c r="AF261" s="70">
        <v>1.0</v>
      </c>
    </row>
    <row r="262" ht="15.75" hidden="1" customHeight="1">
      <c r="A262" s="54" t="s">
        <v>572</v>
      </c>
      <c r="B262" s="56" t="s">
        <v>579</v>
      </c>
      <c r="C262" s="56" t="s">
        <v>574</v>
      </c>
      <c r="D262" s="56" t="s">
        <v>580</v>
      </c>
      <c r="E262" s="56" t="s">
        <v>196</v>
      </c>
      <c r="F262" s="56" t="s">
        <v>249</v>
      </c>
      <c r="G262" s="57" t="s">
        <v>250</v>
      </c>
      <c r="H262" s="68">
        <f t="shared" si="3"/>
        <v>0</v>
      </c>
      <c r="I262" s="62" t="s">
        <v>634</v>
      </c>
      <c r="J262" s="62" t="s">
        <v>581</v>
      </c>
      <c r="K262" s="71"/>
      <c r="L262" s="57" t="s">
        <v>115</v>
      </c>
      <c r="M262" s="61"/>
      <c r="N262" s="61" t="s">
        <v>197</v>
      </c>
      <c r="O262" s="62" t="s">
        <v>581</v>
      </c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30"/>
      <c r="AC262" s="30">
        <v>2.0</v>
      </c>
      <c r="AD262" s="30">
        <f t="shared" si="4"/>
        <v>0</v>
      </c>
      <c r="AE262" s="70">
        <f t="shared" si="5"/>
        <v>0</v>
      </c>
      <c r="AF262" s="70">
        <v>1.0</v>
      </c>
    </row>
    <row r="263" ht="15.75" hidden="1" customHeight="1">
      <c r="A263" s="54" t="s">
        <v>572</v>
      </c>
      <c r="B263" s="56" t="s">
        <v>582</v>
      </c>
      <c r="C263" s="56" t="s">
        <v>583</v>
      </c>
      <c r="D263" s="56" t="s">
        <v>584</v>
      </c>
      <c r="E263" s="56" t="s">
        <v>585</v>
      </c>
      <c r="F263" s="56" t="s">
        <v>327</v>
      </c>
      <c r="G263" s="57" t="s">
        <v>154</v>
      </c>
      <c r="H263" s="68">
        <f t="shared" si="3"/>
        <v>0</v>
      </c>
      <c r="I263" s="62" t="s">
        <v>146</v>
      </c>
      <c r="J263" s="62" t="s">
        <v>207</v>
      </c>
      <c r="K263" s="71"/>
      <c r="L263" s="57" t="s">
        <v>115</v>
      </c>
      <c r="M263" s="61"/>
      <c r="N263" s="61"/>
      <c r="O263" s="62" t="s">
        <v>207</v>
      </c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30">
        <v>2.0</v>
      </c>
      <c r="AD263" s="30">
        <f t="shared" si="4"/>
        <v>0</v>
      </c>
      <c r="AE263" s="70">
        <f t="shared" si="5"/>
        <v>0</v>
      </c>
      <c r="AF263" s="70">
        <v>1.0</v>
      </c>
    </row>
    <row r="264" ht="15.75" hidden="1" customHeight="1">
      <c r="A264" s="54" t="s">
        <v>572</v>
      </c>
      <c r="B264" s="56" t="s">
        <v>586</v>
      </c>
      <c r="C264" s="56" t="s">
        <v>583</v>
      </c>
      <c r="D264" s="56" t="s">
        <v>587</v>
      </c>
      <c r="E264" s="56" t="s">
        <v>588</v>
      </c>
      <c r="F264" s="56" t="s">
        <v>327</v>
      </c>
      <c r="G264" s="57" t="s">
        <v>154</v>
      </c>
      <c r="H264" s="68">
        <f t="shared" si="3"/>
        <v>0</v>
      </c>
      <c r="I264" s="62" t="s">
        <v>146</v>
      </c>
      <c r="J264" s="62"/>
      <c r="K264" s="71"/>
      <c r="L264" s="57" t="s">
        <v>130</v>
      </c>
      <c r="M264" s="61"/>
      <c r="N264" s="61"/>
      <c r="O264" s="62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30">
        <v>2.0</v>
      </c>
      <c r="AD264" s="30">
        <f t="shared" si="4"/>
        <v>0</v>
      </c>
      <c r="AE264" s="70">
        <f t="shared" si="5"/>
        <v>0</v>
      </c>
      <c r="AF264" s="70">
        <v>1.0</v>
      </c>
    </row>
    <row r="265" ht="15.75" hidden="1" customHeight="1">
      <c r="A265" s="54" t="s">
        <v>572</v>
      </c>
      <c r="B265" s="56" t="s">
        <v>586</v>
      </c>
      <c r="C265" s="56" t="s">
        <v>583</v>
      </c>
      <c r="D265" s="56" t="s">
        <v>587</v>
      </c>
      <c r="E265" s="56" t="s">
        <v>589</v>
      </c>
      <c r="F265" s="56" t="s">
        <v>246</v>
      </c>
      <c r="G265" s="57" t="s">
        <v>154</v>
      </c>
      <c r="H265" s="68">
        <f t="shared" si="3"/>
        <v>0</v>
      </c>
      <c r="I265" s="62" t="s">
        <v>146</v>
      </c>
      <c r="J265" s="62"/>
      <c r="K265" s="71"/>
      <c r="L265" s="57" t="s">
        <v>115</v>
      </c>
      <c r="M265" s="61"/>
      <c r="N265" s="61"/>
      <c r="O265" s="62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75"/>
      <c r="AC265" s="30">
        <v>2.0</v>
      </c>
      <c r="AD265" s="30">
        <f t="shared" si="4"/>
        <v>0</v>
      </c>
      <c r="AE265" s="70">
        <f t="shared" si="5"/>
        <v>0</v>
      </c>
      <c r="AF265" s="70">
        <v>1.0</v>
      </c>
    </row>
    <row r="266" ht="15.75" hidden="1" customHeight="1">
      <c r="A266" s="54" t="s">
        <v>572</v>
      </c>
      <c r="B266" s="56" t="s">
        <v>586</v>
      </c>
      <c r="C266" s="56" t="s">
        <v>583</v>
      </c>
      <c r="D266" s="56" t="s">
        <v>587</v>
      </c>
      <c r="E266" s="56" t="s">
        <v>590</v>
      </c>
      <c r="F266" s="56" t="s">
        <v>249</v>
      </c>
      <c r="G266" s="57" t="s">
        <v>250</v>
      </c>
      <c r="H266" s="68">
        <f t="shared" si="3"/>
        <v>0</v>
      </c>
      <c r="I266" s="62"/>
      <c r="J266" s="62" t="s">
        <v>593</v>
      </c>
      <c r="K266" s="71"/>
      <c r="L266" s="57" t="s">
        <v>115</v>
      </c>
      <c r="M266" s="61"/>
      <c r="N266" s="61" t="s">
        <v>592</v>
      </c>
      <c r="O266" s="62" t="s">
        <v>593</v>
      </c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30">
        <v>2.0</v>
      </c>
      <c r="AD266" s="30">
        <f t="shared" si="4"/>
        <v>0</v>
      </c>
      <c r="AE266" s="70">
        <f t="shared" si="5"/>
        <v>0</v>
      </c>
      <c r="AF266" s="70">
        <v>1.0</v>
      </c>
    </row>
    <row r="267" ht="15.75" hidden="1" customHeight="1">
      <c r="A267" s="54" t="s">
        <v>572</v>
      </c>
      <c r="B267" s="56" t="s">
        <v>591</v>
      </c>
      <c r="C267" s="56" t="s">
        <v>574</v>
      </c>
      <c r="D267" s="56" t="s">
        <v>594</v>
      </c>
      <c r="E267" s="56" t="s">
        <v>239</v>
      </c>
      <c r="F267" s="56" t="s">
        <v>193</v>
      </c>
      <c r="G267" s="57" t="s">
        <v>154</v>
      </c>
      <c r="H267" s="68">
        <f t="shared" si="3"/>
        <v>0</v>
      </c>
      <c r="I267" s="62" t="s">
        <v>146</v>
      </c>
      <c r="J267" s="62"/>
      <c r="K267" s="71"/>
      <c r="L267" s="57" t="s">
        <v>115</v>
      </c>
      <c r="M267" s="61"/>
      <c r="N267" s="61"/>
      <c r="O267" s="62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30"/>
      <c r="AC267" s="30">
        <v>1.0</v>
      </c>
      <c r="AD267" s="30">
        <f t="shared" si="4"/>
        <v>0</v>
      </c>
      <c r="AE267" s="70">
        <f t="shared" si="5"/>
        <v>0</v>
      </c>
      <c r="AF267" s="70">
        <v>1.0</v>
      </c>
    </row>
    <row r="268" ht="15.75" hidden="1" customHeight="1">
      <c r="A268" s="54" t="s">
        <v>572</v>
      </c>
      <c r="B268" s="56" t="s">
        <v>595</v>
      </c>
      <c r="C268" s="56" t="s">
        <v>574</v>
      </c>
      <c r="D268" s="56" t="s">
        <v>577</v>
      </c>
      <c r="E268" s="56" t="s">
        <v>578</v>
      </c>
      <c r="F268" s="56" t="s">
        <v>193</v>
      </c>
      <c r="G268" s="57" t="s">
        <v>154</v>
      </c>
      <c r="H268" s="68">
        <f t="shared" si="3"/>
        <v>0</v>
      </c>
      <c r="I268" s="62" t="s">
        <v>146</v>
      </c>
      <c r="J268" s="62"/>
      <c r="K268" s="71"/>
      <c r="L268" s="57" t="s">
        <v>115</v>
      </c>
      <c r="M268" s="61"/>
      <c r="N268" s="61"/>
      <c r="O268" s="62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101"/>
      <c r="AC268" s="30">
        <v>1.0</v>
      </c>
      <c r="AD268" s="30">
        <f t="shared" si="4"/>
        <v>0</v>
      </c>
      <c r="AE268" s="70">
        <f t="shared" si="5"/>
        <v>0</v>
      </c>
      <c r="AF268" s="70">
        <v>1.0</v>
      </c>
    </row>
    <row r="269" ht="15.75" hidden="1" customHeight="1">
      <c r="A269" s="54" t="s">
        <v>572</v>
      </c>
      <c r="B269" s="56" t="s">
        <v>595</v>
      </c>
      <c r="C269" s="56" t="s">
        <v>574</v>
      </c>
      <c r="D269" s="56" t="s">
        <v>577</v>
      </c>
      <c r="E269" s="56" t="s">
        <v>196</v>
      </c>
      <c r="F269" s="56" t="s">
        <v>249</v>
      </c>
      <c r="G269" s="57" t="s">
        <v>250</v>
      </c>
      <c r="H269" s="68">
        <f t="shared" si="3"/>
        <v>0</v>
      </c>
      <c r="I269" s="62" t="s">
        <v>634</v>
      </c>
      <c r="J269" s="62" t="s">
        <v>581</v>
      </c>
      <c r="K269" s="71"/>
      <c r="L269" s="57" t="s">
        <v>115</v>
      </c>
      <c r="M269" s="61"/>
      <c r="N269" s="61" t="s">
        <v>197</v>
      </c>
      <c r="O269" s="62" t="s">
        <v>581</v>
      </c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30"/>
      <c r="AC269" s="30">
        <v>2.0</v>
      </c>
      <c r="AD269" s="30">
        <f t="shared" si="4"/>
        <v>0</v>
      </c>
      <c r="AE269" s="70">
        <f t="shared" si="5"/>
        <v>0</v>
      </c>
      <c r="AF269" s="70">
        <v>1.0</v>
      </c>
    </row>
    <row r="270" ht="15.75" hidden="1" customHeight="1">
      <c r="A270" s="54" t="s">
        <v>572</v>
      </c>
      <c r="B270" s="56" t="s">
        <v>596</v>
      </c>
      <c r="C270" s="56" t="s">
        <v>574</v>
      </c>
      <c r="D270" s="56" t="s">
        <v>597</v>
      </c>
      <c r="E270" s="56" t="s">
        <v>239</v>
      </c>
      <c r="F270" s="56" t="s">
        <v>193</v>
      </c>
      <c r="G270" s="57" t="s">
        <v>154</v>
      </c>
      <c r="H270" s="68">
        <f t="shared" si="3"/>
        <v>0</v>
      </c>
      <c r="I270" s="62" t="s">
        <v>146</v>
      </c>
      <c r="J270" s="62"/>
      <c r="K270" s="71"/>
      <c r="L270" s="57" t="s">
        <v>115</v>
      </c>
      <c r="M270" s="61"/>
      <c r="N270" s="61"/>
      <c r="O270" s="62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30"/>
      <c r="AC270" s="30">
        <v>1.0</v>
      </c>
      <c r="AD270" s="30">
        <f t="shared" si="4"/>
        <v>0</v>
      </c>
      <c r="AE270" s="70">
        <f t="shared" si="5"/>
        <v>0</v>
      </c>
      <c r="AF270" s="70">
        <v>1.0</v>
      </c>
    </row>
    <row r="271" ht="15.75" hidden="1" customHeight="1">
      <c r="A271" s="54" t="s">
        <v>572</v>
      </c>
      <c r="B271" s="56" t="s">
        <v>598</v>
      </c>
      <c r="C271" s="56" t="s">
        <v>574</v>
      </c>
      <c r="D271" s="56" t="s">
        <v>577</v>
      </c>
      <c r="E271" s="56" t="s">
        <v>578</v>
      </c>
      <c r="F271" s="56" t="s">
        <v>193</v>
      </c>
      <c r="G271" s="57" t="s">
        <v>154</v>
      </c>
      <c r="H271" s="68">
        <f t="shared" si="3"/>
        <v>0</v>
      </c>
      <c r="I271" s="62" t="s">
        <v>146</v>
      </c>
      <c r="J271" s="62"/>
      <c r="K271" s="71"/>
      <c r="L271" s="57" t="s">
        <v>115</v>
      </c>
      <c r="M271" s="61"/>
      <c r="N271" s="61"/>
      <c r="O271" s="62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30"/>
      <c r="AC271" s="30">
        <v>1.0</v>
      </c>
      <c r="AD271" s="30">
        <f t="shared" si="4"/>
        <v>0</v>
      </c>
      <c r="AE271" s="70">
        <f t="shared" si="5"/>
        <v>0</v>
      </c>
      <c r="AF271" s="70">
        <v>1.0</v>
      </c>
    </row>
    <row r="272" ht="15.75" hidden="1" customHeight="1">
      <c r="A272" s="54" t="s">
        <v>572</v>
      </c>
      <c r="B272" s="56" t="s">
        <v>598</v>
      </c>
      <c r="C272" s="56" t="s">
        <v>574</v>
      </c>
      <c r="D272" s="56" t="s">
        <v>577</v>
      </c>
      <c r="E272" s="56" t="s">
        <v>196</v>
      </c>
      <c r="F272" s="56" t="s">
        <v>249</v>
      </c>
      <c r="G272" s="57" t="s">
        <v>250</v>
      </c>
      <c r="H272" s="68">
        <f t="shared" si="3"/>
        <v>0</v>
      </c>
      <c r="I272" s="62" t="s">
        <v>634</v>
      </c>
      <c r="J272" s="62" t="s">
        <v>581</v>
      </c>
      <c r="K272" s="71"/>
      <c r="L272" s="57" t="s">
        <v>115</v>
      </c>
      <c r="M272" s="61"/>
      <c r="N272" s="61" t="s">
        <v>197</v>
      </c>
      <c r="O272" s="62" t="s">
        <v>581</v>
      </c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30"/>
      <c r="AC272" s="30">
        <v>2.0</v>
      </c>
      <c r="AD272" s="30">
        <f t="shared" si="4"/>
        <v>0</v>
      </c>
      <c r="AE272" s="70">
        <f t="shared" si="5"/>
        <v>0</v>
      </c>
      <c r="AF272" s="70">
        <v>1.0</v>
      </c>
    </row>
    <row r="273" ht="15.75" hidden="1" customHeight="1">
      <c r="A273" s="54" t="s">
        <v>289</v>
      </c>
      <c r="B273" s="56" t="s">
        <v>599</v>
      </c>
      <c r="C273" s="56" t="s">
        <v>291</v>
      </c>
      <c r="D273" s="56" t="s">
        <v>600</v>
      </c>
      <c r="E273" s="56" t="s">
        <v>163</v>
      </c>
      <c r="F273" s="56" t="s">
        <v>327</v>
      </c>
      <c r="G273" s="57" t="s">
        <v>154</v>
      </c>
      <c r="H273" s="68">
        <f t="shared" si="3"/>
        <v>0</v>
      </c>
      <c r="I273" s="62" t="s">
        <v>146</v>
      </c>
      <c r="J273" s="62"/>
      <c r="K273" s="71"/>
      <c r="L273" s="57" t="s">
        <v>115</v>
      </c>
      <c r="M273" s="61"/>
      <c r="N273" s="79"/>
      <c r="O273" s="62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30">
        <v>2.0</v>
      </c>
      <c r="AD273" s="30">
        <f t="shared" si="4"/>
        <v>0</v>
      </c>
      <c r="AE273" s="70">
        <f t="shared" si="5"/>
        <v>0</v>
      </c>
      <c r="AF273" s="70">
        <v>1.0</v>
      </c>
    </row>
    <row r="274" ht="15.75" hidden="1" customHeight="1">
      <c r="A274" s="54" t="s">
        <v>289</v>
      </c>
      <c r="B274" s="56" t="s">
        <v>290</v>
      </c>
      <c r="C274" s="56" t="s">
        <v>291</v>
      </c>
      <c r="D274" s="56" t="s">
        <v>292</v>
      </c>
      <c r="E274" s="56" t="s">
        <v>196</v>
      </c>
      <c r="F274" s="56" t="s">
        <v>249</v>
      </c>
      <c r="G274" s="57" t="s">
        <v>250</v>
      </c>
      <c r="H274" s="68">
        <f t="shared" si="3"/>
        <v>0</v>
      </c>
      <c r="I274" s="62"/>
      <c r="J274" s="62" t="s">
        <v>288</v>
      </c>
      <c r="K274" s="71"/>
      <c r="L274" s="57" t="s">
        <v>115</v>
      </c>
      <c r="M274" s="61"/>
      <c r="N274" s="61" t="s">
        <v>287</v>
      </c>
      <c r="O274" s="62" t="s">
        <v>288</v>
      </c>
      <c r="P274" s="53"/>
      <c r="Q274" s="53"/>
      <c r="R274" s="87"/>
      <c r="S274" s="53"/>
      <c r="T274" s="53"/>
      <c r="U274" s="53"/>
      <c r="V274" s="87"/>
      <c r="W274" s="53"/>
      <c r="X274" s="53"/>
      <c r="Y274" s="53"/>
      <c r="Z274" s="53"/>
      <c r="AA274" s="87"/>
      <c r="AB274" s="30"/>
      <c r="AC274" s="30">
        <v>3.0</v>
      </c>
      <c r="AD274" s="30">
        <f t="shared" si="4"/>
        <v>0</v>
      </c>
      <c r="AE274" s="70">
        <f t="shared" si="5"/>
        <v>0</v>
      </c>
      <c r="AF274" s="70">
        <v>1.0</v>
      </c>
    </row>
    <row r="275" ht="15.75" hidden="1" customHeight="1">
      <c r="A275" s="54" t="s">
        <v>289</v>
      </c>
      <c r="B275" s="56" t="s">
        <v>290</v>
      </c>
      <c r="C275" s="56" t="s">
        <v>291</v>
      </c>
      <c r="D275" s="56" t="s">
        <v>292</v>
      </c>
      <c r="E275" s="56" t="s">
        <v>601</v>
      </c>
      <c r="F275" s="56" t="s">
        <v>327</v>
      </c>
      <c r="G275" s="57" t="s">
        <v>154</v>
      </c>
      <c r="H275" s="68">
        <f t="shared" si="3"/>
        <v>0</v>
      </c>
      <c r="I275" s="62" t="s">
        <v>146</v>
      </c>
      <c r="J275" s="62"/>
      <c r="K275" s="71"/>
      <c r="L275" s="57" t="s">
        <v>115</v>
      </c>
      <c r="M275" s="61"/>
      <c r="N275" s="79"/>
      <c r="O275" s="62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87"/>
      <c r="AA275" s="53"/>
      <c r="AB275" s="30"/>
      <c r="AC275" s="30">
        <v>2.0</v>
      </c>
      <c r="AD275" s="30">
        <f t="shared" si="4"/>
        <v>0</v>
      </c>
      <c r="AE275" s="70">
        <f t="shared" si="5"/>
        <v>0</v>
      </c>
      <c r="AF275" s="70">
        <v>1.0</v>
      </c>
    </row>
    <row r="276" ht="15.75" hidden="1" customHeight="1">
      <c r="A276" s="54" t="s">
        <v>289</v>
      </c>
      <c r="B276" s="56" t="s">
        <v>290</v>
      </c>
      <c r="C276" s="56" t="s">
        <v>291</v>
      </c>
      <c r="D276" s="56" t="s">
        <v>292</v>
      </c>
      <c r="E276" s="56" t="s">
        <v>167</v>
      </c>
      <c r="F276" s="56" t="s">
        <v>173</v>
      </c>
      <c r="G276" s="57" t="s">
        <v>87</v>
      </c>
      <c r="H276" s="68">
        <f t="shared" si="3"/>
        <v>0</v>
      </c>
      <c r="I276" s="62"/>
      <c r="J276" s="62"/>
      <c r="K276" s="71"/>
      <c r="L276" s="57" t="s">
        <v>130</v>
      </c>
      <c r="M276" s="61"/>
      <c r="N276" s="79"/>
      <c r="O276" s="62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30">
        <v>12.0</v>
      </c>
      <c r="AD276" s="30">
        <f t="shared" si="4"/>
        <v>0</v>
      </c>
      <c r="AE276" s="70">
        <f t="shared" si="5"/>
        <v>0</v>
      </c>
      <c r="AF276" s="70">
        <v>1.0</v>
      </c>
    </row>
    <row r="277" ht="15.75" hidden="1" customHeight="1">
      <c r="A277" s="54" t="s">
        <v>289</v>
      </c>
      <c r="B277" s="56" t="s">
        <v>290</v>
      </c>
      <c r="C277" s="56" t="s">
        <v>291</v>
      </c>
      <c r="D277" s="56" t="s">
        <v>292</v>
      </c>
      <c r="E277" s="56" t="s">
        <v>295</v>
      </c>
      <c r="F277" s="56" t="s">
        <v>173</v>
      </c>
      <c r="G277" s="57" t="s">
        <v>87</v>
      </c>
      <c r="H277" s="68">
        <f t="shared" si="3"/>
        <v>0</v>
      </c>
      <c r="I277" s="62"/>
      <c r="J277" s="62"/>
      <c r="K277" s="71"/>
      <c r="L277" s="57" t="s">
        <v>130</v>
      </c>
      <c r="M277" s="61"/>
      <c r="N277" s="79"/>
      <c r="O277" s="62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30">
        <v>12.0</v>
      </c>
      <c r="AD277" s="30">
        <f t="shared" si="4"/>
        <v>0</v>
      </c>
      <c r="AE277" s="70">
        <f t="shared" si="5"/>
        <v>0</v>
      </c>
      <c r="AF277" s="70">
        <v>1.0</v>
      </c>
    </row>
    <row r="278" ht="15.75" hidden="1" customHeight="1">
      <c r="A278" s="54" t="s">
        <v>289</v>
      </c>
      <c r="B278" s="56" t="s">
        <v>605</v>
      </c>
      <c r="C278" s="56" t="s">
        <v>606</v>
      </c>
      <c r="D278" s="56" t="s">
        <v>607</v>
      </c>
      <c r="E278" s="56" t="s">
        <v>608</v>
      </c>
      <c r="F278" s="56" t="s">
        <v>327</v>
      </c>
      <c r="G278" s="57" t="s">
        <v>154</v>
      </c>
      <c r="H278" s="68">
        <f t="shared" si="3"/>
        <v>0</v>
      </c>
      <c r="I278" s="62" t="s">
        <v>146</v>
      </c>
      <c r="J278" s="62"/>
      <c r="K278" s="71"/>
      <c r="L278" s="57" t="s">
        <v>130</v>
      </c>
      <c r="M278" s="61"/>
      <c r="N278" s="79"/>
      <c r="O278" s="62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30"/>
      <c r="AC278" s="30">
        <v>2.0</v>
      </c>
      <c r="AD278" s="30">
        <f t="shared" si="4"/>
        <v>0</v>
      </c>
      <c r="AE278" s="70">
        <f t="shared" si="5"/>
        <v>0</v>
      </c>
      <c r="AF278" s="70">
        <v>1.0</v>
      </c>
    </row>
    <row r="279" ht="15.75" hidden="1" customHeight="1">
      <c r="A279" s="54" t="s">
        <v>289</v>
      </c>
      <c r="B279" s="56" t="s">
        <v>609</v>
      </c>
      <c r="C279" s="56" t="s">
        <v>610</v>
      </c>
      <c r="D279" s="56" t="s">
        <v>611</v>
      </c>
      <c r="E279" s="56" t="s">
        <v>612</v>
      </c>
      <c r="F279" s="56" t="s">
        <v>193</v>
      </c>
      <c r="G279" s="57" t="s">
        <v>34</v>
      </c>
      <c r="H279" s="68">
        <f t="shared" si="3"/>
        <v>0</v>
      </c>
      <c r="I279" s="62" t="s">
        <v>146</v>
      </c>
      <c r="J279" s="62"/>
      <c r="K279" s="71"/>
      <c r="L279" s="57" t="s">
        <v>130</v>
      </c>
      <c r="M279" s="61"/>
      <c r="N279" s="79"/>
      <c r="O279" s="62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30"/>
      <c r="AC279" s="30">
        <v>1.0</v>
      </c>
      <c r="AD279" s="30">
        <f t="shared" si="4"/>
        <v>0</v>
      </c>
      <c r="AE279" s="70">
        <f t="shared" si="5"/>
        <v>0</v>
      </c>
      <c r="AF279" s="70">
        <v>1.0</v>
      </c>
    </row>
    <row r="280" ht="15.75" hidden="1" customHeight="1">
      <c r="A280" s="54" t="s">
        <v>289</v>
      </c>
      <c r="B280" s="56" t="s">
        <v>609</v>
      </c>
      <c r="C280" s="56" t="s">
        <v>610</v>
      </c>
      <c r="D280" s="56" t="s">
        <v>611</v>
      </c>
      <c r="E280" s="56" t="s">
        <v>613</v>
      </c>
      <c r="F280" s="56" t="s">
        <v>193</v>
      </c>
      <c r="G280" s="57" t="s">
        <v>34</v>
      </c>
      <c r="H280" s="68">
        <f t="shared" si="3"/>
        <v>0</v>
      </c>
      <c r="I280" s="62"/>
      <c r="J280" s="62"/>
      <c r="K280" s="71"/>
      <c r="L280" s="57" t="s">
        <v>130</v>
      </c>
      <c r="M280" s="61"/>
      <c r="N280" s="79"/>
      <c r="O280" s="62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30"/>
      <c r="AC280" s="30">
        <v>1.0</v>
      </c>
      <c r="AD280" s="30">
        <f t="shared" si="4"/>
        <v>0</v>
      </c>
      <c r="AE280" s="70">
        <f t="shared" si="5"/>
        <v>0</v>
      </c>
      <c r="AF280" s="70">
        <v>1.0</v>
      </c>
    </row>
    <row r="281" ht="15.75" hidden="1" customHeight="1">
      <c r="A281" s="54" t="s">
        <v>289</v>
      </c>
      <c r="B281" s="56" t="s">
        <v>609</v>
      </c>
      <c r="C281" s="56" t="s">
        <v>610</v>
      </c>
      <c r="D281" s="56" t="s">
        <v>611</v>
      </c>
      <c r="E281" s="56" t="s">
        <v>614</v>
      </c>
      <c r="F281" s="56" t="s">
        <v>193</v>
      </c>
      <c r="G281" s="57" t="s">
        <v>34</v>
      </c>
      <c r="H281" s="68">
        <f t="shared" si="3"/>
        <v>0</v>
      </c>
      <c r="I281" s="62" t="s">
        <v>146</v>
      </c>
      <c r="J281" s="62"/>
      <c r="K281" s="71"/>
      <c r="L281" s="57" t="s">
        <v>115</v>
      </c>
      <c r="M281" s="61"/>
      <c r="N281" s="79"/>
      <c r="O281" s="62" t="s">
        <v>615</v>
      </c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30"/>
      <c r="AC281" s="30">
        <v>1.0</v>
      </c>
      <c r="AD281" s="30">
        <f t="shared" si="4"/>
        <v>0</v>
      </c>
      <c r="AE281" s="70">
        <f t="shared" si="5"/>
        <v>0</v>
      </c>
      <c r="AF281" s="70">
        <v>1.0</v>
      </c>
    </row>
    <row r="282" ht="15.75" hidden="1" customHeight="1">
      <c r="A282" s="54" t="s">
        <v>289</v>
      </c>
      <c r="B282" s="56" t="s">
        <v>609</v>
      </c>
      <c r="C282" s="56" t="s">
        <v>610</v>
      </c>
      <c r="D282" s="56" t="s">
        <v>611</v>
      </c>
      <c r="E282" s="56" t="s">
        <v>616</v>
      </c>
      <c r="F282" s="56" t="s">
        <v>327</v>
      </c>
      <c r="G282" s="57" t="s">
        <v>154</v>
      </c>
      <c r="H282" s="68">
        <f t="shared" si="3"/>
        <v>0</v>
      </c>
      <c r="I282" s="62" t="s">
        <v>146</v>
      </c>
      <c r="J282" s="62" t="s">
        <v>617</v>
      </c>
      <c r="K282" s="71"/>
      <c r="L282" s="57" t="s">
        <v>115</v>
      </c>
      <c r="M282" s="61"/>
      <c r="N282" s="79"/>
      <c r="O282" s="62" t="s">
        <v>617</v>
      </c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30"/>
      <c r="AC282" s="30">
        <v>2.0</v>
      </c>
      <c r="AD282" s="30">
        <f t="shared" si="4"/>
        <v>0</v>
      </c>
      <c r="AE282" s="70">
        <f t="shared" si="5"/>
        <v>0</v>
      </c>
      <c r="AF282" s="70">
        <v>1.0</v>
      </c>
    </row>
    <row r="283" ht="15.75" hidden="1" customHeight="1">
      <c r="A283" s="54" t="s">
        <v>289</v>
      </c>
      <c r="B283" s="56" t="s">
        <v>619</v>
      </c>
      <c r="C283" s="56" t="s">
        <v>610</v>
      </c>
      <c r="D283" s="56" t="s">
        <v>620</v>
      </c>
      <c r="E283" s="56" t="s">
        <v>196</v>
      </c>
      <c r="F283" s="56" t="s">
        <v>249</v>
      </c>
      <c r="G283" s="57" t="s">
        <v>250</v>
      </c>
      <c r="H283" s="68">
        <f t="shared" si="3"/>
        <v>0</v>
      </c>
      <c r="I283" s="62"/>
      <c r="J283" s="62" t="s">
        <v>288</v>
      </c>
      <c r="K283" s="71"/>
      <c r="L283" s="57" t="s">
        <v>115</v>
      </c>
      <c r="M283" s="61"/>
      <c r="N283" s="61" t="s">
        <v>287</v>
      </c>
      <c r="O283" s="62" t="s">
        <v>288</v>
      </c>
      <c r="P283" s="53"/>
      <c r="Q283" s="53"/>
      <c r="R283" s="87"/>
      <c r="S283" s="53"/>
      <c r="T283" s="53"/>
      <c r="U283" s="53"/>
      <c r="V283" s="87"/>
      <c r="W283" s="53"/>
      <c r="X283" s="53"/>
      <c r="Y283" s="53"/>
      <c r="Z283" s="53"/>
      <c r="AA283" s="87"/>
      <c r="AB283" s="30"/>
      <c r="AC283" s="30">
        <v>3.0</v>
      </c>
      <c r="AD283" s="30">
        <f t="shared" si="4"/>
        <v>0</v>
      </c>
      <c r="AE283" s="70">
        <f t="shared" si="5"/>
        <v>0</v>
      </c>
      <c r="AF283" s="70">
        <v>1.0</v>
      </c>
    </row>
    <row r="284" ht="15.0" hidden="1" customHeight="1">
      <c r="A284" s="54" t="s">
        <v>289</v>
      </c>
      <c r="B284" s="56" t="s">
        <v>619</v>
      </c>
      <c r="C284" s="56" t="s">
        <v>610</v>
      </c>
      <c r="D284" s="56" t="s">
        <v>620</v>
      </c>
      <c r="E284" s="56" t="s">
        <v>621</v>
      </c>
      <c r="F284" s="56" t="s">
        <v>321</v>
      </c>
      <c r="G284" s="57" t="s">
        <v>192</v>
      </c>
      <c r="H284" s="68">
        <f t="shared" si="3"/>
        <v>0</v>
      </c>
      <c r="I284" s="62"/>
      <c r="J284" s="62"/>
      <c r="K284" s="71"/>
      <c r="L284" s="57" t="s">
        <v>115</v>
      </c>
      <c r="M284" s="61"/>
      <c r="N284" s="79"/>
      <c r="O284" s="62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30"/>
      <c r="AC284" s="30">
        <v>3.0</v>
      </c>
      <c r="AD284" s="30">
        <f t="shared" si="4"/>
        <v>0</v>
      </c>
      <c r="AE284" s="70">
        <f t="shared" si="5"/>
        <v>0</v>
      </c>
      <c r="AF284" s="70">
        <v>1.0</v>
      </c>
    </row>
    <row r="285" ht="16.5" hidden="1" customHeight="1">
      <c r="A285" s="54" t="s">
        <v>289</v>
      </c>
      <c r="B285" s="56" t="s">
        <v>619</v>
      </c>
      <c r="C285" s="56" t="s">
        <v>610</v>
      </c>
      <c r="D285" s="56" t="s">
        <v>620</v>
      </c>
      <c r="E285" s="56" t="s">
        <v>622</v>
      </c>
      <c r="F285" s="56" t="s">
        <v>327</v>
      </c>
      <c r="G285" s="57" t="s">
        <v>154</v>
      </c>
      <c r="H285" s="68">
        <f t="shared" si="3"/>
        <v>0</v>
      </c>
      <c r="I285" s="62"/>
      <c r="J285" s="62" t="s">
        <v>617</v>
      </c>
      <c r="K285" s="71"/>
      <c r="L285" s="57" t="s">
        <v>115</v>
      </c>
      <c r="M285" s="61"/>
      <c r="N285" s="79"/>
      <c r="O285" s="62" t="s">
        <v>617</v>
      </c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30"/>
      <c r="AC285" s="30">
        <v>2.0</v>
      </c>
      <c r="AD285" s="30">
        <f t="shared" si="4"/>
        <v>0</v>
      </c>
      <c r="AE285" s="70">
        <f t="shared" si="5"/>
        <v>0</v>
      </c>
      <c r="AF285" s="70">
        <v>1.0</v>
      </c>
    </row>
    <row r="286" ht="13.5" hidden="1" customHeight="1">
      <c r="A286" s="54" t="s">
        <v>289</v>
      </c>
      <c r="B286" s="56" t="s">
        <v>623</v>
      </c>
      <c r="C286" s="56" t="s">
        <v>624</v>
      </c>
      <c r="D286" s="56" t="s">
        <v>611</v>
      </c>
      <c r="E286" s="56" t="s">
        <v>612</v>
      </c>
      <c r="F286" s="56" t="s">
        <v>193</v>
      </c>
      <c r="G286" s="57" t="s">
        <v>34</v>
      </c>
      <c r="H286" s="68">
        <f t="shared" si="3"/>
        <v>0</v>
      </c>
      <c r="I286" s="62" t="s">
        <v>146</v>
      </c>
      <c r="J286" s="62"/>
      <c r="K286" s="71"/>
      <c r="L286" s="57" t="s">
        <v>130</v>
      </c>
      <c r="M286" s="61"/>
      <c r="N286" s="79"/>
      <c r="O286" s="62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30"/>
      <c r="AC286" s="30">
        <v>1.0</v>
      </c>
      <c r="AD286" s="30">
        <f t="shared" si="4"/>
        <v>0</v>
      </c>
      <c r="AE286" s="70">
        <f t="shared" si="5"/>
        <v>0</v>
      </c>
      <c r="AF286" s="70">
        <v>1.0</v>
      </c>
    </row>
    <row r="287" ht="17.25" hidden="1" customHeight="1">
      <c r="A287" s="54" t="s">
        <v>289</v>
      </c>
      <c r="B287" s="56" t="s">
        <v>623</v>
      </c>
      <c r="C287" s="56" t="s">
        <v>624</v>
      </c>
      <c r="D287" s="56" t="s">
        <v>611</v>
      </c>
      <c r="E287" s="56" t="s">
        <v>613</v>
      </c>
      <c r="F287" s="56" t="s">
        <v>193</v>
      </c>
      <c r="G287" s="57" t="s">
        <v>34</v>
      </c>
      <c r="H287" s="68">
        <f t="shared" si="3"/>
        <v>0</v>
      </c>
      <c r="I287" s="62" t="s">
        <v>146</v>
      </c>
      <c r="J287" s="62"/>
      <c r="K287" s="71"/>
      <c r="L287" s="57" t="s">
        <v>130</v>
      </c>
      <c r="M287" s="61"/>
      <c r="N287" s="79"/>
      <c r="O287" s="62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30"/>
      <c r="AC287" s="30">
        <v>1.0</v>
      </c>
      <c r="AD287" s="30">
        <f t="shared" si="4"/>
        <v>0</v>
      </c>
      <c r="AE287" s="70">
        <f t="shared" si="5"/>
        <v>0</v>
      </c>
      <c r="AF287" s="70">
        <v>1.0</v>
      </c>
    </row>
    <row r="288" ht="15.75" hidden="1" customHeight="1">
      <c r="A288" s="54" t="s">
        <v>289</v>
      </c>
      <c r="B288" s="56" t="s">
        <v>623</v>
      </c>
      <c r="C288" s="56" t="s">
        <v>624</v>
      </c>
      <c r="D288" s="56" t="s">
        <v>611</v>
      </c>
      <c r="E288" s="56" t="s">
        <v>614</v>
      </c>
      <c r="F288" s="56" t="s">
        <v>193</v>
      </c>
      <c r="G288" s="57" t="s">
        <v>34</v>
      </c>
      <c r="H288" s="68">
        <f t="shared" si="3"/>
        <v>0</v>
      </c>
      <c r="I288" s="62" t="s">
        <v>146</v>
      </c>
      <c r="J288" s="62"/>
      <c r="K288" s="71"/>
      <c r="L288" s="57" t="s">
        <v>115</v>
      </c>
      <c r="M288" s="61"/>
      <c r="N288" s="79"/>
      <c r="O288" s="62" t="s">
        <v>615</v>
      </c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30"/>
      <c r="AC288" s="30">
        <v>1.0</v>
      </c>
      <c r="AD288" s="30">
        <f t="shared" si="4"/>
        <v>0</v>
      </c>
      <c r="AE288" s="70">
        <f t="shared" si="5"/>
        <v>0</v>
      </c>
      <c r="AF288" s="70">
        <v>1.0</v>
      </c>
    </row>
    <row r="289" ht="15.0" hidden="1" customHeight="1">
      <c r="A289" s="54" t="s">
        <v>289</v>
      </c>
      <c r="B289" s="56" t="s">
        <v>623</v>
      </c>
      <c r="C289" s="56" t="s">
        <v>624</v>
      </c>
      <c r="D289" s="56" t="s">
        <v>611</v>
      </c>
      <c r="E289" s="56" t="s">
        <v>616</v>
      </c>
      <c r="F289" s="56" t="s">
        <v>327</v>
      </c>
      <c r="G289" s="57" t="s">
        <v>154</v>
      </c>
      <c r="H289" s="68">
        <f t="shared" si="3"/>
        <v>0</v>
      </c>
      <c r="I289" s="62" t="s">
        <v>146</v>
      </c>
      <c r="J289" s="62" t="s">
        <v>617</v>
      </c>
      <c r="K289" s="71"/>
      <c r="L289" s="57" t="s">
        <v>115</v>
      </c>
      <c r="M289" s="61"/>
      <c r="N289" s="79"/>
      <c r="O289" s="62" t="s">
        <v>617</v>
      </c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30"/>
      <c r="AC289" s="30">
        <v>2.0</v>
      </c>
      <c r="AD289" s="30">
        <f t="shared" si="4"/>
        <v>0</v>
      </c>
      <c r="AE289" s="70">
        <f t="shared" si="5"/>
        <v>0</v>
      </c>
      <c r="AF289" s="70">
        <v>1.0</v>
      </c>
    </row>
    <row r="290" ht="15.75" hidden="1" customHeight="1">
      <c r="A290" s="54" t="s">
        <v>289</v>
      </c>
      <c r="B290" s="56" t="s">
        <v>625</v>
      </c>
      <c r="C290" s="56" t="s">
        <v>624</v>
      </c>
      <c r="D290" s="56" t="s">
        <v>620</v>
      </c>
      <c r="E290" s="56" t="s">
        <v>196</v>
      </c>
      <c r="F290" s="56" t="s">
        <v>249</v>
      </c>
      <c r="G290" s="57" t="s">
        <v>250</v>
      </c>
      <c r="H290" s="68">
        <f t="shared" si="3"/>
        <v>0</v>
      </c>
      <c r="I290" s="62"/>
      <c r="J290" s="62" t="s">
        <v>288</v>
      </c>
      <c r="K290" s="71"/>
      <c r="L290" s="57" t="s">
        <v>115</v>
      </c>
      <c r="M290" s="61"/>
      <c r="N290" s="61" t="s">
        <v>287</v>
      </c>
      <c r="O290" s="62" t="s">
        <v>288</v>
      </c>
      <c r="P290" s="53"/>
      <c r="Q290" s="53"/>
      <c r="R290" s="87"/>
      <c r="S290" s="53"/>
      <c r="T290" s="53"/>
      <c r="U290" s="53"/>
      <c r="V290" s="87"/>
      <c r="W290" s="53"/>
      <c r="X290" s="53"/>
      <c r="Y290" s="53"/>
      <c r="Z290" s="53"/>
      <c r="AA290" s="87"/>
      <c r="AB290" s="30"/>
      <c r="AC290" s="30">
        <v>3.0</v>
      </c>
      <c r="AD290" s="30">
        <f t="shared" si="4"/>
        <v>0</v>
      </c>
      <c r="AE290" s="70">
        <f t="shared" si="5"/>
        <v>0</v>
      </c>
      <c r="AF290" s="70">
        <v>1.0</v>
      </c>
    </row>
    <row r="291" ht="15.75" hidden="1" customHeight="1">
      <c r="A291" s="54" t="s">
        <v>289</v>
      </c>
      <c r="B291" s="56" t="s">
        <v>625</v>
      </c>
      <c r="C291" s="56" t="s">
        <v>624</v>
      </c>
      <c r="D291" s="56" t="s">
        <v>620</v>
      </c>
      <c r="E291" s="56" t="s">
        <v>621</v>
      </c>
      <c r="F291" s="56" t="s">
        <v>321</v>
      </c>
      <c r="G291" s="57" t="s">
        <v>192</v>
      </c>
      <c r="H291" s="68">
        <f t="shared" si="3"/>
        <v>0</v>
      </c>
      <c r="I291" s="62"/>
      <c r="J291" s="62"/>
      <c r="K291" s="71"/>
      <c r="L291" s="57" t="s">
        <v>115</v>
      </c>
      <c r="M291" s="61"/>
      <c r="N291" s="79"/>
      <c r="O291" s="62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30">
        <v>3.0</v>
      </c>
      <c r="AD291" s="30">
        <f t="shared" si="4"/>
        <v>0</v>
      </c>
      <c r="AE291" s="70">
        <f t="shared" si="5"/>
        <v>0</v>
      </c>
      <c r="AF291" s="70">
        <v>1.0</v>
      </c>
    </row>
    <row r="292" ht="15.75" hidden="1" customHeight="1">
      <c r="A292" s="54" t="s">
        <v>289</v>
      </c>
      <c r="B292" s="56" t="s">
        <v>625</v>
      </c>
      <c r="C292" s="56" t="s">
        <v>624</v>
      </c>
      <c r="D292" s="56" t="s">
        <v>620</v>
      </c>
      <c r="E292" s="56" t="s">
        <v>622</v>
      </c>
      <c r="F292" s="56" t="s">
        <v>327</v>
      </c>
      <c r="G292" s="57" t="s">
        <v>154</v>
      </c>
      <c r="H292" s="68">
        <f t="shared" si="3"/>
        <v>0</v>
      </c>
      <c r="I292" s="62"/>
      <c r="J292" s="62" t="s">
        <v>617</v>
      </c>
      <c r="K292" s="71"/>
      <c r="L292" s="57" t="s">
        <v>115</v>
      </c>
      <c r="M292" s="61"/>
      <c r="N292" s="79"/>
      <c r="O292" s="62" t="s">
        <v>617</v>
      </c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30">
        <v>2.0</v>
      </c>
      <c r="AD292" s="30">
        <f t="shared" si="4"/>
        <v>0</v>
      </c>
      <c r="AE292" s="70">
        <f t="shared" si="5"/>
        <v>0</v>
      </c>
      <c r="AF292" s="70">
        <v>1.0</v>
      </c>
    </row>
    <row r="293" ht="15.75" hidden="1" customHeight="1">
      <c r="A293" s="54" t="s">
        <v>289</v>
      </c>
      <c r="B293" s="56" t="s">
        <v>626</v>
      </c>
      <c r="C293" s="56" t="s">
        <v>627</v>
      </c>
      <c r="D293" s="56" t="s">
        <v>611</v>
      </c>
      <c r="E293" s="56" t="s">
        <v>612</v>
      </c>
      <c r="F293" s="56" t="s">
        <v>193</v>
      </c>
      <c r="G293" s="57" t="s">
        <v>34</v>
      </c>
      <c r="H293" s="68">
        <f t="shared" si="3"/>
        <v>0</v>
      </c>
      <c r="I293" s="62" t="s">
        <v>146</v>
      </c>
      <c r="J293" s="62"/>
      <c r="K293" s="71"/>
      <c r="L293" s="57" t="s">
        <v>130</v>
      </c>
      <c r="M293" s="61"/>
      <c r="N293" s="79"/>
      <c r="O293" s="62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30"/>
      <c r="AC293" s="30">
        <v>1.0</v>
      </c>
      <c r="AD293" s="30">
        <f t="shared" si="4"/>
        <v>0</v>
      </c>
      <c r="AE293" s="70">
        <f t="shared" si="5"/>
        <v>0</v>
      </c>
      <c r="AF293" s="70">
        <v>1.0</v>
      </c>
    </row>
    <row r="294" ht="15.75" hidden="1" customHeight="1">
      <c r="A294" s="54" t="s">
        <v>289</v>
      </c>
      <c r="B294" s="56" t="s">
        <v>626</v>
      </c>
      <c r="C294" s="56" t="s">
        <v>627</v>
      </c>
      <c r="D294" s="56" t="s">
        <v>611</v>
      </c>
      <c r="E294" s="56" t="s">
        <v>613</v>
      </c>
      <c r="F294" s="56" t="s">
        <v>193</v>
      </c>
      <c r="G294" s="57" t="s">
        <v>34</v>
      </c>
      <c r="H294" s="68">
        <f t="shared" si="3"/>
        <v>0</v>
      </c>
      <c r="I294" s="62" t="s">
        <v>146</v>
      </c>
      <c r="J294" s="62"/>
      <c r="K294" s="71"/>
      <c r="L294" s="57" t="s">
        <v>130</v>
      </c>
      <c r="M294" s="61"/>
      <c r="N294" s="79"/>
      <c r="O294" s="62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30"/>
      <c r="AC294" s="30">
        <v>1.0</v>
      </c>
      <c r="AD294" s="30">
        <f t="shared" si="4"/>
        <v>0</v>
      </c>
      <c r="AE294" s="70">
        <f t="shared" si="5"/>
        <v>0</v>
      </c>
      <c r="AF294" s="70">
        <v>1.0</v>
      </c>
    </row>
    <row r="295" ht="15.75" hidden="1" customHeight="1">
      <c r="A295" s="54" t="s">
        <v>289</v>
      </c>
      <c r="B295" s="56" t="s">
        <v>626</v>
      </c>
      <c r="C295" s="56" t="s">
        <v>627</v>
      </c>
      <c r="D295" s="56" t="s">
        <v>611</v>
      </c>
      <c r="E295" s="56" t="s">
        <v>614</v>
      </c>
      <c r="F295" s="56" t="s">
        <v>193</v>
      </c>
      <c r="G295" s="57" t="s">
        <v>34</v>
      </c>
      <c r="H295" s="68">
        <f t="shared" si="3"/>
        <v>0</v>
      </c>
      <c r="I295" s="62" t="s">
        <v>146</v>
      </c>
      <c r="J295" s="62"/>
      <c r="K295" s="71"/>
      <c r="L295" s="57" t="s">
        <v>115</v>
      </c>
      <c r="M295" s="61"/>
      <c r="N295" s="79"/>
      <c r="O295" s="62" t="s">
        <v>615</v>
      </c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30"/>
      <c r="AC295" s="30">
        <v>1.0</v>
      </c>
      <c r="AD295" s="30">
        <f t="shared" si="4"/>
        <v>0</v>
      </c>
      <c r="AE295" s="70">
        <f t="shared" si="5"/>
        <v>0</v>
      </c>
      <c r="AF295" s="70">
        <v>1.0</v>
      </c>
    </row>
    <row r="296" ht="15.75" hidden="1" customHeight="1">
      <c r="A296" s="54" t="s">
        <v>289</v>
      </c>
      <c r="B296" s="56" t="s">
        <v>626</v>
      </c>
      <c r="C296" s="56" t="s">
        <v>627</v>
      </c>
      <c r="D296" s="56" t="s">
        <v>611</v>
      </c>
      <c r="E296" s="56" t="s">
        <v>616</v>
      </c>
      <c r="F296" s="56" t="s">
        <v>327</v>
      </c>
      <c r="G296" s="57" t="s">
        <v>154</v>
      </c>
      <c r="H296" s="68">
        <f t="shared" si="3"/>
        <v>0</v>
      </c>
      <c r="I296" s="62" t="s">
        <v>146</v>
      </c>
      <c r="J296" s="62" t="s">
        <v>617</v>
      </c>
      <c r="K296" s="71"/>
      <c r="L296" s="57" t="s">
        <v>115</v>
      </c>
      <c r="M296" s="61"/>
      <c r="N296" s="79"/>
      <c r="O296" s="62" t="s">
        <v>617</v>
      </c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30"/>
      <c r="AC296" s="30">
        <v>2.0</v>
      </c>
      <c r="AD296" s="30">
        <f t="shared" si="4"/>
        <v>0</v>
      </c>
      <c r="AE296" s="70">
        <f t="shared" si="5"/>
        <v>0</v>
      </c>
      <c r="AF296" s="70">
        <v>1.0</v>
      </c>
    </row>
    <row r="297" ht="15.75" hidden="1" customHeight="1">
      <c r="A297" s="54" t="s">
        <v>289</v>
      </c>
      <c r="B297" s="56" t="s">
        <v>626</v>
      </c>
      <c r="C297" s="56" t="s">
        <v>627</v>
      </c>
      <c r="D297" s="56" t="s">
        <v>611</v>
      </c>
      <c r="E297" s="56" t="s">
        <v>618</v>
      </c>
      <c r="F297" s="56" t="s">
        <v>327</v>
      </c>
      <c r="G297" s="57" t="s">
        <v>154</v>
      </c>
      <c r="H297" s="68">
        <f t="shared" si="3"/>
        <v>0</v>
      </c>
      <c r="I297" s="62" t="s">
        <v>146</v>
      </c>
      <c r="J297" s="62" t="s">
        <v>617</v>
      </c>
      <c r="K297" s="71"/>
      <c r="L297" s="57" t="s">
        <v>115</v>
      </c>
      <c r="M297" s="61"/>
      <c r="N297" s="79"/>
      <c r="O297" s="62" t="s">
        <v>617</v>
      </c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30"/>
      <c r="AC297" s="30">
        <v>2.0</v>
      </c>
      <c r="AD297" s="30">
        <f t="shared" si="4"/>
        <v>0</v>
      </c>
      <c r="AE297" s="70">
        <f t="shared" si="5"/>
        <v>0</v>
      </c>
      <c r="AF297" s="70">
        <v>1.0</v>
      </c>
    </row>
    <row r="298" ht="15.75" hidden="1" customHeight="1">
      <c r="A298" s="54" t="s">
        <v>289</v>
      </c>
      <c r="B298" s="56" t="s">
        <v>628</v>
      </c>
      <c r="C298" s="56" t="s">
        <v>627</v>
      </c>
      <c r="D298" s="56" t="s">
        <v>620</v>
      </c>
      <c r="E298" s="56" t="s">
        <v>196</v>
      </c>
      <c r="F298" s="56" t="s">
        <v>249</v>
      </c>
      <c r="G298" s="57" t="s">
        <v>250</v>
      </c>
      <c r="H298" s="68">
        <f t="shared" si="3"/>
        <v>0</v>
      </c>
      <c r="I298" s="62"/>
      <c r="J298" s="62" t="s">
        <v>288</v>
      </c>
      <c r="K298" s="71"/>
      <c r="L298" s="57" t="s">
        <v>115</v>
      </c>
      <c r="M298" s="61"/>
      <c r="N298" s="61" t="s">
        <v>287</v>
      </c>
      <c r="O298" s="62" t="s">
        <v>288</v>
      </c>
      <c r="P298" s="53"/>
      <c r="Q298" s="53"/>
      <c r="R298" s="87"/>
      <c r="S298" s="53"/>
      <c r="T298" s="53"/>
      <c r="U298" s="53"/>
      <c r="V298" s="87"/>
      <c r="W298" s="53"/>
      <c r="X298" s="53"/>
      <c r="Y298" s="53"/>
      <c r="Z298" s="53"/>
      <c r="AA298" s="87"/>
      <c r="AB298" s="30"/>
      <c r="AC298" s="30">
        <v>3.0</v>
      </c>
      <c r="AD298" s="30">
        <f t="shared" si="4"/>
        <v>0</v>
      </c>
      <c r="AE298" s="70">
        <f t="shared" si="5"/>
        <v>0</v>
      </c>
      <c r="AF298" s="70">
        <v>1.0</v>
      </c>
    </row>
    <row r="299" ht="15.75" hidden="1" customHeight="1">
      <c r="A299" s="54" t="s">
        <v>289</v>
      </c>
      <c r="B299" s="56" t="s">
        <v>628</v>
      </c>
      <c r="C299" s="56" t="s">
        <v>627</v>
      </c>
      <c r="D299" s="56" t="s">
        <v>620</v>
      </c>
      <c r="E299" s="56" t="s">
        <v>621</v>
      </c>
      <c r="F299" s="56" t="s">
        <v>321</v>
      </c>
      <c r="G299" s="57" t="s">
        <v>192</v>
      </c>
      <c r="H299" s="68">
        <f t="shared" si="3"/>
        <v>0</v>
      </c>
      <c r="I299" s="62"/>
      <c r="J299" s="62"/>
      <c r="K299" s="71"/>
      <c r="L299" s="57" t="s">
        <v>115</v>
      </c>
      <c r="M299" s="61"/>
      <c r="N299" s="79"/>
      <c r="O299" s="62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30">
        <v>3.0</v>
      </c>
      <c r="AD299" s="30">
        <f t="shared" si="4"/>
        <v>0</v>
      </c>
      <c r="AE299" s="70">
        <f t="shared" si="5"/>
        <v>0</v>
      </c>
      <c r="AF299" s="70">
        <v>1.0</v>
      </c>
    </row>
    <row r="300" ht="15.75" hidden="1" customHeight="1">
      <c r="A300" s="54" t="s">
        <v>289</v>
      </c>
      <c r="B300" s="56" t="s">
        <v>628</v>
      </c>
      <c r="C300" s="56" t="s">
        <v>627</v>
      </c>
      <c r="D300" s="56" t="s">
        <v>620</v>
      </c>
      <c r="E300" s="56" t="s">
        <v>622</v>
      </c>
      <c r="F300" s="56" t="s">
        <v>327</v>
      </c>
      <c r="G300" s="57" t="s">
        <v>154</v>
      </c>
      <c r="H300" s="68">
        <f t="shared" si="3"/>
        <v>0</v>
      </c>
      <c r="I300" s="62"/>
      <c r="J300" s="62" t="s">
        <v>617</v>
      </c>
      <c r="K300" s="71"/>
      <c r="L300" s="57" t="s">
        <v>115</v>
      </c>
      <c r="M300" s="61"/>
      <c r="N300" s="79"/>
      <c r="O300" s="62" t="s">
        <v>617</v>
      </c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30">
        <v>2.0</v>
      </c>
      <c r="AD300" s="30">
        <f t="shared" si="4"/>
        <v>0</v>
      </c>
      <c r="AE300" s="70">
        <f t="shared" si="5"/>
        <v>0</v>
      </c>
      <c r="AF300" s="70">
        <v>1.0</v>
      </c>
    </row>
    <row r="301" ht="15.75" hidden="1" customHeight="1">
      <c r="A301" s="54" t="s">
        <v>289</v>
      </c>
      <c r="B301" s="56" t="s">
        <v>629</v>
      </c>
      <c r="C301" s="56" t="s">
        <v>627</v>
      </c>
      <c r="D301" s="56" t="s">
        <v>631</v>
      </c>
      <c r="E301" s="56" t="s">
        <v>191</v>
      </c>
      <c r="F301" s="56" t="s">
        <v>313</v>
      </c>
      <c r="G301" s="57" t="s">
        <v>192</v>
      </c>
      <c r="H301" s="68">
        <f t="shared" si="3"/>
        <v>0</v>
      </c>
      <c r="I301" s="62"/>
      <c r="J301" s="62"/>
      <c r="K301" s="71"/>
      <c r="L301" s="57" t="s">
        <v>115</v>
      </c>
      <c r="M301" s="61"/>
      <c r="N301" s="79"/>
      <c r="O301" s="62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30">
        <v>3.0</v>
      </c>
      <c r="AD301" s="30">
        <f t="shared" si="4"/>
        <v>0</v>
      </c>
      <c r="AE301" s="70">
        <f t="shared" si="5"/>
        <v>0</v>
      </c>
      <c r="AF301" s="70">
        <v>1.0</v>
      </c>
    </row>
    <row r="302" ht="15.75" hidden="1" customHeight="1">
      <c r="A302" s="54" t="s">
        <v>289</v>
      </c>
      <c r="B302" s="56" t="s">
        <v>629</v>
      </c>
      <c r="C302" s="56" t="s">
        <v>627</v>
      </c>
      <c r="D302" s="56" t="s">
        <v>631</v>
      </c>
      <c r="E302" s="56" t="s">
        <v>632</v>
      </c>
      <c r="F302" s="56" t="s">
        <v>330</v>
      </c>
      <c r="G302" s="57" t="s">
        <v>34</v>
      </c>
      <c r="H302" s="68">
        <f t="shared" si="3"/>
        <v>0</v>
      </c>
      <c r="I302" s="62"/>
      <c r="J302" s="62"/>
      <c r="K302" s="71"/>
      <c r="L302" s="57" t="s">
        <v>115</v>
      </c>
      <c r="M302" s="61"/>
      <c r="N302" s="61" t="s">
        <v>197</v>
      </c>
      <c r="O302" s="62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30"/>
      <c r="AC302" s="30">
        <v>1.0</v>
      </c>
      <c r="AD302" s="30">
        <f t="shared" si="4"/>
        <v>0</v>
      </c>
      <c r="AE302" s="70">
        <f t="shared" si="5"/>
        <v>0</v>
      </c>
      <c r="AF302" s="70">
        <v>1.0</v>
      </c>
    </row>
    <row r="303" ht="15.75" hidden="1" customHeight="1">
      <c r="A303" s="54" t="s">
        <v>289</v>
      </c>
      <c r="B303" s="56" t="s">
        <v>629</v>
      </c>
      <c r="C303" s="56" t="s">
        <v>627</v>
      </c>
      <c r="D303" s="56" t="s">
        <v>631</v>
      </c>
      <c r="E303" s="56" t="s">
        <v>633</v>
      </c>
      <c r="F303" s="56" t="s">
        <v>246</v>
      </c>
      <c r="G303" s="57" t="s">
        <v>154</v>
      </c>
      <c r="H303" s="68">
        <f t="shared" si="3"/>
        <v>0</v>
      </c>
      <c r="I303" s="62"/>
      <c r="J303" s="62"/>
      <c r="K303" s="71"/>
      <c r="L303" s="57" t="s">
        <v>115</v>
      </c>
      <c r="M303" s="61"/>
      <c r="N303" s="79"/>
      <c r="O303" s="62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30">
        <v>2.0</v>
      </c>
      <c r="AD303" s="30">
        <f t="shared" si="4"/>
        <v>0</v>
      </c>
      <c r="AE303" s="70">
        <f t="shared" si="5"/>
        <v>0</v>
      </c>
      <c r="AF303" s="70">
        <v>1.0</v>
      </c>
    </row>
    <row r="304" ht="15.75" hidden="1" customHeight="1">
      <c r="A304" s="54" t="s">
        <v>289</v>
      </c>
      <c r="B304" s="56" t="s">
        <v>629</v>
      </c>
      <c r="C304" s="56" t="s">
        <v>627</v>
      </c>
      <c r="D304" s="56" t="s">
        <v>631</v>
      </c>
      <c r="E304" s="56" t="s">
        <v>196</v>
      </c>
      <c r="F304" s="56" t="s">
        <v>249</v>
      </c>
      <c r="G304" s="57" t="s">
        <v>250</v>
      </c>
      <c r="H304" s="68">
        <f t="shared" si="3"/>
        <v>0</v>
      </c>
      <c r="I304" s="62"/>
      <c r="J304" s="62" t="s">
        <v>201</v>
      </c>
      <c r="K304" s="71"/>
      <c r="L304" s="57" t="s">
        <v>115</v>
      </c>
      <c r="M304" s="61"/>
      <c r="N304" s="61" t="s">
        <v>200</v>
      </c>
      <c r="O304" s="62" t="s">
        <v>201</v>
      </c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30"/>
      <c r="AC304" s="30">
        <v>2.0</v>
      </c>
      <c r="AD304" s="30">
        <f t="shared" si="4"/>
        <v>0</v>
      </c>
      <c r="AE304" s="70">
        <f t="shared" si="5"/>
        <v>0</v>
      </c>
      <c r="AF304" s="70">
        <v>1.0</v>
      </c>
    </row>
    <row r="305" ht="15.75" hidden="1" customHeight="1">
      <c r="A305" s="54" t="s">
        <v>289</v>
      </c>
      <c r="B305" s="56" t="s">
        <v>635</v>
      </c>
      <c r="C305" s="56" t="s">
        <v>627</v>
      </c>
      <c r="D305" s="56" t="s">
        <v>636</v>
      </c>
      <c r="E305" s="56" t="s">
        <v>191</v>
      </c>
      <c r="F305" s="56" t="s">
        <v>313</v>
      </c>
      <c r="G305" s="57" t="s">
        <v>192</v>
      </c>
      <c r="H305" s="68">
        <f t="shared" si="3"/>
        <v>0</v>
      </c>
      <c r="I305" s="62"/>
      <c r="J305" s="62"/>
      <c r="K305" s="71"/>
      <c r="L305" s="57" t="s">
        <v>115</v>
      </c>
      <c r="M305" s="61"/>
      <c r="N305" s="79"/>
      <c r="O305" s="62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30">
        <v>3.0</v>
      </c>
      <c r="AD305" s="30">
        <f t="shared" si="4"/>
        <v>0</v>
      </c>
      <c r="AE305" s="70">
        <f t="shared" si="5"/>
        <v>0</v>
      </c>
      <c r="AF305" s="70">
        <v>1.0</v>
      </c>
    </row>
    <row r="306" ht="15.75" hidden="1" customHeight="1">
      <c r="A306" s="54" t="s">
        <v>289</v>
      </c>
      <c r="B306" s="56" t="s">
        <v>635</v>
      </c>
      <c r="C306" s="56" t="s">
        <v>627</v>
      </c>
      <c r="D306" s="56" t="s">
        <v>636</v>
      </c>
      <c r="E306" s="56" t="s">
        <v>632</v>
      </c>
      <c r="F306" s="56" t="s">
        <v>330</v>
      </c>
      <c r="G306" s="57" t="s">
        <v>34</v>
      </c>
      <c r="H306" s="68">
        <f t="shared" si="3"/>
        <v>0</v>
      </c>
      <c r="I306" s="62"/>
      <c r="J306" s="62"/>
      <c r="K306" s="71"/>
      <c r="L306" s="57" t="s">
        <v>115</v>
      </c>
      <c r="M306" s="61"/>
      <c r="N306" s="61" t="s">
        <v>197</v>
      </c>
      <c r="O306" s="62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30"/>
      <c r="AC306" s="30">
        <v>1.0</v>
      </c>
      <c r="AD306" s="30">
        <f t="shared" si="4"/>
        <v>0</v>
      </c>
      <c r="AE306" s="70">
        <f t="shared" si="5"/>
        <v>0</v>
      </c>
      <c r="AF306" s="70">
        <v>1.0</v>
      </c>
    </row>
    <row r="307" ht="15.75" hidden="1" customHeight="1">
      <c r="A307" s="54" t="s">
        <v>289</v>
      </c>
      <c r="B307" s="56" t="s">
        <v>635</v>
      </c>
      <c r="C307" s="56" t="s">
        <v>627</v>
      </c>
      <c r="D307" s="56" t="s">
        <v>636</v>
      </c>
      <c r="E307" s="56" t="s">
        <v>633</v>
      </c>
      <c r="F307" s="56" t="s">
        <v>246</v>
      </c>
      <c r="G307" s="57" t="s">
        <v>154</v>
      </c>
      <c r="H307" s="68">
        <f t="shared" si="3"/>
        <v>0</v>
      </c>
      <c r="I307" s="62"/>
      <c r="J307" s="62"/>
      <c r="K307" s="71"/>
      <c r="L307" s="57" t="s">
        <v>115</v>
      </c>
      <c r="M307" s="61"/>
      <c r="N307" s="79"/>
      <c r="O307" s="62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30">
        <v>2.0</v>
      </c>
      <c r="AD307" s="30">
        <f t="shared" si="4"/>
        <v>0</v>
      </c>
      <c r="AE307" s="70">
        <f t="shared" si="5"/>
        <v>0</v>
      </c>
      <c r="AF307" s="70">
        <v>1.0</v>
      </c>
    </row>
    <row r="308" ht="15.75" hidden="1" customHeight="1">
      <c r="A308" s="54" t="s">
        <v>289</v>
      </c>
      <c r="B308" s="56" t="s">
        <v>635</v>
      </c>
      <c r="C308" s="56" t="s">
        <v>627</v>
      </c>
      <c r="D308" s="56" t="s">
        <v>636</v>
      </c>
      <c r="E308" s="56" t="s">
        <v>196</v>
      </c>
      <c r="F308" s="56" t="s">
        <v>249</v>
      </c>
      <c r="G308" s="57" t="s">
        <v>250</v>
      </c>
      <c r="H308" s="68">
        <f t="shared" si="3"/>
        <v>0</v>
      </c>
      <c r="I308" s="62"/>
      <c r="J308" s="62" t="s">
        <v>201</v>
      </c>
      <c r="K308" s="71"/>
      <c r="L308" s="57" t="s">
        <v>115</v>
      </c>
      <c r="M308" s="61"/>
      <c r="N308" s="61" t="s">
        <v>200</v>
      </c>
      <c r="O308" s="62" t="s">
        <v>201</v>
      </c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101"/>
      <c r="AC308" s="30">
        <v>2.0</v>
      </c>
      <c r="AD308" s="30">
        <f t="shared" si="4"/>
        <v>0</v>
      </c>
      <c r="AE308" s="70">
        <f t="shared" si="5"/>
        <v>0</v>
      </c>
      <c r="AF308" s="70">
        <v>1.0</v>
      </c>
    </row>
    <row r="309" ht="15.75" hidden="1" customHeight="1">
      <c r="A309" s="54" t="s">
        <v>289</v>
      </c>
      <c r="B309" s="56" t="s">
        <v>639</v>
      </c>
      <c r="C309" s="56" t="s">
        <v>640</v>
      </c>
      <c r="D309" s="56" t="s">
        <v>611</v>
      </c>
      <c r="E309" s="56" t="s">
        <v>612</v>
      </c>
      <c r="F309" s="56" t="s">
        <v>193</v>
      </c>
      <c r="G309" s="57" t="s">
        <v>34</v>
      </c>
      <c r="H309" s="68">
        <f t="shared" si="3"/>
        <v>0</v>
      </c>
      <c r="I309" s="62" t="s">
        <v>146</v>
      </c>
      <c r="J309" s="62"/>
      <c r="K309" s="71"/>
      <c r="L309" s="57" t="s">
        <v>130</v>
      </c>
      <c r="M309" s="61"/>
      <c r="N309" s="79"/>
      <c r="O309" s="62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30"/>
      <c r="AC309" s="30">
        <v>1.0</v>
      </c>
      <c r="AD309" s="30">
        <f t="shared" si="4"/>
        <v>0</v>
      </c>
      <c r="AE309" s="70">
        <f t="shared" si="5"/>
        <v>0</v>
      </c>
      <c r="AF309" s="70">
        <v>1.0</v>
      </c>
    </row>
    <row r="310" ht="15.75" hidden="1" customHeight="1">
      <c r="A310" s="54" t="s">
        <v>289</v>
      </c>
      <c r="B310" s="56" t="s">
        <v>639</v>
      </c>
      <c r="C310" s="56" t="s">
        <v>640</v>
      </c>
      <c r="D310" s="56" t="s">
        <v>611</v>
      </c>
      <c r="E310" s="56" t="s">
        <v>613</v>
      </c>
      <c r="F310" s="56" t="s">
        <v>193</v>
      </c>
      <c r="G310" s="57" t="s">
        <v>34</v>
      </c>
      <c r="H310" s="68">
        <f t="shared" si="3"/>
        <v>0</v>
      </c>
      <c r="I310" s="62" t="s">
        <v>146</v>
      </c>
      <c r="J310" s="62"/>
      <c r="K310" s="71"/>
      <c r="L310" s="57" t="s">
        <v>130</v>
      </c>
      <c r="M310" s="61"/>
      <c r="N310" s="79"/>
      <c r="O310" s="62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30"/>
      <c r="AC310" s="30">
        <v>1.0</v>
      </c>
      <c r="AD310" s="30">
        <f t="shared" si="4"/>
        <v>0</v>
      </c>
      <c r="AE310" s="70">
        <f t="shared" si="5"/>
        <v>0</v>
      </c>
      <c r="AF310" s="70">
        <v>1.0</v>
      </c>
    </row>
    <row r="311" ht="15.75" hidden="1" customHeight="1">
      <c r="A311" s="54" t="s">
        <v>289</v>
      </c>
      <c r="B311" s="56" t="s">
        <v>639</v>
      </c>
      <c r="C311" s="56" t="s">
        <v>640</v>
      </c>
      <c r="D311" s="56" t="s">
        <v>611</v>
      </c>
      <c r="E311" s="56" t="s">
        <v>614</v>
      </c>
      <c r="F311" s="56" t="s">
        <v>193</v>
      </c>
      <c r="G311" s="57" t="s">
        <v>34</v>
      </c>
      <c r="H311" s="68">
        <f t="shared" si="3"/>
        <v>0</v>
      </c>
      <c r="I311" s="62" t="s">
        <v>146</v>
      </c>
      <c r="J311" s="62"/>
      <c r="K311" s="71"/>
      <c r="L311" s="57" t="s">
        <v>115</v>
      </c>
      <c r="M311" s="61"/>
      <c r="N311" s="79"/>
      <c r="O311" s="62" t="s">
        <v>615</v>
      </c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30"/>
      <c r="AC311" s="30">
        <v>1.0</v>
      </c>
      <c r="AD311" s="30">
        <f t="shared" si="4"/>
        <v>0</v>
      </c>
      <c r="AE311" s="70">
        <f t="shared" si="5"/>
        <v>0</v>
      </c>
      <c r="AF311" s="70">
        <v>1.0</v>
      </c>
    </row>
    <row r="312" ht="15.75" hidden="1" customHeight="1">
      <c r="A312" s="54" t="s">
        <v>289</v>
      </c>
      <c r="B312" s="56" t="s">
        <v>639</v>
      </c>
      <c r="C312" s="56" t="s">
        <v>640</v>
      </c>
      <c r="D312" s="56" t="s">
        <v>611</v>
      </c>
      <c r="E312" s="56" t="s">
        <v>616</v>
      </c>
      <c r="F312" s="56" t="s">
        <v>327</v>
      </c>
      <c r="G312" s="57" t="s">
        <v>154</v>
      </c>
      <c r="H312" s="68">
        <f t="shared" si="3"/>
        <v>0</v>
      </c>
      <c r="I312" s="62" t="s">
        <v>146</v>
      </c>
      <c r="J312" s="62" t="s">
        <v>617</v>
      </c>
      <c r="K312" s="71"/>
      <c r="L312" s="57" t="s">
        <v>115</v>
      </c>
      <c r="M312" s="61"/>
      <c r="N312" s="79"/>
      <c r="O312" s="62" t="s">
        <v>617</v>
      </c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30"/>
      <c r="AC312" s="30">
        <v>2.0</v>
      </c>
      <c r="AD312" s="30">
        <f t="shared" si="4"/>
        <v>0</v>
      </c>
      <c r="AE312" s="70">
        <f t="shared" si="5"/>
        <v>0</v>
      </c>
      <c r="AF312" s="70">
        <v>1.0</v>
      </c>
    </row>
    <row r="313" ht="15.75" hidden="1" customHeight="1">
      <c r="A313" s="54" t="s">
        <v>289</v>
      </c>
      <c r="B313" s="56" t="s">
        <v>639</v>
      </c>
      <c r="C313" s="56" t="s">
        <v>640</v>
      </c>
      <c r="D313" s="56" t="s">
        <v>611</v>
      </c>
      <c r="E313" s="56" t="s">
        <v>618</v>
      </c>
      <c r="F313" s="56" t="s">
        <v>327</v>
      </c>
      <c r="G313" s="57" t="s">
        <v>154</v>
      </c>
      <c r="H313" s="68">
        <f t="shared" si="3"/>
        <v>0</v>
      </c>
      <c r="I313" s="62" t="s">
        <v>146</v>
      </c>
      <c r="J313" s="62" t="s">
        <v>617</v>
      </c>
      <c r="K313" s="71"/>
      <c r="L313" s="57" t="s">
        <v>115</v>
      </c>
      <c r="M313" s="61"/>
      <c r="N313" s="79"/>
      <c r="O313" s="62" t="s">
        <v>617</v>
      </c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30"/>
      <c r="AC313" s="30">
        <v>2.0</v>
      </c>
      <c r="AD313" s="30">
        <f t="shared" si="4"/>
        <v>0</v>
      </c>
      <c r="AE313" s="70">
        <f t="shared" si="5"/>
        <v>0</v>
      </c>
      <c r="AF313" s="70">
        <v>1.0</v>
      </c>
    </row>
    <row r="314" ht="15.75" hidden="1" customHeight="1">
      <c r="A314" s="54" t="s">
        <v>289</v>
      </c>
      <c r="B314" s="56" t="s">
        <v>641</v>
      </c>
      <c r="C314" s="56" t="s">
        <v>640</v>
      </c>
      <c r="D314" s="56" t="s">
        <v>620</v>
      </c>
      <c r="E314" s="56" t="s">
        <v>196</v>
      </c>
      <c r="F314" s="56" t="s">
        <v>249</v>
      </c>
      <c r="G314" s="57" t="s">
        <v>250</v>
      </c>
      <c r="H314" s="68">
        <f t="shared" si="3"/>
        <v>0</v>
      </c>
      <c r="I314" s="62"/>
      <c r="J314" s="62" t="s">
        <v>288</v>
      </c>
      <c r="K314" s="71"/>
      <c r="L314" s="57" t="s">
        <v>115</v>
      </c>
      <c r="M314" s="61"/>
      <c r="N314" s="61" t="s">
        <v>287</v>
      </c>
      <c r="O314" s="62" t="s">
        <v>288</v>
      </c>
      <c r="P314" s="53"/>
      <c r="Q314" s="53"/>
      <c r="R314" s="87"/>
      <c r="S314" s="53"/>
      <c r="T314" s="53"/>
      <c r="U314" s="53"/>
      <c r="V314" s="87"/>
      <c r="W314" s="53"/>
      <c r="X314" s="53"/>
      <c r="Y314" s="53"/>
      <c r="Z314" s="53"/>
      <c r="AA314" s="87"/>
      <c r="AB314" s="30"/>
      <c r="AC314" s="30">
        <v>3.0</v>
      </c>
      <c r="AD314" s="30">
        <f t="shared" si="4"/>
        <v>0</v>
      </c>
      <c r="AE314" s="70">
        <f t="shared" si="5"/>
        <v>0</v>
      </c>
      <c r="AF314" s="70">
        <v>1.0</v>
      </c>
    </row>
    <row r="315" ht="15.75" hidden="1" customHeight="1">
      <c r="A315" s="54" t="s">
        <v>289</v>
      </c>
      <c r="B315" s="56" t="s">
        <v>641</v>
      </c>
      <c r="C315" s="56" t="s">
        <v>640</v>
      </c>
      <c r="D315" s="56" t="s">
        <v>620</v>
      </c>
      <c r="E315" s="56" t="s">
        <v>621</v>
      </c>
      <c r="F315" s="56" t="s">
        <v>321</v>
      </c>
      <c r="G315" s="57" t="s">
        <v>192</v>
      </c>
      <c r="H315" s="68">
        <f t="shared" si="3"/>
        <v>0</v>
      </c>
      <c r="I315" s="62"/>
      <c r="J315" s="62"/>
      <c r="K315" s="71"/>
      <c r="L315" s="57" t="s">
        <v>115</v>
      </c>
      <c r="M315" s="61"/>
      <c r="N315" s="79"/>
      <c r="O315" s="62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30">
        <v>3.0</v>
      </c>
      <c r="AD315" s="30">
        <f t="shared" si="4"/>
        <v>0</v>
      </c>
      <c r="AE315" s="70">
        <f t="shared" si="5"/>
        <v>0</v>
      </c>
      <c r="AF315" s="70">
        <v>1.0</v>
      </c>
    </row>
    <row r="316" ht="15.75" hidden="1" customHeight="1">
      <c r="A316" s="54" t="s">
        <v>289</v>
      </c>
      <c r="B316" s="56" t="s">
        <v>641</v>
      </c>
      <c r="C316" s="56" t="s">
        <v>640</v>
      </c>
      <c r="D316" s="56" t="s">
        <v>620</v>
      </c>
      <c r="E316" s="56" t="s">
        <v>622</v>
      </c>
      <c r="F316" s="56" t="s">
        <v>327</v>
      </c>
      <c r="G316" s="57" t="s">
        <v>154</v>
      </c>
      <c r="H316" s="68">
        <f t="shared" si="3"/>
        <v>0</v>
      </c>
      <c r="I316" s="62"/>
      <c r="J316" s="62" t="s">
        <v>617</v>
      </c>
      <c r="K316" s="71"/>
      <c r="L316" s="57" t="s">
        <v>115</v>
      </c>
      <c r="M316" s="61"/>
      <c r="N316" s="79"/>
      <c r="O316" s="62" t="s">
        <v>617</v>
      </c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30">
        <v>2.0</v>
      </c>
      <c r="AD316" s="30">
        <f t="shared" si="4"/>
        <v>0</v>
      </c>
      <c r="AE316" s="70">
        <f t="shared" si="5"/>
        <v>0</v>
      </c>
      <c r="AF316" s="70">
        <v>1.0</v>
      </c>
    </row>
    <row r="317" ht="15.75" hidden="1" customHeight="1">
      <c r="A317" s="54" t="s">
        <v>289</v>
      </c>
      <c r="B317" s="56" t="s">
        <v>642</v>
      </c>
      <c r="C317" s="56" t="s">
        <v>640</v>
      </c>
      <c r="D317" s="56" t="s">
        <v>631</v>
      </c>
      <c r="E317" s="56" t="s">
        <v>191</v>
      </c>
      <c r="F317" s="56" t="s">
        <v>313</v>
      </c>
      <c r="G317" s="57" t="s">
        <v>192</v>
      </c>
      <c r="H317" s="68">
        <f t="shared" si="3"/>
        <v>0</v>
      </c>
      <c r="I317" s="62"/>
      <c r="J317" s="62"/>
      <c r="K317" s="71"/>
      <c r="L317" s="57" t="s">
        <v>115</v>
      </c>
      <c r="M317" s="61"/>
      <c r="N317" s="79"/>
      <c r="O317" s="62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30">
        <v>3.0</v>
      </c>
      <c r="AD317" s="30">
        <f t="shared" si="4"/>
        <v>0</v>
      </c>
      <c r="AE317" s="70">
        <f t="shared" si="5"/>
        <v>0</v>
      </c>
      <c r="AF317" s="70">
        <v>1.0</v>
      </c>
    </row>
    <row r="318" ht="15.75" hidden="1" customHeight="1">
      <c r="A318" s="54" t="s">
        <v>289</v>
      </c>
      <c r="B318" s="56" t="s">
        <v>642</v>
      </c>
      <c r="C318" s="56" t="s">
        <v>640</v>
      </c>
      <c r="D318" s="56" t="s">
        <v>631</v>
      </c>
      <c r="E318" s="56" t="s">
        <v>632</v>
      </c>
      <c r="F318" s="56" t="s">
        <v>330</v>
      </c>
      <c r="G318" s="57" t="s">
        <v>34</v>
      </c>
      <c r="H318" s="68">
        <f t="shared" si="3"/>
        <v>0</v>
      </c>
      <c r="I318" s="62"/>
      <c r="J318" s="62"/>
      <c r="K318" s="71"/>
      <c r="L318" s="57" t="s">
        <v>115</v>
      </c>
      <c r="M318" s="61"/>
      <c r="N318" s="61" t="s">
        <v>197</v>
      </c>
      <c r="O318" s="62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30"/>
      <c r="AC318" s="30">
        <v>1.0</v>
      </c>
      <c r="AD318" s="30">
        <f t="shared" si="4"/>
        <v>0</v>
      </c>
      <c r="AE318" s="70">
        <f t="shared" si="5"/>
        <v>0</v>
      </c>
      <c r="AF318" s="70">
        <v>1.0</v>
      </c>
    </row>
    <row r="319" ht="15.75" hidden="1" customHeight="1">
      <c r="A319" s="54" t="s">
        <v>289</v>
      </c>
      <c r="B319" s="56" t="s">
        <v>642</v>
      </c>
      <c r="C319" s="56" t="s">
        <v>640</v>
      </c>
      <c r="D319" s="56" t="s">
        <v>631</v>
      </c>
      <c r="E319" s="56" t="s">
        <v>633</v>
      </c>
      <c r="F319" s="56" t="s">
        <v>246</v>
      </c>
      <c r="G319" s="57" t="s">
        <v>154</v>
      </c>
      <c r="H319" s="68">
        <f t="shared" si="3"/>
        <v>0</v>
      </c>
      <c r="I319" s="62"/>
      <c r="J319" s="62"/>
      <c r="K319" s="71"/>
      <c r="L319" s="57" t="s">
        <v>115</v>
      </c>
      <c r="M319" s="61"/>
      <c r="N319" s="79"/>
      <c r="O319" s="62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75"/>
      <c r="AC319" s="30">
        <v>2.0</v>
      </c>
      <c r="AD319" s="30">
        <f t="shared" si="4"/>
        <v>0</v>
      </c>
      <c r="AE319" s="70">
        <f t="shared" si="5"/>
        <v>0</v>
      </c>
      <c r="AF319" s="70">
        <v>1.0</v>
      </c>
    </row>
    <row r="320" ht="15.75" hidden="1" customHeight="1">
      <c r="A320" s="54" t="s">
        <v>289</v>
      </c>
      <c r="B320" s="56" t="s">
        <v>642</v>
      </c>
      <c r="C320" s="56" t="s">
        <v>640</v>
      </c>
      <c r="D320" s="56" t="s">
        <v>631</v>
      </c>
      <c r="E320" s="56" t="s">
        <v>196</v>
      </c>
      <c r="F320" s="56" t="s">
        <v>249</v>
      </c>
      <c r="G320" s="57" t="s">
        <v>250</v>
      </c>
      <c r="H320" s="68">
        <f t="shared" si="3"/>
        <v>0</v>
      </c>
      <c r="I320" s="62"/>
      <c r="J320" s="62" t="s">
        <v>201</v>
      </c>
      <c r="K320" s="71"/>
      <c r="L320" s="57" t="s">
        <v>115</v>
      </c>
      <c r="M320" s="61"/>
      <c r="N320" s="61" t="s">
        <v>200</v>
      </c>
      <c r="O320" s="62" t="s">
        <v>201</v>
      </c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30"/>
      <c r="AC320" s="30">
        <v>2.0</v>
      </c>
      <c r="AD320" s="30">
        <f t="shared" si="4"/>
        <v>0</v>
      </c>
      <c r="AE320" s="70">
        <f t="shared" si="5"/>
        <v>0</v>
      </c>
      <c r="AF320" s="70">
        <v>1.0</v>
      </c>
    </row>
    <row r="321" ht="15.75" hidden="1" customHeight="1">
      <c r="A321" s="54" t="s">
        <v>289</v>
      </c>
      <c r="B321" s="56" t="s">
        <v>643</v>
      </c>
      <c r="C321" s="56" t="s">
        <v>640</v>
      </c>
      <c r="D321" s="56" t="s">
        <v>636</v>
      </c>
      <c r="E321" s="56" t="s">
        <v>191</v>
      </c>
      <c r="F321" s="56" t="s">
        <v>313</v>
      </c>
      <c r="G321" s="57" t="s">
        <v>192</v>
      </c>
      <c r="H321" s="68">
        <f t="shared" si="3"/>
        <v>0</v>
      </c>
      <c r="I321" s="62"/>
      <c r="J321" s="62"/>
      <c r="K321" s="71"/>
      <c r="L321" s="57" t="s">
        <v>115</v>
      </c>
      <c r="M321" s="61"/>
      <c r="N321" s="79"/>
      <c r="O321" s="62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30">
        <v>3.0</v>
      </c>
      <c r="AD321" s="30">
        <f t="shared" si="4"/>
        <v>0</v>
      </c>
      <c r="AE321" s="70">
        <f t="shared" si="5"/>
        <v>0</v>
      </c>
      <c r="AF321" s="70">
        <v>1.0</v>
      </c>
    </row>
    <row r="322" ht="15.75" hidden="1" customHeight="1">
      <c r="A322" s="54" t="s">
        <v>289</v>
      </c>
      <c r="B322" s="56" t="s">
        <v>643</v>
      </c>
      <c r="C322" s="56" t="s">
        <v>640</v>
      </c>
      <c r="D322" s="56" t="s">
        <v>636</v>
      </c>
      <c r="E322" s="56" t="s">
        <v>632</v>
      </c>
      <c r="F322" s="56" t="s">
        <v>330</v>
      </c>
      <c r="G322" s="57" t="s">
        <v>34</v>
      </c>
      <c r="H322" s="68">
        <f t="shared" si="3"/>
        <v>0</v>
      </c>
      <c r="I322" s="62"/>
      <c r="J322" s="62"/>
      <c r="K322" s="71"/>
      <c r="L322" s="57" t="s">
        <v>115</v>
      </c>
      <c r="M322" s="61"/>
      <c r="N322" s="61" t="s">
        <v>197</v>
      </c>
      <c r="O322" s="62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101"/>
      <c r="AC322" s="30">
        <v>1.0</v>
      </c>
      <c r="AD322" s="30">
        <f t="shared" si="4"/>
        <v>0</v>
      </c>
      <c r="AE322" s="70">
        <f t="shared" si="5"/>
        <v>0</v>
      </c>
      <c r="AF322" s="70">
        <v>1.0</v>
      </c>
    </row>
    <row r="323" ht="15.75" hidden="1" customHeight="1">
      <c r="A323" s="54" t="s">
        <v>289</v>
      </c>
      <c r="B323" s="56" t="s">
        <v>643</v>
      </c>
      <c r="C323" s="56" t="s">
        <v>640</v>
      </c>
      <c r="D323" s="56" t="s">
        <v>636</v>
      </c>
      <c r="E323" s="56" t="s">
        <v>633</v>
      </c>
      <c r="F323" s="56" t="s">
        <v>246</v>
      </c>
      <c r="G323" s="57" t="s">
        <v>154</v>
      </c>
      <c r="H323" s="68">
        <f t="shared" si="3"/>
        <v>0</v>
      </c>
      <c r="I323" s="62"/>
      <c r="J323" s="62"/>
      <c r="K323" s="71"/>
      <c r="L323" s="57" t="s">
        <v>115</v>
      </c>
      <c r="M323" s="61"/>
      <c r="N323" s="79"/>
      <c r="O323" s="62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30">
        <v>2.0</v>
      </c>
      <c r="AD323" s="30">
        <f t="shared" si="4"/>
        <v>0</v>
      </c>
      <c r="AE323" s="70">
        <f t="shared" si="5"/>
        <v>0</v>
      </c>
      <c r="AF323" s="70">
        <v>1.0</v>
      </c>
    </row>
    <row r="324" ht="15.75" hidden="1" customHeight="1">
      <c r="A324" s="54" t="s">
        <v>289</v>
      </c>
      <c r="B324" s="56" t="s">
        <v>643</v>
      </c>
      <c r="C324" s="56" t="s">
        <v>640</v>
      </c>
      <c r="D324" s="56" t="s">
        <v>636</v>
      </c>
      <c r="E324" s="56" t="s">
        <v>196</v>
      </c>
      <c r="F324" s="56" t="s">
        <v>249</v>
      </c>
      <c r="G324" s="57" t="s">
        <v>250</v>
      </c>
      <c r="H324" s="68">
        <f t="shared" si="3"/>
        <v>0</v>
      </c>
      <c r="I324" s="62"/>
      <c r="J324" s="62" t="s">
        <v>201</v>
      </c>
      <c r="K324" s="71"/>
      <c r="L324" s="57" t="s">
        <v>115</v>
      </c>
      <c r="M324" s="61"/>
      <c r="N324" s="61" t="s">
        <v>200</v>
      </c>
      <c r="O324" s="62" t="s">
        <v>201</v>
      </c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30"/>
      <c r="AC324" s="30">
        <v>2.0</v>
      </c>
      <c r="AD324" s="30">
        <f t="shared" si="4"/>
        <v>0</v>
      </c>
      <c r="AE324" s="70">
        <f t="shared" si="5"/>
        <v>0</v>
      </c>
      <c r="AF324" s="70">
        <v>1.0</v>
      </c>
    </row>
    <row r="325" ht="15.75" hidden="1" customHeight="1">
      <c r="A325" s="54" t="s">
        <v>289</v>
      </c>
      <c r="B325" s="56" t="s">
        <v>644</v>
      </c>
      <c r="C325" s="56" t="s">
        <v>645</v>
      </c>
      <c r="D325" s="56" t="s">
        <v>611</v>
      </c>
      <c r="E325" s="56" t="s">
        <v>612</v>
      </c>
      <c r="F325" s="56" t="s">
        <v>193</v>
      </c>
      <c r="G325" s="57" t="s">
        <v>34</v>
      </c>
      <c r="H325" s="68">
        <f t="shared" si="3"/>
        <v>0</v>
      </c>
      <c r="I325" s="62" t="s">
        <v>146</v>
      </c>
      <c r="J325" s="62"/>
      <c r="K325" s="71"/>
      <c r="L325" s="57" t="s">
        <v>130</v>
      </c>
      <c r="M325" s="61"/>
      <c r="N325" s="79"/>
      <c r="O325" s="62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30"/>
      <c r="AC325" s="30">
        <v>1.0</v>
      </c>
      <c r="AD325" s="30">
        <f t="shared" si="4"/>
        <v>0</v>
      </c>
      <c r="AE325" s="70">
        <f t="shared" si="5"/>
        <v>0</v>
      </c>
      <c r="AF325" s="70">
        <v>1.0</v>
      </c>
    </row>
    <row r="326" ht="15.75" hidden="1" customHeight="1">
      <c r="A326" s="54" t="s">
        <v>289</v>
      </c>
      <c r="B326" s="56" t="s">
        <v>644</v>
      </c>
      <c r="C326" s="56" t="s">
        <v>645</v>
      </c>
      <c r="D326" s="56" t="s">
        <v>611</v>
      </c>
      <c r="E326" s="56" t="s">
        <v>613</v>
      </c>
      <c r="F326" s="56" t="s">
        <v>193</v>
      </c>
      <c r="G326" s="57" t="s">
        <v>34</v>
      </c>
      <c r="H326" s="68">
        <f t="shared" si="3"/>
        <v>0</v>
      </c>
      <c r="I326" s="62" t="s">
        <v>146</v>
      </c>
      <c r="J326" s="62"/>
      <c r="K326" s="71"/>
      <c r="L326" s="57" t="s">
        <v>130</v>
      </c>
      <c r="M326" s="61"/>
      <c r="N326" s="79"/>
      <c r="O326" s="62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30"/>
      <c r="AC326" s="30">
        <v>1.0</v>
      </c>
      <c r="AD326" s="30">
        <f t="shared" si="4"/>
        <v>0</v>
      </c>
      <c r="AE326" s="70">
        <f t="shared" si="5"/>
        <v>0</v>
      </c>
      <c r="AF326" s="70">
        <v>1.0</v>
      </c>
    </row>
    <row r="327" ht="15.75" hidden="1" customHeight="1">
      <c r="A327" s="54" t="s">
        <v>289</v>
      </c>
      <c r="B327" s="56" t="s">
        <v>644</v>
      </c>
      <c r="C327" s="56" t="s">
        <v>645</v>
      </c>
      <c r="D327" s="56" t="s">
        <v>611</v>
      </c>
      <c r="E327" s="56" t="s">
        <v>614</v>
      </c>
      <c r="F327" s="56" t="s">
        <v>193</v>
      </c>
      <c r="G327" s="57" t="s">
        <v>34</v>
      </c>
      <c r="H327" s="68">
        <f t="shared" si="3"/>
        <v>0</v>
      </c>
      <c r="I327" s="62" t="s">
        <v>146</v>
      </c>
      <c r="J327" s="62"/>
      <c r="K327" s="71"/>
      <c r="L327" s="57" t="s">
        <v>115</v>
      </c>
      <c r="M327" s="61"/>
      <c r="N327" s="79"/>
      <c r="O327" s="62" t="s">
        <v>615</v>
      </c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101"/>
      <c r="AC327" s="30">
        <v>1.0</v>
      </c>
      <c r="AD327" s="30">
        <f t="shared" si="4"/>
        <v>0</v>
      </c>
      <c r="AE327" s="70">
        <f t="shared" si="5"/>
        <v>0</v>
      </c>
      <c r="AF327" s="70">
        <v>1.0</v>
      </c>
    </row>
    <row r="328" ht="15.75" hidden="1" customHeight="1">
      <c r="A328" s="54" t="s">
        <v>289</v>
      </c>
      <c r="B328" s="56" t="s">
        <v>644</v>
      </c>
      <c r="C328" s="56" t="s">
        <v>645</v>
      </c>
      <c r="D328" s="56" t="s">
        <v>611</v>
      </c>
      <c r="E328" s="56" t="s">
        <v>616</v>
      </c>
      <c r="F328" s="56" t="s">
        <v>327</v>
      </c>
      <c r="G328" s="57" t="s">
        <v>154</v>
      </c>
      <c r="H328" s="68">
        <f t="shared" si="3"/>
        <v>0</v>
      </c>
      <c r="I328" s="62" t="s">
        <v>146</v>
      </c>
      <c r="J328" s="62" t="s">
        <v>617</v>
      </c>
      <c r="K328" s="71"/>
      <c r="L328" s="57" t="s">
        <v>115</v>
      </c>
      <c r="M328" s="61"/>
      <c r="N328" s="79"/>
      <c r="O328" s="62" t="s">
        <v>617</v>
      </c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101"/>
      <c r="AC328" s="30">
        <v>2.0</v>
      </c>
      <c r="AD328" s="30">
        <f t="shared" si="4"/>
        <v>0</v>
      </c>
      <c r="AE328" s="70">
        <f t="shared" si="5"/>
        <v>0</v>
      </c>
      <c r="AF328" s="70">
        <v>1.0</v>
      </c>
    </row>
    <row r="329" ht="15.75" hidden="1" customHeight="1">
      <c r="A329" s="54" t="s">
        <v>289</v>
      </c>
      <c r="B329" s="56" t="s">
        <v>644</v>
      </c>
      <c r="C329" s="56" t="s">
        <v>645</v>
      </c>
      <c r="D329" s="56" t="s">
        <v>611</v>
      </c>
      <c r="E329" s="56" t="s">
        <v>618</v>
      </c>
      <c r="F329" s="56" t="s">
        <v>327</v>
      </c>
      <c r="G329" s="57" t="s">
        <v>154</v>
      </c>
      <c r="H329" s="68">
        <f t="shared" si="3"/>
        <v>0</v>
      </c>
      <c r="I329" s="62" t="s">
        <v>146</v>
      </c>
      <c r="J329" s="62" t="s">
        <v>617</v>
      </c>
      <c r="K329" s="71"/>
      <c r="L329" s="57" t="s">
        <v>115</v>
      </c>
      <c r="M329" s="61"/>
      <c r="N329" s="79"/>
      <c r="O329" s="62" t="s">
        <v>617</v>
      </c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101"/>
      <c r="AC329" s="30">
        <v>2.0</v>
      </c>
      <c r="AD329" s="30">
        <f t="shared" si="4"/>
        <v>0</v>
      </c>
      <c r="AE329" s="70">
        <f t="shared" si="5"/>
        <v>0</v>
      </c>
      <c r="AF329" s="70">
        <v>1.0</v>
      </c>
    </row>
    <row r="330" ht="15.75" hidden="1" customHeight="1">
      <c r="A330" s="54" t="s">
        <v>289</v>
      </c>
      <c r="B330" s="56" t="s">
        <v>646</v>
      </c>
      <c r="C330" s="56" t="s">
        <v>645</v>
      </c>
      <c r="D330" s="56" t="s">
        <v>620</v>
      </c>
      <c r="E330" s="56" t="s">
        <v>196</v>
      </c>
      <c r="F330" s="56" t="s">
        <v>249</v>
      </c>
      <c r="G330" s="57" t="s">
        <v>250</v>
      </c>
      <c r="H330" s="68">
        <f t="shared" si="3"/>
        <v>0</v>
      </c>
      <c r="I330" s="62"/>
      <c r="J330" s="62" t="s">
        <v>288</v>
      </c>
      <c r="K330" s="71"/>
      <c r="L330" s="57" t="s">
        <v>115</v>
      </c>
      <c r="M330" s="61"/>
      <c r="N330" s="61" t="s">
        <v>287</v>
      </c>
      <c r="O330" s="62" t="s">
        <v>288</v>
      </c>
      <c r="P330" s="53"/>
      <c r="Q330" s="53"/>
      <c r="R330" s="87"/>
      <c r="S330" s="53"/>
      <c r="T330" s="53"/>
      <c r="U330" s="53"/>
      <c r="V330" s="87"/>
      <c r="W330" s="53"/>
      <c r="X330" s="53"/>
      <c r="Y330" s="53"/>
      <c r="Z330" s="53"/>
      <c r="AA330" s="87"/>
      <c r="AB330" s="101"/>
      <c r="AC330" s="30">
        <v>3.0</v>
      </c>
      <c r="AD330" s="30">
        <f t="shared" si="4"/>
        <v>0</v>
      </c>
      <c r="AE330" s="70">
        <f t="shared" si="5"/>
        <v>0</v>
      </c>
      <c r="AF330" s="70">
        <v>1.0</v>
      </c>
    </row>
    <row r="331" ht="15.75" hidden="1" customHeight="1">
      <c r="A331" s="54" t="s">
        <v>289</v>
      </c>
      <c r="B331" s="56" t="s">
        <v>646</v>
      </c>
      <c r="C331" s="56" t="s">
        <v>645</v>
      </c>
      <c r="D331" s="56" t="s">
        <v>620</v>
      </c>
      <c r="E331" s="56" t="s">
        <v>621</v>
      </c>
      <c r="F331" s="56" t="s">
        <v>321</v>
      </c>
      <c r="G331" s="57" t="s">
        <v>192</v>
      </c>
      <c r="H331" s="68">
        <f t="shared" si="3"/>
        <v>0</v>
      </c>
      <c r="I331" s="62"/>
      <c r="J331" s="62"/>
      <c r="K331" s="71"/>
      <c r="L331" s="57" t="s">
        <v>115</v>
      </c>
      <c r="M331" s="61"/>
      <c r="N331" s="79"/>
      <c r="O331" s="62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75"/>
      <c r="AC331" s="30">
        <v>3.0</v>
      </c>
      <c r="AD331" s="30">
        <f t="shared" si="4"/>
        <v>0</v>
      </c>
      <c r="AE331" s="70">
        <f t="shared" si="5"/>
        <v>0</v>
      </c>
      <c r="AF331" s="70">
        <v>1.0</v>
      </c>
    </row>
    <row r="332" ht="15.75" hidden="1" customHeight="1">
      <c r="A332" s="54" t="s">
        <v>289</v>
      </c>
      <c r="B332" s="56" t="s">
        <v>646</v>
      </c>
      <c r="C332" s="56" t="s">
        <v>645</v>
      </c>
      <c r="D332" s="56" t="s">
        <v>620</v>
      </c>
      <c r="E332" s="56" t="s">
        <v>622</v>
      </c>
      <c r="F332" s="56" t="s">
        <v>327</v>
      </c>
      <c r="G332" s="57" t="s">
        <v>154</v>
      </c>
      <c r="H332" s="68">
        <f t="shared" si="3"/>
        <v>0</v>
      </c>
      <c r="I332" s="62"/>
      <c r="J332" s="62" t="s">
        <v>617</v>
      </c>
      <c r="K332" s="71"/>
      <c r="L332" s="57" t="s">
        <v>115</v>
      </c>
      <c r="M332" s="61"/>
      <c r="N332" s="79"/>
      <c r="O332" s="62" t="s">
        <v>617</v>
      </c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75"/>
      <c r="AC332" s="30">
        <v>2.0</v>
      </c>
      <c r="AD332" s="30">
        <f t="shared" si="4"/>
        <v>0</v>
      </c>
      <c r="AE332" s="70">
        <f t="shared" si="5"/>
        <v>0</v>
      </c>
      <c r="AF332" s="70">
        <v>1.0</v>
      </c>
    </row>
    <row r="333" ht="15.75" hidden="1" customHeight="1">
      <c r="A333" s="54" t="s">
        <v>289</v>
      </c>
      <c r="B333" s="56" t="s">
        <v>647</v>
      </c>
      <c r="C333" s="56" t="s">
        <v>645</v>
      </c>
      <c r="D333" s="56" t="s">
        <v>631</v>
      </c>
      <c r="E333" s="56" t="s">
        <v>191</v>
      </c>
      <c r="F333" s="56" t="s">
        <v>313</v>
      </c>
      <c r="G333" s="57" t="s">
        <v>192</v>
      </c>
      <c r="H333" s="68">
        <f t="shared" si="3"/>
        <v>0</v>
      </c>
      <c r="I333" s="62"/>
      <c r="J333" s="62"/>
      <c r="K333" s="71"/>
      <c r="L333" s="57" t="s">
        <v>115</v>
      </c>
      <c r="M333" s="61"/>
      <c r="N333" s="79"/>
      <c r="O333" s="62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75"/>
      <c r="AC333" s="30">
        <v>3.0</v>
      </c>
      <c r="AD333" s="30">
        <f t="shared" si="4"/>
        <v>0</v>
      </c>
      <c r="AE333" s="70">
        <f t="shared" si="5"/>
        <v>0</v>
      </c>
      <c r="AF333" s="70">
        <v>1.0</v>
      </c>
    </row>
    <row r="334" ht="15.75" hidden="1" customHeight="1">
      <c r="A334" s="54" t="s">
        <v>289</v>
      </c>
      <c r="B334" s="56" t="s">
        <v>647</v>
      </c>
      <c r="C334" s="56" t="s">
        <v>645</v>
      </c>
      <c r="D334" s="56" t="s">
        <v>631</v>
      </c>
      <c r="E334" s="56" t="s">
        <v>632</v>
      </c>
      <c r="F334" s="56" t="s">
        <v>330</v>
      </c>
      <c r="G334" s="57" t="s">
        <v>34</v>
      </c>
      <c r="H334" s="68">
        <f t="shared" si="3"/>
        <v>0</v>
      </c>
      <c r="I334" s="62"/>
      <c r="J334" s="62"/>
      <c r="K334" s="71"/>
      <c r="L334" s="57" t="s">
        <v>115</v>
      </c>
      <c r="M334" s="61"/>
      <c r="N334" s="61" t="s">
        <v>197</v>
      </c>
      <c r="O334" s="62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101"/>
      <c r="AC334" s="30">
        <v>1.0</v>
      </c>
      <c r="AD334" s="30">
        <f t="shared" si="4"/>
        <v>0</v>
      </c>
      <c r="AE334" s="70">
        <f t="shared" si="5"/>
        <v>0</v>
      </c>
      <c r="AF334" s="70">
        <v>1.0</v>
      </c>
    </row>
    <row r="335" ht="15.75" hidden="1" customHeight="1">
      <c r="A335" s="54" t="s">
        <v>289</v>
      </c>
      <c r="B335" s="56" t="s">
        <v>647</v>
      </c>
      <c r="C335" s="56" t="s">
        <v>645</v>
      </c>
      <c r="D335" s="56" t="s">
        <v>631</v>
      </c>
      <c r="E335" s="56" t="s">
        <v>633</v>
      </c>
      <c r="F335" s="56" t="s">
        <v>246</v>
      </c>
      <c r="G335" s="57" t="s">
        <v>154</v>
      </c>
      <c r="H335" s="68">
        <f t="shared" si="3"/>
        <v>0</v>
      </c>
      <c r="I335" s="62"/>
      <c r="J335" s="62"/>
      <c r="K335" s="106"/>
      <c r="L335" s="57" t="s">
        <v>115</v>
      </c>
      <c r="M335" s="50"/>
      <c r="N335" s="79"/>
      <c r="O335" s="62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98"/>
      <c r="AC335" s="30">
        <v>2.0</v>
      </c>
      <c r="AD335" s="30">
        <f t="shared" si="4"/>
        <v>0</v>
      </c>
      <c r="AE335" s="70">
        <f t="shared" si="5"/>
        <v>0</v>
      </c>
      <c r="AF335" s="70">
        <v>1.0</v>
      </c>
    </row>
    <row r="336" ht="15.75" hidden="1" customHeight="1">
      <c r="A336" s="54" t="s">
        <v>289</v>
      </c>
      <c r="B336" s="56" t="s">
        <v>647</v>
      </c>
      <c r="C336" s="56" t="s">
        <v>645</v>
      </c>
      <c r="D336" s="56" t="s">
        <v>631</v>
      </c>
      <c r="E336" s="56" t="s">
        <v>196</v>
      </c>
      <c r="F336" s="56" t="s">
        <v>249</v>
      </c>
      <c r="G336" s="57" t="s">
        <v>250</v>
      </c>
      <c r="H336" s="68">
        <f t="shared" si="3"/>
        <v>0</v>
      </c>
      <c r="I336" s="62"/>
      <c r="J336" s="62" t="s">
        <v>201</v>
      </c>
      <c r="K336" s="71"/>
      <c r="L336" s="57" t="s">
        <v>115</v>
      </c>
      <c r="M336" s="61"/>
      <c r="N336" s="61" t="s">
        <v>200</v>
      </c>
      <c r="O336" s="62" t="s">
        <v>201</v>
      </c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101"/>
      <c r="AC336" s="30">
        <v>2.0</v>
      </c>
      <c r="AD336" s="30">
        <f t="shared" si="4"/>
        <v>0</v>
      </c>
      <c r="AE336" s="70">
        <f t="shared" si="5"/>
        <v>0</v>
      </c>
      <c r="AF336" s="70">
        <v>1.0</v>
      </c>
    </row>
    <row r="337" ht="15.75" hidden="1" customHeight="1">
      <c r="A337" s="54" t="s">
        <v>289</v>
      </c>
      <c r="B337" s="56" t="s">
        <v>648</v>
      </c>
      <c r="C337" s="56" t="s">
        <v>645</v>
      </c>
      <c r="D337" s="56" t="s">
        <v>636</v>
      </c>
      <c r="E337" s="56" t="s">
        <v>191</v>
      </c>
      <c r="F337" s="56" t="s">
        <v>313</v>
      </c>
      <c r="G337" s="57" t="s">
        <v>192</v>
      </c>
      <c r="H337" s="68">
        <f t="shared" si="3"/>
        <v>0</v>
      </c>
      <c r="I337" s="62"/>
      <c r="J337" s="62"/>
      <c r="K337" s="71"/>
      <c r="L337" s="57" t="s">
        <v>115</v>
      </c>
      <c r="M337" s="61"/>
      <c r="N337" s="79"/>
      <c r="O337" s="62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75"/>
      <c r="AC337" s="30">
        <v>3.0</v>
      </c>
      <c r="AD337" s="30">
        <f t="shared" si="4"/>
        <v>0</v>
      </c>
      <c r="AE337" s="70">
        <f t="shared" si="5"/>
        <v>0</v>
      </c>
      <c r="AF337" s="70">
        <v>1.0</v>
      </c>
    </row>
    <row r="338" ht="15.75" hidden="1" customHeight="1">
      <c r="A338" s="54" t="s">
        <v>289</v>
      </c>
      <c r="B338" s="56" t="s">
        <v>648</v>
      </c>
      <c r="C338" s="56" t="s">
        <v>645</v>
      </c>
      <c r="D338" s="56" t="s">
        <v>636</v>
      </c>
      <c r="E338" s="56" t="s">
        <v>632</v>
      </c>
      <c r="F338" s="56" t="s">
        <v>330</v>
      </c>
      <c r="G338" s="57" t="s">
        <v>34</v>
      </c>
      <c r="H338" s="68">
        <f t="shared" si="3"/>
        <v>0</v>
      </c>
      <c r="I338" s="62"/>
      <c r="J338" s="62"/>
      <c r="K338" s="71"/>
      <c r="L338" s="57" t="s">
        <v>115</v>
      </c>
      <c r="M338" s="61"/>
      <c r="N338" s="61" t="s">
        <v>197</v>
      </c>
      <c r="O338" s="62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101"/>
      <c r="AC338" s="30">
        <v>1.0</v>
      </c>
      <c r="AD338" s="30">
        <f t="shared" si="4"/>
        <v>0</v>
      </c>
      <c r="AE338" s="70">
        <f t="shared" si="5"/>
        <v>0</v>
      </c>
      <c r="AF338" s="70">
        <v>1.0</v>
      </c>
    </row>
    <row r="339" ht="15.75" hidden="1" customHeight="1">
      <c r="A339" s="54" t="s">
        <v>289</v>
      </c>
      <c r="B339" s="56" t="s">
        <v>648</v>
      </c>
      <c r="C339" s="56" t="s">
        <v>645</v>
      </c>
      <c r="D339" s="56" t="s">
        <v>636</v>
      </c>
      <c r="E339" s="56" t="s">
        <v>633</v>
      </c>
      <c r="F339" s="56" t="s">
        <v>246</v>
      </c>
      <c r="G339" s="57" t="s">
        <v>154</v>
      </c>
      <c r="H339" s="68">
        <f t="shared" si="3"/>
        <v>0</v>
      </c>
      <c r="I339" s="62"/>
      <c r="J339" s="62"/>
      <c r="K339" s="71"/>
      <c r="L339" s="57" t="s">
        <v>115</v>
      </c>
      <c r="M339" s="61"/>
      <c r="N339" s="79"/>
      <c r="O339" s="62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75"/>
      <c r="AC339" s="30">
        <v>2.0</v>
      </c>
      <c r="AD339" s="30">
        <f t="shared" si="4"/>
        <v>0</v>
      </c>
      <c r="AE339" s="70">
        <f t="shared" si="5"/>
        <v>0</v>
      </c>
      <c r="AF339" s="70">
        <v>1.0</v>
      </c>
    </row>
    <row r="340" ht="15.75" hidden="1" customHeight="1">
      <c r="A340" s="54" t="s">
        <v>289</v>
      </c>
      <c r="B340" s="56" t="s">
        <v>648</v>
      </c>
      <c r="C340" s="56" t="s">
        <v>645</v>
      </c>
      <c r="D340" s="56" t="s">
        <v>636</v>
      </c>
      <c r="E340" s="56" t="s">
        <v>196</v>
      </c>
      <c r="F340" s="56" t="s">
        <v>249</v>
      </c>
      <c r="G340" s="57" t="s">
        <v>250</v>
      </c>
      <c r="H340" s="68">
        <f t="shared" si="3"/>
        <v>0</v>
      </c>
      <c r="I340" s="62"/>
      <c r="J340" s="62" t="s">
        <v>201</v>
      </c>
      <c r="K340" s="71"/>
      <c r="L340" s="57" t="s">
        <v>115</v>
      </c>
      <c r="M340" s="61"/>
      <c r="N340" s="61" t="s">
        <v>200</v>
      </c>
      <c r="O340" s="62" t="s">
        <v>201</v>
      </c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101"/>
      <c r="AC340" s="30">
        <v>2.0</v>
      </c>
      <c r="AD340" s="30">
        <f t="shared" si="4"/>
        <v>0</v>
      </c>
      <c r="AE340" s="70">
        <f t="shared" si="5"/>
        <v>0</v>
      </c>
      <c r="AF340" s="70">
        <v>1.0</v>
      </c>
    </row>
    <row r="341" ht="15.75" hidden="1" customHeight="1">
      <c r="A341" s="54" t="s">
        <v>289</v>
      </c>
      <c r="B341" s="56" t="s">
        <v>649</v>
      </c>
      <c r="C341" s="56" t="s">
        <v>606</v>
      </c>
      <c r="D341" s="56" t="s">
        <v>611</v>
      </c>
      <c r="E341" s="56" t="s">
        <v>612</v>
      </c>
      <c r="F341" s="56" t="s">
        <v>193</v>
      </c>
      <c r="G341" s="57" t="s">
        <v>34</v>
      </c>
      <c r="H341" s="68">
        <f t="shared" si="3"/>
        <v>0</v>
      </c>
      <c r="I341" s="62" t="s">
        <v>146</v>
      </c>
      <c r="J341" s="62"/>
      <c r="K341" s="71"/>
      <c r="L341" s="57" t="s">
        <v>130</v>
      </c>
      <c r="M341" s="61"/>
      <c r="N341" s="79"/>
      <c r="O341" s="62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101"/>
      <c r="AC341" s="30">
        <v>1.0</v>
      </c>
      <c r="AD341" s="30">
        <f t="shared" si="4"/>
        <v>0</v>
      </c>
      <c r="AE341" s="70">
        <f t="shared" si="5"/>
        <v>0</v>
      </c>
      <c r="AF341" s="70">
        <v>1.0</v>
      </c>
    </row>
    <row r="342" ht="15.75" hidden="1" customHeight="1">
      <c r="A342" s="54" t="s">
        <v>289</v>
      </c>
      <c r="B342" s="56" t="s">
        <v>649</v>
      </c>
      <c r="C342" s="56" t="s">
        <v>606</v>
      </c>
      <c r="D342" s="56" t="s">
        <v>611</v>
      </c>
      <c r="E342" s="56" t="s">
        <v>613</v>
      </c>
      <c r="F342" s="56" t="s">
        <v>193</v>
      </c>
      <c r="G342" s="57" t="s">
        <v>34</v>
      </c>
      <c r="H342" s="68">
        <f t="shared" si="3"/>
        <v>0</v>
      </c>
      <c r="I342" s="62" t="s">
        <v>146</v>
      </c>
      <c r="J342" s="62"/>
      <c r="K342" s="71"/>
      <c r="L342" s="57" t="s">
        <v>130</v>
      </c>
      <c r="M342" s="61"/>
      <c r="N342" s="79"/>
      <c r="O342" s="62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101"/>
      <c r="AC342" s="30">
        <v>1.0</v>
      </c>
      <c r="AD342" s="30">
        <f t="shared" si="4"/>
        <v>0</v>
      </c>
      <c r="AE342" s="70">
        <f t="shared" si="5"/>
        <v>0</v>
      </c>
      <c r="AF342" s="70">
        <v>1.0</v>
      </c>
    </row>
    <row r="343" ht="15.75" hidden="1" customHeight="1">
      <c r="A343" s="54" t="s">
        <v>289</v>
      </c>
      <c r="B343" s="56" t="s">
        <v>649</v>
      </c>
      <c r="C343" s="56" t="s">
        <v>606</v>
      </c>
      <c r="D343" s="56" t="s">
        <v>611</v>
      </c>
      <c r="E343" s="56" t="s">
        <v>614</v>
      </c>
      <c r="F343" s="56" t="s">
        <v>193</v>
      </c>
      <c r="G343" s="57" t="s">
        <v>34</v>
      </c>
      <c r="H343" s="68">
        <f t="shared" si="3"/>
        <v>0</v>
      </c>
      <c r="I343" s="62" t="s">
        <v>146</v>
      </c>
      <c r="J343" s="62"/>
      <c r="K343" s="71"/>
      <c r="L343" s="57" t="s">
        <v>115</v>
      </c>
      <c r="M343" s="61"/>
      <c r="N343" s="79"/>
      <c r="O343" s="62" t="s">
        <v>615</v>
      </c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101"/>
      <c r="AC343" s="30">
        <v>1.0</v>
      </c>
      <c r="AD343" s="30">
        <f t="shared" si="4"/>
        <v>0</v>
      </c>
      <c r="AE343" s="70">
        <f t="shared" si="5"/>
        <v>0</v>
      </c>
      <c r="AF343" s="70">
        <v>1.0</v>
      </c>
    </row>
    <row r="344" ht="15.75" hidden="1" customHeight="1">
      <c r="A344" s="54" t="s">
        <v>289</v>
      </c>
      <c r="B344" s="56" t="s">
        <v>649</v>
      </c>
      <c r="C344" s="56" t="s">
        <v>606</v>
      </c>
      <c r="D344" s="56" t="s">
        <v>611</v>
      </c>
      <c r="E344" s="56" t="s">
        <v>616</v>
      </c>
      <c r="F344" s="56" t="s">
        <v>327</v>
      </c>
      <c r="G344" s="57" t="s">
        <v>154</v>
      </c>
      <c r="H344" s="68">
        <f t="shared" si="3"/>
        <v>0</v>
      </c>
      <c r="I344" s="62" t="s">
        <v>146</v>
      </c>
      <c r="J344" s="62" t="s">
        <v>617</v>
      </c>
      <c r="K344" s="71"/>
      <c r="L344" s="57" t="s">
        <v>115</v>
      </c>
      <c r="M344" s="61"/>
      <c r="N344" s="79"/>
      <c r="O344" s="62" t="s">
        <v>617</v>
      </c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101"/>
      <c r="AC344" s="30">
        <v>2.0</v>
      </c>
      <c r="AD344" s="30">
        <f t="shared" si="4"/>
        <v>0</v>
      </c>
      <c r="AE344" s="70">
        <f t="shared" si="5"/>
        <v>0</v>
      </c>
      <c r="AF344" s="70">
        <v>1.0</v>
      </c>
    </row>
    <row r="345" ht="15.75" hidden="1" customHeight="1">
      <c r="A345" s="54" t="s">
        <v>289</v>
      </c>
      <c r="B345" s="56" t="s">
        <v>649</v>
      </c>
      <c r="C345" s="56" t="s">
        <v>606</v>
      </c>
      <c r="D345" s="56" t="s">
        <v>611</v>
      </c>
      <c r="E345" s="56" t="s">
        <v>618</v>
      </c>
      <c r="F345" s="56" t="s">
        <v>327</v>
      </c>
      <c r="G345" s="57" t="s">
        <v>154</v>
      </c>
      <c r="H345" s="68">
        <f t="shared" si="3"/>
        <v>0</v>
      </c>
      <c r="I345" s="62" t="s">
        <v>146</v>
      </c>
      <c r="J345" s="62" t="s">
        <v>617</v>
      </c>
      <c r="K345" s="71"/>
      <c r="L345" s="57" t="s">
        <v>115</v>
      </c>
      <c r="M345" s="61"/>
      <c r="N345" s="79"/>
      <c r="O345" s="62" t="s">
        <v>617</v>
      </c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101"/>
      <c r="AC345" s="30">
        <v>2.0</v>
      </c>
      <c r="AD345" s="30">
        <f t="shared" si="4"/>
        <v>0</v>
      </c>
      <c r="AE345" s="70">
        <f t="shared" si="5"/>
        <v>0</v>
      </c>
      <c r="AF345" s="70">
        <v>1.0</v>
      </c>
    </row>
    <row r="346" ht="15.75" hidden="1" customHeight="1">
      <c r="A346" s="54" t="s">
        <v>289</v>
      </c>
      <c r="B346" s="56" t="s">
        <v>650</v>
      </c>
      <c r="C346" s="56" t="s">
        <v>606</v>
      </c>
      <c r="D346" s="56" t="s">
        <v>651</v>
      </c>
      <c r="E346" s="56" t="s">
        <v>196</v>
      </c>
      <c r="F346" s="56" t="s">
        <v>249</v>
      </c>
      <c r="G346" s="57" t="s">
        <v>250</v>
      </c>
      <c r="H346" s="68">
        <f t="shared" si="3"/>
        <v>0</v>
      </c>
      <c r="I346" s="62"/>
      <c r="J346" s="62" t="s">
        <v>288</v>
      </c>
      <c r="K346" s="71"/>
      <c r="L346" s="57" t="s">
        <v>115</v>
      </c>
      <c r="M346" s="61"/>
      <c r="N346" s="61" t="s">
        <v>287</v>
      </c>
      <c r="O346" s="62" t="s">
        <v>288</v>
      </c>
      <c r="P346" s="53"/>
      <c r="Q346" s="53"/>
      <c r="R346" s="87"/>
      <c r="S346" s="53"/>
      <c r="T346" s="53"/>
      <c r="U346" s="53"/>
      <c r="V346" s="87"/>
      <c r="W346" s="53"/>
      <c r="X346" s="53"/>
      <c r="Y346" s="53"/>
      <c r="Z346" s="53"/>
      <c r="AA346" s="87"/>
      <c r="AB346" s="101"/>
      <c r="AC346" s="30">
        <v>3.0</v>
      </c>
      <c r="AD346" s="30">
        <f t="shared" si="4"/>
        <v>0</v>
      </c>
      <c r="AE346" s="70">
        <f t="shared" si="5"/>
        <v>0</v>
      </c>
      <c r="AF346" s="70">
        <v>1.0</v>
      </c>
    </row>
    <row r="347" ht="15.75" hidden="1" customHeight="1">
      <c r="A347" s="54" t="s">
        <v>289</v>
      </c>
      <c r="B347" s="56" t="s">
        <v>650</v>
      </c>
      <c r="C347" s="56" t="s">
        <v>606</v>
      </c>
      <c r="D347" s="56" t="s">
        <v>651</v>
      </c>
      <c r="E347" s="56" t="s">
        <v>621</v>
      </c>
      <c r="F347" s="56" t="s">
        <v>321</v>
      </c>
      <c r="G347" s="57" t="s">
        <v>192</v>
      </c>
      <c r="H347" s="68">
        <f t="shared" si="3"/>
        <v>0</v>
      </c>
      <c r="I347" s="62"/>
      <c r="J347" s="62"/>
      <c r="K347" s="71"/>
      <c r="L347" s="57" t="s">
        <v>115</v>
      </c>
      <c r="M347" s="61"/>
      <c r="N347" s="79"/>
      <c r="O347" s="62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75"/>
      <c r="AC347" s="30">
        <v>3.0</v>
      </c>
      <c r="AD347" s="30">
        <f t="shared" si="4"/>
        <v>0</v>
      </c>
      <c r="AE347" s="70">
        <f t="shared" si="5"/>
        <v>0</v>
      </c>
      <c r="AF347" s="70">
        <v>1.0</v>
      </c>
    </row>
    <row r="348" ht="15.75" hidden="1" customHeight="1">
      <c r="A348" s="54" t="s">
        <v>289</v>
      </c>
      <c r="B348" s="56" t="s">
        <v>650</v>
      </c>
      <c r="C348" s="56" t="s">
        <v>606</v>
      </c>
      <c r="D348" s="56" t="s">
        <v>651</v>
      </c>
      <c r="E348" s="56" t="s">
        <v>622</v>
      </c>
      <c r="F348" s="56" t="s">
        <v>327</v>
      </c>
      <c r="G348" s="57" t="s">
        <v>154</v>
      </c>
      <c r="H348" s="68">
        <f t="shared" si="3"/>
        <v>0</v>
      </c>
      <c r="I348" s="62"/>
      <c r="J348" s="62" t="s">
        <v>617</v>
      </c>
      <c r="K348" s="71"/>
      <c r="L348" s="57" t="s">
        <v>115</v>
      </c>
      <c r="M348" s="61"/>
      <c r="N348" s="79"/>
      <c r="O348" s="62" t="s">
        <v>617</v>
      </c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75"/>
      <c r="AC348" s="30">
        <v>2.0</v>
      </c>
      <c r="AD348" s="30">
        <f t="shared" si="4"/>
        <v>0</v>
      </c>
      <c r="AE348" s="70">
        <f t="shared" si="5"/>
        <v>0</v>
      </c>
      <c r="AF348" s="70">
        <v>1.0</v>
      </c>
    </row>
    <row r="349" ht="15.75" hidden="1" customHeight="1">
      <c r="A349" s="54" t="s">
        <v>289</v>
      </c>
      <c r="B349" s="56" t="s">
        <v>654</v>
      </c>
      <c r="C349" s="56" t="s">
        <v>606</v>
      </c>
      <c r="D349" s="56" t="s">
        <v>655</v>
      </c>
      <c r="E349" s="56" t="s">
        <v>191</v>
      </c>
      <c r="F349" s="56" t="s">
        <v>313</v>
      </c>
      <c r="G349" s="57" t="s">
        <v>192</v>
      </c>
      <c r="H349" s="68">
        <f t="shared" si="3"/>
        <v>0</v>
      </c>
      <c r="I349" s="62"/>
      <c r="J349" s="62"/>
      <c r="K349" s="71"/>
      <c r="L349" s="57" t="s">
        <v>115</v>
      </c>
      <c r="M349" s="61"/>
      <c r="N349" s="79"/>
      <c r="O349" s="62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30">
        <v>3.0</v>
      </c>
      <c r="AD349" s="30">
        <f t="shared" si="4"/>
        <v>0</v>
      </c>
      <c r="AE349" s="70">
        <f t="shared" si="5"/>
        <v>0</v>
      </c>
      <c r="AF349" s="70">
        <v>1.0</v>
      </c>
    </row>
    <row r="350" ht="15.75" hidden="1" customHeight="1">
      <c r="A350" s="54" t="s">
        <v>289</v>
      </c>
      <c r="B350" s="56" t="s">
        <v>654</v>
      </c>
      <c r="C350" s="56" t="s">
        <v>606</v>
      </c>
      <c r="D350" s="56" t="s">
        <v>655</v>
      </c>
      <c r="E350" s="56" t="s">
        <v>632</v>
      </c>
      <c r="F350" s="56" t="s">
        <v>330</v>
      </c>
      <c r="G350" s="57" t="s">
        <v>34</v>
      </c>
      <c r="H350" s="68">
        <f t="shared" si="3"/>
        <v>0</v>
      </c>
      <c r="I350" s="62"/>
      <c r="J350" s="62"/>
      <c r="K350" s="71"/>
      <c r="L350" s="57" t="s">
        <v>115</v>
      </c>
      <c r="M350" s="61"/>
      <c r="N350" s="61" t="s">
        <v>197</v>
      </c>
      <c r="O350" s="62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101"/>
      <c r="AC350" s="30">
        <v>1.0</v>
      </c>
      <c r="AD350" s="30">
        <f t="shared" si="4"/>
        <v>0</v>
      </c>
      <c r="AE350" s="70">
        <f t="shared" si="5"/>
        <v>0</v>
      </c>
      <c r="AF350" s="70">
        <v>1.0</v>
      </c>
    </row>
    <row r="351" ht="15.75" hidden="1" customHeight="1">
      <c r="A351" s="54" t="s">
        <v>289</v>
      </c>
      <c r="B351" s="56" t="s">
        <v>654</v>
      </c>
      <c r="C351" s="56" t="s">
        <v>606</v>
      </c>
      <c r="D351" s="56" t="s">
        <v>655</v>
      </c>
      <c r="E351" s="56" t="s">
        <v>633</v>
      </c>
      <c r="F351" s="56" t="s">
        <v>246</v>
      </c>
      <c r="G351" s="57" t="s">
        <v>154</v>
      </c>
      <c r="H351" s="68">
        <f t="shared" si="3"/>
        <v>0</v>
      </c>
      <c r="I351" s="62"/>
      <c r="J351" s="62"/>
      <c r="K351" s="71"/>
      <c r="L351" s="57" t="s">
        <v>115</v>
      </c>
      <c r="M351" s="61"/>
      <c r="N351" s="79"/>
      <c r="O351" s="62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75"/>
      <c r="AC351" s="30">
        <v>2.0</v>
      </c>
      <c r="AD351" s="30">
        <f t="shared" si="4"/>
        <v>0</v>
      </c>
      <c r="AE351" s="70">
        <f t="shared" si="5"/>
        <v>0</v>
      </c>
      <c r="AF351" s="70">
        <v>1.0</v>
      </c>
    </row>
    <row r="352" ht="15.75" hidden="1" customHeight="1">
      <c r="A352" s="54" t="s">
        <v>289</v>
      </c>
      <c r="B352" s="56" t="s">
        <v>654</v>
      </c>
      <c r="C352" s="56" t="s">
        <v>606</v>
      </c>
      <c r="D352" s="56" t="s">
        <v>655</v>
      </c>
      <c r="E352" s="56" t="s">
        <v>196</v>
      </c>
      <c r="F352" s="56" t="s">
        <v>249</v>
      </c>
      <c r="G352" s="57" t="s">
        <v>250</v>
      </c>
      <c r="H352" s="68">
        <f t="shared" si="3"/>
        <v>0</v>
      </c>
      <c r="I352" s="62"/>
      <c r="J352" s="62" t="s">
        <v>201</v>
      </c>
      <c r="K352" s="71"/>
      <c r="L352" s="57" t="s">
        <v>115</v>
      </c>
      <c r="M352" s="61"/>
      <c r="N352" s="61" t="s">
        <v>200</v>
      </c>
      <c r="O352" s="62" t="s">
        <v>201</v>
      </c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101"/>
      <c r="AC352" s="30">
        <v>2.0</v>
      </c>
      <c r="AD352" s="30">
        <f t="shared" si="4"/>
        <v>0</v>
      </c>
      <c r="AE352" s="70">
        <f t="shared" si="5"/>
        <v>0</v>
      </c>
      <c r="AF352" s="70">
        <v>1.0</v>
      </c>
    </row>
    <row r="353" ht="15.75" hidden="1" customHeight="1">
      <c r="A353" s="54" t="s">
        <v>289</v>
      </c>
      <c r="B353" s="56" t="s">
        <v>656</v>
      </c>
      <c r="C353" s="56" t="s">
        <v>606</v>
      </c>
      <c r="D353" s="56" t="s">
        <v>657</v>
      </c>
      <c r="E353" s="56" t="s">
        <v>191</v>
      </c>
      <c r="F353" s="56" t="s">
        <v>313</v>
      </c>
      <c r="G353" s="57" t="s">
        <v>192</v>
      </c>
      <c r="H353" s="68">
        <f t="shared" si="3"/>
        <v>0</v>
      </c>
      <c r="I353" s="62"/>
      <c r="J353" s="62"/>
      <c r="K353" s="71"/>
      <c r="L353" s="57" t="s">
        <v>115</v>
      </c>
      <c r="M353" s="61"/>
      <c r="N353" s="79"/>
      <c r="O353" s="62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75"/>
      <c r="AC353" s="30">
        <v>3.0</v>
      </c>
      <c r="AD353" s="30">
        <f t="shared" si="4"/>
        <v>0</v>
      </c>
      <c r="AE353" s="70">
        <f t="shared" si="5"/>
        <v>0</v>
      </c>
      <c r="AF353" s="70">
        <v>1.0</v>
      </c>
    </row>
    <row r="354" ht="15.75" hidden="1" customHeight="1">
      <c r="A354" s="54" t="s">
        <v>289</v>
      </c>
      <c r="B354" s="56" t="s">
        <v>656</v>
      </c>
      <c r="C354" s="56" t="s">
        <v>606</v>
      </c>
      <c r="D354" s="56" t="s">
        <v>657</v>
      </c>
      <c r="E354" s="56" t="s">
        <v>632</v>
      </c>
      <c r="F354" s="56" t="s">
        <v>330</v>
      </c>
      <c r="G354" s="57" t="s">
        <v>34</v>
      </c>
      <c r="H354" s="68">
        <f t="shared" si="3"/>
        <v>0</v>
      </c>
      <c r="I354" s="62"/>
      <c r="J354" s="62"/>
      <c r="K354" s="71"/>
      <c r="L354" s="57" t="s">
        <v>115</v>
      </c>
      <c r="M354" s="61"/>
      <c r="N354" s="61" t="s">
        <v>197</v>
      </c>
      <c r="O354" s="62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30"/>
      <c r="AC354" s="30">
        <v>1.0</v>
      </c>
      <c r="AD354" s="30">
        <f t="shared" si="4"/>
        <v>0</v>
      </c>
      <c r="AE354" s="70">
        <f t="shared" si="5"/>
        <v>0</v>
      </c>
      <c r="AF354" s="70">
        <v>1.0</v>
      </c>
    </row>
    <row r="355" ht="15.75" hidden="1" customHeight="1">
      <c r="A355" s="54" t="s">
        <v>289</v>
      </c>
      <c r="B355" s="56" t="s">
        <v>656</v>
      </c>
      <c r="C355" s="56" t="s">
        <v>606</v>
      </c>
      <c r="D355" s="56" t="s">
        <v>657</v>
      </c>
      <c r="E355" s="56" t="s">
        <v>633</v>
      </c>
      <c r="F355" s="56" t="s">
        <v>246</v>
      </c>
      <c r="G355" s="57" t="s">
        <v>154</v>
      </c>
      <c r="H355" s="68">
        <f t="shared" si="3"/>
        <v>0</v>
      </c>
      <c r="I355" s="62"/>
      <c r="J355" s="62"/>
      <c r="K355" s="71"/>
      <c r="L355" s="57" t="s">
        <v>115</v>
      </c>
      <c r="M355" s="61"/>
      <c r="N355" s="79"/>
      <c r="O355" s="62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75"/>
      <c r="AC355" s="30">
        <v>2.0</v>
      </c>
      <c r="AD355" s="30">
        <f t="shared" si="4"/>
        <v>0</v>
      </c>
      <c r="AE355" s="70">
        <f t="shared" si="5"/>
        <v>0</v>
      </c>
      <c r="AF355" s="70">
        <v>1.0</v>
      </c>
    </row>
    <row r="356" ht="15.75" hidden="1" customHeight="1">
      <c r="A356" s="54" t="s">
        <v>289</v>
      </c>
      <c r="B356" s="56" t="s">
        <v>656</v>
      </c>
      <c r="C356" s="56" t="s">
        <v>606</v>
      </c>
      <c r="D356" s="56" t="s">
        <v>657</v>
      </c>
      <c r="E356" s="56" t="s">
        <v>196</v>
      </c>
      <c r="F356" s="56" t="s">
        <v>249</v>
      </c>
      <c r="G356" s="57" t="s">
        <v>250</v>
      </c>
      <c r="H356" s="68">
        <f t="shared" si="3"/>
        <v>0</v>
      </c>
      <c r="I356" s="62"/>
      <c r="J356" s="62" t="s">
        <v>201</v>
      </c>
      <c r="K356" s="71"/>
      <c r="L356" s="57" t="s">
        <v>115</v>
      </c>
      <c r="M356" s="61"/>
      <c r="N356" s="61" t="s">
        <v>200</v>
      </c>
      <c r="O356" s="62" t="s">
        <v>201</v>
      </c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30"/>
      <c r="AC356" s="30">
        <v>2.0</v>
      </c>
      <c r="AD356" s="30">
        <f t="shared" si="4"/>
        <v>0</v>
      </c>
      <c r="AE356" s="70">
        <f t="shared" si="5"/>
        <v>0</v>
      </c>
      <c r="AF356" s="70">
        <v>1.0</v>
      </c>
    </row>
    <row r="357" ht="15.75" hidden="1" customHeight="1">
      <c r="A357" s="54" t="s">
        <v>658</v>
      </c>
      <c r="B357" s="56" t="s">
        <v>659</v>
      </c>
      <c r="C357" s="56" t="s">
        <v>610</v>
      </c>
      <c r="D357" s="56" t="s">
        <v>660</v>
      </c>
      <c r="E357" s="56" t="s">
        <v>661</v>
      </c>
      <c r="F357" s="56" t="s">
        <v>193</v>
      </c>
      <c r="G357" s="57" t="s">
        <v>34</v>
      </c>
      <c r="H357" s="68">
        <f t="shared" si="3"/>
        <v>0</v>
      </c>
      <c r="I357" s="62" t="s">
        <v>146</v>
      </c>
      <c r="J357" s="62"/>
      <c r="K357" s="71"/>
      <c r="L357" s="57" t="s">
        <v>130</v>
      </c>
      <c r="M357" s="61"/>
      <c r="N357" s="79"/>
      <c r="O357" s="62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30"/>
      <c r="AC357" s="30">
        <v>1.0</v>
      </c>
      <c r="AD357" s="30">
        <f t="shared" si="4"/>
        <v>0</v>
      </c>
      <c r="AE357" s="70">
        <f t="shared" si="5"/>
        <v>0</v>
      </c>
      <c r="AF357" s="70">
        <v>1.0</v>
      </c>
    </row>
    <row r="358" ht="15.75" hidden="1" customHeight="1">
      <c r="A358" s="54" t="s">
        <v>658</v>
      </c>
      <c r="B358" s="56" t="s">
        <v>659</v>
      </c>
      <c r="C358" s="56" t="s">
        <v>610</v>
      </c>
      <c r="D358" s="56" t="s">
        <v>660</v>
      </c>
      <c r="E358" s="56" t="s">
        <v>662</v>
      </c>
      <c r="F358" s="56" t="s">
        <v>193</v>
      </c>
      <c r="G358" s="57" t="s">
        <v>34</v>
      </c>
      <c r="H358" s="68">
        <f t="shared" si="3"/>
        <v>0</v>
      </c>
      <c r="I358" s="62"/>
      <c r="J358" s="62"/>
      <c r="K358" s="71"/>
      <c r="L358" s="57" t="s">
        <v>115</v>
      </c>
      <c r="M358" s="61"/>
      <c r="N358" s="79"/>
      <c r="O358" s="62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30">
        <v>1.0</v>
      </c>
      <c r="AD358" s="30">
        <f t="shared" si="4"/>
        <v>0</v>
      </c>
      <c r="AE358" s="70">
        <f t="shared" si="5"/>
        <v>0</v>
      </c>
      <c r="AF358" s="70">
        <v>1.0</v>
      </c>
    </row>
    <row r="359" ht="15.75" hidden="1" customHeight="1">
      <c r="A359" s="54" t="s">
        <v>658</v>
      </c>
      <c r="B359" s="56" t="s">
        <v>659</v>
      </c>
      <c r="C359" s="56" t="s">
        <v>610</v>
      </c>
      <c r="D359" s="56" t="s">
        <v>660</v>
      </c>
      <c r="E359" s="56" t="s">
        <v>663</v>
      </c>
      <c r="F359" s="56" t="s">
        <v>193</v>
      </c>
      <c r="G359" s="57" t="s">
        <v>34</v>
      </c>
      <c r="H359" s="68">
        <f t="shared" si="3"/>
        <v>0</v>
      </c>
      <c r="I359" s="62" t="s">
        <v>146</v>
      </c>
      <c r="J359" s="62"/>
      <c r="K359" s="71"/>
      <c r="L359" s="57" t="s">
        <v>115</v>
      </c>
      <c r="M359" s="61"/>
      <c r="N359" s="79"/>
      <c r="O359" s="62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30"/>
      <c r="AC359" s="30">
        <v>1.0</v>
      </c>
      <c r="AD359" s="30">
        <f t="shared" si="4"/>
        <v>0</v>
      </c>
      <c r="AE359" s="70">
        <f t="shared" si="5"/>
        <v>0</v>
      </c>
      <c r="AF359" s="70">
        <v>1.0</v>
      </c>
    </row>
    <row r="360" ht="15.75" hidden="1" customHeight="1">
      <c r="A360" s="54" t="s">
        <v>658</v>
      </c>
      <c r="B360" s="56" t="s">
        <v>659</v>
      </c>
      <c r="C360" s="56" t="s">
        <v>610</v>
      </c>
      <c r="D360" s="56" t="s">
        <v>660</v>
      </c>
      <c r="E360" s="56" t="s">
        <v>664</v>
      </c>
      <c r="F360" s="56" t="s">
        <v>193</v>
      </c>
      <c r="G360" s="57" t="s">
        <v>34</v>
      </c>
      <c r="H360" s="68">
        <f t="shared" si="3"/>
        <v>0</v>
      </c>
      <c r="I360" s="62"/>
      <c r="J360" s="62"/>
      <c r="K360" s="71"/>
      <c r="L360" s="57" t="s">
        <v>115</v>
      </c>
      <c r="M360" s="61"/>
      <c r="N360" s="79"/>
      <c r="O360" s="62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101"/>
      <c r="AC360" s="30">
        <v>1.0</v>
      </c>
      <c r="AD360" s="30">
        <f t="shared" si="4"/>
        <v>0</v>
      </c>
      <c r="AE360" s="70">
        <f t="shared" si="5"/>
        <v>0</v>
      </c>
      <c r="AF360" s="70">
        <v>1.0</v>
      </c>
    </row>
    <row r="361" ht="15.75" hidden="1" customHeight="1">
      <c r="A361" s="54" t="s">
        <v>658</v>
      </c>
      <c r="B361" s="56" t="s">
        <v>659</v>
      </c>
      <c r="C361" s="56" t="s">
        <v>610</v>
      </c>
      <c r="D361" s="56" t="s">
        <v>660</v>
      </c>
      <c r="E361" s="56" t="s">
        <v>665</v>
      </c>
      <c r="F361" s="56" t="s">
        <v>193</v>
      </c>
      <c r="G361" s="57" t="s">
        <v>34</v>
      </c>
      <c r="H361" s="68">
        <f t="shared" si="3"/>
        <v>0</v>
      </c>
      <c r="I361" s="62"/>
      <c r="J361" s="62"/>
      <c r="K361" s="71"/>
      <c r="L361" s="57" t="s">
        <v>130</v>
      </c>
      <c r="M361" s="61"/>
      <c r="N361" s="79"/>
      <c r="O361" s="62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101"/>
      <c r="AC361" s="30">
        <v>1.0</v>
      </c>
      <c r="AD361" s="30">
        <f t="shared" si="4"/>
        <v>0</v>
      </c>
      <c r="AE361" s="70">
        <f t="shared" si="5"/>
        <v>0</v>
      </c>
      <c r="AF361" s="70">
        <v>1.0</v>
      </c>
    </row>
    <row r="362" ht="15.75" hidden="1" customHeight="1">
      <c r="A362" s="54" t="s">
        <v>658</v>
      </c>
      <c r="B362" s="56" t="s">
        <v>659</v>
      </c>
      <c r="C362" s="56" t="s">
        <v>610</v>
      </c>
      <c r="D362" s="56" t="s">
        <v>660</v>
      </c>
      <c r="E362" s="56" t="s">
        <v>614</v>
      </c>
      <c r="F362" s="56" t="s">
        <v>193</v>
      </c>
      <c r="G362" s="57" t="s">
        <v>34</v>
      </c>
      <c r="H362" s="68">
        <f t="shared" si="3"/>
        <v>0</v>
      </c>
      <c r="I362" s="62" t="s">
        <v>146</v>
      </c>
      <c r="J362" s="62"/>
      <c r="K362" s="71"/>
      <c r="L362" s="57" t="s">
        <v>115</v>
      </c>
      <c r="M362" s="61"/>
      <c r="N362" s="79"/>
      <c r="O362" s="62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101"/>
      <c r="AC362" s="30">
        <v>1.0</v>
      </c>
      <c r="AD362" s="30">
        <f t="shared" si="4"/>
        <v>0</v>
      </c>
      <c r="AE362" s="70">
        <f t="shared" si="5"/>
        <v>0</v>
      </c>
      <c r="AF362" s="70">
        <v>1.0</v>
      </c>
    </row>
    <row r="363" ht="15.75" hidden="1" customHeight="1">
      <c r="A363" s="54" t="s">
        <v>658</v>
      </c>
      <c r="B363" s="56" t="s">
        <v>659</v>
      </c>
      <c r="C363" s="56" t="s">
        <v>610</v>
      </c>
      <c r="D363" s="56" t="s">
        <v>660</v>
      </c>
      <c r="E363" s="56" t="s">
        <v>666</v>
      </c>
      <c r="F363" s="56" t="s">
        <v>193</v>
      </c>
      <c r="G363" s="57" t="s">
        <v>34</v>
      </c>
      <c r="H363" s="68">
        <f t="shared" si="3"/>
        <v>0</v>
      </c>
      <c r="I363" s="62" t="s">
        <v>146</v>
      </c>
      <c r="J363" s="62"/>
      <c r="K363" s="71"/>
      <c r="L363" s="57" t="s">
        <v>115</v>
      </c>
      <c r="M363" s="61"/>
      <c r="N363" s="79"/>
      <c r="O363" s="62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101"/>
      <c r="AC363" s="30">
        <v>1.0</v>
      </c>
      <c r="AD363" s="30">
        <f t="shared" si="4"/>
        <v>0</v>
      </c>
      <c r="AE363" s="70">
        <f t="shared" si="5"/>
        <v>0</v>
      </c>
      <c r="AF363" s="70">
        <v>1.0</v>
      </c>
    </row>
    <row r="364" ht="15.75" hidden="1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667</v>
      </c>
      <c r="F364" s="56" t="s">
        <v>193</v>
      </c>
      <c r="G364" s="57" t="s">
        <v>34</v>
      </c>
      <c r="H364" s="68">
        <f t="shared" si="3"/>
        <v>0</v>
      </c>
      <c r="I364" s="62" t="s">
        <v>146</v>
      </c>
      <c r="J364" s="62"/>
      <c r="K364" s="71"/>
      <c r="L364" s="57" t="s">
        <v>130</v>
      </c>
      <c r="M364" s="61"/>
      <c r="N364" s="79"/>
      <c r="O364" s="62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101"/>
      <c r="AC364" s="30">
        <v>1.0</v>
      </c>
      <c r="AD364" s="30">
        <f t="shared" si="4"/>
        <v>0</v>
      </c>
      <c r="AE364" s="70">
        <f t="shared" si="5"/>
        <v>0</v>
      </c>
      <c r="AF364" s="70">
        <v>1.0</v>
      </c>
    </row>
    <row r="365" ht="15.75" hidden="1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668</v>
      </c>
      <c r="F365" s="56" t="s">
        <v>327</v>
      </c>
      <c r="G365" s="57" t="s">
        <v>154</v>
      </c>
      <c r="H365" s="68">
        <f t="shared" si="3"/>
        <v>0</v>
      </c>
      <c r="I365" s="62"/>
      <c r="J365" s="62" t="s">
        <v>617</v>
      </c>
      <c r="K365" s="71"/>
      <c r="L365" s="57" t="s">
        <v>115</v>
      </c>
      <c r="M365" s="61"/>
      <c r="N365" s="79"/>
      <c r="O365" s="62" t="s">
        <v>617</v>
      </c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101"/>
      <c r="AC365" s="30">
        <v>2.0</v>
      </c>
      <c r="AD365" s="30">
        <f t="shared" si="4"/>
        <v>0</v>
      </c>
      <c r="AE365" s="70">
        <f t="shared" si="5"/>
        <v>0</v>
      </c>
      <c r="AF365" s="70">
        <v>1.0</v>
      </c>
    </row>
    <row r="366" ht="15.75" hidden="1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669</v>
      </c>
      <c r="F366" s="56" t="s">
        <v>327</v>
      </c>
      <c r="G366" s="57" t="s">
        <v>154</v>
      </c>
      <c r="H366" s="68">
        <f t="shared" si="3"/>
        <v>0</v>
      </c>
      <c r="I366" s="62"/>
      <c r="J366" s="62" t="s">
        <v>617</v>
      </c>
      <c r="K366" s="71"/>
      <c r="L366" s="57" t="s">
        <v>115</v>
      </c>
      <c r="M366" s="61"/>
      <c r="N366" s="79"/>
      <c r="O366" s="62" t="s">
        <v>617</v>
      </c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101"/>
      <c r="AC366" s="30">
        <v>2.0</v>
      </c>
      <c r="AD366" s="30">
        <f t="shared" si="4"/>
        <v>0</v>
      </c>
      <c r="AE366" s="70">
        <f t="shared" si="5"/>
        <v>0</v>
      </c>
      <c r="AF366" s="70">
        <v>1.0</v>
      </c>
    </row>
    <row r="367" ht="15.75" hidden="1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671</v>
      </c>
      <c r="F367" s="56" t="s">
        <v>327</v>
      </c>
      <c r="G367" s="57" t="s">
        <v>154</v>
      </c>
      <c r="H367" s="68">
        <f t="shared" si="3"/>
        <v>0</v>
      </c>
      <c r="I367" s="62" t="s">
        <v>146</v>
      </c>
      <c r="J367" s="62" t="s">
        <v>617</v>
      </c>
      <c r="K367" s="71"/>
      <c r="L367" s="57" t="s">
        <v>115</v>
      </c>
      <c r="M367" s="61"/>
      <c r="N367" s="79"/>
      <c r="O367" s="62" t="s">
        <v>617</v>
      </c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101"/>
      <c r="AC367" s="30">
        <v>2.0</v>
      </c>
      <c r="AD367" s="30">
        <f t="shared" si="4"/>
        <v>0</v>
      </c>
      <c r="AE367" s="70">
        <f t="shared" si="5"/>
        <v>0</v>
      </c>
      <c r="AF367" s="70">
        <v>1.0</v>
      </c>
    </row>
    <row r="368" ht="15.75" hidden="1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672</v>
      </c>
      <c r="F368" s="56" t="s">
        <v>327</v>
      </c>
      <c r="G368" s="57" t="s">
        <v>154</v>
      </c>
      <c r="H368" s="68">
        <f t="shared" si="3"/>
        <v>0</v>
      </c>
      <c r="I368" s="62" t="s">
        <v>146</v>
      </c>
      <c r="J368" s="62" t="s">
        <v>617</v>
      </c>
      <c r="K368" s="71"/>
      <c r="L368" s="57" t="s">
        <v>115</v>
      </c>
      <c r="M368" s="61"/>
      <c r="N368" s="79"/>
      <c r="O368" s="62" t="s">
        <v>617</v>
      </c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30"/>
      <c r="AC368" s="30">
        <v>2.0</v>
      </c>
      <c r="AD368" s="30">
        <f t="shared" si="4"/>
        <v>0</v>
      </c>
      <c r="AE368" s="70">
        <f t="shared" si="5"/>
        <v>0</v>
      </c>
      <c r="AF368" s="70">
        <v>1.0</v>
      </c>
    </row>
    <row r="369" ht="15.75" hidden="1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673</v>
      </c>
      <c r="F369" s="56" t="s">
        <v>327</v>
      </c>
      <c r="G369" s="57" t="s">
        <v>154</v>
      </c>
      <c r="H369" s="68">
        <f t="shared" si="3"/>
        <v>0</v>
      </c>
      <c r="I369" s="62" t="s">
        <v>146</v>
      </c>
      <c r="J369" s="62" t="s">
        <v>617</v>
      </c>
      <c r="K369" s="71"/>
      <c r="L369" s="57" t="s">
        <v>115</v>
      </c>
      <c r="M369" s="61"/>
      <c r="N369" s="79"/>
      <c r="O369" s="62" t="s">
        <v>617</v>
      </c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101"/>
      <c r="AC369" s="30">
        <v>2.0</v>
      </c>
      <c r="AD369" s="30">
        <f t="shared" si="4"/>
        <v>0</v>
      </c>
      <c r="AE369" s="70">
        <f t="shared" si="5"/>
        <v>0</v>
      </c>
      <c r="AF369" s="70">
        <v>1.0</v>
      </c>
    </row>
    <row r="370" ht="15.75" hidden="1" customHeight="1">
      <c r="A370" s="54" t="s">
        <v>658</v>
      </c>
      <c r="B370" s="56" t="s">
        <v>674</v>
      </c>
      <c r="C370" s="56" t="s">
        <v>610</v>
      </c>
      <c r="D370" s="56" t="s">
        <v>675</v>
      </c>
      <c r="E370" s="56" t="s">
        <v>676</v>
      </c>
      <c r="F370" s="56" t="s">
        <v>193</v>
      </c>
      <c r="G370" s="57" t="s">
        <v>34</v>
      </c>
      <c r="H370" s="68">
        <f t="shared" si="3"/>
        <v>0</v>
      </c>
      <c r="I370" s="62" t="s">
        <v>146</v>
      </c>
      <c r="J370" s="62"/>
      <c r="K370" s="71"/>
      <c r="L370" s="57" t="s">
        <v>115</v>
      </c>
      <c r="M370" s="61"/>
      <c r="N370" s="79"/>
      <c r="O370" s="62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101"/>
      <c r="AC370" s="30">
        <v>1.0</v>
      </c>
      <c r="AD370" s="30">
        <f t="shared" si="4"/>
        <v>0</v>
      </c>
      <c r="AE370" s="70">
        <f t="shared" si="5"/>
        <v>0</v>
      </c>
      <c r="AF370" s="70">
        <v>1.0</v>
      </c>
    </row>
    <row r="371" ht="15.75" hidden="1" customHeight="1">
      <c r="A371" s="54" t="s">
        <v>658</v>
      </c>
      <c r="B371" s="56" t="s">
        <v>677</v>
      </c>
      <c r="C371" s="56" t="s">
        <v>610</v>
      </c>
      <c r="D371" s="56" t="s">
        <v>678</v>
      </c>
      <c r="E371" s="56" t="s">
        <v>679</v>
      </c>
      <c r="F371" s="56" t="s">
        <v>168</v>
      </c>
      <c r="G371" s="57" t="s">
        <v>34</v>
      </c>
      <c r="H371" s="68">
        <f t="shared" si="3"/>
        <v>0</v>
      </c>
      <c r="I371" s="62" t="s">
        <v>146</v>
      </c>
      <c r="J371" s="62"/>
      <c r="K371" s="71"/>
      <c r="L371" s="57" t="s">
        <v>115</v>
      </c>
      <c r="M371" s="61"/>
      <c r="N371" s="61" t="s">
        <v>681</v>
      </c>
      <c r="O371" s="62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101"/>
      <c r="AC371" s="30">
        <v>1.0</v>
      </c>
      <c r="AD371" s="30">
        <f t="shared" si="4"/>
        <v>0</v>
      </c>
      <c r="AE371" s="70">
        <f t="shared" si="5"/>
        <v>0</v>
      </c>
      <c r="AF371" s="70">
        <v>1.0</v>
      </c>
    </row>
    <row r="372" ht="15.75" hidden="1" customHeight="1">
      <c r="A372" s="54" t="s">
        <v>658</v>
      </c>
      <c r="B372" s="56" t="s">
        <v>677</v>
      </c>
      <c r="C372" s="56" t="s">
        <v>610</v>
      </c>
      <c r="D372" s="56" t="s">
        <v>678</v>
      </c>
      <c r="E372" s="56" t="s">
        <v>680</v>
      </c>
      <c r="F372" s="56" t="s">
        <v>193</v>
      </c>
      <c r="G372" s="57" t="s">
        <v>34</v>
      </c>
      <c r="H372" s="68">
        <f t="shared" si="3"/>
        <v>0</v>
      </c>
      <c r="I372" s="62" t="s">
        <v>146</v>
      </c>
      <c r="J372" s="62"/>
      <c r="K372" s="71"/>
      <c r="L372" s="57" t="s">
        <v>115</v>
      </c>
      <c r="M372" s="61"/>
      <c r="N372" s="79"/>
      <c r="O372" s="62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101"/>
      <c r="AC372" s="30">
        <v>1.0</v>
      </c>
      <c r="AD372" s="30">
        <f t="shared" si="4"/>
        <v>0</v>
      </c>
      <c r="AE372" s="70">
        <f t="shared" si="5"/>
        <v>0</v>
      </c>
      <c r="AF372" s="70">
        <v>1.0</v>
      </c>
    </row>
    <row r="373" ht="15.75" hidden="1" customHeight="1">
      <c r="A373" s="54" t="s">
        <v>658</v>
      </c>
      <c r="B373" s="56" t="s">
        <v>677</v>
      </c>
      <c r="C373" s="56" t="s">
        <v>610</v>
      </c>
      <c r="D373" s="56" t="s">
        <v>678</v>
      </c>
      <c r="E373" s="56" t="s">
        <v>682</v>
      </c>
      <c r="F373" s="56" t="s">
        <v>193</v>
      </c>
      <c r="G373" s="57" t="s">
        <v>34</v>
      </c>
      <c r="H373" s="68">
        <f t="shared" si="3"/>
        <v>0</v>
      </c>
      <c r="I373" s="62" t="s">
        <v>146</v>
      </c>
      <c r="J373" s="62"/>
      <c r="K373" s="71"/>
      <c r="L373" s="57" t="s">
        <v>115</v>
      </c>
      <c r="M373" s="61"/>
      <c r="N373" s="79"/>
      <c r="O373" s="62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30"/>
      <c r="AC373" s="30">
        <v>1.0</v>
      </c>
      <c r="AD373" s="30">
        <f t="shared" si="4"/>
        <v>0</v>
      </c>
      <c r="AE373" s="70">
        <f t="shared" si="5"/>
        <v>0</v>
      </c>
      <c r="AF373" s="70">
        <v>1.0</v>
      </c>
    </row>
    <row r="374" ht="15.75" hidden="1" customHeight="1">
      <c r="A374" s="54" t="s">
        <v>658</v>
      </c>
      <c r="B374" s="56" t="s">
        <v>677</v>
      </c>
      <c r="C374" s="56" t="s">
        <v>610</v>
      </c>
      <c r="D374" s="56" t="s">
        <v>678</v>
      </c>
      <c r="E374" s="56" t="s">
        <v>683</v>
      </c>
      <c r="F374" s="56" t="s">
        <v>193</v>
      </c>
      <c r="G374" s="57" t="s">
        <v>34</v>
      </c>
      <c r="H374" s="68">
        <f t="shared" si="3"/>
        <v>0</v>
      </c>
      <c r="I374" s="62" t="s">
        <v>146</v>
      </c>
      <c r="J374" s="62"/>
      <c r="K374" s="71"/>
      <c r="L374" s="57" t="s">
        <v>130</v>
      </c>
      <c r="M374" s="61"/>
      <c r="N374" s="79"/>
      <c r="O374" s="62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101"/>
      <c r="AC374" s="30">
        <v>1.0</v>
      </c>
      <c r="AD374" s="30">
        <f t="shared" si="4"/>
        <v>0</v>
      </c>
      <c r="AE374" s="70">
        <f t="shared" si="5"/>
        <v>0</v>
      </c>
      <c r="AF374" s="70">
        <v>1.0</v>
      </c>
    </row>
    <row r="375" ht="15.75" hidden="1" customHeight="1">
      <c r="A375" s="54" t="s">
        <v>658</v>
      </c>
      <c r="B375" s="56" t="s">
        <v>677</v>
      </c>
      <c r="C375" s="56" t="s">
        <v>610</v>
      </c>
      <c r="D375" s="56" t="s">
        <v>678</v>
      </c>
      <c r="E375" s="56" t="s">
        <v>684</v>
      </c>
      <c r="F375" s="56" t="s">
        <v>249</v>
      </c>
      <c r="G375" s="57" t="s">
        <v>250</v>
      </c>
      <c r="H375" s="68">
        <f t="shared" si="3"/>
        <v>0</v>
      </c>
      <c r="I375" s="62"/>
      <c r="J375" s="62"/>
      <c r="K375" s="71"/>
      <c r="L375" s="57" t="s">
        <v>115</v>
      </c>
      <c r="M375" s="61"/>
      <c r="N375" s="61" t="s">
        <v>686</v>
      </c>
      <c r="O375" s="62" t="s">
        <v>687</v>
      </c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30"/>
      <c r="AC375" s="30">
        <v>2.0</v>
      </c>
      <c r="AD375" s="30">
        <f t="shared" si="4"/>
        <v>0</v>
      </c>
      <c r="AE375" s="70">
        <f t="shared" si="5"/>
        <v>0</v>
      </c>
      <c r="AF375" s="70">
        <v>1.0</v>
      </c>
    </row>
    <row r="376" ht="15.75" hidden="1" customHeight="1">
      <c r="A376" s="54" t="s">
        <v>658</v>
      </c>
      <c r="B376" s="56" t="s">
        <v>677</v>
      </c>
      <c r="C376" s="56" t="s">
        <v>610</v>
      </c>
      <c r="D376" s="56" t="s">
        <v>678</v>
      </c>
      <c r="E376" s="56" t="s">
        <v>685</v>
      </c>
      <c r="F376" s="56" t="s">
        <v>249</v>
      </c>
      <c r="G376" s="57" t="s">
        <v>250</v>
      </c>
      <c r="H376" s="68">
        <f t="shared" si="3"/>
        <v>0</v>
      </c>
      <c r="I376" s="62"/>
      <c r="J376" s="62" t="s">
        <v>873</v>
      </c>
      <c r="K376" s="71"/>
      <c r="L376" s="57" t="s">
        <v>115</v>
      </c>
      <c r="M376" s="61"/>
      <c r="N376" s="61" t="s">
        <v>200</v>
      </c>
      <c r="O376" s="62" t="s">
        <v>689</v>
      </c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30"/>
      <c r="AC376" s="30">
        <v>2.0</v>
      </c>
      <c r="AD376" s="30">
        <f t="shared" si="4"/>
        <v>0</v>
      </c>
      <c r="AE376" s="70">
        <f t="shared" si="5"/>
        <v>0</v>
      </c>
      <c r="AF376" s="70">
        <v>1.0</v>
      </c>
    </row>
    <row r="377" ht="15.75" hidden="1" customHeight="1">
      <c r="A377" s="54" t="s">
        <v>658</v>
      </c>
      <c r="B377" s="56" t="s">
        <v>688</v>
      </c>
      <c r="C377" s="56" t="s">
        <v>624</v>
      </c>
      <c r="D377" s="56" t="s">
        <v>660</v>
      </c>
      <c r="E377" s="56" t="s">
        <v>661</v>
      </c>
      <c r="F377" s="56" t="s">
        <v>193</v>
      </c>
      <c r="G377" s="57" t="s">
        <v>34</v>
      </c>
      <c r="H377" s="68">
        <f t="shared" si="3"/>
        <v>0</v>
      </c>
      <c r="I377" s="62" t="s">
        <v>146</v>
      </c>
      <c r="J377" s="62"/>
      <c r="K377" s="71"/>
      <c r="L377" s="57" t="s">
        <v>130</v>
      </c>
      <c r="M377" s="61"/>
      <c r="N377" s="79"/>
      <c r="O377" s="62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30"/>
      <c r="AC377" s="30">
        <v>1.0</v>
      </c>
      <c r="AD377" s="30">
        <f t="shared" si="4"/>
        <v>0</v>
      </c>
      <c r="AE377" s="70">
        <f t="shared" si="5"/>
        <v>0</v>
      </c>
      <c r="AF377" s="70">
        <v>1.0</v>
      </c>
    </row>
    <row r="378" ht="15.75" hidden="1" customHeight="1">
      <c r="A378" s="54" t="s">
        <v>658</v>
      </c>
      <c r="B378" s="56" t="s">
        <v>688</v>
      </c>
      <c r="C378" s="56" t="s">
        <v>624</v>
      </c>
      <c r="D378" s="56" t="s">
        <v>660</v>
      </c>
      <c r="E378" s="56" t="s">
        <v>662</v>
      </c>
      <c r="F378" s="56" t="s">
        <v>193</v>
      </c>
      <c r="G378" s="57" t="s">
        <v>34</v>
      </c>
      <c r="H378" s="68">
        <f t="shared" si="3"/>
        <v>0</v>
      </c>
      <c r="I378" s="62"/>
      <c r="J378" s="62"/>
      <c r="K378" s="71"/>
      <c r="L378" s="57" t="s">
        <v>115</v>
      </c>
      <c r="M378" s="61"/>
      <c r="N378" s="79"/>
      <c r="O378" s="62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30"/>
      <c r="AC378" s="30">
        <v>1.0</v>
      </c>
      <c r="AD378" s="30">
        <f t="shared" si="4"/>
        <v>0</v>
      </c>
      <c r="AE378" s="70">
        <f t="shared" si="5"/>
        <v>0</v>
      </c>
      <c r="AF378" s="70">
        <v>1.0</v>
      </c>
    </row>
    <row r="379" ht="15.75" hidden="1" customHeight="1">
      <c r="A379" s="54" t="s">
        <v>658</v>
      </c>
      <c r="B379" s="56" t="s">
        <v>688</v>
      </c>
      <c r="C379" s="56" t="s">
        <v>624</v>
      </c>
      <c r="D379" s="56" t="s">
        <v>660</v>
      </c>
      <c r="E379" s="56" t="s">
        <v>663</v>
      </c>
      <c r="F379" s="56" t="s">
        <v>193</v>
      </c>
      <c r="G379" s="57" t="s">
        <v>34</v>
      </c>
      <c r="H379" s="68">
        <f t="shared" si="3"/>
        <v>0</v>
      </c>
      <c r="I379" s="62" t="s">
        <v>146</v>
      </c>
      <c r="J379" s="62"/>
      <c r="K379" s="71"/>
      <c r="L379" s="57" t="s">
        <v>130</v>
      </c>
      <c r="M379" s="61"/>
      <c r="N379" s="79"/>
      <c r="O379" s="62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30"/>
      <c r="AC379" s="30">
        <v>1.0</v>
      </c>
      <c r="AD379" s="30">
        <f t="shared" si="4"/>
        <v>0</v>
      </c>
      <c r="AE379" s="70">
        <f t="shared" si="5"/>
        <v>0</v>
      </c>
      <c r="AF379" s="70">
        <v>1.0</v>
      </c>
    </row>
    <row r="380" ht="15.75" hidden="1" customHeight="1">
      <c r="A380" s="54" t="s">
        <v>658</v>
      </c>
      <c r="B380" s="56" t="s">
        <v>688</v>
      </c>
      <c r="C380" s="56" t="s">
        <v>624</v>
      </c>
      <c r="D380" s="56" t="s">
        <v>660</v>
      </c>
      <c r="E380" s="56" t="s">
        <v>664</v>
      </c>
      <c r="F380" s="56" t="s">
        <v>193</v>
      </c>
      <c r="G380" s="57" t="s">
        <v>34</v>
      </c>
      <c r="H380" s="68">
        <f t="shared" si="3"/>
        <v>0</v>
      </c>
      <c r="I380" s="62"/>
      <c r="J380" s="62"/>
      <c r="K380" s="71"/>
      <c r="L380" s="57" t="s">
        <v>115</v>
      </c>
      <c r="M380" s="61"/>
      <c r="N380" s="79"/>
      <c r="O380" s="62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101"/>
      <c r="AC380" s="30">
        <v>1.0</v>
      </c>
      <c r="AD380" s="30">
        <f t="shared" si="4"/>
        <v>0</v>
      </c>
      <c r="AE380" s="70">
        <f t="shared" si="5"/>
        <v>0</v>
      </c>
      <c r="AF380" s="70">
        <v>1.0</v>
      </c>
    </row>
    <row r="381" ht="15.75" hidden="1" customHeight="1">
      <c r="A381" s="54" t="s">
        <v>658</v>
      </c>
      <c r="B381" s="56" t="s">
        <v>688</v>
      </c>
      <c r="C381" s="56" t="s">
        <v>624</v>
      </c>
      <c r="D381" s="56" t="s">
        <v>660</v>
      </c>
      <c r="E381" s="56" t="s">
        <v>665</v>
      </c>
      <c r="F381" s="56" t="s">
        <v>193</v>
      </c>
      <c r="G381" s="57" t="s">
        <v>34</v>
      </c>
      <c r="H381" s="68">
        <f t="shared" si="3"/>
        <v>0</v>
      </c>
      <c r="I381" s="62"/>
      <c r="J381" s="62"/>
      <c r="K381" s="71"/>
      <c r="L381" s="57" t="s">
        <v>130</v>
      </c>
      <c r="M381" s="61"/>
      <c r="N381" s="79"/>
      <c r="O381" s="62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101"/>
      <c r="AC381" s="30">
        <v>1.0</v>
      </c>
      <c r="AD381" s="30">
        <f t="shared" si="4"/>
        <v>0</v>
      </c>
      <c r="AE381" s="70">
        <f t="shared" si="5"/>
        <v>0</v>
      </c>
      <c r="AF381" s="70">
        <v>1.0</v>
      </c>
    </row>
    <row r="382" ht="15.75" hidden="1" customHeight="1">
      <c r="A382" s="54" t="s">
        <v>658</v>
      </c>
      <c r="B382" s="56" t="s">
        <v>688</v>
      </c>
      <c r="C382" s="56" t="s">
        <v>624</v>
      </c>
      <c r="D382" s="56" t="s">
        <v>660</v>
      </c>
      <c r="E382" s="56" t="s">
        <v>614</v>
      </c>
      <c r="F382" s="56" t="s">
        <v>193</v>
      </c>
      <c r="G382" s="57" t="s">
        <v>34</v>
      </c>
      <c r="H382" s="68">
        <f t="shared" si="3"/>
        <v>0</v>
      </c>
      <c r="I382" s="62" t="s">
        <v>146</v>
      </c>
      <c r="J382" s="62"/>
      <c r="K382" s="71"/>
      <c r="L382" s="57" t="s">
        <v>115</v>
      </c>
      <c r="M382" s="61"/>
      <c r="N382" s="79"/>
      <c r="O382" s="62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101"/>
      <c r="AC382" s="30">
        <v>1.0</v>
      </c>
      <c r="AD382" s="30">
        <f t="shared" si="4"/>
        <v>0</v>
      </c>
      <c r="AE382" s="70">
        <f t="shared" si="5"/>
        <v>0</v>
      </c>
      <c r="AF382" s="70">
        <v>1.0</v>
      </c>
    </row>
    <row r="383" ht="15.75" hidden="1" customHeight="1">
      <c r="A383" s="54" t="s">
        <v>658</v>
      </c>
      <c r="B383" s="56" t="s">
        <v>688</v>
      </c>
      <c r="C383" s="56" t="s">
        <v>624</v>
      </c>
      <c r="D383" s="56" t="s">
        <v>660</v>
      </c>
      <c r="E383" s="56" t="s">
        <v>666</v>
      </c>
      <c r="F383" s="56" t="s">
        <v>193</v>
      </c>
      <c r="G383" s="57" t="s">
        <v>34</v>
      </c>
      <c r="H383" s="68">
        <f t="shared" si="3"/>
        <v>0</v>
      </c>
      <c r="I383" s="62" t="s">
        <v>146</v>
      </c>
      <c r="J383" s="62"/>
      <c r="K383" s="71"/>
      <c r="L383" s="57" t="s">
        <v>115</v>
      </c>
      <c r="M383" s="61"/>
      <c r="N383" s="79"/>
      <c r="O383" s="62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101"/>
      <c r="AC383" s="30">
        <v>1.0</v>
      </c>
      <c r="AD383" s="30">
        <f t="shared" si="4"/>
        <v>0</v>
      </c>
      <c r="AE383" s="70">
        <f t="shared" si="5"/>
        <v>0</v>
      </c>
      <c r="AF383" s="70">
        <v>1.0</v>
      </c>
    </row>
    <row r="384" ht="15.75" hidden="1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667</v>
      </c>
      <c r="F384" s="56" t="s">
        <v>193</v>
      </c>
      <c r="G384" s="57" t="s">
        <v>34</v>
      </c>
      <c r="H384" s="68">
        <f t="shared" si="3"/>
        <v>0</v>
      </c>
      <c r="I384" s="62" t="s">
        <v>146</v>
      </c>
      <c r="J384" s="62"/>
      <c r="K384" s="71"/>
      <c r="L384" s="57" t="s">
        <v>130</v>
      </c>
      <c r="M384" s="61"/>
      <c r="N384" s="79"/>
      <c r="O384" s="62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101"/>
      <c r="AC384" s="30">
        <v>1.0</v>
      </c>
      <c r="AD384" s="30">
        <f t="shared" si="4"/>
        <v>0</v>
      </c>
      <c r="AE384" s="70">
        <f t="shared" si="5"/>
        <v>0</v>
      </c>
      <c r="AF384" s="70">
        <v>1.0</v>
      </c>
    </row>
    <row r="385" ht="15.75" hidden="1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668</v>
      </c>
      <c r="F385" s="56" t="s">
        <v>327</v>
      </c>
      <c r="G385" s="57" t="s">
        <v>154</v>
      </c>
      <c r="H385" s="68">
        <f t="shared" si="3"/>
        <v>0</v>
      </c>
      <c r="I385" s="62"/>
      <c r="J385" s="62" t="s">
        <v>617</v>
      </c>
      <c r="K385" s="71"/>
      <c r="L385" s="57" t="s">
        <v>115</v>
      </c>
      <c r="M385" s="61"/>
      <c r="N385" s="79"/>
      <c r="O385" s="62" t="s">
        <v>617</v>
      </c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101"/>
      <c r="AC385" s="30">
        <v>2.0</v>
      </c>
      <c r="AD385" s="30">
        <f t="shared" si="4"/>
        <v>0</v>
      </c>
      <c r="AE385" s="70">
        <f t="shared" si="5"/>
        <v>0</v>
      </c>
      <c r="AF385" s="70">
        <v>1.0</v>
      </c>
    </row>
    <row r="386" ht="15.75" hidden="1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669</v>
      </c>
      <c r="F386" s="56" t="s">
        <v>327</v>
      </c>
      <c r="G386" s="57" t="s">
        <v>154</v>
      </c>
      <c r="H386" s="68">
        <f t="shared" si="3"/>
        <v>0</v>
      </c>
      <c r="I386" s="62" t="s">
        <v>146</v>
      </c>
      <c r="J386" s="62" t="s">
        <v>617</v>
      </c>
      <c r="K386" s="71"/>
      <c r="L386" s="57" t="s">
        <v>115</v>
      </c>
      <c r="M386" s="61"/>
      <c r="N386" s="79"/>
      <c r="O386" s="62" t="s">
        <v>617</v>
      </c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101"/>
      <c r="AC386" s="30">
        <v>2.0</v>
      </c>
      <c r="AD386" s="30">
        <f t="shared" si="4"/>
        <v>0</v>
      </c>
      <c r="AE386" s="70">
        <f t="shared" si="5"/>
        <v>0</v>
      </c>
      <c r="AF386" s="70">
        <v>1.0</v>
      </c>
    </row>
    <row r="387" ht="15.75" hidden="1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671</v>
      </c>
      <c r="F387" s="56" t="s">
        <v>327</v>
      </c>
      <c r="G387" s="57" t="s">
        <v>154</v>
      </c>
      <c r="H387" s="68">
        <f t="shared" si="3"/>
        <v>0</v>
      </c>
      <c r="I387" s="62" t="s">
        <v>146</v>
      </c>
      <c r="J387" s="62" t="s">
        <v>617</v>
      </c>
      <c r="K387" s="71"/>
      <c r="L387" s="57" t="s">
        <v>115</v>
      </c>
      <c r="M387" s="61"/>
      <c r="N387" s="79"/>
      <c r="O387" s="62" t="s">
        <v>617</v>
      </c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101"/>
      <c r="AC387" s="30">
        <v>2.0</v>
      </c>
      <c r="AD387" s="30">
        <f t="shared" si="4"/>
        <v>0</v>
      </c>
      <c r="AE387" s="70">
        <f t="shared" si="5"/>
        <v>0</v>
      </c>
      <c r="AF387" s="70">
        <v>1.0</v>
      </c>
    </row>
    <row r="388" ht="15.75" hidden="1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672</v>
      </c>
      <c r="F388" s="56" t="s">
        <v>327</v>
      </c>
      <c r="G388" s="57" t="s">
        <v>154</v>
      </c>
      <c r="H388" s="68">
        <f t="shared" si="3"/>
        <v>0</v>
      </c>
      <c r="I388" s="62" t="s">
        <v>146</v>
      </c>
      <c r="J388" s="62" t="s">
        <v>617</v>
      </c>
      <c r="K388" s="71"/>
      <c r="L388" s="57" t="s">
        <v>115</v>
      </c>
      <c r="M388" s="61"/>
      <c r="N388" s="79"/>
      <c r="O388" s="62" t="s">
        <v>617</v>
      </c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30"/>
      <c r="AC388" s="30">
        <v>2.0</v>
      </c>
      <c r="AD388" s="30">
        <f t="shared" si="4"/>
        <v>0</v>
      </c>
      <c r="AE388" s="70">
        <f t="shared" si="5"/>
        <v>0</v>
      </c>
      <c r="AF388" s="70">
        <v>1.0</v>
      </c>
    </row>
    <row r="389" ht="15.75" hidden="1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673</v>
      </c>
      <c r="F389" s="56" t="s">
        <v>327</v>
      </c>
      <c r="G389" s="57" t="s">
        <v>154</v>
      </c>
      <c r="H389" s="68">
        <f t="shared" si="3"/>
        <v>0</v>
      </c>
      <c r="I389" s="62" t="s">
        <v>146</v>
      </c>
      <c r="J389" s="62" t="s">
        <v>617</v>
      </c>
      <c r="K389" s="71"/>
      <c r="L389" s="57" t="s">
        <v>115</v>
      </c>
      <c r="M389" s="61"/>
      <c r="N389" s="79"/>
      <c r="O389" s="62" t="s">
        <v>617</v>
      </c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101"/>
      <c r="AC389" s="30">
        <v>2.0</v>
      </c>
      <c r="AD389" s="30">
        <f t="shared" si="4"/>
        <v>0</v>
      </c>
      <c r="AE389" s="70">
        <f t="shared" si="5"/>
        <v>0</v>
      </c>
      <c r="AF389" s="70">
        <v>1.0</v>
      </c>
    </row>
    <row r="390" ht="15.75" hidden="1" customHeight="1">
      <c r="A390" s="54" t="s">
        <v>658</v>
      </c>
      <c r="B390" s="56" t="s">
        <v>690</v>
      </c>
      <c r="C390" s="56" t="s">
        <v>624</v>
      </c>
      <c r="D390" s="56" t="s">
        <v>675</v>
      </c>
      <c r="E390" s="56" t="s">
        <v>676</v>
      </c>
      <c r="F390" s="56" t="s">
        <v>193</v>
      </c>
      <c r="G390" s="57" t="s">
        <v>34</v>
      </c>
      <c r="H390" s="68">
        <f t="shared" si="3"/>
        <v>0</v>
      </c>
      <c r="I390" s="62" t="s">
        <v>146</v>
      </c>
      <c r="J390" s="62"/>
      <c r="K390" s="71"/>
      <c r="L390" s="57" t="s">
        <v>115</v>
      </c>
      <c r="M390" s="61"/>
      <c r="N390" s="79"/>
      <c r="O390" s="62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101"/>
      <c r="AC390" s="30">
        <v>1.0</v>
      </c>
      <c r="AD390" s="30">
        <f t="shared" si="4"/>
        <v>0</v>
      </c>
      <c r="AE390" s="70">
        <f t="shared" si="5"/>
        <v>0</v>
      </c>
      <c r="AF390" s="70">
        <v>1.0</v>
      </c>
    </row>
    <row r="391" ht="15.75" hidden="1" customHeight="1">
      <c r="A391" s="54" t="s">
        <v>658</v>
      </c>
      <c r="B391" s="56" t="s">
        <v>691</v>
      </c>
      <c r="C391" s="56" t="s">
        <v>624</v>
      </c>
      <c r="D391" s="56" t="s">
        <v>678</v>
      </c>
      <c r="E391" s="56" t="s">
        <v>679</v>
      </c>
      <c r="F391" s="56" t="s">
        <v>168</v>
      </c>
      <c r="G391" s="57" t="s">
        <v>34</v>
      </c>
      <c r="H391" s="68">
        <f t="shared" si="3"/>
        <v>0</v>
      </c>
      <c r="I391" s="62" t="s">
        <v>146</v>
      </c>
      <c r="J391" s="62"/>
      <c r="K391" s="71"/>
      <c r="L391" s="57" t="s">
        <v>115</v>
      </c>
      <c r="M391" s="61"/>
      <c r="N391" s="61" t="s">
        <v>681</v>
      </c>
      <c r="O391" s="62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30"/>
      <c r="AC391" s="30">
        <v>1.0</v>
      </c>
      <c r="AD391" s="30">
        <f t="shared" si="4"/>
        <v>0</v>
      </c>
      <c r="AE391" s="70">
        <f t="shared" si="5"/>
        <v>0</v>
      </c>
      <c r="AF391" s="70">
        <v>1.0</v>
      </c>
    </row>
    <row r="392" ht="15.75" hidden="1" customHeight="1">
      <c r="A392" s="54" t="s">
        <v>658</v>
      </c>
      <c r="B392" s="56" t="s">
        <v>691</v>
      </c>
      <c r="C392" s="56" t="s">
        <v>624</v>
      </c>
      <c r="D392" s="56" t="s">
        <v>678</v>
      </c>
      <c r="E392" s="56" t="s">
        <v>680</v>
      </c>
      <c r="F392" s="56" t="s">
        <v>193</v>
      </c>
      <c r="G392" s="57" t="s">
        <v>34</v>
      </c>
      <c r="H392" s="68">
        <f t="shared" si="3"/>
        <v>0</v>
      </c>
      <c r="I392" s="62" t="s">
        <v>146</v>
      </c>
      <c r="J392" s="62"/>
      <c r="K392" s="71"/>
      <c r="L392" s="57" t="s">
        <v>115</v>
      </c>
      <c r="M392" s="61"/>
      <c r="N392" s="79"/>
      <c r="O392" s="62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101"/>
      <c r="AC392" s="30">
        <v>1.0</v>
      </c>
      <c r="AD392" s="30">
        <f t="shared" si="4"/>
        <v>0</v>
      </c>
      <c r="AE392" s="70">
        <f t="shared" si="5"/>
        <v>0</v>
      </c>
      <c r="AF392" s="70">
        <v>1.0</v>
      </c>
    </row>
    <row r="393" ht="15.75" hidden="1" customHeight="1">
      <c r="A393" s="54" t="s">
        <v>658</v>
      </c>
      <c r="B393" s="56" t="s">
        <v>691</v>
      </c>
      <c r="C393" s="56" t="s">
        <v>624</v>
      </c>
      <c r="D393" s="56" t="s">
        <v>678</v>
      </c>
      <c r="E393" s="56" t="s">
        <v>682</v>
      </c>
      <c r="F393" s="56" t="s">
        <v>193</v>
      </c>
      <c r="G393" s="57" t="s">
        <v>34</v>
      </c>
      <c r="H393" s="68">
        <f t="shared" si="3"/>
        <v>0</v>
      </c>
      <c r="I393" s="62" t="s">
        <v>146</v>
      </c>
      <c r="J393" s="62"/>
      <c r="K393" s="71"/>
      <c r="L393" s="57" t="s">
        <v>115</v>
      </c>
      <c r="M393" s="61"/>
      <c r="N393" s="79"/>
      <c r="O393" s="62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30"/>
      <c r="AC393" s="30">
        <v>1.0</v>
      </c>
      <c r="AD393" s="30">
        <f t="shared" si="4"/>
        <v>0</v>
      </c>
      <c r="AE393" s="70">
        <f t="shared" si="5"/>
        <v>0</v>
      </c>
      <c r="AF393" s="70">
        <v>1.0</v>
      </c>
    </row>
    <row r="394" ht="15.75" hidden="1" customHeight="1">
      <c r="A394" s="54" t="s">
        <v>658</v>
      </c>
      <c r="B394" s="56" t="s">
        <v>691</v>
      </c>
      <c r="C394" s="56" t="s">
        <v>624</v>
      </c>
      <c r="D394" s="56" t="s">
        <v>678</v>
      </c>
      <c r="E394" s="56" t="s">
        <v>683</v>
      </c>
      <c r="F394" s="56" t="s">
        <v>193</v>
      </c>
      <c r="G394" s="57" t="s">
        <v>34</v>
      </c>
      <c r="H394" s="68">
        <f t="shared" si="3"/>
        <v>0</v>
      </c>
      <c r="I394" s="62" t="s">
        <v>146</v>
      </c>
      <c r="J394" s="62"/>
      <c r="K394" s="71"/>
      <c r="L394" s="57" t="s">
        <v>130</v>
      </c>
      <c r="M394" s="61"/>
      <c r="N394" s="79"/>
      <c r="O394" s="62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101"/>
      <c r="AC394" s="30">
        <v>1.0</v>
      </c>
      <c r="AD394" s="30">
        <f t="shared" si="4"/>
        <v>0</v>
      </c>
      <c r="AE394" s="70">
        <f t="shared" si="5"/>
        <v>0</v>
      </c>
      <c r="AF394" s="70">
        <v>1.0</v>
      </c>
    </row>
    <row r="395" ht="15.75" hidden="1" customHeight="1">
      <c r="A395" s="54" t="s">
        <v>658</v>
      </c>
      <c r="B395" s="56" t="s">
        <v>691</v>
      </c>
      <c r="C395" s="56" t="s">
        <v>624</v>
      </c>
      <c r="D395" s="56" t="s">
        <v>678</v>
      </c>
      <c r="E395" s="56" t="s">
        <v>684</v>
      </c>
      <c r="F395" s="56" t="s">
        <v>249</v>
      </c>
      <c r="G395" s="57" t="s">
        <v>250</v>
      </c>
      <c r="H395" s="68">
        <f t="shared" si="3"/>
        <v>0</v>
      </c>
      <c r="I395" s="62"/>
      <c r="J395" s="62"/>
      <c r="K395" s="71"/>
      <c r="L395" s="57" t="s">
        <v>115</v>
      </c>
      <c r="M395" s="61"/>
      <c r="N395" s="61" t="s">
        <v>686</v>
      </c>
      <c r="O395" s="62" t="s">
        <v>687</v>
      </c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30"/>
      <c r="AC395" s="30">
        <v>2.0</v>
      </c>
      <c r="AD395" s="30">
        <f t="shared" si="4"/>
        <v>0</v>
      </c>
      <c r="AE395" s="70">
        <f t="shared" si="5"/>
        <v>0</v>
      </c>
      <c r="AF395" s="70">
        <v>1.0</v>
      </c>
    </row>
    <row r="396" ht="15.75" hidden="1" customHeight="1">
      <c r="A396" s="54" t="s">
        <v>658</v>
      </c>
      <c r="B396" s="56" t="s">
        <v>691</v>
      </c>
      <c r="C396" s="56" t="s">
        <v>624</v>
      </c>
      <c r="D396" s="56" t="s">
        <v>678</v>
      </c>
      <c r="E396" s="56" t="s">
        <v>685</v>
      </c>
      <c r="F396" s="56" t="s">
        <v>249</v>
      </c>
      <c r="G396" s="57" t="s">
        <v>250</v>
      </c>
      <c r="H396" s="68">
        <f t="shared" si="3"/>
        <v>0</v>
      </c>
      <c r="I396" s="62"/>
      <c r="J396" s="62" t="s">
        <v>873</v>
      </c>
      <c r="K396" s="71"/>
      <c r="L396" s="57" t="s">
        <v>115</v>
      </c>
      <c r="M396" s="61"/>
      <c r="N396" s="61" t="s">
        <v>200</v>
      </c>
      <c r="O396" s="62" t="s">
        <v>689</v>
      </c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30"/>
      <c r="AC396" s="30">
        <v>2.0</v>
      </c>
      <c r="AD396" s="30">
        <f t="shared" si="4"/>
        <v>0</v>
      </c>
      <c r="AE396" s="70">
        <f t="shared" si="5"/>
        <v>0</v>
      </c>
      <c r="AF396" s="70">
        <v>1.0</v>
      </c>
    </row>
    <row r="397" ht="15.75" hidden="1" customHeight="1">
      <c r="A397" s="54" t="s">
        <v>658</v>
      </c>
      <c r="B397" s="56" t="s">
        <v>692</v>
      </c>
      <c r="C397" s="56" t="s">
        <v>627</v>
      </c>
      <c r="D397" s="56" t="s">
        <v>660</v>
      </c>
      <c r="E397" s="56" t="s">
        <v>661</v>
      </c>
      <c r="F397" s="56" t="s">
        <v>193</v>
      </c>
      <c r="G397" s="57" t="s">
        <v>34</v>
      </c>
      <c r="H397" s="68">
        <f t="shared" si="3"/>
        <v>0</v>
      </c>
      <c r="I397" s="62" t="s">
        <v>146</v>
      </c>
      <c r="J397" s="62"/>
      <c r="K397" s="71"/>
      <c r="L397" s="57" t="s">
        <v>130</v>
      </c>
      <c r="M397" s="61"/>
      <c r="N397" s="79"/>
      <c r="O397" s="62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30"/>
      <c r="AC397" s="30">
        <v>1.0</v>
      </c>
      <c r="AD397" s="30">
        <f t="shared" si="4"/>
        <v>0</v>
      </c>
      <c r="AE397" s="70">
        <f t="shared" si="5"/>
        <v>0</v>
      </c>
      <c r="AF397" s="70">
        <v>1.0</v>
      </c>
    </row>
    <row r="398" ht="15.75" hidden="1" customHeight="1">
      <c r="A398" s="54" t="s">
        <v>658</v>
      </c>
      <c r="B398" s="56" t="s">
        <v>692</v>
      </c>
      <c r="C398" s="56" t="s">
        <v>627</v>
      </c>
      <c r="D398" s="56" t="s">
        <v>660</v>
      </c>
      <c r="E398" s="56" t="s">
        <v>662</v>
      </c>
      <c r="F398" s="56" t="s">
        <v>193</v>
      </c>
      <c r="G398" s="57" t="s">
        <v>34</v>
      </c>
      <c r="H398" s="68">
        <f t="shared" si="3"/>
        <v>0</v>
      </c>
      <c r="I398" s="62"/>
      <c r="J398" s="62"/>
      <c r="K398" s="71"/>
      <c r="L398" s="57" t="s">
        <v>115</v>
      </c>
      <c r="M398" s="61"/>
      <c r="N398" s="79"/>
      <c r="O398" s="62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30"/>
      <c r="AC398" s="30">
        <v>1.0</v>
      </c>
      <c r="AD398" s="30">
        <f t="shared" si="4"/>
        <v>0</v>
      </c>
      <c r="AE398" s="70">
        <f t="shared" si="5"/>
        <v>0</v>
      </c>
      <c r="AF398" s="70">
        <v>1.0</v>
      </c>
    </row>
    <row r="399" ht="15.75" hidden="1" customHeight="1">
      <c r="A399" s="54" t="s">
        <v>658</v>
      </c>
      <c r="B399" s="56" t="s">
        <v>692</v>
      </c>
      <c r="C399" s="56" t="s">
        <v>627</v>
      </c>
      <c r="D399" s="56" t="s">
        <v>660</v>
      </c>
      <c r="E399" s="56" t="s">
        <v>663</v>
      </c>
      <c r="F399" s="56" t="s">
        <v>193</v>
      </c>
      <c r="G399" s="57" t="s">
        <v>34</v>
      </c>
      <c r="H399" s="68">
        <f t="shared" si="3"/>
        <v>0</v>
      </c>
      <c r="I399" s="62" t="s">
        <v>146</v>
      </c>
      <c r="J399" s="62"/>
      <c r="K399" s="71"/>
      <c r="L399" s="57" t="s">
        <v>130</v>
      </c>
      <c r="M399" s="61"/>
      <c r="N399" s="79"/>
      <c r="O399" s="62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101"/>
      <c r="AC399" s="30">
        <v>1.0</v>
      </c>
      <c r="AD399" s="30">
        <f t="shared" si="4"/>
        <v>0</v>
      </c>
      <c r="AE399" s="70">
        <f t="shared" si="5"/>
        <v>0</v>
      </c>
      <c r="AF399" s="70">
        <v>1.0</v>
      </c>
    </row>
    <row r="400" ht="15.75" hidden="1" customHeight="1">
      <c r="A400" s="54" t="s">
        <v>658</v>
      </c>
      <c r="B400" s="56" t="s">
        <v>692</v>
      </c>
      <c r="C400" s="56" t="s">
        <v>627</v>
      </c>
      <c r="D400" s="56" t="s">
        <v>660</v>
      </c>
      <c r="E400" s="56" t="s">
        <v>664</v>
      </c>
      <c r="F400" s="56" t="s">
        <v>193</v>
      </c>
      <c r="G400" s="57" t="s">
        <v>34</v>
      </c>
      <c r="H400" s="68">
        <f t="shared" si="3"/>
        <v>0</v>
      </c>
      <c r="I400" s="62"/>
      <c r="J400" s="62"/>
      <c r="K400" s="71"/>
      <c r="L400" s="57" t="s">
        <v>115</v>
      </c>
      <c r="M400" s="61"/>
      <c r="N400" s="79"/>
      <c r="O400" s="62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101"/>
      <c r="AC400" s="30">
        <v>1.0</v>
      </c>
      <c r="AD400" s="30">
        <f t="shared" si="4"/>
        <v>0</v>
      </c>
      <c r="AE400" s="70">
        <f t="shared" si="5"/>
        <v>0</v>
      </c>
      <c r="AF400" s="70">
        <v>1.0</v>
      </c>
    </row>
    <row r="401" ht="15.75" hidden="1" customHeight="1">
      <c r="A401" s="54" t="s">
        <v>658</v>
      </c>
      <c r="B401" s="56" t="s">
        <v>692</v>
      </c>
      <c r="C401" s="56" t="s">
        <v>627</v>
      </c>
      <c r="D401" s="56" t="s">
        <v>660</v>
      </c>
      <c r="E401" s="56" t="s">
        <v>665</v>
      </c>
      <c r="F401" s="56" t="s">
        <v>193</v>
      </c>
      <c r="G401" s="57" t="s">
        <v>34</v>
      </c>
      <c r="H401" s="68">
        <f t="shared" si="3"/>
        <v>0</v>
      </c>
      <c r="I401" s="62"/>
      <c r="J401" s="62"/>
      <c r="K401" s="71"/>
      <c r="L401" s="57" t="s">
        <v>130</v>
      </c>
      <c r="M401" s="61"/>
      <c r="N401" s="79"/>
      <c r="O401" s="62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101"/>
      <c r="AC401" s="30">
        <v>1.0</v>
      </c>
      <c r="AD401" s="30">
        <f t="shared" si="4"/>
        <v>0</v>
      </c>
      <c r="AE401" s="70">
        <f t="shared" si="5"/>
        <v>0</v>
      </c>
      <c r="AF401" s="70">
        <v>1.0</v>
      </c>
    </row>
    <row r="402" ht="15.75" hidden="1" customHeight="1">
      <c r="A402" s="54" t="s">
        <v>658</v>
      </c>
      <c r="B402" s="56" t="s">
        <v>692</v>
      </c>
      <c r="C402" s="56" t="s">
        <v>627</v>
      </c>
      <c r="D402" s="56" t="s">
        <v>660</v>
      </c>
      <c r="E402" s="56" t="s">
        <v>614</v>
      </c>
      <c r="F402" s="56" t="s">
        <v>193</v>
      </c>
      <c r="G402" s="57" t="s">
        <v>34</v>
      </c>
      <c r="H402" s="68">
        <f t="shared" si="3"/>
        <v>0</v>
      </c>
      <c r="I402" s="62" t="s">
        <v>146</v>
      </c>
      <c r="J402" s="62"/>
      <c r="K402" s="71"/>
      <c r="L402" s="57" t="s">
        <v>115</v>
      </c>
      <c r="M402" s="61"/>
      <c r="N402" s="79"/>
      <c r="O402" s="62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101"/>
      <c r="AC402" s="30">
        <v>1.0</v>
      </c>
      <c r="AD402" s="30">
        <f t="shared" si="4"/>
        <v>0</v>
      </c>
      <c r="AE402" s="70">
        <f t="shared" si="5"/>
        <v>0</v>
      </c>
      <c r="AF402" s="70">
        <v>1.0</v>
      </c>
    </row>
    <row r="403" ht="15.75" hidden="1" customHeight="1">
      <c r="A403" s="54" t="s">
        <v>658</v>
      </c>
      <c r="B403" s="56" t="s">
        <v>692</v>
      </c>
      <c r="C403" s="56" t="s">
        <v>627</v>
      </c>
      <c r="D403" s="56" t="s">
        <v>660</v>
      </c>
      <c r="E403" s="56" t="s">
        <v>666</v>
      </c>
      <c r="F403" s="56" t="s">
        <v>193</v>
      </c>
      <c r="G403" s="57" t="s">
        <v>34</v>
      </c>
      <c r="H403" s="68">
        <f t="shared" si="3"/>
        <v>0</v>
      </c>
      <c r="I403" s="62" t="s">
        <v>146</v>
      </c>
      <c r="J403" s="62"/>
      <c r="K403" s="71"/>
      <c r="L403" s="57" t="s">
        <v>115</v>
      </c>
      <c r="M403" s="61"/>
      <c r="N403" s="79"/>
      <c r="O403" s="62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101"/>
      <c r="AC403" s="30">
        <v>1.0</v>
      </c>
      <c r="AD403" s="30">
        <f t="shared" si="4"/>
        <v>0</v>
      </c>
      <c r="AE403" s="70">
        <f t="shared" si="5"/>
        <v>0</v>
      </c>
      <c r="AF403" s="70">
        <v>1.0</v>
      </c>
    </row>
    <row r="404" ht="15.75" hidden="1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667</v>
      </c>
      <c r="F404" s="56" t="s">
        <v>193</v>
      </c>
      <c r="G404" s="57" t="s">
        <v>34</v>
      </c>
      <c r="H404" s="68">
        <f t="shared" si="3"/>
        <v>0</v>
      </c>
      <c r="I404" s="62" t="s">
        <v>146</v>
      </c>
      <c r="J404" s="62"/>
      <c r="K404" s="71"/>
      <c r="L404" s="57" t="s">
        <v>130</v>
      </c>
      <c r="M404" s="61"/>
      <c r="N404" s="79"/>
      <c r="O404" s="62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101"/>
      <c r="AC404" s="30">
        <v>1.0</v>
      </c>
      <c r="AD404" s="30">
        <f t="shared" si="4"/>
        <v>0</v>
      </c>
      <c r="AE404" s="70">
        <f t="shared" si="5"/>
        <v>0</v>
      </c>
      <c r="AF404" s="70">
        <v>1.0</v>
      </c>
    </row>
    <row r="405" ht="15.75" hidden="1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668</v>
      </c>
      <c r="F405" s="56" t="s">
        <v>327</v>
      </c>
      <c r="G405" s="57" t="s">
        <v>154</v>
      </c>
      <c r="H405" s="68">
        <f t="shared" si="3"/>
        <v>0</v>
      </c>
      <c r="I405" s="62"/>
      <c r="J405" s="62" t="s">
        <v>617</v>
      </c>
      <c r="K405" s="71"/>
      <c r="L405" s="57" t="s">
        <v>115</v>
      </c>
      <c r="M405" s="61"/>
      <c r="N405" s="79"/>
      <c r="O405" s="62" t="s">
        <v>617</v>
      </c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101"/>
      <c r="AC405" s="30">
        <v>2.0</v>
      </c>
      <c r="AD405" s="30">
        <f t="shared" si="4"/>
        <v>0</v>
      </c>
      <c r="AE405" s="70">
        <f t="shared" si="5"/>
        <v>0</v>
      </c>
      <c r="AF405" s="70">
        <v>1.0</v>
      </c>
    </row>
    <row r="406" ht="15.75" hidden="1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669</v>
      </c>
      <c r="F406" s="56" t="s">
        <v>327</v>
      </c>
      <c r="G406" s="57" t="s">
        <v>154</v>
      </c>
      <c r="H406" s="68">
        <f t="shared" si="3"/>
        <v>0</v>
      </c>
      <c r="I406" s="62"/>
      <c r="J406" s="62" t="s">
        <v>617</v>
      </c>
      <c r="K406" s="71"/>
      <c r="L406" s="57" t="s">
        <v>115</v>
      </c>
      <c r="M406" s="61"/>
      <c r="N406" s="79"/>
      <c r="O406" s="62" t="s">
        <v>617</v>
      </c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101"/>
      <c r="AC406" s="30">
        <v>2.0</v>
      </c>
      <c r="AD406" s="30">
        <f t="shared" si="4"/>
        <v>0</v>
      </c>
      <c r="AE406" s="70">
        <f t="shared" si="5"/>
        <v>0</v>
      </c>
      <c r="AF406" s="70">
        <v>1.0</v>
      </c>
    </row>
    <row r="407" ht="15.75" hidden="1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671</v>
      </c>
      <c r="F407" s="56" t="s">
        <v>327</v>
      </c>
      <c r="G407" s="57" t="s">
        <v>154</v>
      </c>
      <c r="H407" s="68">
        <f t="shared" si="3"/>
        <v>0</v>
      </c>
      <c r="I407" s="62" t="s">
        <v>146</v>
      </c>
      <c r="J407" s="62" t="s">
        <v>617</v>
      </c>
      <c r="K407" s="71"/>
      <c r="L407" s="57" t="s">
        <v>115</v>
      </c>
      <c r="M407" s="61"/>
      <c r="N407" s="79"/>
      <c r="O407" s="62" t="s">
        <v>617</v>
      </c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30"/>
      <c r="AC407" s="30">
        <v>2.0</v>
      </c>
      <c r="AD407" s="30">
        <f t="shared" si="4"/>
        <v>0</v>
      </c>
      <c r="AE407" s="70">
        <f t="shared" si="5"/>
        <v>0</v>
      </c>
      <c r="AF407" s="70">
        <v>1.0</v>
      </c>
    </row>
    <row r="408" ht="15.75" hidden="1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672</v>
      </c>
      <c r="F408" s="56" t="s">
        <v>327</v>
      </c>
      <c r="G408" s="57" t="s">
        <v>154</v>
      </c>
      <c r="H408" s="68">
        <f t="shared" si="3"/>
        <v>0</v>
      </c>
      <c r="I408" s="62" t="s">
        <v>146</v>
      </c>
      <c r="J408" s="62" t="s">
        <v>617</v>
      </c>
      <c r="K408" s="71"/>
      <c r="L408" s="57" t="s">
        <v>115</v>
      </c>
      <c r="M408" s="61"/>
      <c r="N408" s="79"/>
      <c r="O408" s="62" t="s">
        <v>617</v>
      </c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101"/>
      <c r="AC408" s="30">
        <v>2.0</v>
      </c>
      <c r="AD408" s="30">
        <f t="shared" si="4"/>
        <v>0</v>
      </c>
      <c r="AE408" s="70">
        <f t="shared" si="5"/>
        <v>0</v>
      </c>
      <c r="AF408" s="70">
        <v>1.0</v>
      </c>
    </row>
    <row r="409" ht="15.75" hidden="1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673</v>
      </c>
      <c r="F409" s="56" t="s">
        <v>327</v>
      </c>
      <c r="G409" s="57" t="s">
        <v>154</v>
      </c>
      <c r="H409" s="68">
        <f t="shared" si="3"/>
        <v>0</v>
      </c>
      <c r="I409" s="62" t="s">
        <v>146</v>
      </c>
      <c r="J409" s="62" t="s">
        <v>617</v>
      </c>
      <c r="K409" s="71"/>
      <c r="L409" s="57" t="s">
        <v>115</v>
      </c>
      <c r="M409" s="61"/>
      <c r="N409" s="79"/>
      <c r="O409" s="62" t="s">
        <v>617</v>
      </c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30"/>
      <c r="AC409" s="30">
        <v>2.0</v>
      </c>
      <c r="AD409" s="30">
        <f t="shared" si="4"/>
        <v>0</v>
      </c>
      <c r="AE409" s="70">
        <f t="shared" si="5"/>
        <v>0</v>
      </c>
      <c r="AF409" s="70">
        <v>1.0</v>
      </c>
    </row>
    <row r="410" ht="15.75" hidden="1" customHeight="1">
      <c r="A410" s="54" t="s">
        <v>658</v>
      </c>
      <c r="B410" s="56" t="s">
        <v>693</v>
      </c>
      <c r="C410" s="56" t="s">
        <v>627</v>
      </c>
      <c r="D410" s="56" t="s">
        <v>675</v>
      </c>
      <c r="E410" s="56" t="s">
        <v>676</v>
      </c>
      <c r="F410" s="56" t="s">
        <v>193</v>
      </c>
      <c r="G410" s="57" t="s">
        <v>34</v>
      </c>
      <c r="H410" s="68">
        <f t="shared" si="3"/>
        <v>0</v>
      </c>
      <c r="I410" s="62" t="s">
        <v>146</v>
      </c>
      <c r="J410" s="62"/>
      <c r="K410" s="71"/>
      <c r="L410" s="57" t="s">
        <v>115</v>
      </c>
      <c r="M410" s="61"/>
      <c r="N410" s="79"/>
      <c r="O410" s="62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30"/>
      <c r="AC410" s="30">
        <v>1.0</v>
      </c>
      <c r="AD410" s="30">
        <f t="shared" si="4"/>
        <v>0</v>
      </c>
      <c r="AE410" s="70">
        <f t="shared" si="5"/>
        <v>0</v>
      </c>
      <c r="AF410" s="70">
        <v>1.0</v>
      </c>
    </row>
    <row r="411" ht="15.75" hidden="1" customHeight="1">
      <c r="A411" s="54" t="s">
        <v>658</v>
      </c>
      <c r="B411" s="56" t="s">
        <v>694</v>
      </c>
      <c r="C411" s="56" t="s">
        <v>627</v>
      </c>
      <c r="D411" s="56" t="s">
        <v>678</v>
      </c>
      <c r="E411" s="56" t="s">
        <v>679</v>
      </c>
      <c r="F411" s="56" t="s">
        <v>168</v>
      </c>
      <c r="G411" s="57" t="s">
        <v>34</v>
      </c>
      <c r="H411" s="68">
        <f t="shared" si="3"/>
        <v>0</v>
      </c>
      <c r="I411" s="62"/>
      <c r="J411" s="62"/>
      <c r="K411" s="71"/>
      <c r="L411" s="57" t="s">
        <v>115</v>
      </c>
      <c r="M411" s="61"/>
      <c r="N411" s="61" t="s">
        <v>197</v>
      </c>
      <c r="O411" s="62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30"/>
      <c r="AC411" s="30">
        <v>1.0</v>
      </c>
      <c r="AD411" s="30">
        <f t="shared" si="4"/>
        <v>0</v>
      </c>
      <c r="AE411" s="70">
        <f t="shared" si="5"/>
        <v>0</v>
      </c>
      <c r="AF411" s="70">
        <v>1.0</v>
      </c>
    </row>
    <row r="412" ht="15.75" hidden="1" customHeight="1">
      <c r="A412" s="54" t="s">
        <v>658</v>
      </c>
      <c r="B412" s="56" t="s">
        <v>694</v>
      </c>
      <c r="C412" s="56" t="s">
        <v>627</v>
      </c>
      <c r="D412" s="56" t="s">
        <v>678</v>
      </c>
      <c r="E412" s="56" t="s">
        <v>680</v>
      </c>
      <c r="F412" s="56" t="s">
        <v>193</v>
      </c>
      <c r="G412" s="57" t="s">
        <v>34</v>
      </c>
      <c r="H412" s="68">
        <f t="shared" si="3"/>
        <v>0</v>
      </c>
      <c r="I412" s="62" t="s">
        <v>146</v>
      </c>
      <c r="J412" s="62"/>
      <c r="K412" s="71"/>
      <c r="L412" s="57" t="s">
        <v>115</v>
      </c>
      <c r="M412" s="61"/>
      <c r="N412" s="79"/>
      <c r="O412" s="62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30"/>
      <c r="AC412" s="30">
        <v>1.0</v>
      </c>
      <c r="AD412" s="30">
        <f t="shared" si="4"/>
        <v>0</v>
      </c>
      <c r="AE412" s="70">
        <f t="shared" si="5"/>
        <v>0</v>
      </c>
      <c r="AF412" s="70">
        <v>1.0</v>
      </c>
    </row>
    <row r="413" ht="15.75" hidden="1" customHeight="1">
      <c r="A413" s="54" t="s">
        <v>658</v>
      </c>
      <c r="B413" s="56" t="s">
        <v>694</v>
      </c>
      <c r="C413" s="56" t="s">
        <v>627</v>
      </c>
      <c r="D413" s="56" t="s">
        <v>678</v>
      </c>
      <c r="E413" s="56" t="s">
        <v>683</v>
      </c>
      <c r="F413" s="56" t="s">
        <v>193</v>
      </c>
      <c r="G413" s="57" t="s">
        <v>34</v>
      </c>
      <c r="H413" s="68">
        <f t="shared" si="3"/>
        <v>0</v>
      </c>
      <c r="I413" s="62" t="s">
        <v>146</v>
      </c>
      <c r="J413" s="62"/>
      <c r="K413" s="71"/>
      <c r="L413" s="57" t="s">
        <v>130</v>
      </c>
      <c r="M413" s="61"/>
      <c r="N413" s="79"/>
      <c r="O413" s="62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30">
        <v>1.0</v>
      </c>
      <c r="AD413" s="30">
        <f t="shared" si="4"/>
        <v>0</v>
      </c>
      <c r="AE413" s="70">
        <f t="shared" si="5"/>
        <v>0</v>
      </c>
      <c r="AF413" s="70">
        <v>1.0</v>
      </c>
    </row>
    <row r="414" ht="15.75" hidden="1" customHeight="1">
      <c r="A414" s="54" t="s">
        <v>658</v>
      </c>
      <c r="B414" s="56" t="s">
        <v>694</v>
      </c>
      <c r="C414" s="56" t="s">
        <v>627</v>
      </c>
      <c r="D414" s="56" t="s">
        <v>678</v>
      </c>
      <c r="E414" s="56" t="s">
        <v>684</v>
      </c>
      <c r="F414" s="56" t="s">
        <v>249</v>
      </c>
      <c r="G414" s="57" t="s">
        <v>250</v>
      </c>
      <c r="H414" s="68">
        <f t="shared" si="3"/>
        <v>0</v>
      </c>
      <c r="I414" s="62"/>
      <c r="J414" s="62"/>
      <c r="K414" s="71"/>
      <c r="L414" s="57" t="s">
        <v>115</v>
      </c>
      <c r="M414" s="61"/>
      <c r="N414" s="61" t="s">
        <v>686</v>
      </c>
      <c r="O414" s="62" t="s">
        <v>687</v>
      </c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30"/>
      <c r="AC414" s="30">
        <v>2.0</v>
      </c>
      <c r="AD414" s="30">
        <f t="shared" si="4"/>
        <v>0</v>
      </c>
      <c r="AE414" s="70">
        <f t="shared" si="5"/>
        <v>0</v>
      </c>
      <c r="AF414" s="70">
        <v>1.0</v>
      </c>
    </row>
    <row r="415" ht="15.75" hidden="1" customHeight="1">
      <c r="A415" s="54" t="s">
        <v>658</v>
      </c>
      <c r="B415" s="56" t="s">
        <v>694</v>
      </c>
      <c r="C415" s="56" t="s">
        <v>627</v>
      </c>
      <c r="D415" s="56" t="s">
        <v>678</v>
      </c>
      <c r="E415" s="56" t="s">
        <v>695</v>
      </c>
      <c r="F415" s="80" t="s">
        <v>249</v>
      </c>
      <c r="G415" s="57" t="s">
        <v>250</v>
      </c>
      <c r="H415" s="68" t="str">
        <f t="shared" si="3"/>
        <v> </v>
      </c>
      <c r="I415" s="62"/>
      <c r="J415" s="62"/>
      <c r="K415" s="71"/>
      <c r="L415" s="57" t="s">
        <v>115</v>
      </c>
      <c r="M415" s="61"/>
      <c r="N415" s="61" t="s">
        <v>346</v>
      </c>
      <c r="O415" s="62" t="s">
        <v>696</v>
      </c>
      <c r="P415" s="53"/>
      <c r="Q415" s="53"/>
      <c r="R415" s="53"/>
      <c r="S415" s="53"/>
      <c r="T415" s="53"/>
      <c r="U415" s="53"/>
      <c r="V415" s="87"/>
      <c r="W415" s="53"/>
      <c r="X415" s="53"/>
      <c r="Y415" s="53"/>
      <c r="Z415" s="53"/>
      <c r="AA415" s="87"/>
      <c r="AB415" s="30"/>
      <c r="AC415" s="107">
        <v>0.0</v>
      </c>
      <c r="AD415" s="30">
        <f t="shared" si="4"/>
        <v>0</v>
      </c>
      <c r="AE415" s="70">
        <f t="shared" si="5"/>
        <v>0</v>
      </c>
      <c r="AF415" s="70">
        <v>1.0</v>
      </c>
    </row>
    <row r="416" ht="15.75" hidden="1" customHeight="1">
      <c r="A416" s="54" t="s">
        <v>658</v>
      </c>
      <c r="B416" s="56" t="s">
        <v>694</v>
      </c>
      <c r="C416" s="56" t="s">
        <v>627</v>
      </c>
      <c r="D416" s="56" t="s">
        <v>678</v>
      </c>
      <c r="E416" s="56" t="s">
        <v>685</v>
      </c>
      <c r="F416" s="56" t="s">
        <v>249</v>
      </c>
      <c r="G416" s="57" t="s">
        <v>250</v>
      </c>
      <c r="H416" s="68">
        <f t="shared" si="3"/>
        <v>0</v>
      </c>
      <c r="I416" s="62"/>
      <c r="J416" s="62" t="s">
        <v>873</v>
      </c>
      <c r="K416" s="71"/>
      <c r="L416" s="57" t="s">
        <v>115</v>
      </c>
      <c r="M416" s="61"/>
      <c r="N416" s="61" t="s">
        <v>200</v>
      </c>
      <c r="O416" s="62" t="s">
        <v>689</v>
      </c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30">
        <v>2.0</v>
      </c>
      <c r="AD416" s="30">
        <f t="shared" si="4"/>
        <v>0</v>
      </c>
      <c r="AE416" s="70">
        <f t="shared" si="5"/>
        <v>0</v>
      </c>
      <c r="AF416" s="70">
        <v>1.0</v>
      </c>
    </row>
    <row r="417" ht="15.75" hidden="1" customHeight="1">
      <c r="A417" s="54" t="s">
        <v>658</v>
      </c>
      <c r="B417" s="56" t="s">
        <v>697</v>
      </c>
      <c r="C417" s="56" t="s">
        <v>640</v>
      </c>
      <c r="D417" s="56" t="s">
        <v>660</v>
      </c>
      <c r="E417" s="56" t="s">
        <v>661</v>
      </c>
      <c r="F417" s="56" t="s">
        <v>193</v>
      </c>
      <c r="G417" s="57" t="s">
        <v>34</v>
      </c>
      <c r="H417" s="68">
        <f t="shared" si="3"/>
        <v>0</v>
      </c>
      <c r="I417" s="62" t="s">
        <v>146</v>
      </c>
      <c r="J417" s="62"/>
      <c r="K417" s="71"/>
      <c r="L417" s="57" t="s">
        <v>130</v>
      </c>
      <c r="M417" s="61"/>
      <c r="N417" s="79"/>
      <c r="O417" s="62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30"/>
      <c r="AC417" s="30">
        <v>1.0</v>
      </c>
      <c r="AD417" s="30">
        <f t="shared" si="4"/>
        <v>0</v>
      </c>
      <c r="AE417" s="70">
        <f t="shared" si="5"/>
        <v>0</v>
      </c>
      <c r="AF417" s="70">
        <v>1.0</v>
      </c>
    </row>
    <row r="418" ht="15.75" hidden="1" customHeight="1">
      <c r="A418" s="54" t="s">
        <v>658</v>
      </c>
      <c r="B418" s="56" t="s">
        <v>697</v>
      </c>
      <c r="C418" s="56" t="s">
        <v>640</v>
      </c>
      <c r="D418" s="56" t="s">
        <v>660</v>
      </c>
      <c r="E418" s="56" t="s">
        <v>662</v>
      </c>
      <c r="F418" s="56" t="s">
        <v>193</v>
      </c>
      <c r="G418" s="57" t="s">
        <v>34</v>
      </c>
      <c r="H418" s="68">
        <f t="shared" si="3"/>
        <v>0</v>
      </c>
      <c r="I418" s="62"/>
      <c r="J418" s="62"/>
      <c r="K418" s="71"/>
      <c r="L418" s="57" t="s">
        <v>115</v>
      </c>
      <c r="M418" s="61"/>
      <c r="N418" s="79"/>
      <c r="O418" s="62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30"/>
      <c r="AC418" s="30">
        <v>1.0</v>
      </c>
      <c r="AD418" s="30">
        <f t="shared" si="4"/>
        <v>0</v>
      </c>
      <c r="AE418" s="70">
        <f t="shared" si="5"/>
        <v>0</v>
      </c>
      <c r="AF418" s="70">
        <v>1.0</v>
      </c>
    </row>
    <row r="419" ht="15.75" hidden="1" customHeight="1">
      <c r="A419" s="54" t="s">
        <v>658</v>
      </c>
      <c r="B419" s="56" t="s">
        <v>697</v>
      </c>
      <c r="C419" s="56" t="s">
        <v>640</v>
      </c>
      <c r="D419" s="56" t="s">
        <v>660</v>
      </c>
      <c r="E419" s="56" t="s">
        <v>663</v>
      </c>
      <c r="F419" s="56" t="s">
        <v>193</v>
      </c>
      <c r="G419" s="57" t="s">
        <v>34</v>
      </c>
      <c r="H419" s="68">
        <f t="shared" si="3"/>
        <v>0</v>
      </c>
      <c r="I419" s="62" t="s">
        <v>146</v>
      </c>
      <c r="J419" s="62"/>
      <c r="K419" s="71"/>
      <c r="L419" s="57" t="s">
        <v>130</v>
      </c>
      <c r="M419" s="61"/>
      <c r="N419" s="79"/>
      <c r="O419" s="62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30"/>
      <c r="AC419" s="30">
        <v>1.0</v>
      </c>
      <c r="AD419" s="30">
        <f t="shared" si="4"/>
        <v>0</v>
      </c>
      <c r="AE419" s="70">
        <f t="shared" si="5"/>
        <v>0</v>
      </c>
      <c r="AF419" s="70">
        <v>1.0</v>
      </c>
    </row>
    <row r="420" ht="15.75" hidden="1" customHeight="1">
      <c r="A420" s="54" t="s">
        <v>658</v>
      </c>
      <c r="B420" s="56" t="s">
        <v>697</v>
      </c>
      <c r="C420" s="56" t="s">
        <v>640</v>
      </c>
      <c r="D420" s="56" t="s">
        <v>660</v>
      </c>
      <c r="E420" s="56" t="s">
        <v>664</v>
      </c>
      <c r="F420" s="56" t="s">
        <v>193</v>
      </c>
      <c r="G420" s="57" t="s">
        <v>34</v>
      </c>
      <c r="H420" s="68">
        <f t="shared" si="3"/>
        <v>0</v>
      </c>
      <c r="I420" s="62"/>
      <c r="J420" s="62"/>
      <c r="K420" s="71"/>
      <c r="L420" s="57" t="s">
        <v>115</v>
      </c>
      <c r="M420" s="61"/>
      <c r="N420" s="79"/>
      <c r="O420" s="62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30"/>
      <c r="AC420" s="30">
        <v>1.0</v>
      </c>
      <c r="AD420" s="30">
        <f t="shared" si="4"/>
        <v>0</v>
      </c>
      <c r="AE420" s="70">
        <f t="shared" si="5"/>
        <v>0</v>
      </c>
      <c r="AF420" s="70">
        <v>1.0</v>
      </c>
    </row>
    <row r="421" ht="15.75" hidden="1" customHeight="1">
      <c r="A421" s="54" t="s">
        <v>658</v>
      </c>
      <c r="B421" s="56" t="s">
        <v>697</v>
      </c>
      <c r="C421" s="56" t="s">
        <v>640</v>
      </c>
      <c r="D421" s="56" t="s">
        <v>660</v>
      </c>
      <c r="E421" s="56" t="s">
        <v>665</v>
      </c>
      <c r="F421" s="56" t="s">
        <v>193</v>
      </c>
      <c r="G421" s="57" t="s">
        <v>34</v>
      </c>
      <c r="H421" s="68">
        <f t="shared" si="3"/>
        <v>0</v>
      </c>
      <c r="I421" s="62"/>
      <c r="J421" s="62"/>
      <c r="K421" s="71"/>
      <c r="L421" s="57" t="s">
        <v>130</v>
      </c>
      <c r="M421" s="61"/>
      <c r="N421" s="79"/>
      <c r="O421" s="62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30"/>
      <c r="AC421" s="30">
        <v>1.0</v>
      </c>
      <c r="AD421" s="30">
        <f t="shared" si="4"/>
        <v>0</v>
      </c>
      <c r="AE421" s="70">
        <f t="shared" si="5"/>
        <v>0</v>
      </c>
      <c r="AF421" s="70">
        <v>1.0</v>
      </c>
    </row>
    <row r="422" ht="15.75" hidden="1" customHeight="1">
      <c r="A422" s="54" t="s">
        <v>658</v>
      </c>
      <c r="B422" s="56" t="s">
        <v>697</v>
      </c>
      <c r="C422" s="56" t="s">
        <v>640</v>
      </c>
      <c r="D422" s="56" t="s">
        <v>660</v>
      </c>
      <c r="E422" s="56" t="s">
        <v>614</v>
      </c>
      <c r="F422" s="56" t="s">
        <v>193</v>
      </c>
      <c r="G422" s="57" t="s">
        <v>34</v>
      </c>
      <c r="H422" s="68">
        <f t="shared" si="3"/>
        <v>0</v>
      </c>
      <c r="I422" s="62" t="s">
        <v>146</v>
      </c>
      <c r="J422" s="62"/>
      <c r="K422" s="71"/>
      <c r="L422" s="57" t="s">
        <v>115</v>
      </c>
      <c r="M422" s="61"/>
      <c r="N422" s="79"/>
      <c r="O422" s="62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30"/>
      <c r="AC422" s="30">
        <v>1.0</v>
      </c>
      <c r="AD422" s="30">
        <f t="shared" si="4"/>
        <v>0</v>
      </c>
      <c r="AE422" s="70">
        <f t="shared" si="5"/>
        <v>0</v>
      </c>
      <c r="AF422" s="70">
        <v>1.0</v>
      </c>
    </row>
    <row r="423" ht="15.75" hidden="1" customHeight="1">
      <c r="A423" s="54" t="s">
        <v>658</v>
      </c>
      <c r="B423" s="56" t="s">
        <v>697</v>
      </c>
      <c r="C423" s="56" t="s">
        <v>640</v>
      </c>
      <c r="D423" s="56" t="s">
        <v>660</v>
      </c>
      <c r="E423" s="56" t="s">
        <v>666</v>
      </c>
      <c r="F423" s="56" t="s">
        <v>193</v>
      </c>
      <c r="G423" s="57" t="s">
        <v>34</v>
      </c>
      <c r="H423" s="68">
        <f t="shared" si="3"/>
        <v>0</v>
      </c>
      <c r="I423" s="62" t="s">
        <v>146</v>
      </c>
      <c r="J423" s="62"/>
      <c r="K423" s="71"/>
      <c r="L423" s="57" t="s">
        <v>115</v>
      </c>
      <c r="M423" s="61"/>
      <c r="N423" s="79"/>
      <c r="O423" s="62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30"/>
      <c r="AC423" s="30">
        <v>1.0</v>
      </c>
      <c r="AD423" s="30">
        <f t="shared" si="4"/>
        <v>0</v>
      </c>
      <c r="AE423" s="70">
        <f t="shared" si="5"/>
        <v>0</v>
      </c>
      <c r="AF423" s="70">
        <v>1.0</v>
      </c>
    </row>
    <row r="424" ht="15.75" hidden="1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667</v>
      </c>
      <c r="F424" s="56" t="s">
        <v>193</v>
      </c>
      <c r="G424" s="57" t="s">
        <v>34</v>
      </c>
      <c r="H424" s="68">
        <f t="shared" si="3"/>
        <v>0</v>
      </c>
      <c r="I424" s="62" t="s">
        <v>146</v>
      </c>
      <c r="J424" s="62"/>
      <c r="K424" s="71"/>
      <c r="L424" s="57" t="s">
        <v>130</v>
      </c>
      <c r="M424" s="61"/>
      <c r="N424" s="79"/>
      <c r="O424" s="62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30"/>
      <c r="AC424" s="30">
        <v>1.0</v>
      </c>
      <c r="AD424" s="30">
        <f t="shared" si="4"/>
        <v>0</v>
      </c>
      <c r="AE424" s="70">
        <f t="shared" si="5"/>
        <v>0</v>
      </c>
      <c r="AF424" s="70">
        <v>1.0</v>
      </c>
    </row>
    <row r="425" ht="15.75" hidden="1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668</v>
      </c>
      <c r="F425" s="56" t="s">
        <v>327</v>
      </c>
      <c r="G425" s="57" t="s">
        <v>154</v>
      </c>
      <c r="H425" s="68">
        <f t="shared" si="3"/>
        <v>0</v>
      </c>
      <c r="I425" s="62"/>
      <c r="J425" s="62" t="s">
        <v>617</v>
      </c>
      <c r="K425" s="71"/>
      <c r="L425" s="57" t="s">
        <v>115</v>
      </c>
      <c r="M425" s="61"/>
      <c r="N425" s="79"/>
      <c r="O425" s="62" t="s">
        <v>617</v>
      </c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30"/>
      <c r="AC425" s="30">
        <v>2.0</v>
      </c>
      <c r="AD425" s="30">
        <f t="shared" si="4"/>
        <v>0</v>
      </c>
      <c r="AE425" s="70">
        <f t="shared" si="5"/>
        <v>0</v>
      </c>
      <c r="AF425" s="70">
        <v>1.0</v>
      </c>
    </row>
    <row r="426" ht="15.75" hidden="1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669</v>
      </c>
      <c r="F426" s="56" t="s">
        <v>327</v>
      </c>
      <c r="G426" s="57" t="s">
        <v>154</v>
      </c>
      <c r="H426" s="68">
        <f t="shared" si="3"/>
        <v>0</v>
      </c>
      <c r="I426" s="62"/>
      <c r="J426" s="62" t="s">
        <v>617</v>
      </c>
      <c r="K426" s="71"/>
      <c r="L426" s="57" t="s">
        <v>115</v>
      </c>
      <c r="M426" s="61"/>
      <c r="N426" s="79"/>
      <c r="O426" s="62" t="s">
        <v>617</v>
      </c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30"/>
      <c r="AC426" s="30">
        <v>2.0</v>
      </c>
      <c r="AD426" s="30">
        <f t="shared" si="4"/>
        <v>0</v>
      </c>
      <c r="AE426" s="70">
        <f t="shared" si="5"/>
        <v>0</v>
      </c>
      <c r="AF426" s="70">
        <v>1.0</v>
      </c>
    </row>
    <row r="427" ht="15.75" hidden="1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671</v>
      </c>
      <c r="F427" s="56" t="s">
        <v>327</v>
      </c>
      <c r="G427" s="57" t="s">
        <v>154</v>
      </c>
      <c r="H427" s="68">
        <f t="shared" si="3"/>
        <v>0</v>
      </c>
      <c r="I427" s="62" t="s">
        <v>146</v>
      </c>
      <c r="J427" s="62" t="s">
        <v>617</v>
      </c>
      <c r="K427" s="71"/>
      <c r="L427" s="57" t="s">
        <v>115</v>
      </c>
      <c r="M427" s="61"/>
      <c r="N427" s="79"/>
      <c r="O427" s="62" t="s">
        <v>617</v>
      </c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30"/>
      <c r="AC427" s="30">
        <v>2.0</v>
      </c>
      <c r="AD427" s="30">
        <f t="shared" si="4"/>
        <v>0</v>
      </c>
      <c r="AE427" s="70">
        <f t="shared" si="5"/>
        <v>0</v>
      </c>
      <c r="AF427" s="70">
        <v>1.0</v>
      </c>
    </row>
    <row r="428" ht="15.75" hidden="1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672</v>
      </c>
      <c r="F428" s="56" t="s">
        <v>327</v>
      </c>
      <c r="G428" s="57" t="s">
        <v>154</v>
      </c>
      <c r="H428" s="68">
        <f t="shared" si="3"/>
        <v>0</v>
      </c>
      <c r="I428" s="62" t="s">
        <v>146</v>
      </c>
      <c r="J428" s="62" t="s">
        <v>617</v>
      </c>
      <c r="K428" s="71"/>
      <c r="L428" s="57" t="s">
        <v>115</v>
      </c>
      <c r="M428" s="61"/>
      <c r="N428" s="79"/>
      <c r="O428" s="62" t="s">
        <v>617</v>
      </c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30"/>
      <c r="AC428" s="30">
        <v>2.0</v>
      </c>
      <c r="AD428" s="30">
        <f t="shared" si="4"/>
        <v>0</v>
      </c>
      <c r="AE428" s="70">
        <f t="shared" si="5"/>
        <v>0</v>
      </c>
      <c r="AF428" s="70">
        <v>1.0</v>
      </c>
    </row>
    <row r="429" ht="15.75" hidden="1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673</v>
      </c>
      <c r="F429" s="56" t="s">
        <v>327</v>
      </c>
      <c r="G429" s="57" t="s">
        <v>154</v>
      </c>
      <c r="H429" s="68">
        <f t="shared" si="3"/>
        <v>0</v>
      </c>
      <c r="I429" s="62" t="s">
        <v>146</v>
      </c>
      <c r="J429" s="62" t="s">
        <v>617</v>
      </c>
      <c r="K429" s="71"/>
      <c r="L429" s="57" t="s">
        <v>115</v>
      </c>
      <c r="M429" s="61"/>
      <c r="N429" s="79"/>
      <c r="O429" s="62" t="s">
        <v>617</v>
      </c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30"/>
      <c r="AC429" s="30">
        <v>2.0</v>
      </c>
      <c r="AD429" s="30">
        <f t="shared" si="4"/>
        <v>0</v>
      </c>
      <c r="AE429" s="70">
        <f t="shared" si="5"/>
        <v>0</v>
      </c>
      <c r="AF429" s="70">
        <v>1.0</v>
      </c>
    </row>
    <row r="430" ht="15.75" hidden="1" customHeight="1">
      <c r="A430" s="54" t="s">
        <v>658</v>
      </c>
      <c r="B430" s="56" t="s">
        <v>698</v>
      </c>
      <c r="C430" s="56" t="s">
        <v>640</v>
      </c>
      <c r="D430" s="56" t="s">
        <v>675</v>
      </c>
      <c r="E430" s="56" t="s">
        <v>676</v>
      </c>
      <c r="F430" s="56" t="s">
        <v>193</v>
      </c>
      <c r="G430" s="57" t="s">
        <v>34</v>
      </c>
      <c r="H430" s="68">
        <f t="shared" si="3"/>
        <v>0</v>
      </c>
      <c r="I430" s="62" t="s">
        <v>146</v>
      </c>
      <c r="J430" s="62"/>
      <c r="K430" s="71"/>
      <c r="L430" s="57" t="s">
        <v>115</v>
      </c>
      <c r="M430" s="61"/>
      <c r="N430" s="79"/>
      <c r="O430" s="62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30"/>
      <c r="AC430" s="30">
        <v>1.0</v>
      </c>
      <c r="AD430" s="30">
        <f t="shared" si="4"/>
        <v>0</v>
      </c>
      <c r="AE430" s="70">
        <f t="shared" si="5"/>
        <v>0</v>
      </c>
      <c r="AF430" s="70">
        <v>1.0</v>
      </c>
    </row>
    <row r="431" ht="15.75" hidden="1" customHeight="1">
      <c r="A431" s="54" t="s">
        <v>658</v>
      </c>
      <c r="B431" s="56" t="s">
        <v>699</v>
      </c>
      <c r="C431" s="56" t="s">
        <v>640</v>
      </c>
      <c r="D431" s="56" t="s">
        <v>678</v>
      </c>
      <c r="E431" s="56" t="s">
        <v>679</v>
      </c>
      <c r="F431" s="56" t="s">
        <v>168</v>
      </c>
      <c r="G431" s="57" t="s">
        <v>34</v>
      </c>
      <c r="H431" s="68">
        <f t="shared" si="3"/>
        <v>0</v>
      </c>
      <c r="I431" s="62" t="s">
        <v>146</v>
      </c>
      <c r="J431" s="62"/>
      <c r="K431" s="71"/>
      <c r="L431" s="57" t="s">
        <v>115</v>
      </c>
      <c r="M431" s="61"/>
      <c r="N431" s="61" t="s">
        <v>197</v>
      </c>
      <c r="O431" s="62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30"/>
      <c r="AC431" s="30">
        <v>1.0</v>
      </c>
      <c r="AD431" s="30">
        <f t="shared" si="4"/>
        <v>0</v>
      </c>
      <c r="AE431" s="70">
        <f t="shared" si="5"/>
        <v>0</v>
      </c>
      <c r="AF431" s="70">
        <v>1.0</v>
      </c>
    </row>
    <row r="432" ht="15.75" hidden="1" customHeight="1">
      <c r="A432" s="54" t="s">
        <v>658</v>
      </c>
      <c r="B432" s="56" t="s">
        <v>699</v>
      </c>
      <c r="C432" s="56" t="s">
        <v>640</v>
      </c>
      <c r="D432" s="56" t="s">
        <v>678</v>
      </c>
      <c r="E432" s="56" t="s">
        <v>680</v>
      </c>
      <c r="F432" s="56" t="s">
        <v>193</v>
      </c>
      <c r="G432" s="57" t="s">
        <v>34</v>
      </c>
      <c r="H432" s="68">
        <f t="shared" si="3"/>
        <v>0</v>
      </c>
      <c r="I432" s="62" t="s">
        <v>146</v>
      </c>
      <c r="J432" s="62"/>
      <c r="K432" s="71"/>
      <c r="L432" s="57" t="s">
        <v>115</v>
      </c>
      <c r="M432" s="61"/>
      <c r="N432" s="79"/>
      <c r="O432" s="62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30"/>
      <c r="AC432" s="30">
        <v>1.0</v>
      </c>
      <c r="AD432" s="30">
        <f t="shared" si="4"/>
        <v>0</v>
      </c>
      <c r="AE432" s="70">
        <f t="shared" si="5"/>
        <v>0</v>
      </c>
      <c r="AF432" s="70">
        <v>1.0</v>
      </c>
    </row>
    <row r="433" ht="15.75" hidden="1" customHeight="1">
      <c r="A433" s="54" t="s">
        <v>658</v>
      </c>
      <c r="B433" s="56" t="s">
        <v>699</v>
      </c>
      <c r="C433" s="56" t="s">
        <v>640</v>
      </c>
      <c r="D433" s="56" t="s">
        <v>678</v>
      </c>
      <c r="E433" s="56" t="s">
        <v>682</v>
      </c>
      <c r="F433" s="56" t="s">
        <v>193</v>
      </c>
      <c r="G433" s="57" t="s">
        <v>34</v>
      </c>
      <c r="H433" s="68">
        <f t="shared" si="3"/>
        <v>0</v>
      </c>
      <c r="I433" s="62" t="s">
        <v>146</v>
      </c>
      <c r="J433" s="62"/>
      <c r="K433" s="71"/>
      <c r="L433" s="57" t="s">
        <v>115</v>
      </c>
      <c r="M433" s="61"/>
      <c r="N433" s="79"/>
      <c r="O433" s="62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30"/>
      <c r="AC433" s="30">
        <v>1.0</v>
      </c>
      <c r="AD433" s="30">
        <f t="shared" si="4"/>
        <v>0</v>
      </c>
      <c r="AE433" s="70">
        <f t="shared" si="5"/>
        <v>0</v>
      </c>
      <c r="AF433" s="70">
        <v>1.0</v>
      </c>
    </row>
    <row r="434" ht="15.75" hidden="1" customHeight="1">
      <c r="A434" s="54" t="s">
        <v>658</v>
      </c>
      <c r="B434" s="56" t="s">
        <v>699</v>
      </c>
      <c r="C434" s="56" t="s">
        <v>640</v>
      </c>
      <c r="D434" s="56" t="s">
        <v>678</v>
      </c>
      <c r="E434" s="56" t="s">
        <v>683</v>
      </c>
      <c r="F434" s="56" t="s">
        <v>193</v>
      </c>
      <c r="G434" s="57" t="s">
        <v>34</v>
      </c>
      <c r="H434" s="68">
        <f t="shared" si="3"/>
        <v>0</v>
      </c>
      <c r="I434" s="62" t="s">
        <v>146</v>
      </c>
      <c r="J434" s="62"/>
      <c r="K434" s="71"/>
      <c r="L434" s="57" t="s">
        <v>130</v>
      </c>
      <c r="M434" s="61"/>
      <c r="N434" s="79"/>
      <c r="O434" s="62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30"/>
      <c r="AC434" s="30">
        <v>1.0</v>
      </c>
      <c r="AD434" s="30">
        <f t="shared" si="4"/>
        <v>0</v>
      </c>
      <c r="AE434" s="70">
        <f t="shared" si="5"/>
        <v>0</v>
      </c>
      <c r="AF434" s="70">
        <v>1.0</v>
      </c>
    </row>
    <row r="435" ht="15.75" hidden="1" customHeight="1">
      <c r="A435" s="54" t="s">
        <v>658</v>
      </c>
      <c r="B435" s="56" t="s">
        <v>699</v>
      </c>
      <c r="C435" s="56" t="s">
        <v>640</v>
      </c>
      <c r="D435" s="56" t="s">
        <v>678</v>
      </c>
      <c r="E435" s="56" t="s">
        <v>684</v>
      </c>
      <c r="F435" s="56" t="s">
        <v>249</v>
      </c>
      <c r="G435" s="57" t="s">
        <v>250</v>
      </c>
      <c r="H435" s="68">
        <f t="shared" si="3"/>
        <v>0</v>
      </c>
      <c r="I435" s="62"/>
      <c r="J435" s="62"/>
      <c r="K435" s="71"/>
      <c r="L435" s="57" t="s">
        <v>115</v>
      </c>
      <c r="M435" s="61"/>
      <c r="N435" s="61" t="s">
        <v>686</v>
      </c>
      <c r="O435" s="62" t="s">
        <v>687</v>
      </c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30"/>
      <c r="AC435" s="30">
        <v>2.0</v>
      </c>
      <c r="AD435" s="30">
        <f t="shared" si="4"/>
        <v>0</v>
      </c>
      <c r="AE435" s="70">
        <f t="shared" si="5"/>
        <v>0</v>
      </c>
      <c r="AF435" s="70">
        <v>1.0</v>
      </c>
    </row>
    <row r="436" ht="15.75" hidden="1" customHeight="1">
      <c r="A436" s="54" t="s">
        <v>658</v>
      </c>
      <c r="B436" s="56" t="s">
        <v>699</v>
      </c>
      <c r="C436" s="56" t="s">
        <v>640</v>
      </c>
      <c r="D436" s="56" t="s">
        <v>678</v>
      </c>
      <c r="E436" s="56" t="s">
        <v>695</v>
      </c>
      <c r="F436" s="56" t="s">
        <v>249</v>
      </c>
      <c r="G436" s="57" t="s">
        <v>250</v>
      </c>
      <c r="H436" s="68">
        <f t="shared" si="3"/>
        <v>0</v>
      </c>
      <c r="I436" s="62"/>
      <c r="J436" s="62"/>
      <c r="K436" s="71"/>
      <c r="L436" s="57" t="s">
        <v>115</v>
      </c>
      <c r="M436" s="61"/>
      <c r="N436" s="61" t="s">
        <v>346</v>
      </c>
      <c r="O436" s="62" t="s">
        <v>696</v>
      </c>
      <c r="P436" s="53"/>
      <c r="Q436" s="53"/>
      <c r="R436" s="87"/>
      <c r="S436" s="53"/>
      <c r="T436" s="53"/>
      <c r="U436" s="53"/>
      <c r="V436" s="87"/>
      <c r="W436" s="53"/>
      <c r="X436" s="53"/>
      <c r="Y436" s="53"/>
      <c r="Z436" s="53"/>
      <c r="AA436" s="87"/>
      <c r="AB436" s="30"/>
      <c r="AC436" s="30">
        <v>2.0</v>
      </c>
      <c r="AD436" s="30">
        <f t="shared" si="4"/>
        <v>0</v>
      </c>
      <c r="AE436" s="70">
        <f t="shared" si="5"/>
        <v>0</v>
      </c>
      <c r="AF436" s="70">
        <v>1.0</v>
      </c>
    </row>
    <row r="437" ht="15.75" hidden="1" customHeight="1">
      <c r="A437" s="54" t="s">
        <v>658</v>
      </c>
      <c r="B437" s="56" t="s">
        <v>699</v>
      </c>
      <c r="C437" s="56" t="s">
        <v>640</v>
      </c>
      <c r="D437" s="56" t="s">
        <v>678</v>
      </c>
      <c r="E437" s="56" t="s">
        <v>685</v>
      </c>
      <c r="F437" s="56" t="s">
        <v>249</v>
      </c>
      <c r="G437" s="57" t="s">
        <v>250</v>
      </c>
      <c r="H437" s="68">
        <f t="shared" si="3"/>
        <v>0</v>
      </c>
      <c r="I437" s="62"/>
      <c r="J437" s="62" t="s">
        <v>873</v>
      </c>
      <c r="K437" s="71"/>
      <c r="L437" s="57" t="s">
        <v>115</v>
      </c>
      <c r="M437" s="61"/>
      <c r="N437" s="61" t="s">
        <v>200</v>
      </c>
      <c r="O437" s="62" t="s">
        <v>689</v>
      </c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30">
        <v>2.0</v>
      </c>
      <c r="AD437" s="30">
        <f t="shared" si="4"/>
        <v>0</v>
      </c>
      <c r="AE437" s="70">
        <f t="shared" si="5"/>
        <v>0</v>
      </c>
      <c r="AF437" s="70">
        <v>1.0</v>
      </c>
    </row>
    <row r="438" ht="15.75" hidden="1" customHeight="1">
      <c r="A438" s="54" t="s">
        <v>658</v>
      </c>
      <c r="B438" s="56" t="s">
        <v>700</v>
      </c>
      <c r="C438" s="56" t="s">
        <v>645</v>
      </c>
      <c r="D438" s="56" t="s">
        <v>660</v>
      </c>
      <c r="E438" s="56" t="s">
        <v>661</v>
      </c>
      <c r="F438" s="56" t="s">
        <v>193</v>
      </c>
      <c r="G438" s="57" t="s">
        <v>34</v>
      </c>
      <c r="H438" s="68">
        <f t="shared" si="3"/>
        <v>0</v>
      </c>
      <c r="I438" s="62" t="s">
        <v>146</v>
      </c>
      <c r="J438" s="62"/>
      <c r="K438" s="71"/>
      <c r="L438" s="57" t="s">
        <v>130</v>
      </c>
      <c r="M438" s="61"/>
      <c r="N438" s="79"/>
      <c r="O438" s="62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30"/>
      <c r="AC438" s="30">
        <v>1.0</v>
      </c>
      <c r="AD438" s="30">
        <f t="shared" si="4"/>
        <v>0</v>
      </c>
      <c r="AE438" s="70">
        <f t="shared" si="5"/>
        <v>0</v>
      </c>
      <c r="AF438" s="70">
        <v>1.0</v>
      </c>
    </row>
    <row r="439" ht="15.75" hidden="1" customHeight="1">
      <c r="A439" s="54" t="s">
        <v>658</v>
      </c>
      <c r="B439" s="56" t="s">
        <v>700</v>
      </c>
      <c r="C439" s="56" t="s">
        <v>645</v>
      </c>
      <c r="D439" s="56" t="s">
        <v>660</v>
      </c>
      <c r="E439" s="56" t="s">
        <v>662</v>
      </c>
      <c r="F439" s="56" t="s">
        <v>193</v>
      </c>
      <c r="G439" s="57" t="s">
        <v>34</v>
      </c>
      <c r="H439" s="68">
        <f t="shared" si="3"/>
        <v>0</v>
      </c>
      <c r="I439" s="62"/>
      <c r="J439" s="62"/>
      <c r="K439" s="71"/>
      <c r="L439" s="57" t="s">
        <v>115</v>
      </c>
      <c r="M439" s="61"/>
      <c r="N439" s="61"/>
      <c r="O439" s="62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30"/>
      <c r="AC439" s="30">
        <v>1.0</v>
      </c>
      <c r="AD439" s="30">
        <f t="shared" si="4"/>
        <v>0</v>
      </c>
      <c r="AE439" s="70">
        <f t="shared" si="5"/>
        <v>0</v>
      </c>
      <c r="AF439" s="70">
        <v>1.0</v>
      </c>
    </row>
    <row r="440" ht="15.75" hidden="1" customHeight="1">
      <c r="A440" s="54" t="s">
        <v>658</v>
      </c>
      <c r="B440" s="56" t="s">
        <v>700</v>
      </c>
      <c r="C440" s="56" t="s">
        <v>645</v>
      </c>
      <c r="D440" s="56" t="s">
        <v>660</v>
      </c>
      <c r="E440" s="56" t="s">
        <v>663</v>
      </c>
      <c r="F440" s="56" t="s">
        <v>193</v>
      </c>
      <c r="G440" s="57" t="s">
        <v>34</v>
      </c>
      <c r="H440" s="68">
        <f t="shared" si="3"/>
        <v>0</v>
      </c>
      <c r="I440" s="62" t="s">
        <v>146</v>
      </c>
      <c r="J440" s="62"/>
      <c r="K440" s="71"/>
      <c r="L440" s="57" t="s">
        <v>130</v>
      </c>
      <c r="M440" s="61"/>
      <c r="N440" s="61"/>
      <c r="O440" s="62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30"/>
      <c r="AC440" s="30">
        <v>1.0</v>
      </c>
      <c r="AD440" s="30">
        <f t="shared" si="4"/>
        <v>0</v>
      </c>
      <c r="AE440" s="70">
        <f t="shared" si="5"/>
        <v>0</v>
      </c>
      <c r="AF440" s="70">
        <v>1.0</v>
      </c>
    </row>
    <row r="441" ht="15.75" hidden="1" customHeight="1">
      <c r="A441" s="54" t="s">
        <v>658</v>
      </c>
      <c r="B441" s="56" t="s">
        <v>700</v>
      </c>
      <c r="C441" s="56" t="s">
        <v>645</v>
      </c>
      <c r="D441" s="56" t="s">
        <v>660</v>
      </c>
      <c r="E441" s="56" t="s">
        <v>664</v>
      </c>
      <c r="F441" s="56" t="s">
        <v>193</v>
      </c>
      <c r="G441" s="57" t="s">
        <v>34</v>
      </c>
      <c r="H441" s="68">
        <f t="shared" si="3"/>
        <v>0</v>
      </c>
      <c r="I441" s="62"/>
      <c r="J441" s="62"/>
      <c r="K441" s="71"/>
      <c r="L441" s="57" t="s">
        <v>115</v>
      </c>
      <c r="M441" s="61"/>
      <c r="N441" s="79"/>
      <c r="O441" s="62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30"/>
      <c r="AC441" s="30">
        <v>1.0</v>
      </c>
      <c r="AD441" s="30">
        <f t="shared" si="4"/>
        <v>0</v>
      </c>
      <c r="AE441" s="70">
        <f t="shared" si="5"/>
        <v>0</v>
      </c>
      <c r="AF441" s="70">
        <v>1.0</v>
      </c>
    </row>
    <row r="442" ht="15.75" hidden="1" customHeight="1">
      <c r="A442" s="54" t="s">
        <v>658</v>
      </c>
      <c r="B442" s="56" t="s">
        <v>700</v>
      </c>
      <c r="C442" s="56" t="s">
        <v>645</v>
      </c>
      <c r="D442" s="56" t="s">
        <v>660</v>
      </c>
      <c r="E442" s="56" t="s">
        <v>665</v>
      </c>
      <c r="F442" s="56" t="s">
        <v>193</v>
      </c>
      <c r="G442" s="57" t="s">
        <v>34</v>
      </c>
      <c r="H442" s="68">
        <f t="shared" si="3"/>
        <v>0</v>
      </c>
      <c r="I442" s="62"/>
      <c r="J442" s="62"/>
      <c r="K442" s="71"/>
      <c r="L442" s="57" t="s">
        <v>130</v>
      </c>
      <c r="M442" s="61"/>
      <c r="N442" s="79"/>
      <c r="O442" s="62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30"/>
      <c r="AC442" s="30">
        <v>1.0</v>
      </c>
      <c r="AD442" s="30">
        <f t="shared" si="4"/>
        <v>0</v>
      </c>
      <c r="AE442" s="70">
        <f t="shared" si="5"/>
        <v>0</v>
      </c>
      <c r="AF442" s="70">
        <v>1.0</v>
      </c>
    </row>
    <row r="443" ht="15.75" hidden="1" customHeight="1">
      <c r="A443" s="54" t="s">
        <v>658</v>
      </c>
      <c r="B443" s="56" t="s">
        <v>700</v>
      </c>
      <c r="C443" s="56" t="s">
        <v>645</v>
      </c>
      <c r="D443" s="56" t="s">
        <v>660</v>
      </c>
      <c r="E443" s="56" t="s">
        <v>614</v>
      </c>
      <c r="F443" s="56" t="s">
        <v>193</v>
      </c>
      <c r="G443" s="57" t="s">
        <v>34</v>
      </c>
      <c r="H443" s="68">
        <f t="shared" si="3"/>
        <v>0</v>
      </c>
      <c r="I443" s="62" t="s">
        <v>146</v>
      </c>
      <c r="J443" s="62"/>
      <c r="K443" s="71"/>
      <c r="L443" s="57" t="s">
        <v>115</v>
      </c>
      <c r="M443" s="61"/>
      <c r="N443" s="79"/>
      <c r="O443" s="62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30"/>
      <c r="AC443" s="30">
        <v>1.0</v>
      </c>
      <c r="AD443" s="30">
        <f t="shared" si="4"/>
        <v>0</v>
      </c>
      <c r="AE443" s="70">
        <f t="shared" si="5"/>
        <v>0</v>
      </c>
      <c r="AF443" s="70">
        <v>1.0</v>
      </c>
    </row>
    <row r="444" ht="15.75" hidden="1" customHeight="1">
      <c r="A444" s="54" t="s">
        <v>658</v>
      </c>
      <c r="B444" s="56" t="s">
        <v>700</v>
      </c>
      <c r="C444" s="56" t="s">
        <v>645</v>
      </c>
      <c r="D444" s="56" t="s">
        <v>660</v>
      </c>
      <c r="E444" s="56" t="s">
        <v>666</v>
      </c>
      <c r="F444" s="56" t="s">
        <v>193</v>
      </c>
      <c r="G444" s="57" t="s">
        <v>34</v>
      </c>
      <c r="H444" s="68">
        <f t="shared" si="3"/>
        <v>0</v>
      </c>
      <c r="I444" s="62" t="s">
        <v>146</v>
      </c>
      <c r="J444" s="62"/>
      <c r="K444" s="71"/>
      <c r="L444" s="57" t="s">
        <v>115</v>
      </c>
      <c r="M444" s="61"/>
      <c r="N444" s="79"/>
      <c r="O444" s="62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30"/>
      <c r="AC444" s="30">
        <v>1.0</v>
      </c>
      <c r="AD444" s="30">
        <f t="shared" si="4"/>
        <v>0</v>
      </c>
      <c r="AE444" s="70">
        <f t="shared" si="5"/>
        <v>0</v>
      </c>
      <c r="AF444" s="70">
        <v>1.0</v>
      </c>
    </row>
    <row r="445" ht="15.75" hidden="1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667</v>
      </c>
      <c r="F445" s="56" t="s">
        <v>193</v>
      </c>
      <c r="G445" s="57" t="s">
        <v>34</v>
      </c>
      <c r="H445" s="68">
        <f t="shared" si="3"/>
        <v>0</v>
      </c>
      <c r="I445" s="62" t="s">
        <v>146</v>
      </c>
      <c r="J445" s="62"/>
      <c r="K445" s="71"/>
      <c r="L445" s="57" t="s">
        <v>130</v>
      </c>
      <c r="M445" s="61"/>
      <c r="N445" s="61"/>
      <c r="O445" s="62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30"/>
      <c r="AC445" s="30">
        <v>1.0</v>
      </c>
      <c r="AD445" s="30">
        <f t="shared" si="4"/>
        <v>0</v>
      </c>
      <c r="AE445" s="70">
        <f t="shared" si="5"/>
        <v>0</v>
      </c>
      <c r="AF445" s="70">
        <v>1.0</v>
      </c>
    </row>
    <row r="446" ht="15.75" hidden="1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668</v>
      </c>
      <c r="F446" s="56" t="s">
        <v>327</v>
      </c>
      <c r="G446" s="57" t="s">
        <v>154</v>
      </c>
      <c r="H446" s="68">
        <f t="shared" si="3"/>
        <v>0</v>
      </c>
      <c r="I446" s="62"/>
      <c r="J446" s="62" t="s">
        <v>617</v>
      </c>
      <c r="K446" s="71"/>
      <c r="L446" s="57" t="s">
        <v>115</v>
      </c>
      <c r="M446" s="61"/>
      <c r="N446" s="61"/>
      <c r="O446" s="62" t="s">
        <v>617</v>
      </c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30"/>
      <c r="AC446" s="30">
        <v>2.0</v>
      </c>
      <c r="AD446" s="30">
        <f t="shared" si="4"/>
        <v>0</v>
      </c>
      <c r="AE446" s="70">
        <f t="shared" si="5"/>
        <v>0</v>
      </c>
      <c r="AF446" s="70">
        <v>1.0</v>
      </c>
    </row>
    <row r="447" ht="15.75" hidden="1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669</v>
      </c>
      <c r="F447" s="56" t="s">
        <v>327</v>
      </c>
      <c r="G447" s="57" t="s">
        <v>154</v>
      </c>
      <c r="H447" s="68">
        <f t="shared" si="3"/>
        <v>0</v>
      </c>
      <c r="I447" s="62"/>
      <c r="J447" s="62" t="s">
        <v>617</v>
      </c>
      <c r="K447" s="71"/>
      <c r="L447" s="57" t="s">
        <v>115</v>
      </c>
      <c r="M447" s="61"/>
      <c r="N447" s="61"/>
      <c r="O447" s="62" t="s">
        <v>617</v>
      </c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30"/>
      <c r="AC447" s="30">
        <v>2.0</v>
      </c>
      <c r="AD447" s="30">
        <f t="shared" si="4"/>
        <v>0</v>
      </c>
      <c r="AE447" s="70">
        <f t="shared" si="5"/>
        <v>0</v>
      </c>
      <c r="AF447" s="70">
        <v>1.0</v>
      </c>
    </row>
    <row r="448" ht="15.75" hidden="1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680</v>
      </c>
      <c r="F448" s="56" t="s">
        <v>327</v>
      </c>
      <c r="G448" s="57" t="s">
        <v>154</v>
      </c>
      <c r="H448" s="68">
        <f t="shared" si="3"/>
        <v>0</v>
      </c>
      <c r="I448" s="62" t="s">
        <v>146</v>
      </c>
      <c r="J448" s="62" t="s">
        <v>617</v>
      </c>
      <c r="K448" s="71"/>
      <c r="L448" s="57" t="s">
        <v>115</v>
      </c>
      <c r="M448" s="61"/>
      <c r="N448" s="61"/>
      <c r="O448" s="62" t="s">
        <v>617</v>
      </c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30"/>
      <c r="AC448" s="30">
        <v>2.0</v>
      </c>
      <c r="AD448" s="30">
        <f t="shared" si="4"/>
        <v>0</v>
      </c>
      <c r="AE448" s="70">
        <f t="shared" si="5"/>
        <v>0</v>
      </c>
      <c r="AF448" s="70">
        <v>1.0</v>
      </c>
    </row>
    <row r="449" ht="15.75" hidden="1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671</v>
      </c>
      <c r="F449" s="56" t="s">
        <v>327</v>
      </c>
      <c r="G449" s="57" t="s">
        <v>154</v>
      </c>
      <c r="H449" s="68">
        <f t="shared" si="3"/>
        <v>0</v>
      </c>
      <c r="I449" s="62" t="s">
        <v>146</v>
      </c>
      <c r="J449" s="62" t="s">
        <v>617</v>
      </c>
      <c r="K449" s="71"/>
      <c r="L449" s="57" t="s">
        <v>115</v>
      </c>
      <c r="M449" s="61"/>
      <c r="N449" s="79"/>
      <c r="O449" s="62" t="s">
        <v>617</v>
      </c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30"/>
      <c r="AC449" s="30">
        <v>2.0</v>
      </c>
      <c r="AD449" s="30">
        <f t="shared" si="4"/>
        <v>0</v>
      </c>
      <c r="AE449" s="70">
        <f t="shared" si="5"/>
        <v>0</v>
      </c>
      <c r="AF449" s="70">
        <v>1.0</v>
      </c>
    </row>
    <row r="450" ht="15.75" hidden="1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672</v>
      </c>
      <c r="F450" s="56" t="s">
        <v>327</v>
      </c>
      <c r="G450" s="57" t="s">
        <v>154</v>
      </c>
      <c r="H450" s="68">
        <f t="shared" si="3"/>
        <v>0</v>
      </c>
      <c r="I450" s="62" t="s">
        <v>146</v>
      </c>
      <c r="J450" s="62" t="s">
        <v>617</v>
      </c>
      <c r="K450" s="71"/>
      <c r="L450" s="57" t="s">
        <v>115</v>
      </c>
      <c r="M450" s="61"/>
      <c r="N450" s="79"/>
      <c r="O450" s="62" t="s">
        <v>617</v>
      </c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30"/>
      <c r="AC450" s="30">
        <v>2.0</v>
      </c>
      <c r="AD450" s="30">
        <f t="shared" si="4"/>
        <v>0</v>
      </c>
      <c r="AE450" s="70">
        <f t="shared" si="5"/>
        <v>0</v>
      </c>
      <c r="AF450" s="70">
        <v>1.0</v>
      </c>
    </row>
    <row r="451" ht="15.75" hidden="1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673</v>
      </c>
      <c r="F451" s="56" t="s">
        <v>327</v>
      </c>
      <c r="G451" s="57" t="s">
        <v>154</v>
      </c>
      <c r="H451" s="68">
        <f t="shared" si="3"/>
        <v>0</v>
      </c>
      <c r="I451" s="62" t="s">
        <v>146</v>
      </c>
      <c r="J451" s="62" t="s">
        <v>617</v>
      </c>
      <c r="K451" s="71"/>
      <c r="L451" s="57" t="s">
        <v>115</v>
      </c>
      <c r="M451" s="61"/>
      <c r="N451" s="79"/>
      <c r="O451" s="62" t="s">
        <v>617</v>
      </c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30"/>
      <c r="AC451" s="30">
        <v>2.0</v>
      </c>
      <c r="AD451" s="30">
        <f t="shared" si="4"/>
        <v>0</v>
      </c>
      <c r="AE451" s="70">
        <f t="shared" si="5"/>
        <v>0</v>
      </c>
      <c r="AF451" s="70">
        <v>1.0</v>
      </c>
    </row>
    <row r="452" ht="15.75" hidden="1" customHeight="1">
      <c r="A452" s="54" t="s">
        <v>658</v>
      </c>
      <c r="B452" s="56" t="s">
        <v>703</v>
      </c>
      <c r="C452" s="56" t="s">
        <v>645</v>
      </c>
      <c r="D452" s="56" t="s">
        <v>675</v>
      </c>
      <c r="E452" s="56" t="s">
        <v>676</v>
      </c>
      <c r="F452" s="56" t="s">
        <v>193</v>
      </c>
      <c r="G452" s="57" t="s">
        <v>34</v>
      </c>
      <c r="H452" s="68">
        <f t="shared" si="3"/>
        <v>0</v>
      </c>
      <c r="I452" s="62" t="s">
        <v>146</v>
      </c>
      <c r="J452" s="62"/>
      <c r="K452" s="71"/>
      <c r="L452" s="57" t="s">
        <v>115</v>
      </c>
      <c r="M452" s="61"/>
      <c r="N452" s="79"/>
      <c r="O452" s="62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30"/>
      <c r="AC452" s="30">
        <v>1.0</v>
      </c>
      <c r="AD452" s="30">
        <f t="shared" si="4"/>
        <v>0</v>
      </c>
      <c r="AE452" s="70">
        <f t="shared" si="5"/>
        <v>0</v>
      </c>
      <c r="AF452" s="70">
        <v>1.0</v>
      </c>
    </row>
    <row r="453" ht="15.75" hidden="1" customHeight="1">
      <c r="A453" s="54" t="s">
        <v>658</v>
      </c>
      <c r="B453" s="56" t="s">
        <v>704</v>
      </c>
      <c r="C453" s="56" t="s">
        <v>645</v>
      </c>
      <c r="D453" s="56" t="s">
        <v>678</v>
      </c>
      <c r="E453" s="56" t="s">
        <v>679</v>
      </c>
      <c r="F453" s="56" t="s">
        <v>168</v>
      </c>
      <c r="G453" s="57" t="s">
        <v>34</v>
      </c>
      <c r="H453" s="68">
        <f t="shared" si="3"/>
        <v>0</v>
      </c>
      <c r="I453" s="62" t="s">
        <v>146</v>
      </c>
      <c r="J453" s="62"/>
      <c r="K453" s="71"/>
      <c r="L453" s="57" t="s">
        <v>115</v>
      </c>
      <c r="M453" s="61"/>
      <c r="N453" s="61" t="s">
        <v>197</v>
      </c>
      <c r="O453" s="62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30"/>
      <c r="AC453" s="30">
        <v>1.0</v>
      </c>
      <c r="AD453" s="30">
        <f t="shared" si="4"/>
        <v>0</v>
      </c>
      <c r="AE453" s="70">
        <f t="shared" si="5"/>
        <v>0</v>
      </c>
      <c r="AF453" s="70">
        <v>1.0</v>
      </c>
    </row>
    <row r="454" ht="15.75" hidden="1" customHeight="1">
      <c r="A454" s="54" t="s">
        <v>658</v>
      </c>
      <c r="B454" s="56" t="s">
        <v>704</v>
      </c>
      <c r="C454" s="56" t="s">
        <v>645</v>
      </c>
      <c r="D454" s="56" t="s">
        <v>678</v>
      </c>
      <c r="E454" s="56" t="s">
        <v>680</v>
      </c>
      <c r="F454" s="56" t="s">
        <v>193</v>
      </c>
      <c r="G454" s="57" t="s">
        <v>34</v>
      </c>
      <c r="H454" s="68">
        <f t="shared" si="3"/>
        <v>0</v>
      </c>
      <c r="I454" s="62" t="s">
        <v>146</v>
      </c>
      <c r="J454" s="62"/>
      <c r="K454" s="71"/>
      <c r="L454" s="57" t="s">
        <v>115</v>
      </c>
      <c r="M454" s="61"/>
      <c r="N454" s="79"/>
      <c r="O454" s="62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30"/>
      <c r="AC454" s="30">
        <v>1.0</v>
      </c>
      <c r="AD454" s="30">
        <f t="shared" si="4"/>
        <v>0</v>
      </c>
      <c r="AE454" s="70">
        <f t="shared" si="5"/>
        <v>0</v>
      </c>
      <c r="AF454" s="70">
        <v>1.0</v>
      </c>
    </row>
    <row r="455" ht="15.75" hidden="1" customHeight="1">
      <c r="A455" s="54" t="s">
        <v>658</v>
      </c>
      <c r="B455" s="56" t="s">
        <v>704</v>
      </c>
      <c r="C455" s="56" t="s">
        <v>645</v>
      </c>
      <c r="D455" s="56" t="s">
        <v>678</v>
      </c>
      <c r="E455" s="56" t="s">
        <v>682</v>
      </c>
      <c r="F455" s="56" t="s">
        <v>193</v>
      </c>
      <c r="G455" s="57" t="s">
        <v>34</v>
      </c>
      <c r="H455" s="68">
        <f t="shared" si="3"/>
        <v>0</v>
      </c>
      <c r="I455" s="62" t="s">
        <v>146</v>
      </c>
      <c r="J455" s="62"/>
      <c r="K455" s="71"/>
      <c r="L455" s="57" t="s">
        <v>115</v>
      </c>
      <c r="M455" s="61"/>
      <c r="N455" s="79"/>
      <c r="O455" s="62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30"/>
      <c r="AC455" s="30">
        <v>1.0</v>
      </c>
      <c r="AD455" s="30">
        <f t="shared" si="4"/>
        <v>0</v>
      </c>
      <c r="AE455" s="70">
        <f t="shared" si="5"/>
        <v>0</v>
      </c>
      <c r="AF455" s="70">
        <v>1.0</v>
      </c>
    </row>
    <row r="456" ht="15.75" hidden="1" customHeight="1">
      <c r="A456" s="54" t="s">
        <v>658</v>
      </c>
      <c r="B456" s="56" t="s">
        <v>704</v>
      </c>
      <c r="C456" s="56" t="s">
        <v>645</v>
      </c>
      <c r="D456" s="56" t="s">
        <v>678</v>
      </c>
      <c r="E456" s="56" t="s">
        <v>683</v>
      </c>
      <c r="F456" s="56" t="s">
        <v>193</v>
      </c>
      <c r="G456" s="57" t="s">
        <v>34</v>
      </c>
      <c r="H456" s="68">
        <f t="shared" si="3"/>
        <v>0</v>
      </c>
      <c r="I456" s="62" t="s">
        <v>146</v>
      </c>
      <c r="J456" s="62"/>
      <c r="K456" s="71"/>
      <c r="L456" s="57" t="s">
        <v>130</v>
      </c>
      <c r="M456" s="61"/>
      <c r="N456" s="79"/>
      <c r="O456" s="62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30"/>
      <c r="AC456" s="30">
        <v>1.0</v>
      </c>
      <c r="AD456" s="30">
        <f t="shared" si="4"/>
        <v>0</v>
      </c>
      <c r="AE456" s="70">
        <f t="shared" si="5"/>
        <v>0</v>
      </c>
      <c r="AF456" s="70">
        <v>1.0</v>
      </c>
    </row>
    <row r="457" ht="15.75" hidden="1" customHeight="1">
      <c r="A457" s="54" t="s">
        <v>658</v>
      </c>
      <c r="B457" s="56" t="s">
        <v>704</v>
      </c>
      <c r="C457" s="56" t="s">
        <v>645</v>
      </c>
      <c r="D457" s="56" t="s">
        <v>678</v>
      </c>
      <c r="E457" s="56" t="s">
        <v>684</v>
      </c>
      <c r="F457" s="56" t="s">
        <v>249</v>
      </c>
      <c r="G457" s="57" t="s">
        <v>250</v>
      </c>
      <c r="H457" s="68">
        <f t="shared" si="3"/>
        <v>0</v>
      </c>
      <c r="I457" s="62"/>
      <c r="J457" s="62"/>
      <c r="K457" s="71"/>
      <c r="L457" s="57" t="s">
        <v>115</v>
      </c>
      <c r="M457" s="61"/>
      <c r="N457" s="61" t="s">
        <v>686</v>
      </c>
      <c r="O457" s="62" t="s">
        <v>687</v>
      </c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30"/>
      <c r="AC457" s="30">
        <v>2.0</v>
      </c>
      <c r="AD457" s="30">
        <f t="shared" si="4"/>
        <v>0</v>
      </c>
      <c r="AE457" s="70">
        <f t="shared" si="5"/>
        <v>0</v>
      </c>
      <c r="AF457" s="70">
        <v>1.0</v>
      </c>
    </row>
    <row r="458" ht="15.75" hidden="1" customHeight="1">
      <c r="A458" s="54" t="s">
        <v>658</v>
      </c>
      <c r="B458" s="56" t="s">
        <v>704</v>
      </c>
      <c r="C458" s="56" t="s">
        <v>645</v>
      </c>
      <c r="D458" s="56" t="s">
        <v>678</v>
      </c>
      <c r="E458" s="56" t="s">
        <v>695</v>
      </c>
      <c r="F458" s="56" t="s">
        <v>249</v>
      </c>
      <c r="G458" s="57" t="s">
        <v>250</v>
      </c>
      <c r="H458" s="68">
        <f t="shared" si="3"/>
        <v>0</v>
      </c>
      <c r="I458" s="62"/>
      <c r="J458" s="62"/>
      <c r="K458" s="71"/>
      <c r="L458" s="57" t="s">
        <v>115</v>
      </c>
      <c r="M458" s="61"/>
      <c r="N458" s="61" t="s">
        <v>346</v>
      </c>
      <c r="O458" s="62" t="s">
        <v>696</v>
      </c>
      <c r="P458" s="53"/>
      <c r="Q458" s="53"/>
      <c r="R458" s="87"/>
      <c r="S458" s="53"/>
      <c r="T458" s="53"/>
      <c r="U458" s="53"/>
      <c r="V458" s="87"/>
      <c r="W458" s="53"/>
      <c r="X458" s="53"/>
      <c r="Y458" s="53"/>
      <c r="Z458" s="53"/>
      <c r="AA458" s="87"/>
      <c r="AB458" s="30"/>
      <c r="AC458" s="30">
        <v>2.0</v>
      </c>
      <c r="AD458" s="30">
        <f t="shared" si="4"/>
        <v>0</v>
      </c>
      <c r="AE458" s="70">
        <f t="shared" si="5"/>
        <v>0</v>
      </c>
      <c r="AF458" s="70">
        <v>1.0</v>
      </c>
    </row>
    <row r="459" ht="15.75" hidden="1" customHeight="1">
      <c r="A459" s="54" t="s">
        <v>658</v>
      </c>
      <c r="B459" s="56" t="s">
        <v>704</v>
      </c>
      <c r="C459" s="56" t="s">
        <v>645</v>
      </c>
      <c r="D459" s="56" t="s">
        <v>678</v>
      </c>
      <c r="E459" s="56" t="s">
        <v>685</v>
      </c>
      <c r="F459" s="56" t="s">
        <v>249</v>
      </c>
      <c r="G459" s="57" t="s">
        <v>250</v>
      </c>
      <c r="H459" s="68">
        <f t="shared" si="3"/>
        <v>0</v>
      </c>
      <c r="I459" s="62"/>
      <c r="J459" s="62" t="s">
        <v>873</v>
      </c>
      <c r="K459" s="71"/>
      <c r="L459" s="57" t="s">
        <v>115</v>
      </c>
      <c r="M459" s="61"/>
      <c r="N459" s="61" t="s">
        <v>200</v>
      </c>
      <c r="O459" s="62" t="s">
        <v>689</v>
      </c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30">
        <v>2.0</v>
      </c>
      <c r="AD459" s="30">
        <f t="shared" si="4"/>
        <v>0</v>
      </c>
      <c r="AE459" s="70">
        <f t="shared" si="5"/>
        <v>0</v>
      </c>
      <c r="AF459" s="70">
        <v>1.0</v>
      </c>
    </row>
    <row r="460" ht="15.75" hidden="1" customHeight="1">
      <c r="A460" s="54" t="s">
        <v>658</v>
      </c>
      <c r="B460" s="56" t="s">
        <v>705</v>
      </c>
      <c r="C460" s="56" t="s">
        <v>606</v>
      </c>
      <c r="D460" s="56" t="s">
        <v>660</v>
      </c>
      <c r="E460" s="56" t="s">
        <v>661</v>
      </c>
      <c r="F460" s="56" t="s">
        <v>193</v>
      </c>
      <c r="G460" s="57" t="s">
        <v>34</v>
      </c>
      <c r="H460" s="68">
        <f t="shared" si="3"/>
        <v>0</v>
      </c>
      <c r="I460" s="62"/>
      <c r="J460" s="62"/>
      <c r="K460" s="71"/>
      <c r="L460" s="57" t="s">
        <v>130</v>
      </c>
      <c r="M460" s="61"/>
      <c r="N460" s="79"/>
      <c r="O460" s="62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30"/>
      <c r="AC460" s="30">
        <v>1.0</v>
      </c>
      <c r="AD460" s="30">
        <f t="shared" si="4"/>
        <v>0</v>
      </c>
      <c r="AE460" s="70">
        <f t="shared" si="5"/>
        <v>0</v>
      </c>
      <c r="AF460" s="70">
        <v>1.0</v>
      </c>
    </row>
    <row r="461" ht="15.75" hidden="1" customHeight="1">
      <c r="A461" s="54" t="s">
        <v>658</v>
      </c>
      <c r="B461" s="56" t="s">
        <v>705</v>
      </c>
      <c r="C461" s="56" t="s">
        <v>606</v>
      </c>
      <c r="D461" s="56" t="s">
        <v>660</v>
      </c>
      <c r="E461" s="56" t="s">
        <v>662</v>
      </c>
      <c r="F461" s="56" t="s">
        <v>193</v>
      </c>
      <c r="G461" s="57" t="s">
        <v>34</v>
      </c>
      <c r="H461" s="68">
        <f t="shared" si="3"/>
        <v>0</v>
      </c>
      <c r="I461" s="62"/>
      <c r="J461" s="62"/>
      <c r="K461" s="71"/>
      <c r="L461" s="57" t="s">
        <v>115</v>
      </c>
      <c r="M461" s="61"/>
      <c r="N461" s="61"/>
      <c r="O461" s="62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30"/>
      <c r="AC461" s="30">
        <v>1.0</v>
      </c>
      <c r="AD461" s="30">
        <f t="shared" si="4"/>
        <v>0</v>
      </c>
      <c r="AE461" s="70">
        <f t="shared" si="5"/>
        <v>0</v>
      </c>
      <c r="AF461" s="70">
        <v>1.0</v>
      </c>
    </row>
    <row r="462" ht="15.75" hidden="1" customHeight="1">
      <c r="A462" s="54" t="s">
        <v>658</v>
      </c>
      <c r="B462" s="56" t="s">
        <v>705</v>
      </c>
      <c r="C462" s="56" t="s">
        <v>606</v>
      </c>
      <c r="D462" s="56" t="s">
        <v>660</v>
      </c>
      <c r="E462" s="56" t="s">
        <v>663</v>
      </c>
      <c r="F462" s="56" t="s">
        <v>193</v>
      </c>
      <c r="G462" s="57" t="s">
        <v>34</v>
      </c>
      <c r="H462" s="68">
        <f t="shared" si="3"/>
        <v>0</v>
      </c>
      <c r="I462" s="62" t="s">
        <v>146</v>
      </c>
      <c r="J462" s="62"/>
      <c r="K462" s="71"/>
      <c r="L462" s="57" t="s">
        <v>130</v>
      </c>
      <c r="M462" s="61"/>
      <c r="N462" s="61"/>
      <c r="O462" s="62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30"/>
      <c r="AC462" s="30">
        <v>1.0</v>
      </c>
      <c r="AD462" s="30">
        <f t="shared" si="4"/>
        <v>0</v>
      </c>
      <c r="AE462" s="70">
        <f t="shared" si="5"/>
        <v>0</v>
      </c>
      <c r="AF462" s="70">
        <v>1.0</v>
      </c>
    </row>
    <row r="463" ht="15.75" hidden="1" customHeight="1">
      <c r="A463" s="54" t="s">
        <v>658</v>
      </c>
      <c r="B463" s="56" t="s">
        <v>705</v>
      </c>
      <c r="C463" s="56" t="s">
        <v>606</v>
      </c>
      <c r="D463" s="56" t="s">
        <v>660</v>
      </c>
      <c r="E463" s="56" t="s">
        <v>664</v>
      </c>
      <c r="F463" s="56" t="s">
        <v>193</v>
      </c>
      <c r="G463" s="57" t="s">
        <v>34</v>
      </c>
      <c r="H463" s="68">
        <f t="shared" si="3"/>
        <v>0</v>
      </c>
      <c r="I463" s="62"/>
      <c r="J463" s="62"/>
      <c r="K463" s="71"/>
      <c r="L463" s="57" t="s">
        <v>115</v>
      </c>
      <c r="M463" s="61"/>
      <c r="N463" s="79"/>
      <c r="O463" s="62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30"/>
      <c r="AC463" s="30">
        <v>1.0</v>
      </c>
      <c r="AD463" s="30">
        <f t="shared" si="4"/>
        <v>0</v>
      </c>
      <c r="AE463" s="70">
        <f t="shared" si="5"/>
        <v>0</v>
      </c>
      <c r="AF463" s="70">
        <v>1.0</v>
      </c>
    </row>
    <row r="464" ht="15.75" hidden="1" customHeight="1">
      <c r="A464" s="54" t="s">
        <v>658</v>
      </c>
      <c r="B464" s="56" t="s">
        <v>705</v>
      </c>
      <c r="C464" s="56" t="s">
        <v>606</v>
      </c>
      <c r="D464" s="56" t="s">
        <v>660</v>
      </c>
      <c r="E464" s="56" t="s">
        <v>665</v>
      </c>
      <c r="F464" s="56" t="s">
        <v>193</v>
      </c>
      <c r="G464" s="57" t="s">
        <v>34</v>
      </c>
      <c r="H464" s="68">
        <f t="shared" si="3"/>
        <v>0</v>
      </c>
      <c r="I464" s="103"/>
      <c r="J464" s="103"/>
      <c r="K464" s="71"/>
      <c r="L464" s="57" t="s">
        <v>130</v>
      </c>
      <c r="M464" s="61"/>
      <c r="N464" s="79"/>
      <c r="O464" s="10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30"/>
      <c r="AC464" s="30">
        <v>1.0</v>
      </c>
      <c r="AD464" s="30">
        <f t="shared" si="4"/>
        <v>0</v>
      </c>
      <c r="AE464" s="70">
        <f t="shared" si="5"/>
        <v>0</v>
      </c>
      <c r="AF464" s="70">
        <v>1.0</v>
      </c>
    </row>
    <row r="465" ht="15.75" hidden="1" customHeight="1">
      <c r="A465" s="54" t="s">
        <v>658</v>
      </c>
      <c r="B465" s="56" t="s">
        <v>705</v>
      </c>
      <c r="C465" s="56" t="s">
        <v>606</v>
      </c>
      <c r="D465" s="56" t="s">
        <v>660</v>
      </c>
      <c r="E465" s="56" t="s">
        <v>614</v>
      </c>
      <c r="F465" s="56" t="s">
        <v>193</v>
      </c>
      <c r="G465" s="57" t="s">
        <v>34</v>
      </c>
      <c r="H465" s="68">
        <f t="shared" si="3"/>
        <v>0</v>
      </c>
      <c r="I465" s="62" t="s">
        <v>146</v>
      </c>
      <c r="J465" s="62"/>
      <c r="K465" s="71"/>
      <c r="L465" s="57" t="s">
        <v>115</v>
      </c>
      <c r="M465" s="61"/>
      <c r="N465" s="79"/>
      <c r="O465" s="62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101"/>
      <c r="AC465" s="30">
        <v>1.0</v>
      </c>
      <c r="AD465" s="30">
        <f t="shared" si="4"/>
        <v>0</v>
      </c>
      <c r="AE465" s="70">
        <f t="shared" si="5"/>
        <v>0</v>
      </c>
      <c r="AF465" s="70">
        <v>1.0</v>
      </c>
    </row>
    <row r="466" ht="15.75" hidden="1" customHeight="1">
      <c r="A466" s="54" t="s">
        <v>658</v>
      </c>
      <c r="B466" s="56" t="s">
        <v>705</v>
      </c>
      <c r="C466" s="56" t="s">
        <v>606</v>
      </c>
      <c r="D466" s="56" t="s">
        <v>660</v>
      </c>
      <c r="E466" s="56" t="s">
        <v>666</v>
      </c>
      <c r="F466" s="56" t="s">
        <v>193</v>
      </c>
      <c r="G466" s="57" t="s">
        <v>34</v>
      </c>
      <c r="H466" s="68">
        <f t="shared" si="3"/>
        <v>0</v>
      </c>
      <c r="I466" s="62" t="s">
        <v>146</v>
      </c>
      <c r="J466" s="62"/>
      <c r="K466" s="71"/>
      <c r="L466" s="57" t="s">
        <v>115</v>
      </c>
      <c r="M466" s="61"/>
      <c r="N466" s="79"/>
      <c r="O466" s="62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101"/>
      <c r="AC466" s="30">
        <v>1.0</v>
      </c>
      <c r="AD466" s="30">
        <f t="shared" si="4"/>
        <v>0</v>
      </c>
      <c r="AE466" s="70">
        <f t="shared" si="5"/>
        <v>0</v>
      </c>
      <c r="AF466" s="70">
        <v>1.0</v>
      </c>
    </row>
    <row r="467" ht="15.75" hidden="1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667</v>
      </c>
      <c r="F467" s="56" t="s">
        <v>193</v>
      </c>
      <c r="G467" s="57" t="s">
        <v>34</v>
      </c>
      <c r="H467" s="68">
        <f t="shared" si="3"/>
        <v>0</v>
      </c>
      <c r="I467" s="62" t="s">
        <v>146</v>
      </c>
      <c r="J467" s="62"/>
      <c r="K467" s="71"/>
      <c r="L467" s="57" t="s">
        <v>130</v>
      </c>
      <c r="M467" s="61"/>
      <c r="N467" s="61"/>
      <c r="O467" s="62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101"/>
      <c r="AC467" s="30">
        <v>1.0</v>
      </c>
      <c r="AD467" s="30">
        <f t="shared" si="4"/>
        <v>0</v>
      </c>
      <c r="AE467" s="70">
        <f t="shared" si="5"/>
        <v>0</v>
      </c>
      <c r="AF467" s="70">
        <v>1.0</v>
      </c>
    </row>
    <row r="468" ht="15.75" hidden="1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668</v>
      </c>
      <c r="F468" s="56" t="s">
        <v>327</v>
      </c>
      <c r="G468" s="57" t="s">
        <v>154</v>
      </c>
      <c r="H468" s="68">
        <f t="shared" si="3"/>
        <v>0</v>
      </c>
      <c r="I468" s="62"/>
      <c r="J468" s="62" t="s">
        <v>617</v>
      </c>
      <c r="K468" s="71"/>
      <c r="L468" s="57" t="s">
        <v>115</v>
      </c>
      <c r="M468" s="61"/>
      <c r="N468" s="61"/>
      <c r="O468" s="62" t="s">
        <v>617</v>
      </c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30"/>
      <c r="AC468" s="30">
        <v>2.0</v>
      </c>
      <c r="AD468" s="30">
        <f t="shared" si="4"/>
        <v>0</v>
      </c>
      <c r="AE468" s="70">
        <f t="shared" si="5"/>
        <v>0</v>
      </c>
      <c r="AF468" s="70">
        <v>1.0</v>
      </c>
    </row>
    <row r="469" ht="15.75" hidden="1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669</v>
      </c>
      <c r="F469" s="56" t="s">
        <v>327</v>
      </c>
      <c r="G469" s="57" t="s">
        <v>154</v>
      </c>
      <c r="H469" s="68">
        <f t="shared" si="3"/>
        <v>0</v>
      </c>
      <c r="I469" s="62"/>
      <c r="J469" s="62" t="s">
        <v>617</v>
      </c>
      <c r="K469" s="71"/>
      <c r="L469" s="57" t="s">
        <v>115</v>
      </c>
      <c r="M469" s="61"/>
      <c r="N469" s="61"/>
      <c r="O469" s="62" t="s">
        <v>617</v>
      </c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30"/>
      <c r="AC469" s="30">
        <v>2.0</v>
      </c>
      <c r="AD469" s="30">
        <f t="shared" si="4"/>
        <v>0</v>
      </c>
      <c r="AE469" s="70">
        <f t="shared" si="5"/>
        <v>0</v>
      </c>
      <c r="AF469" s="70">
        <v>1.0</v>
      </c>
    </row>
    <row r="470" ht="15.75" hidden="1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671</v>
      </c>
      <c r="F470" s="56" t="s">
        <v>327</v>
      </c>
      <c r="G470" s="57" t="s">
        <v>154</v>
      </c>
      <c r="H470" s="68">
        <f t="shared" si="3"/>
        <v>0</v>
      </c>
      <c r="I470" s="62" t="s">
        <v>146</v>
      </c>
      <c r="J470" s="62" t="s">
        <v>617</v>
      </c>
      <c r="K470" s="71"/>
      <c r="L470" s="57" t="s">
        <v>115</v>
      </c>
      <c r="M470" s="61"/>
      <c r="N470" s="61"/>
      <c r="O470" s="62" t="s">
        <v>617</v>
      </c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30"/>
      <c r="AC470" s="30">
        <v>2.0</v>
      </c>
      <c r="AD470" s="30">
        <f t="shared" si="4"/>
        <v>0</v>
      </c>
      <c r="AE470" s="70">
        <f t="shared" si="5"/>
        <v>0</v>
      </c>
      <c r="AF470" s="70">
        <v>1.0</v>
      </c>
    </row>
    <row r="471" ht="15.75" hidden="1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672</v>
      </c>
      <c r="F471" s="56" t="s">
        <v>327</v>
      </c>
      <c r="G471" s="57" t="s">
        <v>154</v>
      </c>
      <c r="H471" s="68">
        <f t="shared" si="3"/>
        <v>0</v>
      </c>
      <c r="I471" s="62" t="s">
        <v>146</v>
      </c>
      <c r="J471" s="62" t="s">
        <v>617</v>
      </c>
      <c r="K471" s="71"/>
      <c r="L471" s="57" t="s">
        <v>115</v>
      </c>
      <c r="M471" s="61"/>
      <c r="N471" s="61"/>
      <c r="O471" s="62" t="s">
        <v>617</v>
      </c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30"/>
      <c r="AC471" s="30">
        <v>2.0</v>
      </c>
      <c r="AD471" s="30">
        <f t="shared" si="4"/>
        <v>0</v>
      </c>
      <c r="AE471" s="70">
        <f t="shared" si="5"/>
        <v>0</v>
      </c>
      <c r="AF471" s="70">
        <v>1.0</v>
      </c>
    </row>
    <row r="472" ht="15.75" hidden="1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673</v>
      </c>
      <c r="F472" s="56" t="s">
        <v>327</v>
      </c>
      <c r="G472" s="57" t="s">
        <v>154</v>
      </c>
      <c r="H472" s="68">
        <f t="shared" si="3"/>
        <v>0</v>
      </c>
      <c r="I472" s="62" t="s">
        <v>146</v>
      </c>
      <c r="J472" s="62" t="s">
        <v>617</v>
      </c>
      <c r="K472" s="71"/>
      <c r="L472" s="57" t="s">
        <v>115</v>
      </c>
      <c r="M472" s="61"/>
      <c r="N472" s="79"/>
      <c r="O472" s="62" t="s">
        <v>617</v>
      </c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30"/>
      <c r="AC472" s="30">
        <v>2.0</v>
      </c>
      <c r="AD472" s="30">
        <f t="shared" si="4"/>
        <v>0</v>
      </c>
      <c r="AE472" s="70">
        <f t="shared" si="5"/>
        <v>0</v>
      </c>
      <c r="AF472" s="70">
        <v>1.0</v>
      </c>
    </row>
    <row r="473" ht="15.75" hidden="1" customHeight="1">
      <c r="A473" s="54" t="s">
        <v>658</v>
      </c>
      <c r="B473" s="56" t="s">
        <v>714</v>
      </c>
      <c r="C473" s="56" t="s">
        <v>606</v>
      </c>
      <c r="D473" s="56" t="s">
        <v>675</v>
      </c>
      <c r="E473" s="56" t="s">
        <v>676</v>
      </c>
      <c r="F473" s="56" t="s">
        <v>193</v>
      </c>
      <c r="G473" s="57" t="s">
        <v>34</v>
      </c>
      <c r="H473" s="68">
        <f t="shared" si="3"/>
        <v>0</v>
      </c>
      <c r="I473" s="62" t="s">
        <v>146</v>
      </c>
      <c r="J473" s="62"/>
      <c r="K473" s="71"/>
      <c r="L473" s="57" t="s">
        <v>115</v>
      </c>
      <c r="M473" s="61"/>
      <c r="N473" s="79"/>
      <c r="O473" s="62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30"/>
      <c r="AC473" s="30">
        <v>1.0</v>
      </c>
      <c r="AD473" s="30">
        <f t="shared" si="4"/>
        <v>0</v>
      </c>
      <c r="AE473" s="70">
        <f t="shared" si="5"/>
        <v>0</v>
      </c>
      <c r="AF473" s="70">
        <v>1.0</v>
      </c>
    </row>
    <row r="474" ht="15.75" hidden="1" customHeight="1">
      <c r="A474" s="54" t="s">
        <v>658</v>
      </c>
      <c r="B474" s="56" t="s">
        <v>715</v>
      </c>
      <c r="C474" s="56" t="s">
        <v>606</v>
      </c>
      <c r="D474" s="56" t="s">
        <v>716</v>
      </c>
      <c r="E474" s="56" t="s">
        <v>679</v>
      </c>
      <c r="F474" s="56" t="s">
        <v>168</v>
      </c>
      <c r="G474" s="57" t="s">
        <v>34</v>
      </c>
      <c r="H474" s="68">
        <f t="shared" si="3"/>
        <v>0</v>
      </c>
      <c r="I474" s="62" t="s">
        <v>146</v>
      </c>
      <c r="J474" s="62"/>
      <c r="K474" s="71"/>
      <c r="L474" s="57" t="s">
        <v>115</v>
      </c>
      <c r="M474" s="61"/>
      <c r="N474" s="61" t="s">
        <v>197</v>
      </c>
      <c r="O474" s="62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30"/>
      <c r="AC474" s="30">
        <v>1.0</v>
      </c>
      <c r="AD474" s="30">
        <f t="shared" si="4"/>
        <v>0</v>
      </c>
      <c r="AE474" s="70">
        <f t="shared" si="5"/>
        <v>0</v>
      </c>
      <c r="AF474" s="70">
        <v>1.0</v>
      </c>
    </row>
    <row r="475" ht="15.75" hidden="1" customHeight="1">
      <c r="A475" s="54" t="s">
        <v>658</v>
      </c>
      <c r="B475" s="56" t="s">
        <v>715</v>
      </c>
      <c r="C475" s="56" t="s">
        <v>606</v>
      </c>
      <c r="D475" s="56" t="s">
        <v>678</v>
      </c>
      <c r="E475" s="56" t="s">
        <v>680</v>
      </c>
      <c r="F475" s="56" t="s">
        <v>193</v>
      </c>
      <c r="G475" s="57" t="s">
        <v>34</v>
      </c>
      <c r="H475" s="68">
        <f t="shared" si="3"/>
        <v>0</v>
      </c>
      <c r="I475" s="62" t="s">
        <v>146</v>
      </c>
      <c r="J475" s="62"/>
      <c r="K475" s="71"/>
      <c r="L475" s="57" t="s">
        <v>115</v>
      </c>
      <c r="M475" s="61"/>
      <c r="N475" s="79"/>
      <c r="O475" s="62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30"/>
      <c r="AC475" s="30">
        <v>1.0</v>
      </c>
      <c r="AD475" s="30">
        <f t="shared" si="4"/>
        <v>0</v>
      </c>
      <c r="AE475" s="70">
        <f t="shared" si="5"/>
        <v>0</v>
      </c>
      <c r="AF475" s="70">
        <v>1.0</v>
      </c>
    </row>
    <row r="476" ht="15.75" hidden="1" customHeight="1">
      <c r="A476" s="54" t="s">
        <v>658</v>
      </c>
      <c r="B476" s="56" t="s">
        <v>715</v>
      </c>
      <c r="C476" s="56" t="s">
        <v>606</v>
      </c>
      <c r="D476" s="56" t="s">
        <v>716</v>
      </c>
      <c r="E476" s="56" t="s">
        <v>682</v>
      </c>
      <c r="F476" s="56" t="s">
        <v>193</v>
      </c>
      <c r="G476" s="57" t="s">
        <v>34</v>
      </c>
      <c r="H476" s="68">
        <f t="shared" si="3"/>
        <v>0</v>
      </c>
      <c r="I476" s="62" t="s">
        <v>146</v>
      </c>
      <c r="J476" s="62"/>
      <c r="K476" s="71"/>
      <c r="L476" s="57" t="s">
        <v>115</v>
      </c>
      <c r="M476" s="61"/>
      <c r="N476" s="79"/>
      <c r="O476" s="62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30"/>
      <c r="AC476" s="30">
        <v>1.0</v>
      </c>
      <c r="AD476" s="30">
        <f t="shared" si="4"/>
        <v>0</v>
      </c>
      <c r="AE476" s="70">
        <f t="shared" si="5"/>
        <v>0</v>
      </c>
      <c r="AF476" s="70">
        <v>1.0</v>
      </c>
    </row>
    <row r="477" ht="15.75" hidden="1" customHeight="1">
      <c r="A477" s="54" t="s">
        <v>658</v>
      </c>
      <c r="B477" s="56" t="s">
        <v>715</v>
      </c>
      <c r="C477" s="56" t="s">
        <v>606</v>
      </c>
      <c r="D477" s="56" t="s">
        <v>716</v>
      </c>
      <c r="E477" s="56" t="s">
        <v>683</v>
      </c>
      <c r="F477" s="56" t="s">
        <v>193</v>
      </c>
      <c r="G477" s="57" t="s">
        <v>34</v>
      </c>
      <c r="H477" s="68">
        <f t="shared" si="3"/>
        <v>0</v>
      </c>
      <c r="I477" s="62" t="s">
        <v>146</v>
      </c>
      <c r="J477" s="62"/>
      <c r="K477" s="71"/>
      <c r="L477" s="57" t="s">
        <v>130</v>
      </c>
      <c r="M477" s="61"/>
      <c r="N477" s="79"/>
      <c r="O477" s="62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30"/>
      <c r="AC477" s="30">
        <v>1.0</v>
      </c>
      <c r="AD477" s="30">
        <f t="shared" si="4"/>
        <v>0</v>
      </c>
      <c r="AE477" s="70">
        <f t="shared" si="5"/>
        <v>0</v>
      </c>
      <c r="AF477" s="70">
        <v>1.0</v>
      </c>
    </row>
    <row r="478" ht="15.75" hidden="1" customHeight="1">
      <c r="A478" s="54" t="s">
        <v>658</v>
      </c>
      <c r="B478" s="56" t="s">
        <v>715</v>
      </c>
      <c r="C478" s="56" t="s">
        <v>606</v>
      </c>
      <c r="D478" s="56" t="s">
        <v>716</v>
      </c>
      <c r="E478" s="56" t="s">
        <v>684</v>
      </c>
      <c r="F478" s="56" t="s">
        <v>249</v>
      </c>
      <c r="G478" s="57" t="s">
        <v>250</v>
      </c>
      <c r="H478" s="68">
        <f t="shared" si="3"/>
        <v>0</v>
      </c>
      <c r="I478" s="62"/>
      <c r="J478" s="62"/>
      <c r="K478" s="71"/>
      <c r="L478" s="57" t="s">
        <v>115</v>
      </c>
      <c r="M478" s="61"/>
      <c r="N478" s="61" t="s">
        <v>686</v>
      </c>
      <c r="O478" s="62" t="s">
        <v>687</v>
      </c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30"/>
      <c r="AC478" s="30">
        <v>2.0</v>
      </c>
      <c r="AD478" s="30">
        <f t="shared" si="4"/>
        <v>0</v>
      </c>
      <c r="AE478" s="70">
        <f t="shared" si="5"/>
        <v>0</v>
      </c>
      <c r="AF478" s="70">
        <v>1.0</v>
      </c>
    </row>
    <row r="479" ht="15.75" hidden="1" customHeight="1">
      <c r="A479" s="54" t="s">
        <v>658</v>
      </c>
      <c r="B479" s="56" t="s">
        <v>715</v>
      </c>
      <c r="C479" s="56" t="s">
        <v>606</v>
      </c>
      <c r="D479" s="56" t="s">
        <v>716</v>
      </c>
      <c r="E479" s="56" t="s">
        <v>695</v>
      </c>
      <c r="F479" s="56" t="s">
        <v>249</v>
      </c>
      <c r="G479" s="57" t="s">
        <v>250</v>
      </c>
      <c r="H479" s="68">
        <f t="shared" si="3"/>
        <v>0</v>
      </c>
      <c r="I479" s="62"/>
      <c r="J479" s="62"/>
      <c r="K479" s="71"/>
      <c r="L479" s="57" t="s">
        <v>115</v>
      </c>
      <c r="M479" s="61"/>
      <c r="N479" s="61" t="s">
        <v>346</v>
      </c>
      <c r="O479" s="62" t="s">
        <v>696</v>
      </c>
      <c r="P479" s="53"/>
      <c r="Q479" s="53"/>
      <c r="R479" s="87"/>
      <c r="S479" s="53"/>
      <c r="T479" s="53"/>
      <c r="U479" s="53"/>
      <c r="V479" s="87"/>
      <c r="W479" s="53"/>
      <c r="X479" s="53"/>
      <c r="Y479" s="53"/>
      <c r="Z479" s="53"/>
      <c r="AA479" s="87"/>
      <c r="AB479" s="30"/>
      <c r="AC479" s="30">
        <v>2.0</v>
      </c>
      <c r="AD479" s="30">
        <f t="shared" si="4"/>
        <v>0</v>
      </c>
      <c r="AE479" s="70">
        <f t="shared" si="5"/>
        <v>0</v>
      </c>
      <c r="AF479" s="70">
        <v>1.0</v>
      </c>
    </row>
    <row r="480" ht="15.75" hidden="1" customHeight="1">
      <c r="A480" s="54" t="s">
        <v>658</v>
      </c>
      <c r="B480" s="56" t="s">
        <v>715</v>
      </c>
      <c r="C480" s="56" t="s">
        <v>606</v>
      </c>
      <c r="D480" s="56" t="s">
        <v>716</v>
      </c>
      <c r="E480" s="56" t="s">
        <v>685</v>
      </c>
      <c r="F480" s="56" t="s">
        <v>249</v>
      </c>
      <c r="G480" s="57" t="s">
        <v>250</v>
      </c>
      <c r="H480" s="68">
        <f t="shared" si="3"/>
        <v>0</v>
      </c>
      <c r="I480" s="62"/>
      <c r="J480" s="62" t="s">
        <v>873</v>
      </c>
      <c r="K480" s="71"/>
      <c r="L480" s="57" t="s">
        <v>115</v>
      </c>
      <c r="M480" s="61"/>
      <c r="N480" s="61" t="s">
        <v>200</v>
      </c>
      <c r="O480" s="62" t="s">
        <v>689</v>
      </c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30">
        <v>2.0</v>
      </c>
      <c r="AD480" s="30">
        <f t="shared" si="4"/>
        <v>0</v>
      </c>
      <c r="AE480" s="70">
        <f t="shared" si="5"/>
        <v>0</v>
      </c>
      <c r="AF480" s="70">
        <v>1.0</v>
      </c>
    </row>
    <row r="481" ht="15.75" hidden="1" customHeight="1">
      <c r="A481" s="54" t="s">
        <v>658</v>
      </c>
      <c r="B481" s="56" t="s">
        <v>717</v>
      </c>
      <c r="C481" s="56" t="s">
        <v>718</v>
      </c>
      <c r="D481" s="56" t="s">
        <v>719</v>
      </c>
      <c r="E481" s="56" t="s">
        <v>239</v>
      </c>
      <c r="F481" s="56" t="s">
        <v>327</v>
      </c>
      <c r="G481" s="57" t="s">
        <v>154</v>
      </c>
      <c r="H481" s="68">
        <f t="shared" si="3"/>
        <v>0</v>
      </c>
      <c r="I481" s="62" t="s">
        <v>146</v>
      </c>
      <c r="J481" s="62" t="s">
        <v>207</v>
      </c>
      <c r="K481" s="71"/>
      <c r="L481" s="57" t="s">
        <v>115</v>
      </c>
      <c r="M481" s="61"/>
      <c r="N481" s="79"/>
      <c r="O481" s="62" t="s">
        <v>207</v>
      </c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30">
        <v>2.0</v>
      </c>
      <c r="AD481" s="30">
        <f t="shared" si="4"/>
        <v>0</v>
      </c>
      <c r="AE481" s="70">
        <f t="shared" si="5"/>
        <v>0</v>
      </c>
      <c r="AF481" s="70">
        <v>1.0</v>
      </c>
    </row>
    <row r="482" ht="15.75" hidden="1" customHeight="1">
      <c r="A482" s="54" t="s">
        <v>658</v>
      </c>
      <c r="B482" s="56" t="s">
        <v>720</v>
      </c>
      <c r="C482" s="56" t="s">
        <v>718</v>
      </c>
      <c r="D482" s="56" t="s">
        <v>721</v>
      </c>
      <c r="E482" s="56" t="s">
        <v>722</v>
      </c>
      <c r="F482" s="56" t="s">
        <v>327</v>
      </c>
      <c r="G482" s="57" t="s">
        <v>154</v>
      </c>
      <c r="H482" s="68">
        <f t="shared" si="3"/>
        <v>0</v>
      </c>
      <c r="I482" s="62" t="s">
        <v>146</v>
      </c>
      <c r="J482" s="62"/>
      <c r="K482" s="71"/>
      <c r="L482" s="57" t="s">
        <v>130</v>
      </c>
      <c r="M482" s="61"/>
      <c r="N482" s="79"/>
      <c r="O482" s="62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30">
        <v>2.0</v>
      </c>
      <c r="AD482" s="30">
        <f t="shared" si="4"/>
        <v>0</v>
      </c>
      <c r="AE482" s="70">
        <f t="shared" si="5"/>
        <v>0</v>
      </c>
      <c r="AF482" s="70">
        <v>1.0</v>
      </c>
    </row>
    <row r="483" ht="15.75" hidden="1" customHeight="1">
      <c r="A483" s="54" t="s">
        <v>658</v>
      </c>
      <c r="B483" s="56" t="s">
        <v>720</v>
      </c>
      <c r="C483" s="56" t="s">
        <v>718</v>
      </c>
      <c r="D483" s="56" t="s">
        <v>721</v>
      </c>
      <c r="E483" s="56" t="s">
        <v>723</v>
      </c>
      <c r="F483" s="56" t="s">
        <v>327</v>
      </c>
      <c r="G483" s="57" t="s">
        <v>154</v>
      </c>
      <c r="H483" s="68">
        <f t="shared" si="3"/>
        <v>0</v>
      </c>
      <c r="I483" s="62" t="s">
        <v>146</v>
      </c>
      <c r="J483" s="62"/>
      <c r="K483" s="71"/>
      <c r="L483" s="57" t="s">
        <v>130</v>
      </c>
      <c r="M483" s="61"/>
      <c r="N483" s="79"/>
      <c r="O483" s="62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75"/>
      <c r="AC483" s="30">
        <v>2.0</v>
      </c>
      <c r="AD483" s="30">
        <f t="shared" si="4"/>
        <v>0</v>
      </c>
      <c r="AE483" s="70">
        <f t="shared" si="5"/>
        <v>0</v>
      </c>
      <c r="AF483" s="70">
        <v>1.0</v>
      </c>
    </row>
    <row r="484" ht="15.75" hidden="1" customHeight="1">
      <c r="A484" s="54" t="s">
        <v>658</v>
      </c>
      <c r="B484" s="56" t="s">
        <v>724</v>
      </c>
      <c r="C484" s="56" t="s">
        <v>718</v>
      </c>
      <c r="D484" s="56" t="s">
        <v>725</v>
      </c>
      <c r="E484" s="56" t="s">
        <v>239</v>
      </c>
      <c r="F484" s="56" t="s">
        <v>327</v>
      </c>
      <c r="G484" s="57" t="s">
        <v>154</v>
      </c>
      <c r="H484" s="68">
        <f t="shared" si="3"/>
        <v>0</v>
      </c>
      <c r="I484" s="62" t="s">
        <v>146</v>
      </c>
      <c r="J484" s="62" t="s">
        <v>207</v>
      </c>
      <c r="K484" s="71"/>
      <c r="L484" s="57" t="s">
        <v>115</v>
      </c>
      <c r="M484" s="61"/>
      <c r="N484" s="79"/>
      <c r="O484" s="62" t="s">
        <v>207</v>
      </c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30">
        <v>2.0</v>
      </c>
      <c r="AD484" s="30">
        <f t="shared" si="4"/>
        <v>0</v>
      </c>
      <c r="AE484" s="70">
        <f t="shared" si="5"/>
        <v>0</v>
      </c>
      <c r="AF484" s="70">
        <v>1.0</v>
      </c>
    </row>
    <row r="485" ht="15.75" hidden="1" customHeight="1">
      <c r="A485" s="54" t="s">
        <v>658</v>
      </c>
      <c r="B485" s="56" t="s">
        <v>720</v>
      </c>
      <c r="C485" s="56" t="s">
        <v>718</v>
      </c>
      <c r="D485" s="56" t="s">
        <v>728</v>
      </c>
      <c r="E485" s="56" t="s">
        <v>722</v>
      </c>
      <c r="F485" s="56" t="s">
        <v>327</v>
      </c>
      <c r="G485" s="57" t="s">
        <v>154</v>
      </c>
      <c r="H485" s="68">
        <f t="shared" si="3"/>
        <v>0</v>
      </c>
      <c r="I485" s="62" t="s">
        <v>146</v>
      </c>
      <c r="J485" s="62"/>
      <c r="K485" s="71"/>
      <c r="L485" s="57" t="s">
        <v>130</v>
      </c>
      <c r="M485" s="61"/>
      <c r="N485" s="79"/>
      <c r="O485" s="62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30">
        <v>2.0</v>
      </c>
      <c r="AD485" s="30">
        <f t="shared" si="4"/>
        <v>0</v>
      </c>
      <c r="AE485" s="70">
        <f t="shared" si="5"/>
        <v>0</v>
      </c>
      <c r="AF485" s="70">
        <v>1.0</v>
      </c>
    </row>
    <row r="486" ht="15.75" hidden="1" customHeight="1">
      <c r="A486" s="54" t="s">
        <v>658</v>
      </c>
      <c r="B486" s="56" t="s">
        <v>720</v>
      </c>
      <c r="C486" s="56" t="s">
        <v>718</v>
      </c>
      <c r="D486" s="56" t="s">
        <v>728</v>
      </c>
      <c r="E486" s="56" t="s">
        <v>723</v>
      </c>
      <c r="F486" s="56" t="s">
        <v>327</v>
      </c>
      <c r="G486" s="57" t="s">
        <v>154</v>
      </c>
      <c r="H486" s="68">
        <f t="shared" si="3"/>
        <v>0</v>
      </c>
      <c r="I486" s="62" t="s">
        <v>146</v>
      </c>
      <c r="J486" s="62"/>
      <c r="K486" s="71"/>
      <c r="L486" s="57" t="s">
        <v>130</v>
      </c>
      <c r="M486" s="61"/>
      <c r="N486" s="79"/>
      <c r="O486" s="62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30">
        <v>2.0</v>
      </c>
      <c r="AD486" s="30">
        <f t="shared" si="4"/>
        <v>0</v>
      </c>
      <c r="AE486" s="70">
        <f t="shared" si="5"/>
        <v>0</v>
      </c>
      <c r="AF486" s="70">
        <v>1.0</v>
      </c>
    </row>
    <row r="487" ht="15.75" hidden="1" customHeight="1">
      <c r="A487" s="54" t="s">
        <v>729</v>
      </c>
      <c r="B487" s="56" t="s">
        <v>730</v>
      </c>
      <c r="C487" s="56" t="s">
        <v>731</v>
      </c>
      <c r="D487" s="56" t="s">
        <v>732</v>
      </c>
      <c r="E487" s="56" t="s">
        <v>167</v>
      </c>
      <c r="F487" s="56" t="s">
        <v>327</v>
      </c>
      <c r="G487" s="57" t="s">
        <v>154</v>
      </c>
      <c r="H487" s="68">
        <f t="shared" si="3"/>
        <v>0</v>
      </c>
      <c r="I487" s="62"/>
      <c r="J487" s="62"/>
      <c r="K487" s="71"/>
      <c r="L487" s="57" t="s">
        <v>115</v>
      </c>
      <c r="M487" s="61"/>
      <c r="N487" s="61"/>
      <c r="O487" s="62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30">
        <v>2.0</v>
      </c>
      <c r="AD487" s="30">
        <f t="shared" si="4"/>
        <v>0</v>
      </c>
      <c r="AE487" s="70">
        <f t="shared" si="5"/>
        <v>0</v>
      </c>
      <c r="AF487" s="70">
        <v>1.0</v>
      </c>
    </row>
    <row r="488" ht="15.75" hidden="1" customHeight="1">
      <c r="A488" s="54" t="s">
        <v>729</v>
      </c>
      <c r="B488" s="56" t="s">
        <v>730</v>
      </c>
      <c r="C488" s="56" t="s">
        <v>731</v>
      </c>
      <c r="D488" s="56" t="s">
        <v>732</v>
      </c>
      <c r="E488" s="56" t="s">
        <v>733</v>
      </c>
      <c r="F488" s="56" t="s">
        <v>327</v>
      </c>
      <c r="G488" s="57" t="s">
        <v>154</v>
      </c>
      <c r="H488" s="68">
        <f t="shared" si="3"/>
        <v>0</v>
      </c>
      <c r="I488" s="62"/>
      <c r="J488" s="62"/>
      <c r="K488" s="71"/>
      <c r="L488" s="57" t="s">
        <v>115</v>
      </c>
      <c r="M488" s="61"/>
      <c r="N488" s="61"/>
      <c r="O488" s="62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30">
        <v>2.0</v>
      </c>
      <c r="AD488" s="30">
        <f t="shared" si="4"/>
        <v>0</v>
      </c>
      <c r="AE488" s="70">
        <f t="shared" si="5"/>
        <v>0</v>
      </c>
      <c r="AF488" s="70">
        <v>1.0</v>
      </c>
    </row>
    <row r="489" ht="15.75" hidden="1" customHeight="1">
      <c r="A489" s="54" t="s">
        <v>729</v>
      </c>
      <c r="B489" s="56" t="s">
        <v>730</v>
      </c>
      <c r="C489" s="56" t="s">
        <v>731</v>
      </c>
      <c r="D489" s="56" t="s">
        <v>732</v>
      </c>
      <c r="E489" s="56" t="s">
        <v>176</v>
      </c>
      <c r="F489" s="56" t="s">
        <v>327</v>
      </c>
      <c r="G489" s="57" t="s">
        <v>154</v>
      </c>
      <c r="H489" s="68">
        <f t="shared" si="3"/>
        <v>0</v>
      </c>
      <c r="I489" s="62"/>
      <c r="J489" s="62"/>
      <c r="K489" s="71"/>
      <c r="L489" s="57" t="s">
        <v>115</v>
      </c>
      <c r="M489" s="61"/>
      <c r="N489" s="61"/>
      <c r="O489" s="62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30">
        <v>2.0</v>
      </c>
      <c r="AD489" s="30">
        <f t="shared" si="4"/>
        <v>0</v>
      </c>
      <c r="AE489" s="70">
        <f t="shared" si="5"/>
        <v>0</v>
      </c>
      <c r="AF489" s="70">
        <v>1.0</v>
      </c>
    </row>
    <row r="490" ht="15.75" hidden="1" customHeight="1">
      <c r="A490" s="54" t="s">
        <v>729</v>
      </c>
      <c r="B490" s="56" t="s">
        <v>734</v>
      </c>
      <c r="C490" s="56" t="s">
        <v>731</v>
      </c>
      <c r="D490" s="56" t="s">
        <v>735</v>
      </c>
      <c r="E490" s="56" t="s">
        <v>167</v>
      </c>
      <c r="F490" s="56" t="s">
        <v>327</v>
      </c>
      <c r="G490" s="57" t="s">
        <v>154</v>
      </c>
      <c r="H490" s="68">
        <f t="shared" si="3"/>
        <v>0</v>
      </c>
      <c r="I490" s="62"/>
      <c r="J490" s="62"/>
      <c r="K490" s="71"/>
      <c r="L490" s="57" t="s">
        <v>115</v>
      </c>
      <c r="M490" s="61"/>
      <c r="N490" s="61"/>
      <c r="O490" s="62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30">
        <v>2.0</v>
      </c>
      <c r="AD490" s="30">
        <f t="shared" si="4"/>
        <v>0</v>
      </c>
      <c r="AE490" s="70">
        <f t="shared" si="5"/>
        <v>0</v>
      </c>
      <c r="AF490" s="70">
        <v>1.0</v>
      </c>
    </row>
    <row r="491" ht="15.75" hidden="1" customHeight="1">
      <c r="A491" s="54" t="s">
        <v>729</v>
      </c>
      <c r="B491" s="56" t="s">
        <v>734</v>
      </c>
      <c r="C491" s="56" t="s">
        <v>731</v>
      </c>
      <c r="D491" s="56" t="s">
        <v>735</v>
      </c>
      <c r="E491" s="56" t="s">
        <v>733</v>
      </c>
      <c r="F491" s="56" t="s">
        <v>327</v>
      </c>
      <c r="G491" s="57" t="s">
        <v>154</v>
      </c>
      <c r="H491" s="68">
        <f t="shared" si="3"/>
        <v>0</v>
      </c>
      <c r="I491" s="62"/>
      <c r="J491" s="62"/>
      <c r="K491" s="71"/>
      <c r="L491" s="57" t="s">
        <v>115</v>
      </c>
      <c r="M491" s="61"/>
      <c r="N491" s="61"/>
      <c r="O491" s="62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30">
        <v>2.0</v>
      </c>
      <c r="AD491" s="30">
        <f t="shared" si="4"/>
        <v>0</v>
      </c>
      <c r="AE491" s="70">
        <f t="shared" si="5"/>
        <v>0</v>
      </c>
      <c r="AF491" s="70">
        <v>1.0</v>
      </c>
    </row>
    <row r="492" ht="15.75" hidden="1" customHeight="1">
      <c r="A492" s="54" t="s">
        <v>729</v>
      </c>
      <c r="B492" s="56" t="s">
        <v>734</v>
      </c>
      <c r="C492" s="56" t="s">
        <v>731</v>
      </c>
      <c r="D492" s="56" t="s">
        <v>735</v>
      </c>
      <c r="E492" s="56" t="s">
        <v>176</v>
      </c>
      <c r="F492" s="56" t="s">
        <v>327</v>
      </c>
      <c r="G492" s="57" t="s">
        <v>154</v>
      </c>
      <c r="H492" s="68">
        <f t="shared" si="3"/>
        <v>0</v>
      </c>
      <c r="I492" s="62"/>
      <c r="J492" s="62"/>
      <c r="K492" s="71"/>
      <c r="L492" s="57" t="s">
        <v>115</v>
      </c>
      <c r="M492" s="61"/>
      <c r="N492" s="61"/>
      <c r="O492" s="62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30">
        <v>2.0</v>
      </c>
      <c r="AD492" s="30">
        <f t="shared" si="4"/>
        <v>0</v>
      </c>
      <c r="AE492" s="70">
        <f t="shared" si="5"/>
        <v>0</v>
      </c>
      <c r="AF492" s="70">
        <v>1.0</v>
      </c>
    </row>
    <row r="493" ht="15.75" hidden="1" customHeight="1">
      <c r="A493" s="54" t="s">
        <v>729</v>
      </c>
      <c r="B493" s="56" t="s">
        <v>736</v>
      </c>
      <c r="C493" s="56" t="s">
        <v>731</v>
      </c>
      <c r="D493" s="56" t="s">
        <v>737</v>
      </c>
      <c r="E493" s="56" t="s">
        <v>167</v>
      </c>
      <c r="F493" s="56" t="s">
        <v>246</v>
      </c>
      <c r="G493" s="57" t="s">
        <v>154</v>
      </c>
      <c r="H493" s="68">
        <f t="shared" si="3"/>
        <v>0</v>
      </c>
      <c r="I493" s="62"/>
      <c r="J493" s="62"/>
      <c r="K493" s="71"/>
      <c r="L493" s="57" t="s">
        <v>115</v>
      </c>
      <c r="M493" s="61"/>
      <c r="N493" s="61"/>
      <c r="O493" s="62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30">
        <v>2.0</v>
      </c>
      <c r="AD493" s="30">
        <f t="shared" si="4"/>
        <v>0</v>
      </c>
      <c r="AE493" s="70">
        <f t="shared" si="5"/>
        <v>0</v>
      </c>
      <c r="AF493" s="70">
        <v>1.0</v>
      </c>
    </row>
    <row r="494" ht="15.75" hidden="1" customHeight="1">
      <c r="A494" s="54" t="s">
        <v>729</v>
      </c>
      <c r="B494" s="56" t="s">
        <v>736</v>
      </c>
      <c r="C494" s="56" t="s">
        <v>731</v>
      </c>
      <c r="D494" s="56" t="s">
        <v>737</v>
      </c>
      <c r="E494" s="56" t="s">
        <v>733</v>
      </c>
      <c r="F494" s="56" t="s">
        <v>246</v>
      </c>
      <c r="G494" s="57" t="s">
        <v>154</v>
      </c>
      <c r="H494" s="68">
        <f t="shared" si="3"/>
        <v>0</v>
      </c>
      <c r="I494" s="62"/>
      <c r="J494" s="62"/>
      <c r="K494" s="71"/>
      <c r="L494" s="57" t="s">
        <v>115</v>
      </c>
      <c r="M494" s="61"/>
      <c r="N494" s="61"/>
      <c r="O494" s="62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30">
        <v>2.0</v>
      </c>
      <c r="AD494" s="30">
        <f t="shared" si="4"/>
        <v>0</v>
      </c>
      <c r="AE494" s="70">
        <f t="shared" si="5"/>
        <v>0</v>
      </c>
      <c r="AF494" s="70">
        <v>1.0</v>
      </c>
    </row>
    <row r="495" ht="15.75" hidden="1" customHeight="1">
      <c r="A495" s="54" t="s">
        <v>729</v>
      </c>
      <c r="B495" s="56" t="s">
        <v>736</v>
      </c>
      <c r="C495" s="56" t="s">
        <v>731</v>
      </c>
      <c r="D495" s="56" t="s">
        <v>737</v>
      </c>
      <c r="E495" s="56" t="s">
        <v>176</v>
      </c>
      <c r="F495" s="56" t="s">
        <v>246</v>
      </c>
      <c r="G495" s="57" t="s">
        <v>154</v>
      </c>
      <c r="H495" s="68">
        <f t="shared" si="3"/>
        <v>0</v>
      </c>
      <c r="I495" s="62"/>
      <c r="J495" s="62"/>
      <c r="K495" s="71"/>
      <c r="L495" s="57" t="s">
        <v>115</v>
      </c>
      <c r="M495" s="61"/>
      <c r="N495" s="61"/>
      <c r="O495" s="62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30">
        <v>2.0</v>
      </c>
      <c r="AD495" s="30">
        <f t="shared" si="4"/>
        <v>0</v>
      </c>
      <c r="AE495" s="70">
        <f t="shared" si="5"/>
        <v>0</v>
      </c>
      <c r="AF495" s="70">
        <v>1.0</v>
      </c>
    </row>
    <row r="496" ht="15.75" hidden="1" customHeight="1">
      <c r="A496" s="54" t="s">
        <v>729</v>
      </c>
      <c r="B496" s="56" t="s">
        <v>738</v>
      </c>
      <c r="C496" s="56" t="s">
        <v>731</v>
      </c>
      <c r="D496" s="56" t="s">
        <v>175</v>
      </c>
      <c r="E496" s="56" t="s">
        <v>163</v>
      </c>
      <c r="F496" s="56" t="s">
        <v>327</v>
      </c>
      <c r="G496" s="57" t="s">
        <v>154</v>
      </c>
      <c r="H496" s="68">
        <f t="shared" si="3"/>
        <v>0</v>
      </c>
      <c r="I496" s="62"/>
      <c r="J496" s="62"/>
      <c r="K496" s="71"/>
      <c r="L496" s="57" t="s">
        <v>115</v>
      </c>
      <c r="M496" s="61"/>
      <c r="N496" s="61"/>
      <c r="O496" s="62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30">
        <v>2.0</v>
      </c>
      <c r="AD496" s="30">
        <f t="shared" si="4"/>
        <v>0</v>
      </c>
      <c r="AE496" s="70">
        <f t="shared" si="5"/>
        <v>0</v>
      </c>
      <c r="AF496" s="70">
        <v>1.0</v>
      </c>
    </row>
    <row r="497" ht="15.75" hidden="1" customHeight="1">
      <c r="A497" s="54" t="s">
        <v>729</v>
      </c>
      <c r="B497" s="56" t="s">
        <v>738</v>
      </c>
      <c r="C497" s="56" t="s">
        <v>731</v>
      </c>
      <c r="D497" s="56" t="s">
        <v>175</v>
      </c>
      <c r="E497" s="56" t="s">
        <v>176</v>
      </c>
      <c r="F497" s="56" t="s">
        <v>327</v>
      </c>
      <c r="G497" s="57" t="s">
        <v>154</v>
      </c>
      <c r="H497" s="68">
        <f t="shared" si="3"/>
        <v>0</v>
      </c>
      <c r="I497" s="62"/>
      <c r="J497" s="62"/>
      <c r="K497" s="71"/>
      <c r="L497" s="57" t="s">
        <v>115</v>
      </c>
      <c r="M497" s="61"/>
      <c r="N497" s="61"/>
      <c r="O497" s="62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30">
        <v>2.0</v>
      </c>
      <c r="AD497" s="30">
        <f t="shared" si="4"/>
        <v>0</v>
      </c>
      <c r="AE497" s="70">
        <f t="shared" si="5"/>
        <v>0</v>
      </c>
      <c r="AF497" s="70">
        <v>1.0</v>
      </c>
    </row>
    <row r="498" ht="15.75" hidden="1" customHeight="1">
      <c r="A498" s="54" t="s">
        <v>729</v>
      </c>
      <c r="B498" s="56" t="s">
        <v>739</v>
      </c>
      <c r="C498" s="56" t="s">
        <v>731</v>
      </c>
      <c r="D498" s="56" t="s">
        <v>186</v>
      </c>
      <c r="E498" s="56" t="s">
        <v>163</v>
      </c>
      <c r="F498" s="56" t="s">
        <v>327</v>
      </c>
      <c r="G498" s="57" t="s">
        <v>154</v>
      </c>
      <c r="H498" s="68">
        <f t="shared" si="3"/>
        <v>0</v>
      </c>
      <c r="I498" s="62"/>
      <c r="J498" s="62"/>
      <c r="K498" s="71"/>
      <c r="L498" s="57" t="s">
        <v>115</v>
      </c>
      <c r="M498" s="61"/>
      <c r="N498" s="61"/>
      <c r="O498" s="62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30">
        <v>2.0</v>
      </c>
      <c r="AD498" s="30">
        <f t="shared" si="4"/>
        <v>0</v>
      </c>
      <c r="AE498" s="70">
        <f t="shared" si="5"/>
        <v>0</v>
      </c>
      <c r="AF498" s="70">
        <v>1.0</v>
      </c>
    </row>
    <row r="499" ht="15.75" hidden="1" customHeight="1">
      <c r="A499" s="54" t="s">
        <v>729</v>
      </c>
      <c r="B499" s="56" t="s">
        <v>739</v>
      </c>
      <c r="C499" s="56" t="s">
        <v>731</v>
      </c>
      <c r="D499" s="56" t="s">
        <v>186</v>
      </c>
      <c r="E499" s="56" t="s">
        <v>176</v>
      </c>
      <c r="F499" s="56" t="s">
        <v>327</v>
      </c>
      <c r="G499" s="57" t="s">
        <v>154</v>
      </c>
      <c r="H499" s="68">
        <f t="shared" si="3"/>
        <v>0</v>
      </c>
      <c r="I499" s="62"/>
      <c r="J499" s="62"/>
      <c r="K499" s="71"/>
      <c r="L499" s="57" t="s">
        <v>115</v>
      </c>
      <c r="M499" s="61"/>
      <c r="N499" s="61"/>
      <c r="O499" s="62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30">
        <v>2.0</v>
      </c>
      <c r="AD499" s="30">
        <f t="shared" si="4"/>
        <v>0</v>
      </c>
      <c r="AE499" s="70">
        <f t="shared" si="5"/>
        <v>0</v>
      </c>
      <c r="AF499" s="70">
        <v>1.0</v>
      </c>
    </row>
    <row r="500" ht="15.75" hidden="1" customHeight="1">
      <c r="A500" s="54" t="s">
        <v>729</v>
      </c>
      <c r="B500" s="56" t="s">
        <v>740</v>
      </c>
      <c r="C500" s="56" t="s">
        <v>731</v>
      </c>
      <c r="D500" s="56" t="s">
        <v>183</v>
      </c>
      <c r="E500" s="56" t="s">
        <v>163</v>
      </c>
      <c r="F500" s="56" t="s">
        <v>327</v>
      </c>
      <c r="G500" s="57" t="s">
        <v>154</v>
      </c>
      <c r="H500" s="68">
        <f t="shared" si="3"/>
        <v>0</v>
      </c>
      <c r="I500" s="62"/>
      <c r="J500" s="62"/>
      <c r="K500" s="71"/>
      <c r="L500" s="57" t="s">
        <v>115</v>
      </c>
      <c r="M500" s="61"/>
      <c r="N500" s="61"/>
      <c r="O500" s="62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30">
        <v>2.0</v>
      </c>
      <c r="AD500" s="30">
        <f t="shared" si="4"/>
        <v>0</v>
      </c>
      <c r="AE500" s="70">
        <f t="shared" si="5"/>
        <v>0</v>
      </c>
      <c r="AF500" s="70">
        <v>1.0</v>
      </c>
    </row>
    <row r="501" ht="15.75" hidden="1" customHeight="1">
      <c r="A501" s="54" t="s">
        <v>729</v>
      </c>
      <c r="B501" s="56" t="s">
        <v>740</v>
      </c>
      <c r="C501" s="56" t="s">
        <v>731</v>
      </c>
      <c r="D501" s="56" t="s">
        <v>183</v>
      </c>
      <c r="E501" s="56" t="s">
        <v>176</v>
      </c>
      <c r="F501" s="56" t="s">
        <v>327</v>
      </c>
      <c r="G501" s="57" t="s">
        <v>154</v>
      </c>
      <c r="H501" s="68">
        <f t="shared" si="3"/>
        <v>0</v>
      </c>
      <c r="I501" s="62"/>
      <c r="J501" s="62"/>
      <c r="K501" s="71"/>
      <c r="L501" s="57" t="s">
        <v>115</v>
      </c>
      <c r="M501" s="61"/>
      <c r="N501" s="61"/>
      <c r="O501" s="62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30">
        <v>2.0</v>
      </c>
      <c r="AD501" s="30">
        <f t="shared" si="4"/>
        <v>0</v>
      </c>
      <c r="AE501" s="70">
        <f t="shared" si="5"/>
        <v>0</v>
      </c>
      <c r="AF501" s="70">
        <v>1.0</v>
      </c>
    </row>
    <row r="502" ht="15.75" hidden="1" customHeight="1">
      <c r="A502" s="54" t="s">
        <v>741</v>
      </c>
      <c r="B502" s="56" t="s">
        <v>742</v>
      </c>
      <c r="C502" s="56" t="s">
        <v>405</v>
      </c>
      <c r="D502" s="56" t="s">
        <v>743</v>
      </c>
      <c r="E502" s="56" t="s">
        <v>409</v>
      </c>
      <c r="F502" s="56" t="s">
        <v>246</v>
      </c>
      <c r="G502" s="57" t="s">
        <v>154</v>
      </c>
      <c r="H502" s="68">
        <f t="shared" si="3"/>
        <v>0</v>
      </c>
      <c r="I502" s="62" t="s">
        <v>146</v>
      </c>
      <c r="J502" s="62"/>
      <c r="K502" s="71"/>
      <c r="L502" s="57" t="s">
        <v>115</v>
      </c>
      <c r="M502" s="61"/>
      <c r="N502" s="61"/>
      <c r="O502" s="62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30">
        <v>2.0</v>
      </c>
      <c r="AD502" s="30">
        <f t="shared" si="4"/>
        <v>0</v>
      </c>
      <c r="AE502" s="70">
        <f t="shared" si="5"/>
        <v>0</v>
      </c>
      <c r="AF502" s="70">
        <v>1.0</v>
      </c>
    </row>
    <row r="503" ht="15.75" hidden="1" customHeight="1">
      <c r="A503" s="54" t="s">
        <v>741</v>
      </c>
      <c r="B503" s="56" t="s">
        <v>744</v>
      </c>
      <c r="C503" s="56" t="s">
        <v>745</v>
      </c>
      <c r="D503" s="56" t="s">
        <v>746</v>
      </c>
      <c r="E503" s="56" t="s">
        <v>747</v>
      </c>
      <c r="F503" s="56" t="s">
        <v>875</v>
      </c>
      <c r="G503" s="57" t="s">
        <v>34</v>
      </c>
      <c r="H503" s="68">
        <f t="shared" si="3"/>
        <v>0</v>
      </c>
      <c r="I503" s="62"/>
      <c r="J503" s="62"/>
      <c r="K503" s="71"/>
      <c r="L503" s="57" t="s">
        <v>130</v>
      </c>
      <c r="M503" s="61"/>
      <c r="N503" s="61"/>
      <c r="O503" s="62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30">
        <v>1.0</v>
      </c>
      <c r="AD503" s="30">
        <f t="shared" si="4"/>
        <v>0</v>
      </c>
      <c r="AE503" s="70">
        <f t="shared" si="5"/>
        <v>0</v>
      </c>
      <c r="AF503" s="70">
        <v>1.0</v>
      </c>
    </row>
    <row r="504" ht="15.75" hidden="1" customHeight="1">
      <c r="A504" s="54" t="s">
        <v>741</v>
      </c>
      <c r="B504" s="56" t="s">
        <v>744</v>
      </c>
      <c r="C504" s="56" t="s">
        <v>745</v>
      </c>
      <c r="D504" s="56" t="s">
        <v>746</v>
      </c>
      <c r="E504" s="56" t="s">
        <v>748</v>
      </c>
      <c r="F504" s="56" t="s">
        <v>246</v>
      </c>
      <c r="G504" s="57" t="s">
        <v>154</v>
      </c>
      <c r="H504" s="68">
        <f t="shared" si="3"/>
        <v>0</v>
      </c>
      <c r="I504" s="62"/>
      <c r="J504" s="62"/>
      <c r="K504" s="71"/>
      <c r="L504" s="57" t="s">
        <v>130</v>
      </c>
      <c r="M504" s="61"/>
      <c r="N504" s="61"/>
      <c r="O504" s="62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30"/>
      <c r="AC504" s="30">
        <v>2.0</v>
      </c>
      <c r="AD504" s="30">
        <f t="shared" si="4"/>
        <v>0</v>
      </c>
      <c r="AE504" s="70">
        <f t="shared" si="5"/>
        <v>0</v>
      </c>
      <c r="AF504" s="70">
        <v>1.0</v>
      </c>
    </row>
    <row r="505" ht="15.75" hidden="1" customHeight="1">
      <c r="A505" s="54" t="s">
        <v>741</v>
      </c>
      <c r="B505" s="56" t="s">
        <v>749</v>
      </c>
      <c r="C505" s="56" t="s">
        <v>745</v>
      </c>
      <c r="D505" s="56" t="s">
        <v>750</v>
      </c>
      <c r="E505" s="56" t="s">
        <v>747</v>
      </c>
      <c r="F505" s="56" t="s">
        <v>875</v>
      </c>
      <c r="G505" s="57" t="s">
        <v>34</v>
      </c>
      <c r="H505" s="68">
        <f t="shared" si="3"/>
        <v>0</v>
      </c>
      <c r="I505" s="62"/>
      <c r="J505" s="62"/>
      <c r="K505" s="71"/>
      <c r="L505" s="57" t="s">
        <v>130</v>
      </c>
      <c r="M505" s="61"/>
      <c r="N505" s="61"/>
      <c r="O505" s="62" t="s">
        <v>617</v>
      </c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30">
        <v>1.0</v>
      </c>
      <c r="AD505" s="30">
        <f t="shared" si="4"/>
        <v>0</v>
      </c>
      <c r="AE505" s="70">
        <f t="shared" si="5"/>
        <v>0</v>
      </c>
      <c r="AF505" s="70">
        <v>1.0</v>
      </c>
    </row>
    <row r="506" ht="15.75" hidden="1" customHeight="1">
      <c r="A506" s="54" t="s">
        <v>741</v>
      </c>
      <c r="B506" s="56" t="s">
        <v>749</v>
      </c>
      <c r="C506" s="56" t="s">
        <v>745</v>
      </c>
      <c r="D506" s="56" t="s">
        <v>750</v>
      </c>
      <c r="E506" s="56" t="s">
        <v>748</v>
      </c>
      <c r="F506" s="56" t="s">
        <v>246</v>
      </c>
      <c r="G506" s="57" t="s">
        <v>154</v>
      </c>
      <c r="H506" s="68">
        <f t="shared" si="3"/>
        <v>0</v>
      </c>
      <c r="I506" s="62"/>
      <c r="J506" s="62"/>
      <c r="K506" s="71"/>
      <c r="L506" s="57" t="s">
        <v>130</v>
      </c>
      <c r="M506" s="61"/>
      <c r="N506" s="61"/>
      <c r="O506" s="62" t="s">
        <v>617</v>
      </c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30"/>
      <c r="AC506" s="30">
        <v>2.0</v>
      </c>
      <c r="AD506" s="30">
        <f t="shared" si="4"/>
        <v>0</v>
      </c>
      <c r="AE506" s="70">
        <f t="shared" si="5"/>
        <v>0</v>
      </c>
      <c r="AF506" s="70">
        <v>1.0</v>
      </c>
    </row>
    <row r="507" ht="15.75" customHeight="1">
      <c r="A507" s="54" t="s">
        <v>741</v>
      </c>
      <c r="B507" s="56" t="s">
        <v>751</v>
      </c>
      <c r="C507" s="56" t="s">
        <v>610</v>
      </c>
      <c r="D507" s="56" t="s">
        <v>752</v>
      </c>
      <c r="E507" s="56" t="s">
        <v>753</v>
      </c>
      <c r="F507" s="56" t="s">
        <v>246</v>
      </c>
      <c r="G507" s="57" t="s">
        <v>154</v>
      </c>
      <c r="H507" s="68">
        <f t="shared" si="3"/>
        <v>0</v>
      </c>
      <c r="I507" s="62"/>
      <c r="J507" s="62" t="s">
        <v>617</v>
      </c>
      <c r="K507" s="71"/>
      <c r="L507" s="57" t="s">
        <v>115</v>
      </c>
      <c r="M507" s="61"/>
      <c r="N507" s="61"/>
      <c r="O507" s="62" t="s">
        <v>617</v>
      </c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30"/>
      <c r="AC507" s="30">
        <v>2.0</v>
      </c>
      <c r="AD507" s="30">
        <f t="shared" si="4"/>
        <v>0</v>
      </c>
      <c r="AE507" s="70">
        <f t="shared" si="5"/>
        <v>0</v>
      </c>
      <c r="AF507" s="70">
        <v>1.0</v>
      </c>
    </row>
    <row r="508" ht="15.75" customHeight="1">
      <c r="A508" s="54" t="s">
        <v>741</v>
      </c>
      <c r="B508" s="56" t="s">
        <v>751</v>
      </c>
      <c r="C508" s="56" t="s">
        <v>610</v>
      </c>
      <c r="D508" s="56" t="s">
        <v>752</v>
      </c>
      <c r="E508" s="56" t="s">
        <v>754</v>
      </c>
      <c r="F508" s="56" t="s">
        <v>246</v>
      </c>
      <c r="G508" s="57" t="s">
        <v>154</v>
      </c>
      <c r="H508" s="68">
        <f t="shared" si="3"/>
        <v>0</v>
      </c>
      <c r="I508" s="62"/>
      <c r="J508" s="62" t="s">
        <v>617</v>
      </c>
      <c r="K508" s="71"/>
      <c r="L508" s="57" t="s">
        <v>115</v>
      </c>
      <c r="M508" s="61"/>
      <c r="N508" s="61"/>
      <c r="O508" s="62" t="s">
        <v>617</v>
      </c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30"/>
      <c r="AC508" s="30">
        <v>2.0</v>
      </c>
      <c r="AD508" s="30">
        <f t="shared" si="4"/>
        <v>0</v>
      </c>
      <c r="AE508" s="70">
        <f t="shared" si="5"/>
        <v>0</v>
      </c>
      <c r="AF508" s="70">
        <v>1.0</v>
      </c>
    </row>
    <row r="509" ht="15.75" customHeight="1">
      <c r="A509" s="54" t="s">
        <v>741</v>
      </c>
      <c r="B509" s="56" t="s">
        <v>751</v>
      </c>
      <c r="C509" s="56" t="s">
        <v>610</v>
      </c>
      <c r="D509" s="56" t="s">
        <v>752</v>
      </c>
      <c r="E509" s="56" t="s">
        <v>755</v>
      </c>
      <c r="F509" s="56" t="s">
        <v>246</v>
      </c>
      <c r="G509" s="57" t="s">
        <v>154</v>
      </c>
      <c r="H509" s="68">
        <f t="shared" si="3"/>
        <v>0</v>
      </c>
      <c r="I509" s="62"/>
      <c r="J509" s="62" t="s">
        <v>617</v>
      </c>
      <c r="K509" s="71"/>
      <c r="L509" s="57" t="s">
        <v>115</v>
      </c>
      <c r="M509" s="61"/>
      <c r="N509" s="61"/>
      <c r="O509" s="62" t="s">
        <v>617</v>
      </c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30"/>
      <c r="AC509" s="30">
        <v>2.0</v>
      </c>
      <c r="AD509" s="30">
        <f t="shared" si="4"/>
        <v>0</v>
      </c>
      <c r="AE509" s="70">
        <f t="shared" si="5"/>
        <v>0</v>
      </c>
      <c r="AF509" s="70">
        <v>1.0</v>
      </c>
    </row>
    <row r="510" ht="15.75" customHeight="1">
      <c r="A510" s="54" t="s">
        <v>741</v>
      </c>
      <c r="B510" s="56" t="s">
        <v>756</v>
      </c>
      <c r="C510" s="56" t="s">
        <v>624</v>
      </c>
      <c r="D510" s="56" t="s">
        <v>752</v>
      </c>
      <c r="E510" s="56" t="s">
        <v>753</v>
      </c>
      <c r="F510" s="56" t="s">
        <v>246</v>
      </c>
      <c r="G510" s="57" t="s">
        <v>154</v>
      </c>
      <c r="H510" s="68">
        <f t="shared" si="3"/>
        <v>0.5</v>
      </c>
      <c r="I510" s="62"/>
      <c r="J510" s="62" t="s">
        <v>617</v>
      </c>
      <c r="K510" s="71"/>
      <c r="L510" s="57" t="s">
        <v>115</v>
      </c>
      <c r="M510" s="61"/>
      <c r="N510" s="61"/>
      <c r="O510" s="62" t="s">
        <v>617</v>
      </c>
      <c r="P510" s="53"/>
      <c r="Q510" s="53" t="s">
        <v>876</v>
      </c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30"/>
      <c r="AC510" s="30">
        <v>2.0</v>
      </c>
      <c r="AD510" s="30">
        <f t="shared" si="4"/>
        <v>1</v>
      </c>
      <c r="AE510" s="70">
        <f t="shared" si="5"/>
        <v>0</v>
      </c>
      <c r="AF510" s="70">
        <v>1.0</v>
      </c>
    </row>
    <row r="511" ht="15.75" customHeight="1">
      <c r="A511" s="54" t="s">
        <v>741</v>
      </c>
      <c r="B511" s="56" t="s">
        <v>756</v>
      </c>
      <c r="C511" s="56" t="s">
        <v>624</v>
      </c>
      <c r="D511" s="56" t="s">
        <v>752</v>
      </c>
      <c r="E511" s="56" t="s">
        <v>754</v>
      </c>
      <c r="F511" s="56" t="s">
        <v>246</v>
      </c>
      <c r="G511" s="57" t="s">
        <v>154</v>
      </c>
      <c r="H511" s="68">
        <f t="shared" si="3"/>
        <v>0.5</v>
      </c>
      <c r="I511" s="62"/>
      <c r="J511" s="62" t="s">
        <v>617</v>
      </c>
      <c r="K511" s="71"/>
      <c r="L511" s="57" t="s">
        <v>115</v>
      </c>
      <c r="M511" s="61"/>
      <c r="N511" s="61"/>
      <c r="O511" s="62" t="s">
        <v>617</v>
      </c>
      <c r="P511" s="53"/>
      <c r="Q511" s="53" t="s">
        <v>876</v>
      </c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30"/>
      <c r="AC511" s="30">
        <v>2.0</v>
      </c>
      <c r="AD511" s="30">
        <f t="shared" si="4"/>
        <v>1</v>
      </c>
      <c r="AE511" s="70">
        <f t="shared" si="5"/>
        <v>0</v>
      </c>
      <c r="AF511" s="70">
        <v>1.0</v>
      </c>
    </row>
    <row r="512" ht="15.75" customHeight="1">
      <c r="A512" s="54" t="s">
        <v>741</v>
      </c>
      <c r="B512" s="56" t="s">
        <v>756</v>
      </c>
      <c r="C512" s="56" t="s">
        <v>624</v>
      </c>
      <c r="D512" s="56" t="s">
        <v>752</v>
      </c>
      <c r="E512" s="56" t="s">
        <v>755</v>
      </c>
      <c r="F512" s="56" t="s">
        <v>246</v>
      </c>
      <c r="G512" s="57" t="s">
        <v>154</v>
      </c>
      <c r="H512" s="68">
        <f t="shared" si="3"/>
        <v>0.5</v>
      </c>
      <c r="I512" s="62"/>
      <c r="J512" s="62" t="s">
        <v>617</v>
      </c>
      <c r="K512" s="71"/>
      <c r="L512" s="57" t="s">
        <v>115</v>
      </c>
      <c r="M512" s="61"/>
      <c r="N512" s="61"/>
      <c r="O512" s="62" t="s">
        <v>617</v>
      </c>
      <c r="P512" s="53"/>
      <c r="Q512" s="53" t="s">
        <v>876</v>
      </c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30"/>
      <c r="AC512" s="30">
        <v>2.0</v>
      </c>
      <c r="AD512" s="30">
        <f t="shared" si="4"/>
        <v>1</v>
      </c>
      <c r="AE512" s="70">
        <f t="shared" si="5"/>
        <v>0</v>
      </c>
      <c r="AF512" s="70">
        <v>1.0</v>
      </c>
    </row>
    <row r="513" ht="15.75" customHeight="1">
      <c r="A513" s="54" t="s">
        <v>741</v>
      </c>
      <c r="B513" s="56" t="s">
        <v>757</v>
      </c>
      <c r="C513" s="56" t="s">
        <v>627</v>
      </c>
      <c r="D513" s="56" t="s">
        <v>752</v>
      </c>
      <c r="E513" s="56" t="s">
        <v>753</v>
      </c>
      <c r="F513" s="56" t="s">
        <v>246</v>
      </c>
      <c r="G513" s="57" t="s">
        <v>154</v>
      </c>
      <c r="H513" s="68">
        <f t="shared" si="3"/>
        <v>0</v>
      </c>
      <c r="I513" s="62"/>
      <c r="J513" s="62" t="s">
        <v>617</v>
      </c>
      <c r="K513" s="71"/>
      <c r="L513" s="57" t="s">
        <v>115</v>
      </c>
      <c r="M513" s="61"/>
      <c r="N513" s="61"/>
      <c r="O513" s="62" t="s">
        <v>617</v>
      </c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30"/>
      <c r="AC513" s="30">
        <v>2.0</v>
      </c>
      <c r="AD513" s="30">
        <f t="shared" si="4"/>
        <v>0</v>
      </c>
      <c r="AE513" s="70">
        <f t="shared" si="5"/>
        <v>0</v>
      </c>
      <c r="AF513" s="70">
        <v>1.0</v>
      </c>
    </row>
    <row r="514" ht="15.75" customHeight="1">
      <c r="A514" s="54" t="s">
        <v>741</v>
      </c>
      <c r="B514" s="56" t="s">
        <v>757</v>
      </c>
      <c r="C514" s="56" t="s">
        <v>627</v>
      </c>
      <c r="D514" s="56" t="s">
        <v>752</v>
      </c>
      <c r="E514" s="56" t="s">
        <v>754</v>
      </c>
      <c r="F514" s="56" t="s">
        <v>246</v>
      </c>
      <c r="G514" s="57" t="s">
        <v>154</v>
      </c>
      <c r="H514" s="68">
        <f t="shared" si="3"/>
        <v>0</v>
      </c>
      <c r="I514" s="62"/>
      <c r="J514" s="62" t="s">
        <v>617</v>
      </c>
      <c r="K514" s="71"/>
      <c r="L514" s="57" t="s">
        <v>115</v>
      </c>
      <c r="M514" s="61"/>
      <c r="N514" s="61"/>
      <c r="O514" s="62" t="s">
        <v>617</v>
      </c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30"/>
      <c r="AC514" s="30">
        <v>2.0</v>
      </c>
      <c r="AD514" s="30">
        <f t="shared" si="4"/>
        <v>0</v>
      </c>
      <c r="AE514" s="70">
        <f t="shared" si="5"/>
        <v>0</v>
      </c>
      <c r="AF514" s="70">
        <v>1.0</v>
      </c>
    </row>
    <row r="515" ht="15.75" customHeight="1">
      <c r="A515" s="54" t="s">
        <v>741</v>
      </c>
      <c r="B515" s="56" t="s">
        <v>757</v>
      </c>
      <c r="C515" s="56" t="s">
        <v>627</v>
      </c>
      <c r="D515" s="56" t="s">
        <v>752</v>
      </c>
      <c r="E515" s="56" t="s">
        <v>755</v>
      </c>
      <c r="F515" s="56" t="s">
        <v>246</v>
      </c>
      <c r="G515" s="57" t="s">
        <v>154</v>
      </c>
      <c r="H515" s="68">
        <f t="shared" si="3"/>
        <v>0</v>
      </c>
      <c r="I515" s="62"/>
      <c r="J515" s="62" t="s">
        <v>617</v>
      </c>
      <c r="K515" s="71"/>
      <c r="L515" s="57" t="s">
        <v>115</v>
      </c>
      <c r="M515" s="61"/>
      <c r="N515" s="61"/>
      <c r="O515" s="62" t="s">
        <v>617</v>
      </c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30"/>
      <c r="AC515" s="30">
        <v>2.0</v>
      </c>
      <c r="AD515" s="30">
        <f t="shared" si="4"/>
        <v>0</v>
      </c>
      <c r="AE515" s="70">
        <f t="shared" si="5"/>
        <v>0</v>
      </c>
      <c r="AF515" s="70">
        <v>1.0</v>
      </c>
    </row>
    <row r="516" ht="15.75" customHeight="1">
      <c r="A516" s="54" t="s">
        <v>741</v>
      </c>
      <c r="B516" s="56" t="s">
        <v>758</v>
      </c>
      <c r="C516" s="56" t="s">
        <v>640</v>
      </c>
      <c r="D516" s="56" t="s">
        <v>752</v>
      </c>
      <c r="E516" s="56" t="s">
        <v>753</v>
      </c>
      <c r="F516" s="56" t="s">
        <v>246</v>
      </c>
      <c r="G516" s="57" t="s">
        <v>154</v>
      </c>
      <c r="H516" s="68">
        <f t="shared" si="3"/>
        <v>0</v>
      </c>
      <c r="I516" s="62"/>
      <c r="J516" s="62" t="s">
        <v>617</v>
      </c>
      <c r="K516" s="71"/>
      <c r="L516" s="57" t="s">
        <v>115</v>
      </c>
      <c r="M516" s="61"/>
      <c r="N516" s="61"/>
      <c r="O516" s="62" t="s">
        <v>617</v>
      </c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30"/>
      <c r="AC516" s="30">
        <v>2.0</v>
      </c>
      <c r="AD516" s="30">
        <f t="shared" si="4"/>
        <v>0</v>
      </c>
      <c r="AE516" s="70">
        <f t="shared" si="5"/>
        <v>0</v>
      </c>
      <c r="AF516" s="70">
        <v>1.0</v>
      </c>
    </row>
    <row r="517" ht="15.75" customHeight="1">
      <c r="A517" s="54" t="s">
        <v>741</v>
      </c>
      <c r="B517" s="56" t="s">
        <v>758</v>
      </c>
      <c r="C517" s="56" t="s">
        <v>640</v>
      </c>
      <c r="D517" s="56" t="s">
        <v>752</v>
      </c>
      <c r="E517" s="56" t="s">
        <v>754</v>
      </c>
      <c r="F517" s="56" t="s">
        <v>246</v>
      </c>
      <c r="G517" s="57" t="s">
        <v>154</v>
      </c>
      <c r="H517" s="68">
        <f t="shared" si="3"/>
        <v>0</v>
      </c>
      <c r="I517" s="62"/>
      <c r="J517" s="62" t="s">
        <v>617</v>
      </c>
      <c r="K517" s="71"/>
      <c r="L517" s="57" t="s">
        <v>115</v>
      </c>
      <c r="M517" s="61"/>
      <c r="N517" s="61"/>
      <c r="O517" s="62" t="s">
        <v>617</v>
      </c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30"/>
      <c r="AC517" s="30">
        <v>2.0</v>
      </c>
      <c r="AD517" s="30">
        <f t="shared" si="4"/>
        <v>0</v>
      </c>
      <c r="AE517" s="70">
        <f t="shared" si="5"/>
        <v>0</v>
      </c>
      <c r="AF517" s="70">
        <v>1.0</v>
      </c>
    </row>
    <row r="518" ht="15.75" customHeight="1">
      <c r="A518" s="54" t="s">
        <v>741</v>
      </c>
      <c r="B518" s="56" t="s">
        <v>758</v>
      </c>
      <c r="C518" s="56" t="s">
        <v>640</v>
      </c>
      <c r="D518" s="56" t="s">
        <v>752</v>
      </c>
      <c r="E518" s="56" t="s">
        <v>755</v>
      </c>
      <c r="F518" s="56" t="s">
        <v>246</v>
      </c>
      <c r="G518" s="57" t="s">
        <v>154</v>
      </c>
      <c r="H518" s="68">
        <f t="shared" si="3"/>
        <v>0</v>
      </c>
      <c r="I518" s="62"/>
      <c r="J518" s="62" t="s">
        <v>617</v>
      </c>
      <c r="K518" s="71"/>
      <c r="L518" s="57" t="s">
        <v>115</v>
      </c>
      <c r="M518" s="61"/>
      <c r="N518" s="61"/>
      <c r="O518" s="62" t="s">
        <v>617</v>
      </c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30"/>
      <c r="AC518" s="30">
        <v>2.0</v>
      </c>
      <c r="AD518" s="30">
        <f t="shared" si="4"/>
        <v>0</v>
      </c>
      <c r="AE518" s="70">
        <f t="shared" si="5"/>
        <v>0</v>
      </c>
      <c r="AF518" s="70">
        <v>1.0</v>
      </c>
    </row>
    <row r="519" ht="15.75" customHeight="1">
      <c r="A519" s="54" t="s">
        <v>741</v>
      </c>
      <c r="B519" s="56" t="s">
        <v>759</v>
      </c>
      <c r="C519" s="56" t="s">
        <v>645</v>
      </c>
      <c r="D519" s="56" t="s">
        <v>752</v>
      </c>
      <c r="E519" s="56" t="s">
        <v>753</v>
      </c>
      <c r="F519" s="56" t="s">
        <v>246</v>
      </c>
      <c r="G519" s="57" t="s">
        <v>154</v>
      </c>
      <c r="H519" s="68">
        <f t="shared" si="3"/>
        <v>0</v>
      </c>
      <c r="I519" s="62"/>
      <c r="J519" s="62" t="s">
        <v>617</v>
      </c>
      <c r="K519" s="71"/>
      <c r="L519" s="57" t="s">
        <v>115</v>
      </c>
      <c r="M519" s="61"/>
      <c r="N519" s="61"/>
      <c r="O519" s="62" t="s">
        <v>617</v>
      </c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30"/>
      <c r="AC519" s="30">
        <v>2.0</v>
      </c>
      <c r="AD519" s="30">
        <f t="shared" si="4"/>
        <v>0</v>
      </c>
      <c r="AE519" s="70">
        <f t="shared" si="5"/>
        <v>0</v>
      </c>
      <c r="AF519" s="70">
        <v>1.0</v>
      </c>
    </row>
    <row r="520" ht="15.75" customHeight="1">
      <c r="A520" s="54" t="s">
        <v>741</v>
      </c>
      <c r="B520" s="56" t="s">
        <v>759</v>
      </c>
      <c r="C520" s="56" t="s">
        <v>645</v>
      </c>
      <c r="D520" s="56" t="s">
        <v>752</v>
      </c>
      <c r="E520" s="56" t="s">
        <v>754</v>
      </c>
      <c r="F520" s="56" t="s">
        <v>246</v>
      </c>
      <c r="G520" s="57" t="s">
        <v>154</v>
      </c>
      <c r="H520" s="68">
        <f t="shared" si="3"/>
        <v>0</v>
      </c>
      <c r="I520" s="62"/>
      <c r="J520" s="62" t="s">
        <v>617</v>
      </c>
      <c r="K520" s="71"/>
      <c r="L520" s="57" t="s">
        <v>115</v>
      </c>
      <c r="M520" s="61"/>
      <c r="N520" s="61"/>
      <c r="O520" s="62" t="s">
        <v>617</v>
      </c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30"/>
      <c r="AC520" s="30">
        <v>2.0</v>
      </c>
      <c r="AD520" s="30">
        <f t="shared" si="4"/>
        <v>0</v>
      </c>
      <c r="AE520" s="70">
        <f t="shared" si="5"/>
        <v>0</v>
      </c>
      <c r="AF520" s="70">
        <v>1.0</v>
      </c>
    </row>
    <row r="521" ht="15.75" customHeight="1">
      <c r="A521" s="54" t="s">
        <v>741</v>
      </c>
      <c r="B521" s="56" t="s">
        <v>759</v>
      </c>
      <c r="C521" s="56" t="s">
        <v>645</v>
      </c>
      <c r="D521" s="56" t="s">
        <v>752</v>
      </c>
      <c r="E521" s="56" t="s">
        <v>755</v>
      </c>
      <c r="F521" s="56" t="s">
        <v>246</v>
      </c>
      <c r="G521" s="57" t="s">
        <v>154</v>
      </c>
      <c r="H521" s="68">
        <f t="shared" si="3"/>
        <v>0</v>
      </c>
      <c r="I521" s="62"/>
      <c r="J521" s="62" t="s">
        <v>617</v>
      </c>
      <c r="K521" s="71"/>
      <c r="L521" s="57" t="s">
        <v>115</v>
      </c>
      <c r="M521" s="61"/>
      <c r="N521" s="61"/>
      <c r="O521" s="62" t="s">
        <v>617</v>
      </c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30"/>
      <c r="AC521" s="30">
        <v>2.0</v>
      </c>
      <c r="AD521" s="30">
        <f t="shared" si="4"/>
        <v>0</v>
      </c>
      <c r="AE521" s="70">
        <f t="shared" si="5"/>
        <v>0</v>
      </c>
      <c r="AF521" s="70">
        <v>1.0</v>
      </c>
    </row>
    <row r="522" ht="15.75" customHeight="1">
      <c r="A522" s="54" t="s">
        <v>741</v>
      </c>
      <c r="B522" s="56" t="s">
        <v>760</v>
      </c>
      <c r="C522" s="56" t="s">
        <v>606</v>
      </c>
      <c r="D522" s="56" t="s">
        <v>752</v>
      </c>
      <c r="E522" s="56" t="s">
        <v>753</v>
      </c>
      <c r="F522" s="56" t="s">
        <v>246</v>
      </c>
      <c r="G522" s="57" t="s">
        <v>154</v>
      </c>
      <c r="H522" s="68">
        <f t="shared" si="3"/>
        <v>0</v>
      </c>
      <c r="I522" s="62"/>
      <c r="J522" s="62" t="s">
        <v>617</v>
      </c>
      <c r="K522" s="71"/>
      <c r="L522" s="57" t="s">
        <v>115</v>
      </c>
      <c r="M522" s="61"/>
      <c r="N522" s="61"/>
      <c r="O522" s="62" t="s">
        <v>617</v>
      </c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30">
        <v>2.0</v>
      </c>
      <c r="AD522" s="30">
        <f t="shared" si="4"/>
        <v>0</v>
      </c>
      <c r="AE522" s="70">
        <f t="shared" si="5"/>
        <v>0</v>
      </c>
      <c r="AF522" s="70">
        <v>1.0</v>
      </c>
    </row>
    <row r="523" ht="15.75" customHeight="1">
      <c r="A523" s="54" t="s">
        <v>741</v>
      </c>
      <c r="B523" s="56" t="s">
        <v>760</v>
      </c>
      <c r="C523" s="56" t="s">
        <v>606</v>
      </c>
      <c r="D523" s="56" t="s">
        <v>752</v>
      </c>
      <c r="E523" s="56" t="s">
        <v>754</v>
      </c>
      <c r="F523" s="56" t="s">
        <v>246</v>
      </c>
      <c r="G523" s="57" t="s">
        <v>154</v>
      </c>
      <c r="H523" s="68">
        <f t="shared" si="3"/>
        <v>0</v>
      </c>
      <c r="I523" s="62"/>
      <c r="J523" s="62" t="s">
        <v>617</v>
      </c>
      <c r="K523" s="71"/>
      <c r="L523" s="57" t="s">
        <v>115</v>
      </c>
      <c r="M523" s="61"/>
      <c r="N523" s="61"/>
      <c r="O523" s="62" t="s">
        <v>617</v>
      </c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30">
        <v>2.0</v>
      </c>
      <c r="AD523" s="30">
        <f t="shared" si="4"/>
        <v>0</v>
      </c>
      <c r="AE523" s="70">
        <f t="shared" si="5"/>
        <v>0</v>
      </c>
      <c r="AF523" s="70">
        <v>1.0</v>
      </c>
    </row>
    <row r="524" ht="15.75" customHeight="1">
      <c r="A524" s="54" t="s">
        <v>741</v>
      </c>
      <c r="B524" s="56" t="s">
        <v>760</v>
      </c>
      <c r="C524" s="56" t="s">
        <v>606</v>
      </c>
      <c r="D524" s="56" t="s">
        <v>752</v>
      </c>
      <c r="E524" s="56" t="s">
        <v>755</v>
      </c>
      <c r="F524" s="56" t="s">
        <v>246</v>
      </c>
      <c r="G524" s="57" t="s">
        <v>154</v>
      </c>
      <c r="H524" s="68">
        <f t="shared" si="3"/>
        <v>0</v>
      </c>
      <c r="I524" s="62"/>
      <c r="J524" s="62" t="s">
        <v>617</v>
      </c>
      <c r="K524" s="71"/>
      <c r="L524" s="57" t="s">
        <v>115</v>
      </c>
      <c r="M524" s="61"/>
      <c r="N524" s="61"/>
      <c r="O524" s="62" t="s">
        <v>617</v>
      </c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30">
        <v>2.0</v>
      </c>
      <c r="AD524" s="30">
        <f t="shared" si="4"/>
        <v>0</v>
      </c>
      <c r="AE524" s="70">
        <f t="shared" si="5"/>
        <v>0</v>
      </c>
      <c r="AF524" s="70">
        <v>1.0</v>
      </c>
    </row>
    <row r="525" ht="15.75" hidden="1" customHeight="1">
      <c r="A525" s="54" t="s">
        <v>761</v>
      </c>
      <c r="B525" s="56" t="s">
        <v>762</v>
      </c>
      <c r="C525" s="56" t="s">
        <v>763</v>
      </c>
      <c r="D525" s="56" t="s">
        <v>764</v>
      </c>
      <c r="E525" s="56" t="s">
        <v>195</v>
      </c>
      <c r="F525" s="56" t="s">
        <v>330</v>
      </c>
      <c r="G525" s="57" t="s">
        <v>34</v>
      </c>
      <c r="H525" s="68">
        <f t="shared" si="3"/>
        <v>0</v>
      </c>
      <c r="I525" s="62"/>
      <c r="J525" s="62"/>
      <c r="K525" s="71"/>
      <c r="L525" s="57" t="s">
        <v>115</v>
      </c>
      <c r="M525" s="61"/>
      <c r="N525" s="61" t="s">
        <v>197</v>
      </c>
      <c r="O525" s="62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30"/>
      <c r="AC525" s="30">
        <v>1.0</v>
      </c>
      <c r="AD525" s="30">
        <f t="shared" si="4"/>
        <v>0</v>
      </c>
      <c r="AE525" s="70">
        <f t="shared" si="5"/>
        <v>0</v>
      </c>
      <c r="AF525" s="70">
        <v>1.0</v>
      </c>
    </row>
    <row r="526" ht="15.75" hidden="1" customHeight="1">
      <c r="A526" s="54" t="s">
        <v>761</v>
      </c>
      <c r="B526" s="56" t="s">
        <v>762</v>
      </c>
      <c r="C526" s="56" t="s">
        <v>763</v>
      </c>
      <c r="D526" s="56" t="s">
        <v>764</v>
      </c>
      <c r="E526" s="56" t="s">
        <v>196</v>
      </c>
      <c r="F526" s="56" t="s">
        <v>249</v>
      </c>
      <c r="G526" s="57" t="s">
        <v>250</v>
      </c>
      <c r="H526" s="68">
        <f t="shared" si="3"/>
        <v>0</v>
      </c>
      <c r="I526" s="62"/>
      <c r="J526" s="62" t="s">
        <v>201</v>
      </c>
      <c r="K526" s="71"/>
      <c r="L526" s="57" t="s">
        <v>115</v>
      </c>
      <c r="M526" s="61"/>
      <c r="N526" s="61" t="s">
        <v>200</v>
      </c>
      <c r="O526" s="62" t="s">
        <v>201</v>
      </c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30"/>
      <c r="AC526" s="30">
        <v>2.0</v>
      </c>
      <c r="AD526" s="30">
        <f t="shared" si="4"/>
        <v>0</v>
      </c>
      <c r="AE526" s="70">
        <f t="shared" si="5"/>
        <v>0</v>
      </c>
      <c r="AF526" s="70">
        <v>3.0</v>
      </c>
    </row>
    <row r="527" ht="15.75" hidden="1" customHeight="1">
      <c r="A527" s="54" t="s">
        <v>761</v>
      </c>
      <c r="B527" s="56" t="s">
        <v>762</v>
      </c>
      <c r="C527" s="56" t="s">
        <v>763</v>
      </c>
      <c r="D527" s="56" t="s">
        <v>764</v>
      </c>
      <c r="E527" s="56" t="s">
        <v>191</v>
      </c>
      <c r="F527" s="56" t="s">
        <v>313</v>
      </c>
      <c r="G527" s="57" t="s">
        <v>192</v>
      </c>
      <c r="H527" s="68">
        <f t="shared" si="3"/>
        <v>0</v>
      </c>
      <c r="I527" s="62"/>
      <c r="J527" s="62"/>
      <c r="K527" s="71"/>
      <c r="L527" s="57" t="s">
        <v>130</v>
      </c>
      <c r="M527" s="61"/>
      <c r="N527" s="61"/>
      <c r="O527" s="62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30">
        <v>3.0</v>
      </c>
      <c r="AD527" s="30">
        <f t="shared" si="4"/>
        <v>0</v>
      </c>
      <c r="AE527" s="70">
        <f t="shared" si="5"/>
        <v>0</v>
      </c>
      <c r="AF527" s="70">
        <v>1.0</v>
      </c>
    </row>
    <row r="528" ht="15.75" hidden="1" customHeight="1">
      <c r="A528" s="54" t="s">
        <v>761</v>
      </c>
      <c r="B528" s="56" t="s">
        <v>762</v>
      </c>
      <c r="C528" s="56" t="s">
        <v>763</v>
      </c>
      <c r="D528" s="56" t="s">
        <v>764</v>
      </c>
      <c r="E528" s="56" t="s">
        <v>194</v>
      </c>
      <c r="F528" s="56" t="s">
        <v>321</v>
      </c>
      <c r="G528" s="57" t="s">
        <v>192</v>
      </c>
      <c r="H528" s="68">
        <f t="shared" si="3"/>
        <v>0</v>
      </c>
      <c r="I528" s="62"/>
      <c r="J528" s="62"/>
      <c r="K528" s="71"/>
      <c r="L528" s="57" t="s">
        <v>130</v>
      </c>
      <c r="M528" s="61"/>
      <c r="N528" s="61"/>
      <c r="O528" s="62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30">
        <v>3.0</v>
      </c>
      <c r="AD528" s="30">
        <f t="shared" si="4"/>
        <v>0</v>
      </c>
      <c r="AE528" s="70">
        <f t="shared" si="5"/>
        <v>0</v>
      </c>
      <c r="AF528" s="70">
        <v>1.0</v>
      </c>
    </row>
    <row r="529" ht="15.75" hidden="1" customHeight="1">
      <c r="A529" s="54" t="s">
        <v>761</v>
      </c>
      <c r="B529" s="56" t="s">
        <v>765</v>
      </c>
      <c r="C529" s="56" t="s">
        <v>766</v>
      </c>
      <c r="D529" s="56" t="s">
        <v>767</v>
      </c>
      <c r="E529" s="56" t="s">
        <v>768</v>
      </c>
      <c r="F529" s="56" t="s">
        <v>249</v>
      </c>
      <c r="G529" s="57" t="s">
        <v>250</v>
      </c>
      <c r="H529" s="68">
        <f t="shared" si="3"/>
        <v>0</v>
      </c>
      <c r="I529" s="62"/>
      <c r="J529" s="62" t="s">
        <v>770</v>
      </c>
      <c r="K529" s="71"/>
      <c r="L529" s="57" t="s">
        <v>115</v>
      </c>
      <c r="M529" s="61"/>
      <c r="N529" s="61" t="s">
        <v>769</v>
      </c>
      <c r="O529" s="62" t="s">
        <v>770</v>
      </c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30"/>
      <c r="AC529" s="30">
        <v>2.0</v>
      </c>
      <c r="AD529" s="30">
        <f t="shared" si="4"/>
        <v>0</v>
      </c>
      <c r="AE529" s="70">
        <f t="shared" si="5"/>
        <v>0</v>
      </c>
      <c r="AF529" s="70">
        <v>1.0</v>
      </c>
    </row>
    <row r="530" ht="15.75" hidden="1" customHeight="1">
      <c r="A530" s="54" t="s">
        <v>761</v>
      </c>
      <c r="B530" s="56" t="s">
        <v>765</v>
      </c>
      <c r="C530" s="56" t="s">
        <v>766</v>
      </c>
      <c r="D530" s="56" t="s">
        <v>767</v>
      </c>
      <c r="E530" s="56" t="s">
        <v>771</v>
      </c>
      <c r="F530" s="56" t="s">
        <v>249</v>
      </c>
      <c r="G530" s="57" t="s">
        <v>250</v>
      </c>
      <c r="H530" s="68">
        <f t="shared" si="3"/>
        <v>0</v>
      </c>
      <c r="I530" s="62"/>
      <c r="J530" s="62" t="s">
        <v>772</v>
      </c>
      <c r="K530" s="71"/>
      <c r="L530" s="57" t="s">
        <v>115</v>
      </c>
      <c r="M530" s="61"/>
      <c r="N530" s="61" t="s">
        <v>769</v>
      </c>
      <c r="O530" s="62" t="s">
        <v>772</v>
      </c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30"/>
      <c r="AC530" s="30">
        <v>2.0</v>
      </c>
      <c r="AD530" s="30">
        <f t="shared" si="4"/>
        <v>0</v>
      </c>
      <c r="AE530" s="70">
        <f t="shared" si="5"/>
        <v>0</v>
      </c>
      <c r="AF530" s="70">
        <v>1.0</v>
      </c>
    </row>
    <row r="531" ht="15.75" hidden="1" customHeight="1">
      <c r="A531" s="54" t="s">
        <v>761</v>
      </c>
      <c r="B531" s="56" t="s">
        <v>765</v>
      </c>
      <c r="C531" s="56" t="s">
        <v>766</v>
      </c>
      <c r="D531" s="56" t="s">
        <v>767</v>
      </c>
      <c r="E531" s="56" t="s">
        <v>773</v>
      </c>
      <c r="F531" s="56" t="s">
        <v>246</v>
      </c>
      <c r="G531" s="57" t="s">
        <v>154</v>
      </c>
      <c r="H531" s="68">
        <f t="shared" si="3"/>
        <v>0</v>
      </c>
      <c r="I531" s="62"/>
      <c r="J531" s="62"/>
      <c r="K531" s="71"/>
      <c r="L531" s="57" t="s">
        <v>115</v>
      </c>
      <c r="M531" s="61"/>
      <c r="N531" s="61"/>
      <c r="O531" s="62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30">
        <v>2.0</v>
      </c>
      <c r="AD531" s="30">
        <f t="shared" si="4"/>
        <v>0</v>
      </c>
      <c r="AE531" s="70">
        <f t="shared" si="5"/>
        <v>0</v>
      </c>
      <c r="AF531" s="70">
        <v>1.0</v>
      </c>
    </row>
    <row r="532" ht="15.75" hidden="1" customHeight="1">
      <c r="A532" s="54" t="s">
        <v>761</v>
      </c>
      <c r="B532" s="56" t="s">
        <v>765</v>
      </c>
      <c r="C532" s="56" t="s">
        <v>766</v>
      </c>
      <c r="D532" s="56" t="s">
        <v>767</v>
      </c>
      <c r="E532" s="56" t="s">
        <v>774</v>
      </c>
      <c r="F532" s="56" t="s">
        <v>246</v>
      </c>
      <c r="G532" s="57" t="s">
        <v>154</v>
      </c>
      <c r="H532" s="68">
        <f t="shared" si="3"/>
        <v>0</v>
      </c>
      <c r="I532" s="62"/>
      <c r="J532" s="62"/>
      <c r="K532" s="71"/>
      <c r="L532" s="57" t="s">
        <v>115</v>
      </c>
      <c r="M532" s="61"/>
      <c r="N532" s="61"/>
      <c r="O532" s="62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30"/>
      <c r="AC532" s="30">
        <v>2.0</v>
      </c>
      <c r="AD532" s="30">
        <f t="shared" si="4"/>
        <v>0</v>
      </c>
      <c r="AE532" s="70">
        <f t="shared" si="5"/>
        <v>0</v>
      </c>
      <c r="AF532" s="70">
        <v>1.0</v>
      </c>
    </row>
    <row r="533" ht="15.75" hidden="1" customHeight="1">
      <c r="A533" s="54" t="s">
        <v>761</v>
      </c>
      <c r="B533" s="56" t="s">
        <v>765</v>
      </c>
      <c r="C533" s="56" t="s">
        <v>766</v>
      </c>
      <c r="D533" s="56" t="s">
        <v>767</v>
      </c>
      <c r="E533" s="56" t="s">
        <v>775</v>
      </c>
      <c r="F533" s="56" t="s">
        <v>246</v>
      </c>
      <c r="G533" s="57" t="s">
        <v>154</v>
      </c>
      <c r="H533" s="68">
        <f t="shared" si="3"/>
        <v>0</v>
      </c>
      <c r="I533" s="62"/>
      <c r="J533" s="62"/>
      <c r="K533" s="71"/>
      <c r="L533" s="57" t="s">
        <v>115</v>
      </c>
      <c r="M533" s="61"/>
      <c r="N533" s="61"/>
      <c r="O533" s="62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30"/>
      <c r="AC533" s="30">
        <v>2.0</v>
      </c>
      <c r="AD533" s="30">
        <f t="shared" si="4"/>
        <v>0</v>
      </c>
      <c r="AE533" s="70">
        <f t="shared" si="5"/>
        <v>0</v>
      </c>
      <c r="AF533" s="70">
        <v>1.0</v>
      </c>
    </row>
    <row r="534" ht="15.75" hidden="1" customHeight="1">
      <c r="A534" s="54" t="s">
        <v>761</v>
      </c>
      <c r="B534" s="56" t="s">
        <v>765</v>
      </c>
      <c r="C534" s="56" t="s">
        <v>766</v>
      </c>
      <c r="D534" s="56" t="s">
        <v>776</v>
      </c>
      <c r="E534" s="56" t="s">
        <v>777</v>
      </c>
      <c r="F534" s="56" t="s">
        <v>15</v>
      </c>
      <c r="G534" s="57" t="s">
        <v>15</v>
      </c>
      <c r="H534" s="68">
        <f t="shared" si="3"/>
        <v>0</v>
      </c>
      <c r="I534" s="62"/>
      <c r="J534" s="62"/>
      <c r="K534" s="71"/>
      <c r="L534" s="57" t="s">
        <v>115</v>
      </c>
      <c r="M534" s="61"/>
      <c r="N534" s="61"/>
      <c r="O534" s="62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30"/>
      <c r="AC534" s="30">
        <v>12.0</v>
      </c>
      <c r="AD534" s="30">
        <f t="shared" si="4"/>
        <v>0</v>
      </c>
      <c r="AE534" s="70">
        <f t="shared" si="5"/>
        <v>0</v>
      </c>
      <c r="AF534" s="70">
        <v>1.0</v>
      </c>
    </row>
    <row r="535" ht="15.75" hidden="1" customHeight="1">
      <c r="A535" s="54" t="s">
        <v>761</v>
      </c>
      <c r="B535" s="56" t="s">
        <v>765</v>
      </c>
      <c r="C535" s="56" t="s">
        <v>766</v>
      </c>
      <c r="D535" s="56" t="s">
        <v>776</v>
      </c>
      <c r="E535" s="56" t="s">
        <v>778</v>
      </c>
      <c r="F535" s="56" t="s">
        <v>15</v>
      </c>
      <c r="G535" s="57" t="s">
        <v>15</v>
      </c>
      <c r="H535" s="68">
        <f t="shared" si="3"/>
        <v>0</v>
      </c>
      <c r="I535" s="62"/>
      <c r="J535" s="62"/>
      <c r="K535" s="71"/>
      <c r="L535" s="57" t="s">
        <v>130</v>
      </c>
      <c r="M535" s="61"/>
      <c r="N535" s="61"/>
      <c r="O535" s="62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30"/>
      <c r="AC535" s="30">
        <v>12.0</v>
      </c>
      <c r="AD535" s="30">
        <f t="shared" si="4"/>
        <v>0</v>
      </c>
      <c r="AE535" s="70">
        <f t="shared" si="5"/>
        <v>0</v>
      </c>
      <c r="AF535" s="70">
        <v>1.0</v>
      </c>
    </row>
    <row r="536" ht="15.75" hidden="1" customHeight="1">
      <c r="A536" s="54" t="s">
        <v>761</v>
      </c>
      <c r="B536" s="56" t="s">
        <v>779</v>
      </c>
      <c r="C536" s="56" t="s">
        <v>780</v>
      </c>
      <c r="D536" s="56" t="s">
        <v>781</v>
      </c>
      <c r="E536" s="56" t="s">
        <v>232</v>
      </c>
      <c r="F536" s="56" t="s">
        <v>249</v>
      </c>
      <c r="G536" s="57" t="s">
        <v>250</v>
      </c>
      <c r="H536" s="68">
        <f t="shared" si="3"/>
        <v>0</v>
      </c>
      <c r="I536" s="62"/>
      <c r="J536" s="62"/>
      <c r="K536" s="71"/>
      <c r="L536" s="57" t="s">
        <v>115</v>
      </c>
      <c r="M536" s="61"/>
      <c r="N536" s="61" t="s">
        <v>769</v>
      </c>
      <c r="O536" s="62" t="s">
        <v>782</v>
      </c>
      <c r="P536" s="8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30">
        <v>2.0</v>
      </c>
      <c r="AD536" s="30">
        <f t="shared" si="4"/>
        <v>0</v>
      </c>
      <c r="AE536" s="70">
        <f t="shared" si="5"/>
        <v>0</v>
      </c>
      <c r="AF536" s="70">
        <v>1.0</v>
      </c>
    </row>
    <row r="537" ht="15.75" hidden="1" customHeight="1">
      <c r="A537" s="54" t="s">
        <v>761</v>
      </c>
      <c r="B537" s="56" t="s">
        <v>779</v>
      </c>
      <c r="C537" s="56" t="s">
        <v>780</v>
      </c>
      <c r="D537" s="56" t="s">
        <v>781</v>
      </c>
      <c r="E537" s="56" t="s">
        <v>783</v>
      </c>
      <c r="F537" s="56" t="s">
        <v>246</v>
      </c>
      <c r="G537" s="57" t="s">
        <v>154</v>
      </c>
      <c r="H537" s="68">
        <f t="shared" si="3"/>
        <v>0</v>
      </c>
      <c r="I537" s="62"/>
      <c r="J537" s="62"/>
      <c r="K537" s="71"/>
      <c r="L537" s="57" t="s">
        <v>115</v>
      </c>
      <c r="M537" s="61"/>
      <c r="N537" s="61"/>
      <c r="O537" s="62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30">
        <v>2.0</v>
      </c>
      <c r="AD537" s="30">
        <f t="shared" si="4"/>
        <v>0</v>
      </c>
      <c r="AE537" s="70">
        <f t="shared" si="5"/>
        <v>0</v>
      </c>
      <c r="AF537" s="70">
        <v>1.0</v>
      </c>
    </row>
    <row r="538" ht="15.75" hidden="1" customHeight="1">
      <c r="A538" s="54" t="s">
        <v>761</v>
      </c>
      <c r="B538" s="56" t="s">
        <v>779</v>
      </c>
      <c r="C538" s="56" t="s">
        <v>780</v>
      </c>
      <c r="D538" s="56" t="s">
        <v>781</v>
      </c>
      <c r="E538" s="56" t="s">
        <v>230</v>
      </c>
      <c r="F538" s="56" t="s">
        <v>246</v>
      </c>
      <c r="G538" s="57" t="s">
        <v>154</v>
      </c>
      <c r="H538" s="68">
        <f t="shared" si="3"/>
        <v>0</v>
      </c>
      <c r="I538" s="62" t="s">
        <v>146</v>
      </c>
      <c r="J538" s="62"/>
      <c r="K538" s="71"/>
      <c r="L538" s="57" t="s">
        <v>115</v>
      </c>
      <c r="M538" s="61"/>
      <c r="N538" s="61"/>
      <c r="O538" s="62"/>
      <c r="P538" s="8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30">
        <v>2.0</v>
      </c>
      <c r="AD538" s="30">
        <f t="shared" si="4"/>
        <v>0</v>
      </c>
      <c r="AE538" s="70">
        <f t="shared" si="5"/>
        <v>0</v>
      </c>
      <c r="AF538" s="70">
        <v>1.0</v>
      </c>
    </row>
    <row r="539" ht="15.75" hidden="1" customHeight="1">
      <c r="A539" s="54" t="s">
        <v>761</v>
      </c>
      <c r="B539" s="56" t="s">
        <v>784</v>
      </c>
      <c r="C539" s="56" t="s">
        <v>763</v>
      </c>
      <c r="D539" s="56" t="s">
        <v>785</v>
      </c>
      <c r="E539" s="56" t="s">
        <v>216</v>
      </c>
      <c r="F539" s="56" t="s">
        <v>168</v>
      </c>
      <c r="G539" s="57" t="s">
        <v>34</v>
      </c>
      <c r="H539" s="68">
        <f t="shared" si="3"/>
        <v>0</v>
      </c>
      <c r="I539" s="62" t="s">
        <v>146</v>
      </c>
      <c r="J539" s="62"/>
      <c r="K539" s="71"/>
      <c r="L539" s="57" t="s">
        <v>115</v>
      </c>
      <c r="M539" s="61"/>
      <c r="N539" s="61"/>
      <c r="O539" s="62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30"/>
      <c r="AC539" s="30">
        <v>1.0</v>
      </c>
      <c r="AD539" s="30">
        <f t="shared" si="4"/>
        <v>0</v>
      </c>
      <c r="AE539" s="70">
        <f t="shared" si="5"/>
        <v>0</v>
      </c>
      <c r="AF539" s="70">
        <v>1.0</v>
      </c>
    </row>
    <row r="540" ht="15.75" hidden="1" customHeight="1">
      <c r="A540" s="54" t="s">
        <v>761</v>
      </c>
      <c r="B540" s="56" t="s">
        <v>784</v>
      </c>
      <c r="C540" s="56" t="s">
        <v>763</v>
      </c>
      <c r="D540" s="56" t="s">
        <v>785</v>
      </c>
      <c r="E540" s="56" t="s">
        <v>786</v>
      </c>
      <c r="F540" s="56" t="s">
        <v>168</v>
      </c>
      <c r="G540" s="57" t="s">
        <v>34</v>
      </c>
      <c r="H540" s="68">
        <f t="shared" si="3"/>
        <v>0</v>
      </c>
      <c r="I540" s="62" t="s">
        <v>146</v>
      </c>
      <c r="J540" s="62"/>
      <c r="K540" s="71"/>
      <c r="L540" s="57" t="s">
        <v>115</v>
      </c>
      <c r="M540" s="61"/>
      <c r="N540" s="61"/>
      <c r="O540" s="62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30"/>
      <c r="AC540" s="30">
        <v>1.0</v>
      </c>
      <c r="AD540" s="30">
        <f t="shared" si="4"/>
        <v>0</v>
      </c>
      <c r="AE540" s="70">
        <f t="shared" si="5"/>
        <v>0</v>
      </c>
      <c r="AF540" s="70">
        <v>2.0</v>
      </c>
    </row>
    <row r="541" ht="15.75" hidden="1" customHeight="1">
      <c r="A541" s="54" t="s">
        <v>761</v>
      </c>
      <c r="B541" s="56" t="s">
        <v>784</v>
      </c>
      <c r="C541" s="56" t="s">
        <v>763</v>
      </c>
      <c r="D541" s="56" t="s">
        <v>787</v>
      </c>
      <c r="E541" s="56" t="s">
        <v>163</v>
      </c>
      <c r="F541" s="56" t="s">
        <v>168</v>
      </c>
      <c r="G541" s="57" t="s">
        <v>34</v>
      </c>
      <c r="H541" s="68">
        <f t="shared" si="3"/>
        <v>0</v>
      </c>
      <c r="I541" s="62" t="s">
        <v>146</v>
      </c>
      <c r="J541" s="62"/>
      <c r="K541" s="71"/>
      <c r="L541" s="57" t="s">
        <v>115</v>
      </c>
      <c r="M541" s="61"/>
      <c r="N541" s="61"/>
      <c r="O541" s="62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30"/>
      <c r="AC541" s="30">
        <v>1.0</v>
      </c>
      <c r="AD541" s="30">
        <f t="shared" si="4"/>
        <v>0</v>
      </c>
      <c r="AE541" s="70">
        <f t="shared" si="5"/>
        <v>0</v>
      </c>
      <c r="AF541" s="70">
        <v>1.0</v>
      </c>
    </row>
    <row r="542" ht="15.75" hidden="1" customHeight="1">
      <c r="A542" s="54" t="s">
        <v>761</v>
      </c>
      <c r="B542" s="56" t="s">
        <v>784</v>
      </c>
      <c r="C542" s="56" t="s">
        <v>763</v>
      </c>
      <c r="D542" s="56" t="s">
        <v>787</v>
      </c>
      <c r="E542" s="56" t="s">
        <v>788</v>
      </c>
      <c r="F542" s="56" t="s">
        <v>246</v>
      </c>
      <c r="G542" s="57" t="s">
        <v>154</v>
      </c>
      <c r="H542" s="68">
        <f t="shared" si="3"/>
        <v>0</v>
      </c>
      <c r="I542" s="62" t="s">
        <v>146</v>
      </c>
      <c r="J542" s="62"/>
      <c r="K542" s="71"/>
      <c r="L542" s="57" t="s">
        <v>115</v>
      </c>
      <c r="M542" s="61"/>
      <c r="N542" s="61"/>
      <c r="O542" s="62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30">
        <v>2.0</v>
      </c>
      <c r="AD542" s="30">
        <f t="shared" si="4"/>
        <v>0</v>
      </c>
      <c r="AE542" s="70">
        <f t="shared" si="5"/>
        <v>0</v>
      </c>
      <c r="AF542" s="70">
        <v>1.0</v>
      </c>
    </row>
    <row r="543" ht="15.75" hidden="1" customHeight="1">
      <c r="A543" s="54" t="s">
        <v>761</v>
      </c>
      <c r="B543" s="56" t="s">
        <v>784</v>
      </c>
      <c r="C543" s="56" t="s">
        <v>763</v>
      </c>
      <c r="D543" s="56" t="s">
        <v>787</v>
      </c>
      <c r="E543" s="56" t="s">
        <v>213</v>
      </c>
      <c r="F543" s="56" t="s">
        <v>125</v>
      </c>
      <c r="G543" s="57"/>
      <c r="H543" s="68">
        <f t="shared" si="3"/>
        <v>0</v>
      </c>
      <c r="I543" s="84"/>
      <c r="J543" s="84"/>
      <c r="K543" s="96"/>
      <c r="L543" s="53" t="s">
        <v>115</v>
      </c>
      <c r="M543" s="50"/>
      <c r="N543" s="50"/>
      <c r="O543" s="84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30"/>
      <c r="AC543" s="30">
        <v>1.0</v>
      </c>
      <c r="AD543" s="30">
        <f t="shared" si="4"/>
        <v>0</v>
      </c>
      <c r="AE543" s="70">
        <f t="shared" si="5"/>
        <v>0</v>
      </c>
      <c r="AF543" s="70">
        <v>1.0</v>
      </c>
    </row>
    <row r="544" ht="15.75" hidden="1" customHeight="1">
      <c r="A544" s="54" t="s">
        <v>761</v>
      </c>
      <c r="B544" s="56" t="s">
        <v>784</v>
      </c>
      <c r="C544" s="56" t="s">
        <v>763</v>
      </c>
      <c r="D544" s="56" t="s">
        <v>789</v>
      </c>
      <c r="E544" s="56" t="s">
        <v>790</v>
      </c>
      <c r="F544" s="56" t="s">
        <v>249</v>
      </c>
      <c r="G544" s="57" t="s">
        <v>250</v>
      </c>
      <c r="H544" s="68">
        <f t="shared" si="3"/>
        <v>0</v>
      </c>
      <c r="I544" s="62"/>
      <c r="J544" s="62"/>
      <c r="K544" s="71"/>
      <c r="L544" s="57"/>
      <c r="M544" s="61"/>
      <c r="N544" s="61"/>
      <c r="O544" s="62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30"/>
      <c r="AC544" s="30">
        <v>2.0</v>
      </c>
      <c r="AD544" s="30">
        <f t="shared" si="4"/>
        <v>0</v>
      </c>
      <c r="AE544" s="70">
        <f t="shared" si="5"/>
        <v>0</v>
      </c>
      <c r="AF544" s="70"/>
    </row>
    <row r="545" ht="15.75" hidden="1" customHeight="1">
      <c r="A545" s="54" t="s">
        <v>761</v>
      </c>
      <c r="B545" s="56" t="s">
        <v>791</v>
      </c>
      <c r="C545" s="56" t="s">
        <v>792</v>
      </c>
      <c r="D545" s="56" t="s">
        <v>793</v>
      </c>
      <c r="E545" s="56" t="s">
        <v>794</v>
      </c>
      <c r="F545" s="56" t="s">
        <v>246</v>
      </c>
      <c r="G545" s="57" t="s">
        <v>154</v>
      </c>
      <c r="H545" s="68">
        <f t="shared" si="3"/>
        <v>0</v>
      </c>
      <c r="I545" s="62"/>
      <c r="J545" s="62"/>
      <c r="K545" s="71"/>
      <c r="L545" s="57" t="s">
        <v>115</v>
      </c>
      <c r="M545" s="61"/>
      <c r="N545" s="61"/>
      <c r="O545" s="62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30">
        <v>2.0</v>
      </c>
      <c r="AD545" s="30">
        <f t="shared" si="4"/>
        <v>0</v>
      </c>
      <c r="AE545" s="70">
        <f t="shared" si="5"/>
        <v>0</v>
      </c>
      <c r="AF545" s="70">
        <v>1.0</v>
      </c>
    </row>
    <row r="546" ht="15.75" hidden="1" customHeight="1">
      <c r="A546" s="54" t="s">
        <v>761</v>
      </c>
      <c r="B546" s="56" t="s">
        <v>795</v>
      </c>
      <c r="C546" s="56" t="s">
        <v>792</v>
      </c>
      <c r="D546" s="56" t="s">
        <v>796</v>
      </c>
      <c r="E546" s="56" t="s">
        <v>797</v>
      </c>
      <c r="F546" s="56" t="s">
        <v>249</v>
      </c>
      <c r="G546" s="57" t="s">
        <v>250</v>
      </c>
      <c r="H546" s="68">
        <f t="shared" si="3"/>
        <v>0</v>
      </c>
      <c r="I546" s="62"/>
      <c r="J546" s="57"/>
      <c r="K546" s="90"/>
      <c r="L546" s="57" t="s">
        <v>115</v>
      </c>
      <c r="M546" s="81"/>
      <c r="N546" s="61" t="s">
        <v>769</v>
      </c>
      <c r="O546" s="62" t="s">
        <v>800</v>
      </c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30"/>
      <c r="AC546" s="30">
        <v>2.0</v>
      </c>
      <c r="AD546" s="30">
        <f t="shared" si="4"/>
        <v>0</v>
      </c>
      <c r="AE546" s="70">
        <f t="shared" si="5"/>
        <v>0</v>
      </c>
      <c r="AF546" s="70">
        <v>1.0</v>
      </c>
    </row>
    <row r="547" ht="15.75" hidden="1" customHeight="1">
      <c r="A547" s="54" t="s">
        <v>761</v>
      </c>
      <c r="B547" s="56" t="s">
        <v>798</v>
      </c>
      <c r="C547" s="56" t="s">
        <v>792</v>
      </c>
      <c r="D547" s="56" t="s">
        <v>799</v>
      </c>
      <c r="E547" s="56" t="s">
        <v>790</v>
      </c>
      <c r="F547" s="56" t="s">
        <v>249</v>
      </c>
      <c r="G547" s="57" t="s">
        <v>250</v>
      </c>
      <c r="H547" s="68">
        <f t="shared" si="3"/>
        <v>0</v>
      </c>
      <c r="I547" s="62"/>
      <c r="J547" s="62"/>
      <c r="K547" s="71"/>
      <c r="L547" s="57" t="s">
        <v>115</v>
      </c>
      <c r="M547" s="61"/>
      <c r="N547" s="61" t="s">
        <v>769</v>
      </c>
      <c r="O547" s="62" t="s">
        <v>803</v>
      </c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30">
        <v>2.0</v>
      </c>
      <c r="AD547" s="30">
        <f t="shared" si="4"/>
        <v>0</v>
      </c>
      <c r="AE547" s="70">
        <f t="shared" si="5"/>
        <v>0</v>
      </c>
      <c r="AF547" s="70">
        <v>1.0</v>
      </c>
    </row>
    <row r="548" ht="15.75" hidden="1" customHeight="1">
      <c r="A548" s="54" t="s">
        <v>761</v>
      </c>
      <c r="B548" s="56" t="s">
        <v>801</v>
      </c>
      <c r="C548" s="56" t="s">
        <v>792</v>
      </c>
      <c r="D548" s="56" t="s">
        <v>802</v>
      </c>
      <c r="E548" s="56" t="s">
        <v>790</v>
      </c>
      <c r="F548" s="56" t="s">
        <v>249</v>
      </c>
      <c r="G548" s="57" t="s">
        <v>250</v>
      </c>
      <c r="H548" s="68">
        <f t="shared" si="3"/>
        <v>0</v>
      </c>
      <c r="I548" s="62"/>
      <c r="J548" s="62"/>
      <c r="K548" s="71"/>
      <c r="L548" s="57" t="s">
        <v>115</v>
      </c>
      <c r="M548" s="61"/>
      <c r="N548" s="61" t="s">
        <v>769</v>
      </c>
      <c r="O548" s="62" t="s">
        <v>806</v>
      </c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30">
        <v>2.0</v>
      </c>
      <c r="AD548" s="30">
        <f t="shared" si="4"/>
        <v>0</v>
      </c>
      <c r="AE548" s="70">
        <f t="shared" si="5"/>
        <v>0</v>
      </c>
      <c r="AF548" s="70">
        <v>1.0</v>
      </c>
    </row>
    <row r="549" ht="15.75" hidden="1" customHeight="1">
      <c r="A549" s="54" t="s">
        <v>761</v>
      </c>
      <c r="B549" s="56" t="s">
        <v>804</v>
      </c>
      <c r="C549" s="56" t="s">
        <v>792</v>
      </c>
      <c r="D549" s="56" t="s">
        <v>805</v>
      </c>
      <c r="E549" s="56" t="s">
        <v>790</v>
      </c>
      <c r="F549" s="56" t="s">
        <v>249</v>
      </c>
      <c r="G549" s="57" t="s">
        <v>250</v>
      </c>
      <c r="H549" s="68">
        <f t="shared" si="3"/>
        <v>0</v>
      </c>
      <c r="I549" s="62"/>
      <c r="J549" s="62"/>
      <c r="K549" s="71"/>
      <c r="L549" s="57" t="s">
        <v>115</v>
      </c>
      <c r="M549" s="61"/>
      <c r="N549" s="61" t="s">
        <v>769</v>
      </c>
      <c r="O549" s="62" t="s">
        <v>810</v>
      </c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30">
        <v>2.0</v>
      </c>
      <c r="AD549" s="30">
        <f t="shared" si="4"/>
        <v>0</v>
      </c>
      <c r="AE549" s="70">
        <f t="shared" si="5"/>
        <v>0</v>
      </c>
      <c r="AF549" s="70">
        <v>1.0</v>
      </c>
    </row>
    <row r="550" ht="15.75" hidden="1" customHeight="1">
      <c r="A550" s="54" t="s">
        <v>761</v>
      </c>
      <c r="B550" s="56" t="s">
        <v>807</v>
      </c>
      <c r="C550" s="56" t="s">
        <v>792</v>
      </c>
      <c r="D550" s="56" t="s">
        <v>808</v>
      </c>
      <c r="E550" s="56" t="s">
        <v>790</v>
      </c>
      <c r="F550" s="56" t="s">
        <v>249</v>
      </c>
      <c r="G550" s="57" t="s">
        <v>250</v>
      </c>
      <c r="H550" s="68">
        <f t="shared" si="3"/>
        <v>0</v>
      </c>
      <c r="I550" s="62"/>
      <c r="J550" s="62"/>
      <c r="K550" s="71"/>
      <c r="L550" s="57" t="s">
        <v>115</v>
      </c>
      <c r="M550" s="61"/>
      <c r="N550" s="61" t="s">
        <v>769</v>
      </c>
      <c r="O550" s="62" t="s">
        <v>806</v>
      </c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30">
        <v>2.0</v>
      </c>
      <c r="AD550" s="30">
        <f t="shared" si="4"/>
        <v>0</v>
      </c>
      <c r="AE550" s="70">
        <f t="shared" si="5"/>
        <v>0</v>
      </c>
      <c r="AF550" s="70">
        <v>1.0</v>
      </c>
    </row>
    <row r="551" ht="15.75" hidden="1" customHeight="1">
      <c r="A551" s="54" t="s">
        <v>761</v>
      </c>
      <c r="B551" s="56" t="s">
        <v>807</v>
      </c>
      <c r="C551" s="56" t="s">
        <v>792</v>
      </c>
      <c r="D551" s="56" t="s">
        <v>809</v>
      </c>
      <c r="E551" s="56" t="s">
        <v>790</v>
      </c>
      <c r="F551" s="56" t="s">
        <v>249</v>
      </c>
      <c r="G551" s="57" t="s">
        <v>250</v>
      </c>
      <c r="H551" s="68">
        <f t="shared" si="3"/>
        <v>0</v>
      </c>
      <c r="I551" s="62"/>
      <c r="J551" s="62"/>
      <c r="K551" s="71"/>
      <c r="L551" s="57" t="s">
        <v>115</v>
      </c>
      <c r="M551" s="61"/>
      <c r="N551" s="61" t="s">
        <v>769</v>
      </c>
      <c r="O551" s="62" t="s">
        <v>806</v>
      </c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30">
        <v>2.0</v>
      </c>
      <c r="AD551" s="30">
        <f t="shared" si="4"/>
        <v>0</v>
      </c>
      <c r="AE551" s="70">
        <f t="shared" si="5"/>
        <v>0</v>
      </c>
      <c r="AF551" s="70">
        <v>1.0</v>
      </c>
    </row>
    <row r="552" ht="15.75" hidden="1" customHeight="1">
      <c r="A552" s="54" t="s">
        <v>761</v>
      </c>
      <c r="B552" s="56" t="s">
        <v>811</v>
      </c>
      <c r="C552" s="56" t="s">
        <v>792</v>
      </c>
      <c r="D552" s="56" t="s">
        <v>812</v>
      </c>
      <c r="E552" s="56" t="s">
        <v>790</v>
      </c>
      <c r="F552" s="56" t="s">
        <v>249</v>
      </c>
      <c r="G552" s="57" t="s">
        <v>250</v>
      </c>
      <c r="H552" s="68">
        <f t="shared" si="3"/>
        <v>0</v>
      </c>
      <c r="I552" s="62"/>
      <c r="J552" s="62"/>
      <c r="K552" s="71"/>
      <c r="L552" s="57" t="s">
        <v>115</v>
      </c>
      <c r="M552" s="61"/>
      <c r="N552" s="61" t="s">
        <v>769</v>
      </c>
      <c r="O552" s="62" t="s">
        <v>806</v>
      </c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30">
        <v>2.0</v>
      </c>
      <c r="AD552" s="30">
        <f t="shared" si="4"/>
        <v>0</v>
      </c>
      <c r="AE552" s="70">
        <f t="shared" si="5"/>
        <v>0</v>
      </c>
      <c r="AF552" s="70">
        <v>1.0</v>
      </c>
    </row>
    <row r="553" ht="15.75" hidden="1" customHeight="1">
      <c r="A553" s="54" t="s">
        <v>761</v>
      </c>
      <c r="B553" s="56" t="s">
        <v>813</v>
      </c>
      <c r="C553" s="56" t="s">
        <v>792</v>
      </c>
      <c r="D553" s="56" t="s">
        <v>814</v>
      </c>
      <c r="E553" s="56" t="s">
        <v>790</v>
      </c>
      <c r="F553" s="56" t="s">
        <v>249</v>
      </c>
      <c r="G553" s="57" t="s">
        <v>250</v>
      </c>
      <c r="H553" s="68">
        <f t="shared" si="3"/>
        <v>0</v>
      </c>
      <c r="I553" s="62"/>
      <c r="J553" s="62"/>
      <c r="K553" s="71"/>
      <c r="L553" s="57" t="s">
        <v>115</v>
      </c>
      <c r="M553" s="61"/>
      <c r="N553" s="61" t="s">
        <v>769</v>
      </c>
      <c r="O553" s="62" t="s">
        <v>810</v>
      </c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30">
        <v>2.0</v>
      </c>
      <c r="AD553" s="30">
        <f t="shared" si="4"/>
        <v>0</v>
      </c>
      <c r="AE553" s="70">
        <f t="shared" si="5"/>
        <v>0</v>
      </c>
      <c r="AF553" s="70">
        <v>1.0</v>
      </c>
    </row>
    <row r="554" ht="15.75" hidden="1" customHeight="1">
      <c r="A554" s="54" t="s">
        <v>761</v>
      </c>
      <c r="B554" s="56" t="s">
        <v>815</v>
      </c>
      <c r="C554" s="56" t="s">
        <v>792</v>
      </c>
      <c r="D554" s="56" t="s">
        <v>816</v>
      </c>
      <c r="E554" s="56" t="s">
        <v>790</v>
      </c>
      <c r="F554" s="56" t="s">
        <v>249</v>
      </c>
      <c r="G554" s="57" t="s">
        <v>250</v>
      </c>
      <c r="H554" s="68">
        <f t="shared" si="3"/>
        <v>0</v>
      </c>
      <c r="I554" s="62"/>
      <c r="J554" s="62"/>
      <c r="K554" s="71"/>
      <c r="L554" s="57" t="s">
        <v>115</v>
      </c>
      <c r="M554" s="61"/>
      <c r="N554" s="61" t="s">
        <v>769</v>
      </c>
      <c r="O554" s="62" t="s">
        <v>806</v>
      </c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30">
        <v>2.0</v>
      </c>
      <c r="AD554" s="30">
        <f t="shared" si="4"/>
        <v>0</v>
      </c>
      <c r="AE554" s="70">
        <f t="shared" si="5"/>
        <v>0</v>
      </c>
      <c r="AF554" s="70">
        <v>1.0</v>
      </c>
    </row>
    <row r="555" ht="15.75" hidden="1" customHeight="1">
      <c r="A555" s="54" t="s">
        <v>761</v>
      </c>
      <c r="B555" s="56" t="s">
        <v>815</v>
      </c>
      <c r="C555" s="104" t="s">
        <v>792</v>
      </c>
      <c r="D555" s="56" t="s">
        <v>816</v>
      </c>
      <c r="E555" s="56" t="s">
        <v>817</v>
      </c>
      <c r="F555" s="56" t="s">
        <v>249</v>
      </c>
      <c r="G555" s="57" t="s">
        <v>250</v>
      </c>
      <c r="H555" s="68">
        <f t="shared" si="3"/>
        <v>0</v>
      </c>
      <c r="I555" s="62"/>
      <c r="J555" s="62"/>
      <c r="K555" s="71"/>
      <c r="L555" s="57" t="s">
        <v>115</v>
      </c>
      <c r="M555" s="61"/>
      <c r="N555" s="61" t="s">
        <v>769</v>
      </c>
      <c r="O555" s="62" t="s">
        <v>823</v>
      </c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30">
        <v>2.0</v>
      </c>
      <c r="AD555" s="30">
        <f t="shared" si="4"/>
        <v>0</v>
      </c>
      <c r="AE555" s="70">
        <f t="shared" si="5"/>
        <v>0</v>
      </c>
      <c r="AF555" s="70">
        <v>1.0</v>
      </c>
    </row>
    <row r="556" ht="15.75" hidden="1" customHeight="1">
      <c r="A556" s="54" t="s">
        <v>761</v>
      </c>
      <c r="B556" s="56" t="s">
        <v>818</v>
      </c>
      <c r="C556" s="104" t="s">
        <v>792</v>
      </c>
      <c r="D556" s="56" t="s">
        <v>819</v>
      </c>
      <c r="E556" s="56" t="s">
        <v>790</v>
      </c>
      <c r="F556" s="56" t="s">
        <v>249</v>
      </c>
      <c r="G556" s="57" t="s">
        <v>250</v>
      </c>
      <c r="H556" s="68">
        <f t="shared" si="3"/>
        <v>0</v>
      </c>
      <c r="I556" s="62"/>
      <c r="J556" s="62"/>
      <c r="K556" s="71"/>
      <c r="L556" s="57" t="s">
        <v>115</v>
      </c>
      <c r="M556" s="61"/>
      <c r="N556" s="61" t="s">
        <v>769</v>
      </c>
      <c r="O556" s="62" t="s">
        <v>806</v>
      </c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30">
        <v>2.0</v>
      </c>
      <c r="AD556" s="30">
        <f t="shared" si="4"/>
        <v>0</v>
      </c>
      <c r="AE556" s="70">
        <f t="shared" si="5"/>
        <v>0</v>
      </c>
      <c r="AF556" s="70">
        <v>1.0</v>
      </c>
    </row>
    <row r="557" ht="15.75" hidden="1" customHeight="1">
      <c r="A557" s="54" t="s">
        <v>761</v>
      </c>
      <c r="B557" s="56" t="s">
        <v>818</v>
      </c>
      <c r="C557" s="104" t="s">
        <v>792</v>
      </c>
      <c r="D557" s="56" t="s">
        <v>820</v>
      </c>
      <c r="E557" s="56" t="s">
        <v>817</v>
      </c>
      <c r="F557" s="56" t="s">
        <v>249</v>
      </c>
      <c r="G557" s="57" t="s">
        <v>250</v>
      </c>
      <c r="H557" s="68">
        <f t="shared" si="3"/>
        <v>0</v>
      </c>
      <c r="I557" s="62"/>
      <c r="J557" s="62"/>
      <c r="K557" s="71"/>
      <c r="L557" s="57" t="s">
        <v>115</v>
      </c>
      <c r="M557" s="61"/>
      <c r="N557" s="61" t="s">
        <v>769</v>
      </c>
      <c r="O557" s="62" t="s">
        <v>823</v>
      </c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30">
        <v>2.0</v>
      </c>
      <c r="AD557" s="30">
        <f t="shared" si="4"/>
        <v>0</v>
      </c>
      <c r="AE557" s="70">
        <f t="shared" si="5"/>
        <v>0</v>
      </c>
      <c r="AF557" s="70">
        <v>1.0</v>
      </c>
    </row>
    <row r="558" ht="15.75" hidden="1" customHeight="1">
      <c r="A558" s="54" t="s">
        <v>761</v>
      </c>
      <c r="B558" s="56" t="s">
        <v>818</v>
      </c>
      <c r="C558" s="104" t="s">
        <v>792</v>
      </c>
      <c r="D558" s="56" t="s">
        <v>821</v>
      </c>
      <c r="E558" s="56" t="s">
        <v>817</v>
      </c>
      <c r="F558" s="56" t="s">
        <v>249</v>
      </c>
      <c r="G558" s="57" t="s">
        <v>250</v>
      </c>
      <c r="H558" s="68">
        <f t="shared" si="3"/>
        <v>0</v>
      </c>
      <c r="I558" s="62"/>
      <c r="J558" s="62"/>
      <c r="K558" s="71"/>
      <c r="L558" s="57" t="s">
        <v>115</v>
      </c>
      <c r="M558" s="61"/>
      <c r="N558" s="61" t="s">
        <v>769</v>
      </c>
      <c r="O558" s="62" t="s">
        <v>823</v>
      </c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30">
        <v>2.0</v>
      </c>
      <c r="AD558" s="30">
        <f t="shared" si="4"/>
        <v>0</v>
      </c>
      <c r="AE558" s="70">
        <f t="shared" si="5"/>
        <v>0</v>
      </c>
      <c r="AF558" s="70">
        <v>1.0</v>
      </c>
    </row>
    <row r="559" ht="15.75" hidden="1" customHeight="1">
      <c r="A559" s="54" t="s">
        <v>761</v>
      </c>
      <c r="B559" s="56" t="s">
        <v>818</v>
      </c>
      <c r="C559" s="104" t="s">
        <v>792</v>
      </c>
      <c r="D559" s="56" t="s">
        <v>822</v>
      </c>
      <c r="E559" s="56" t="s">
        <v>790</v>
      </c>
      <c r="F559" s="56" t="s">
        <v>249</v>
      </c>
      <c r="G559" s="57" t="s">
        <v>250</v>
      </c>
      <c r="H559" s="68">
        <f t="shared" si="3"/>
        <v>0</v>
      </c>
      <c r="I559" s="62"/>
      <c r="J559" s="62"/>
      <c r="K559" s="71"/>
      <c r="L559" s="57" t="s">
        <v>115</v>
      </c>
      <c r="M559" s="61"/>
      <c r="N559" s="61" t="s">
        <v>769</v>
      </c>
      <c r="O559" s="62" t="s">
        <v>823</v>
      </c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30">
        <v>2.0</v>
      </c>
      <c r="AD559" s="30">
        <f t="shared" si="4"/>
        <v>0</v>
      </c>
      <c r="AE559" s="70">
        <f t="shared" si="5"/>
        <v>0</v>
      </c>
      <c r="AF559" s="70">
        <v>1.0</v>
      </c>
    </row>
    <row r="560" ht="15.75" hidden="1" customHeight="1">
      <c r="A560" s="54" t="s">
        <v>761</v>
      </c>
      <c r="B560" s="56" t="s">
        <v>791</v>
      </c>
      <c r="C560" s="104" t="s">
        <v>792</v>
      </c>
      <c r="D560" s="56" t="s">
        <v>793</v>
      </c>
      <c r="E560" s="56" t="s">
        <v>824</v>
      </c>
      <c r="F560" s="56" t="s">
        <v>313</v>
      </c>
      <c r="G560" s="57" t="s">
        <v>192</v>
      </c>
      <c r="H560" s="68">
        <f t="shared" si="3"/>
        <v>0</v>
      </c>
      <c r="I560" s="62"/>
      <c r="J560" s="62"/>
      <c r="K560" s="71"/>
      <c r="L560" s="57" t="s">
        <v>115</v>
      </c>
      <c r="M560" s="61"/>
      <c r="N560" s="61"/>
      <c r="O560" s="62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30"/>
      <c r="AC560" s="30">
        <v>3.0</v>
      </c>
      <c r="AD560" s="30">
        <f t="shared" si="4"/>
        <v>0</v>
      </c>
      <c r="AE560" s="70">
        <f t="shared" si="5"/>
        <v>0</v>
      </c>
      <c r="AF560" s="70">
        <v>1.0</v>
      </c>
    </row>
    <row r="561" ht="15.75" hidden="1" customHeight="1">
      <c r="A561" s="54" t="s">
        <v>761</v>
      </c>
      <c r="B561" s="56" t="s">
        <v>825</v>
      </c>
      <c r="C561" s="56" t="s">
        <v>792</v>
      </c>
      <c r="D561" s="56" t="s">
        <v>826</v>
      </c>
      <c r="E561" s="56" t="s">
        <v>794</v>
      </c>
      <c r="F561" s="56" t="s">
        <v>246</v>
      </c>
      <c r="G561" s="57" t="s">
        <v>154</v>
      </c>
      <c r="H561" s="68">
        <f t="shared" si="3"/>
        <v>0</v>
      </c>
      <c r="I561" s="62"/>
      <c r="J561" s="62"/>
      <c r="K561" s="71"/>
      <c r="L561" s="57" t="s">
        <v>115</v>
      </c>
      <c r="M561" s="61"/>
      <c r="N561" s="61"/>
      <c r="O561" s="62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30">
        <v>2.0</v>
      </c>
      <c r="AD561" s="30">
        <f t="shared" si="4"/>
        <v>0</v>
      </c>
      <c r="AE561" s="70">
        <f t="shared" si="5"/>
        <v>0</v>
      </c>
      <c r="AF561" s="70">
        <v>1.0</v>
      </c>
    </row>
    <row r="562" ht="15.75" hidden="1" customHeight="1">
      <c r="A562" s="54" t="s">
        <v>761</v>
      </c>
      <c r="B562" s="56" t="s">
        <v>825</v>
      </c>
      <c r="C562" s="56" t="s">
        <v>792</v>
      </c>
      <c r="D562" s="56" t="s">
        <v>826</v>
      </c>
      <c r="E562" s="56" t="s">
        <v>824</v>
      </c>
      <c r="F562" s="56" t="s">
        <v>313</v>
      </c>
      <c r="G562" s="57" t="s">
        <v>192</v>
      </c>
      <c r="H562" s="68">
        <f t="shared" si="3"/>
        <v>0</v>
      </c>
      <c r="I562" s="62"/>
      <c r="J562" s="62"/>
      <c r="K562" s="71"/>
      <c r="L562" s="57" t="s">
        <v>115</v>
      </c>
      <c r="M562" s="61"/>
      <c r="N562" s="61"/>
      <c r="O562" s="62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30"/>
      <c r="AC562" s="30">
        <v>3.0</v>
      </c>
      <c r="AD562" s="30">
        <f t="shared" si="4"/>
        <v>0</v>
      </c>
      <c r="AE562" s="70">
        <f t="shared" si="5"/>
        <v>0</v>
      </c>
      <c r="AF562" s="70">
        <v>1.0</v>
      </c>
    </row>
    <row r="563" ht="15.75" hidden="1" customHeight="1">
      <c r="A563" s="54" t="s">
        <v>761</v>
      </c>
      <c r="B563" s="56" t="s">
        <v>827</v>
      </c>
      <c r="C563" s="56" t="s">
        <v>792</v>
      </c>
      <c r="D563" s="56" t="s">
        <v>828</v>
      </c>
      <c r="E563" s="56" t="s">
        <v>830</v>
      </c>
      <c r="F563" s="56" t="s">
        <v>246</v>
      </c>
      <c r="G563" s="57" t="s">
        <v>154</v>
      </c>
      <c r="H563" s="68">
        <f t="shared" si="3"/>
        <v>0</v>
      </c>
      <c r="I563" s="62"/>
      <c r="J563" s="62"/>
      <c r="K563" s="71"/>
      <c r="L563" s="57" t="s">
        <v>115</v>
      </c>
      <c r="M563" s="61"/>
      <c r="N563" s="61"/>
      <c r="O563" s="62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30"/>
      <c r="AC563" s="30">
        <v>2.0</v>
      </c>
      <c r="AD563" s="30">
        <f t="shared" si="4"/>
        <v>0</v>
      </c>
      <c r="AE563" s="70">
        <f t="shared" si="5"/>
        <v>0</v>
      </c>
      <c r="AF563" s="70">
        <v>2.0</v>
      </c>
    </row>
    <row r="564" ht="15.75" hidden="1" customHeight="1">
      <c r="A564" s="54" t="s">
        <v>831</v>
      </c>
      <c r="B564" s="56" t="s">
        <v>832</v>
      </c>
      <c r="C564" s="56" t="s">
        <v>833</v>
      </c>
      <c r="D564" s="56" t="s">
        <v>834</v>
      </c>
      <c r="E564" s="56" t="s">
        <v>111</v>
      </c>
      <c r="F564" s="56" t="s">
        <v>168</v>
      </c>
      <c r="G564" s="57" t="s">
        <v>34</v>
      </c>
      <c r="H564" s="68">
        <f t="shared" si="3"/>
        <v>0</v>
      </c>
      <c r="I564" s="62" t="s">
        <v>146</v>
      </c>
      <c r="J564" s="62"/>
      <c r="K564" s="71"/>
      <c r="L564" s="57" t="s">
        <v>130</v>
      </c>
      <c r="M564" s="61"/>
      <c r="N564" s="61"/>
      <c r="O564" s="62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30"/>
      <c r="AC564" s="30">
        <v>1.0</v>
      </c>
      <c r="AD564" s="30">
        <f t="shared" si="4"/>
        <v>0</v>
      </c>
      <c r="AE564" s="70">
        <f t="shared" si="5"/>
        <v>0</v>
      </c>
      <c r="AF564" s="70">
        <v>1.0</v>
      </c>
    </row>
    <row r="565" ht="15.75" hidden="1" customHeight="1">
      <c r="A565" s="54" t="s">
        <v>831</v>
      </c>
      <c r="B565" s="56" t="s">
        <v>832</v>
      </c>
      <c r="C565" s="56" t="s">
        <v>833</v>
      </c>
      <c r="D565" s="56" t="s">
        <v>834</v>
      </c>
      <c r="E565" s="56" t="s">
        <v>835</v>
      </c>
      <c r="F565" s="56" t="s">
        <v>138</v>
      </c>
      <c r="G565" s="57" t="s">
        <v>34</v>
      </c>
      <c r="H565" s="68">
        <f t="shared" si="3"/>
        <v>0</v>
      </c>
      <c r="I565" s="62" t="s">
        <v>146</v>
      </c>
      <c r="J565" s="62"/>
      <c r="K565" s="71"/>
      <c r="L565" s="57" t="s">
        <v>130</v>
      </c>
      <c r="M565" s="61"/>
      <c r="N565" s="61"/>
      <c r="O565" s="62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30"/>
      <c r="AC565" s="30">
        <v>1.0</v>
      </c>
      <c r="AD565" s="30">
        <f t="shared" si="4"/>
        <v>0</v>
      </c>
      <c r="AE565" s="70">
        <f t="shared" si="5"/>
        <v>0</v>
      </c>
      <c r="AF565" s="70">
        <v>1.0</v>
      </c>
    </row>
    <row r="566" ht="15.75" hidden="1" customHeight="1">
      <c r="A566" s="54" t="s">
        <v>831</v>
      </c>
      <c r="B566" s="56" t="s">
        <v>832</v>
      </c>
      <c r="C566" s="56" t="s">
        <v>833</v>
      </c>
      <c r="D566" s="56" t="s">
        <v>834</v>
      </c>
      <c r="E566" s="56" t="s">
        <v>836</v>
      </c>
      <c r="F566" s="56" t="s">
        <v>249</v>
      </c>
      <c r="G566" s="57" t="s">
        <v>250</v>
      </c>
      <c r="H566" s="68">
        <f t="shared" si="3"/>
        <v>0</v>
      </c>
      <c r="I566" s="62"/>
      <c r="J566" s="62"/>
      <c r="K566" s="71"/>
      <c r="L566" s="57" t="s">
        <v>115</v>
      </c>
      <c r="M566" s="61"/>
      <c r="N566" s="61" t="s">
        <v>159</v>
      </c>
      <c r="O566" s="62" t="s">
        <v>160</v>
      </c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30"/>
      <c r="AC566" s="30">
        <v>2.0</v>
      </c>
      <c r="AD566" s="30">
        <f t="shared" si="4"/>
        <v>0</v>
      </c>
      <c r="AE566" s="70">
        <f t="shared" si="5"/>
        <v>0</v>
      </c>
      <c r="AF566" s="70">
        <v>1.0</v>
      </c>
    </row>
    <row r="567" ht="15.75" hidden="1" customHeight="1">
      <c r="A567" s="54" t="s">
        <v>831</v>
      </c>
      <c r="B567" s="56" t="s">
        <v>837</v>
      </c>
      <c r="C567" s="56" t="s">
        <v>838</v>
      </c>
      <c r="D567" s="56" t="s">
        <v>839</v>
      </c>
      <c r="E567" s="56" t="s">
        <v>771</v>
      </c>
      <c r="F567" s="56" t="s">
        <v>249</v>
      </c>
      <c r="G567" s="57" t="s">
        <v>250</v>
      </c>
      <c r="H567" s="68">
        <f t="shared" si="3"/>
        <v>0</v>
      </c>
      <c r="I567" s="62" t="s">
        <v>146</v>
      </c>
      <c r="J567" s="62" t="s">
        <v>772</v>
      </c>
      <c r="K567" s="71"/>
      <c r="L567" s="57" t="s">
        <v>115</v>
      </c>
      <c r="M567" s="61"/>
      <c r="N567" s="61" t="s">
        <v>159</v>
      </c>
      <c r="O567" s="62" t="s">
        <v>772</v>
      </c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30"/>
      <c r="AC567" s="30">
        <v>2.0</v>
      </c>
      <c r="AD567" s="30">
        <f t="shared" si="4"/>
        <v>0</v>
      </c>
      <c r="AE567" s="70">
        <f t="shared" si="5"/>
        <v>0</v>
      </c>
      <c r="AF567" s="70">
        <v>1.0</v>
      </c>
    </row>
    <row r="568" ht="15.75" hidden="1" customHeight="1">
      <c r="A568" s="54" t="s">
        <v>831</v>
      </c>
      <c r="B568" s="56" t="s">
        <v>837</v>
      </c>
      <c r="C568" s="56" t="s">
        <v>838</v>
      </c>
      <c r="D568" s="56" t="s">
        <v>839</v>
      </c>
      <c r="E568" s="56" t="s">
        <v>768</v>
      </c>
      <c r="F568" s="56" t="s">
        <v>249</v>
      </c>
      <c r="G568" s="57" t="s">
        <v>250</v>
      </c>
      <c r="H568" s="68">
        <f t="shared" si="3"/>
        <v>0</v>
      </c>
      <c r="I568" s="62"/>
      <c r="J568" s="62" t="s">
        <v>770</v>
      </c>
      <c r="K568" s="71"/>
      <c r="L568" s="57" t="s">
        <v>115</v>
      </c>
      <c r="M568" s="61"/>
      <c r="N568" s="61" t="s">
        <v>592</v>
      </c>
      <c r="O568" s="62" t="s">
        <v>770</v>
      </c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30">
        <v>2.0</v>
      </c>
      <c r="AD568" s="30">
        <f t="shared" si="4"/>
        <v>0</v>
      </c>
      <c r="AE568" s="70">
        <f t="shared" si="5"/>
        <v>0</v>
      </c>
      <c r="AF568" s="70">
        <v>1.0</v>
      </c>
    </row>
    <row r="569" ht="15.75" hidden="1" customHeight="1">
      <c r="A569" s="54" t="s">
        <v>831</v>
      </c>
      <c r="B569" s="56" t="s">
        <v>837</v>
      </c>
      <c r="C569" s="56" t="s">
        <v>838</v>
      </c>
      <c r="D569" s="56" t="s">
        <v>839</v>
      </c>
      <c r="E569" s="56" t="s">
        <v>773</v>
      </c>
      <c r="F569" s="56" t="s">
        <v>246</v>
      </c>
      <c r="G569" s="57" t="s">
        <v>154</v>
      </c>
      <c r="H569" s="68">
        <f t="shared" si="3"/>
        <v>0</v>
      </c>
      <c r="I569" s="62"/>
      <c r="J569" s="62"/>
      <c r="K569" s="71"/>
      <c r="L569" s="57" t="s">
        <v>115</v>
      </c>
      <c r="M569" s="61"/>
      <c r="N569" s="61"/>
      <c r="O569" s="62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30">
        <v>2.0</v>
      </c>
      <c r="AD569" s="30">
        <f t="shared" si="4"/>
        <v>0</v>
      </c>
      <c r="AE569" s="70">
        <f t="shared" si="5"/>
        <v>0</v>
      </c>
      <c r="AF569" s="70">
        <v>1.0</v>
      </c>
    </row>
    <row r="570" ht="15.75" hidden="1" customHeight="1">
      <c r="A570" s="54" t="s">
        <v>831</v>
      </c>
      <c r="B570" s="56" t="s">
        <v>837</v>
      </c>
      <c r="C570" s="56" t="s">
        <v>838</v>
      </c>
      <c r="D570" s="56" t="s">
        <v>839</v>
      </c>
      <c r="E570" s="56" t="s">
        <v>841</v>
      </c>
      <c r="F570" s="56" t="s">
        <v>246</v>
      </c>
      <c r="G570" s="57" t="s">
        <v>154</v>
      </c>
      <c r="H570" s="68">
        <f t="shared" si="3"/>
        <v>0</v>
      </c>
      <c r="I570" s="62"/>
      <c r="J570" s="62"/>
      <c r="K570" s="71"/>
      <c r="L570" s="57" t="s">
        <v>115</v>
      </c>
      <c r="M570" s="61"/>
      <c r="N570" s="61"/>
      <c r="O570" s="62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30">
        <v>2.0</v>
      </c>
      <c r="AD570" s="30">
        <f t="shared" si="4"/>
        <v>0</v>
      </c>
      <c r="AE570" s="70">
        <f t="shared" si="5"/>
        <v>0</v>
      </c>
      <c r="AF570" s="70">
        <v>1.0</v>
      </c>
    </row>
    <row r="571" ht="15.75" hidden="1" customHeight="1">
      <c r="A571" s="54" t="s">
        <v>831</v>
      </c>
      <c r="B571" s="56" t="s">
        <v>837</v>
      </c>
      <c r="C571" s="56" t="s">
        <v>838</v>
      </c>
      <c r="D571" s="56" t="s">
        <v>839</v>
      </c>
      <c r="E571" s="56" t="s">
        <v>777</v>
      </c>
      <c r="F571" s="56" t="s">
        <v>15</v>
      </c>
      <c r="G571" s="57" t="s">
        <v>15</v>
      </c>
      <c r="H571" s="68">
        <f t="shared" si="3"/>
        <v>0</v>
      </c>
      <c r="I571" s="62"/>
      <c r="J571" s="62"/>
      <c r="K571" s="71"/>
      <c r="L571" s="57" t="s">
        <v>115</v>
      </c>
      <c r="M571" s="61"/>
      <c r="N571" s="61"/>
      <c r="O571" s="62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30"/>
      <c r="AC571" s="30">
        <v>12.0</v>
      </c>
      <c r="AD571" s="30">
        <f t="shared" si="4"/>
        <v>0</v>
      </c>
      <c r="AE571" s="70">
        <f t="shared" si="5"/>
        <v>0</v>
      </c>
      <c r="AF571" s="70">
        <v>1.0</v>
      </c>
    </row>
    <row r="572" ht="15.75" hidden="1" customHeight="1">
      <c r="A572" s="54" t="s">
        <v>831</v>
      </c>
      <c r="B572" s="56" t="s">
        <v>837</v>
      </c>
      <c r="C572" s="56" t="s">
        <v>838</v>
      </c>
      <c r="D572" s="56" t="s">
        <v>839</v>
      </c>
      <c r="E572" s="56" t="s">
        <v>778</v>
      </c>
      <c r="F572" s="56" t="s">
        <v>15</v>
      </c>
      <c r="G572" s="57" t="s">
        <v>15</v>
      </c>
      <c r="H572" s="68">
        <f t="shared" si="3"/>
        <v>0</v>
      </c>
      <c r="I572" s="62"/>
      <c r="J572" s="62"/>
      <c r="K572" s="71"/>
      <c r="L572" s="57" t="s">
        <v>130</v>
      </c>
      <c r="M572" s="61"/>
      <c r="N572" s="61"/>
      <c r="O572" s="62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30"/>
      <c r="AC572" s="30">
        <v>12.0</v>
      </c>
      <c r="AD572" s="30">
        <f t="shared" si="4"/>
        <v>0</v>
      </c>
      <c r="AE572" s="70">
        <f t="shared" si="5"/>
        <v>0</v>
      </c>
      <c r="AF572" s="70">
        <v>1.0</v>
      </c>
    </row>
    <row r="573" ht="15.75" hidden="1" customHeight="1">
      <c r="A573" s="54" t="s">
        <v>831</v>
      </c>
      <c r="B573" s="56" t="s">
        <v>842</v>
      </c>
      <c r="C573" s="56" t="s">
        <v>838</v>
      </c>
      <c r="D573" s="56" t="s">
        <v>843</v>
      </c>
      <c r="E573" s="56" t="s">
        <v>111</v>
      </c>
      <c r="F573" s="56" t="s">
        <v>246</v>
      </c>
      <c r="G573" s="57" t="s">
        <v>154</v>
      </c>
      <c r="H573" s="68">
        <f t="shared" si="3"/>
        <v>0</v>
      </c>
      <c r="I573" s="62"/>
      <c r="J573" s="62"/>
      <c r="K573" s="71"/>
      <c r="L573" s="57" t="s">
        <v>115</v>
      </c>
      <c r="M573" s="61"/>
      <c r="N573" s="61"/>
      <c r="O573" s="62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30">
        <v>2.0</v>
      </c>
      <c r="AD573" s="30">
        <f t="shared" si="4"/>
        <v>0</v>
      </c>
      <c r="AE573" s="70">
        <f t="shared" si="5"/>
        <v>0</v>
      </c>
      <c r="AF573" s="70">
        <v>1.0</v>
      </c>
    </row>
    <row r="574" ht="15.75" hidden="1" customHeight="1">
      <c r="A574" s="54" t="s">
        <v>831</v>
      </c>
      <c r="B574" s="56" t="s">
        <v>842</v>
      </c>
      <c r="C574" s="56" t="s">
        <v>838</v>
      </c>
      <c r="D574" s="56" t="s">
        <v>843</v>
      </c>
      <c r="E574" s="56" t="s">
        <v>844</v>
      </c>
      <c r="F574" s="56" t="s">
        <v>246</v>
      </c>
      <c r="G574" s="57" t="s">
        <v>154</v>
      </c>
      <c r="H574" s="68">
        <f t="shared" si="3"/>
        <v>0</v>
      </c>
      <c r="I574" s="62"/>
      <c r="J574" s="62"/>
      <c r="K574" s="71"/>
      <c r="L574" s="57" t="s">
        <v>115</v>
      </c>
      <c r="M574" s="61"/>
      <c r="N574" s="61"/>
      <c r="O574" s="62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30">
        <v>2.0</v>
      </c>
      <c r="AD574" s="30">
        <f t="shared" si="4"/>
        <v>0</v>
      </c>
      <c r="AE574" s="70">
        <f t="shared" si="5"/>
        <v>0</v>
      </c>
      <c r="AF574" s="70">
        <v>1.0</v>
      </c>
    </row>
    <row r="575" ht="15.75" hidden="1" customHeight="1">
      <c r="A575" s="54" t="s">
        <v>831</v>
      </c>
      <c r="B575" s="56" t="s">
        <v>842</v>
      </c>
      <c r="C575" s="56" t="s">
        <v>838</v>
      </c>
      <c r="D575" s="56" t="s">
        <v>843</v>
      </c>
      <c r="E575" s="56" t="s">
        <v>797</v>
      </c>
      <c r="F575" s="56" t="s">
        <v>249</v>
      </c>
      <c r="G575" s="57" t="s">
        <v>250</v>
      </c>
      <c r="H575" s="68">
        <f t="shared" si="3"/>
        <v>0</v>
      </c>
      <c r="I575" s="62"/>
      <c r="J575" s="62" t="s">
        <v>855</v>
      </c>
      <c r="K575" s="71"/>
      <c r="L575" s="57" t="s">
        <v>115</v>
      </c>
      <c r="M575" s="61"/>
      <c r="N575" s="61" t="s">
        <v>592</v>
      </c>
      <c r="O575" s="62" t="s">
        <v>855</v>
      </c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30"/>
      <c r="AC575" s="30">
        <v>3.0</v>
      </c>
      <c r="AD575" s="30">
        <f t="shared" si="4"/>
        <v>0</v>
      </c>
      <c r="AE575" s="70">
        <f t="shared" si="5"/>
        <v>0</v>
      </c>
      <c r="AF575" s="70">
        <v>1.0</v>
      </c>
    </row>
    <row r="576" ht="15.75" hidden="1" customHeight="1">
      <c r="A576" s="54" t="s">
        <v>831</v>
      </c>
      <c r="B576" s="56" t="s">
        <v>845</v>
      </c>
      <c r="C576" s="56" t="s">
        <v>838</v>
      </c>
      <c r="D576" s="56" t="s">
        <v>846</v>
      </c>
      <c r="E576" s="56" t="s">
        <v>771</v>
      </c>
      <c r="F576" s="56" t="s">
        <v>249</v>
      </c>
      <c r="G576" s="57" t="s">
        <v>250</v>
      </c>
      <c r="H576" s="68">
        <f t="shared" si="3"/>
        <v>0</v>
      </c>
      <c r="I576" s="62"/>
      <c r="J576" s="62" t="s">
        <v>772</v>
      </c>
      <c r="K576" s="71"/>
      <c r="L576" s="57" t="s">
        <v>115</v>
      </c>
      <c r="M576" s="61"/>
      <c r="N576" s="61" t="s">
        <v>159</v>
      </c>
      <c r="O576" s="62" t="s">
        <v>772</v>
      </c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30"/>
      <c r="AC576" s="30">
        <v>2.0</v>
      </c>
      <c r="AD576" s="30">
        <f t="shared" si="4"/>
        <v>0</v>
      </c>
      <c r="AE576" s="70">
        <f t="shared" si="5"/>
        <v>0</v>
      </c>
      <c r="AF576" s="70">
        <v>1.0</v>
      </c>
    </row>
    <row r="577" ht="15.75" hidden="1" customHeight="1">
      <c r="A577" s="54" t="s">
        <v>831</v>
      </c>
      <c r="B577" s="56" t="s">
        <v>845</v>
      </c>
      <c r="C577" s="56" t="s">
        <v>838</v>
      </c>
      <c r="D577" s="56" t="s">
        <v>846</v>
      </c>
      <c r="E577" s="56" t="s">
        <v>768</v>
      </c>
      <c r="F577" s="56" t="s">
        <v>249</v>
      </c>
      <c r="G577" s="57" t="s">
        <v>250</v>
      </c>
      <c r="H577" s="68">
        <f t="shared" si="3"/>
        <v>0</v>
      </c>
      <c r="I577" s="62"/>
      <c r="J577" s="62" t="s">
        <v>770</v>
      </c>
      <c r="K577" s="71"/>
      <c r="L577" s="57" t="s">
        <v>115</v>
      </c>
      <c r="M577" s="61"/>
      <c r="N577" s="61" t="s">
        <v>592</v>
      </c>
      <c r="O577" s="62" t="s">
        <v>770</v>
      </c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30"/>
      <c r="AC577" s="30">
        <v>2.0</v>
      </c>
      <c r="AD577" s="30">
        <f t="shared" si="4"/>
        <v>0</v>
      </c>
      <c r="AE577" s="70">
        <f t="shared" si="5"/>
        <v>0</v>
      </c>
      <c r="AF577" s="70">
        <v>1.0</v>
      </c>
    </row>
    <row r="578" ht="15.75" hidden="1" customHeight="1">
      <c r="A578" s="54" t="s">
        <v>831</v>
      </c>
      <c r="B578" s="56" t="s">
        <v>845</v>
      </c>
      <c r="C578" s="56" t="s">
        <v>838</v>
      </c>
      <c r="D578" s="56" t="s">
        <v>846</v>
      </c>
      <c r="E578" s="56" t="s">
        <v>773</v>
      </c>
      <c r="F578" s="56" t="s">
        <v>246</v>
      </c>
      <c r="G578" s="57" t="s">
        <v>154</v>
      </c>
      <c r="H578" s="68">
        <f t="shared" si="3"/>
        <v>0</v>
      </c>
      <c r="I578" s="62"/>
      <c r="J578" s="62"/>
      <c r="K578" s="71"/>
      <c r="L578" s="57" t="s">
        <v>115</v>
      </c>
      <c r="M578" s="61"/>
      <c r="N578" s="61"/>
      <c r="O578" s="62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30">
        <v>2.0</v>
      </c>
      <c r="AD578" s="30">
        <f t="shared" si="4"/>
        <v>0</v>
      </c>
      <c r="AE578" s="70">
        <f t="shared" si="5"/>
        <v>0</v>
      </c>
      <c r="AF578" s="70">
        <v>1.0</v>
      </c>
    </row>
    <row r="579" ht="15.75" hidden="1" customHeight="1">
      <c r="A579" s="54" t="s">
        <v>831</v>
      </c>
      <c r="B579" s="56" t="s">
        <v>845</v>
      </c>
      <c r="C579" s="56" t="s">
        <v>838</v>
      </c>
      <c r="D579" s="56" t="s">
        <v>846</v>
      </c>
      <c r="E579" s="56" t="s">
        <v>841</v>
      </c>
      <c r="F579" s="56" t="s">
        <v>246</v>
      </c>
      <c r="G579" s="57" t="s">
        <v>154</v>
      </c>
      <c r="H579" s="68">
        <f t="shared" si="3"/>
        <v>0</v>
      </c>
      <c r="I579" s="62"/>
      <c r="J579" s="62"/>
      <c r="K579" s="71"/>
      <c r="L579" s="57" t="s">
        <v>115</v>
      </c>
      <c r="M579" s="61"/>
      <c r="N579" s="61"/>
      <c r="O579" s="62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30">
        <v>2.0</v>
      </c>
      <c r="AD579" s="30">
        <f t="shared" si="4"/>
        <v>0</v>
      </c>
      <c r="AE579" s="70">
        <f t="shared" si="5"/>
        <v>0</v>
      </c>
      <c r="AF579" s="70">
        <v>1.0</v>
      </c>
    </row>
    <row r="580" ht="15.75" hidden="1" customHeight="1">
      <c r="A580" s="54" t="s">
        <v>831</v>
      </c>
      <c r="B580" s="56" t="s">
        <v>845</v>
      </c>
      <c r="C580" s="56" t="s">
        <v>838</v>
      </c>
      <c r="D580" s="56" t="s">
        <v>846</v>
      </c>
      <c r="E580" s="56" t="s">
        <v>777</v>
      </c>
      <c r="F580" s="56" t="s">
        <v>15</v>
      </c>
      <c r="G580" s="57" t="s">
        <v>15</v>
      </c>
      <c r="H580" s="68">
        <f t="shared" si="3"/>
        <v>0</v>
      </c>
      <c r="I580" s="62"/>
      <c r="J580" s="62"/>
      <c r="K580" s="71"/>
      <c r="L580" s="57" t="s">
        <v>115</v>
      </c>
      <c r="M580" s="61"/>
      <c r="N580" s="61"/>
      <c r="O580" s="62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30"/>
      <c r="AC580" s="30">
        <v>12.0</v>
      </c>
      <c r="AD580" s="30">
        <f t="shared" si="4"/>
        <v>0</v>
      </c>
      <c r="AE580" s="70">
        <f t="shared" si="5"/>
        <v>0</v>
      </c>
      <c r="AF580" s="70">
        <v>1.0</v>
      </c>
    </row>
    <row r="581" ht="15.75" hidden="1" customHeight="1">
      <c r="A581" s="54" t="s">
        <v>831</v>
      </c>
      <c r="B581" s="56" t="s">
        <v>845</v>
      </c>
      <c r="C581" s="56" t="s">
        <v>838</v>
      </c>
      <c r="D581" s="56" t="s">
        <v>846</v>
      </c>
      <c r="E581" s="56" t="s">
        <v>778</v>
      </c>
      <c r="F581" s="56" t="s">
        <v>15</v>
      </c>
      <c r="G581" s="57" t="s">
        <v>15</v>
      </c>
      <c r="H581" s="68">
        <f t="shared" si="3"/>
        <v>0</v>
      </c>
      <c r="I581" s="62"/>
      <c r="J581" s="62"/>
      <c r="K581" s="71"/>
      <c r="L581" s="57" t="s">
        <v>130</v>
      </c>
      <c r="M581" s="61"/>
      <c r="N581" s="61"/>
      <c r="O581" s="62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30"/>
      <c r="AC581" s="30">
        <v>12.0</v>
      </c>
      <c r="AD581" s="30">
        <f t="shared" si="4"/>
        <v>0</v>
      </c>
      <c r="AE581" s="70">
        <f t="shared" si="5"/>
        <v>0</v>
      </c>
      <c r="AF581" s="70">
        <v>1.0</v>
      </c>
    </row>
    <row r="582" ht="15.75" hidden="1" customHeight="1">
      <c r="A582" s="54" t="s">
        <v>831</v>
      </c>
      <c r="B582" s="56" t="s">
        <v>847</v>
      </c>
      <c r="C582" s="56" t="s">
        <v>838</v>
      </c>
      <c r="D582" s="56" t="s">
        <v>848</v>
      </c>
      <c r="E582" s="56" t="s">
        <v>111</v>
      </c>
      <c r="F582" s="56" t="s">
        <v>246</v>
      </c>
      <c r="G582" s="57" t="s">
        <v>154</v>
      </c>
      <c r="H582" s="68">
        <f t="shared" si="3"/>
        <v>0</v>
      </c>
      <c r="I582" s="62"/>
      <c r="J582" s="62"/>
      <c r="K582" s="71"/>
      <c r="L582" s="57" t="s">
        <v>115</v>
      </c>
      <c r="M582" s="61"/>
      <c r="N582" s="61"/>
      <c r="O582" s="62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30">
        <v>2.0</v>
      </c>
      <c r="AD582" s="30">
        <f t="shared" si="4"/>
        <v>0</v>
      </c>
      <c r="AE582" s="70">
        <f t="shared" si="5"/>
        <v>0</v>
      </c>
      <c r="AF582" s="70">
        <v>1.0</v>
      </c>
    </row>
    <row r="583" ht="15.75" hidden="1" customHeight="1">
      <c r="A583" s="54" t="s">
        <v>831</v>
      </c>
      <c r="B583" s="56" t="s">
        <v>847</v>
      </c>
      <c r="C583" s="56" t="s">
        <v>838</v>
      </c>
      <c r="D583" s="56" t="s">
        <v>848</v>
      </c>
      <c r="E583" s="56" t="s">
        <v>844</v>
      </c>
      <c r="F583" s="56" t="s">
        <v>246</v>
      </c>
      <c r="G583" s="57" t="s">
        <v>154</v>
      </c>
      <c r="H583" s="68">
        <f t="shared" si="3"/>
        <v>0</v>
      </c>
      <c r="I583" s="62"/>
      <c r="J583" s="62"/>
      <c r="K583" s="71"/>
      <c r="L583" s="57" t="s">
        <v>115</v>
      </c>
      <c r="M583" s="61"/>
      <c r="N583" s="61"/>
      <c r="O583" s="62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30">
        <v>2.0</v>
      </c>
      <c r="AD583" s="30">
        <f t="shared" si="4"/>
        <v>0</v>
      </c>
      <c r="AE583" s="70">
        <f t="shared" si="5"/>
        <v>0</v>
      </c>
      <c r="AF583" s="70">
        <v>1.0</v>
      </c>
    </row>
    <row r="584" ht="15.75" hidden="1" customHeight="1">
      <c r="A584" s="54" t="s">
        <v>831</v>
      </c>
      <c r="B584" s="56" t="s">
        <v>847</v>
      </c>
      <c r="C584" s="56" t="s">
        <v>838</v>
      </c>
      <c r="D584" s="56" t="s">
        <v>848</v>
      </c>
      <c r="E584" s="56" t="s">
        <v>797</v>
      </c>
      <c r="F584" s="56" t="s">
        <v>249</v>
      </c>
      <c r="G584" s="57" t="s">
        <v>250</v>
      </c>
      <c r="H584" s="68">
        <f t="shared" si="3"/>
        <v>0</v>
      </c>
      <c r="I584" s="62"/>
      <c r="J584" s="62" t="s">
        <v>855</v>
      </c>
      <c r="K584" s="71"/>
      <c r="L584" s="57" t="s">
        <v>115</v>
      </c>
      <c r="M584" s="61"/>
      <c r="N584" s="61" t="s">
        <v>592</v>
      </c>
      <c r="O584" s="62" t="s">
        <v>855</v>
      </c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30"/>
      <c r="AC584" s="30">
        <v>3.0</v>
      </c>
      <c r="AD584" s="30">
        <f t="shared" si="4"/>
        <v>0</v>
      </c>
      <c r="AE584" s="70">
        <f t="shared" si="5"/>
        <v>0</v>
      </c>
      <c r="AF584" s="70">
        <v>1.0</v>
      </c>
    </row>
    <row r="585" ht="15.75" hidden="1" customHeight="1">
      <c r="A585" s="54" t="s">
        <v>831</v>
      </c>
      <c r="B585" s="56" t="s">
        <v>849</v>
      </c>
      <c r="C585" s="56" t="s">
        <v>833</v>
      </c>
      <c r="D585" s="56" t="s">
        <v>850</v>
      </c>
      <c r="E585" s="56" t="s">
        <v>336</v>
      </c>
      <c r="F585" s="56" t="s">
        <v>313</v>
      </c>
      <c r="G585" s="57" t="s">
        <v>192</v>
      </c>
      <c r="H585" s="68">
        <f t="shared" si="3"/>
        <v>0</v>
      </c>
      <c r="I585" s="62"/>
      <c r="J585" s="62"/>
      <c r="K585" s="71"/>
      <c r="L585" s="57" t="s">
        <v>115</v>
      </c>
      <c r="M585" s="61"/>
      <c r="N585" s="61"/>
      <c r="O585" s="62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30">
        <v>3.0</v>
      </c>
      <c r="AD585" s="30">
        <f t="shared" si="4"/>
        <v>0</v>
      </c>
      <c r="AE585" s="70">
        <f t="shared" si="5"/>
        <v>0</v>
      </c>
      <c r="AF585" s="70">
        <v>1.0</v>
      </c>
    </row>
    <row r="586" ht="15.75" hidden="1" customHeight="1">
      <c r="A586" s="54" t="s">
        <v>831</v>
      </c>
      <c r="B586" s="56" t="s">
        <v>851</v>
      </c>
      <c r="C586" s="56" t="s">
        <v>852</v>
      </c>
      <c r="D586" s="56" t="s">
        <v>853</v>
      </c>
      <c r="E586" s="56" t="s">
        <v>854</v>
      </c>
      <c r="F586" s="56" t="s">
        <v>249</v>
      </c>
      <c r="G586" s="57" t="s">
        <v>250</v>
      </c>
      <c r="H586" s="68">
        <f t="shared" si="3"/>
        <v>0</v>
      </c>
      <c r="I586" s="62"/>
      <c r="J586" s="62" t="s">
        <v>864</v>
      </c>
      <c r="K586" s="71"/>
      <c r="L586" s="57" t="s">
        <v>130</v>
      </c>
      <c r="M586" s="61"/>
      <c r="N586" s="61" t="s">
        <v>592</v>
      </c>
      <c r="O586" s="62" t="s">
        <v>864</v>
      </c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30">
        <v>2.0</v>
      </c>
      <c r="AD586" s="30">
        <f t="shared" si="4"/>
        <v>0</v>
      </c>
      <c r="AE586" s="70">
        <f t="shared" si="5"/>
        <v>0</v>
      </c>
      <c r="AF586" s="70">
        <v>1.0</v>
      </c>
    </row>
    <row r="587" ht="15.75" hidden="1" customHeight="1">
      <c r="A587" s="54" t="s">
        <v>831</v>
      </c>
      <c r="B587" s="56" t="s">
        <v>851</v>
      </c>
      <c r="C587" s="56" t="s">
        <v>852</v>
      </c>
      <c r="D587" s="56" t="s">
        <v>853</v>
      </c>
      <c r="E587" s="56" t="s">
        <v>824</v>
      </c>
      <c r="F587" s="56" t="s">
        <v>246</v>
      </c>
      <c r="G587" s="57" t="s">
        <v>154</v>
      </c>
      <c r="H587" s="68">
        <f t="shared" si="3"/>
        <v>0</v>
      </c>
      <c r="I587" s="62"/>
      <c r="J587" s="62"/>
      <c r="K587" s="71"/>
      <c r="L587" s="57" t="s">
        <v>115</v>
      </c>
      <c r="M587" s="61"/>
      <c r="N587" s="61"/>
      <c r="O587" s="62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30"/>
      <c r="AC587" s="30">
        <v>2.0</v>
      </c>
      <c r="AD587" s="30">
        <f t="shared" si="4"/>
        <v>0</v>
      </c>
      <c r="AE587" s="70">
        <f t="shared" si="5"/>
        <v>0</v>
      </c>
      <c r="AF587" s="70">
        <v>1.0</v>
      </c>
    </row>
    <row r="588" ht="15.75" hidden="1" customHeight="1">
      <c r="A588" s="54" t="s">
        <v>831</v>
      </c>
      <c r="B588" s="56" t="s">
        <v>851</v>
      </c>
      <c r="C588" s="56" t="s">
        <v>852</v>
      </c>
      <c r="D588" s="56" t="s">
        <v>853</v>
      </c>
      <c r="E588" s="56" t="s">
        <v>111</v>
      </c>
      <c r="F588" s="56" t="s">
        <v>313</v>
      </c>
      <c r="G588" s="57" t="s">
        <v>192</v>
      </c>
      <c r="H588" s="68">
        <f t="shared" si="3"/>
        <v>0</v>
      </c>
      <c r="I588" s="62"/>
      <c r="J588" s="62"/>
      <c r="K588" s="71"/>
      <c r="L588" s="57" t="s">
        <v>130</v>
      </c>
      <c r="M588" s="61"/>
      <c r="N588" s="61"/>
      <c r="O588" s="62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30"/>
      <c r="AC588" s="30">
        <v>3.0</v>
      </c>
      <c r="AD588" s="30">
        <f t="shared" si="4"/>
        <v>0</v>
      </c>
      <c r="AE588" s="70">
        <f t="shared" si="5"/>
        <v>0</v>
      </c>
      <c r="AF588" s="70">
        <v>1.0</v>
      </c>
    </row>
    <row r="589" ht="15.75" hidden="1" customHeight="1">
      <c r="A589" s="54" t="s">
        <v>831</v>
      </c>
      <c r="B589" s="56" t="s">
        <v>851</v>
      </c>
      <c r="C589" s="56" t="s">
        <v>852</v>
      </c>
      <c r="D589" s="56" t="s">
        <v>853</v>
      </c>
      <c r="E589" s="56" t="s">
        <v>856</v>
      </c>
      <c r="F589" s="56" t="s">
        <v>313</v>
      </c>
      <c r="G589" s="57" t="s">
        <v>192</v>
      </c>
      <c r="H589" s="68">
        <f t="shared" si="3"/>
        <v>0</v>
      </c>
      <c r="I589" s="62"/>
      <c r="J589" s="62"/>
      <c r="K589" s="71"/>
      <c r="L589" s="57" t="s">
        <v>115</v>
      </c>
      <c r="M589" s="61"/>
      <c r="N589" s="61"/>
      <c r="O589" s="62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30"/>
      <c r="AC589" s="30">
        <v>3.0</v>
      </c>
      <c r="AD589" s="30">
        <f t="shared" si="4"/>
        <v>0</v>
      </c>
      <c r="AE589" s="70">
        <f t="shared" si="5"/>
        <v>0</v>
      </c>
      <c r="AF589" s="70">
        <v>1.0</v>
      </c>
    </row>
    <row r="590" ht="15.75" hidden="1" customHeight="1">
      <c r="A590" s="54" t="s">
        <v>831</v>
      </c>
      <c r="B590" s="56" t="s">
        <v>851</v>
      </c>
      <c r="C590" s="56" t="s">
        <v>852</v>
      </c>
      <c r="D590" s="56" t="s">
        <v>853</v>
      </c>
      <c r="E590" s="56" t="s">
        <v>857</v>
      </c>
      <c r="F590" s="56" t="s">
        <v>313</v>
      </c>
      <c r="G590" s="57" t="s">
        <v>192</v>
      </c>
      <c r="H590" s="68">
        <f t="shared" si="3"/>
        <v>0</v>
      </c>
      <c r="I590" s="62"/>
      <c r="J590" s="62"/>
      <c r="K590" s="71"/>
      <c r="L590" s="57" t="s">
        <v>130</v>
      </c>
      <c r="M590" s="61"/>
      <c r="N590" s="61"/>
      <c r="O590" s="62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30"/>
      <c r="AC590" s="30">
        <v>3.0</v>
      </c>
      <c r="AD590" s="30">
        <f t="shared" si="4"/>
        <v>0</v>
      </c>
      <c r="AE590" s="70">
        <f t="shared" si="5"/>
        <v>0</v>
      </c>
      <c r="AF590" s="70">
        <v>1.0</v>
      </c>
    </row>
    <row r="591" ht="15.75" hidden="1" customHeight="1">
      <c r="A591" s="54" t="s">
        <v>831</v>
      </c>
      <c r="B591" s="56" t="s">
        <v>858</v>
      </c>
      <c r="C591" s="56" t="s">
        <v>838</v>
      </c>
      <c r="D591" s="56" t="s">
        <v>859</v>
      </c>
      <c r="E591" s="56" t="s">
        <v>111</v>
      </c>
      <c r="F591" s="56" t="s">
        <v>246</v>
      </c>
      <c r="G591" s="57" t="s">
        <v>154</v>
      </c>
      <c r="H591" s="68">
        <f t="shared" si="3"/>
        <v>0</v>
      </c>
      <c r="I591" s="62"/>
      <c r="J591" s="62"/>
      <c r="K591" s="71"/>
      <c r="L591" s="57" t="s">
        <v>115</v>
      </c>
      <c r="M591" s="61"/>
      <c r="N591" s="61"/>
      <c r="O591" s="62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30">
        <v>2.0</v>
      </c>
      <c r="AD591" s="30">
        <f t="shared" si="4"/>
        <v>0</v>
      </c>
      <c r="AE591" s="70">
        <f t="shared" si="5"/>
        <v>0</v>
      </c>
      <c r="AF591" s="70">
        <v>1.0</v>
      </c>
    </row>
    <row r="592" ht="15.75" hidden="1" customHeight="1">
      <c r="A592" s="54" t="s">
        <v>831</v>
      </c>
      <c r="B592" s="56" t="s">
        <v>858</v>
      </c>
      <c r="C592" s="56" t="s">
        <v>838</v>
      </c>
      <c r="D592" s="56" t="s">
        <v>859</v>
      </c>
      <c r="E592" s="56" t="s">
        <v>824</v>
      </c>
      <c r="F592" s="56" t="s">
        <v>246</v>
      </c>
      <c r="G592" s="57" t="s">
        <v>154</v>
      </c>
      <c r="H592" s="68">
        <f t="shared" si="3"/>
        <v>0</v>
      </c>
      <c r="I592" s="62"/>
      <c r="J592" s="62"/>
      <c r="K592" s="71"/>
      <c r="L592" s="57" t="s">
        <v>115</v>
      </c>
      <c r="M592" s="61"/>
      <c r="N592" s="61"/>
      <c r="O592" s="62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30">
        <v>2.0</v>
      </c>
      <c r="AD592" s="30">
        <f t="shared" si="4"/>
        <v>0</v>
      </c>
      <c r="AE592" s="70">
        <f t="shared" si="5"/>
        <v>0</v>
      </c>
      <c r="AF592" s="70">
        <v>1.0</v>
      </c>
    </row>
    <row r="593" ht="15.75" hidden="1" customHeight="1">
      <c r="A593" s="54" t="s">
        <v>831</v>
      </c>
      <c r="B593" s="56" t="s">
        <v>858</v>
      </c>
      <c r="C593" s="56" t="s">
        <v>838</v>
      </c>
      <c r="D593" s="56" t="s">
        <v>859</v>
      </c>
      <c r="E593" s="56" t="s">
        <v>797</v>
      </c>
      <c r="F593" s="56" t="s">
        <v>249</v>
      </c>
      <c r="G593" s="57" t="s">
        <v>250</v>
      </c>
      <c r="H593" s="68">
        <f t="shared" si="3"/>
        <v>0</v>
      </c>
      <c r="I593" s="62"/>
      <c r="J593" s="62" t="s">
        <v>872</v>
      </c>
      <c r="K593" s="71"/>
      <c r="L593" s="57" t="s">
        <v>115</v>
      </c>
      <c r="M593" s="61"/>
      <c r="N593" s="61" t="s">
        <v>592</v>
      </c>
      <c r="O593" s="62" t="s">
        <v>872</v>
      </c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30"/>
      <c r="AC593" s="30">
        <v>3.0</v>
      </c>
      <c r="AD593" s="30">
        <f t="shared" si="4"/>
        <v>0</v>
      </c>
      <c r="AE593" s="70">
        <f t="shared" si="5"/>
        <v>0</v>
      </c>
      <c r="AF593" s="70">
        <v>1.0</v>
      </c>
    </row>
    <row r="594" ht="15.75" hidden="1" customHeight="1">
      <c r="A594" s="54" t="s">
        <v>831</v>
      </c>
      <c r="B594" s="56" t="s">
        <v>860</v>
      </c>
      <c r="C594" s="56" t="s">
        <v>852</v>
      </c>
      <c r="D594" s="56" t="s">
        <v>861</v>
      </c>
      <c r="E594" s="56" t="s">
        <v>854</v>
      </c>
      <c r="F594" s="56" t="s">
        <v>249</v>
      </c>
      <c r="G594" s="57" t="s">
        <v>250</v>
      </c>
      <c r="H594" s="68">
        <f t="shared" si="3"/>
        <v>0</v>
      </c>
      <c r="I594" s="62"/>
      <c r="J594" s="62" t="s">
        <v>864</v>
      </c>
      <c r="K594" s="71"/>
      <c r="L594" s="57" t="s">
        <v>130</v>
      </c>
      <c r="M594" s="61"/>
      <c r="N594" s="61" t="s">
        <v>592</v>
      </c>
      <c r="O594" s="62" t="s">
        <v>864</v>
      </c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30"/>
      <c r="AC594" s="30">
        <v>2.0</v>
      </c>
      <c r="AD594" s="30">
        <f t="shared" si="4"/>
        <v>0</v>
      </c>
      <c r="AE594" s="70">
        <f t="shared" si="5"/>
        <v>0</v>
      </c>
      <c r="AF594" s="70">
        <v>1.0</v>
      </c>
    </row>
    <row r="595" ht="15.75" hidden="1" customHeight="1">
      <c r="A595" s="54" t="s">
        <v>831</v>
      </c>
      <c r="B595" s="56" t="s">
        <v>860</v>
      </c>
      <c r="C595" s="56" t="s">
        <v>852</v>
      </c>
      <c r="D595" s="56" t="s">
        <v>861</v>
      </c>
      <c r="E595" s="56" t="s">
        <v>824</v>
      </c>
      <c r="F595" s="56" t="s">
        <v>246</v>
      </c>
      <c r="G595" s="57" t="s">
        <v>154</v>
      </c>
      <c r="H595" s="68">
        <f t="shared" si="3"/>
        <v>0</v>
      </c>
      <c r="I595" s="62"/>
      <c r="J595" s="62"/>
      <c r="K595" s="71"/>
      <c r="L595" s="57" t="s">
        <v>115</v>
      </c>
      <c r="M595" s="61"/>
      <c r="N595" s="61"/>
      <c r="O595" s="62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30"/>
      <c r="AC595" s="30">
        <v>2.0</v>
      </c>
      <c r="AD595" s="30">
        <f t="shared" si="4"/>
        <v>0</v>
      </c>
      <c r="AE595" s="70">
        <f t="shared" si="5"/>
        <v>0</v>
      </c>
      <c r="AF595" s="70">
        <v>1.0</v>
      </c>
    </row>
    <row r="596" ht="15.75" hidden="1" customHeight="1">
      <c r="A596" s="54" t="s">
        <v>831</v>
      </c>
      <c r="B596" s="56" t="s">
        <v>860</v>
      </c>
      <c r="C596" s="56" t="s">
        <v>852</v>
      </c>
      <c r="D596" s="56" t="s">
        <v>861</v>
      </c>
      <c r="E596" s="56" t="s">
        <v>856</v>
      </c>
      <c r="F596" s="56" t="s">
        <v>246</v>
      </c>
      <c r="G596" s="57" t="s">
        <v>154</v>
      </c>
      <c r="H596" s="68">
        <f t="shared" si="3"/>
        <v>0</v>
      </c>
      <c r="I596" s="62"/>
      <c r="J596" s="62"/>
      <c r="K596" s="71"/>
      <c r="L596" s="57" t="s">
        <v>115</v>
      </c>
      <c r="M596" s="61"/>
      <c r="N596" s="61"/>
      <c r="O596" s="62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30"/>
      <c r="AC596" s="30">
        <v>2.0</v>
      </c>
      <c r="AD596" s="30">
        <f t="shared" si="4"/>
        <v>0</v>
      </c>
      <c r="AE596" s="70">
        <f t="shared" si="5"/>
        <v>0</v>
      </c>
      <c r="AF596" s="70">
        <v>1.0</v>
      </c>
    </row>
    <row r="597" ht="15.75" hidden="1" customHeight="1">
      <c r="A597" s="54" t="s">
        <v>831</v>
      </c>
      <c r="B597" s="56" t="s">
        <v>860</v>
      </c>
      <c r="C597" s="56" t="s">
        <v>852</v>
      </c>
      <c r="D597" s="56" t="s">
        <v>861</v>
      </c>
      <c r="E597" s="56" t="s">
        <v>111</v>
      </c>
      <c r="F597" s="56" t="s">
        <v>313</v>
      </c>
      <c r="G597" s="57" t="s">
        <v>192</v>
      </c>
      <c r="H597" s="68">
        <f t="shared" si="3"/>
        <v>0</v>
      </c>
      <c r="I597" s="62"/>
      <c r="J597" s="62"/>
      <c r="K597" s="71"/>
      <c r="L597" s="57" t="s">
        <v>130</v>
      </c>
      <c r="M597" s="61"/>
      <c r="N597" s="61"/>
      <c r="O597" s="62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30">
        <v>3.0</v>
      </c>
      <c r="AD597" s="30">
        <f t="shared" si="4"/>
        <v>0</v>
      </c>
      <c r="AE597" s="70">
        <f t="shared" si="5"/>
        <v>0</v>
      </c>
      <c r="AF597" s="70">
        <v>1.0</v>
      </c>
    </row>
    <row r="598" ht="15.75" hidden="1" customHeight="1">
      <c r="A598" s="54" t="s">
        <v>831</v>
      </c>
      <c r="B598" s="56" t="s">
        <v>860</v>
      </c>
      <c r="C598" s="56" t="s">
        <v>852</v>
      </c>
      <c r="D598" s="56" t="s">
        <v>861</v>
      </c>
      <c r="E598" s="56" t="s">
        <v>857</v>
      </c>
      <c r="F598" s="56" t="s">
        <v>313</v>
      </c>
      <c r="G598" s="57" t="s">
        <v>192</v>
      </c>
      <c r="H598" s="68">
        <f t="shared" si="3"/>
        <v>0</v>
      </c>
      <c r="I598" s="62"/>
      <c r="J598" s="62"/>
      <c r="K598" s="71"/>
      <c r="L598" s="57" t="s">
        <v>130</v>
      </c>
      <c r="M598" s="61"/>
      <c r="N598" s="61"/>
      <c r="O598" s="62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30"/>
      <c r="AC598" s="30">
        <v>3.0</v>
      </c>
      <c r="AD598" s="30">
        <f t="shared" si="4"/>
        <v>0</v>
      </c>
      <c r="AE598" s="70">
        <f t="shared" si="5"/>
        <v>0</v>
      </c>
      <c r="AF598" s="70">
        <v>1.0</v>
      </c>
    </row>
    <row r="599" ht="15.75" hidden="1" customHeight="1">
      <c r="A599" s="54" t="s">
        <v>831</v>
      </c>
      <c r="B599" s="56" t="s">
        <v>862</v>
      </c>
      <c r="C599" s="56" t="s">
        <v>838</v>
      </c>
      <c r="D599" s="56" t="s">
        <v>863</v>
      </c>
      <c r="E599" s="56" t="s">
        <v>111</v>
      </c>
      <c r="F599" s="56" t="s">
        <v>246</v>
      </c>
      <c r="G599" s="57" t="s">
        <v>154</v>
      </c>
      <c r="H599" s="68">
        <f t="shared" si="3"/>
        <v>0</v>
      </c>
      <c r="I599" s="62"/>
      <c r="J599" s="62"/>
      <c r="K599" s="71"/>
      <c r="L599" s="57" t="s">
        <v>115</v>
      </c>
      <c r="M599" s="61"/>
      <c r="N599" s="61"/>
      <c r="O599" s="62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30">
        <v>2.0</v>
      </c>
      <c r="AD599" s="30">
        <f t="shared" si="4"/>
        <v>0</v>
      </c>
      <c r="AE599" s="70">
        <f t="shared" si="5"/>
        <v>0</v>
      </c>
      <c r="AF599" s="70">
        <v>1.0</v>
      </c>
    </row>
    <row r="600" ht="15.75" hidden="1" customHeight="1">
      <c r="A600" s="54" t="s">
        <v>831</v>
      </c>
      <c r="B600" s="56" t="s">
        <v>862</v>
      </c>
      <c r="C600" s="56" t="s">
        <v>838</v>
      </c>
      <c r="D600" s="56" t="s">
        <v>863</v>
      </c>
      <c r="E600" s="56" t="s">
        <v>824</v>
      </c>
      <c r="F600" s="56" t="s">
        <v>246</v>
      </c>
      <c r="G600" s="57" t="s">
        <v>154</v>
      </c>
      <c r="H600" s="68">
        <f t="shared" si="3"/>
        <v>0</v>
      </c>
      <c r="I600" s="62"/>
      <c r="J600" s="62"/>
      <c r="K600" s="71"/>
      <c r="L600" s="57" t="s">
        <v>115</v>
      </c>
      <c r="M600" s="61"/>
      <c r="N600" s="61"/>
      <c r="O600" s="62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30">
        <v>2.0</v>
      </c>
      <c r="AD600" s="30">
        <f t="shared" si="4"/>
        <v>0</v>
      </c>
      <c r="AE600" s="70">
        <f t="shared" si="5"/>
        <v>0</v>
      </c>
      <c r="AF600" s="70">
        <v>1.0</v>
      </c>
    </row>
    <row r="601" ht="15.75" hidden="1" customHeight="1">
      <c r="A601" s="54" t="s">
        <v>831</v>
      </c>
      <c r="B601" s="56" t="s">
        <v>862</v>
      </c>
      <c r="C601" s="56" t="s">
        <v>838</v>
      </c>
      <c r="D601" s="56" t="s">
        <v>863</v>
      </c>
      <c r="E601" s="56" t="s">
        <v>797</v>
      </c>
      <c r="F601" s="56" t="s">
        <v>249</v>
      </c>
      <c r="G601" s="57" t="s">
        <v>250</v>
      </c>
      <c r="H601" s="68">
        <f t="shared" si="3"/>
        <v>0</v>
      </c>
      <c r="I601" s="62"/>
      <c r="J601" s="62" t="s">
        <v>872</v>
      </c>
      <c r="K601" s="71"/>
      <c r="L601" s="57" t="s">
        <v>115</v>
      </c>
      <c r="M601" s="61"/>
      <c r="N601" s="61" t="s">
        <v>592</v>
      </c>
      <c r="O601" s="62" t="s">
        <v>872</v>
      </c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30"/>
      <c r="AC601" s="30">
        <v>3.0</v>
      </c>
      <c r="AD601" s="30">
        <f t="shared" si="4"/>
        <v>0</v>
      </c>
      <c r="AE601" s="70">
        <f t="shared" si="5"/>
        <v>0</v>
      </c>
      <c r="AF601" s="70">
        <v>1.0</v>
      </c>
    </row>
    <row r="602" ht="15.75" hidden="1" customHeight="1">
      <c r="A602" s="54" t="s">
        <v>831</v>
      </c>
      <c r="B602" s="56" t="s">
        <v>865</v>
      </c>
      <c r="C602" s="56" t="s">
        <v>838</v>
      </c>
      <c r="D602" s="56" t="s">
        <v>866</v>
      </c>
      <c r="E602" s="56" t="s">
        <v>867</v>
      </c>
      <c r="F602" s="56" t="s">
        <v>246</v>
      </c>
      <c r="G602" s="57" t="s">
        <v>154</v>
      </c>
      <c r="H602" s="68">
        <f t="shared" si="3"/>
        <v>0</v>
      </c>
      <c r="I602" s="62" t="s">
        <v>146</v>
      </c>
      <c r="J602" s="62"/>
      <c r="K602" s="71"/>
      <c r="L602" s="57" t="s">
        <v>130</v>
      </c>
      <c r="M602" s="61"/>
      <c r="N602" s="61"/>
      <c r="O602" s="62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30">
        <v>2.0</v>
      </c>
      <c r="AD602" s="30">
        <f t="shared" si="4"/>
        <v>0</v>
      </c>
      <c r="AE602" s="70">
        <f t="shared" si="5"/>
        <v>0</v>
      </c>
      <c r="AF602" s="70">
        <v>1.0</v>
      </c>
    </row>
    <row r="603" ht="15.75" hidden="1" customHeight="1">
      <c r="A603" s="54" t="s">
        <v>831</v>
      </c>
      <c r="B603" s="56" t="s">
        <v>865</v>
      </c>
      <c r="C603" s="56" t="s">
        <v>838</v>
      </c>
      <c r="D603" s="56" t="s">
        <v>866</v>
      </c>
      <c r="E603" s="56" t="s">
        <v>868</v>
      </c>
      <c r="F603" s="56" t="s">
        <v>246</v>
      </c>
      <c r="G603" s="57" t="s">
        <v>154</v>
      </c>
      <c r="H603" s="68">
        <f t="shared" si="3"/>
        <v>0</v>
      </c>
      <c r="I603" s="62"/>
      <c r="J603" s="62"/>
      <c r="K603" s="71"/>
      <c r="L603" s="57" t="s">
        <v>130</v>
      </c>
      <c r="M603" s="61"/>
      <c r="N603" s="61"/>
      <c r="O603" s="62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30">
        <v>2.0</v>
      </c>
      <c r="AD603" s="30">
        <f t="shared" si="4"/>
        <v>0</v>
      </c>
      <c r="AE603" s="70">
        <f t="shared" si="5"/>
        <v>0</v>
      </c>
      <c r="AF603" s="70">
        <v>1.0</v>
      </c>
    </row>
    <row r="604" ht="15.75" hidden="1" customHeight="1">
      <c r="A604" s="54" t="s">
        <v>831</v>
      </c>
      <c r="B604" s="56" t="s">
        <v>869</v>
      </c>
      <c r="C604" s="56" t="s">
        <v>833</v>
      </c>
      <c r="D604" s="56" t="s">
        <v>850</v>
      </c>
      <c r="E604" s="56" t="s">
        <v>870</v>
      </c>
      <c r="F604" s="56" t="s">
        <v>246</v>
      </c>
      <c r="G604" s="57" t="s">
        <v>154</v>
      </c>
      <c r="H604" s="68">
        <f t="shared" si="3"/>
        <v>0</v>
      </c>
      <c r="I604" s="62"/>
      <c r="J604" s="62"/>
      <c r="K604" s="71"/>
      <c r="L604" s="57" t="s">
        <v>130</v>
      </c>
      <c r="M604" s="61"/>
      <c r="N604" s="61"/>
      <c r="O604" s="62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30">
        <v>2.0</v>
      </c>
      <c r="AD604" s="30">
        <f t="shared" si="4"/>
        <v>0</v>
      </c>
      <c r="AE604" s="70">
        <f t="shared" si="5"/>
        <v>0</v>
      </c>
      <c r="AF604" s="70">
        <v>1.0</v>
      </c>
    </row>
    <row r="605" ht="15.75" hidden="1" customHeight="1">
      <c r="A605" s="54" t="s">
        <v>831</v>
      </c>
      <c r="B605" s="56" t="s">
        <v>869</v>
      </c>
      <c r="C605" s="56" t="s">
        <v>833</v>
      </c>
      <c r="D605" s="56" t="s">
        <v>850</v>
      </c>
      <c r="E605" s="56" t="s">
        <v>871</v>
      </c>
      <c r="F605" s="56" t="s">
        <v>313</v>
      </c>
      <c r="G605" s="57" t="s">
        <v>192</v>
      </c>
      <c r="H605" s="68">
        <f t="shared" si="3"/>
        <v>0</v>
      </c>
      <c r="I605" s="62"/>
      <c r="J605" s="62"/>
      <c r="K605" s="71"/>
      <c r="L605" s="57" t="s">
        <v>130</v>
      </c>
      <c r="M605" s="61"/>
      <c r="N605" s="61"/>
      <c r="O605" s="62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30">
        <v>3.0</v>
      </c>
      <c r="AD605" s="30">
        <f t="shared" si="4"/>
        <v>0</v>
      </c>
      <c r="AE605" s="70">
        <f t="shared" si="5"/>
        <v>0</v>
      </c>
      <c r="AF605" s="70">
        <v>1.0</v>
      </c>
    </row>
  </sheetData>
  <autoFilter ref="$A$3:$HB$605">
    <filterColumn colId="3">
      <filters>
        <filter val="SILO REACTOR"/>
      </filters>
    </filterColumn>
    <sortState ref="A3:HB605">
      <sortCondition ref="A3:A605"/>
    </sortState>
  </autoFilter>
  <mergeCells count="2">
    <mergeCell ref="K1:K2"/>
    <mergeCell ref="N1:N2"/>
  </mergeCells>
  <conditionalFormatting sqref="H4:H605">
    <cfRule type="cellIs" dxfId="0" priority="1" operator="between">
      <formula>0.5</formula>
      <formula>0.74</formula>
    </cfRule>
  </conditionalFormatting>
  <conditionalFormatting sqref="H4:H605">
    <cfRule type="cellIs" dxfId="1" priority="2" operator="lessThanOrEqual">
      <formula>0.49</formula>
    </cfRule>
  </conditionalFormatting>
  <conditionalFormatting sqref="H4:H605">
    <cfRule type="cellIs" dxfId="2" priority="3" operator="greaterThanOrEqual">
      <formula>0.75</formula>
    </cfRule>
  </conditionalFormatting>
  <conditionalFormatting sqref="I115:I118">
    <cfRule type="cellIs" dxfId="0" priority="4" operator="between">
      <formula>0.5</formula>
      <formula>0.74</formula>
    </cfRule>
  </conditionalFormatting>
  <conditionalFormatting sqref="I115:I118">
    <cfRule type="cellIs" dxfId="1" priority="5" operator="lessThanOrEqual">
      <formula>0.49</formula>
    </cfRule>
  </conditionalFormatting>
  <conditionalFormatting sqref="I115:I118">
    <cfRule type="cellIs" dxfId="3" priority="6" operator="greaterThanOrEqual">
      <formula>0.75</formula>
    </cfRule>
  </conditionalFormatting>
  <printOptions/>
  <pageMargins bottom="0.17" footer="0.0" header="0.0" left="0.15748031496062992" right="0.15748031496062992" top="0.17"/>
  <pageSetup fitToHeight="0"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46.86"/>
    <col customWidth="1" min="6" max="6" width="12.0"/>
    <col customWidth="1" hidden="1" min="7" max="7" width="6.86"/>
    <col customWidth="1" min="8" max="8" width="15.71"/>
  </cols>
  <sheetData>
    <row r="1" ht="24.75" customHeight="1">
      <c r="H1" s="24" t="s">
        <v>15</v>
      </c>
      <c r="I1" s="26"/>
      <c r="J1" s="26"/>
      <c r="K1" s="26"/>
      <c r="L1" s="29"/>
    </row>
    <row r="2" ht="24.75" customHeight="1">
      <c r="A2" s="1"/>
      <c r="B2" s="2"/>
      <c r="C2" s="2"/>
      <c r="D2" s="2"/>
      <c r="E2" s="2"/>
      <c r="F2" s="3"/>
      <c r="G2" s="8"/>
      <c r="H2" s="32"/>
      <c r="L2" s="33"/>
    </row>
    <row r="3" ht="24.75" customHeight="1">
      <c r="A3" s="8"/>
      <c r="B3" s="9"/>
      <c r="C3" s="9"/>
      <c r="D3" s="9"/>
      <c r="E3" s="9"/>
      <c r="F3" s="2"/>
      <c r="G3" s="8"/>
      <c r="H3" s="37"/>
      <c r="I3" s="35"/>
      <c r="J3" s="35"/>
      <c r="K3" s="35"/>
      <c r="L3" s="38"/>
    </row>
    <row r="4" ht="51.0" customHeight="1">
      <c r="A4" s="39" t="s">
        <v>17</v>
      </c>
      <c r="B4" s="39" t="s">
        <v>18</v>
      </c>
      <c r="C4" s="39" t="s">
        <v>19</v>
      </c>
      <c r="D4" s="39" t="s">
        <v>20</v>
      </c>
      <c r="E4" s="39" t="s">
        <v>21</v>
      </c>
      <c r="F4" s="39" t="s">
        <v>22</v>
      </c>
      <c r="G4" s="40" t="s">
        <v>23</v>
      </c>
      <c r="H4" s="41" t="s">
        <v>25</v>
      </c>
      <c r="I4" s="41" t="s">
        <v>25</v>
      </c>
      <c r="J4" s="41" t="s">
        <v>25</v>
      </c>
      <c r="K4" s="41" t="s">
        <v>25</v>
      </c>
      <c r="L4" s="41" t="s">
        <v>25</v>
      </c>
    </row>
    <row r="5" ht="24.75" hidden="1" customHeight="1">
      <c r="A5" s="44">
        <v>10.0</v>
      </c>
      <c r="B5" s="47" t="s">
        <v>27</v>
      </c>
      <c r="C5" s="47" t="s">
        <v>29</v>
      </c>
      <c r="D5" s="47" t="s">
        <v>29</v>
      </c>
      <c r="E5" s="47" t="s">
        <v>32</v>
      </c>
      <c r="F5" s="48" t="s">
        <v>34</v>
      </c>
      <c r="G5" s="50"/>
      <c r="H5" s="53"/>
      <c r="I5" s="53"/>
    </row>
    <row r="6" ht="24.75" hidden="1" customHeight="1">
      <c r="A6" s="54">
        <v>20.0</v>
      </c>
      <c r="B6" s="56" t="s">
        <v>83</v>
      </c>
      <c r="C6" s="56" t="s">
        <v>84</v>
      </c>
      <c r="D6" s="56" t="s">
        <v>85</v>
      </c>
      <c r="E6" s="56" t="s">
        <v>86</v>
      </c>
      <c r="F6" s="57" t="s">
        <v>87</v>
      </c>
      <c r="G6" s="58"/>
      <c r="H6" s="59"/>
      <c r="I6" s="53"/>
    </row>
    <row r="7" ht="24.75" hidden="1" customHeight="1">
      <c r="A7" s="54">
        <v>20.0</v>
      </c>
      <c r="B7" s="56" t="s">
        <v>89</v>
      </c>
      <c r="C7" s="56" t="s">
        <v>90</v>
      </c>
      <c r="D7" s="56" t="s">
        <v>91</v>
      </c>
      <c r="E7" s="56"/>
      <c r="F7" s="57" t="s">
        <v>34</v>
      </c>
      <c r="G7" s="61"/>
      <c r="H7" s="53"/>
      <c r="I7" s="53"/>
    </row>
    <row r="8" ht="24.75" hidden="1" customHeight="1">
      <c r="A8" s="54">
        <v>20.0</v>
      </c>
      <c r="B8" s="56" t="s">
        <v>95</v>
      </c>
      <c r="C8" s="56" t="s">
        <v>90</v>
      </c>
      <c r="D8" s="56" t="s">
        <v>96</v>
      </c>
      <c r="E8" s="56" t="s">
        <v>97</v>
      </c>
      <c r="F8" s="57" t="s">
        <v>34</v>
      </c>
      <c r="G8" s="61"/>
      <c r="H8" s="53"/>
      <c r="I8" s="53"/>
    </row>
    <row r="9" ht="24.75" hidden="1" customHeight="1">
      <c r="A9" s="54">
        <v>20.0</v>
      </c>
      <c r="B9" s="56" t="s">
        <v>98</v>
      </c>
      <c r="C9" s="56" t="s">
        <v>90</v>
      </c>
      <c r="D9" s="56" t="s">
        <v>99</v>
      </c>
      <c r="E9" s="56" t="s">
        <v>97</v>
      </c>
      <c r="F9" s="57" t="s">
        <v>34</v>
      </c>
      <c r="G9" s="61"/>
      <c r="H9" s="53"/>
      <c r="I9" s="53"/>
    </row>
    <row r="10" ht="24.75" hidden="1" customHeight="1">
      <c r="A10" s="54">
        <v>20.0</v>
      </c>
      <c r="B10" s="56" t="s">
        <v>100</v>
      </c>
      <c r="C10" s="56" t="s">
        <v>101</v>
      </c>
      <c r="D10" s="56" t="s">
        <v>102</v>
      </c>
      <c r="E10" s="56" t="s">
        <v>103</v>
      </c>
      <c r="F10" s="57" t="s">
        <v>34</v>
      </c>
      <c r="G10" s="61"/>
      <c r="H10" s="53"/>
      <c r="I10" s="53"/>
    </row>
    <row r="11" ht="24.75" hidden="1" customHeight="1">
      <c r="A11" s="54">
        <v>30.0</v>
      </c>
      <c r="B11" s="56" t="s">
        <v>108</v>
      </c>
      <c r="C11" s="56" t="s">
        <v>109</v>
      </c>
      <c r="D11" s="56" t="s">
        <v>110</v>
      </c>
      <c r="E11" s="56" t="s">
        <v>111</v>
      </c>
      <c r="F11" s="57" t="s">
        <v>87</v>
      </c>
      <c r="G11" s="61"/>
      <c r="H11" s="53"/>
      <c r="I11" s="53"/>
    </row>
    <row r="12" ht="24.75" hidden="1" customHeight="1">
      <c r="A12" s="54">
        <v>30.0</v>
      </c>
      <c r="B12" s="56" t="s">
        <v>113</v>
      </c>
      <c r="C12" s="56" t="s">
        <v>109</v>
      </c>
      <c r="D12" s="56" t="s">
        <v>114</v>
      </c>
      <c r="E12" s="56" t="s">
        <v>111</v>
      </c>
      <c r="F12" s="57" t="s">
        <v>87</v>
      </c>
      <c r="G12" s="61"/>
      <c r="H12" s="53"/>
      <c r="I12" s="53"/>
    </row>
    <row r="13" ht="24.75" hidden="1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118</v>
      </c>
      <c r="F13" s="57" t="s">
        <v>87</v>
      </c>
      <c r="G13" s="61"/>
      <c r="H13" s="53"/>
      <c r="I13" s="53"/>
    </row>
    <row r="14" ht="24.75" hidden="1" customHeight="1">
      <c r="A14" s="54">
        <v>30.0</v>
      </c>
      <c r="B14" s="56" t="s">
        <v>116</v>
      </c>
      <c r="C14" s="56" t="s">
        <v>109</v>
      </c>
      <c r="D14" s="56" t="s">
        <v>117</v>
      </c>
      <c r="E14" s="56" t="s">
        <v>119</v>
      </c>
      <c r="F14" s="57" t="s">
        <v>34</v>
      </c>
      <c r="G14" s="61"/>
      <c r="H14" s="53"/>
      <c r="I14" s="53"/>
    </row>
    <row r="15" ht="24.75" hidden="1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111</v>
      </c>
      <c r="F15" s="57" t="s">
        <v>87</v>
      </c>
      <c r="G15" s="61"/>
      <c r="H15" s="53"/>
      <c r="I15" s="53"/>
    </row>
    <row r="16" ht="24.75" hidden="1" customHeight="1">
      <c r="A16" s="54">
        <v>30.0</v>
      </c>
      <c r="B16" s="56" t="s">
        <v>120</v>
      </c>
      <c r="C16" s="56" t="s">
        <v>109</v>
      </c>
      <c r="D16" s="56" t="s">
        <v>121</v>
      </c>
      <c r="E16" s="56" t="s">
        <v>122</v>
      </c>
      <c r="F16" s="57" t="s">
        <v>34</v>
      </c>
      <c r="G16" s="61"/>
      <c r="H16" s="53"/>
      <c r="I16" s="53"/>
    </row>
    <row r="17" ht="24.75" hidden="1" customHeight="1">
      <c r="A17" s="54">
        <v>30.0</v>
      </c>
      <c r="B17" s="56" t="s">
        <v>123</v>
      </c>
      <c r="C17" s="56" t="s">
        <v>109</v>
      </c>
      <c r="D17" s="56" t="s">
        <v>124</v>
      </c>
      <c r="E17" s="56" t="s">
        <v>86</v>
      </c>
      <c r="F17" s="57" t="s">
        <v>87</v>
      </c>
      <c r="G17" s="61"/>
      <c r="H17" s="53"/>
      <c r="I17" s="53"/>
    </row>
    <row r="18" ht="24.75" hidden="1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129</v>
      </c>
      <c r="F18" s="57" t="s">
        <v>34</v>
      </c>
      <c r="G18" s="61"/>
      <c r="H18" s="53"/>
      <c r="I18" s="53"/>
    </row>
    <row r="19" ht="24.75" hidden="1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132</v>
      </c>
      <c r="F19" s="57" t="s">
        <v>34</v>
      </c>
      <c r="G19" s="61"/>
      <c r="H19" s="53"/>
      <c r="I19" s="53"/>
    </row>
    <row r="20" ht="24.75" hidden="1" customHeight="1">
      <c r="A20" s="54">
        <v>31.0</v>
      </c>
      <c r="B20" s="56" t="s">
        <v>126</v>
      </c>
      <c r="C20" s="56" t="s">
        <v>127</v>
      </c>
      <c r="D20" s="56" t="s">
        <v>128</v>
      </c>
      <c r="E20" s="56" t="s">
        <v>134</v>
      </c>
      <c r="F20" s="57" t="s">
        <v>34</v>
      </c>
      <c r="G20" s="61"/>
      <c r="H20" s="53"/>
      <c r="I20" s="53"/>
    </row>
    <row r="21" ht="24.75" hidden="1" customHeight="1">
      <c r="A21" s="54">
        <v>40.0</v>
      </c>
      <c r="B21" s="56" t="s">
        <v>135</v>
      </c>
      <c r="C21" s="56" t="s">
        <v>136</v>
      </c>
      <c r="D21" s="56" t="s">
        <v>137</v>
      </c>
      <c r="E21" s="56" t="s">
        <v>111</v>
      </c>
      <c r="F21" s="57" t="s">
        <v>34</v>
      </c>
      <c r="G21" s="61"/>
      <c r="H21" s="53"/>
      <c r="I21" s="53"/>
    </row>
    <row r="22" ht="24.75" hidden="1" customHeight="1">
      <c r="A22" s="54">
        <v>40.0</v>
      </c>
      <c r="B22" s="56" t="s">
        <v>139</v>
      </c>
      <c r="C22" s="56" t="s">
        <v>101</v>
      </c>
      <c r="D22" s="56" t="s">
        <v>102</v>
      </c>
      <c r="E22" s="56" t="s">
        <v>111</v>
      </c>
      <c r="F22" s="57" t="s">
        <v>34</v>
      </c>
      <c r="G22" s="61"/>
      <c r="H22" s="53"/>
      <c r="I22" s="53"/>
    </row>
    <row r="23" ht="24.75" hidden="1" customHeight="1">
      <c r="A23" s="54">
        <v>40.0</v>
      </c>
      <c r="B23" s="56" t="s">
        <v>140</v>
      </c>
      <c r="C23" s="56" t="s">
        <v>141</v>
      </c>
      <c r="D23" s="56" t="s">
        <v>142</v>
      </c>
      <c r="E23" s="56" t="s">
        <v>111</v>
      </c>
      <c r="F23" s="57" t="s">
        <v>34</v>
      </c>
      <c r="G23" s="61"/>
      <c r="H23" s="53"/>
      <c r="I23" s="53"/>
    </row>
    <row r="24" ht="24.75" hidden="1" customHeight="1">
      <c r="A24" s="54">
        <v>40.0</v>
      </c>
      <c r="B24" s="56" t="s">
        <v>143</v>
      </c>
      <c r="C24" s="56" t="s">
        <v>144</v>
      </c>
      <c r="D24" s="56" t="s">
        <v>145</v>
      </c>
      <c r="E24" s="56" t="s">
        <v>111</v>
      </c>
      <c r="F24" s="57" t="s">
        <v>34</v>
      </c>
      <c r="G24" s="61"/>
      <c r="H24" s="53"/>
      <c r="I24" s="53"/>
    </row>
    <row r="25" ht="24.75" hidden="1" customHeight="1">
      <c r="A25" s="54">
        <v>50.0</v>
      </c>
      <c r="B25" s="56" t="s">
        <v>147</v>
      </c>
      <c r="C25" s="56" t="s">
        <v>148</v>
      </c>
      <c r="D25" s="56" t="s">
        <v>149</v>
      </c>
      <c r="E25" s="56" t="s">
        <v>150</v>
      </c>
      <c r="F25" s="57" t="s">
        <v>34</v>
      </c>
      <c r="G25" s="61"/>
      <c r="H25" s="53"/>
      <c r="I25" s="53"/>
    </row>
    <row r="26" ht="24.75" hidden="1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111</v>
      </c>
      <c r="F26" s="57" t="s">
        <v>34</v>
      </c>
      <c r="G26" s="61"/>
      <c r="H26" s="53"/>
      <c r="I26" s="53"/>
    </row>
    <row r="27" ht="24.75" hidden="1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153</v>
      </c>
      <c r="F27" s="57" t="s">
        <v>154</v>
      </c>
      <c r="G27" s="61"/>
      <c r="H27" s="53"/>
      <c r="I27" s="53"/>
    </row>
    <row r="28" ht="24.75" hidden="1" customHeight="1">
      <c r="A28" s="54">
        <v>50.0</v>
      </c>
      <c r="B28" s="56" t="s">
        <v>151</v>
      </c>
      <c r="C28" s="56" t="s">
        <v>152</v>
      </c>
      <c r="D28" s="56" t="s">
        <v>152</v>
      </c>
      <c r="E28" s="56" t="s">
        <v>155</v>
      </c>
      <c r="F28" s="57" t="s">
        <v>154</v>
      </c>
      <c r="G28" s="61"/>
      <c r="H28" s="53"/>
      <c r="I28" s="53"/>
    </row>
    <row r="29" ht="24.75" hidden="1" customHeight="1">
      <c r="A29" s="54">
        <v>50.0</v>
      </c>
      <c r="B29" s="56" t="s">
        <v>156</v>
      </c>
      <c r="C29" s="56" t="s">
        <v>152</v>
      </c>
      <c r="D29" s="56" t="s">
        <v>157</v>
      </c>
      <c r="E29" s="56" t="s">
        <v>158</v>
      </c>
      <c r="F29" s="57" t="s">
        <v>34</v>
      </c>
      <c r="G29" s="61"/>
      <c r="H29" s="53"/>
      <c r="I29" s="53"/>
    </row>
    <row r="30" ht="24.75" hidden="1" customHeight="1">
      <c r="A30" s="54">
        <v>50.0</v>
      </c>
      <c r="B30" s="56" t="s">
        <v>161</v>
      </c>
      <c r="C30" s="56" t="s">
        <v>152</v>
      </c>
      <c r="D30" s="56" t="s">
        <v>162</v>
      </c>
      <c r="E30" s="56" t="s">
        <v>163</v>
      </c>
      <c r="F30" s="57" t="s">
        <v>34</v>
      </c>
      <c r="G30" s="61"/>
      <c r="H30" s="53"/>
      <c r="I30" s="53"/>
    </row>
    <row r="31" ht="24.75" hidden="1" customHeight="1">
      <c r="A31" s="54">
        <v>60.0</v>
      </c>
      <c r="B31" s="56" t="s">
        <v>164</v>
      </c>
      <c r="C31" s="56" t="s">
        <v>165</v>
      </c>
      <c r="D31" s="56" t="s">
        <v>166</v>
      </c>
      <c r="E31" s="56" t="s">
        <v>167</v>
      </c>
      <c r="F31" s="57" t="s">
        <v>154</v>
      </c>
      <c r="G31" s="61"/>
      <c r="H31" s="53"/>
      <c r="I31" s="53"/>
    </row>
    <row r="32" ht="24.75" hidden="1" customHeight="1">
      <c r="A32" s="54">
        <v>60.0</v>
      </c>
      <c r="B32" s="56" t="s">
        <v>169</v>
      </c>
      <c r="C32" s="56" t="s">
        <v>165</v>
      </c>
      <c r="D32" s="56" t="s">
        <v>170</v>
      </c>
      <c r="E32" s="56" t="s">
        <v>167</v>
      </c>
      <c r="F32" s="57" t="s">
        <v>154</v>
      </c>
      <c r="G32" s="61"/>
      <c r="H32" s="53"/>
      <c r="I32" s="53"/>
    </row>
    <row r="33" ht="24.75" hidden="1" customHeight="1">
      <c r="A33" s="54">
        <v>60.0</v>
      </c>
      <c r="B33" s="56" t="s">
        <v>171</v>
      </c>
      <c r="C33" s="56" t="s">
        <v>165</v>
      </c>
      <c r="D33" s="56" t="s">
        <v>172</v>
      </c>
      <c r="E33" s="56" t="s">
        <v>167</v>
      </c>
      <c r="F33" s="57" t="s">
        <v>154</v>
      </c>
      <c r="G33" s="61"/>
      <c r="H33" s="53"/>
      <c r="I33" s="53"/>
    </row>
    <row r="34" ht="24.75" hidden="1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167</v>
      </c>
      <c r="F34" s="57" t="s">
        <v>154</v>
      </c>
      <c r="G34" s="61"/>
      <c r="H34" s="53"/>
      <c r="I34" s="53"/>
    </row>
    <row r="35" ht="24.75" hidden="1" customHeight="1">
      <c r="A35" s="54">
        <v>60.0</v>
      </c>
      <c r="B35" s="56" t="s">
        <v>174</v>
      </c>
      <c r="C35" s="56" t="s">
        <v>165</v>
      </c>
      <c r="D35" s="56" t="s">
        <v>175</v>
      </c>
      <c r="E35" s="56" t="s">
        <v>176</v>
      </c>
      <c r="F35" s="57" t="s">
        <v>154</v>
      </c>
      <c r="G35" s="61"/>
      <c r="H35" s="53"/>
      <c r="I35" s="53"/>
    </row>
    <row r="36" ht="24.75" hidden="1" customHeight="1">
      <c r="A36" s="54">
        <v>60.0</v>
      </c>
      <c r="B36" s="56" t="s">
        <v>177</v>
      </c>
      <c r="C36" s="56" t="s">
        <v>165</v>
      </c>
      <c r="D36" s="56" t="s">
        <v>178</v>
      </c>
      <c r="E36" s="56" t="s">
        <v>111</v>
      </c>
      <c r="F36" s="57" t="s">
        <v>154</v>
      </c>
      <c r="G36" s="61"/>
      <c r="H36" s="53"/>
      <c r="I36" s="53"/>
    </row>
    <row r="37" ht="24.75" hidden="1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167</v>
      </c>
      <c r="F37" s="57" t="s">
        <v>154</v>
      </c>
      <c r="G37" s="61"/>
      <c r="H37" s="53"/>
      <c r="I37" s="53"/>
    </row>
    <row r="38" ht="24.75" hidden="1" customHeight="1">
      <c r="A38" s="54">
        <v>60.0</v>
      </c>
      <c r="B38" s="56" t="s">
        <v>179</v>
      </c>
      <c r="C38" s="56" t="s">
        <v>165</v>
      </c>
      <c r="D38" s="56" t="s">
        <v>180</v>
      </c>
      <c r="E38" s="56" t="s">
        <v>176</v>
      </c>
      <c r="F38" s="57" t="s">
        <v>154</v>
      </c>
      <c r="G38" s="61"/>
      <c r="H38" s="53"/>
      <c r="I38" s="53"/>
    </row>
    <row r="39" ht="24.75" hidden="1" customHeight="1">
      <c r="A39" s="54">
        <v>60.0</v>
      </c>
      <c r="B39" s="56" t="s">
        <v>181</v>
      </c>
      <c r="C39" s="56" t="s">
        <v>165</v>
      </c>
      <c r="D39" s="56" t="s">
        <v>178</v>
      </c>
      <c r="E39" s="56" t="s">
        <v>167</v>
      </c>
      <c r="F39" s="57" t="s">
        <v>154</v>
      </c>
      <c r="G39" s="61"/>
      <c r="H39" s="53"/>
      <c r="I39" s="53"/>
    </row>
    <row r="40" ht="24.75" hidden="1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167</v>
      </c>
      <c r="F40" s="57" t="s">
        <v>154</v>
      </c>
      <c r="G40" s="61"/>
      <c r="H40" s="53"/>
      <c r="I40" s="53"/>
    </row>
    <row r="41" ht="24.75" hidden="1" customHeight="1">
      <c r="A41" s="54">
        <v>60.0</v>
      </c>
      <c r="B41" s="56" t="s">
        <v>182</v>
      </c>
      <c r="C41" s="56" t="s">
        <v>165</v>
      </c>
      <c r="D41" s="56" t="s">
        <v>183</v>
      </c>
      <c r="E41" s="56" t="s">
        <v>176</v>
      </c>
      <c r="F41" s="57" t="s">
        <v>154</v>
      </c>
      <c r="G41" s="61"/>
      <c r="H41" s="53"/>
      <c r="I41" s="53"/>
    </row>
    <row r="42" ht="24.75" hidden="1" customHeight="1">
      <c r="A42" s="54">
        <v>60.0</v>
      </c>
      <c r="B42" s="56" t="s">
        <v>184</v>
      </c>
      <c r="C42" s="56" t="s">
        <v>165</v>
      </c>
      <c r="D42" s="56" t="s">
        <v>178</v>
      </c>
      <c r="E42" s="56" t="s">
        <v>167</v>
      </c>
      <c r="F42" s="57" t="s">
        <v>154</v>
      </c>
      <c r="G42" s="61"/>
      <c r="H42" s="53"/>
      <c r="I42" s="53"/>
    </row>
    <row r="43" ht="24.75" hidden="1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167</v>
      </c>
      <c r="F43" s="57" t="s">
        <v>154</v>
      </c>
      <c r="G43" s="61"/>
      <c r="H43" s="53"/>
      <c r="I43" s="53"/>
    </row>
    <row r="44" ht="24.75" hidden="1" customHeight="1">
      <c r="A44" s="54">
        <v>60.0</v>
      </c>
      <c r="B44" s="56" t="s">
        <v>185</v>
      </c>
      <c r="C44" s="56" t="s">
        <v>165</v>
      </c>
      <c r="D44" s="56" t="s">
        <v>186</v>
      </c>
      <c r="E44" s="56" t="s">
        <v>176</v>
      </c>
      <c r="F44" s="57" t="s">
        <v>154</v>
      </c>
      <c r="G44" s="61"/>
      <c r="H44" s="53"/>
      <c r="I44" s="53"/>
    </row>
    <row r="45" ht="24.75" hidden="1" customHeight="1">
      <c r="A45" s="54">
        <v>60.0</v>
      </c>
      <c r="B45" s="56" t="s">
        <v>187</v>
      </c>
      <c r="C45" s="56" t="s">
        <v>165</v>
      </c>
      <c r="D45" s="56" t="s">
        <v>178</v>
      </c>
      <c r="E45" s="56" t="s">
        <v>167</v>
      </c>
      <c r="F45" s="57" t="s">
        <v>154</v>
      </c>
      <c r="G45" s="61"/>
      <c r="H45" s="53"/>
      <c r="I45" s="53"/>
    </row>
    <row r="46" ht="24.75" hidden="1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191</v>
      </c>
      <c r="F46" s="57" t="s">
        <v>192</v>
      </c>
      <c r="G46" s="61"/>
      <c r="H46" s="53"/>
      <c r="I46" s="53"/>
    </row>
    <row r="47" ht="24.75" hidden="1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194</v>
      </c>
      <c r="F47" s="57" t="s">
        <v>192</v>
      </c>
      <c r="G47" s="61"/>
      <c r="H47" s="53"/>
      <c r="I47" s="53"/>
    </row>
    <row r="48" ht="24.75" hidden="1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195</v>
      </c>
      <c r="F48" s="57" t="s">
        <v>34</v>
      </c>
      <c r="G48" s="61"/>
      <c r="H48" s="53"/>
      <c r="I48" s="53"/>
    </row>
    <row r="49" ht="24.75" hidden="1" customHeight="1">
      <c r="A49" s="54">
        <v>80.0</v>
      </c>
      <c r="B49" s="56" t="s">
        <v>188</v>
      </c>
      <c r="C49" s="56" t="s">
        <v>189</v>
      </c>
      <c r="D49" s="56" t="s">
        <v>190</v>
      </c>
      <c r="E49" s="56" t="s">
        <v>196</v>
      </c>
      <c r="F49" s="57" t="s">
        <v>154</v>
      </c>
      <c r="G49" s="61"/>
      <c r="H49" s="53"/>
      <c r="I49" s="53"/>
    </row>
    <row r="50" ht="24.75" hidden="1" customHeight="1">
      <c r="A50" s="54">
        <v>80.0</v>
      </c>
      <c r="B50" s="56" t="s">
        <v>198</v>
      </c>
      <c r="C50" s="56" t="s">
        <v>189</v>
      </c>
      <c r="D50" s="56" t="s">
        <v>199</v>
      </c>
      <c r="E50" s="56" t="s">
        <v>163</v>
      </c>
      <c r="F50" s="57" t="s">
        <v>154</v>
      </c>
      <c r="G50" s="61"/>
      <c r="H50" s="53"/>
      <c r="I50" s="53"/>
    </row>
    <row r="51" ht="24.75" hidden="1" customHeight="1">
      <c r="A51" s="54">
        <v>80.0</v>
      </c>
      <c r="B51" s="56" t="s">
        <v>203</v>
      </c>
      <c r="C51" s="56" t="s">
        <v>204</v>
      </c>
      <c r="D51" s="56" t="s">
        <v>205</v>
      </c>
      <c r="E51" s="56" t="s">
        <v>206</v>
      </c>
      <c r="F51" s="76" t="s">
        <v>192</v>
      </c>
      <c r="G51" s="61"/>
      <c r="H51" s="53"/>
      <c r="I51" s="53"/>
    </row>
    <row r="52" ht="24.75" hidden="1" customHeight="1">
      <c r="A52" s="54">
        <v>80.0</v>
      </c>
      <c r="B52" s="56" t="s">
        <v>203</v>
      </c>
      <c r="C52" s="56" t="s">
        <v>204</v>
      </c>
      <c r="D52" s="56" t="s">
        <v>205</v>
      </c>
      <c r="E52" s="56" t="s">
        <v>208</v>
      </c>
      <c r="F52" s="57" t="s">
        <v>154</v>
      </c>
      <c r="G52" s="61"/>
      <c r="H52" s="53"/>
      <c r="I52" s="53"/>
    </row>
    <row r="53" ht="24.75" hidden="1" customHeight="1">
      <c r="A53" s="54">
        <v>80.0</v>
      </c>
      <c r="B53" s="56" t="s">
        <v>210</v>
      </c>
      <c r="C53" s="56" t="s">
        <v>189</v>
      </c>
      <c r="D53" s="56" t="s">
        <v>212</v>
      </c>
      <c r="E53" s="56" t="s">
        <v>213</v>
      </c>
      <c r="F53" s="57"/>
      <c r="G53" s="61"/>
      <c r="H53" s="53"/>
      <c r="I53" s="53"/>
    </row>
    <row r="54" ht="24.75" hidden="1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216</v>
      </c>
      <c r="F54" s="57" t="s">
        <v>154</v>
      </c>
      <c r="G54" s="61"/>
      <c r="H54" s="53"/>
      <c r="I54" s="53"/>
    </row>
    <row r="55" ht="24.75" hidden="1" customHeight="1">
      <c r="A55" s="54">
        <v>80.0</v>
      </c>
      <c r="B55" s="56" t="s">
        <v>214</v>
      </c>
      <c r="C55" s="56" t="s">
        <v>204</v>
      </c>
      <c r="D55" s="56" t="s">
        <v>215</v>
      </c>
      <c r="E55" s="56" t="s">
        <v>217</v>
      </c>
      <c r="F55" s="57" t="s">
        <v>154</v>
      </c>
      <c r="G55" s="61"/>
      <c r="H55" s="53"/>
      <c r="I55" s="53"/>
    </row>
    <row r="56" ht="24.75" hidden="1" customHeight="1">
      <c r="A56" s="54">
        <v>80.0</v>
      </c>
      <c r="B56" s="56" t="s">
        <v>214</v>
      </c>
      <c r="C56" s="56" t="s">
        <v>204</v>
      </c>
      <c r="D56" s="56" t="s">
        <v>215</v>
      </c>
      <c r="E56" s="56" t="s">
        <v>163</v>
      </c>
      <c r="F56" s="57" t="s">
        <v>154</v>
      </c>
      <c r="G56" s="61"/>
      <c r="H56" s="53"/>
      <c r="I56" s="53"/>
    </row>
    <row r="57" ht="24.75" hidden="1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191</v>
      </c>
      <c r="F57" s="57" t="s">
        <v>192</v>
      </c>
      <c r="G57" s="61"/>
      <c r="H57" s="53"/>
      <c r="I57" s="53"/>
    </row>
    <row r="58" ht="24.75" hidden="1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194</v>
      </c>
      <c r="F58" s="57" t="s">
        <v>192</v>
      </c>
      <c r="G58" s="61"/>
      <c r="H58" s="53"/>
      <c r="I58" s="53"/>
    </row>
    <row r="59" ht="24.75" hidden="1" customHeight="1">
      <c r="A59" s="54">
        <v>80.0</v>
      </c>
      <c r="B59" s="56" t="s">
        <v>218</v>
      </c>
      <c r="C59" s="56" t="s">
        <v>204</v>
      </c>
      <c r="D59" s="56" t="s">
        <v>219</v>
      </c>
      <c r="E59" s="56" t="s">
        <v>195</v>
      </c>
      <c r="F59" s="57" t="s">
        <v>34</v>
      </c>
      <c r="G59" s="61"/>
      <c r="H59" s="53"/>
      <c r="I59" s="53"/>
    </row>
    <row r="60" ht="24.75" hidden="1" customHeight="1">
      <c r="A60" s="54">
        <v>80.0</v>
      </c>
      <c r="B60" s="56" t="s">
        <v>218</v>
      </c>
      <c r="C60" s="56" t="s">
        <v>204</v>
      </c>
      <c r="D60" s="56" t="s">
        <v>219</v>
      </c>
      <c r="E60" s="56" t="s">
        <v>196</v>
      </c>
      <c r="F60" s="57" t="s">
        <v>154</v>
      </c>
      <c r="G60" s="61"/>
      <c r="H60" s="53"/>
    </row>
    <row r="61" ht="24.75" hidden="1" customHeight="1">
      <c r="A61" s="54">
        <v>80.0</v>
      </c>
      <c r="B61" s="56" t="s">
        <v>220</v>
      </c>
      <c r="C61" s="56" t="s">
        <v>204</v>
      </c>
      <c r="D61" s="56" t="s">
        <v>221</v>
      </c>
      <c r="E61" s="56" t="s">
        <v>222</v>
      </c>
      <c r="F61" s="57" t="s">
        <v>154</v>
      </c>
      <c r="G61" s="61"/>
      <c r="H61" s="53"/>
    </row>
    <row r="62" ht="24.75" hidden="1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225</v>
      </c>
      <c r="F62" s="57" t="s">
        <v>34</v>
      </c>
      <c r="G62" s="61"/>
      <c r="H62" s="53"/>
    </row>
    <row r="63" ht="24.75" hidden="1" customHeight="1">
      <c r="A63" s="54">
        <v>80.0</v>
      </c>
      <c r="B63" s="56" t="s">
        <v>223</v>
      </c>
      <c r="C63" s="56" t="s">
        <v>204</v>
      </c>
      <c r="D63" s="56" t="s">
        <v>224</v>
      </c>
      <c r="E63" s="56" t="s">
        <v>167</v>
      </c>
      <c r="F63" s="57" t="s">
        <v>154</v>
      </c>
      <c r="G63" s="61"/>
      <c r="H63" s="53"/>
    </row>
    <row r="64" ht="24.75" hidden="1" customHeight="1">
      <c r="A64" s="54">
        <v>80.0</v>
      </c>
      <c r="B64" s="56" t="s">
        <v>223</v>
      </c>
      <c r="C64" s="56" t="s">
        <v>204</v>
      </c>
      <c r="D64" s="56" t="s">
        <v>224</v>
      </c>
      <c r="E64" s="56" t="s">
        <v>226</v>
      </c>
      <c r="F64" s="57" t="s">
        <v>154</v>
      </c>
      <c r="G64" s="61"/>
      <c r="H64" s="53"/>
    </row>
    <row r="65" ht="24.75" hidden="1" customHeight="1">
      <c r="A65" s="54">
        <v>80.0</v>
      </c>
      <c r="B65" s="56" t="s">
        <v>227</v>
      </c>
      <c r="C65" s="56" t="s">
        <v>228</v>
      </c>
      <c r="D65" s="56" t="s">
        <v>229</v>
      </c>
      <c r="E65" s="56" t="s">
        <v>230</v>
      </c>
      <c r="F65" s="57" t="s">
        <v>154</v>
      </c>
      <c r="G65" s="61"/>
      <c r="H65" s="53"/>
    </row>
    <row r="66" ht="24.75" hidden="1" customHeight="1">
      <c r="A66" s="54">
        <v>80.0</v>
      </c>
      <c r="B66" s="56" t="s">
        <v>227</v>
      </c>
      <c r="C66" s="56" t="s">
        <v>228</v>
      </c>
      <c r="D66" s="56" t="s">
        <v>231</v>
      </c>
      <c r="E66" s="56" t="s">
        <v>232</v>
      </c>
      <c r="F66" s="57" t="s">
        <v>192</v>
      </c>
      <c r="G66" s="61"/>
      <c r="H66" s="53"/>
    </row>
    <row r="67" ht="24.75" hidden="1" customHeight="1">
      <c r="A67" s="54">
        <v>92.0</v>
      </c>
      <c r="B67" s="56" t="s">
        <v>233</v>
      </c>
      <c r="C67" s="56" t="s">
        <v>234</v>
      </c>
      <c r="D67" s="56" t="s">
        <v>235</v>
      </c>
      <c r="E67" s="56" t="s">
        <v>111</v>
      </c>
      <c r="F67" s="57" t="s">
        <v>87</v>
      </c>
      <c r="G67" s="61"/>
      <c r="H67" s="53"/>
    </row>
    <row r="68" ht="24.75" hidden="1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239</v>
      </c>
      <c r="F68" s="57" t="s">
        <v>34</v>
      </c>
      <c r="G68" s="61"/>
      <c r="H68" s="53"/>
    </row>
    <row r="69" ht="24.75" hidden="1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241</v>
      </c>
      <c r="F69" s="57" t="s">
        <v>34</v>
      </c>
      <c r="G69" s="61"/>
      <c r="H69" s="53"/>
    </row>
    <row r="70" ht="24.75" hidden="1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242</v>
      </c>
      <c r="F70" s="57" t="s">
        <v>34</v>
      </c>
      <c r="G70" s="61"/>
      <c r="H70" s="53"/>
    </row>
    <row r="71" ht="24.75" hidden="1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244</v>
      </c>
      <c r="F71" s="57" t="s">
        <v>34</v>
      </c>
      <c r="G71" s="61"/>
      <c r="H71" s="53"/>
    </row>
    <row r="72" ht="24.75" hidden="1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247</v>
      </c>
      <c r="F72" s="57" t="s">
        <v>34</v>
      </c>
      <c r="G72" s="61"/>
      <c r="H72" s="53"/>
    </row>
    <row r="73" ht="24.75" hidden="1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248</v>
      </c>
      <c r="F73" s="57" t="s">
        <v>34</v>
      </c>
      <c r="G73" s="61"/>
      <c r="H73" s="53"/>
    </row>
    <row r="74" ht="24.75" hidden="1" customHeight="1">
      <c r="A74" s="54">
        <v>90.0</v>
      </c>
      <c r="B74" s="56" t="s">
        <v>236</v>
      </c>
      <c r="C74" s="56" t="s">
        <v>237</v>
      </c>
      <c r="D74" s="56" t="s">
        <v>238</v>
      </c>
      <c r="E74" s="56" t="s">
        <v>252</v>
      </c>
      <c r="F74" s="57" t="s">
        <v>34</v>
      </c>
      <c r="G74" s="61"/>
      <c r="H74" s="53"/>
    </row>
    <row r="75" ht="24.75" hidden="1" customHeight="1">
      <c r="A75" s="54">
        <v>92.0</v>
      </c>
      <c r="B75" s="56" t="s">
        <v>253</v>
      </c>
      <c r="C75" s="56" t="s">
        <v>234</v>
      </c>
      <c r="D75" s="56" t="s">
        <v>254</v>
      </c>
      <c r="E75" s="56" t="s">
        <v>111</v>
      </c>
      <c r="F75" s="57" t="s">
        <v>87</v>
      </c>
      <c r="G75" s="61"/>
      <c r="H75" s="53"/>
    </row>
    <row r="76" ht="24.75" hidden="1" customHeight="1">
      <c r="A76" s="54">
        <v>92.0</v>
      </c>
      <c r="B76" s="56" t="s">
        <v>255</v>
      </c>
      <c r="C76" s="56" t="s">
        <v>234</v>
      </c>
      <c r="D76" s="56" t="s">
        <v>256</v>
      </c>
      <c r="E76" s="56" t="s">
        <v>257</v>
      </c>
      <c r="F76" s="57" t="s">
        <v>87</v>
      </c>
      <c r="G76" s="61"/>
      <c r="H76" s="53"/>
    </row>
    <row r="77" ht="24.75" hidden="1" customHeight="1">
      <c r="A77" s="54">
        <v>110.0</v>
      </c>
      <c r="B77" s="56" t="s">
        <v>258</v>
      </c>
      <c r="C77" s="56" t="s">
        <v>259</v>
      </c>
      <c r="D77" s="56" t="s">
        <v>85</v>
      </c>
      <c r="E77" s="56" t="s">
        <v>86</v>
      </c>
      <c r="F77" s="57" t="s">
        <v>87</v>
      </c>
      <c r="G77" s="61"/>
      <c r="H77" s="53"/>
    </row>
    <row r="78" ht="24.75" hidden="1" customHeight="1">
      <c r="A78" s="54">
        <v>110.0</v>
      </c>
      <c r="B78" s="56" t="s">
        <v>260</v>
      </c>
      <c r="C78" s="56" t="s">
        <v>259</v>
      </c>
      <c r="D78" s="56" t="s">
        <v>261</v>
      </c>
      <c r="E78" s="56" t="s">
        <v>86</v>
      </c>
      <c r="F78" s="57" t="s">
        <v>87</v>
      </c>
      <c r="G78" s="61"/>
      <c r="H78" s="53"/>
    </row>
    <row r="79" ht="24.75" hidden="1" customHeight="1">
      <c r="A79" s="54">
        <v>120.0</v>
      </c>
      <c r="B79" s="56" t="s">
        <v>262</v>
      </c>
      <c r="C79" s="56" t="s">
        <v>263</v>
      </c>
      <c r="D79" s="56" t="s">
        <v>263</v>
      </c>
      <c r="E79" s="56" t="s">
        <v>264</v>
      </c>
      <c r="F79" s="57" t="s">
        <v>87</v>
      </c>
      <c r="G79" s="61"/>
      <c r="H79" s="53"/>
    </row>
    <row r="80" ht="24.75" hidden="1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267</v>
      </c>
      <c r="F80" s="57" t="s">
        <v>192</v>
      </c>
      <c r="G80" s="61"/>
      <c r="H80" s="53"/>
    </row>
    <row r="81" ht="24.75" hidden="1" customHeight="1">
      <c r="A81" s="54">
        <v>90.0</v>
      </c>
      <c r="B81" s="56" t="s">
        <v>265</v>
      </c>
      <c r="C81" s="56" t="s">
        <v>237</v>
      </c>
      <c r="D81" s="56" t="s">
        <v>266</v>
      </c>
      <c r="E81" s="56" t="s">
        <v>268</v>
      </c>
      <c r="F81" s="57" t="s">
        <v>34</v>
      </c>
      <c r="G81" s="61"/>
      <c r="H81" s="53"/>
    </row>
    <row r="82" ht="24.75" hidden="1" customHeight="1">
      <c r="A82" s="54">
        <v>140.0</v>
      </c>
      <c r="B82" s="56" t="s">
        <v>269</v>
      </c>
      <c r="C82" s="56" t="s">
        <v>270</v>
      </c>
      <c r="D82" s="56" t="s">
        <v>271</v>
      </c>
      <c r="E82" s="56" t="s">
        <v>272</v>
      </c>
      <c r="F82" s="57" t="s">
        <v>87</v>
      </c>
      <c r="G82" s="61"/>
      <c r="H82" s="53"/>
    </row>
    <row r="83" ht="24.75" hidden="1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239</v>
      </c>
      <c r="F83" s="57" t="s">
        <v>34</v>
      </c>
      <c r="G83" s="61"/>
      <c r="H83" s="53"/>
    </row>
    <row r="84" ht="24.75" hidden="1" customHeight="1">
      <c r="A84" s="54">
        <v>90.0</v>
      </c>
      <c r="B84" s="56" t="s">
        <v>274</v>
      </c>
      <c r="C84" s="56" t="s">
        <v>237</v>
      </c>
      <c r="D84" s="56" t="s">
        <v>275</v>
      </c>
      <c r="E84" s="56" t="s">
        <v>248</v>
      </c>
      <c r="F84" s="57" t="s">
        <v>34</v>
      </c>
      <c r="G84" s="61"/>
      <c r="H84" s="53"/>
    </row>
    <row r="85" ht="24.75" hidden="1" customHeight="1">
      <c r="A85" s="54">
        <v>140.0</v>
      </c>
      <c r="B85" s="56" t="s">
        <v>269</v>
      </c>
      <c r="C85" s="56" t="s">
        <v>270</v>
      </c>
      <c r="D85" s="56" t="s">
        <v>271</v>
      </c>
      <c r="E85" s="56" t="s">
        <v>276</v>
      </c>
      <c r="F85" s="57" t="s">
        <v>87</v>
      </c>
      <c r="G85" s="61"/>
      <c r="H85" s="53"/>
    </row>
    <row r="86" ht="24.75" hidden="1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239</v>
      </c>
      <c r="F86" s="57" t="s">
        <v>34</v>
      </c>
      <c r="G86" s="61"/>
      <c r="H86" s="53"/>
    </row>
    <row r="87" ht="24.75" hidden="1" customHeight="1">
      <c r="A87" s="54">
        <v>90.0</v>
      </c>
      <c r="B87" s="56" t="s">
        <v>277</v>
      </c>
      <c r="C87" s="56" t="s">
        <v>278</v>
      </c>
      <c r="D87" s="56" t="s">
        <v>279</v>
      </c>
      <c r="E87" s="56" t="s">
        <v>163</v>
      </c>
      <c r="F87" s="57" t="s">
        <v>34</v>
      </c>
      <c r="G87" s="61"/>
      <c r="H87" s="53"/>
    </row>
    <row r="88" ht="24.75" hidden="1" customHeight="1">
      <c r="A88" s="54">
        <v>90.0</v>
      </c>
      <c r="B88" s="56" t="s">
        <v>277</v>
      </c>
      <c r="C88" s="56" t="s">
        <v>278</v>
      </c>
      <c r="D88" s="56" t="s">
        <v>279</v>
      </c>
      <c r="E88" s="56" t="s">
        <v>241</v>
      </c>
      <c r="F88" s="57" t="s">
        <v>34</v>
      </c>
      <c r="G88" s="61"/>
      <c r="H88" s="53"/>
    </row>
    <row r="89" ht="24.75" hidden="1" customHeight="1">
      <c r="A89" s="54">
        <v>90.0</v>
      </c>
      <c r="B89" s="56" t="s">
        <v>280</v>
      </c>
      <c r="C89" s="56" t="s">
        <v>278</v>
      </c>
      <c r="D89" s="56" t="s">
        <v>281</v>
      </c>
      <c r="E89" s="56" t="s">
        <v>196</v>
      </c>
      <c r="F89" s="57" t="s">
        <v>192</v>
      </c>
      <c r="G89" s="61"/>
      <c r="H89" s="53"/>
    </row>
    <row r="90" ht="24.75" hidden="1" customHeight="1">
      <c r="A90" s="54">
        <v>90.0</v>
      </c>
      <c r="B90" s="56" t="s">
        <v>280</v>
      </c>
      <c r="C90" s="56" t="s">
        <v>278</v>
      </c>
      <c r="D90" s="56" t="s">
        <v>281</v>
      </c>
      <c r="E90" s="56" t="s">
        <v>282</v>
      </c>
      <c r="F90" s="76" t="s">
        <v>192</v>
      </c>
      <c r="G90" s="61"/>
      <c r="H90" s="53"/>
    </row>
    <row r="91" ht="24.75" hidden="1" customHeight="1">
      <c r="A91" s="54">
        <v>140.0</v>
      </c>
      <c r="B91" s="56" t="s">
        <v>284</v>
      </c>
      <c r="C91" s="56" t="s">
        <v>270</v>
      </c>
      <c r="D91" s="56" t="s">
        <v>285</v>
      </c>
      <c r="E91" s="56" t="s">
        <v>272</v>
      </c>
      <c r="F91" s="57" t="s">
        <v>87</v>
      </c>
      <c r="G91" s="61"/>
      <c r="H91" s="53"/>
    </row>
    <row r="92" ht="24.75" hidden="1" customHeight="1">
      <c r="A92" s="54">
        <v>140.0</v>
      </c>
      <c r="B92" s="56" t="s">
        <v>284</v>
      </c>
      <c r="C92" s="56" t="s">
        <v>270</v>
      </c>
      <c r="D92" s="56" t="s">
        <v>285</v>
      </c>
      <c r="E92" s="56" t="s">
        <v>276</v>
      </c>
      <c r="F92" s="57" t="s">
        <v>87</v>
      </c>
      <c r="G92" s="61"/>
      <c r="H92" s="53"/>
    </row>
    <row r="93" ht="24.75" hidden="1" customHeight="1">
      <c r="A93" s="54">
        <v>90.0</v>
      </c>
      <c r="B93" s="56" t="s">
        <v>286</v>
      </c>
      <c r="C93" s="56" t="s">
        <v>278</v>
      </c>
      <c r="D93" s="56" t="s">
        <v>266</v>
      </c>
      <c r="E93" s="56" t="s">
        <v>268</v>
      </c>
      <c r="F93" s="57" t="s">
        <v>34</v>
      </c>
      <c r="G93" s="61"/>
      <c r="H93" s="53"/>
    </row>
    <row r="94" ht="24.75" hidden="1" customHeight="1">
      <c r="A94" s="54" t="s">
        <v>289</v>
      </c>
      <c r="B94" s="56" t="s">
        <v>290</v>
      </c>
      <c r="C94" s="56" t="s">
        <v>291</v>
      </c>
      <c r="D94" s="56" t="s">
        <v>292</v>
      </c>
      <c r="E94" s="56" t="s">
        <v>167</v>
      </c>
      <c r="F94" s="57" t="s">
        <v>87</v>
      </c>
      <c r="G94" s="61"/>
      <c r="H94" s="53"/>
    </row>
    <row r="95" ht="24.75" hidden="1" customHeight="1">
      <c r="A95" s="54">
        <v>90.0</v>
      </c>
      <c r="B95" s="56" t="s">
        <v>294</v>
      </c>
      <c r="C95" s="56" t="s">
        <v>278</v>
      </c>
      <c r="D95" s="56" t="s">
        <v>275</v>
      </c>
      <c r="E95" s="56" t="s">
        <v>239</v>
      </c>
      <c r="F95" s="57" t="s">
        <v>34</v>
      </c>
      <c r="G95" s="61"/>
      <c r="H95" s="53"/>
    </row>
    <row r="96" ht="24.75" hidden="1" customHeight="1">
      <c r="A96" s="54" t="s">
        <v>289</v>
      </c>
      <c r="B96" s="56" t="s">
        <v>290</v>
      </c>
      <c r="C96" s="56" t="s">
        <v>291</v>
      </c>
      <c r="D96" s="56" t="s">
        <v>292</v>
      </c>
      <c r="E96" s="56" t="s">
        <v>295</v>
      </c>
      <c r="F96" s="57" t="s">
        <v>87</v>
      </c>
      <c r="G96" s="61"/>
      <c r="H96" s="53"/>
    </row>
    <row r="97" ht="24.75" hidden="1" customHeight="1">
      <c r="A97" s="54">
        <v>92.0</v>
      </c>
      <c r="B97" s="56" t="s">
        <v>233</v>
      </c>
      <c r="C97" s="56" t="s">
        <v>234</v>
      </c>
      <c r="D97" s="56" t="s">
        <v>296</v>
      </c>
      <c r="E97" s="56" t="s">
        <v>297</v>
      </c>
      <c r="F97" s="57"/>
      <c r="G97" s="61"/>
      <c r="H97" s="53"/>
    </row>
    <row r="98" ht="24.75" customHeight="1">
      <c r="A98" s="54">
        <v>90.0</v>
      </c>
      <c r="B98" s="56" t="s">
        <v>298</v>
      </c>
      <c r="C98" s="56" t="s">
        <v>278</v>
      </c>
      <c r="D98" s="56" t="s">
        <v>299</v>
      </c>
      <c r="E98" s="56" t="s">
        <v>167</v>
      </c>
      <c r="F98" s="57" t="s">
        <v>15</v>
      </c>
      <c r="G98" s="61"/>
      <c r="H98" s="75"/>
      <c r="I98" s="78"/>
      <c r="J98" s="78"/>
      <c r="K98" s="78"/>
      <c r="L98" s="78"/>
    </row>
    <row r="99" ht="24.75" hidden="1" customHeight="1">
      <c r="A99" s="54">
        <v>92.0</v>
      </c>
      <c r="B99" s="56" t="s">
        <v>253</v>
      </c>
      <c r="C99" s="56" t="s">
        <v>234</v>
      </c>
      <c r="D99" s="56" t="s">
        <v>300</v>
      </c>
      <c r="E99" s="56" t="s">
        <v>297</v>
      </c>
      <c r="F99" s="57"/>
      <c r="G99" s="61"/>
      <c r="H99" s="53"/>
    </row>
    <row r="100" ht="24.75" hidden="1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163</v>
      </c>
      <c r="F100" s="57" t="s">
        <v>34</v>
      </c>
      <c r="G100" s="61"/>
      <c r="H100" s="53"/>
    </row>
    <row r="101" ht="24.75" hidden="1" customHeight="1">
      <c r="A101" s="54">
        <v>92.0</v>
      </c>
      <c r="B101" s="56" t="s">
        <v>301</v>
      </c>
      <c r="C101" s="56" t="s">
        <v>234</v>
      </c>
      <c r="D101" s="56" t="s">
        <v>302</v>
      </c>
      <c r="E101" s="56" t="s">
        <v>111</v>
      </c>
      <c r="F101" s="57" t="s">
        <v>154</v>
      </c>
      <c r="G101" s="61"/>
      <c r="H101" s="53"/>
    </row>
    <row r="102" ht="24.75" hidden="1" customHeight="1">
      <c r="A102" s="54">
        <v>92.0</v>
      </c>
      <c r="B102" s="56" t="s">
        <v>301</v>
      </c>
      <c r="C102" s="56" t="s">
        <v>234</v>
      </c>
      <c r="D102" s="56" t="s">
        <v>302</v>
      </c>
      <c r="E102" s="56" t="s">
        <v>248</v>
      </c>
      <c r="F102" s="57" t="s">
        <v>303</v>
      </c>
      <c r="G102" s="61"/>
      <c r="H102" s="53"/>
    </row>
    <row r="103" ht="24.75" hidden="1" customHeight="1">
      <c r="A103" s="54">
        <v>92.0</v>
      </c>
      <c r="B103" s="56" t="s">
        <v>301</v>
      </c>
      <c r="C103" s="56" t="s">
        <v>234</v>
      </c>
      <c r="D103" s="56" t="s">
        <v>302</v>
      </c>
      <c r="E103" s="56" t="s">
        <v>247</v>
      </c>
      <c r="F103" s="57" t="s">
        <v>303</v>
      </c>
      <c r="G103" s="61"/>
      <c r="H103" s="53"/>
    </row>
    <row r="104" ht="24.75" hidden="1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163</v>
      </c>
      <c r="F104" s="57" t="s">
        <v>34</v>
      </c>
      <c r="G104" s="61"/>
      <c r="H104" s="53"/>
    </row>
    <row r="105" ht="24.75" hidden="1" customHeight="1">
      <c r="A105" s="54">
        <v>92.0</v>
      </c>
      <c r="B105" s="56" t="s">
        <v>304</v>
      </c>
      <c r="C105" s="56" t="s">
        <v>234</v>
      </c>
      <c r="D105" s="56" t="s">
        <v>305</v>
      </c>
      <c r="E105" s="56" t="s">
        <v>111</v>
      </c>
      <c r="F105" s="57" t="s">
        <v>154</v>
      </c>
      <c r="G105" s="61"/>
      <c r="H105" s="53"/>
    </row>
    <row r="106" ht="24.75" hidden="1" customHeight="1">
      <c r="A106" s="54">
        <v>92.0</v>
      </c>
      <c r="B106" s="56" t="s">
        <v>304</v>
      </c>
      <c r="C106" s="56" t="s">
        <v>234</v>
      </c>
      <c r="D106" s="56" t="s">
        <v>305</v>
      </c>
      <c r="E106" s="56" t="s">
        <v>248</v>
      </c>
      <c r="F106" s="57" t="s">
        <v>303</v>
      </c>
      <c r="G106" s="61"/>
      <c r="H106" s="53"/>
    </row>
    <row r="107" ht="24.75" hidden="1" customHeight="1">
      <c r="A107" s="54">
        <v>92.0</v>
      </c>
      <c r="B107" s="56" t="s">
        <v>304</v>
      </c>
      <c r="C107" s="56" t="s">
        <v>234</v>
      </c>
      <c r="D107" s="56" t="s">
        <v>305</v>
      </c>
      <c r="E107" s="56" t="s">
        <v>247</v>
      </c>
      <c r="F107" s="57" t="s">
        <v>303</v>
      </c>
      <c r="G107" s="61"/>
      <c r="H107" s="53"/>
    </row>
    <row r="108" ht="24.75" hidden="1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163</v>
      </c>
      <c r="F108" s="57" t="s">
        <v>34</v>
      </c>
      <c r="G108" s="61"/>
      <c r="H108" s="53"/>
    </row>
    <row r="109" ht="24.75" hidden="1" customHeight="1">
      <c r="A109" s="54">
        <v>92.0</v>
      </c>
      <c r="B109" s="56" t="s">
        <v>306</v>
      </c>
      <c r="C109" s="56" t="s">
        <v>234</v>
      </c>
      <c r="D109" s="56" t="s">
        <v>307</v>
      </c>
      <c r="E109" s="56" t="s">
        <v>111</v>
      </c>
      <c r="F109" s="57" t="s">
        <v>154</v>
      </c>
      <c r="G109" s="61"/>
      <c r="H109" s="53"/>
    </row>
    <row r="110" ht="24.75" hidden="1" customHeight="1">
      <c r="A110" s="54">
        <v>92.0</v>
      </c>
      <c r="B110" s="56" t="s">
        <v>306</v>
      </c>
      <c r="C110" s="56" t="s">
        <v>234</v>
      </c>
      <c r="D110" s="56" t="s">
        <v>307</v>
      </c>
      <c r="E110" s="56" t="s">
        <v>248</v>
      </c>
      <c r="F110" s="57" t="s">
        <v>303</v>
      </c>
      <c r="G110" s="61"/>
      <c r="H110" s="53"/>
    </row>
    <row r="111" ht="24.75" hidden="1" customHeight="1">
      <c r="A111" s="54">
        <v>92.0</v>
      </c>
      <c r="B111" s="56" t="s">
        <v>306</v>
      </c>
      <c r="C111" s="56" t="s">
        <v>234</v>
      </c>
      <c r="D111" s="56" t="s">
        <v>307</v>
      </c>
      <c r="E111" s="56" t="s">
        <v>247</v>
      </c>
      <c r="F111" s="57" t="s">
        <v>303</v>
      </c>
      <c r="G111" s="61"/>
      <c r="H111" s="53"/>
    </row>
    <row r="112" ht="24.75" customHeight="1">
      <c r="A112" s="54">
        <v>90.0</v>
      </c>
      <c r="B112" s="56" t="s">
        <v>236</v>
      </c>
      <c r="C112" s="56" t="s">
        <v>237</v>
      </c>
      <c r="D112" s="56" t="s">
        <v>238</v>
      </c>
      <c r="E112" s="56" t="s">
        <v>308</v>
      </c>
      <c r="F112" s="57" t="s">
        <v>15</v>
      </c>
      <c r="G112" s="61"/>
      <c r="H112" s="75"/>
      <c r="I112" s="78"/>
      <c r="J112" s="78"/>
      <c r="K112" s="78"/>
      <c r="L112" s="78"/>
    </row>
    <row r="113" ht="24.75" hidden="1" customHeight="1">
      <c r="A113" s="54">
        <v>92.0</v>
      </c>
      <c r="B113" s="56" t="s">
        <v>309</v>
      </c>
      <c r="C113" s="56" t="s">
        <v>234</v>
      </c>
      <c r="D113" s="80" t="s">
        <v>310</v>
      </c>
      <c r="E113" s="56" t="s">
        <v>297</v>
      </c>
      <c r="F113" s="57"/>
      <c r="G113" s="61"/>
      <c r="H113" s="53"/>
    </row>
    <row r="114" ht="24.75" customHeight="1">
      <c r="A114" s="54">
        <v>90.0</v>
      </c>
      <c r="B114" s="56" t="s">
        <v>236</v>
      </c>
      <c r="C114" s="56" t="s">
        <v>237</v>
      </c>
      <c r="D114" s="56" t="s">
        <v>238</v>
      </c>
      <c r="E114" s="56" t="s">
        <v>311</v>
      </c>
      <c r="F114" s="57" t="s">
        <v>15</v>
      </c>
      <c r="G114" s="61"/>
      <c r="H114" s="75"/>
      <c r="I114" s="78"/>
      <c r="J114" s="78"/>
      <c r="K114" s="78"/>
      <c r="L114" s="78"/>
    </row>
    <row r="115" ht="24.75" customHeight="1">
      <c r="A115" s="54">
        <v>90.0</v>
      </c>
      <c r="B115" s="56" t="s">
        <v>236</v>
      </c>
      <c r="C115" s="56" t="s">
        <v>237</v>
      </c>
      <c r="D115" s="56" t="s">
        <v>238</v>
      </c>
      <c r="E115" s="56" t="s">
        <v>312</v>
      </c>
      <c r="F115" s="57" t="s">
        <v>15</v>
      </c>
      <c r="G115" s="61"/>
      <c r="H115" s="75"/>
      <c r="I115" s="78"/>
      <c r="J115" s="78"/>
      <c r="K115" s="78"/>
      <c r="L115" s="78"/>
    </row>
    <row r="116" ht="24.75" hidden="1" customHeight="1">
      <c r="A116" s="54">
        <v>100.0</v>
      </c>
      <c r="B116" s="56" t="s">
        <v>314</v>
      </c>
      <c r="C116" s="56" t="s">
        <v>315</v>
      </c>
      <c r="D116" s="56" t="s">
        <v>316</v>
      </c>
      <c r="E116" s="56" t="s">
        <v>317</v>
      </c>
      <c r="F116" s="57" t="s">
        <v>34</v>
      </c>
      <c r="G116" s="81"/>
      <c r="H116" s="53"/>
    </row>
    <row r="117" ht="24.75" hidden="1" customHeight="1">
      <c r="A117" s="54">
        <v>100.0</v>
      </c>
      <c r="B117" s="56" t="s">
        <v>318</v>
      </c>
      <c r="C117" s="56" t="s">
        <v>315</v>
      </c>
      <c r="D117" s="56" t="s">
        <v>319</v>
      </c>
      <c r="E117" s="56" t="s">
        <v>320</v>
      </c>
      <c r="F117" s="57" t="s">
        <v>34</v>
      </c>
      <c r="G117" s="81"/>
      <c r="H117" s="53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  <c r="FU117" s="82"/>
      <c r="FV117" s="82"/>
      <c r="FW117" s="82"/>
      <c r="FX117" s="82"/>
      <c r="FY117" s="82"/>
      <c r="FZ117" s="82"/>
      <c r="GA117" s="82"/>
      <c r="GB117" s="82"/>
      <c r="GC117" s="82"/>
      <c r="GD117" s="82"/>
    </row>
    <row r="118" ht="24.75" hidden="1" customHeight="1">
      <c r="A118" s="54">
        <v>100.0</v>
      </c>
      <c r="B118" s="56" t="s">
        <v>318</v>
      </c>
      <c r="C118" s="56" t="s">
        <v>315</v>
      </c>
      <c r="D118" s="56" t="s">
        <v>319</v>
      </c>
      <c r="E118" s="56" t="s">
        <v>325</v>
      </c>
      <c r="F118" s="57" t="s">
        <v>34</v>
      </c>
      <c r="G118" s="53"/>
      <c r="H118" s="53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  <c r="FU118" s="82"/>
      <c r="FV118" s="82"/>
      <c r="FW118" s="82"/>
      <c r="FX118" s="82"/>
      <c r="FY118" s="82"/>
      <c r="FZ118" s="82"/>
      <c r="GA118" s="82"/>
      <c r="GB118" s="82"/>
      <c r="GC118" s="82"/>
      <c r="GD118" s="82"/>
    </row>
    <row r="119" ht="24.75" hidden="1" customHeight="1">
      <c r="A119" s="54">
        <v>100.0</v>
      </c>
      <c r="B119" s="56" t="s">
        <v>328</v>
      </c>
      <c r="C119" s="56" t="s">
        <v>315</v>
      </c>
      <c r="D119" s="56" t="s">
        <v>329</v>
      </c>
      <c r="E119" s="56" t="s">
        <v>320</v>
      </c>
      <c r="F119" s="57" t="s">
        <v>34</v>
      </c>
      <c r="G119" s="53"/>
      <c r="H119" s="53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  <c r="BT119" s="82"/>
      <c r="BU119" s="82"/>
      <c r="BV119" s="82"/>
      <c r="BW119" s="82"/>
      <c r="BX119" s="82"/>
      <c r="BY119" s="82"/>
      <c r="BZ119" s="82"/>
      <c r="CA119" s="82"/>
      <c r="CB119" s="82"/>
      <c r="CC119" s="82"/>
      <c r="CD119" s="82"/>
      <c r="CE119" s="82"/>
      <c r="CF119" s="82"/>
      <c r="CG119" s="82"/>
      <c r="CH119" s="82"/>
      <c r="CI119" s="82"/>
      <c r="CJ119" s="82"/>
      <c r="CK119" s="82"/>
      <c r="CL119" s="82"/>
      <c r="CM119" s="82"/>
      <c r="CN119" s="82"/>
      <c r="CO119" s="82"/>
      <c r="CP119" s="82"/>
      <c r="CQ119" s="82"/>
      <c r="CR119" s="82"/>
      <c r="CS119" s="82"/>
      <c r="CT119" s="82"/>
      <c r="CU119" s="82"/>
      <c r="CV119" s="82"/>
      <c r="CW119" s="82"/>
      <c r="CX119" s="82"/>
      <c r="CY119" s="82"/>
      <c r="CZ119" s="82"/>
      <c r="DA119" s="82"/>
      <c r="DB119" s="82"/>
      <c r="DC119" s="82"/>
      <c r="DD119" s="82"/>
      <c r="DE119" s="82"/>
      <c r="DF119" s="82"/>
      <c r="DG119" s="82"/>
      <c r="DH119" s="82"/>
      <c r="DI119" s="82"/>
      <c r="DJ119" s="82"/>
      <c r="DK119" s="82"/>
      <c r="DL119" s="82"/>
      <c r="DM119" s="82"/>
      <c r="DN119" s="82"/>
      <c r="DO119" s="82"/>
      <c r="DP119" s="82"/>
      <c r="DQ119" s="82"/>
      <c r="DR119" s="82"/>
      <c r="DS119" s="82"/>
      <c r="DT119" s="82"/>
      <c r="DU119" s="82"/>
      <c r="DV119" s="82"/>
      <c r="DW119" s="82"/>
      <c r="DX119" s="82"/>
      <c r="DY119" s="82"/>
      <c r="DZ119" s="82"/>
      <c r="EA119" s="82"/>
      <c r="EB119" s="82"/>
      <c r="EC119" s="82"/>
      <c r="ED119" s="82"/>
      <c r="EE119" s="82"/>
      <c r="EF119" s="82"/>
      <c r="EG119" s="82"/>
      <c r="EH119" s="82"/>
      <c r="EI119" s="82"/>
      <c r="EJ119" s="82"/>
      <c r="EK119" s="82"/>
      <c r="EL119" s="82"/>
      <c r="EM119" s="82"/>
      <c r="EN119" s="82"/>
      <c r="EO119" s="82"/>
      <c r="EP119" s="82"/>
      <c r="EQ119" s="82"/>
      <c r="ER119" s="8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2"/>
      <c r="FF119" s="82"/>
      <c r="FG119" s="82"/>
      <c r="FH119" s="82"/>
      <c r="FI119" s="82"/>
      <c r="FJ119" s="82"/>
      <c r="FK119" s="82"/>
      <c r="FL119" s="82"/>
      <c r="FM119" s="82"/>
      <c r="FN119" s="82"/>
      <c r="FO119" s="82"/>
      <c r="FP119" s="82"/>
      <c r="FQ119" s="82"/>
      <c r="FR119" s="82"/>
      <c r="FS119" s="82"/>
      <c r="FT119" s="82"/>
      <c r="FU119" s="82"/>
      <c r="FV119" s="82"/>
      <c r="FW119" s="82"/>
      <c r="FX119" s="82"/>
      <c r="FY119" s="82"/>
      <c r="FZ119" s="82"/>
      <c r="GA119" s="82"/>
      <c r="GB119" s="82"/>
      <c r="GC119" s="82"/>
      <c r="GD119" s="82"/>
    </row>
    <row r="120" ht="24.75" hidden="1" customHeight="1">
      <c r="A120" s="54">
        <v>100.0</v>
      </c>
      <c r="B120" s="56" t="s">
        <v>328</v>
      </c>
      <c r="C120" s="56" t="s">
        <v>315</v>
      </c>
      <c r="D120" s="56" t="s">
        <v>329</v>
      </c>
      <c r="E120" s="56" t="s">
        <v>325</v>
      </c>
      <c r="F120" s="57" t="s">
        <v>34</v>
      </c>
      <c r="G120" s="53"/>
      <c r="H120" s="53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  <c r="BT120" s="82"/>
      <c r="BU120" s="82"/>
      <c r="BV120" s="82"/>
      <c r="BW120" s="82"/>
      <c r="BX120" s="82"/>
      <c r="BY120" s="82"/>
      <c r="BZ120" s="82"/>
      <c r="CA120" s="82"/>
      <c r="CB120" s="82"/>
      <c r="CC120" s="82"/>
      <c r="CD120" s="82"/>
      <c r="CE120" s="82"/>
      <c r="CF120" s="82"/>
      <c r="CG120" s="82"/>
      <c r="CH120" s="82"/>
      <c r="CI120" s="82"/>
      <c r="CJ120" s="82"/>
      <c r="CK120" s="82"/>
      <c r="CL120" s="82"/>
      <c r="CM120" s="82"/>
      <c r="CN120" s="82"/>
      <c r="CO120" s="82"/>
      <c r="CP120" s="82"/>
      <c r="CQ120" s="82"/>
      <c r="CR120" s="82"/>
      <c r="CS120" s="82"/>
      <c r="CT120" s="82"/>
      <c r="CU120" s="82"/>
      <c r="CV120" s="82"/>
      <c r="CW120" s="82"/>
      <c r="CX120" s="82"/>
      <c r="CY120" s="82"/>
      <c r="CZ120" s="82"/>
      <c r="DA120" s="82"/>
      <c r="DB120" s="82"/>
      <c r="DC120" s="82"/>
      <c r="DD120" s="82"/>
      <c r="DE120" s="82"/>
      <c r="DF120" s="82"/>
      <c r="DG120" s="82"/>
      <c r="DH120" s="82"/>
      <c r="DI120" s="82"/>
      <c r="DJ120" s="82"/>
      <c r="DK120" s="82"/>
      <c r="DL120" s="82"/>
      <c r="DM120" s="82"/>
      <c r="DN120" s="82"/>
      <c r="DO120" s="82"/>
      <c r="DP120" s="82"/>
      <c r="DQ120" s="82"/>
      <c r="DR120" s="82"/>
      <c r="DS120" s="82"/>
      <c r="DT120" s="82"/>
      <c r="DU120" s="82"/>
      <c r="DV120" s="82"/>
      <c r="DW120" s="82"/>
      <c r="DX120" s="82"/>
      <c r="DY120" s="82"/>
      <c r="DZ120" s="82"/>
      <c r="EA120" s="82"/>
      <c r="EB120" s="82"/>
      <c r="EC120" s="82"/>
      <c r="ED120" s="82"/>
      <c r="EE120" s="82"/>
      <c r="EF120" s="82"/>
      <c r="EG120" s="82"/>
      <c r="EH120" s="82"/>
      <c r="EI120" s="82"/>
      <c r="EJ120" s="82"/>
      <c r="EK120" s="82"/>
      <c r="EL120" s="82"/>
      <c r="EM120" s="82"/>
      <c r="EN120" s="82"/>
      <c r="EO120" s="82"/>
      <c r="EP120" s="82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2"/>
      <c r="FF120" s="82"/>
      <c r="FG120" s="82"/>
      <c r="FH120" s="82"/>
      <c r="FI120" s="82"/>
      <c r="FJ120" s="82"/>
      <c r="FK120" s="82"/>
      <c r="FL120" s="82"/>
      <c r="FM120" s="82"/>
      <c r="FN120" s="82"/>
      <c r="FO120" s="82"/>
      <c r="FP120" s="82"/>
      <c r="FQ120" s="82"/>
      <c r="FR120" s="82"/>
      <c r="FS120" s="82"/>
      <c r="FT120" s="82"/>
      <c r="FU120" s="82"/>
      <c r="FV120" s="82"/>
      <c r="FW120" s="82"/>
      <c r="FX120" s="82"/>
      <c r="FY120" s="82"/>
      <c r="FZ120" s="82"/>
      <c r="GA120" s="82"/>
      <c r="GB120" s="82"/>
      <c r="GC120" s="82"/>
      <c r="GD120" s="82"/>
    </row>
    <row r="121" ht="24.75" hidden="1" customHeight="1">
      <c r="A121" s="54">
        <v>100.0</v>
      </c>
      <c r="B121" s="56" t="s">
        <v>331</v>
      </c>
      <c r="C121" s="56" t="s">
        <v>315</v>
      </c>
      <c r="D121" s="56" t="s">
        <v>332</v>
      </c>
      <c r="E121" s="56" t="s">
        <v>333</v>
      </c>
      <c r="F121" s="57" t="s">
        <v>154</v>
      </c>
      <c r="G121" s="50"/>
      <c r="H121" s="53"/>
    </row>
    <row r="122" ht="24.75" hidden="1" customHeight="1">
      <c r="A122" s="54">
        <v>100.0</v>
      </c>
      <c r="B122" s="56" t="s">
        <v>334</v>
      </c>
      <c r="C122" s="56" t="s">
        <v>315</v>
      </c>
      <c r="D122" s="56" t="s">
        <v>335</v>
      </c>
      <c r="E122" s="56" t="s">
        <v>336</v>
      </c>
      <c r="F122" s="57" t="s">
        <v>192</v>
      </c>
      <c r="G122" s="50"/>
      <c r="H122" s="53"/>
    </row>
    <row r="123" ht="24.75" customHeight="1">
      <c r="A123" s="54">
        <v>90.0</v>
      </c>
      <c r="B123" s="56" t="s">
        <v>337</v>
      </c>
      <c r="C123" s="56" t="s">
        <v>237</v>
      </c>
      <c r="D123" s="56" t="s">
        <v>338</v>
      </c>
      <c r="E123" s="56" t="s">
        <v>111</v>
      </c>
      <c r="F123" s="57" t="s">
        <v>15</v>
      </c>
      <c r="G123" s="61"/>
      <c r="H123" s="75"/>
      <c r="I123" s="78"/>
      <c r="J123" s="78"/>
      <c r="K123" s="78"/>
      <c r="L123" s="78"/>
    </row>
    <row r="124" ht="24.75" hidden="1" customHeight="1">
      <c r="A124" s="54">
        <v>101.0</v>
      </c>
      <c r="B124" s="56" t="s">
        <v>339</v>
      </c>
      <c r="C124" s="56" t="s">
        <v>315</v>
      </c>
      <c r="D124" s="56" t="s">
        <v>340</v>
      </c>
      <c r="E124" s="56" t="s">
        <v>341</v>
      </c>
      <c r="F124" s="57" t="s">
        <v>154</v>
      </c>
      <c r="G124" s="61"/>
      <c r="H124" s="53"/>
    </row>
    <row r="125" ht="24.75" hidden="1" customHeight="1">
      <c r="A125" s="54">
        <v>101.0</v>
      </c>
      <c r="B125" s="56" t="s">
        <v>342</v>
      </c>
      <c r="C125" s="56" t="s">
        <v>315</v>
      </c>
      <c r="D125" s="56" t="s">
        <v>340</v>
      </c>
      <c r="E125" s="56" t="s">
        <v>333</v>
      </c>
      <c r="F125" s="57" t="s">
        <v>154</v>
      </c>
      <c r="G125" s="61"/>
      <c r="H125" s="53"/>
    </row>
    <row r="126" ht="24.75" hidden="1" customHeight="1">
      <c r="A126" s="54">
        <v>101.0</v>
      </c>
      <c r="B126" s="56" t="s">
        <v>343</v>
      </c>
      <c r="C126" s="56" t="s">
        <v>315</v>
      </c>
      <c r="D126" s="56" t="s">
        <v>340</v>
      </c>
      <c r="E126" s="56" t="s">
        <v>333</v>
      </c>
      <c r="F126" s="57" t="s">
        <v>154</v>
      </c>
      <c r="G126" s="61"/>
      <c r="H126" s="53"/>
    </row>
    <row r="127" ht="24.75" hidden="1" customHeight="1">
      <c r="A127" s="54">
        <v>101.0</v>
      </c>
      <c r="B127" s="56" t="s">
        <v>344</v>
      </c>
      <c r="C127" s="56" t="s">
        <v>315</v>
      </c>
      <c r="D127" s="56" t="s">
        <v>340</v>
      </c>
      <c r="E127" s="56" t="s">
        <v>345</v>
      </c>
      <c r="F127" s="57" t="s">
        <v>154</v>
      </c>
      <c r="G127" s="61"/>
      <c r="H127" s="53"/>
    </row>
    <row r="128" ht="24.75" customHeight="1">
      <c r="A128" s="54">
        <v>90.0</v>
      </c>
      <c r="B128" s="56" t="s">
        <v>348</v>
      </c>
      <c r="C128" s="56" t="s">
        <v>237</v>
      </c>
      <c r="D128" s="56" t="s">
        <v>349</v>
      </c>
      <c r="E128" s="56" t="s">
        <v>111</v>
      </c>
      <c r="F128" s="57" t="s">
        <v>15</v>
      </c>
      <c r="G128" s="61"/>
      <c r="H128" s="75"/>
      <c r="I128" s="78"/>
      <c r="J128" s="78"/>
      <c r="K128" s="78"/>
      <c r="L128" s="78"/>
    </row>
    <row r="129" ht="24.75" hidden="1" customHeight="1">
      <c r="A129" s="54">
        <v>101.0</v>
      </c>
      <c r="B129" s="56" t="s">
        <v>350</v>
      </c>
      <c r="C129" s="56" t="s">
        <v>315</v>
      </c>
      <c r="D129" s="56" t="s">
        <v>351</v>
      </c>
      <c r="E129" s="56" t="s">
        <v>352</v>
      </c>
      <c r="F129" s="57" t="s">
        <v>154</v>
      </c>
      <c r="G129" s="61"/>
      <c r="H129" s="53"/>
    </row>
    <row r="130" ht="24.75" hidden="1" customHeight="1">
      <c r="A130" s="54">
        <v>102.0</v>
      </c>
      <c r="B130" s="56" t="s">
        <v>353</v>
      </c>
      <c r="C130" s="56" t="s">
        <v>315</v>
      </c>
      <c r="D130" s="56" t="s">
        <v>354</v>
      </c>
      <c r="E130" s="56" t="s">
        <v>355</v>
      </c>
      <c r="F130" s="57" t="s">
        <v>154</v>
      </c>
      <c r="G130" s="61"/>
      <c r="H130" s="53"/>
    </row>
    <row r="131" ht="24.75" customHeight="1">
      <c r="A131" s="54">
        <v>90.0</v>
      </c>
      <c r="B131" s="56" t="s">
        <v>265</v>
      </c>
      <c r="C131" s="56" t="s">
        <v>237</v>
      </c>
      <c r="D131" s="56" t="s">
        <v>266</v>
      </c>
      <c r="E131" s="56" t="s">
        <v>111</v>
      </c>
      <c r="F131" s="57" t="s">
        <v>15</v>
      </c>
      <c r="G131" s="61"/>
      <c r="H131" s="75"/>
      <c r="I131" s="78"/>
      <c r="J131" s="78"/>
      <c r="K131" s="78"/>
      <c r="L131" s="78"/>
    </row>
    <row r="132" ht="24.75" hidden="1" customHeight="1">
      <c r="A132" s="54">
        <v>110.0</v>
      </c>
      <c r="B132" s="56" t="s">
        <v>356</v>
      </c>
      <c r="C132" s="56" t="s">
        <v>259</v>
      </c>
      <c r="D132" s="56" t="s">
        <v>357</v>
      </c>
      <c r="E132" s="56" t="s">
        <v>358</v>
      </c>
      <c r="F132" s="57" t="s">
        <v>34</v>
      </c>
      <c r="G132" s="61"/>
      <c r="H132" s="53"/>
    </row>
    <row r="133" ht="24.75" hidden="1" customHeight="1">
      <c r="A133" s="54">
        <v>110.0</v>
      </c>
      <c r="B133" s="56" t="s">
        <v>359</v>
      </c>
      <c r="C133" s="56" t="s">
        <v>259</v>
      </c>
      <c r="D133" s="56" t="s">
        <v>360</v>
      </c>
      <c r="E133" s="56" t="s">
        <v>358</v>
      </c>
      <c r="F133" s="57" t="s">
        <v>34</v>
      </c>
      <c r="G133" s="61"/>
      <c r="H133" s="53"/>
    </row>
    <row r="134" ht="24.75" customHeight="1">
      <c r="A134" s="54">
        <v>90.0</v>
      </c>
      <c r="B134" s="56" t="s">
        <v>274</v>
      </c>
      <c r="C134" s="56" t="s">
        <v>237</v>
      </c>
      <c r="D134" s="56" t="s">
        <v>275</v>
      </c>
      <c r="E134" s="56" t="s">
        <v>111</v>
      </c>
      <c r="F134" s="57" t="s">
        <v>15</v>
      </c>
      <c r="G134" s="61"/>
      <c r="H134" s="75"/>
      <c r="I134" s="78"/>
      <c r="J134" s="78"/>
      <c r="K134" s="78"/>
      <c r="L134" s="78"/>
    </row>
    <row r="135" ht="24.75" customHeight="1">
      <c r="A135" s="54">
        <v>90.0</v>
      </c>
      <c r="B135" s="56" t="s">
        <v>280</v>
      </c>
      <c r="C135" s="56" t="s">
        <v>278</v>
      </c>
      <c r="D135" s="56" t="s">
        <v>281</v>
      </c>
      <c r="E135" s="56" t="s">
        <v>272</v>
      </c>
      <c r="F135" s="57" t="s">
        <v>15</v>
      </c>
      <c r="G135" s="61"/>
      <c r="H135" s="75"/>
      <c r="I135" s="78"/>
      <c r="J135" s="78"/>
      <c r="K135" s="78"/>
      <c r="L135" s="78"/>
    </row>
    <row r="136" ht="24.75" hidden="1" customHeight="1">
      <c r="A136" s="54">
        <v>110.0</v>
      </c>
      <c r="B136" s="56" t="s">
        <v>361</v>
      </c>
      <c r="C136" s="56" t="s">
        <v>259</v>
      </c>
      <c r="D136" s="56" t="s">
        <v>362</v>
      </c>
      <c r="E136" s="56" t="s">
        <v>358</v>
      </c>
      <c r="F136" s="57" t="s">
        <v>34</v>
      </c>
      <c r="G136" s="61"/>
      <c r="H136" s="53"/>
    </row>
    <row r="137" ht="24.75" hidden="1" customHeight="1">
      <c r="A137" s="54">
        <v>110.0</v>
      </c>
      <c r="B137" s="56" t="s">
        <v>364</v>
      </c>
      <c r="C137" s="56" t="s">
        <v>259</v>
      </c>
      <c r="D137" s="56" t="s">
        <v>365</v>
      </c>
      <c r="E137" s="56" t="s">
        <v>358</v>
      </c>
      <c r="F137" s="57" t="s">
        <v>34</v>
      </c>
      <c r="G137" s="61"/>
      <c r="H137" s="53"/>
    </row>
    <row r="138" ht="24.75" hidden="1" customHeight="1">
      <c r="A138" s="54">
        <v>110.0</v>
      </c>
      <c r="B138" s="56" t="s">
        <v>366</v>
      </c>
      <c r="C138" s="56" t="s">
        <v>259</v>
      </c>
      <c r="D138" s="56" t="s">
        <v>367</v>
      </c>
      <c r="E138" s="56" t="s">
        <v>358</v>
      </c>
      <c r="F138" s="57" t="s">
        <v>34</v>
      </c>
      <c r="G138" s="61"/>
      <c r="H138" s="53"/>
    </row>
    <row r="139" ht="24.75" hidden="1" customHeight="1">
      <c r="A139" s="54">
        <v>110.0</v>
      </c>
      <c r="B139" s="56" t="s">
        <v>368</v>
      </c>
      <c r="C139" s="56" t="s">
        <v>259</v>
      </c>
      <c r="D139" s="56" t="s">
        <v>369</v>
      </c>
      <c r="E139" s="56" t="s">
        <v>358</v>
      </c>
      <c r="F139" s="57" t="s">
        <v>34</v>
      </c>
      <c r="G139" s="61"/>
      <c r="H139" s="53"/>
    </row>
    <row r="140" ht="24.75" hidden="1" customHeight="1">
      <c r="A140" s="54">
        <v>110.0</v>
      </c>
      <c r="B140" s="56" t="s">
        <v>370</v>
      </c>
      <c r="C140" s="56" t="s">
        <v>259</v>
      </c>
      <c r="D140" s="56" t="s">
        <v>371</v>
      </c>
      <c r="E140" s="56" t="s">
        <v>336</v>
      </c>
      <c r="F140" s="57" t="s">
        <v>192</v>
      </c>
      <c r="G140" s="61"/>
      <c r="H140" s="53"/>
    </row>
    <row r="141" ht="24.75" hidden="1" customHeight="1">
      <c r="A141" s="54">
        <v>110.0</v>
      </c>
      <c r="B141" s="56" t="s">
        <v>370</v>
      </c>
      <c r="C141" s="56" t="s">
        <v>259</v>
      </c>
      <c r="D141" s="56" t="s">
        <v>371</v>
      </c>
      <c r="E141" s="56" t="s">
        <v>372</v>
      </c>
      <c r="F141" s="57" t="s">
        <v>34</v>
      </c>
      <c r="G141" s="61"/>
      <c r="H141" s="53"/>
    </row>
    <row r="142" ht="24.75" hidden="1" customHeight="1">
      <c r="A142" s="54">
        <v>110.0</v>
      </c>
      <c r="B142" s="56" t="s">
        <v>370</v>
      </c>
      <c r="C142" s="56" t="s">
        <v>259</v>
      </c>
      <c r="D142" s="56" t="s">
        <v>371</v>
      </c>
      <c r="E142" s="56" t="s">
        <v>158</v>
      </c>
      <c r="F142" s="57" t="s">
        <v>34</v>
      </c>
      <c r="G142" s="61"/>
      <c r="H142" s="53"/>
    </row>
    <row r="143" ht="24.75" hidden="1" customHeight="1">
      <c r="A143" s="54">
        <v>110.0</v>
      </c>
      <c r="B143" s="56" t="s">
        <v>373</v>
      </c>
      <c r="C143" s="56" t="s">
        <v>259</v>
      </c>
      <c r="D143" s="56" t="s">
        <v>374</v>
      </c>
      <c r="E143" s="56" t="s">
        <v>336</v>
      </c>
      <c r="F143" s="57" t="s">
        <v>192</v>
      </c>
      <c r="G143" s="61"/>
      <c r="H143" s="53"/>
    </row>
    <row r="144" ht="24.75" hidden="1" customHeight="1">
      <c r="A144" s="54">
        <v>110.0</v>
      </c>
      <c r="B144" s="56" t="s">
        <v>375</v>
      </c>
      <c r="C144" s="56" t="s">
        <v>259</v>
      </c>
      <c r="D144" s="56" t="s">
        <v>376</v>
      </c>
      <c r="E144" s="56" t="s">
        <v>336</v>
      </c>
      <c r="F144" s="57" t="s">
        <v>192</v>
      </c>
      <c r="G144" s="61"/>
      <c r="H144" s="53"/>
    </row>
    <row r="145" ht="24.75" hidden="1" customHeight="1">
      <c r="A145" s="54">
        <v>110.0</v>
      </c>
      <c r="B145" s="56" t="s">
        <v>375</v>
      </c>
      <c r="C145" s="56" t="s">
        <v>259</v>
      </c>
      <c r="D145" s="56" t="s">
        <v>376</v>
      </c>
      <c r="E145" s="56" t="s">
        <v>372</v>
      </c>
      <c r="F145" s="57" t="s">
        <v>34</v>
      </c>
      <c r="G145" s="61"/>
      <c r="H145" s="53"/>
    </row>
    <row r="146" ht="24.75" hidden="1" customHeight="1">
      <c r="A146" s="54">
        <v>110.0</v>
      </c>
      <c r="B146" s="56" t="s">
        <v>375</v>
      </c>
      <c r="C146" s="56" t="s">
        <v>259</v>
      </c>
      <c r="D146" s="56" t="s">
        <v>376</v>
      </c>
      <c r="E146" s="56" t="s">
        <v>158</v>
      </c>
      <c r="F146" s="57" t="s">
        <v>34</v>
      </c>
      <c r="G146" s="61"/>
      <c r="H146" s="53"/>
    </row>
    <row r="147" ht="24.75" hidden="1" customHeight="1">
      <c r="A147" s="54">
        <v>110.0</v>
      </c>
      <c r="B147" s="56" t="s">
        <v>377</v>
      </c>
      <c r="C147" s="56" t="s">
        <v>259</v>
      </c>
      <c r="D147" s="56" t="s">
        <v>378</v>
      </c>
      <c r="E147" s="56" t="s">
        <v>336</v>
      </c>
      <c r="F147" s="57" t="s">
        <v>192</v>
      </c>
      <c r="G147" s="61"/>
      <c r="H147" s="53"/>
    </row>
    <row r="148" ht="24.75" hidden="1" customHeight="1">
      <c r="A148" s="54">
        <v>110.0</v>
      </c>
      <c r="B148" s="56" t="s">
        <v>380</v>
      </c>
      <c r="C148" s="56" t="s">
        <v>259</v>
      </c>
      <c r="D148" s="56" t="s">
        <v>381</v>
      </c>
      <c r="E148" s="56" t="s">
        <v>336</v>
      </c>
      <c r="F148" s="57" t="s">
        <v>192</v>
      </c>
      <c r="G148" s="61"/>
      <c r="H148" s="53"/>
    </row>
    <row r="149" ht="24.75" hidden="1" customHeight="1">
      <c r="A149" s="54">
        <v>110.0</v>
      </c>
      <c r="B149" s="56" t="s">
        <v>382</v>
      </c>
      <c r="C149" s="56" t="s">
        <v>259</v>
      </c>
      <c r="D149" s="56" t="s">
        <v>383</v>
      </c>
      <c r="E149" s="56" t="s">
        <v>336</v>
      </c>
      <c r="F149" s="57" t="s">
        <v>192</v>
      </c>
      <c r="G149" s="61"/>
      <c r="H149" s="53"/>
    </row>
    <row r="150" ht="24.75" hidden="1" customHeight="1">
      <c r="A150" s="54">
        <v>110.0</v>
      </c>
      <c r="B150" s="56" t="s">
        <v>385</v>
      </c>
      <c r="C150" s="56" t="s">
        <v>259</v>
      </c>
      <c r="D150" s="56" t="s">
        <v>386</v>
      </c>
      <c r="E150" s="56" t="s">
        <v>336</v>
      </c>
      <c r="F150" s="57" t="s">
        <v>192</v>
      </c>
      <c r="G150" s="61"/>
      <c r="H150" s="53"/>
    </row>
    <row r="151" ht="24.75" hidden="1" customHeight="1">
      <c r="A151" s="54">
        <v>110.0</v>
      </c>
      <c r="B151" s="56" t="s">
        <v>385</v>
      </c>
      <c r="C151" s="56" t="s">
        <v>259</v>
      </c>
      <c r="D151" s="56" t="s">
        <v>386</v>
      </c>
      <c r="E151" s="56" t="s">
        <v>372</v>
      </c>
      <c r="F151" s="57" t="s">
        <v>34</v>
      </c>
      <c r="G151" s="61"/>
      <c r="H151" s="53"/>
    </row>
    <row r="152" ht="24.75" hidden="1" customHeight="1">
      <c r="A152" s="54">
        <v>110.0</v>
      </c>
      <c r="B152" s="56" t="s">
        <v>385</v>
      </c>
      <c r="C152" s="56" t="s">
        <v>259</v>
      </c>
      <c r="D152" s="56" t="s">
        <v>386</v>
      </c>
      <c r="E152" s="56" t="s">
        <v>158</v>
      </c>
      <c r="F152" s="57" t="s">
        <v>34</v>
      </c>
      <c r="G152" s="61"/>
      <c r="H152" s="53"/>
    </row>
    <row r="153" ht="24.75" hidden="1" customHeight="1">
      <c r="A153" s="54">
        <v>110.0</v>
      </c>
      <c r="B153" s="56" t="s">
        <v>388</v>
      </c>
      <c r="C153" s="56" t="s">
        <v>259</v>
      </c>
      <c r="D153" s="56" t="s">
        <v>389</v>
      </c>
      <c r="E153" s="56" t="s">
        <v>336</v>
      </c>
      <c r="F153" s="57" t="s">
        <v>192</v>
      </c>
      <c r="G153" s="61"/>
      <c r="H153" s="53"/>
    </row>
    <row r="154" ht="24.75" hidden="1" customHeight="1">
      <c r="A154" s="54">
        <v>110.0</v>
      </c>
      <c r="B154" s="56" t="s">
        <v>388</v>
      </c>
      <c r="C154" s="56" t="s">
        <v>259</v>
      </c>
      <c r="D154" s="56" t="s">
        <v>389</v>
      </c>
      <c r="E154" s="56" t="s">
        <v>372</v>
      </c>
      <c r="F154" s="57" t="s">
        <v>34</v>
      </c>
      <c r="G154" s="61"/>
      <c r="H154" s="53"/>
    </row>
    <row r="155" ht="24.75" hidden="1" customHeight="1">
      <c r="A155" s="54">
        <v>110.0</v>
      </c>
      <c r="B155" s="56" t="s">
        <v>388</v>
      </c>
      <c r="C155" s="56" t="s">
        <v>259</v>
      </c>
      <c r="D155" s="56" t="s">
        <v>389</v>
      </c>
      <c r="E155" s="56" t="s">
        <v>158</v>
      </c>
      <c r="F155" s="57" t="s">
        <v>34</v>
      </c>
      <c r="G155" s="61"/>
      <c r="H155" s="53"/>
    </row>
    <row r="156" ht="24.75" hidden="1" customHeight="1">
      <c r="A156" s="54">
        <v>110.0</v>
      </c>
      <c r="B156" s="56" t="s">
        <v>390</v>
      </c>
      <c r="C156" s="56" t="s">
        <v>259</v>
      </c>
      <c r="D156" s="56" t="s">
        <v>391</v>
      </c>
      <c r="E156" s="56" t="s">
        <v>372</v>
      </c>
      <c r="F156" s="57" t="s">
        <v>34</v>
      </c>
      <c r="G156" s="61"/>
      <c r="H156" s="53"/>
    </row>
    <row r="157" ht="24.75" hidden="1" customHeight="1">
      <c r="A157" s="54">
        <v>110.0</v>
      </c>
      <c r="B157" s="56" t="s">
        <v>390</v>
      </c>
      <c r="C157" s="56" t="s">
        <v>259</v>
      </c>
      <c r="D157" s="56" t="s">
        <v>391</v>
      </c>
      <c r="E157" s="56" t="s">
        <v>158</v>
      </c>
      <c r="F157" s="57" t="s">
        <v>34</v>
      </c>
      <c r="G157" s="61"/>
      <c r="H157" s="53"/>
    </row>
    <row r="158" ht="24.75" hidden="1" customHeight="1">
      <c r="A158" s="54">
        <v>110.0</v>
      </c>
      <c r="B158" s="56" t="s">
        <v>392</v>
      </c>
      <c r="C158" s="56" t="s">
        <v>101</v>
      </c>
      <c r="D158" s="56" t="s">
        <v>102</v>
      </c>
      <c r="E158" s="56" t="s">
        <v>111</v>
      </c>
      <c r="F158" s="57" t="s">
        <v>34</v>
      </c>
      <c r="G158" s="61"/>
      <c r="H158" s="53"/>
    </row>
    <row r="159" ht="24.75" hidden="1" customHeight="1">
      <c r="A159" s="54">
        <v>120.0</v>
      </c>
      <c r="B159" s="56" t="s">
        <v>393</v>
      </c>
      <c r="C159" s="56" t="s">
        <v>394</v>
      </c>
      <c r="D159" s="56" t="s">
        <v>299</v>
      </c>
      <c r="E159" s="56" t="s">
        <v>163</v>
      </c>
      <c r="F159" s="57" t="s">
        <v>154</v>
      </c>
      <c r="G159" s="61"/>
      <c r="H159" s="53"/>
    </row>
    <row r="160" ht="24.75" hidden="1" customHeight="1">
      <c r="A160" s="54">
        <v>120.0</v>
      </c>
      <c r="B160" s="56" t="s">
        <v>395</v>
      </c>
      <c r="C160" s="56" t="s">
        <v>394</v>
      </c>
      <c r="D160" s="56" t="s">
        <v>172</v>
      </c>
      <c r="E160" s="56" t="s">
        <v>163</v>
      </c>
      <c r="F160" s="57" t="s">
        <v>154</v>
      </c>
      <c r="G160" s="61"/>
      <c r="H160" s="53"/>
    </row>
    <row r="161" ht="24.75" hidden="1" customHeight="1">
      <c r="A161" s="54">
        <v>120.0</v>
      </c>
      <c r="B161" s="56" t="s">
        <v>396</v>
      </c>
      <c r="C161" s="56" t="s">
        <v>394</v>
      </c>
      <c r="D161" s="56" t="s">
        <v>397</v>
      </c>
      <c r="E161" s="56" t="s">
        <v>163</v>
      </c>
      <c r="F161" s="57" t="s">
        <v>154</v>
      </c>
      <c r="G161" s="61"/>
      <c r="H161" s="53"/>
    </row>
    <row r="162" ht="24.75" hidden="1" customHeight="1">
      <c r="A162" s="54">
        <v>120.0</v>
      </c>
      <c r="B162" s="56" t="s">
        <v>398</v>
      </c>
      <c r="C162" s="56" t="s">
        <v>394</v>
      </c>
      <c r="D162" s="56" t="s">
        <v>399</v>
      </c>
      <c r="E162" s="56" t="s">
        <v>163</v>
      </c>
      <c r="F162" s="57" t="s">
        <v>154</v>
      </c>
      <c r="G162" s="61"/>
      <c r="H162" s="53"/>
    </row>
    <row r="163" ht="24.75" hidden="1" customHeight="1">
      <c r="A163" s="54">
        <v>120.0</v>
      </c>
      <c r="B163" s="56" t="s">
        <v>400</v>
      </c>
      <c r="C163" s="56" t="s">
        <v>394</v>
      </c>
      <c r="D163" s="56" t="s">
        <v>401</v>
      </c>
      <c r="E163" s="56" t="s">
        <v>163</v>
      </c>
      <c r="F163" s="57" t="s">
        <v>154</v>
      </c>
      <c r="G163" s="61"/>
      <c r="H163" s="53"/>
    </row>
    <row r="164" ht="24.75" customHeight="1">
      <c r="A164" s="54">
        <v>90.0</v>
      </c>
      <c r="B164" s="56" t="s">
        <v>402</v>
      </c>
      <c r="C164" s="56" t="s">
        <v>278</v>
      </c>
      <c r="D164" s="56" t="s">
        <v>403</v>
      </c>
      <c r="E164" s="56" t="s">
        <v>111</v>
      </c>
      <c r="F164" s="57" t="s">
        <v>15</v>
      </c>
      <c r="G164" s="61"/>
      <c r="H164" s="75"/>
      <c r="I164" s="78"/>
      <c r="J164" s="78"/>
      <c r="K164" s="78"/>
      <c r="L164" s="78"/>
    </row>
    <row r="165" ht="24.75" hidden="1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407</v>
      </c>
      <c r="F165" s="57" t="s">
        <v>192</v>
      </c>
      <c r="G165" s="61"/>
      <c r="H165" s="53"/>
    </row>
    <row r="166" ht="24.75" hidden="1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408</v>
      </c>
      <c r="F166" s="57" t="s">
        <v>192</v>
      </c>
      <c r="G166" s="61"/>
      <c r="H166" s="53"/>
    </row>
    <row r="167" ht="24.75" hidden="1" customHeight="1">
      <c r="A167" s="54">
        <v>130.0</v>
      </c>
      <c r="B167" s="56" t="s">
        <v>404</v>
      </c>
      <c r="C167" s="56" t="s">
        <v>405</v>
      </c>
      <c r="D167" s="56" t="s">
        <v>406</v>
      </c>
      <c r="E167" s="56" t="s">
        <v>111</v>
      </c>
      <c r="F167" s="57" t="s">
        <v>154</v>
      </c>
      <c r="G167" s="61"/>
      <c r="H167" s="53"/>
    </row>
    <row r="168" ht="24.75" hidden="1" customHeight="1">
      <c r="A168" s="54">
        <v>130.0</v>
      </c>
      <c r="B168" s="56" t="s">
        <v>404</v>
      </c>
      <c r="C168" s="56" t="s">
        <v>405</v>
      </c>
      <c r="D168" s="56" t="s">
        <v>406</v>
      </c>
      <c r="E168" s="56" t="s">
        <v>409</v>
      </c>
      <c r="F168" s="57" t="s">
        <v>154</v>
      </c>
      <c r="G168" s="61"/>
      <c r="H168" s="53"/>
    </row>
    <row r="169" ht="24.75" hidden="1" customHeight="1">
      <c r="A169" s="54">
        <v>130.0</v>
      </c>
      <c r="B169" s="56" t="s">
        <v>404</v>
      </c>
      <c r="C169" s="56" t="s">
        <v>405</v>
      </c>
      <c r="D169" s="56" t="s">
        <v>406</v>
      </c>
      <c r="E169" s="56" t="s">
        <v>410</v>
      </c>
      <c r="F169" s="57" t="s">
        <v>154</v>
      </c>
      <c r="G169" s="61"/>
      <c r="H169" s="53"/>
    </row>
    <row r="170" ht="24.75" hidden="1" customHeight="1">
      <c r="A170" s="54">
        <v>130.0</v>
      </c>
      <c r="B170" s="56" t="s">
        <v>404</v>
      </c>
      <c r="C170" s="56" t="s">
        <v>405</v>
      </c>
      <c r="D170" s="56" t="s">
        <v>406</v>
      </c>
      <c r="E170" s="56" t="s">
        <v>411</v>
      </c>
      <c r="F170" s="57" t="s">
        <v>154</v>
      </c>
      <c r="G170" s="61"/>
      <c r="H170" s="53"/>
    </row>
    <row r="171" ht="24.75" hidden="1" customHeight="1">
      <c r="A171" s="54">
        <v>130.0</v>
      </c>
      <c r="B171" s="56" t="s">
        <v>412</v>
      </c>
      <c r="C171" s="56"/>
      <c r="D171" s="56" t="s">
        <v>413</v>
      </c>
      <c r="E171" s="56" t="s">
        <v>336</v>
      </c>
      <c r="F171" s="57" t="s">
        <v>192</v>
      </c>
      <c r="G171" s="61"/>
      <c r="H171" s="53"/>
    </row>
    <row r="172" ht="24.75" hidden="1" customHeight="1">
      <c r="A172" s="54">
        <v>130.0</v>
      </c>
      <c r="B172" s="56" t="s">
        <v>415</v>
      </c>
      <c r="C172" s="56" t="s">
        <v>148</v>
      </c>
      <c r="D172" s="56" t="s">
        <v>416</v>
      </c>
      <c r="E172" s="56" t="s">
        <v>150</v>
      </c>
      <c r="F172" s="57" t="s">
        <v>34</v>
      </c>
      <c r="G172" s="61"/>
      <c r="H172" s="53"/>
    </row>
    <row r="173" ht="24.75" hidden="1" customHeight="1">
      <c r="A173" s="54">
        <v>130.0</v>
      </c>
      <c r="B173" s="56" t="s">
        <v>418</v>
      </c>
      <c r="C173" s="56" t="s">
        <v>148</v>
      </c>
      <c r="D173" s="56" t="s">
        <v>419</v>
      </c>
      <c r="E173" s="56" t="s">
        <v>150</v>
      </c>
      <c r="F173" s="57" t="s">
        <v>34</v>
      </c>
      <c r="G173" s="61"/>
      <c r="H173" s="53"/>
    </row>
    <row r="174" ht="24.75" hidden="1" customHeight="1">
      <c r="A174" s="54">
        <v>136.0</v>
      </c>
      <c r="B174" s="56" t="s">
        <v>421</v>
      </c>
      <c r="C174" s="56" t="s">
        <v>422</v>
      </c>
      <c r="D174" s="56" t="s">
        <v>422</v>
      </c>
      <c r="E174" s="56" t="s">
        <v>423</v>
      </c>
      <c r="F174" s="57" t="s">
        <v>154</v>
      </c>
      <c r="G174" s="61"/>
      <c r="H174" s="53"/>
    </row>
    <row r="175" ht="24.75" hidden="1" customHeight="1">
      <c r="A175" s="54">
        <v>136.0</v>
      </c>
      <c r="B175" s="56" t="s">
        <v>421</v>
      </c>
      <c r="C175" s="56" t="s">
        <v>422</v>
      </c>
      <c r="D175" s="56" t="s">
        <v>422</v>
      </c>
      <c r="E175" s="80" t="s">
        <v>213</v>
      </c>
      <c r="F175" s="57"/>
      <c r="G175" s="61"/>
      <c r="H175" s="53"/>
    </row>
    <row r="176" ht="24.75" hidden="1" customHeight="1">
      <c r="A176" s="54">
        <v>136.0</v>
      </c>
      <c r="B176" s="56" t="s">
        <v>424</v>
      </c>
      <c r="C176" s="56" t="s">
        <v>422</v>
      </c>
      <c r="D176" s="56" t="s">
        <v>425</v>
      </c>
      <c r="E176" s="56" t="s">
        <v>111</v>
      </c>
      <c r="F176" s="57" t="s">
        <v>154</v>
      </c>
      <c r="G176" s="61"/>
      <c r="H176" s="53"/>
    </row>
    <row r="177" ht="24.75" hidden="1" customHeight="1">
      <c r="A177" s="54">
        <v>136.0</v>
      </c>
      <c r="B177" s="56" t="s">
        <v>426</v>
      </c>
      <c r="C177" s="56" t="s">
        <v>422</v>
      </c>
      <c r="D177" s="56" t="s">
        <v>427</v>
      </c>
      <c r="E177" s="56" t="s">
        <v>111</v>
      </c>
      <c r="F177" s="57" t="s">
        <v>154</v>
      </c>
      <c r="G177" s="61"/>
      <c r="H177" s="53"/>
    </row>
    <row r="178" ht="24.75" hidden="1" customHeight="1">
      <c r="A178" s="54">
        <v>136.0</v>
      </c>
      <c r="B178" s="56" t="s">
        <v>428</v>
      </c>
      <c r="C178" s="56" t="s">
        <v>422</v>
      </c>
      <c r="D178" s="56" t="s">
        <v>429</v>
      </c>
      <c r="E178" s="56" t="s">
        <v>111</v>
      </c>
      <c r="F178" s="57" t="s">
        <v>154</v>
      </c>
      <c r="G178" s="61"/>
      <c r="H178" s="53"/>
    </row>
    <row r="179" ht="24.75" hidden="1" customHeight="1">
      <c r="A179" s="54">
        <v>136.0</v>
      </c>
      <c r="B179" s="56" t="s">
        <v>430</v>
      </c>
      <c r="C179" s="56" t="s">
        <v>422</v>
      </c>
      <c r="D179" s="56" t="s">
        <v>431</v>
      </c>
      <c r="E179" s="56" t="s">
        <v>432</v>
      </c>
      <c r="F179" s="57" t="s">
        <v>154</v>
      </c>
      <c r="G179" s="61"/>
      <c r="H179" s="53"/>
    </row>
    <row r="180" ht="24.75" hidden="1" customHeight="1">
      <c r="A180" s="54">
        <v>140.0</v>
      </c>
      <c r="B180" s="56" t="s">
        <v>433</v>
      </c>
      <c r="C180" s="56" t="s">
        <v>434</v>
      </c>
      <c r="D180" s="56" t="s">
        <v>435</v>
      </c>
      <c r="E180" s="56" t="s">
        <v>167</v>
      </c>
      <c r="F180" s="57" t="s">
        <v>154</v>
      </c>
      <c r="G180" s="61"/>
      <c r="H180" s="53"/>
    </row>
    <row r="181" ht="24.75" hidden="1" customHeight="1">
      <c r="A181" s="54">
        <v>140.0</v>
      </c>
      <c r="B181" s="56" t="s">
        <v>436</v>
      </c>
      <c r="C181" s="56" t="s">
        <v>437</v>
      </c>
      <c r="D181" s="56" t="s">
        <v>438</v>
      </c>
      <c r="E181" s="56" t="s">
        <v>439</v>
      </c>
      <c r="F181" s="57" t="s">
        <v>154</v>
      </c>
      <c r="G181" s="61"/>
      <c r="H181" s="53"/>
    </row>
    <row r="182" ht="24.75" hidden="1" customHeight="1">
      <c r="A182" s="54">
        <v>140.0</v>
      </c>
      <c r="B182" s="56" t="s">
        <v>440</v>
      </c>
      <c r="C182" s="56" t="s">
        <v>437</v>
      </c>
      <c r="D182" s="56" t="s">
        <v>441</v>
      </c>
      <c r="E182" s="56" t="s">
        <v>439</v>
      </c>
      <c r="F182" s="57" t="s">
        <v>154</v>
      </c>
      <c r="G182" s="61"/>
      <c r="H182" s="53"/>
    </row>
    <row r="183" ht="24.75" hidden="1" customHeight="1">
      <c r="A183" s="54">
        <v>140.0</v>
      </c>
      <c r="B183" s="56" t="s">
        <v>442</v>
      </c>
      <c r="C183" s="56" t="s">
        <v>443</v>
      </c>
      <c r="D183" s="56" t="s">
        <v>444</v>
      </c>
      <c r="E183" s="56" t="s">
        <v>439</v>
      </c>
      <c r="F183" s="57" t="s">
        <v>154</v>
      </c>
      <c r="G183" s="61"/>
      <c r="H183" s="53"/>
    </row>
    <row r="184" ht="24.75" hidden="1" customHeight="1">
      <c r="A184" s="54">
        <v>140.0</v>
      </c>
      <c r="B184" s="56" t="s">
        <v>445</v>
      </c>
      <c r="C184" s="56" t="s">
        <v>446</v>
      </c>
      <c r="D184" s="56" t="s">
        <v>447</v>
      </c>
      <c r="E184" s="56" t="s">
        <v>439</v>
      </c>
      <c r="F184" s="57" t="s">
        <v>154</v>
      </c>
      <c r="G184" s="61"/>
      <c r="H184" s="53"/>
    </row>
    <row r="185" ht="24.75" hidden="1" customHeight="1">
      <c r="A185" s="54">
        <v>140.0</v>
      </c>
      <c r="B185" s="56" t="s">
        <v>448</v>
      </c>
      <c r="C185" s="88" t="s">
        <v>449</v>
      </c>
      <c r="D185" s="56" t="s">
        <v>450</v>
      </c>
      <c r="E185" s="56" t="s">
        <v>439</v>
      </c>
      <c r="F185" s="57" t="s">
        <v>154</v>
      </c>
      <c r="G185" s="61"/>
      <c r="H185" s="53"/>
    </row>
    <row r="186" ht="24.75" customHeight="1">
      <c r="A186" s="54">
        <v>90.0</v>
      </c>
      <c r="B186" s="56" t="s">
        <v>286</v>
      </c>
      <c r="C186" s="56" t="s">
        <v>278</v>
      </c>
      <c r="D186" s="56" t="s">
        <v>266</v>
      </c>
      <c r="E186" s="56" t="s">
        <v>111</v>
      </c>
      <c r="F186" s="57" t="s">
        <v>15</v>
      </c>
      <c r="G186" s="61"/>
      <c r="H186" s="75"/>
      <c r="I186" s="78"/>
      <c r="J186" s="78"/>
      <c r="K186" s="78"/>
      <c r="L186" s="78"/>
    </row>
    <row r="187" ht="24.75" customHeight="1">
      <c r="A187" s="54">
        <v>100.0</v>
      </c>
      <c r="B187" s="56" t="s">
        <v>451</v>
      </c>
      <c r="C187" s="56" t="s">
        <v>315</v>
      </c>
      <c r="D187" s="56" t="s">
        <v>452</v>
      </c>
      <c r="E187" s="56" t="s">
        <v>453</v>
      </c>
      <c r="F187" s="57" t="s">
        <v>15</v>
      </c>
      <c r="G187" s="61"/>
      <c r="H187" s="75"/>
      <c r="I187" s="78"/>
      <c r="J187" s="78"/>
      <c r="K187" s="78"/>
      <c r="L187" s="78"/>
    </row>
    <row r="188" ht="24.75" customHeight="1">
      <c r="A188" s="54">
        <v>100.0</v>
      </c>
      <c r="B188" s="56" t="s">
        <v>454</v>
      </c>
      <c r="C188" s="56" t="s">
        <v>315</v>
      </c>
      <c r="D188" s="56" t="s">
        <v>316</v>
      </c>
      <c r="E188" s="56" t="s">
        <v>455</v>
      </c>
      <c r="F188" s="57" t="s">
        <v>15</v>
      </c>
      <c r="G188" s="61"/>
      <c r="H188" s="75"/>
      <c r="I188" s="78"/>
      <c r="J188" s="78"/>
      <c r="K188" s="78"/>
      <c r="L188" s="78"/>
    </row>
    <row r="189" ht="24.75" customHeight="1">
      <c r="A189" s="54">
        <v>101.0</v>
      </c>
      <c r="B189" s="56" t="s">
        <v>456</v>
      </c>
      <c r="C189" s="56" t="s">
        <v>315</v>
      </c>
      <c r="D189" s="56" t="s">
        <v>340</v>
      </c>
      <c r="E189" s="56" t="s">
        <v>457</v>
      </c>
      <c r="F189" s="57" t="s">
        <v>15</v>
      </c>
      <c r="G189" s="61"/>
      <c r="H189" s="75"/>
      <c r="I189" s="78"/>
      <c r="J189" s="78"/>
      <c r="K189" s="78"/>
      <c r="L189" s="78"/>
    </row>
    <row r="190" ht="24.75" customHeight="1">
      <c r="A190" s="54">
        <v>101.0</v>
      </c>
      <c r="B190" s="56" t="s">
        <v>458</v>
      </c>
      <c r="C190" s="56" t="s">
        <v>315</v>
      </c>
      <c r="D190" s="56" t="s">
        <v>351</v>
      </c>
      <c r="E190" s="56" t="s">
        <v>459</v>
      </c>
      <c r="F190" s="57" t="s">
        <v>15</v>
      </c>
      <c r="G190" s="61"/>
      <c r="H190" s="75"/>
      <c r="I190" s="78"/>
      <c r="J190" s="78"/>
      <c r="K190" s="78"/>
      <c r="L190" s="78"/>
    </row>
    <row r="191" ht="24.75" customHeight="1">
      <c r="A191" s="54">
        <v>102.0</v>
      </c>
      <c r="B191" s="56" t="s">
        <v>353</v>
      </c>
      <c r="C191" s="56" t="s">
        <v>315</v>
      </c>
      <c r="D191" s="56" t="s">
        <v>354</v>
      </c>
      <c r="E191" s="56" t="s">
        <v>461</v>
      </c>
      <c r="F191" s="57" t="s">
        <v>15</v>
      </c>
      <c r="G191" s="61"/>
      <c r="H191" s="75"/>
      <c r="I191" s="78"/>
      <c r="J191" s="78"/>
      <c r="K191" s="78"/>
      <c r="L191" s="78"/>
    </row>
    <row r="192" ht="24.75" customHeight="1">
      <c r="A192" s="54">
        <v>140.0</v>
      </c>
      <c r="B192" s="56" t="s">
        <v>462</v>
      </c>
      <c r="C192" s="56" t="s">
        <v>434</v>
      </c>
      <c r="D192" s="56" t="s">
        <v>463</v>
      </c>
      <c r="E192" s="56" t="s">
        <v>272</v>
      </c>
      <c r="F192" s="57" t="s">
        <v>15</v>
      </c>
      <c r="G192" s="61"/>
      <c r="H192" s="75"/>
      <c r="I192" s="78"/>
      <c r="J192" s="78"/>
      <c r="K192" s="78"/>
      <c r="L192" s="78"/>
    </row>
    <row r="193" ht="24.75" customHeight="1">
      <c r="A193" s="54">
        <v>140.0</v>
      </c>
      <c r="B193" s="56" t="s">
        <v>464</v>
      </c>
      <c r="C193" s="56" t="s">
        <v>270</v>
      </c>
      <c r="D193" s="56" t="s">
        <v>465</v>
      </c>
      <c r="E193" s="56" t="s">
        <v>272</v>
      </c>
      <c r="F193" s="57" t="s">
        <v>15</v>
      </c>
      <c r="G193" s="61"/>
      <c r="H193" s="75"/>
      <c r="I193" s="78"/>
      <c r="J193" s="78"/>
      <c r="K193" s="78"/>
      <c r="L193" s="78"/>
    </row>
    <row r="194" ht="24.75" customHeight="1">
      <c r="A194" s="54">
        <v>140.0</v>
      </c>
      <c r="B194" s="56" t="s">
        <v>466</v>
      </c>
      <c r="C194" s="56" t="s">
        <v>443</v>
      </c>
      <c r="D194" s="56" t="s">
        <v>467</v>
      </c>
      <c r="E194" s="56" t="s">
        <v>272</v>
      </c>
      <c r="F194" s="57" t="s">
        <v>15</v>
      </c>
      <c r="G194" s="61"/>
      <c r="H194" s="75"/>
      <c r="I194" s="78"/>
      <c r="J194" s="78"/>
      <c r="K194" s="78"/>
      <c r="L194" s="78"/>
    </row>
    <row r="195" ht="24.75" customHeight="1">
      <c r="A195" s="54">
        <v>140.0</v>
      </c>
      <c r="B195" s="56" t="s">
        <v>468</v>
      </c>
      <c r="C195" s="56" t="s">
        <v>446</v>
      </c>
      <c r="D195" s="56" t="s">
        <v>469</v>
      </c>
      <c r="E195" s="56" t="s">
        <v>272</v>
      </c>
      <c r="F195" s="57" t="s">
        <v>15</v>
      </c>
      <c r="G195" s="61"/>
      <c r="H195" s="75"/>
      <c r="I195" s="78"/>
      <c r="J195" s="78"/>
      <c r="K195" s="78"/>
      <c r="L195" s="78"/>
    </row>
    <row r="196" ht="24.75" customHeight="1">
      <c r="A196" s="54">
        <v>140.0</v>
      </c>
      <c r="B196" s="56" t="s">
        <v>470</v>
      </c>
      <c r="C196" s="56" t="s">
        <v>443</v>
      </c>
      <c r="D196" s="56" t="s">
        <v>471</v>
      </c>
      <c r="E196" s="56" t="s">
        <v>272</v>
      </c>
      <c r="F196" s="57" t="s">
        <v>15</v>
      </c>
      <c r="G196" s="61"/>
      <c r="H196" s="75"/>
      <c r="I196" s="78"/>
      <c r="J196" s="78"/>
      <c r="K196" s="78"/>
      <c r="L196" s="78"/>
    </row>
    <row r="197" ht="24.75" customHeight="1">
      <c r="A197" s="54">
        <v>140.0</v>
      </c>
      <c r="B197" s="56" t="s">
        <v>472</v>
      </c>
      <c r="C197" s="56" t="s">
        <v>446</v>
      </c>
      <c r="D197" s="56" t="s">
        <v>473</v>
      </c>
      <c r="E197" s="56" t="s">
        <v>272</v>
      </c>
      <c r="F197" s="57" t="s">
        <v>15</v>
      </c>
      <c r="G197" s="61"/>
      <c r="H197" s="75"/>
      <c r="I197" s="78"/>
      <c r="J197" s="78"/>
      <c r="K197" s="78"/>
      <c r="L197" s="78"/>
    </row>
    <row r="198" ht="24.75" customHeight="1">
      <c r="A198" s="54">
        <v>140.0</v>
      </c>
      <c r="B198" s="56" t="s">
        <v>474</v>
      </c>
      <c r="C198" s="56" t="s">
        <v>443</v>
      </c>
      <c r="D198" s="56" t="s">
        <v>475</v>
      </c>
      <c r="E198" s="56" t="s">
        <v>272</v>
      </c>
      <c r="F198" s="57" t="s">
        <v>15</v>
      </c>
      <c r="G198" s="61"/>
      <c r="H198" s="75"/>
      <c r="I198" s="78"/>
      <c r="J198" s="78"/>
      <c r="K198" s="78"/>
      <c r="L198" s="78"/>
    </row>
    <row r="199" ht="24.75" customHeight="1">
      <c r="A199" s="54">
        <v>140.0</v>
      </c>
      <c r="B199" s="56" t="s">
        <v>476</v>
      </c>
      <c r="C199" s="56" t="s">
        <v>270</v>
      </c>
      <c r="D199" s="56" t="s">
        <v>477</v>
      </c>
      <c r="E199" s="56" t="s">
        <v>272</v>
      </c>
      <c r="F199" s="57" t="s">
        <v>15</v>
      </c>
      <c r="G199" s="61"/>
      <c r="H199" s="75"/>
      <c r="I199" s="78"/>
      <c r="J199" s="78"/>
      <c r="K199" s="78"/>
      <c r="L199" s="78"/>
    </row>
    <row r="200" ht="24.75" customHeight="1">
      <c r="A200" s="54">
        <v>140.0</v>
      </c>
      <c r="B200" s="56" t="s">
        <v>478</v>
      </c>
      <c r="C200" s="56" t="s">
        <v>270</v>
      </c>
      <c r="D200" s="56" t="s">
        <v>479</v>
      </c>
      <c r="E200" s="56" t="s">
        <v>272</v>
      </c>
      <c r="F200" s="57" t="s">
        <v>15</v>
      </c>
      <c r="G200" s="61"/>
      <c r="H200" s="75"/>
      <c r="I200" s="78"/>
      <c r="J200" s="78"/>
      <c r="K200" s="78"/>
      <c r="L200" s="78"/>
    </row>
    <row r="201" ht="24.75" customHeight="1">
      <c r="A201" s="54">
        <v>140.0</v>
      </c>
      <c r="B201" s="56" t="s">
        <v>480</v>
      </c>
      <c r="C201" s="56" t="s">
        <v>270</v>
      </c>
      <c r="D201" s="56" t="s">
        <v>481</v>
      </c>
      <c r="E201" s="56" t="s">
        <v>272</v>
      </c>
      <c r="F201" s="57" t="s">
        <v>15</v>
      </c>
      <c r="G201" s="61"/>
      <c r="H201" s="75"/>
      <c r="I201" s="78"/>
      <c r="J201" s="78"/>
      <c r="K201" s="78"/>
      <c r="L201" s="78"/>
    </row>
    <row r="202" ht="24.75" customHeight="1">
      <c r="A202" s="54">
        <v>140.0</v>
      </c>
      <c r="B202" s="56" t="s">
        <v>482</v>
      </c>
      <c r="C202" s="56" t="s">
        <v>443</v>
      </c>
      <c r="D202" s="56" t="s">
        <v>483</v>
      </c>
      <c r="E202" s="56" t="s">
        <v>272</v>
      </c>
      <c r="F202" s="57" t="s">
        <v>15</v>
      </c>
      <c r="G202" s="61"/>
      <c r="H202" s="75"/>
      <c r="I202" s="78"/>
      <c r="J202" s="78"/>
      <c r="K202" s="78"/>
      <c r="L202" s="78"/>
    </row>
    <row r="203" ht="24.75" customHeight="1">
      <c r="A203" s="54">
        <v>140.0</v>
      </c>
      <c r="B203" s="56" t="s">
        <v>484</v>
      </c>
      <c r="C203" s="56" t="s">
        <v>446</v>
      </c>
      <c r="D203" s="56" t="s">
        <v>485</v>
      </c>
      <c r="E203" s="56" t="s">
        <v>272</v>
      </c>
      <c r="F203" s="57" t="s">
        <v>15</v>
      </c>
      <c r="G203" s="61"/>
      <c r="H203" s="75"/>
      <c r="I203" s="78"/>
      <c r="J203" s="78"/>
      <c r="K203" s="78"/>
      <c r="L203" s="78"/>
    </row>
    <row r="204" ht="24.75" hidden="1" customHeight="1">
      <c r="A204" s="54">
        <v>140.0</v>
      </c>
      <c r="B204" s="56" t="s">
        <v>269</v>
      </c>
      <c r="C204" s="56" t="s">
        <v>270</v>
      </c>
      <c r="D204" s="56" t="s">
        <v>486</v>
      </c>
      <c r="E204" s="56" t="s">
        <v>487</v>
      </c>
      <c r="F204" s="56"/>
      <c r="G204" s="61"/>
      <c r="H204" s="53"/>
    </row>
    <row r="205" ht="24.75" customHeight="1">
      <c r="A205" s="54">
        <v>140.0</v>
      </c>
      <c r="B205" s="56" t="s">
        <v>488</v>
      </c>
      <c r="C205" s="88" t="s">
        <v>449</v>
      </c>
      <c r="D205" s="56" t="s">
        <v>489</v>
      </c>
      <c r="E205" s="56" t="s">
        <v>272</v>
      </c>
      <c r="F205" s="57" t="s">
        <v>15</v>
      </c>
      <c r="G205" s="61"/>
      <c r="H205" s="75"/>
      <c r="I205" s="78"/>
      <c r="J205" s="78"/>
      <c r="K205" s="78"/>
      <c r="L205" s="78"/>
    </row>
    <row r="206" ht="24.75" customHeight="1">
      <c r="A206" s="54">
        <v>140.0</v>
      </c>
      <c r="B206" s="56" t="s">
        <v>490</v>
      </c>
      <c r="C206" s="56" t="s">
        <v>270</v>
      </c>
      <c r="D206" s="56" t="s">
        <v>491</v>
      </c>
      <c r="E206" s="56" t="s">
        <v>272</v>
      </c>
      <c r="F206" s="57" t="s">
        <v>15</v>
      </c>
      <c r="G206" s="61"/>
      <c r="H206" s="75"/>
      <c r="I206" s="78"/>
      <c r="J206" s="78"/>
      <c r="K206" s="78"/>
      <c r="L206" s="78"/>
    </row>
    <row r="207" ht="24.75" hidden="1" customHeight="1">
      <c r="A207" s="54">
        <v>140.0</v>
      </c>
      <c r="B207" s="56" t="s">
        <v>284</v>
      </c>
      <c r="C207" s="56" t="s">
        <v>270</v>
      </c>
      <c r="D207" s="56" t="s">
        <v>492</v>
      </c>
      <c r="E207" s="56" t="s">
        <v>487</v>
      </c>
      <c r="F207" s="56"/>
      <c r="G207" s="61"/>
      <c r="H207" s="53"/>
    </row>
    <row r="208" ht="24.75" customHeight="1">
      <c r="A208" s="54">
        <v>140.0</v>
      </c>
      <c r="B208" s="56" t="s">
        <v>493</v>
      </c>
      <c r="C208" s="56" t="s">
        <v>270</v>
      </c>
      <c r="D208" s="56" t="s">
        <v>494</v>
      </c>
      <c r="E208" s="56" t="s">
        <v>272</v>
      </c>
      <c r="F208" s="57" t="s">
        <v>15</v>
      </c>
      <c r="G208" s="61"/>
      <c r="H208" s="75"/>
      <c r="I208" s="78"/>
      <c r="J208" s="78"/>
      <c r="K208" s="78"/>
      <c r="L208" s="78"/>
    </row>
    <row r="209" ht="24.75" customHeight="1">
      <c r="A209" s="54">
        <v>140.0</v>
      </c>
      <c r="B209" s="56" t="s">
        <v>496</v>
      </c>
      <c r="C209" s="56" t="s">
        <v>497</v>
      </c>
      <c r="D209" s="56" t="s">
        <v>498</v>
      </c>
      <c r="E209" s="56" t="s">
        <v>272</v>
      </c>
      <c r="F209" s="57" t="s">
        <v>15</v>
      </c>
      <c r="G209" s="61"/>
      <c r="H209" s="75"/>
      <c r="I209" s="78"/>
      <c r="J209" s="78"/>
      <c r="K209" s="78"/>
      <c r="L209" s="78"/>
    </row>
    <row r="210" ht="24.75" hidden="1" customHeight="1">
      <c r="A210" s="54">
        <v>140.0</v>
      </c>
      <c r="B210" s="56" t="s">
        <v>499</v>
      </c>
      <c r="C210" s="56" t="s">
        <v>500</v>
      </c>
      <c r="D210" s="56" t="s">
        <v>501</v>
      </c>
      <c r="E210" s="56" t="s">
        <v>225</v>
      </c>
      <c r="F210" s="57" t="s">
        <v>34</v>
      </c>
      <c r="G210" s="61"/>
      <c r="H210" s="53"/>
    </row>
    <row r="211" ht="24.75" hidden="1" customHeight="1">
      <c r="A211" s="54">
        <v>140.0</v>
      </c>
      <c r="B211" s="56" t="s">
        <v>499</v>
      </c>
      <c r="C211" s="56" t="s">
        <v>500</v>
      </c>
      <c r="D211" s="56" t="s">
        <v>501</v>
      </c>
      <c r="E211" s="56" t="s">
        <v>167</v>
      </c>
      <c r="F211" s="57" t="s">
        <v>154</v>
      </c>
      <c r="G211" s="61"/>
      <c r="H211" s="53"/>
    </row>
    <row r="212" ht="24.75" hidden="1" customHeight="1">
      <c r="A212" s="54">
        <v>140.0</v>
      </c>
      <c r="B212" s="56" t="s">
        <v>499</v>
      </c>
      <c r="C212" s="56" t="s">
        <v>500</v>
      </c>
      <c r="D212" s="56" t="s">
        <v>501</v>
      </c>
      <c r="E212" s="56" t="s">
        <v>226</v>
      </c>
      <c r="F212" s="57" t="s">
        <v>154</v>
      </c>
      <c r="G212" s="61"/>
      <c r="H212" s="53"/>
    </row>
    <row r="213" ht="24.75" customHeight="1">
      <c r="A213" s="54">
        <v>140.0</v>
      </c>
      <c r="B213" s="56" t="s">
        <v>502</v>
      </c>
      <c r="C213" s="56" t="s">
        <v>497</v>
      </c>
      <c r="D213" s="56" t="s">
        <v>503</v>
      </c>
      <c r="E213" s="56" t="s">
        <v>272</v>
      </c>
      <c r="F213" s="57" t="s">
        <v>15</v>
      </c>
      <c r="G213" s="61"/>
      <c r="H213" s="75"/>
      <c r="I213" s="78"/>
      <c r="J213" s="78"/>
      <c r="K213" s="78"/>
      <c r="L213" s="78"/>
    </row>
    <row r="214" ht="24.75" hidden="1" customHeight="1">
      <c r="A214" s="54">
        <v>140.0</v>
      </c>
      <c r="B214" s="56" t="s">
        <v>504</v>
      </c>
      <c r="C214" s="56" t="s">
        <v>443</v>
      </c>
      <c r="D214" s="56" t="s">
        <v>505</v>
      </c>
      <c r="E214" s="56" t="s">
        <v>439</v>
      </c>
      <c r="F214" s="57" t="s">
        <v>154</v>
      </c>
      <c r="G214" s="61"/>
      <c r="H214" s="53"/>
    </row>
    <row r="215" ht="24.75" hidden="1" customHeight="1">
      <c r="A215" s="54">
        <v>140.0</v>
      </c>
      <c r="B215" s="56" t="s">
        <v>506</v>
      </c>
      <c r="C215" s="56" t="s">
        <v>507</v>
      </c>
      <c r="D215" s="56" t="s">
        <v>508</v>
      </c>
      <c r="E215" s="56" t="s">
        <v>336</v>
      </c>
      <c r="F215" s="57" t="s">
        <v>192</v>
      </c>
      <c r="G215" s="61"/>
      <c r="H215" s="53"/>
    </row>
    <row r="216" ht="24.75" hidden="1" customHeight="1">
      <c r="A216" s="54">
        <v>140.0</v>
      </c>
      <c r="B216" s="56" t="s">
        <v>506</v>
      </c>
      <c r="C216" s="56" t="s">
        <v>507</v>
      </c>
      <c r="D216" s="56" t="s">
        <v>508</v>
      </c>
      <c r="E216" s="56" t="s">
        <v>372</v>
      </c>
      <c r="F216" s="57" t="s">
        <v>34</v>
      </c>
      <c r="G216" s="61"/>
      <c r="H216" s="53"/>
    </row>
    <row r="217" ht="24.75" hidden="1" customHeight="1">
      <c r="A217" s="54">
        <v>140.0</v>
      </c>
      <c r="B217" s="56" t="s">
        <v>506</v>
      </c>
      <c r="C217" s="56" t="s">
        <v>507</v>
      </c>
      <c r="D217" s="56" t="s">
        <v>508</v>
      </c>
      <c r="E217" s="56" t="s">
        <v>158</v>
      </c>
      <c r="F217" s="57" t="s">
        <v>34</v>
      </c>
      <c r="G217" s="61"/>
      <c r="H217" s="53"/>
    </row>
    <row r="218" ht="24.75" customHeight="1">
      <c r="A218" s="54">
        <v>140.0</v>
      </c>
      <c r="B218" s="56" t="s">
        <v>502</v>
      </c>
      <c r="C218" s="56" t="s">
        <v>497</v>
      </c>
      <c r="D218" s="56" t="s">
        <v>509</v>
      </c>
      <c r="E218" s="56" t="s">
        <v>272</v>
      </c>
      <c r="F218" s="57" t="s">
        <v>15</v>
      </c>
      <c r="G218" s="61"/>
      <c r="H218" s="75"/>
      <c r="I218" s="78"/>
      <c r="J218" s="78"/>
      <c r="K218" s="78"/>
      <c r="L218" s="78"/>
    </row>
    <row r="219" ht="24.75" customHeight="1">
      <c r="A219" s="54">
        <v>140.0</v>
      </c>
      <c r="B219" s="56" t="s">
        <v>499</v>
      </c>
      <c r="C219" s="56" t="s">
        <v>500</v>
      </c>
      <c r="D219" s="56" t="s">
        <v>510</v>
      </c>
      <c r="E219" s="56" t="s">
        <v>272</v>
      </c>
      <c r="F219" s="57" t="s">
        <v>15</v>
      </c>
      <c r="G219" s="61"/>
      <c r="H219" s="75"/>
      <c r="I219" s="78"/>
      <c r="J219" s="78"/>
      <c r="K219" s="78"/>
      <c r="L219" s="78"/>
    </row>
    <row r="220" ht="24.75" customHeight="1">
      <c r="A220" s="54">
        <v>140.0</v>
      </c>
      <c r="B220" s="56" t="s">
        <v>511</v>
      </c>
      <c r="C220" s="56" t="s">
        <v>497</v>
      </c>
      <c r="D220" s="56" t="s">
        <v>512</v>
      </c>
      <c r="E220" s="56" t="s">
        <v>272</v>
      </c>
      <c r="F220" s="57" t="s">
        <v>15</v>
      </c>
      <c r="G220" s="61"/>
      <c r="H220" s="75"/>
      <c r="I220" s="78"/>
      <c r="J220" s="78"/>
      <c r="K220" s="78"/>
      <c r="L220" s="78"/>
    </row>
    <row r="221" ht="24.75" customHeight="1">
      <c r="A221" s="54">
        <v>140.0</v>
      </c>
      <c r="B221" s="56" t="s">
        <v>513</v>
      </c>
      <c r="C221" s="56" t="s">
        <v>437</v>
      </c>
      <c r="D221" s="56" t="s">
        <v>514</v>
      </c>
      <c r="E221" s="56" t="s">
        <v>272</v>
      </c>
      <c r="F221" s="57" t="s">
        <v>15</v>
      </c>
      <c r="G221" s="61"/>
      <c r="H221" s="75"/>
      <c r="I221" s="78"/>
      <c r="J221" s="78"/>
      <c r="K221" s="78"/>
      <c r="L221" s="78"/>
    </row>
    <row r="222" ht="24.75" customHeight="1">
      <c r="A222" s="54">
        <v>140.0</v>
      </c>
      <c r="B222" s="56" t="s">
        <v>515</v>
      </c>
      <c r="C222" s="56" t="s">
        <v>437</v>
      </c>
      <c r="D222" s="56" t="s">
        <v>516</v>
      </c>
      <c r="E222" s="56" t="s">
        <v>272</v>
      </c>
      <c r="F222" s="57" t="s">
        <v>15</v>
      </c>
      <c r="G222" s="61"/>
      <c r="H222" s="75"/>
      <c r="I222" s="78"/>
      <c r="J222" s="78"/>
      <c r="K222" s="78"/>
      <c r="L222" s="78"/>
    </row>
    <row r="223" ht="24.75" customHeight="1">
      <c r="A223" s="54">
        <v>140.0</v>
      </c>
      <c r="B223" s="56" t="s">
        <v>517</v>
      </c>
      <c r="C223" s="56" t="s">
        <v>437</v>
      </c>
      <c r="D223" s="56" t="s">
        <v>518</v>
      </c>
      <c r="E223" s="56" t="s">
        <v>272</v>
      </c>
      <c r="F223" s="57" t="s">
        <v>15</v>
      </c>
      <c r="G223" s="81"/>
      <c r="H223" s="75"/>
      <c r="I223" s="78"/>
      <c r="J223" s="78"/>
      <c r="K223" s="78"/>
      <c r="L223" s="78"/>
    </row>
    <row r="224" ht="24.75" customHeight="1">
      <c r="A224" s="54">
        <v>140.0</v>
      </c>
      <c r="B224" s="56" t="s">
        <v>519</v>
      </c>
      <c r="C224" s="56" t="s">
        <v>437</v>
      </c>
      <c r="D224" s="56" t="s">
        <v>520</v>
      </c>
      <c r="E224" s="56" t="s">
        <v>272</v>
      </c>
      <c r="F224" s="57" t="s">
        <v>15</v>
      </c>
      <c r="G224" s="61"/>
      <c r="H224" s="75"/>
      <c r="I224" s="78"/>
      <c r="J224" s="78"/>
      <c r="K224" s="78"/>
      <c r="L224" s="78"/>
    </row>
    <row r="225" ht="24.75" customHeight="1">
      <c r="A225" s="54">
        <v>140.0</v>
      </c>
      <c r="B225" s="56" t="s">
        <v>521</v>
      </c>
      <c r="C225" s="56" t="s">
        <v>443</v>
      </c>
      <c r="D225" s="56" t="s">
        <v>522</v>
      </c>
      <c r="E225" s="56" t="s">
        <v>272</v>
      </c>
      <c r="F225" s="57" t="s">
        <v>15</v>
      </c>
      <c r="G225" s="61"/>
      <c r="H225" s="75"/>
      <c r="I225" s="78"/>
      <c r="J225" s="78"/>
      <c r="K225" s="78"/>
      <c r="L225" s="78"/>
    </row>
    <row r="226" ht="24.75" customHeight="1">
      <c r="A226" s="54">
        <v>140.0</v>
      </c>
      <c r="B226" s="56" t="s">
        <v>523</v>
      </c>
      <c r="C226" s="56" t="s">
        <v>443</v>
      </c>
      <c r="D226" s="56" t="s">
        <v>524</v>
      </c>
      <c r="E226" s="56" t="s">
        <v>272</v>
      </c>
      <c r="F226" s="57" t="s">
        <v>15</v>
      </c>
      <c r="G226" s="61"/>
      <c r="H226" s="75"/>
      <c r="I226" s="78"/>
      <c r="J226" s="78"/>
      <c r="K226" s="78"/>
      <c r="L226" s="78"/>
    </row>
    <row r="227" ht="24.75" customHeight="1">
      <c r="A227" s="54">
        <v>140.0</v>
      </c>
      <c r="B227" s="56" t="s">
        <v>525</v>
      </c>
      <c r="C227" s="56" t="s">
        <v>443</v>
      </c>
      <c r="D227" s="56" t="s">
        <v>526</v>
      </c>
      <c r="E227" s="56" t="s">
        <v>272</v>
      </c>
      <c r="F227" s="57" t="s">
        <v>15</v>
      </c>
      <c r="G227" s="61"/>
      <c r="H227" s="75"/>
      <c r="I227" s="78"/>
      <c r="J227" s="78"/>
      <c r="K227" s="78"/>
      <c r="L227" s="78"/>
    </row>
    <row r="228" ht="24.75" customHeight="1">
      <c r="A228" s="54">
        <v>140.0</v>
      </c>
      <c r="B228" s="56" t="s">
        <v>527</v>
      </c>
      <c r="C228" s="56" t="s">
        <v>446</v>
      </c>
      <c r="D228" s="56" t="s">
        <v>528</v>
      </c>
      <c r="E228" s="56" t="s">
        <v>272</v>
      </c>
      <c r="F228" s="57" t="s">
        <v>15</v>
      </c>
      <c r="G228" s="61"/>
      <c r="H228" s="75"/>
      <c r="I228" s="78"/>
      <c r="J228" s="78"/>
      <c r="K228" s="78"/>
      <c r="L228" s="78"/>
    </row>
    <row r="229" ht="24.75" customHeight="1">
      <c r="A229" s="54">
        <v>140.0</v>
      </c>
      <c r="B229" s="56" t="s">
        <v>529</v>
      </c>
      <c r="C229" s="56" t="s">
        <v>446</v>
      </c>
      <c r="D229" s="56" t="s">
        <v>530</v>
      </c>
      <c r="E229" s="56" t="s">
        <v>272</v>
      </c>
      <c r="F229" s="57" t="s">
        <v>15</v>
      </c>
      <c r="G229" s="61"/>
      <c r="H229" s="75"/>
      <c r="I229" s="78"/>
      <c r="J229" s="78"/>
      <c r="K229" s="78"/>
      <c r="L229" s="78"/>
    </row>
    <row r="230" ht="24.75" customHeight="1">
      <c r="A230" s="54">
        <v>140.0</v>
      </c>
      <c r="B230" s="56" t="s">
        <v>531</v>
      </c>
      <c r="C230" s="88" t="s">
        <v>449</v>
      </c>
      <c r="D230" s="56" t="s">
        <v>532</v>
      </c>
      <c r="E230" s="56" t="s">
        <v>272</v>
      </c>
      <c r="F230" s="57" t="s">
        <v>15</v>
      </c>
      <c r="G230" s="61"/>
      <c r="H230" s="75"/>
      <c r="I230" s="78"/>
      <c r="J230" s="78"/>
      <c r="K230" s="78"/>
      <c r="L230" s="78"/>
    </row>
    <row r="231" ht="24.75" hidden="1" customHeight="1">
      <c r="A231" s="54">
        <v>140.0</v>
      </c>
      <c r="B231" s="56" t="s">
        <v>533</v>
      </c>
      <c r="C231" s="56" t="s">
        <v>497</v>
      </c>
      <c r="D231" s="56" t="s">
        <v>534</v>
      </c>
      <c r="E231" s="56" t="s">
        <v>439</v>
      </c>
      <c r="F231" s="57" t="s">
        <v>154</v>
      </c>
      <c r="G231" s="61"/>
      <c r="H231" s="53"/>
    </row>
    <row r="232" ht="24.75" hidden="1" customHeight="1">
      <c r="A232" s="54">
        <v>140.0</v>
      </c>
      <c r="B232" s="56" t="s">
        <v>535</v>
      </c>
      <c r="C232" s="56" t="s">
        <v>443</v>
      </c>
      <c r="D232" s="56" t="s">
        <v>537</v>
      </c>
      <c r="E232" s="56" t="s">
        <v>439</v>
      </c>
      <c r="F232" s="57" t="s">
        <v>154</v>
      </c>
      <c r="G232" s="61"/>
      <c r="H232" s="53"/>
    </row>
    <row r="233" ht="24.75" hidden="1" customHeight="1">
      <c r="A233" s="54">
        <v>140.0</v>
      </c>
      <c r="B233" s="56" t="s">
        <v>538</v>
      </c>
      <c r="C233" s="56" t="s">
        <v>446</v>
      </c>
      <c r="D233" s="56" t="s">
        <v>539</v>
      </c>
      <c r="E233" s="56" t="s">
        <v>439</v>
      </c>
      <c r="F233" s="57" t="s">
        <v>154</v>
      </c>
      <c r="G233" s="61"/>
      <c r="H233" s="53"/>
    </row>
    <row r="234" ht="24.75" hidden="1" customHeight="1">
      <c r="A234" s="54">
        <v>140.0</v>
      </c>
      <c r="B234" s="56" t="s">
        <v>540</v>
      </c>
      <c r="C234" s="56" t="s">
        <v>434</v>
      </c>
      <c r="D234" s="56" t="s">
        <v>541</v>
      </c>
      <c r="E234" s="56" t="s">
        <v>167</v>
      </c>
      <c r="F234" s="57" t="s">
        <v>154</v>
      </c>
      <c r="G234" s="61"/>
      <c r="H234" s="53"/>
    </row>
    <row r="235" ht="24.75" hidden="1" customHeight="1">
      <c r="A235" s="54">
        <v>140.0</v>
      </c>
      <c r="B235" s="56" t="s">
        <v>540</v>
      </c>
      <c r="C235" s="56" t="s">
        <v>434</v>
      </c>
      <c r="D235" s="56" t="s">
        <v>541</v>
      </c>
      <c r="E235" s="56" t="s">
        <v>176</v>
      </c>
      <c r="F235" s="57" t="s">
        <v>154</v>
      </c>
      <c r="G235" s="61"/>
      <c r="H235" s="53"/>
    </row>
    <row r="236" ht="24.75" hidden="1" customHeight="1">
      <c r="A236" s="54">
        <v>140.0</v>
      </c>
      <c r="B236" s="56" t="s">
        <v>543</v>
      </c>
      <c r="C236" s="56" t="s">
        <v>437</v>
      </c>
      <c r="D236" s="56" t="s">
        <v>544</v>
      </c>
      <c r="E236" s="56" t="s">
        <v>167</v>
      </c>
      <c r="F236" s="57" t="s">
        <v>154</v>
      </c>
      <c r="G236" s="61"/>
      <c r="H236" s="53"/>
    </row>
    <row r="237" ht="24.75" hidden="1" customHeight="1">
      <c r="A237" s="54">
        <v>140.0</v>
      </c>
      <c r="B237" s="56" t="s">
        <v>543</v>
      </c>
      <c r="C237" s="56" t="s">
        <v>437</v>
      </c>
      <c r="D237" s="56" t="s">
        <v>544</v>
      </c>
      <c r="E237" s="56" t="s">
        <v>176</v>
      </c>
      <c r="F237" s="57" t="s">
        <v>154</v>
      </c>
      <c r="G237" s="61"/>
      <c r="H237" s="53"/>
    </row>
    <row r="238" ht="24.75" hidden="1" customHeight="1">
      <c r="A238" s="54">
        <v>140.0</v>
      </c>
      <c r="B238" s="56" t="s">
        <v>545</v>
      </c>
      <c r="C238" s="56" t="s">
        <v>437</v>
      </c>
      <c r="D238" s="56" t="s">
        <v>546</v>
      </c>
      <c r="E238" s="56" t="s">
        <v>167</v>
      </c>
      <c r="F238" s="57" t="s">
        <v>154</v>
      </c>
      <c r="G238" s="61"/>
      <c r="H238" s="53"/>
    </row>
    <row r="239" ht="24.75" hidden="1" customHeight="1">
      <c r="A239" s="54">
        <v>140.0</v>
      </c>
      <c r="B239" s="56" t="s">
        <v>545</v>
      </c>
      <c r="C239" s="56" t="s">
        <v>437</v>
      </c>
      <c r="D239" s="56" t="s">
        <v>546</v>
      </c>
      <c r="E239" s="56" t="s">
        <v>176</v>
      </c>
      <c r="F239" s="57" t="s">
        <v>154</v>
      </c>
      <c r="G239" s="61"/>
      <c r="H239" s="53"/>
    </row>
    <row r="240" ht="24.75" hidden="1" customHeight="1">
      <c r="A240" s="54">
        <v>140.0</v>
      </c>
      <c r="B240" s="56" t="s">
        <v>547</v>
      </c>
      <c r="C240" s="56" t="s">
        <v>437</v>
      </c>
      <c r="D240" s="56" t="s">
        <v>548</v>
      </c>
      <c r="E240" s="56" t="s">
        <v>167</v>
      </c>
      <c r="F240" s="57" t="s">
        <v>154</v>
      </c>
      <c r="G240" s="61"/>
      <c r="H240" s="53"/>
    </row>
    <row r="241" ht="24.75" hidden="1" customHeight="1">
      <c r="A241" s="54">
        <v>140.0</v>
      </c>
      <c r="B241" s="56" t="s">
        <v>547</v>
      </c>
      <c r="C241" s="56" t="s">
        <v>437</v>
      </c>
      <c r="D241" s="56" t="s">
        <v>548</v>
      </c>
      <c r="E241" s="56" t="s">
        <v>176</v>
      </c>
      <c r="F241" s="57" t="s">
        <v>154</v>
      </c>
      <c r="G241" s="61"/>
      <c r="H241" s="53"/>
    </row>
    <row r="242" ht="24.75" hidden="1" customHeight="1">
      <c r="A242" s="54">
        <v>140.0</v>
      </c>
      <c r="B242" s="56" t="s">
        <v>549</v>
      </c>
      <c r="C242" s="56" t="s">
        <v>434</v>
      </c>
      <c r="D242" s="56" t="s">
        <v>550</v>
      </c>
      <c r="E242" s="56" t="s">
        <v>167</v>
      </c>
      <c r="F242" s="57" t="s">
        <v>154</v>
      </c>
      <c r="G242" s="61"/>
      <c r="H242" s="53"/>
    </row>
    <row r="243" ht="24.75" hidden="1" customHeight="1">
      <c r="A243" s="54">
        <v>140.0</v>
      </c>
      <c r="B243" s="56" t="s">
        <v>549</v>
      </c>
      <c r="C243" s="56" t="s">
        <v>434</v>
      </c>
      <c r="D243" s="56" t="s">
        <v>550</v>
      </c>
      <c r="E243" s="56" t="s">
        <v>176</v>
      </c>
      <c r="F243" s="57" t="s">
        <v>154</v>
      </c>
      <c r="G243" s="61"/>
      <c r="H243" s="53"/>
    </row>
    <row r="244" ht="24.75" hidden="1" customHeight="1">
      <c r="A244" s="54">
        <v>140.0</v>
      </c>
      <c r="B244" s="56" t="s">
        <v>551</v>
      </c>
      <c r="C244" s="56" t="s">
        <v>497</v>
      </c>
      <c r="D244" s="56" t="s">
        <v>552</v>
      </c>
      <c r="E244" s="56" t="s">
        <v>167</v>
      </c>
      <c r="F244" s="57" t="s">
        <v>154</v>
      </c>
      <c r="G244" s="61"/>
      <c r="H244" s="53"/>
    </row>
    <row r="245" ht="24.75" hidden="1" customHeight="1">
      <c r="A245" s="54">
        <v>140.0</v>
      </c>
      <c r="B245" s="56" t="s">
        <v>551</v>
      </c>
      <c r="C245" s="56" t="s">
        <v>497</v>
      </c>
      <c r="D245" s="56" t="s">
        <v>552</v>
      </c>
      <c r="E245" s="56" t="s">
        <v>176</v>
      </c>
      <c r="F245" s="57" t="s">
        <v>154</v>
      </c>
      <c r="G245" s="61"/>
      <c r="H245" s="53"/>
    </row>
    <row r="246" ht="24.75" hidden="1" customHeight="1">
      <c r="A246" s="54">
        <v>140.0</v>
      </c>
      <c r="B246" s="56" t="s">
        <v>553</v>
      </c>
      <c r="C246" s="56" t="s">
        <v>443</v>
      </c>
      <c r="D246" s="56" t="s">
        <v>554</v>
      </c>
      <c r="E246" s="56" t="s">
        <v>167</v>
      </c>
      <c r="F246" s="57" t="s">
        <v>154</v>
      </c>
      <c r="G246" s="61"/>
      <c r="H246" s="53"/>
    </row>
    <row r="247" ht="24.75" hidden="1" customHeight="1">
      <c r="A247" s="54">
        <v>140.0</v>
      </c>
      <c r="B247" s="56" t="s">
        <v>553</v>
      </c>
      <c r="C247" s="56" t="s">
        <v>443</v>
      </c>
      <c r="D247" s="56" t="s">
        <v>554</v>
      </c>
      <c r="E247" s="56" t="s">
        <v>176</v>
      </c>
      <c r="F247" s="57" t="s">
        <v>154</v>
      </c>
      <c r="G247" s="61"/>
      <c r="H247" s="53"/>
    </row>
    <row r="248" ht="24.75" hidden="1" customHeight="1">
      <c r="A248" s="54">
        <v>140.0</v>
      </c>
      <c r="B248" s="56" t="s">
        <v>555</v>
      </c>
      <c r="C248" s="56" t="s">
        <v>434</v>
      </c>
      <c r="D248" s="56" t="s">
        <v>556</v>
      </c>
      <c r="E248" s="56" t="s">
        <v>167</v>
      </c>
      <c r="F248" s="57" t="s">
        <v>154</v>
      </c>
      <c r="G248" s="61"/>
      <c r="H248" s="53"/>
    </row>
    <row r="249" ht="24.75" hidden="1" customHeight="1">
      <c r="A249" s="54">
        <v>140.0</v>
      </c>
      <c r="B249" s="56" t="s">
        <v>555</v>
      </c>
      <c r="C249" s="56" t="s">
        <v>434</v>
      </c>
      <c r="D249" s="56" t="s">
        <v>556</v>
      </c>
      <c r="E249" s="56" t="s">
        <v>176</v>
      </c>
      <c r="F249" s="57" t="s">
        <v>154</v>
      </c>
      <c r="G249" s="61"/>
      <c r="H249" s="53"/>
    </row>
    <row r="250" ht="24.75" hidden="1" customHeight="1">
      <c r="A250" s="54">
        <v>140.0</v>
      </c>
      <c r="B250" s="56" t="s">
        <v>558</v>
      </c>
      <c r="C250" s="56" t="s">
        <v>270</v>
      </c>
      <c r="D250" s="56" t="s">
        <v>559</v>
      </c>
      <c r="E250" s="56" t="s">
        <v>167</v>
      </c>
      <c r="F250" s="57" t="s">
        <v>154</v>
      </c>
      <c r="G250" s="61"/>
      <c r="H250" s="53"/>
    </row>
    <row r="251" ht="24.75" hidden="1" customHeight="1">
      <c r="A251" s="54">
        <v>140.0</v>
      </c>
      <c r="B251" s="56" t="s">
        <v>558</v>
      </c>
      <c r="C251" s="56" t="s">
        <v>270</v>
      </c>
      <c r="D251" s="56" t="s">
        <v>559</v>
      </c>
      <c r="E251" s="56" t="s">
        <v>176</v>
      </c>
      <c r="F251" s="57" t="s">
        <v>154</v>
      </c>
      <c r="G251" s="61"/>
      <c r="H251" s="53"/>
    </row>
    <row r="252" ht="24.75" hidden="1" customHeight="1">
      <c r="A252" s="54">
        <v>140.0</v>
      </c>
      <c r="B252" s="56" t="s">
        <v>560</v>
      </c>
      <c r="C252" s="56" t="s">
        <v>446</v>
      </c>
      <c r="D252" s="56" t="s">
        <v>561</v>
      </c>
      <c r="E252" s="56" t="s">
        <v>167</v>
      </c>
      <c r="F252" s="57" t="s">
        <v>154</v>
      </c>
      <c r="G252" s="61"/>
      <c r="H252" s="53"/>
    </row>
    <row r="253" ht="24.75" hidden="1" customHeight="1">
      <c r="A253" s="54">
        <v>140.0</v>
      </c>
      <c r="B253" s="56" t="s">
        <v>560</v>
      </c>
      <c r="C253" s="56" t="s">
        <v>446</v>
      </c>
      <c r="D253" s="56" t="s">
        <v>561</v>
      </c>
      <c r="E253" s="56" t="s">
        <v>176</v>
      </c>
      <c r="F253" s="57" t="s">
        <v>154</v>
      </c>
      <c r="G253" s="61"/>
      <c r="H253" s="53"/>
    </row>
    <row r="254" ht="24.75" hidden="1" customHeight="1">
      <c r="A254" s="54">
        <v>140.0</v>
      </c>
      <c r="B254" s="56" t="s">
        <v>562</v>
      </c>
      <c r="C254" s="56" t="s">
        <v>443</v>
      </c>
      <c r="D254" s="56" t="s">
        <v>563</v>
      </c>
      <c r="E254" s="56" t="s">
        <v>167</v>
      </c>
      <c r="F254" s="57" t="s">
        <v>154</v>
      </c>
      <c r="G254" s="61"/>
      <c r="H254" s="53"/>
    </row>
    <row r="255" ht="24.75" hidden="1" customHeight="1">
      <c r="A255" s="54">
        <v>140.0</v>
      </c>
      <c r="B255" s="56" t="s">
        <v>562</v>
      </c>
      <c r="C255" s="56" t="s">
        <v>443</v>
      </c>
      <c r="D255" s="56" t="s">
        <v>563</v>
      </c>
      <c r="E255" s="56" t="s">
        <v>176</v>
      </c>
      <c r="F255" s="57" t="s">
        <v>154</v>
      </c>
      <c r="G255" s="61"/>
      <c r="H255" s="53"/>
    </row>
    <row r="256" ht="24.75" hidden="1" customHeight="1">
      <c r="A256" s="54">
        <v>140.0</v>
      </c>
      <c r="B256" s="56" t="s">
        <v>564</v>
      </c>
      <c r="C256" s="56" t="s">
        <v>446</v>
      </c>
      <c r="D256" s="56" t="s">
        <v>565</v>
      </c>
      <c r="E256" s="56" t="s">
        <v>167</v>
      </c>
      <c r="F256" s="57" t="s">
        <v>154</v>
      </c>
      <c r="G256" s="61"/>
      <c r="H256" s="53"/>
    </row>
    <row r="257" ht="24.75" hidden="1" customHeight="1">
      <c r="A257" s="54">
        <v>140.0</v>
      </c>
      <c r="B257" s="56" t="s">
        <v>564</v>
      </c>
      <c r="C257" s="56" t="s">
        <v>446</v>
      </c>
      <c r="D257" s="56" t="s">
        <v>565</v>
      </c>
      <c r="E257" s="56" t="s">
        <v>176</v>
      </c>
      <c r="F257" s="57" t="s">
        <v>154</v>
      </c>
      <c r="G257" s="61"/>
      <c r="H257" s="53"/>
    </row>
    <row r="258" ht="24.75" hidden="1" customHeight="1">
      <c r="A258" s="54">
        <v>140.0</v>
      </c>
      <c r="B258" s="56" t="s">
        <v>566</v>
      </c>
      <c r="C258" s="88" t="s">
        <v>449</v>
      </c>
      <c r="D258" s="56" t="s">
        <v>567</v>
      </c>
      <c r="E258" s="56" t="s">
        <v>167</v>
      </c>
      <c r="F258" s="57" t="s">
        <v>154</v>
      </c>
      <c r="G258" s="61"/>
      <c r="H258" s="53"/>
    </row>
    <row r="259" ht="24.75" hidden="1" customHeight="1">
      <c r="A259" s="54">
        <v>140.0</v>
      </c>
      <c r="B259" s="56" t="s">
        <v>566</v>
      </c>
      <c r="C259" s="88" t="s">
        <v>449</v>
      </c>
      <c r="D259" s="56" t="s">
        <v>567</v>
      </c>
      <c r="E259" s="56" t="s">
        <v>176</v>
      </c>
      <c r="F259" s="57" t="s">
        <v>154</v>
      </c>
      <c r="G259" s="61"/>
      <c r="H259" s="53"/>
    </row>
    <row r="260" ht="24.75" customHeight="1">
      <c r="A260" s="54">
        <v>140.0</v>
      </c>
      <c r="B260" s="56" t="s">
        <v>568</v>
      </c>
      <c r="C260" s="56" t="s">
        <v>446</v>
      </c>
      <c r="D260" s="56" t="s">
        <v>569</v>
      </c>
      <c r="E260" s="56" t="s">
        <v>272</v>
      </c>
      <c r="F260" s="57" t="s">
        <v>15</v>
      </c>
      <c r="G260" s="61"/>
      <c r="H260" s="75"/>
      <c r="I260" s="78"/>
      <c r="J260" s="78"/>
      <c r="K260" s="78"/>
      <c r="L260" s="78"/>
    </row>
    <row r="261" ht="24.75" hidden="1" customHeight="1">
      <c r="A261" s="54">
        <v>140.0</v>
      </c>
      <c r="B261" s="56" t="s">
        <v>570</v>
      </c>
      <c r="C261" s="88" t="s">
        <v>449</v>
      </c>
      <c r="D261" s="56" t="s">
        <v>571</v>
      </c>
      <c r="E261" s="56" t="s">
        <v>167</v>
      </c>
      <c r="F261" s="57" t="s">
        <v>154</v>
      </c>
      <c r="G261" s="61"/>
      <c r="H261" s="53"/>
    </row>
    <row r="262" ht="24.75" hidden="1" customHeight="1">
      <c r="A262" s="54">
        <v>140.0</v>
      </c>
      <c r="B262" s="56" t="s">
        <v>570</v>
      </c>
      <c r="C262" s="88" t="s">
        <v>449</v>
      </c>
      <c r="D262" s="56" t="s">
        <v>571</v>
      </c>
      <c r="E262" s="56" t="s">
        <v>176</v>
      </c>
      <c r="F262" s="57" t="s">
        <v>154</v>
      </c>
      <c r="G262" s="61"/>
      <c r="H262" s="53"/>
    </row>
    <row r="263" ht="24.75" hidden="1" customHeight="1">
      <c r="A263" s="54" t="s">
        <v>572</v>
      </c>
      <c r="B263" s="56" t="s">
        <v>573</v>
      </c>
      <c r="C263" s="56" t="s">
        <v>574</v>
      </c>
      <c r="D263" s="56" t="s">
        <v>575</v>
      </c>
      <c r="E263" s="56" t="s">
        <v>239</v>
      </c>
      <c r="F263" s="57" t="s">
        <v>154</v>
      </c>
      <c r="G263" s="61"/>
      <c r="H263" s="53"/>
    </row>
    <row r="264" ht="24.75" hidden="1" customHeight="1">
      <c r="A264" s="54" t="s">
        <v>572</v>
      </c>
      <c r="B264" s="56" t="s">
        <v>576</v>
      </c>
      <c r="C264" s="56" t="s">
        <v>574</v>
      </c>
      <c r="D264" s="56" t="s">
        <v>577</v>
      </c>
      <c r="E264" s="56" t="s">
        <v>578</v>
      </c>
      <c r="F264" s="57" t="s">
        <v>154</v>
      </c>
      <c r="G264" s="61"/>
      <c r="H264" s="53"/>
    </row>
    <row r="265" ht="24.75" hidden="1" customHeight="1">
      <c r="A265" s="54" t="s">
        <v>572</v>
      </c>
      <c r="B265" s="56" t="s">
        <v>576</v>
      </c>
      <c r="C265" s="56" t="s">
        <v>574</v>
      </c>
      <c r="D265" s="56" t="s">
        <v>577</v>
      </c>
      <c r="E265" s="56" t="s">
        <v>196</v>
      </c>
      <c r="F265" s="57" t="s">
        <v>154</v>
      </c>
      <c r="G265" s="61"/>
      <c r="H265" s="53"/>
    </row>
    <row r="266" ht="24.75" hidden="1" customHeight="1">
      <c r="A266" s="54" t="s">
        <v>572</v>
      </c>
      <c r="B266" s="56" t="s">
        <v>579</v>
      </c>
      <c r="C266" s="56" t="s">
        <v>574</v>
      </c>
      <c r="D266" s="56" t="s">
        <v>580</v>
      </c>
      <c r="E266" s="56" t="s">
        <v>578</v>
      </c>
      <c r="F266" s="57" t="s">
        <v>154</v>
      </c>
      <c r="G266" s="61"/>
      <c r="H266" s="53"/>
    </row>
    <row r="267" ht="24.75" hidden="1" customHeight="1">
      <c r="A267" s="54" t="s">
        <v>572</v>
      </c>
      <c r="B267" s="56" t="s">
        <v>579</v>
      </c>
      <c r="C267" s="56" t="s">
        <v>574</v>
      </c>
      <c r="D267" s="56" t="s">
        <v>580</v>
      </c>
      <c r="E267" s="56" t="s">
        <v>196</v>
      </c>
      <c r="F267" s="57" t="s">
        <v>154</v>
      </c>
      <c r="G267" s="61"/>
      <c r="H267" s="53"/>
    </row>
    <row r="268" ht="24.75" hidden="1" customHeight="1">
      <c r="A268" s="54" t="s">
        <v>572</v>
      </c>
      <c r="B268" s="56" t="s">
        <v>582</v>
      </c>
      <c r="C268" s="56" t="s">
        <v>583</v>
      </c>
      <c r="D268" s="56" t="s">
        <v>584</v>
      </c>
      <c r="E268" s="56" t="s">
        <v>585</v>
      </c>
      <c r="F268" s="57" t="s">
        <v>154</v>
      </c>
      <c r="G268" s="61"/>
      <c r="H268" s="53"/>
    </row>
    <row r="269" ht="24.75" hidden="1" customHeight="1">
      <c r="A269" s="54" t="s">
        <v>572</v>
      </c>
      <c r="B269" s="56" t="s">
        <v>586</v>
      </c>
      <c r="C269" s="56" t="s">
        <v>583</v>
      </c>
      <c r="D269" s="56" t="s">
        <v>587</v>
      </c>
      <c r="E269" s="56" t="s">
        <v>588</v>
      </c>
      <c r="F269" s="57" t="s">
        <v>154</v>
      </c>
      <c r="G269" s="61"/>
      <c r="H269" s="53"/>
    </row>
    <row r="270" ht="24.75" hidden="1" customHeight="1">
      <c r="A270" s="54" t="s">
        <v>572</v>
      </c>
      <c r="B270" s="56" t="s">
        <v>586</v>
      </c>
      <c r="C270" s="56" t="s">
        <v>583</v>
      </c>
      <c r="D270" s="56" t="s">
        <v>587</v>
      </c>
      <c r="E270" s="56" t="s">
        <v>589</v>
      </c>
      <c r="F270" s="57" t="s">
        <v>154</v>
      </c>
      <c r="G270" s="61"/>
      <c r="H270" s="53"/>
    </row>
    <row r="271" ht="24.75" hidden="1" customHeight="1">
      <c r="A271" s="54" t="s">
        <v>572</v>
      </c>
      <c r="B271" s="56" t="s">
        <v>586</v>
      </c>
      <c r="C271" s="56" t="s">
        <v>583</v>
      </c>
      <c r="D271" s="56" t="s">
        <v>587</v>
      </c>
      <c r="E271" s="56" t="s">
        <v>590</v>
      </c>
      <c r="F271" s="57" t="s">
        <v>154</v>
      </c>
      <c r="G271" s="61"/>
      <c r="H271" s="53"/>
    </row>
    <row r="272" ht="24.75" hidden="1" customHeight="1">
      <c r="A272" s="54" t="s">
        <v>572</v>
      </c>
      <c r="B272" s="56" t="s">
        <v>591</v>
      </c>
      <c r="C272" s="56" t="s">
        <v>574</v>
      </c>
      <c r="D272" s="56" t="s">
        <v>594</v>
      </c>
      <c r="E272" s="56" t="s">
        <v>239</v>
      </c>
      <c r="F272" s="57" t="s">
        <v>154</v>
      </c>
      <c r="G272" s="61"/>
      <c r="H272" s="53"/>
    </row>
    <row r="273" ht="24.75" hidden="1" customHeight="1">
      <c r="A273" s="54" t="s">
        <v>572</v>
      </c>
      <c r="B273" s="56" t="s">
        <v>595</v>
      </c>
      <c r="C273" s="56" t="s">
        <v>574</v>
      </c>
      <c r="D273" s="56" t="s">
        <v>577</v>
      </c>
      <c r="E273" s="56" t="s">
        <v>578</v>
      </c>
      <c r="F273" s="57" t="s">
        <v>154</v>
      </c>
      <c r="G273" s="61"/>
      <c r="H273" s="53"/>
    </row>
    <row r="274" ht="24.75" hidden="1" customHeight="1">
      <c r="A274" s="54" t="s">
        <v>572</v>
      </c>
      <c r="B274" s="56" t="s">
        <v>595</v>
      </c>
      <c r="C274" s="56" t="s">
        <v>574</v>
      </c>
      <c r="D274" s="56" t="s">
        <v>577</v>
      </c>
      <c r="E274" s="56" t="s">
        <v>196</v>
      </c>
      <c r="F274" s="57" t="s">
        <v>154</v>
      </c>
      <c r="G274" s="61"/>
      <c r="H274" s="53"/>
    </row>
    <row r="275" ht="24.75" hidden="1" customHeight="1">
      <c r="A275" s="54" t="s">
        <v>572</v>
      </c>
      <c r="B275" s="56" t="s">
        <v>596</v>
      </c>
      <c r="C275" s="56" t="s">
        <v>574</v>
      </c>
      <c r="D275" s="56" t="s">
        <v>597</v>
      </c>
      <c r="E275" s="56" t="s">
        <v>239</v>
      </c>
      <c r="F275" s="57" t="s">
        <v>154</v>
      </c>
      <c r="G275" s="61"/>
      <c r="H275" s="53"/>
    </row>
    <row r="276" ht="24.75" hidden="1" customHeight="1">
      <c r="A276" s="54" t="s">
        <v>572</v>
      </c>
      <c r="B276" s="56" t="s">
        <v>598</v>
      </c>
      <c r="C276" s="56" t="s">
        <v>574</v>
      </c>
      <c r="D276" s="56" t="s">
        <v>577</v>
      </c>
      <c r="E276" s="56" t="s">
        <v>578</v>
      </c>
      <c r="F276" s="57" t="s">
        <v>154</v>
      </c>
      <c r="G276" s="61"/>
      <c r="H276" s="53"/>
    </row>
    <row r="277" ht="24.75" hidden="1" customHeight="1">
      <c r="A277" s="54" t="s">
        <v>572</v>
      </c>
      <c r="B277" s="56" t="s">
        <v>598</v>
      </c>
      <c r="C277" s="56" t="s">
        <v>574</v>
      </c>
      <c r="D277" s="56" t="s">
        <v>577</v>
      </c>
      <c r="E277" s="56" t="s">
        <v>196</v>
      </c>
      <c r="F277" s="57" t="s">
        <v>154</v>
      </c>
      <c r="G277" s="61"/>
      <c r="H277" s="53"/>
    </row>
    <row r="278" ht="24.75" hidden="1" customHeight="1">
      <c r="A278" s="54" t="s">
        <v>289</v>
      </c>
      <c r="B278" s="56" t="s">
        <v>599</v>
      </c>
      <c r="C278" s="56" t="s">
        <v>291</v>
      </c>
      <c r="D278" s="56" t="s">
        <v>600</v>
      </c>
      <c r="E278" s="56" t="s">
        <v>163</v>
      </c>
      <c r="F278" s="57" t="s">
        <v>154</v>
      </c>
      <c r="G278" s="61"/>
      <c r="H278" s="53"/>
    </row>
    <row r="279" ht="24.75" hidden="1" customHeight="1">
      <c r="A279" s="54" t="s">
        <v>289</v>
      </c>
      <c r="B279" s="56" t="s">
        <v>290</v>
      </c>
      <c r="C279" s="56" t="s">
        <v>291</v>
      </c>
      <c r="D279" s="56" t="s">
        <v>292</v>
      </c>
      <c r="E279" s="56" t="s">
        <v>196</v>
      </c>
      <c r="F279" s="57" t="s">
        <v>192</v>
      </c>
      <c r="G279" s="61"/>
      <c r="H279" s="53"/>
    </row>
    <row r="280" ht="24.75" hidden="1" customHeight="1">
      <c r="A280" s="54" t="s">
        <v>289</v>
      </c>
      <c r="B280" s="56" t="s">
        <v>290</v>
      </c>
      <c r="C280" s="56" t="s">
        <v>291</v>
      </c>
      <c r="D280" s="56" t="s">
        <v>292</v>
      </c>
      <c r="E280" s="56" t="s">
        <v>601</v>
      </c>
      <c r="F280" s="57" t="s">
        <v>154</v>
      </c>
      <c r="G280" s="61"/>
      <c r="H280" s="53"/>
    </row>
    <row r="281" ht="24.75" customHeight="1">
      <c r="A281" s="54">
        <v>140.0</v>
      </c>
      <c r="B281" s="56" t="s">
        <v>602</v>
      </c>
      <c r="C281" s="56" t="s">
        <v>500</v>
      </c>
      <c r="D281" s="56" t="s">
        <v>603</v>
      </c>
      <c r="E281" s="56" t="s">
        <v>272</v>
      </c>
      <c r="F281" s="57" t="s">
        <v>15</v>
      </c>
      <c r="G281" s="61"/>
      <c r="H281" s="75"/>
      <c r="I281" s="78"/>
      <c r="J281" s="78"/>
      <c r="K281" s="78"/>
      <c r="L281" s="78"/>
    </row>
    <row r="282" ht="24.75" customHeight="1">
      <c r="A282" s="54">
        <v>140.0</v>
      </c>
      <c r="B282" s="56" t="s">
        <v>566</v>
      </c>
      <c r="C282" s="56" t="s">
        <v>500</v>
      </c>
      <c r="D282" s="56" t="s">
        <v>604</v>
      </c>
      <c r="E282" s="56" t="s">
        <v>272</v>
      </c>
      <c r="F282" s="57" t="s">
        <v>15</v>
      </c>
      <c r="G282" s="61"/>
      <c r="H282" s="75"/>
      <c r="I282" s="78"/>
      <c r="J282" s="78"/>
      <c r="K282" s="78"/>
      <c r="L282" s="78"/>
    </row>
    <row r="283" ht="24.75" hidden="1" customHeight="1">
      <c r="A283" s="54" t="s">
        <v>289</v>
      </c>
      <c r="B283" s="56" t="s">
        <v>605</v>
      </c>
      <c r="C283" s="56" t="s">
        <v>606</v>
      </c>
      <c r="D283" s="56" t="s">
        <v>607</v>
      </c>
      <c r="E283" s="56" t="s">
        <v>608</v>
      </c>
      <c r="F283" s="57" t="s">
        <v>154</v>
      </c>
      <c r="G283" s="61"/>
      <c r="H283" s="53"/>
    </row>
    <row r="284" ht="24.75" hidden="1" customHeight="1">
      <c r="A284" s="54" t="s">
        <v>289</v>
      </c>
      <c r="B284" s="56" t="s">
        <v>609</v>
      </c>
      <c r="C284" s="56" t="s">
        <v>610</v>
      </c>
      <c r="D284" s="56" t="s">
        <v>611</v>
      </c>
      <c r="E284" s="56" t="s">
        <v>612</v>
      </c>
      <c r="F284" s="57" t="s">
        <v>34</v>
      </c>
      <c r="G284" s="61"/>
      <c r="H284" s="53"/>
    </row>
    <row r="285" ht="24.75" hidden="1" customHeight="1">
      <c r="A285" s="54" t="s">
        <v>289</v>
      </c>
      <c r="B285" s="56" t="s">
        <v>609</v>
      </c>
      <c r="C285" s="56" t="s">
        <v>610</v>
      </c>
      <c r="D285" s="56" t="s">
        <v>611</v>
      </c>
      <c r="E285" s="56" t="s">
        <v>613</v>
      </c>
      <c r="F285" s="57" t="s">
        <v>34</v>
      </c>
      <c r="G285" s="61"/>
      <c r="H285" s="53"/>
    </row>
    <row r="286" ht="24.75" hidden="1" customHeight="1">
      <c r="A286" s="54" t="s">
        <v>289</v>
      </c>
      <c r="B286" s="56" t="s">
        <v>609</v>
      </c>
      <c r="C286" s="56" t="s">
        <v>610</v>
      </c>
      <c r="D286" s="56" t="s">
        <v>611</v>
      </c>
      <c r="E286" s="56" t="s">
        <v>614</v>
      </c>
      <c r="F286" s="57" t="s">
        <v>34</v>
      </c>
      <c r="G286" s="61"/>
      <c r="H286" s="53"/>
    </row>
    <row r="287" ht="24.75" hidden="1" customHeight="1">
      <c r="A287" s="54" t="s">
        <v>289</v>
      </c>
      <c r="B287" s="56" t="s">
        <v>609</v>
      </c>
      <c r="C287" s="56" t="s">
        <v>610</v>
      </c>
      <c r="D287" s="56" t="s">
        <v>611</v>
      </c>
      <c r="E287" s="56" t="s">
        <v>616</v>
      </c>
      <c r="F287" s="57" t="s">
        <v>154</v>
      </c>
      <c r="G287" s="61"/>
      <c r="H287" s="53"/>
    </row>
    <row r="288" ht="24.75" hidden="1" customHeight="1">
      <c r="A288" s="54" t="s">
        <v>289</v>
      </c>
      <c r="B288" s="56" t="s">
        <v>609</v>
      </c>
      <c r="C288" s="56" t="s">
        <v>610</v>
      </c>
      <c r="D288" s="56" t="s">
        <v>611</v>
      </c>
      <c r="E288" s="80" t="s">
        <v>618</v>
      </c>
      <c r="F288" s="57" t="s">
        <v>154</v>
      </c>
      <c r="G288" s="61"/>
      <c r="H288" s="53"/>
    </row>
    <row r="289" ht="24.75" hidden="1" customHeight="1">
      <c r="A289" s="54" t="s">
        <v>289</v>
      </c>
      <c r="B289" s="56" t="s">
        <v>619</v>
      </c>
      <c r="C289" s="56" t="s">
        <v>610</v>
      </c>
      <c r="D289" s="56" t="s">
        <v>620</v>
      </c>
      <c r="E289" s="56" t="s">
        <v>196</v>
      </c>
      <c r="F289" s="57" t="s">
        <v>192</v>
      </c>
      <c r="G289" s="61"/>
      <c r="H289" s="53"/>
    </row>
    <row r="290" ht="24.75" hidden="1" customHeight="1">
      <c r="A290" s="54" t="s">
        <v>289</v>
      </c>
      <c r="B290" s="56" t="s">
        <v>619</v>
      </c>
      <c r="C290" s="56" t="s">
        <v>610</v>
      </c>
      <c r="D290" s="56" t="s">
        <v>620</v>
      </c>
      <c r="E290" s="56" t="s">
        <v>621</v>
      </c>
      <c r="F290" s="57" t="s">
        <v>192</v>
      </c>
      <c r="G290" s="61"/>
      <c r="H290" s="53"/>
    </row>
    <row r="291" ht="24.75" hidden="1" customHeight="1">
      <c r="A291" s="54" t="s">
        <v>289</v>
      </c>
      <c r="B291" s="56" t="s">
        <v>619</v>
      </c>
      <c r="C291" s="56" t="s">
        <v>610</v>
      </c>
      <c r="D291" s="56" t="s">
        <v>620</v>
      </c>
      <c r="E291" s="56" t="s">
        <v>622</v>
      </c>
      <c r="F291" s="57" t="s">
        <v>154</v>
      </c>
      <c r="G291" s="61"/>
      <c r="H291" s="53"/>
    </row>
    <row r="292" ht="24.75" hidden="1" customHeight="1">
      <c r="A292" s="54" t="s">
        <v>289</v>
      </c>
      <c r="B292" s="56" t="s">
        <v>623</v>
      </c>
      <c r="C292" s="56" t="s">
        <v>624</v>
      </c>
      <c r="D292" s="56" t="s">
        <v>611</v>
      </c>
      <c r="E292" s="56" t="s">
        <v>612</v>
      </c>
      <c r="F292" s="57" t="s">
        <v>34</v>
      </c>
      <c r="G292" s="61"/>
      <c r="H292" s="53"/>
    </row>
    <row r="293" ht="24.75" hidden="1" customHeight="1">
      <c r="A293" s="54" t="s">
        <v>289</v>
      </c>
      <c r="B293" s="56" t="s">
        <v>623</v>
      </c>
      <c r="C293" s="56" t="s">
        <v>624</v>
      </c>
      <c r="D293" s="56" t="s">
        <v>611</v>
      </c>
      <c r="E293" s="56" t="s">
        <v>613</v>
      </c>
      <c r="F293" s="57" t="s">
        <v>34</v>
      </c>
      <c r="G293" s="61"/>
      <c r="H293" s="53"/>
    </row>
    <row r="294" ht="24.75" hidden="1" customHeight="1">
      <c r="A294" s="54" t="s">
        <v>289</v>
      </c>
      <c r="B294" s="56" t="s">
        <v>623</v>
      </c>
      <c r="C294" s="56" t="s">
        <v>624</v>
      </c>
      <c r="D294" s="56" t="s">
        <v>611</v>
      </c>
      <c r="E294" s="56" t="s">
        <v>614</v>
      </c>
      <c r="F294" s="57" t="s">
        <v>34</v>
      </c>
      <c r="G294" s="61"/>
      <c r="H294" s="53"/>
    </row>
    <row r="295" ht="24.75" hidden="1" customHeight="1">
      <c r="A295" s="54" t="s">
        <v>289</v>
      </c>
      <c r="B295" s="56" t="s">
        <v>623</v>
      </c>
      <c r="C295" s="56" t="s">
        <v>624</v>
      </c>
      <c r="D295" s="56" t="s">
        <v>611</v>
      </c>
      <c r="E295" s="56" t="s">
        <v>616</v>
      </c>
      <c r="F295" s="57" t="s">
        <v>154</v>
      </c>
      <c r="G295" s="61"/>
      <c r="H295" s="53"/>
    </row>
    <row r="296" ht="24.75" hidden="1" customHeight="1">
      <c r="A296" s="54" t="s">
        <v>289</v>
      </c>
      <c r="B296" s="56" t="s">
        <v>623</v>
      </c>
      <c r="C296" s="56" t="s">
        <v>624</v>
      </c>
      <c r="D296" s="56" t="s">
        <v>611</v>
      </c>
      <c r="E296" s="80" t="s">
        <v>618</v>
      </c>
      <c r="F296" s="57" t="s">
        <v>154</v>
      </c>
      <c r="G296" s="61"/>
      <c r="H296" s="53"/>
    </row>
    <row r="297" ht="24.75" hidden="1" customHeight="1">
      <c r="A297" s="54" t="s">
        <v>289</v>
      </c>
      <c r="B297" s="56" t="s">
        <v>625</v>
      </c>
      <c r="C297" s="56" t="s">
        <v>624</v>
      </c>
      <c r="D297" s="56" t="s">
        <v>620</v>
      </c>
      <c r="E297" s="56" t="s">
        <v>196</v>
      </c>
      <c r="F297" s="57" t="s">
        <v>192</v>
      </c>
      <c r="G297" s="61"/>
      <c r="H297" s="53"/>
    </row>
    <row r="298" ht="24.75" hidden="1" customHeight="1">
      <c r="A298" s="54" t="s">
        <v>289</v>
      </c>
      <c r="B298" s="56" t="s">
        <v>625</v>
      </c>
      <c r="C298" s="56" t="s">
        <v>624</v>
      </c>
      <c r="D298" s="56" t="s">
        <v>620</v>
      </c>
      <c r="E298" s="56" t="s">
        <v>621</v>
      </c>
      <c r="F298" s="57" t="s">
        <v>192</v>
      </c>
      <c r="G298" s="61"/>
      <c r="H298" s="53"/>
    </row>
    <row r="299" ht="24.75" hidden="1" customHeight="1">
      <c r="A299" s="54" t="s">
        <v>289</v>
      </c>
      <c r="B299" s="56" t="s">
        <v>625</v>
      </c>
      <c r="C299" s="56" t="s">
        <v>624</v>
      </c>
      <c r="D299" s="56" t="s">
        <v>620</v>
      </c>
      <c r="E299" s="56" t="s">
        <v>622</v>
      </c>
      <c r="F299" s="57" t="s">
        <v>154</v>
      </c>
      <c r="G299" s="61"/>
      <c r="H299" s="53"/>
    </row>
    <row r="300" ht="24.75" hidden="1" customHeight="1">
      <c r="A300" s="54" t="s">
        <v>289</v>
      </c>
      <c r="B300" s="56" t="s">
        <v>626</v>
      </c>
      <c r="C300" s="56" t="s">
        <v>627</v>
      </c>
      <c r="D300" s="56" t="s">
        <v>611</v>
      </c>
      <c r="E300" s="56" t="s">
        <v>612</v>
      </c>
      <c r="F300" s="57" t="s">
        <v>34</v>
      </c>
      <c r="G300" s="61"/>
      <c r="H300" s="53"/>
    </row>
    <row r="301" ht="24.75" hidden="1" customHeight="1">
      <c r="A301" s="54" t="s">
        <v>289</v>
      </c>
      <c r="B301" s="56" t="s">
        <v>626</v>
      </c>
      <c r="C301" s="56" t="s">
        <v>627</v>
      </c>
      <c r="D301" s="56" t="s">
        <v>611</v>
      </c>
      <c r="E301" s="56" t="s">
        <v>613</v>
      </c>
      <c r="F301" s="57" t="s">
        <v>34</v>
      </c>
      <c r="G301" s="61"/>
      <c r="H301" s="53"/>
    </row>
    <row r="302" ht="24.75" hidden="1" customHeight="1">
      <c r="A302" s="54" t="s">
        <v>289</v>
      </c>
      <c r="B302" s="56" t="s">
        <v>626</v>
      </c>
      <c r="C302" s="56" t="s">
        <v>627</v>
      </c>
      <c r="D302" s="56" t="s">
        <v>611</v>
      </c>
      <c r="E302" s="56" t="s">
        <v>614</v>
      </c>
      <c r="F302" s="57" t="s">
        <v>34</v>
      </c>
      <c r="G302" s="61"/>
      <c r="H302" s="53"/>
    </row>
    <row r="303" ht="24.75" hidden="1" customHeight="1">
      <c r="A303" s="54" t="s">
        <v>289</v>
      </c>
      <c r="B303" s="56" t="s">
        <v>626</v>
      </c>
      <c r="C303" s="56" t="s">
        <v>627</v>
      </c>
      <c r="D303" s="56" t="s">
        <v>611</v>
      </c>
      <c r="E303" s="56" t="s">
        <v>616</v>
      </c>
      <c r="F303" s="57" t="s">
        <v>154</v>
      </c>
      <c r="G303" s="61"/>
      <c r="H303" s="53"/>
    </row>
    <row r="304" ht="24.75" hidden="1" customHeight="1">
      <c r="A304" s="54" t="s">
        <v>289</v>
      </c>
      <c r="B304" s="56" t="s">
        <v>626</v>
      </c>
      <c r="C304" s="56" t="s">
        <v>627</v>
      </c>
      <c r="D304" s="56" t="s">
        <v>611</v>
      </c>
      <c r="E304" s="56" t="s">
        <v>618</v>
      </c>
      <c r="F304" s="57" t="s">
        <v>154</v>
      </c>
      <c r="G304" s="61"/>
      <c r="H304" s="53"/>
    </row>
    <row r="305" ht="24.75" hidden="1" customHeight="1">
      <c r="A305" s="54" t="s">
        <v>289</v>
      </c>
      <c r="B305" s="56" t="s">
        <v>628</v>
      </c>
      <c r="C305" s="56" t="s">
        <v>627</v>
      </c>
      <c r="D305" s="56" t="s">
        <v>620</v>
      </c>
      <c r="E305" s="56" t="s">
        <v>196</v>
      </c>
      <c r="F305" s="57" t="s">
        <v>192</v>
      </c>
      <c r="G305" s="61"/>
      <c r="H305" s="53"/>
    </row>
    <row r="306" ht="24.75" hidden="1" customHeight="1">
      <c r="A306" s="54" t="s">
        <v>289</v>
      </c>
      <c r="B306" s="56" t="s">
        <v>628</v>
      </c>
      <c r="C306" s="56" t="s">
        <v>627</v>
      </c>
      <c r="D306" s="56" t="s">
        <v>620</v>
      </c>
      <c r="E306" s="56" t="s">
        <v>621</v>
      </c>
      <c r="F306" s="57" t="s">
        <v>192</v>
      </c>
      <c r="G306" s="61"/>
      <c r="H306" s="53"/>
    </row>
    <row r="307" ht="24.75" hidden="1" customHeight="1">
      <c r="A307" s="54" t="s">
        <v>289</v>
      </c>
      <c r="B307" s="56" t="s">
        <v>628</v>
      </c>
      <c r="C307" s="56" t="s">
        <v>627</v>
      </c>
      <c r="D307" s="56" t="s">
        <v>620</v>
      </c>
      <c r="E307" s="56" t="s">
        <v>622</v>
      </c>
      <c r="F307" s="57" t="s">
        <v>154</v>
      </c>
      <c r="G307" s="61"/>
      <c r="H307" s="53"/>
    </row>
    <row r="308" ht="24.75" hidden="1" customHeight="1">
      <c r="A308" s="54" t="s">
        <v>289</v>
      </c>
      <c r="B308" s="56" t="s">
        <v>629</v>
      </c>
      <c r="C308" s="56" t="s">
        <v>627</v>
      </c>
      <c r="D308" s="56" t="s">
        <v>631</v>
      </c>
      <c r="E308" s="56" t="s">
        <v>191</v>
      </c>
      <c r="F308" s="57" t="s">
        <v>192</v>
      </c>
      <c r="G308" s="61"/>
      <c r="H308" s="53"/>
    </row>
    <row r="309" ht="24.75" hidden="1" customHeight="1">
      <c r="A309" s="54" t="s">
        <v>289</v>
      </c>
      <c r="B309" s="56" t="s">
        <v>629</v>
      </c>
      <c r="C309" s="56" t="s">
        <v>627</v>
      </c>
      <c r="D309" s="56" t="s">
        <v>631</v>
      </c>
      <c r="E309" s="56" t="s">
        <v>632</v>
      </c>
      <c r="F309" s="57" t="s">
        <v>34</v>
      </c>
      <c r="G309" s="61"/>
      <c r="H309" s="53"/>
    </row>
    <row r="310" ht="24.75" hidden="1" customHeight="1">
      <c r="A310" s="54" t="s">
        <v>289</v>
      </c>
      <c r="B310" s="56" t="s">
        <v>629</v>
      </c>
      <c r="C310" s="56" t="s">
        <v>627</v>
      </c>
      <c r="D310" s="56" t="s">
        <v>631</v>
      </c>
      <c r="E310" s="56" t="s">
        <v>633</v>
      </c>
      <c r="F310" s="57" t="s">
        <v>154</v>
      </c>
      <c r="G310" s="61"/>
      <c r="H310" s="53"/>
    </row>
    <row r="311" ht="24.75" hidden="1" customHeight="1">
      <c r="A311" s="54" t="s">
        <v>289</v>
      </c>
      <c r="B311" s="56" t="s">
        <v>629</v>
      </c>
      <c r="C311" s="56" t="s">
        <v>627</v>
      </c>
      <c r="D311" s="56" t="s">
        <v>631</v>
      </c>
      <c r="E311" s="56" t="s">
        <v>196</v>
      </c>
      <c r="F311" s="57" t="s">
        <v>154</v>
      </c>
      <c r="G311" s="61"/>
      <c r="H311" s="53"/>
    </row>
    <row r="312" ht="24.75" hidden="1" customHeight="1">
      <c r="A312" s="54" t="s">
        <v>289</v>
      </c>
      <c r="B312" s="56" t="s">
        <v>635</v>
      </c>
      <c r="C312" s="56" t="s">
        <v>627</v>
      </c>
      <c r="D312" s="56" t="s">
        <v>636</v>
      </c>
      <c r="E312" s="56" t="s">
        <v>191</v>
      </c>
      <c r="F312" s="57" t="s">
        <v>192</v>
      </c>
      <c r="G312" s="61"/>
      <c r="H312" s="53"/>
    </row>
    <row r="313" ht="24.75" hidden="1" customHeight="1">
      <c r="A313" s="54" t="s">
        <v>289</v>
      </c>
      <c r="B313" s="56" t="s">
        <v>635</v>
      </c>
      <c r="C313" s="56" t="s">
        <v>627</v>
      </c>
      <c r="D313" s="56" t="s">
        <v>636</v>
      </c>
      <c r="E313" s="56" t="s">
        <v>632</v>
      </c>
      <c r="F313" s="57" t="s">
        <v>34</v>
      </c>
      <c r="G313" s="61"/>
      <c r="H313" s="53"/>
    </row>
    <row r="314" ht="24.75" hidden="1" customHeight="1">
      <c r="A314" s="54" t="s">
        <v>289</v>
      </c>
      <c r="B314" s="56" t="s">
        <v>635</v>
      </c>
      <c r="C314" s="56" t="s">
        <v>627</v>
      </c>
      <c r="D314" s="56" t="s">
        <v>636</v>
      </c>
      <c r="E314" s="56" t="s">
        <v>633</v>
      </c>
      <c r="F314" s="57" t="s">
        <v>154</v>
      </c>
      <c r="G314" s="61"/>
      <c r="H314" s="53"/>
    </row>
    <row r="315" ht="24.75" hidden="1" customHeight="1">
      <c r="A315" s="54" t="s">
        <v>289</v>
      </c>
      <c r="B315" s="56" t="s">
        <v>635</v>
      </c>
      <c r="C315" s="56" t="s">
        <v>627</v>
      </c>
      <c r="D315" s="56" t="s">
        <v>636</v>
      </c>
      <c r="E315" s="56" t="s">
        <v>196</v>
      </c>
      <c r="F315" s="57" t="s">
        <v>154</v>
      </c>
      <c r="G315" s="61"/>
      <c r="H315" s="53"/>
    </row>
    <row r="316" ht="24.75" hidden="1" customHeight="1">
      <c r="A316" s="54" t="s">
        <v>289</v>
      </c>
      <c r="B316" s="56" t="s">
        <v>639</v>
      </c>
      <c r="C316" s="56" t="s">
        <v>640</v>
      </c>
      <c r="D316" s="56" t="s">
        <v>611</v>
      </c>
      <c r="E316" s="56" t="s">
        <v>612</v>
      </c>
      <c r="F316" s="57" t="s">
        <v>34</v>
      </c>
      <c r="G316" s="61"/>
      <c r="H316" s="53"/>
    </row>
    <row r="317" ht="24.75" hidden="1" customHeight="1">
      <c r="A317" s="54" t="s">
        <v>289</v>
      </c>
      <c r="B317" s="56" t="s">
        <v>639</v>
      </c>
      <c r="C317" s="56" t="s">
        <v>640</v>
      </c>
      <c r="D317" s="56" t="s">
        <v>611</v>
      </c>
      <c r="E317" s="56" t="s">
        <v>613</v>
      </c>
      <c r="F317" s="57" t="s">
        <v>34</v>
      </c>
      <c r="G317" s="61"/>
      <c r="H317" s="53"/>
    </row>
    <row r="318" ht="24.75" hidden="1" customHeight="1">
      <c r="A318" s="54" t="s">
        <v>289</v>
      </c>
      <c r="B318" s="56" t="s">
        <v>639</v>
      </c>
      <c r="C318" s="56" t="s">
        <v>640</v>
      </c>
      <c r="D318" s="56" t="s">
        <v>611</v>
      </c>
      <c r="E318" s="56" t="s">
        <v>614</v>
      </c>
      <c r="F318" s="57" t="s">
        <v>34</v>
      </c>
      <c r="G318" s="61"/>
      <c r="H318" s="53"/>
    </row>
    <row r="319" ht="24.75" hidden="1" customHeight="1">
      <c r="A319" s="54" t="s">
        <v>289</v>
      </c>
      <c r="B319" s="56" t="s">
        <v>639</v>
      </c>
      <c r="C319" s="56" t="s">
        <v>640</v>
      </c>
      <c r="D319" s="56" t="s">
        <v>611</v>
      </c>
      <c r="E319" s="56" t="s">
        <v>616</v>
      </c>
      <c r="F319" s="57" t="s">
        <v>154</v>
      </c>
      <c r="G319" s="61"/>
      <c r="H319" s="53"/>
    </row>
    <row r="320" ht="24.75" hidden="1" customHeight="1">
      <c r="A320" s="54" t="s">
        <v>289</v>
      </c>
      <c r="B320" s="56" t="s">
        <v>639</v>
      </c>
      <c r="C320" s="56" t="s">
        <v>640</v>
      </c>
      <c r="D320" s="56" t="s">
        <v>611</v>
      </c>
      <c r="E320" s="56" t="s">
        <v>618</v>
      </c>
      <c r="F320" s="57" t="s">
        <v>154</v>
      </c>
      <c r="G320" s="61"/>
      <c r="H320" s="53"/>
    </row>
    <row r="321" ht="24.75" hidden="1" customHeight="1">
      <c r="A321" s="54" t="s">
        <v>289</v>
      </c>
      <c r="B321" s="56" t="s">
        <v>641</v>
      </c>
      <c r="C321" s="56" t="s">
        <v>640</v>
      </c>
      <c r="D321" s="56" t="s">
        <v>620</v>
      </c>
      <c r="E321" s="56" t="s">
        <v>196</v>
      </c>
      <c r="F321" s="57" t="s">
        <v>192</v>
      </c>
      <c r="G321" s="61"/>
      <c r="H321" s="53"/>
    </row>
    <row r="322" ht="24.75" hidden="1" customHeight="1">
      <c r="A322" s="54" t="s">
        <v>289</v>
      </c>
      <c r="B322" s="56" t="s">
        <v>641</v>
      </c>
      <c r="C322" s="56" t="s">
        <v>640</v>
      </c>
      <c r="D322" s="56" t="s">
        <v>620</v>
      </c>
      <c r="E322" s="56" t="s">
        <v>621</v>
      </c>
      <c r="F322" s="57" t="s">
        <v>192</v>
      </c>
      <c r="G322" s="61"/>
      <c r="H322" s="53"/>
    </row>
    <row r="323" ht="24.75" hidden="1" customHeight="1">
      <c r="A323" s="54" t="s">
        <v>289</v>
      </c>
      <c r="B323" s="56" t="s">
        <v>641</v>
      </c>
      <c r="C323" s="56" t="s">
        <v>640</v>
      </c>
      <c r="D323" s="56" t="s">
        <v>620</v>
      </c>
      <c r="E323" s="56" t="s">
        <v>622</v>
      </c>
      <c r="F323" s="57" t="s">
        <v>154</v>
      </c>
      <c r="G323" s="61"/>
      <c r="H323" s="53"/>
    </row>
    <row r="324" ht="24.75" hidden="1" customHeight="1">
      <c r="A324" s="54" t="s">
        <v>289</v>
      </c>
      <c r="B324" s="56" t="s">
        <v>642</v>
      </c>
      <c r="C324" s="56" t="s">
        <v>640</v>
      </c>
      <c r="D324" s="56" t="s">
        <v>631</v>
      </c>
      <c r="E324" s="56" t="s">
        <v>191</v>
      </c>
      <c r="F324" s="57" t="s">
        <v>192</v>
      </c>
      <c r="G324" s="61"/>
      <c r="H324" s="53"/>
    </row>
    <row r="325" ht="24.75" hidden="1" customHeight="1">
      <c r="A325" s="54" t="s">
        <v>289</v>
      </c>
      <c r="B325" s="56" t="s">
        <v>642</v>
      </c>
      <c r="C325" s="56" t="s">
        <v>640</v>
      </c>
      <c r="D325" s="56" t="s">
        <v>631</v>
      </c>
      <c r="E325" s="56" t="s">
        <v>632</v>
      </c>
      <c r="F325" s="57" t="s">
        <v>34</v>
      </c>
      <c r="G325" s="61"/>
      <c r="H325" s="53"/>
    </row>
    <row r="326" ht="24.75" hidden="1" customHeight="1">
      <c r="A326" s="54" t="s">
        <v>289</v>
      </c>
      <c r="B326" s="56" t="s">
        <v>642</v>
      </c>
      <c r="C326" s="56" t="s">
        <v>640</v>
      </c>
      <c r="D326" s="56" t="s">
        <v>631</v>
      </c>
      <c r="E326" s="56" t="s">
        <v>633</v>
      </c>
      <c r="F326" s="57" t="s">
        <v>154</v>
      </c>
      <c r="G326" s="61"/>
      <c r="H326" s="53"/>
    </row>
    <row r="327" ht="24.75" hidden="1" customHeight="1">
      <c r="A327" s="54" t="s">
        <v>289</v>
      </c>
      <c r="B327" s="56" t="s">
        <v>642</v>
      </c>
      <c r="C327" s="56" t="s">
        <v>640</v>
      </c>
      <c r="D327" s="56" t="s">
        <v>631</v>
      </c>
      <c r="E327" s="56" t="s">
        <v>196</v>
      </c>
      <c r="F327" s="57" t="s">
        <v>154</v>
      </c>
      <c r="G327" s="61"/>
      <c r="H327" s="53"/>
    </row>
    <row r="328" ht="24.75" hidden="1" customHeight="1">
      <c r="A328" s="54" t="s">
        <v>289</v>
      </c>
      <c r="B328" s="56" t="s">
        <v>643</v>
      </c>
      <c r="C328" s="56" t="s">
        <v>640</v>
      </c>
      <c r="D328" s="56" t="s">
        <v>636</v>
      </c>
      <c r="E328" s="56" t="s">
        <v>191</v>
      </c>
      <c r="F328" s="57" t="s">
        <v>192</v>
      </c>
      <c r="G328" s="61"/>
      <c r="H328" s="53"/>
    </row>
    <row r="329" ht="24.75" hidden="1" customHeight="1">
      <c r="A329" s="54" t="s">
        <v>289</v>
      </c>
      <c r="B329" s="56" t="s">
        <v>643</v>
      </c>
      <c r="C329" s="56" t="s">
        <v>640</v>
      </c>
      <c r="D329" s="56" t="s">
        <v>636</v>
      </c>
      <c r="E329" s="56" t="s">
        <v>632</v>
      </c>
      <c r="F329" s="57" t="s">
        <v>34</v>
      </c>
      <c r="G329" s="61"/>
      <c r="H329" s="53"/>
    </row>
    <row r="330" ht="24.75" hidden="1" customHeight="1">
      <c r="A330" s="54" t="s">
        <v>289</v>
      </c>
      <c r="B330" s="56" t="s">
        <v>643</v>
      </c>
      <c r="C330" s="56" t="s">
        <v>640</v>
      </c>
      <c r="D330" s="56" t="s">
        <v>636</v>
      </c>
      <c r="E330" s="56" t="s">
        <v>633</v>
      </c>
      <c r="F330" s="57" t="s">
        <v>154</v>
      </c>
      <c r="G330" s="61"/>
      <c r="H330" s="53"/>
    </row>
    <row r="331" ht="24.75" hidden="1" customHeight="1">
      <c r="A331" s="54" t="s">
        <v>289</v>
      </c>
      <c r="B331" s="56" t="s">
        <v>643</v>
      </c>
      <c r="C331" s="56" t="s">
        <v>640</v>
      </c>
      <c r="D331" s="56" t="s">
        <v>636</v>
      </c>
      <c r="E331" s="56" t="s">
        <v>196</v>
      </c>
      <c r="F331" s="57" t="s">
        <v>154</v>
      </c>
      <c r="G331" s="61"/>
      <c r="H331" s="53"/>
    </row>
    <row r="332" ht="24.75" hidden="1" customHeight="1">
      <c r="A332" s="54" t="s">
        <v>289</v>
      </c>
      <c r="B332" s="56" t="s">
        <v>644</v>
      </c>
      <c r="C332" s="56" t="s">
        <v>645</v>
      </c>
      <c r="D332" s="56" t="s">
        <v>611</v>
      </c>
      <c r="E332" s="56" t="s">
        <v>612</v>
      </c>
      <c r="F332" s="57" t="s">
        <v>34</v>
      </c>
      <c r="G332" s="61"/>
      <c r="H332" s="53"/>
    </row>
    <row r="333" ht="24.75" hidden="1" customHeight="1">
      <c r="A333" s="54" t="s">
        <v>289</v>
      </c>
      <c r="B333" s="56" t="s">
        <v>644</v>
      </c>
      <c r="C333" s="56" t="s">
        <v>645</v>
      </c>
      <c r="D333" s="56" t="s">
        <v>611</v>
      </c>
      <c r="E333" s="56" t="s">
        <v>613</v>
      </c>
      <c r="F333" s="57" t="s">
        <v>34</v>
      </c>
      <c r="G333" s="61"/>
      <c r="H333" s="53"/>
    </row>
    <row r="334" ht="24.75" hidden="1" customHeight="1">
      <c r="A334" s="54" t="s">
        <v>289</v>
      </c>
      <c r="B334" s="56" t="s">
        <v>644</v>
      </c>
      <c r="C334" s="56" t="s">
        <v>645</v>
      </c>
      <c r="D334" s="56" t="s">
        <v>611</v>
      </c>
      <c r="E334" s="56" t="s">
        <v>614</v>
      </c>
      <c r="F334" s="57" t="s">
        <v>34</v>
      </c>
      <c r="G334" s="61"/>
      <c r="H334" s="53"/>
    </row>
    <row r="335" ht="24.75" hidden="1" customHeight="1">
      <c r="A335" s="54" t="s">
        <v>289</v>
      </c>
      <c r="B335" s="56" t="s">
        <v>644</v>
      </c>
      <c r="C335" s="56" t="s">
        <v>645</v>
      </c>
      <c r="D335" s="56" t="s">
        <v>611</v>
      </c>
      <c r="E335" s="56" t="s">
        <v>616</v>
      </c>
      <c r="F335" s="57" t="s">
        <v>154</v>
      </c>
      <c r="G335" s="61"/>
      <c r="H335" s="53"/>
    </row>
    <row r="336" ht="24.75" hidden="1" customHeight="1">
      <c r="A336" s="54" t="s">
        <v>289</v>
      </c>
      <c r="B336" s="56" t="s">
        <v>644</v>
      </c>
      <c r="C336" s="56" t="s">
        <v>645</v>
      </c>
      <c r="D336" s="56" t="s">
        <v>611</v>
      </c>
      <c r="E336" s="56" t="s">
        <v>618</v>
      </c>
      <c r="F336" s="57" t="s">
        <v>154</v>
      </c>
      <c r="G336" s="61"/>
      <c r="H336" s="53"/>
    </row>
    <row r="337" ht="24.75" hidden="1" customHeight="1">
      <c r="A337" s="54" t="s">
        <v>289</v>
      </c>
      <c r="B337" s="56" t="s">
        <v>646</v>
      </c>
      <c r="C337" s="56" t="s">
        <v>645</v>
      </c>
      <c r="D337" s="56" t="s">
        <v>620</v>
      </c>
      <c r="E337" s="56" t="s">
        <v>196</v>
      </c>
      <c r="F337" s="57" t="s">
        <v>192</v>
      </c>
      <c r="G337" s="61"/>
      <c r="H337" s="53"/>
    </row>
    <row r="338" ht="24.75" hidden="1" customHeight="1">
      <c r="A338" s="54" t="s">
        <v>289</v>
      </c>
      <c r="B338" s="56" t="s">
        <v>646</v>
      </c>
      <c r="C338" s="56" t="s">
        <v>645</v>
      </c>
      <c r="D338" s="56" t="s">
        <v>620</v>
      </c>
      <c r="E338" s="56" t="s">
        <v>621</v>
      </c>
      <c r="F338" s="57" t="s">
        <v>192</v>
      </c>
      <c r="G338" s="61"/>
      <c r="H338" s="53"/>
    </row>
    <row r="339" ht="24.75" hidden="1" customHeight="1">
      <c r="A339" s="54" t="s">
        <v>289</v>
      </c>
      <c r="B339" s="56" t="s">
        <v>646</v>
      </c>
      <c r="C339" s="56" t="s">
        <v>645</v>
      </c>
      <c r="D339" s="56" t="s">
        <v>620</v>
      </c>
      <c r="E339" s="56" t="s">
        <v>622</v>
      </c>
      <c r="F339" s="57" t="s">
        <v>154</v>
      </c>
      <c r="G339" s="61"/>
      <c r="H339" s="53"/>
    </row>
    <row r="340" ht="24.75" hidden="1" customHeight="1">
      <c r="A340" s="54" t="s">
        <v>289</v>
      </c>
      <c r="B340" s="56" t="s">
        <v>647</v>
      </c>
      <c r="C340" s="56" t="s">
        <v>645</v>
      </c>
      <c r="D340" s="56" t="s">
        <v>631</v>
      </c>
      <c r="E340" s="56" t="s">
        <v>191</v>
      </c>
      <c r="F340" s="57" t="s">
        <v>192</v>
      </c>
      <c r="G340" s="61"/>
      <c r="H340" s="53"/>
    </row>
    <row r="341" ht="24.75" hidden="1" customHeight="1">
      <c r="A341" s="54" t="s">
        <v>289</v>
      </c>
      <c r="B341" s="56" t="s">
        <v>647</v>
      </c>
      <c r="C341" s="56" t="s">
        <v>645</v>
      </c>
      <c r="D341" s="56" t="s">
        <v>631</v>
      </c>
      <c r="E341" s="56" t="s">
        <v>632</v>
      </c>
      <c r="F341" s="57" t="s">
        <v>34</v>
      </c>
      <c r="G341" s="61"/>
      <c r="H341" s="53"/>
    </row>
    <row r="342" ht="24.75" hidden="1" customHeight="1">
      <c r="A342" s="54" t="s">
        <v>289</v>
      </c>
      <c r="B342" s="56" t="s">
        <v>647</v>
      </c>
      <c r="C342" s="56" t="s">
        <v>645</v>
      </c>
      <c r="D342" s="56" t="s">
        <v>631</v>
      </c>
      <c r="E342" s="56" t="s">
        <v>633</v>
      </c>
      <c r="F342" s="57" t="s">
        <v>154</v>
      </c>
      <c r="G342" s="50"/>
      <c r="H342" s="53"/>
    </row>
    <row r="343" ht="24.75" hidden="1" customHeight="1">
      <c r="A343" s="54" t="s">
        <v>289</v>
      </c>
      <c r="B343" s="56" t="s">
        <v>647</v>
      </c>
      <c r="C343" s="56" t="s">
        <v>645</v>
      </c>
      <c r="D343" s="56" t="s">
        <v>631</v>
      </c>
      <c r="E343" s="56" t="s">
        <v>196</v>
      </c>
      <c r="F343" s="57" t="s">
        <v>154</v>
      </c>
      <c r="G343" s="61"/>
      <c r="H343" s="53"/>
    </row>
    <row r="344" ht="24.75" hidden="1" customHeight="1">
      <c r="A344" s="54" t="s">
        <v>289</v>
      </c>
      <c r="B344" s="56" t="s">
        <v>648</v>
      </c>
      <c r="C344" s="56" t="s">
        <v>645</v>
      </c>
      <c r="D344" s="56" t="s">
        <v>636</v>
      </c>
      <c r="E344" s="56" t="s">
        <v>191</v>
      </c>
      <c r="F344" s="57" t="s">
        <v>192</v>
      </c>
      <c r="G344" s="61"/>
      <c r="H344" s="53"/>
    </row>
    <row r="345" ht="24.75" hidden="1" customHeight="1">
      <c r="A345" s="54" t="s">
        <v>289</v>
      </c>
      <c r="B345" s="56" t="s">
        <v>648</v>
      </c>
      <c r="C345" s="56" t="s">
        <v>645</v>
      </c>
      <c r="D345" s="56" t="s">
        <v>636</v>
      </c>
      <c r="E345" s="56" t="s">
        <v>632</v>
      </c>
      <c r="F345" s="57" t="s">
        <v>34</v>
      </c>
      <c r="G345" s="61"/>
      <c r="H345" s="53"/>
    </row>
    <row r="346" ht="24.75" hidden="1" customHeight="1">
      <c r="A346" s="54" t="s">
        <v>289</v>
      </c>
      <c r="B346" s="56" t="s">
        <v>648</v>
      </c>
      <c r="C346" s="56" t="s">
        <v>645</v>
      </c>
      <c r="D346" s="56" t="s">
        <v>636</v>
      </c>
      <c r="E346" s="56" t="s">
        <v>633</v>
      </c>
      <c r="F346" s="57" t="s">
        <v>154</v>
      </c>
      <c r="G346" s="61"/>
      <c r="H346" s="53"/>
    </row>
    <row r="347" ht="24.75" hidden="1" customHeight="1">
      <c r="A347" s="54" t="s">
        <v>289</v>
      </c>
      <c r="B347" s="56" t="s">
        <v>648</v>
      </c>
      <c r="C347" s="56" t="s">
        <v>645</v>
      </c>
      <c r="D347" s="56" t="s">
        <v>636</v>
      </c>
      <c r="E347" s="56" t="s">
        <v>196</v>
      </c>
      <c r="F347" s="57" t="s">
        <v>154</v>
      </c>
      <c r="G347" s="61"/>
      <c r="H347" s="53"/>
    </row>
    <row r="348" ht="24.75" hidden="1" customHeight="1">
      <c r="A348" s="54" t="s">
        <v>289</v>
      </c>
      <c r="B348" s="56" t="s">
        <v>649</v>
      </c>
      <c r="C348" s="56" t="s">
        <v>606</v>
      </c>
      <c r="D348" s="56" t="s">
        <v>611</v>
      </c>
      <c r="E348" s="56" t="s">
        <v>612</v>
      </c>
      <c r="F348" s="57" t="s">
        <v>34</v>
      </c>
      <c r="G348" s="61"/>
      <c r="H348" s="53"/>
    </row>
    <row r="349" ht="24.75" hidden="1" customHeight="1">
      <c r="A349" s="54" t="s">
        <v>289</v>
      </c>
      <c r="B349" s="56" t="s">
        <v>649</v>
      </c>
      <c r="C349" s="56" t="s">
        <v>606</v>
      </c>
      <c r="D349" s="56" t="s">
        <v>611</v>
      </c>
      <c r="E349" s="56" t="s">
        <v>613</v>
      </c>
      <c r="F349" s="57" t="s">
        <v>34</v>
      </c>
      <c r="G349" s="61"/>
      <c r="H349" s="53"/>
    </row>
    <row r="350" ht="24.75" hidden="1" customHeight="1">
      <c r="A350" s="54" t="s">
        <v>289</v>
      </c>
      <c r="B350" s="56" t="s">
        <v>649</v>
      </c>
      <c r="C350" s="56" t="s">
        <v>606</v>
      </c>
      <c r="D350" s="56" t="s">
        <v>611</v>
      </c>
      <c r="E350" s="56" t="s">
        <v>614</v>
      </c>
      <c r="F350" s="57" t="s">
        <v>34</v>
      </c>
      <c r="G350" s="61"/>
      <c r="H350" s="53"/>
    </row>
    <row r="351" ht="24.75" hidden="1" customHeight="1">
      <c r="A351" s="54" t="s">
        <v>289</v>
      </c>
      <c r="B351" s="56" t="s">
        <v>649</v>
      </c>
      <c r="C351" s="56" t="s">
        <v>606</v>
      </c>
      <c r="D351" s="56" t="s">
        <v>611</v>
      </c>
      <c r="E351" s="56" t="s">
        <v>616</v>
      </c>
      <c r="F351" s="57" t="s">
        <v>154</v>
      </c>
      <c r="G351" s="61"/>
      <c r="H351" s="53"/>
    </row>
    <row r="352" ht="24.75" hidden="1" customHeight="1">
      <c r="A352" s="54" t="s">
        <v>289</v>
      </c>
      <c r="B352" s="56" t="s">
        <v>649</v>
      </c>
      <c r="C352" s="56" t="s">
        <v>606</v>
      </c>
      <c r="D352" s="56" t="s">
        <v>611</v>
      </c>
      <c r="E352" s="56" t="s">
        <v>618</v>
      </c>
      <c r="F352" s="57" t="s">
        <v>154</v>
      </c>
      <c r="G352" s="61"/>
      <c r="H352" s="53"/>
    </row>
    <row r="353" ht="24.75" hidden="1" customHeight="1">
      <c r="A353" s="54" t="s">
        <v>289</v>
      </c>
      <c r="B353" s="56" t="s">
        <v>650</v>
      </c>
      <c r="C353" s="56" t="s">
        <v>606</v>
      </c>
      <c r="D353" s="56" t="s">
        <v>651</v>
      </c>
      <c r="E353" s="56" t="s">
        <v>196</v>
      </c>
      <c r="F353" s="57" t="s">
        <v>192</v>
      </c>
      <c r="G353" s="61"/>
      <c r="H353" s="53"/>
    </row>
    <row r="354" ht="24.75" hidden="1" customHeight="1">
      <c r="A354" s="54" t="s">
        <v>289</v>
      </c>
      <c r="B354" s="56" t="s">
        <v>650</v>
      </c>
      <c r="C354" s="56" t="s">
        <v>606</v>
      </c>
      <c r="D354" s="56" t="s">
        <v>651</v>
      </c>
      <c r="E354" s="56" t="s">
        <v>621</v>
      </c>
      <c r="F354" s="57" t="s">
        <v>192</v>
      </c>
      <c r="G354" s="61"/>
      <c r="H354" s="53"/>
    </row>
    <row r="355" ht="24.75" hidden="1" customHeight="1">
      <c r="A355" s="54" t="s">
        <v>289</v>
      </c>
      <c r="B355" s="56" t="s">
        <v>650</v>
      </c>
      <c r="C355" s="56" t="s">
        <v>606</v>
      </c>
      <c r="D355" s="56" t="s">
        <v>651</v>
      </c>
      <c r="E355" s="56" t="s">
        <v>622</v>
      </c>
      <c r="F355" s="57" t="s">
        <v>154</v>
      </c>
      <c r="G355" s="61"/>
      <c r="H355" s="53"/>
    </row>
    <row r="356" ht="24.75" hidden="1" customHeight="1">
      <c r="A356" s="54" t="s">
        <v>289</v>
      </c>
      <c r="B356" s="56" t="s">
        <v>654</v>
      </c>
      <c r="C356" s="56" t="s">
        <v>606</v>
      </c>
      <c r="D356" s="56" t="s">
        <v>655</v>
      </c>
      <c r="E356" s="56" t="s">
        <v>191</v>
      </c>
      <c r="F356" s="57" t="s">
        <v>192</v>
      </c>
      <c r="G356" s="61"/>
      <c r="H356" s="53"/>
    </row>
    <row r="357" ht="24.75" hidden="1" customHeight="1">
      <c r="A357" s="54" t="s">
        <v>289</v>
      </c>
      <c r="B357" s="56" t="s">
        <v>654</v>
      </c>
      <c r="C357" s="56" t="s">
        <v>606</v>
      </c>
      <c r="D357" s="56" t="s">
        <v>655</v>
      </c>
      <c r="E357" s="56" t="s">
        <v>632</v>
      </c>
      <c r="F357" s="57" t="s">
        <v>34</v>
      </c>
      <c r="G357" s="61"/>
      <c r="H357" s="53"/>
    </row>
    <row r="358" ht="24.75" hidden="1" customHeight="1">
      <c r="A358" s="54" t="s">
        <v>289</v>
      </c>
      <c r="B358" s="56" t="s">
        <v>654</v>
      </c>
      <c r="C358" s="56" t="s">
        <v>606</v>
      </c>
      <c r="D358" s="56" t="s">
        <v>655</v>
      </c>
      <c r="E358" s="56" t="s">
        <v>633</v>
      </c>
      <c r="F358" s="57" t="s">
        <v>154</v>
      </c>
      <c r="G358" s="61"/>
      <c r="H358" s="53"/>
    </row>
    <row r="359" ht="24.75" hidden="1" customHeight="1">
      <c r="A359" s="54" t="s">
        <v>289</v>
      </c>
      <c r="B359" s="56" t="s">
        <v>654</v>
      </c>
      <c r="C359" s="56" t="s">
        <v>606</v>
      </c>
      <c r="D359" s="56" t="s">
        <v>655</v>
      </c>
      <c r="E359" s="56" t="s">
        <v>196</v>
      </c>
      <c r="F359" s="57" t="s">
        <v>154</v>
      </c>
      <c r="G359" s="61"/>
      <c r="H359" s="53"/>
    </row>
    <row r="360" ht="24.75" hidden="1" customHeight="1">
      <c r="A360" s="54" t="s">
        <v>289</v>
      </c>
      <c r="B360" s="56" t="s">
        <v>656</v>
      </c>
      <c r="C360" s="56" t="s">
        <v>606</v>
      </c>
      <c r="D360" s="56" t="s">
        <v>657</v>
      </c>
      <c r="E360" s="56" t="s">
        <v>191</v>
      </c>
      <c r="F360" s="57" t="s">
        <v>192</v>
      </c>
      <c r="G360" s="61"/>
      <c r="H360" s="53"/>
    </row>
    <row r="361" ht="24.75" hidden="1" customHeight="1">
      <c r="A361" s="54" t="s">
        <v>289</v>
      </c>
      <c r="B361" s="56" t="s">
        <v>656</v>
      </c>
      <c r="C361" s="56" t="s">
        <v>606</v>
      </c>
      <c r="D361" s="56" t="s">
        <v>657</v>
      </c>
      <c r="E361" s="56" t="s">
        <v>632</v>
      </c>
      <c r="F361" s="57" t="s">
        <v>34</v>
      </c>
      <c r="G361" s="61"/>
      <c r="H361" s="53"/>
    </row>
    <row r="362" ht="24.75" hidden="1" customHeight="1">
      <c r="A362" s="54" t="s">
        <v>289</v>
      </c>
      <c r="B362" s="56" t="s">
        <v>656</v>
      </c>
      <c r="C362" s="56" t="s">
        <v>606</v>
      </c>
      <c r="D362" s="56" t="s">
        <v>657</v>
      </c>
      <c r="E362" s="56" t="s">
        <v>633</v>
      </c>
      <c r="F362" s="57" t="s">
        <v>154</v>
      </c>
      <c r="G362" s="61"/>
      <c r="H362" s="53"/>
    </row>
    <row r="363" ht="24.75" hidden="1" customHeight="1">
      <c r="A363" s="54" t="s">
        <v>289</v>
      </c>
      <c r="B363" s="56" t="s">
        <v>656</v>
      </c>
      <c r="C363" s="56" t="s">
        <v>606</v>
      </c>
      <c r="D363" s="56" t="s">
        <v>657</v>
      </c>
      <c r="E363" s="56" t="s">
        <v>196</v>
      </c>
      <c r="F363" s="57" t="s">
        <v>154</v>
      </c>
      <c r="G363" s="61"/>
      <c r="H363" s="53"/>
    </row>
    <row r="364" ht="24.75" hidden="1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661</v>
      </c>
      <c r="F364" s="57" t="s">
        <v>34</v>
      </c>
      <c r="G364" s="61"/>
      <c r="H364" s="53"/>
    </row>
    <row r="365" ht="24.75" hidden="1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662</v>
      </c>
      <c r="F365" s="57" t="s">
        <v>34</v>
      </c>
      <c r="G365" s="61"/>
      <c r="H365" s="53"/>
    </row>
    <row r="366" ht="24.75" hidden="1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663</v>
      </c>
      <c r="F366" s="57" t="s">
        <v>34</v>
      </c>
      <c r="G366" s="61"/>
      <c r="H366" s="53"/>
    </row>
    <row r="367" ht="24.75" hidden="1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664</v>
      </c>
      <c r="F367" s="57" t="s">
        <v>34</v>
      </c>
      <c r="G367" s="61"/>
      <c r="H367" s="53"/>
    </row>
    <row r="368" ht="24.75" hidden="1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665</v>
      </c>
      <c r="F368" s="57" t="s">
        <v>34</v>
      </c>
      <c r="G368" s="61"/>
      <c r="H368" s="53"/>
    </row>
    <row r="369" ht="24.75" hidden="1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614</v>
      </c>
      <c r="F369" s="57" t="s">
        <v>34</v>
      </c>
      <c r="G369" s="61"/>
      <c r="H369" s="53"/>
    </row>
    <row r="370" ht="24.75" hidden="1" customHeight="1">
      <c r="A370" s="54" t="s">
        <v>658</v>
      </c>
      <c r="B370" s="56" t="s">
        <v>659</v>
      </c>
      <c r="C370" s="56" t="s">
        <v>610</v>
      </c>
      <c r="D370" s="56" t="s">
        <v>660</v>
      </c>
      <c r="E370" s="56" t="s">
        <v>666</v>
      </c>
      <c r="F370" s="57" t="s">
        <v>34</v>
      </c>
      <c r="G370" s="61"/>
      <c r="H370" s="53"/>
    </row>
    <row r="371" ht="24.75" hidden="1" customHeight="1">
      <c r="A371" s="54" t="s">
        <v>658</v>
      </c>
      <c r="B371" s="56" t="s">
        <v>659</v>
      </c>
      <c r="C371" s="56" t="s">
        <v>610</v>
      </c>
      <c r="D371" s="56" t="s">
        <v>660</v>
      </c>
      <c r="E371" s="56" t="s">
        <v>667</v>
      </c>
      <c r="F371" s="57" t="s">
        <v>34</v>
      </c>
      <c r="G371" s="61"/>
      <c r="H371" s="53"/>
    </row>
    <row r="372" ht="24.75" hidden="1" customHeight="1">
      <c r="A372" s="54" t="s">
        <v>658</v>
      </c>
      <c r="B372" s="56" t="s">
        <v>659</v>
      </c>
      <c r="C372" s="56" t="s">
        <v>610</v>
      </c>
      <c r="D372" s="56" t="s">
        <v>660</v>
      </c>
      <c r="E372" s="56" t="s">
        <v>668</v>
      </c>
      <c r="F372" s="57" t="s">
        <v>154</v>
      </c>
      <c r="G372" s="61"/>
      <c r="H372" s="53"/>
    </row>
    <row r="373" ht="24.75" hidden="1" customHeight="1">
      <c r="A373" s="54" t="s">
        <v>658</v>
      </c>
      <c r="B373" s="56" t="s">
        <v>659</v>
      </c>
      <c r="C373" s="56" t="s">
        <v>610</v>
      </c>
      <c r="D373" s="56" t="s">
        <v>660</v>
      </c>
      <c r="E373" s="56" t="s">
        <v>669</v>
      </c>
      <c r="F373" s="57" t="s">
        <v>154</v>
      </c>
      <c r="G373" s="61"/>
      <c r="H373" s="53"/>
    </row>
    <row r="374" ht="24.75" hidden="1" customHeight="1">
      <c r="A374" s="54" t="s">
        <v>658</v>
      </c>
      <c r="B374" s="56" t="s">
        <v>659</v>
      </c>
      <c r="C374" s="56" t="s">
        <v>610</v>
      </c>
      <c r="D374" s="56" t="s">
        <v>660</v>
      </c>
      <c r="E374" s="56" t="s">
        <v>671</v>
      </c>
      <c r="F374" s="57" t="s">
        <v>154</v>
      </c>
      <c r="G374" s="61"/>
      <c r="H374" s="53"/>
    </row>
    <row r="375" ht="24.75" hidden="1" customHeight="1">
      <c r="A375" s="54" t="s">
        <v>658</v>
      </c>
      <c r="B375" s="56" t="s">
        <v>659</v>
      </c>
      <c r="C375" s="56" t="s">
        <v>610</v>
      </c>
      <c r="D375" s="56" t="s">
        <v>660</v>
      </c>
      <c r="E375" s="56" t="s">
        <v>672</v>
      </c>
      <c r="F375" s="57" t="s">
        <v>154</v>
      </c>
      <c r="G375" s="61"/>
      <c r="H375" s="53"/>
    </row>
    <row r="376" ht="24.75" hidden="1" customHeight="1">
      <c r="A376" s="54" t="s">
        <v>658</v>
      </c>
      <c r="B376" s="56" t="s">
        <v>659</v>
      </c>
      <c r="C376" s="56" t="s">
        <v>610</v>
      </c>
      <c r="D376" s="56" t="s">
        <v>660</v>
      </c>
      <c r="E376" s="56" t="s">
        <v>673</v>
      </c>
      <c r="F376" s="57" t="s">
        <v>154</v>
      </c>
      <c r="G376" s="61"/>
      <c r="H376" s="53"/>
    </row>
    <row r="377" ht="24.75" hidden="1" customHeight="1">
      <c r="A377" s="54" t="s">
        <v>658</v>
      </c>
      <c r="B377" s="56" t="s">
        <v>674</v>
      </c>
      <c r="C377" s="56" t="s">
        <v>610</v>
      </c>
      <c r="D377" s="56" t="s">
        <v>675</v>
      </c>
      <c r="E377" s="56" t="s">
        <v>676</v>
      </c>
      <c r="F377" s="57" t="s">
        <v>34</v>
      </c>
      <c r="G377" s="61"/>
      <c r="H377" s="53"/>
    </row>
    <row r="378" ht="24.75" hidden="1" customHeight="1">
      <c r="A378" s="54" t="s">
        <v>658</v>
      </c>
      <c r="B378" s="56" t="s">
        <v>677</v>
      </c>
      <c r="C378" s="56" t="s">
        <v>610</v>
      </c>
      <c r="D378" s="56" t="s">
        <v>678</v>
      </c>
      <c r="E378" s="56" t="s">
        <v>679</v>
      </c>
      <c r="F378" s="57" t="s">
        <v>34</v>
      </c>
      <c r="G378" s="61"/>
      <c r="H378" s="53"/>
    </row>
    <row r="379" ht="24.75" hidden="1" customHeight="1">
      <c r="A379" s="54" t="s">
        <v>658</v>
      </c>
      <c r="B379" s="56" t="s">
        <v>677</v>
      </c>
      <c r="C379" s="56" t="s">
        <v>610</v>
      </c>
      <c r="D379" s="56" t="s">
        <v>678</v>
      </c>
      <c r="E379" s="56" t="s">
        <v>680</v>
      </c>
      <c r="F379" s="57" t="s">
        <v>34</v>
      </c>
      <c r="G379" s="61"/>
      <c r="H379" s="53"/>
    </row>
    <row r="380" ht="24.75" hidden="1" customHeight="1">
      <c r="A380" s="54" t="s">
        <v>658</v>
      </c>
      <c r="B380" s="56" t="s">
        <v>677</v>
      </c>
      <c r="C380" s="56" t="s">
        <v>610</v>
      </c>
      <c r="D380" s="56" t="s">
        <v>678</v>
      </c>
      <c r="E380" s="56" t="s">
        <v>682</v>
      </c>
      <c r="F380" s="57" t="s">
        <v>34</v>
      </c>
      <c r="G380" s="61"/>
      <c r="H380" s="53"/>
    </row>
    <row r="381" ht="24.75" hidden="1" customHeight="1">
      <c r="A381" s="54" t="s">
        <v>658</v>
      </c>
      <c r="B381" s="56" t="s">
        <v>677</v>
      </c>
      <c r="C381" s="56" t="s">
        <v>610</v>
      </c>
      <c r="D381" s="56" t="s">
        <v>678</v>
      </c>
      <c r="E381" s="56" t="s">
        <v>683</v>
      </c>
      <c r="F381" s="57" t="s">
        <v>34</v>
      </c>
      <c r="G381" s="61"/>
      <c r="H381" s="53"/>
    </row>
    <row r="382" ht="24.75" hidden="1" customHeight="1">
      <c r="A382" s="54" t="s">
        <v>658</v>
      </c>
      <c r="B382" s="56" t="s">
        <v>677</v>
      </c>
      <c r="C382" s="56" t="s">
        <v>610</v>
      </c>
      <c r="D382" s="56" t="s">
        <v>678</v>
      </c>
      <c r="E382" s="56" t="s">
        <v>684</v>
      </c>
      <c r="F382" s="57" t="s">
        <v>154</v>
      </c>
      <c r="G382" s="61"/>
      <c r="H382" s="53"/>
    </row>
    <row r="383" ht="24.75" hidden="1" customHeight="1">
      <c r="A383" s="54" t="s">
        <v>658</v>
      </c>
      <c r="B383" s="56" t="s">
        <v>677</v>
      </c>
      <c r="C383" s="56" t="s">
        <v>610</v>
      </c>
      <c r="D383" s="56" t="s">
        <v>678</v>
      </c>
      <c r="E383" s="56" t="s">
        <v>685</v>
      </c>
      <c r="F383" s="57" t="s">
        <v>154</v>
      </c>
      <c r="G383" s="61"/>
      <c r="H383" s="53"/>
    </row>
    <row r="384" ht="24.75" hidden="1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661</v>
      </c>
      <c r="F384" s="57" t="s">
        <v>34</v>
      </c>
      <c r="G384" s="61"/>
      <c r="H384" s="53"/>
    </row>
    <row r="385" ht="24.75" hidden="1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662</v>
      </c>
      <c r="F385" s="57" t="s">
        <v>34</v>
      </c>
      <c r="G385" s="61"/>
      <c r="H385" s="53"/>
    </row>
    <row r="386" ht="24.75" hidden="1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663</v>
      </c>
      <c r="F386" s="57" t="s">
        <v>34</v>
      </c>
      <c r="G386" s="61"/>
      <c r="H386" s="53"/>
    </row>
    <row r="387" ht="24.75" hidden="1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664</v>
      </c>
      <c r="F387" s="57" t="s">
        <v>34</v>
      </c>
      <c r="G387" s="61"/>
      <c r="H387" s="53"/>
    </row>
    <row r="388" ht="24.75" hidden="1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665</v>
      </c>
      <c r="F388" s="57" t="s">
        <v>34</v>
      </c>
      <c r="G388" s="61"/>
      <c r="H388" s="53"/>
    </row>
    <row r="389" ht="24.75" hidden="1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614</v>
      </c>
      <c r="F389" s="57" t="s">
        <v>34</v>
      </c>
      <c r="G389" s="61"/>
      <c r="H389" s="53"/>
    </row>
    <row r="390" ht="24.75" hidden="1" customHeight="1">
      <c r="A390" s="54" t="s">
        <v>658</v>
      </c>
      <c r="B390" s="56" t="s">
        <v>688</v>
      </c>
      <c r="C390" s="56" t="s">
        <v>624</v>
      </c>
      <c r="D390" s="56" t="s">
        <v>660</v>
      </c>
      <c r="E390" s="56" t="s">
        <v>666</v>
      </c>
      <c r="F390" s="57" t="s">
        <v>34</v>
      </c>
      <c r="G390" s="61"/>
      <c r="H390" s="53"/>
    </row>
    <row r="391" ht="24.75" hidden="1" customHeight="1">
      <c r="A391" s="54" t="s">
        <v>658</v>
      </c>
      <c r="B391" s="56" t="s">
        <v>688</v>
      </c>
      <c r="C391" s="56" t="s">
        <v>624</v>
      </c>
      <c r="D391" s="56" t="s">
        <v>660</v>
      </c>
      <c r="E391" s="56" t="s">
        <v>667</v>
      </c>
      <c r="F391" s="57" t="s">
        <v>34</v>
      </c>
      <c r="G391" s="61"/>
      <c r="H391" s="53"/>
    </row>
    <row r="392" ht="24.75" hidden="1" customHeight="1">
      <c r="A392" s="54" t="s">
        <v>658</v>
      </c>
      <c r="B392" s="56" t="s">
        <v>688</v>
      </c>
      <c r="C392" s="56" t="s">
        <v>624</v>
      </c>
      <c r="D392" s="56" t="s">
        <v>660</v>
      </c>
      <c r="E392" s="56" t="s">
        <v>668</v>
      </c>
      <c r="F392" s="57" t="s">
        <v>154</v>
      </c>
      <c r="G392" s="61"/>
      <c r="H392" s="53"/>
    </row>
    <row r="393" ht="24.75" hidden="1" customHeight="1">
      <c r="A393" s="54" t="s">
        <v>658</v>
      </c>
      <c r="B393" s="56" t="s">
        <v>688</v>
      </c>
      <c r="C393" s="56" t="s">
        <v>624</v>
      </c>
      <c r="D393" s="56" t="s">
        <v>660</v>
      </c>
      <c r="E393" s="56" t="s">
        <v>669</v>
      </c>
      <c r="F393" s="57" t="s">
        <v>154</v>
      </c>
      <c r="G393" s="61"/>
      <c r="H393" s="53"/>
    </row>
    <row r="394" ht="24.75" hidden="1" customHeight="1">
      <c r="A394" s="54" t="s">
        <v>658</v>
      </c>
      <c r="B394" s="56" t="s">
        <v>688</v>
      </c>
      <c r="C394" s="56" t="s">
        <v>624</v>
      </c>
      <c r="D394" s="56" t="s">
        <v>660</v>
      </c>
      <c r="E394" s="56" t="s">
        <v>671</v>
      </c>
      <c r="F394" s="57" t="s">
        <v>154</v>
      </c>
      <c r="G394" s="61"/>
      <c r="H394" s="53"/>
    </row>
    <row r="395" ht="24.75" hidden="1" customHeight="1">
      <c r="A395" s="54" t="s">
        <v>658</v>
      </c>
      <c r="B395" s="56" t="s">
        <v>688</v>
      </c>
      <c r="C395" s="56" t="s">
        <v>624</v>
      </c>
      <c r="D395" s="56" t="s">
        <v>660</v>
      </c>
      <c r="E395" s="56" t="s">
        <v>672</v>
      </c>
      <c r="F395" s="57" t="s">
        <v>154</v>
      </c>
      <c r="G395" s="61"/>
      <c r="H395" s="53"/>
    </row>
    <row r="396" ht="24.75" hidden="1" customHeight="1">
      <c r="A396" s="54" t="s">
        <v>658</v>
      </c>
      <c r="B396" s="56" t="s">
        <v>688</v>
      </c>
      <c r="C396" s="56" t="s">
        <v>624</v>
      </c>
      <c r="D396" s="56" t="s">
        <v>660</v>
      </c>
      <c r="E396" s="56" t="s">
        <v>673</v>
      </c>
      <c r="F396" s="57" t="s">
        <v>154</v>
      </c>
      <c r="G396" s="61"/>
      <c r="H396" s="53"/>
    </row>
    <row r="397" ht="24.75" hidden="1" customHeight="1">
      <c r="A397" s="54" t="s">
        <v>658</v>
      </c>
      <c r="B397" s="56" t="s">
        <v>690</v>
      </c>
      <c r="C397" s="56" t="s">
        <v>624</v>
      </c>
      <c r="D397" s="56" t="s">
        <v>675</v>
      </c>
      <c r="E397" s="56" t="s">
        <v>676</v>
      </c>
      <c r="F397" s="57" t="s">
        <v>34</v>
      </c>
      <c r="G397" s="61"/>
      <c r="H397" s="53"/>
    </row>
    <row r="398" ht="24.75" hidden="1" customHeight="1">
      <c r="A398" s="54" t="s">
        <v>658</v>
      </c>
      <c r="B398" s="56" t="s">
        <v>691</v>
      </c>
      <c r="C398" s="56" t="s">
        <v>624</v>
      </c>
      <c r="D398" s="56" t="s">
        <v>678</v>
      </c>
      <c r="E398" s="56" t="s">
        <v>679</v>
      </c>
      <c r="F398" s="57" t="s">
        <v>34</v>
      </c>
      <c r="G398" s="61"/>
      <c r="H398" s="53"/>
    </row>
    <row r="399" ht="24.75" hidden="1" customHeight="1">
      <c r="A399" s="54" t="s">
        <v>658</v>
      </c>
      <c r="B399" s="56" t="s">
        <v>691</v>
      </c>
      <c r="C399" s="56" t="s">
        <v>624</v>
      </c>
      <c r="D399" s="56" t="s">
        <v>678</v>
      </c>
      <c r="E399" s="56" t="s">
        <v>680</v>
      </c>
      <c r="F399" s="57" t="s">
        <v>34</v>
      </c>
      <c r="G399" s="61"/>
      <c r="H399" s="53"/>
    </row>
    <row r="400" ht="24.75" hidden="1" customHeight="1">
      <c r="A400" s="54" t="s">
        <v>658</v>
      </c>
      <c r="B400" s="56" t="s">
        <v>691</v>
      </c>
      <c r="C400" s="56" t="s">
        <v>624</v>
      </c>
      <c r="D400" s="56" t="s">
        <v>678</v>
      </c>
      <c r="E400" s="56" t="s">
        <v>682</v>
      </c>
      <c r="F400" s="57" t="s">
        <v>34</v>
      </c>
      <c r="G400" s="61"/>
      <c r="H400" s="53"/>
    </row>
    <row r="401" ht="24.75" hidden="1" customHeight="1">
      <c r="A401" s="54" t="s">
        <v>658</v>
      </c>
      <c r="B401" s="56" t="s">
        <v>691</v>
      </c>
      <c r="C401" s="56" t="s">
        <v>624</v>
      </c>
      <c r="D401" s="56" t="s">
        <v>678</v>
      </c>
      <c r="E401" s="56" t="s">
        <v>683</v>
      </c>
      <c r="F401" s="57" t="s">
        <v>34</v>
      </c>
      <c r="G401" s="61"/>
      <c r="H401" s="53"/>
    </row>
    <row r="402" ht="24.75" hidden="1" customHeight="1">
      <c r="A402" s="54" t="s">
        <v>658</v>
      </c>
      <c r="B402" s="56" t="s">
        <v>691</v>
      </c>
      <c r="C402" s="56" t="s">
        <v>624</v>
      </c>
      <c r="D402" s="56" t="s">
        <v>678</v>
      </c>
      <c r="E402" s="56" t="s">
        <v>684</v>
      </c>
      <c r="F402" s="57" t="s">
        <v>154</v>
      </c>
      <c r="G402" s="61"/>
      <c r="H402" s="53"/>
    </row>
    <row r="403" ht="24.75" hidden="1" customHeight="1">
      <c r="A403" s="54" t="s">
        <v>658</v>
      </c>
      <c r="B403" s="56" t="s">
        <v>691</v>
      </c>
      <c r="C403" s="56" t="s">
        <v>624</v>
      </c>
      <c r="D403" s="56" t="s">
        <v>678</v>
      </c>
      <c r="E403" s="56" t="s">
        <v>685</v>
      </c>
      <c r="F403" s="57" t="s">
        <v>154</v>
      </c>
      <c r="G403" s="61"/>
      <c r="H403" s="53"/>
    </row>
    <row r="404" ht="24.75" hidden="1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661</v>
      </c>
      <c r="F404" s="57" t="s">
        <v>34</v>
      </c>
      <c r="G404" s="61"/>
      <c r="H404" s="53"/>
    </row>
    <row r="405" ht="24.75" hidden="1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662</v>
      </c>
      <c r="F405" s="57" t="s">
        <v>34</v>
      </c>
      <c r="G405" s="61"/>
      <c r="H405" s="53"/>
    </row>
    <row r="406" ht="24.75" hidden="1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663</v>
      </c>
      <c r="F406" s="57" t="s">
        <v>34</v>
      </c>
      <c r="G406" s="61"/>
      <c r="H406" s="53"/>
    </row>
    <row r="407" ht="24.75" hidden="1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664</v>
      </c>
      <c r="F407" s="57" t="s">
        <v>34</v>
      </c>
      <c r="G407" s="61"/>
      <c r="H407" s="53"/>
    </row>
    <row r="408" ht="24.75" hidden="1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665</v>
      </c>
      <c r="F408" s="57" t="s">
        <v>34</v>
      </c>
      <c r="G408" s="61"/>
      <c r="H408" s="53"/>
    </row>
    <row r="409" ht="24.75" hidden="1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614</v>
      </c>
      <c r="F409" s="57" t="s">
        <v>34</v>
      </c>
      <c r="G409" s="61"/>
      <c r="H409" s="53"/>
    </row>
    <row r="410" ht="24.75" hidden="1" customHeight="1">
      <c r="A410" s="54" t="s">
        <v>658</v>
      </c>
      <c r="B410" s="56" t="s">
        <v>692</v>
      </c>
      <c r="C410" s="56" t="s">
        <v>627</v>
      </c>
      <c r="D410" s="56" t="s">
        <v>660</v>
      </c>
      <c r="E410" s="56" t="s">
        <v>666</v>
      </c>
      <c r="F410" s="57" t="s">
        <v>34</v>
      </c>
      <c r="G410" s="61"/>
      <c r="H410" s="53"/>
    </row>
    <row r="411" ht="24.75" hidden="1" customHeight="1">
      <c r="A411" s="54" t="s">
        <v>658</v>
      </c>
      <c r="B411" s="56" t="s">
        <v>692</v>
      </c>
      <c r="C411" s="56" t="s">
        <v>627</v>
      </c>
      <c r="D411" s="56" t="s">
        <v>660</v>
      </c>
      <c r="E411" s="56" t="s">
        <v>667</v>
      </c>
      <c r="F411" s="57" t="s">
        <v>34</v>
      </c>
      <c r="G411" s="61"/>
      <c r="H411" s="53"/>
    </row>
    <row r="412" ht="24.75" hidden="1" customHeight="1">
      <c r="A412" s="54" t="s">
        <v>658</v>
      </c>
      <c r="B412" s="56" t="s">
        <v>692</v>
      </c>
      <c r="C412" s="56" t="s">
        <v>627</v>
      </c>
      <c r="D412" s="56" t="s">
        <v>660</v>
      </c>
      <c r="E412" s="56" t="s">
        <v>668</v>
      </c>
      <c r="F412" s="57" t="s">
        <v>154</v>
      </c>
      <c r="G412" s="61"/>
      <c r="H412" s="53"/>
    </row>
    <row r="413" ht="24.75" hidden="1" customHeight="1">
      <c r="A413" s="54" t="s">
        <v>658</v>
      </c>
      <c r="B413" s="56" t="s">
        <v>692</v>
      </c>
      <c r="C413" s="56" t="s">
        <v>627</v>
      </c>
      <c r="D413" s="56" t="s">
        <v>660</v>
      </c>
      <c r="E413" s="56" t="s">
        <v>669</v>
      </c>
      <c r="F413" s="57" t="s">
        <v>154</v>
      </c>
      <c r="G413" s="61"/>
      <c r="H413" s="53"/>
    </row>
    <row r="414" ht="24.75" hidden="1" customHeight="1">
      <c r="A414" s="54" t="s">
        <v>658</v>
      </c>
      <c r="B414" s="56" t="s">
        <v>692</v>
      </c>
      <c r="C414" s="56" t="s">
        <v>627</v>
      </c>
      <c r="D414" s="56" t="s">
        <v>660</v>
      </c>
      <c r="E414" s="56" t="s">
        <v>671</v>
      </c>
      <c r="F414" s="57" t="s">
        <v>154</v>
      </c>
      <c r="G414" s="61"/>
      <c r="H414" s="53"/>
    </row>
    <row r="415" ht="24.75" hidden="1" customHeight="1">
      <c r="A415" s="54" t="s">
        <v>658</v>
      </c>
      <c r="B415" s="56" t="s">
        <v>692</v>
      </c>
      <c r="C415" s="56" t="s">
        <v>627</v>
      </c>
      <c r="D415" s="56" t="s">
        <v>660</v>
      </c>
      <c r="E415" s="56" t="s">
        <v>672</v>
      </c>
      <c r="F415" s="57" t="s">
        <v>154</v>
      </c>
      <c r="G415" s="61"/>
      <c r="H415" s="53"/>
    </row>
    <row r="416" ht="24.75" hidden="1" customHeight="1">
      <c r="A416" s="54" t="s">
        <v>658</v>
      </c>
      <c r="B416" s="56" t="s">
        <v>692</v>
      </c>
      <c r="C416" s="56" t="s">
        <v>627</v>
      </c>
      <c r="D416" s="56" t="s">
        <v>660</v>
      </c>
      <c r="E416" s="56" t="s">
        <v>673</v>
      </c>
      <c r="F416" s="57" t="s">
        <v>154</v>
      </c>
      <c r="G416" s="61"/>
      <c r="H416" s="53"/>
    </row>
    <row r="417" ht="24.75" hidden="1" customHeight="1">
      <c r="A417" s="54" t="s">
        <v>658</v>
      </c>
      <c r="B417" s="56" t="s">
        <v>693</v>
      </c>
      <c r="C417" s="56" t="s">
        <v>627</v>
      </c>
      <c r="D417" s="56" t="s">
        <v>675</v>
      </c>
      <c r="E417" s="56" t="s">
        <v>676</v>
      </c>
      <c r="F417" s="57" t="s">
        <v>34</v>
      </c>
      <c r="G417" s="61"/>
      <c r="H417" s="53"/>
    </row>
    <row r="418" ht="24.75" hidden="1" customHeight="1">
      <c r="A418" s="54" t="s">
        <v>658</v>
      </c>
      <c r="B418" s="56" t="s">
        <v>694</v>
      </c>
      <c r="C418" s="56" t="s">
        <v>627</v>
      </c>
      <c r="D418" s="56" t="s">
        <v>678</v>
      </c>
      <c r="E418" s="56" t="s">
        <v>679</v>
      </c>
      <c r="F418" s="57" t="s">
        <v>34</v>
      </c>
      <c r="G418" s="61"/>
      <c r="H418" s="53"/>
    </row>
    <row r="419" ht="24.75" hidden="1" customHeight="1">
      <c r="A419" s="54" t="s">
        <v>658</v>
      </c>
      <c r="B419" s="56" t="s">
        <v>694</v>
      </c>
      <c r="C419" s="56" t="s">
        <v>627</v>
      </c>
      <c r="D419" s="56" t="s">
        <v>678</v>
      </c>
      <c r="E419" s="56" t="s">
        <v>680</v>
      </c>
      <c r="F419" s="57" t="s">
        <v>34</v>
      </c>
      <c r="G419" s="61"/>
      <c r="H419" s="53"/>
    </row>
    <row r="420" ht="24.75" hidden="1" customHeight="1">
      <c r="A420" s="54" t="s">
        <v>658</v>
      </c>
      <c r="B420" s="56" t="s">
        <v>694</v>
      </c>
      <c r="C420" s="56" t="s">
        <v>627</v>
      </c>
      <c r="D420" s="56" t="s">
        <v>678</v>
      </c>
      <c r="E420" s="56" t="s">
        <v>683</v>
      </c>
      <c r="F420" s="57" t="s">
        <v>34</v>
      </c>
      <c r="G420" s="61"/>
      <c r="H420" s="53"/>
    </row>
    <row r="421" ht="24.75" hidden="1" customHeight="1">
      <c r="A421" s="54" t="s">
        <v>658</v>
      </c>
      <c r="B421" s="56" t="s">
        <v>694</v>
      </c>
      <c r="C421" s="56" t="s">
        <v>627</v>
      </c>
      <c r="D421" s="56" t="s">
        <v>678</v>
      </c>
      <c r="E421" s="56" t="s">
        <v>684</v>
      </c>
      <c r="F421" s="57" t="s">
        <v>154</v>
      </c>
      <c r="G421" s="61"/>
      <c r="H421" s="53"/>
    </row>
    <row r="422" ht="24.75" hidden="1" customHeight="1">
      <c r="A422" s="54" t="s">
        <v>658</v>
      </c>
      <c r="B422" s="56" t="s">
        <v>694</v>
      </c>
      <c r="C422" s="56" t="s">
        <v>627</v>
      </c>
      <c r="D422" s="56" t="s">
        <v>678</v>
      </c>
      <c r="E422" s="56" t="s">
        <v>695</v>
      </c>
      <c r="F422" s="57" t="s">
        <v>154</v>
      </c>
      <c r="G422" s="61"/>
      <c r="H422" s="53"/>
    </row>
    <row r="423" ht="24.75" hidden="1" customHeight="1">
      <c r="A423" s="54" t="s">
        <v>658</v>
      </c>
      <c r="B423" s="56" t="s">
        <v>694</v>
      </c>
      <c r="C423" s="56" t="s">
        <v>627</v>
      </c>
      <c r="D423" s="56" t="s">
        <v>678</v>
      </c>
      <c r="E423" s="56" t="s">
        <v>685</v>
      </c>
      <c r="F423" s="57" t="s">
        <v>154</v>
      </c>
      <c r="G423" s="61"/>
      <c r="H423" s="53"/>
    </row>
    <row r="424" ht="24.75" hidden="1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661</v>
      </c>
      <c r="F424" s="57" t="s">
        <v>34</v>
      </c>
      <c r="G424" s="61"/>
      <c r="H424" s="53"/>
    </row>
    <row r="425" ht="24.75" hidden="1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662</v>
      </c>
      <c r="F425" s="57" t="s">
        <v>34</v>
      </c>
      <c r="G425" s="61"/>
      <c r="H425" s="53"/>
    </row>
    <row r="426" ht="24.75" hidden="1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663</v>
      </c>
      <c r="F426" s="57" t="s">
        <v>34</v>
      </c>
      <c r="G426" s="61"/>
      <c r="H426" s="53"/>
    </row>
    <row r="427" ht="24.75" hidden="1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664</v>
      </c>
      <c r="F427" s="57" t="s">
        <v>34</v>
      </c>
      <c r="G427" s="61"/>
      <c r="H427" s="53"/>
    </row>
    <row r="428" ht="24.75" hidden="1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665</v>
      </c>
      <c r="F428" s="57" t="s">
        <v>34</v>
      </c>
      <c r="G428" s="61"/>
      <c r="H428" s="53"/>
    </row>
    <row r="429" ht="24.75" hidden="1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614</v>
      </c>
      <c r="F429" s="57" t="s">
        <v>34</v>
      </c>
      <c r="G429" s="61"/>
      <c r="H429" s="53"/>
    </row>
    <row r="430" ht="24.75" hidden="1" customHeight="1">
      <c r="A430" s="54" t="s">
        <v>658</v>
      </c>
      <c r="B430" s="56" t="s">
        <v>697</v>
      </c>
      <c r="C430" s="56" t="s">
        <v>640</v>
      </c>
      <c r="D430" s="56" t="s">
        <v>660</v>
      </c>
      <c r="E430" s="56" t="s">
        <v>666</v>
      </c>
      <c r="F430" s="57" t="s">
        <v>34</v>
      </c>
      <c r="G430" s="61"/>
      <c r="H430" s="53"/>
    </row>
    <row r="431" ht="24.75" hidden="1" customHeight="1">
      <c r="A431" s="54" t="s">
        <v>658</v>
      </c>
      <c r="B431" s="56" t="s">
        <v>697</v>
      </c>
      <c r="C431" s="56" t="s">
        <v>640</v>
      </c>
      <c r="D431" s="56" t="s">
        <v>660</v>
      </c>
      <c r="E431" s="56" t="s">
        <v>667</v>
      </c>
      <c r="F431" s="57" t="s">
        <v>34</v>
      </c>
      <c r="G431" s="61"/>
      <c r="H431" s="53"/>
    </row>
    <row r="432" ht="24.75" hidden="1" customHeight="1">
      <c r="A432" s="54" t="s">
        <v>658</v>
      </c>
      <c r="B432" s="56" t="s">
        <v>697</v>
      </c>
      <c r="C432" s="56" t="s">
        <v>640</v>
      </c>
      <c r="D432" s="56" t="s">
        <v>660</v>
      </c>
      <c r="E432" s="56" t="s">
        <v>668</v>
      </c>
      <c r="F432" s="57" t="s">
        <v>154</v>
      </c>
      <c r="G432" s="61"/>
      <c r="H432" s="53"/>
    </row>
    <row r="433" ht="24.75" hidden="1" customHeight="1">
      <c r="A433" s="54" t="s">
        <v>658</v>
      </c>
      <c r="B433" s="56" t="s">
        <v>697</v>
      </c>
      <c r="C433" s="56" t="s">
        <v>640</v>
      </c>
      <c r="D433" s="56" t="s">
        <v>660</v>
      </c>
      <c r="E433" s="56" t="s">
        <v>669</v>
      </c>
      <c r="F433" s="57" t="s">
        <v>154</v>
      </c>
      <c r="G433" s="61"/>
      <c r="H433" s="53"/>
    </row>
    <row r="434" ht="24.75" hidden="1" customHeight="1">
      <c r="A434" s="54" t="s">
        <v>658</v>
      </c>
      <c r="B434" s="56" t="s">
        <v>697</v>
      </c>
      <c r="C434" s="56" t="s">
        <v>640</v>
      </c>
      <c r="D434" s="56" t="s">
        <v>660</v>
      </c>
      <c r="E434" s="56" t="s">
        <v>671</v>
      </c>
      <c r="F434" s="57" t="s">
        <v>154</v>
      </c>
      <c r="G434" s="61"/>
      <c r="H434" s="53"/>
    </row>
    <row r="435" ht="24.75" hidden="1" customHeight="1">
      <c r="A435" s="54" t="s">
        <v>658</v>
      </c>
      <c r="B435" s="56" t="s">
        <v>697</v>
      </c>
      <c r="C435" s="56" t="s">
        <v>640</v>
      </c>
      <c r="D435" s="56" t="s">
        <v>660</v>
      </c>
      <c r="E435" s="56" t="s">
        <v>672</v>
      </c>
      <c r="F435" s="57" t="s">
        <v>154</v>
      </c>
      <c r="G435" s="61"/>
      <c r="H435" s="53"/>
    </row>
    <row r="436" ht="24.75" hidden="1" customHeight="1">
      <c r="A436" s="54" t="s">
        <v>658</v>
      </c>
      <c r="B436" s="56" t="s">
        <v>697</v>
      </c>
      <c r="C436" s="56" t="s">
        <v>640</v>
      </c>
      <c r="D436" s="56" t="s">
        <v>660</v>
      </c>
      <c r="E436" s="56" t="s">
        <v>673</v>
      </c>
      <c r="F436" s="57" t="s">
        <v>154</v>
      </c>
      <c r="G436" s="61"/>
      <c r="H436" s="53"/>
    </row>
    <row r="437" ht="24.75" hidden="1" customHeight="1">
      <c r="A437" s="54" t="s">
        <v>658</v>
      </c>
      <c r="B437" s="56" t="s">
        <v>698</v>
      </c>
      <c r="C437" s="56" t="s">
        <v>640</v>
      </c>
      <c r="D437" s="56" t="s">
        <v>675</v>
      </c>
      <c r="E437" s="56" t="s">
        <v>676</v>
      </c>
      <c r="F437" s="57" t="s">
        <v>34</v>
      </c>
      <c r="G437" s="61"/>
      <c r="H437" s="53"/>
    </row>
    <row r="438" ht="24.75" hidden="1" customHeight="1">
      <c r="A438" s="54" t="s">
        <v>658</v>
      </c>
      <c r="B438" s="56" t="s">
        <v>699</v>
      </c>
      <c r="C438" s="56" t="s">
        <v>640</v>
      </c>
      <c r="D438" s="56" t="s">
        <v>678</v>
      </c>
      <c r="E438" s="56" t="s">
        <v>679</v>
      </c>
      <c r="F438" s="57" t="s">
        <v>34</v>
      </c>
      <c r="G438" s="61"/>
      <c r="H438" s="53"/>
    </row>
    <row r="439" ht="24.75" hidden="1" customHeight="1">
      <c r="A439" s="54" t="s">
        <v>658</v>
      </c>
      <c r="B439" s="56" t="s">
        <v>699</v>
      </c>
      <c r="C439" s="56" t="s">
        <v>640</v>
      </c>
      <c r="D439" s="56" t="s">
        <v>678</v>
      </c>
      <c r="E439" s="56" t="s">
        <v>680</v>
      </c>
      <c r="F439" s="57" t="s">
        <v>34</v>
      </c>
      <c r="G439" s="61"/>
      <c r="H439" s="53"/>
    </row>
    <row r="440" ht="24.75" hidden="1" customHeight="1">
      <c r="A440" s="54" t="s">
        <v>658</v>
      </c>
      <c r="B440" s="56" t="s">
        <v>699</v>
      </c>
      <c r="C440" s="56" t="s">
        <v>640</v>
      </c>
      <c r="D440" s="56" t="s">
        <v>678</v>
      </c>
      <c r="E440" s="56" t="s">
        <v>682</v>
      </c>
      <c r="F440" s="57" t="s">
        <v>34</v>
      </c>
      <c r="G440" s="61"/>
      <c r="H440" s="53"/>
    </row>
    <row r="441" ht="24.75" hidden="1" customHeight="1">
      <c r="A441" s="54" t="s">
        <v>658</v>
      </c>
      <c r="B441" s="56" t="s">
        <v>699</v>
      </c>
      <c r="C441" s="56" t="s">
        <v>640</v>
      </c>
      <c r="D441" s="56" t="s">
        <v>678</v>
      </c>
      <c r="E441" s="56" t="s">
        <v>683</v>
      </c>
      <c r="F441" s="57" t="s">
        <v>34</v>
      </c>
      <c r="G441" s="61"/>
      <c r="H441" s="53"/>
    </row>
    <row r="442" ht="24.75" hidden="1" customHeight="1">
      <c r="A442" s="54" t="s">
        <v>658</v>
      </c>
      <c r="B442" s="56" t="s">
        <v>699</v>
      </c>
      <c r="C442" s="56" t="s">
        <v>640</v>
      </c>
      <c r="D442" s="56" t="s">
        <v>678</v>
      </c>
      <c r="E442" s="56" t="s">
        <v>684</v>
      </c>
      <c r="F442" s="57" t="s">
        <v>154</v>
      </c>
      <c r="G442" s="61"/>
      <c r="H442" s="53"/>
    </row>
    <row r="443" ht="24.75" hidden="1" customHeight="1">
      <c r="A443" s="54" t="s">
        <v>658</v>
      </c>
      <c r="B443" s="56" t="s">
        <v>699</v>
      </c>
      <c r="C443" s="56" t="s">
        <v>640</v>
      </c>
      <c r="D443" s="56" t="s">
        <v>678</v>
      </c>
      <c r="E443" s="56" t="s">
        <v>695</v>
      </c>
      <c r="F443" s="57" t="s">
        <v>154</v>
      </c>
      <c r="G443" s="61"/>
      <c r="H443" s="53"/>
    </row>
    <row r="444" ht="24.75" hidden="1" customHeight="1">
      <c r="A444" s="54" t="s">
        <v>658</v>
      </c>
      <c r="B444" s="56" t="s">
        <v>699</v>
      </c>
      <c r="C444" s="56" t="s">
        <v>640</v>
      </c>
      <c r="D444" s="56" t="s">
        <v>678</v>
      </c>
      <c r="E444" s="56" t="s">
        <v>685</v>
      </c>
      <c r="F444" s="57" t="s">
        <v>154</v>
      </c>
      <c r="G444" s="61"/>
      <c r="H444" s="53"/>
    </row>
    <row r="445" ht="24.75" hidden="1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661</v>
      </c>
      <c r="F445" s="57" t="s">
        <v>34</v>
      </c>
      <c r="G445" s="61"/>
      <c r="H445" s="53"/>
    </row>
    <row r="446" ht="24.75" hidden="1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662</v>
      </c>
      <c r="F446" s="57" t="s">
        <v>34</v>
      </c>
      <c r="G446" s="61"/>
      <c r="H446" s="53"/>
    </row>
    <row r="447" ht="24.75" hidden="1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663</v>
      </c>
      <c r="F447" s="57" t="s">
        <v>34</v>
      </c>
      <c r="G447" s="61"/>
      <c r="H447" s="53"/>
    </row>
    <row r="448" ht="24.75" hidden="1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664</v>
      </c>
      <c r="F448" s="57" t="s">
        <v>34</v>
      </c>
      <c r="G448" s="61"/>
      <c r="H448" s="53"/>
    </row>
    <row r="449" ht="24.75" hidden="1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665</v>
      </c>
      <c r="F449" s="57" t="s">
        <v>34</v>
      </c>
      <c r="G449" s="61"/>
      <c r="H449" s="53"/>
    </row>
    <row r="450" ht="24.75" hidden="1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614</v>
      </c>
      <c r="F450" s="57" t="s">
        <v>34</v>
      </c>
      <c r="G450" s="61"/>
      <c r="H450" s="53"/>
    </row>
    <row r="451" ht="24.75" hidden="1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666</v>
      </c>
      <c r="F451" s="57" t="s">
        <v>34</v>
      </c>
      <c r="G451" s="61"/>
      <c r="H451" s="53"/>
    </row>
    <row r="452" ht="24.75" hidden="1" customHeight="1">
      <c r="A452" s="54" t="s">
        <v>658</v>
      </c>
      <c r="B452" s="56" t="s">
        <v>700</v>
      </c>
      <c r="C452" s="56" t="s">
        <v>645</v>
      </c>
      <c r="D452" s="56" t="s">
        <v>660</v>
      </c>
      <c r="E452" s="56" t="s">
        <v>667</v>
      </c>
      <c r="F452" s="57" t="s">
        <v>34</v>
      </c>
      <c r="G452" s="61"/>
      <c r="H452" s="53"/>
    </row>
    <row r="453" ht="24.75" hidden="1" customHeight="1">
      <c r="A453" s="54" t="s">
        <v>658</v>
      </c>
      <c r="B453" s="56" t="s">
        <v>700</v>
      </c>
      <c r="C453" s="56" t="s">
        <v>645</v>
      </c>
      <c r="D453" s="56" t="s">
        <v>660</v>
      </c>
      <c r="E453" s="56" t="s">
        <v>668</v>
      </c>
      <c r="F453" s="57" t="s">
        <v>154</v>
      </c>
      <c r="G453" s="61"/>
      <c r="H453" s="53"/>
    </row>
    <row r="454" ht="24.75" hidden="1" customHeight="1">
      <c r="A454" s="54" t="s">
        <v>658</v>
      </c>
      <c r="B454" s="56" t="s">
        <v>700</v>
      </c>
      <c r="C454" s="56" t="s">
        <v>645</v>
      </c>
      <c r="D454" s="56" t="s">
        <v>660</v>
      </c>
      <c r="E454" s="56" t="s">
        <v>669</v>
      </c>
      <c r="F454" s="57" t="s">
        <v>154</v>
      </c>
      <c r="G454" s="61"/>
      <c r="H454" s="53"/>
    </row>
    <row r="455" ht="24.75" hidden="1" customHeight="1">
      <c r="A455" s="54" t="s">
        <v>658</v>
      </c>
      <c r="B455" s="56" t="s">
        <v>700</v>
      </c>
      <c r="C455" s="56" t="s">
        <v>645</v>
      </c>
      <c r="D455" s="56" t="s">
        <v>660</v>
      </c>
      <c r="E455" s="56" t="s">
        <v>680</v>
      </c>
      <c r="F455" s="57" t="s">
        <v>154</v>
      </c>
      <c r="G455" s="61"/>
      <c r="H455" s="53"/>
    </row>
    <row r="456" ht="24.75" hidden="1" customHeight="1">
      <c r="A456" s="54" t="s">
        <v>658</v>
      </c>
      <c r="B456" s="56" t="s">
        <v>700</v>
      </c>
      <c r="C456" s="56" t="s">
        <v>645</v>
      </c>
      <c r="D456" s="56" t="s">
        <v>660</v>
      </c>
      <c r="E456" s="56" t="s">
        <v>671</v>
      </c>
      <c r="F456" s="57" t="s">
        <v>154</v>
      </c>
      <c r="G456" s="61"/>
      <c r="H456" s="53"/>
    </row>
    <row r="457" ht="24.75" hidden="1" customHeight="1">
      <c r="A457" s="54" t="s">
        <v>658</v>
      </c>
      <c r="B457" s="56" t="s">
        <v>700</v>
      </c>
      <c r="C457" s="56" t="s">
        <v>645</v>
      </c>
      <c r="D457" s="56" t="s">
        <v>660</v>
      </c>
      <c r="E457" s="56" t="s">
        <v>672</v>
      </c>
      <c r="F457" s="57" t="s">
        <v>154</v>
      </c>
      <c r="G457" s="61"/>
      <c r="H457" s="53"/>
    </row>
    <row r="458" ht="24.75" hidden="1" customHeight="1">
      <c r="A458" s="54" t="s">
        <v>658</v>
      </c>
      <c r="B458" s="56" t="s">
        <v>700</v>
      </c>
      <c r="C458" s="56" t="s">
        <v>645</v>
      </c>
      <c r="D458" s="56" t="s">
        <v>660</v>
      </c>
      <c r="E458" s="56" t="s">
        <v>673</v>
      </c>
      <c r="F458" s="57" t="s">
        <v>154</v>
      </c>
      <c r="G458" s="61"/>
      <c r="H458" s="53"/>
    </row>
    <row r="459" ht="24.75" hidden="1" customHeight="1">
      <c r="A459" s="54" t="s">
        <v>658</v>
      </c>
      <c r="B459" s="56" t="s">
        <v>703</v>
      </c>
      <c r="C459" s="56" t="s">
        <v>645</v>
      </c>
      <c r="D459" s="56" t="s">
        <v>675</v>
      </c>
      <c r="E459" s="56" t="s">
        <v>676</v>
      </c>
      <c r="F459" s="57" t="s">
        <v>34</v>
      </c>
      <c r="G459" s="61"/>
      <c r="H459" s="53"/>
    </row>
    <row r="460" ht="24.75" hidden="1" customHeight="1">
      <c r="A460" s="54" t="s">
        <v>658</v>
      </c>
      <c r="B460" s="56" t="s">
        <v>704</v>
      </c>
      <c r="C460" s="56" t="s">
        <v>645</v>
      </c>
      <c r="D460" s="56" t="s">
        <v>678</v>
      </c>
      <c r="E460" s="56" t="s">
        <v>679</v>
      </c>
      <c r="F460" s="57" t="s">
        <v>34</v>
      </c>
      <c r="G460" s="61"/>
      <c r="H460" s="53"/>
    </row>
    <row r="461" ht="24.75" hidden="1" customHeight="1">
      <c r="A461" s="54" t="s">
        <v>658</v>
      </c>
      <c r="B461" s="56" t="s">
        <v>704</v>
      </c>
      <c r="C461" s="56" t="s">
        <v>645</v>
      </c>
      <c r="D461" s="56" t="s">
        <v>678</v>
      </c>
      <c r="E461" s="56" t="s">
        <v>680</v>
      </c>
      <c r="F461" s="57" t="s">
        <v>34</v>
      </c>
      <c r="G461" s="61"/>
      <c r="H461" s="53"/>
    </row>
    <row r="462" ht="24.75" hidden="1" customHeight="1">
      <c r="A462" s="54" t="s">
        <v>658</v>
      </c>
      <c r="B462" s="56" t="s">
        <v>704</v>
      </c>
      <c r="C462" s="56" t="s">
        <v>645</v>
      </c>
      <c r="D462" s="56" t="s">
        <v>678</v>
      </c>
      <c r="E462" s="56" t="s">
        <v>682</v>
      </c>
      <c r="F462" s="57" t="s">
        <v>34</v>
      </c>
      <c r="G462" s="61"/>
      <c r="H462" s="53"/>
    </row>
    <row r="463" ht="24.75" hidden="1" customHeight="1">
      <c r="A463" s="54" t="s">
        <v>658</v>
      </c>
      <c r="B463" s="56" t="s">
        <v>704</v>
      </c>
      <c r="C463" s="56" t="s">
        <v>645</v>
      </c>
      <c r="D463" s="56" t="s">
        <v>678</v>
      </c>
      <c r="E463" s="56" t="s">
        <v>683</v>
      </c>
      <c r="F463" s="57" t="s">
        <v>34</v>
      </c>
      <c r="G463" s="61"/>
      <c r="H463" s="53"/>
    </row>
    <row r="464" ht="24.75" hidden="1" customHeight="1">
      <c r="A464" s="54" t="s">
        <v>658</v>
      </c>
      <c r="B464" s="56" t="s">
        <v>704</v>
      </c>
      <c r="C464" s="56" t="s">
        <v>645</v>
      </c>
      <c r="D464" s="56" t="s">
        <v>678</v>
      </c>
      <c r="E464" s="56" t="s">
        <v>684</v>
      </c>
      <c r="F464" s="57" t="s">
        <v>154</v>
      </c>
      <c r="G464" s="61"/>
      <c r="H464" s="53"/>
    </row>
    <row r="465" ht="24.75" hidden="1" customHeight="1">
      <c r="A465" s="54" t="s">
        <v>658</v>
      </c>
      <c r="B465" s="56" t="s">
        <v>704</v>
      </c>
      <c r="C465" s="56" t="s">
        <v>645</v>
      </c>
      <c r="D465" s="56" t="s">
        <v>678</v>
      </c>
      <c r="E465" s="56" t="s">
        <v>695</v>
      </c>
      <c r="F465" s="57" t="s">
        <v>154</v>
      </c>
      <c r="G465" s="61"/>
      <c r="H465" s="53"/>
    </row>
    <row r="466" ht="24.75" hidden="1" customHeight="1">
      <c r="A466" s="54" t="s">
        <v>658</v>
      </c>
      <c r="B466" s="56" t="s">
        <v>704</v>
      </c>
      <c r="C466" s="56" t="s">
        <v>645</v>
      </c>
      <c r="D466" s="56" t="s">
        <v>678</v>
      </c>
      <c r="E466" s="56" t="s">
        <v>685</v>
      </c>
      <c r="F466" s="57" t="s">
        <v>154</v>
      </c>
      <c r="G466" s="61"/>
      <c r="H466" s="53"/>
    </row>
    <row r="467" ht="24.75" hidden="1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661</v>
      </c>
      <c r="F467" s="57" t="s">
        <v>34</v>
      </c>
      <c r="G467" s="61"/>
      <c r="H467" s="53"/>
    </row>
    <row r="468" ht="24.75" hidden="1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662</v>
      </c>
      <c r="F468" s="57" t="s">
        <v>34</v>
      </c>
      <c r="G468" s="61"/>
      <c r="H468" s="53"/>
    </row>
    <row r="469" ht="24.75" hidden="1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663</v>
      </c>
      <c r="F469" s="57" t="s">
        <v>34</v>
      </c>
      <c r="G469" s="61"/>
      <c r="H469" s="53"/>
    </row>
    <row r="470" ht="24.75" hidden="1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664</v>
      </c>
      <c r="F470" s="57" t="s">
        <v>34</v>
      </c>
      <c r="G470" s="61"/>
      <c r="H470" s="53"/>
    </row>
    <row r="471" ht="24.75" hidden="1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665</v>
      </c>
      <c r="F471" s="57" t="s">
        <v>34</v>
      </c>
      <c r="G471" s="61"/>
      <c r="H471" s="53"/>
    </row>
    <row r="472" ht="24.75" hidden="1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614</v>
      </c>
      <c r="F472" s="57" t="s">
        <v>34</v>
      </c>
      <c r="G472" s="61"/>
      <c r="H472" s="53"/>
    </row>
    <row r="473" ht="24.75" hidden="1" customHeight="1">
      <c r="A473" s="54" t="s">
        <v>658</v>
      </c>
      <c r="B473" s="56" t="s">
        <v>705</v>
      </c>
      <c r="C473" s="56" t="s">
        <v>606</v>
      </c>
      <c r="D473" s="56" t="s">
        <v>660</v>
      </c>
      <c r="E473" s="56" t="s">
        <v>666</v>
      </c>
      <c r="F473" s="57" t="s">
        <v>34</v>
      </c>
      <c r="G473" s="61"/>
      <c r="H473" s="53"/>
    </row>
    <row r="474" ht="24.75" hidden="1" customHeight="1">
      <c r="A474" s="54" t="s">
        <v>658</v>
      </c>
      <c r="B474" s="56" t="s">
        <v>705</v>
      </c>
      <c r="C474" s="56" t="s">
        <v>606</v>
      </c>
      <c r="D474" s="56" t="s">
        <v>660</v>
      </c>
      <c r="E474" s="56" t="s">
        <v>667</v>
      </c>
      <c r="F474" s="57" t="s">
        <v>34</v>
      </c>
      <c r="G474" s="61"/>
      <c r="H474" s="53"/>
    </row>
    <row r="475" ht="24.75" hidden="1" customHeight="1">
      <c r="A475" s="54" t="s">
        <v>658</v>
      </c>
      <c r="B475" s="56" t="s">
        <v>705</v>
      </c>
      <c r="C475" s="56" t="s">
        <v>606</v>
      </c>
      <c r="D475" s="56" t="s">
        <v>660</v>
      </c>
      <c r="E475" s="56" t="s">
        <v>668</v>
      </c>
      <c r="F475" s="57" t="s">
        <v>154</v>
      </c>
      <c r="G475" s="61"/>
      <c r="H475" s="53"/>
    </row>
    <row r="476" ht="24.75" hidden="1" customHeight="1">
      <c r="A476" s="54" t="s">
        <v>658</v>
      </c>
      <c r="B476" s="56" t="s">
        <v>705</v>
      </c>
      <c r="C476" s="56" t="s">
        <v>606</v>
      </c>
      <c r="D476" s="56" t="s">
        <v>660</v>
      </c>
      <c r="E476" s="56" t="s">
        <v>669</v>
      </c>
      <c r="F476" s="57" t="s">
        <v>154</v>
      </c>
      <c r="G476" s="61"/>
      <c r="H476" s="53"/>
    </row>
    <row r="477" ht="24.75" hidden="1" customHeight="1">
      <c r="A477" s="54" t="s">
        <v>658</v>
      </c>
      <c r="B477" s="56" t="s">
        <v>705</v>
      </c>
      <c r="C477" s="56" t="s">
        <v>606</v>
      </c>
      <c r="D477" s="56" t="s">
        <v>660</v>
      </c>
      <c r="E477" s="56" t="s">
        <v>671</v>
      </c>
      <c r="F477" s="57" t="s">
        <v>154</v>
      </c>
      <c r="G477" s="61"/>
      <c r="H477" s="53"/>
    </row>
    <row r="478" ht="24.75" hidden="1" customHeight="1">
      <c r="A478" s="54" t="s">
        <v>658</v>
      </c>
      <c r="B478" s="56" t="s">
        <v>705</v>
      </c>
      <c r="C478" s="56" t="s">
        <v>606</v>
      </c>
      <c r="D478" s="56" t="s">
        <v>660</v>
      </c>
      <c r="E478" s="56" t="s">
        <v>672</v>
      </c>
      <c r="F478" s="57" t="s">
        <v>154</v>
      </c>
      <c r="G478" s="61"/>
      <c r="H478" s="53"/>
    </row>
    <row r="479" ht="24.75" hidden="1" customHeight="1">
      <c r="A479" s="54" t="s">
        <v>658</v>
      </c>
      <c r="B479" s="56" t="s">
        <v>705</v>
      </c>
      <c r="C479" s="56" t="s">
        <v>606</v>
      </c>
      <c r="D479" s="56" t="s">
        <v>660</v>
      </c>
      <c r="E479" s="56" t="s">
        <v>673</v>
      </c>
      <c r="F479" s="57" t="s">
        <v>154</v>
      </c>
      <c r="G479" s="61"/>
      <c r="H479" s="53"/>
    </row>
    <row r="480" ht="24.75" hidden="1" customHeight="1">
      <c r="A480" s="54" t="s">
        <v>658</v>
      </c>
      <c r="B480" s="56" t="s">
        <v>714</v>
      </c>
      <c r="C480" s="56" t="s">
        <v>606</v>
      </c>
      <c r="D480" s="56" t="s">
        <v>675</v>
      </c>
      <c r="E480" s="56" t="s">
        <v>676</v>
      </c>
      <c r="F480" s="57" t="s">
        <v>34</v>
      </c>
      <c r="G480" s="61"/>
      <c r="H480" s="53"/>
    </row>
    <row r="481" ht="24.75" hidden="1" customHeight="1">
      <c r="A481" s="54" t="s">
        <v>658</v>
      </c>
      <c r="B481" s="56" t="s">
        <v>715</v>
      </c>
      <c r="C481" s="56" t="s">
        <v>606</v>
      </c>
      <c r="D481" s="56" t="s">
        <v>716</v>
      </c>
      <c r="E481" s="56" t="s">
        <v>679</v>
      </c>
      <c r="F481" s="57" t="s">
        <v>34</v>
      </c>
      <c r="G481" s="61"/>
      <c r="H481" s="53"/>
    </row>
    <row r="482" ht="24.75" hidden="1" customHeight="1">
      <c r="A482" s="54" t="s">
        <v>658</v>
      </c>
      <c r="B482" s="56" t="s">
        <v>715</v>
      </c>
      <c r="C482" s="56" t="s">
        <v>606</v>
      </c>
      <c r="D482" s="56" t="s">
        <v>678</v>
      </c>
      <c r="E482" s="56" t="s">
        <v>680</v>
      </c>
      <c r="F482" s="57" t="s">
        <v>34</v>
      </c>
      <c r="G482" s="61"/>
      <c r="H482" s="53"/>
    </row>
    <row r="483" ht="24.75" hidden="1" customHeight="1">
      <c r="A483" s="54" t="s">
        <v>658</v>
      </c>
      <c r="B483" s="56" t="s">
        <v>715</v>
      </c>
      <c r="C483" s="56" t="s">
        <v>606</v>
      </c>
      <c r="D483" s="56" t="s">
        <v>716</v>
      </c>
      <c r="E483" s="56" t="s">
        <v>682</v>
      </c>
      <c r="F483" s="57" t="s">
        <v>34</v>
      </c>
      <c r="G483" s="61"/>
      <c r="H483" s="53"/>
    </row>
    <row r="484" ht="24.75" hidden="1" customHeight="1">
      <c r="A484" s="54" t="s">
        <v>658</v>
      </c>
      <c r="B484" s="56" t="s">
        <v>715</v>
      </c>
      <c r="C484" s="56" t="s">
        <v>606</v>
      </c>
      <c r="D484" s="56" t="s">
        <v>716</v>
      </c>
      <c r="E484" s="56" t="s">
        <v>683</v>
      </c>
      <c r="F484" s="57" t="s">
        <v>34</v>
      </c>
      <c r="G484" s="61"/>
      <c r="H484" s="53"/>
    </row>
    <row r="485" ht="24.75" hidden="1" customHeight="1">
      <c r="A485" s="54" t="s">
        <v>658</v>
      </c>
      <c r="B485" s="56" t="s">
        <v>715</v>
      </c>
      <c r="C485" s="56" t="s">
        <v>606</v>
      </c>
      <c r="D485" s="56" t="s">
        <v>716</v>
      </c>
      <c r="E485" s="56" t="s">
        <v>684</v>
      </c>
      <c r="F485" s="57" t="s">
        <v>154</v>
      </c>
      <c r="G485" s="61"/>
      <c r="H485" s="53"/>
    </row>
    <row r="486" ht="24.75" hidden="1" customHeight="1">
      <c r="A486" s="54" t="s">
        <v>658</v>
      </c>
      <c r="B486" s="56" t="s">
        <v>715</v>
      </c>
      <c r="C486" s="56" t="s">
        <v>606</v>
      </c>
      <c r="D486" s="56" t="s">
        <v>716</v>
      </c>
      <c r="E486" s="56" t="s">
        <v>695</v>
      </c>
      <c r="F486" s="57" t="s">
        <v>154</v>
      </c>
      <c r="G486" s="61"/>
      <c r="H486" s="53"/>
    </row>
    <row r="487" ht="24.75" hidden="1" customHeight="1">
      <c r="A487" s="54" t="s">
        <v>658</v>
      </c>
      <c r="B487" s="56" t="s">
        <v>715</v>
      </c>
      <c r="C487" s="56" t="s">
        <v>606</v>
      </c>
      <c r="D487" s="56" t="s">
        <v>716</v>
      </c>
      <c r="E487" s="56" t="s">
        <v>685</v>
      </c>
      <c r="F487" s="57" t="s">
        <v>154</v>
      </c>
      <c r="G487" s="61"/>
      <c r="H487" s="53"/>
    </row>
    <row r="488" ht="24.75" hidden="1" customHeight="1">
      <c r="A488" s="54" t="s">
        <v>658</v>
      </c>
      <c r="B488" s="56" t="s">
        <v>717</v>
      </c>
      <c r="C488" s="56" t="s">
        <v>718</v>
      </c>
      <c r="D488" s="56" t="s">
        <v>719</v>
      </c>
      <c r="E488" s="56" t="s">
        <v>239</v>
      </c>
      <c r="F488" s="57" t="s">
        <v>154</v>
      </c>
      <c r="G488" s="61"/>
      <c r="H488" s="53"/>
    </row>
    <row r="489" ht="24.75" hidden="1" customHeight="1">
      <c r="A489" s="54" t="s">
        <v>658</v>
      </c>
      <c r="B489" s="56" t="s">
        <v>720</v>
      </c>
      <c r="C489" s="56" t="s">
        <v>718</v>
      </c>
      <c r="D489" s="56" t="s">
        <v>721</v>
      </c>
      <c r="E489" s="56" t="s">
        <v>722</v>
      </c>
      <c r="F489" s="57" t="s">
        <v>154</v>
      </c>
      <c r="G489" s="61"/>
      <c r="H489" s="53"/>
    </row>
    <row r="490" ht="24.75" hidden="1" customHeight="1">
      <c r="A490" s="54" t="s">
        <v>658</v>
      </c>
      <c r="B490" s="56" t="s">
        <v>720</v>
      </c>
      <c r="C490" s="56" t="s">
        <v>718</v>
      </c>
      <c r="D490" s="56" t="s">
        <v>721</v>
      </c>
      <c r="E490" s="56" t="s">
        <v>723</v>
      </c>
      <c r="F490" s="57" t="s">
        <v>154</v>
      </c>
      <c r="G490" s="61"/>
      <c r="H490" s="53"/>
    </row>
    <row r="491" ht="24.75" hidden="1" customHeight="1">
      <c r="A491" s="54" t="s">
        <v>658</v>
      </c>
      <c r="B491" s="56" t="s">
        <v>724</v>
      </c>
      <c r="C491" s="56" t="s">
        <v>718</v>
      </c>
      <c r="D491" s="56" t="s">
        <v>725</v>
      </c>
      <c r="E491" s="56" t="s">
        <v>239</v>
      </c>
      <c r="F491" s="57" t="s">
        <v>154</v>
      </c>
      <c r="G491" s="61"/>
      <c r="H491" s="53"/>
    </row>
    <row r="492" ht="24.75" hidden="1" customHeight="1">
      <c r="A492" s="54" t="s">
        <v>658</v>
      </c>
      <c r="B492" s="56" t="s">
        <v>720</v>
      </c>
      <c r="C492" s="56" t="s">
        <v>718</v>
      </c>
      <c r="D492" s="56" t="s">
        <v>728</v>
      </c>
      <c r="E492" s="56" t="s">
        <v>722</v>
      </c>
      <c r="F492" s="57" t="s">
        <v>154</v>
      </c>
      <c r="G492" s="61"/>
      <c r="H492" s="53"/>
    </row>
    <row r="493" ht="24.75" hidden="1" customHeight="1">
      <c r="A493" s="54" t="s">
        <v>658</v>
      </c>
      <c r="B493" s="56" t="s">
        <v>720</v>
      </c>
      <c r="C493" s="56" t="s">
        <v>718</v>
      </c>
      <c r="D493" s="56" t="s">
        <v>728</v>
      </c>
      <c r="E493" s="56" t="s">
        <v>723</v>
      </c>
      <c r="F493" s="57" t="s">
        <v>154</v>
      </c>
      <c r="G493" s="61"/>
      <c r="H493" s="53"/>
    </row>
    <row r="494" ht="24.75" hidden="1" customHeight="1">
      <c r="A494" s="54" t="s">
        <v>729</v>
      </c>
      <c r="B494" s="56" t="s">
        <v>730</v>
      </c>
      <c r="C494" s="56" t="s">
        <v>731</v>
      </c>
      <c r="D494" s="56" t="s">
        <v>732</v>
      </c>
      <c r="E494" s="56" t="s">
        <v>167</v>
      </c>
      <c r="F494" s="57" t="s">
        <v>154</v>
      </c>
      <c r="G494" s="61"/>
      <c r="H494" s="53"/>
    </row>
    <row r="495" ht="24.75" hidden="1" customHeight="1">
      <c r="A495" s="54" t="s">
        <v>729</v>
      </c>
      <c r="B495" s="56" t="s">
        <v>730</v>
      </c>
      <c r="C495" s="56" t="s">
        <v>731</v>
      </c>
      <c r="D495" s="56" t="s">
        <v>732</v>
      </c>
      <c r="E495" s="56" t="s">
        <v>733</v>
      </c>
      <c r="F495" s="57" t="s">
        <v>154</v>
      </c>
      <c r="G495" s="61"/>
      <c r="H495" s="53"/>
    </row>
    <row r="496" ht="24.75" hidden="1" customHeight="1">
      <c r="A496" s="54" t="s">
        <v>729</v>
      </c>
      <c r="B496" s="56" t="s">
        <v>730</v>
      </c>
      <c r="C496" s="56" t="s">
        <v>731</v>
      </c>
      <c r="D496" s="56" t="s">
        <v>732</v>
      </c>
      <c r="E496" s="56" t="s">
        <v>176</v>
      </c>
      <c r="F496" s="57" t="s">
        <v>154</v>
      </c>
      <c r="G496" s="61"/>
      <c r="H496" s="53"/>
    </row>
    <row r="497" ht="24.75" hidden="1" customHeight="1">
      <c r="A497" s="54" t="s">
        <v>729</v>
      </c>
      <c r="B497" s="56" t="s">
        <v>734</v>
      </c>
      <c r="C497" s="56" t="s">
        <v>731</v>
      </c>
      <c r="D497" s="56" t="s">
        <v>735</v>
      </c>
      <c r="E497" s="56" t="s">
        <v>167</v>
      </c>
      <c r="F497" s="57" t="s">
        <v>154</v>
      </c>
      <c r="G497" s="61"/>
      <c r="H497" s="53"/>
    </row>
    <row r="498" ht="24.75" hidden="1" customHeight="1">
      <c r="A498" s="54" t="s">
        <v>729</v>
      </c>
      <c r="B498" s="56" t="s">
        <v>734</v>
      </c>
      <c r="C498" s="56" t="s">
        <v>731</v>
      </c>
      <c r="D498" s="56" t="s">
        <v>735</v>
      </c>
      <c r="E498" s="56" t="s">
        <v>733</v>
      </c>
      <c r="F498" s="57" t="s">
        <v>154</v>
      </c>
      <c r="G498" s="61"/>
      <c r="H498" s="53"/>
    </row>
    <row r="499" ht="24.75" hidden="1" customHeight="1">
      <c r="A499" s="54" t="s">
        <v>729</v>
      </c>
      <c r="B499" s="56" t="s">
        <v>734</v>
      </c>
      <c r="C499" s="56" t="s">
        <v>731</v>
      </c>
      <c r="D499" s="56" t="s">
        <v>735</v>
      </c>
      <c r="E499" s="56" t="s">
        <v>176</v>
      </c>
      <c r="F499" s="57" t="s">
        <v>154</v>
      </c>
      <c r="G499" s="61"/>
      <c r="H499" s="53"/>
    </row>
    <row r="500" ht="24.75" hidden="1" customHeight="1">
      <c r="A500" s="54" t="s">
        <v>729</v>
      </c>
      <c r="B500" s="56" t="s">
        <v>736</v>
      </c>
      <c r="C500" s="56" t="s">
        <v>731</v>
      </c>
      <c r="D500" s="56" t="s">
        <v>737</v>
      </c>
      <c r="E500" s="56" t="s">
        <v>167</v>
      </c>
      <c r="F500" s="57" t="s">
        <v>154</v>
      </c>
      <c r="G500" s="61"/>
      <c r="H500" s="53"/>
    </row>
    <row r="501" ht="24.75" hidden="1" customHeight="1">
      <c r="A501" s="54" t="s">
        <v>729</v>
      </c>
      <c r="B501" s="56" t="s">
        <v>736</v>
      </c>
      <c r="C501" s="56" t="s">
        <v>731</v>
      </c>
      <c r="D501" s="56" t="s">
        <v>737</v>
      </c>
      <c r="E501" s="56" t="s">
        <v>733</v>
      </c>
      <c r="F501" s="57" t="s">
        <v>154</v>
      </c>
      <c r="G501" s="61"/>
      <c r="H501" s="53"/>
    </row>
    <row r="502" ht="24.75" hidden="1" customHeight="1">
      <c r="A502" s="54" t="s">
        <v>729</v>
      </c>
      <c r="B502" s="56" t="s">
        <v>736</v>
      </c>
      <c r="C502" s="56" t="s">
        <v>731</v>
      </c>
      <c r="D502" s="56" t="s">
        <v>737</v>
      </c>
      <c r="E502" s="56" t="s">
        <v>176</v>
      </c>
      <c r="F502" s="57" t="s">
        <v>154</v>
      </c>
      <c r="G502" s="61"/>
      <c r="H502" s="53"/>
    </row>
    <row r="503" ht="24.75" hidden="1" customHeight="1">
      <c r="A503" s="54" t="s">
        <v>729</v>
      </c>
      <c r="B503" s="56" t="s">
        <v>738</v>
      </c>
      <c r="C503" s="56" t="s">
        <v>731</v>
      </c>
      <c r="D503" s="56" t="s">
        <v>175</v>
      </c>
      <c r="E503" s="56" t="s">
        <v>163</v>
      </c>
      <c r="F503" s="57" t="s">
        <v>154</v>
      </c>
      <c r="G503" s="61"/>
      <c r="H503" s="53"/>
    </row>
    <row r="504" ht="24.75" hidden="1" customHeight="1">
      <c r="A504" s="54" t="s">
        <v>729</v>
      </c>
      <c r="B504" s="56" t="s">
        <v>738</v>
      </c>
      <c r="C504" s="56" t="s">
        <v>731</v>
      </c>
      <c r="D504" s="56" t="s">
        <v>175</v>
      </c>
      <c r="E504" s="56" t="s">
        <v>176</v>
      </c>
      <c r="F504" s="57" t="s">
        <v>154</v>
      </c>
      <c r="G504" s="61"/>
      <c r="H504" s="53"/>
    </row>
    <row r="505" ht="24.75" hidden="1" customHeight="1">
      <c r="A505" s="54" t="s">
        <v>729</v>
      </c>
      <c r="B505" s="56" t="s">
        <v>739</v>
      </c>
      <c r="C505" s="56" t="s">
        <v>731</v>
      </c>
      <c r="D505" s="56" t="s">
        <v>186</v>
      </c>
      <c r="E505" s="56" t="s">
        <v>163</v>
      </c>
      <c r="F505" s="57" t="s">
        <v>154</v>
      </c>
      <c r="G505" s="61"/>
      <c r="H505" s="53"/>
    </row>
    <row r="506" ht="24.75" hidden="1" customHeight="1">
      <c r="A506" s="54" t="s">
        <v>729</v>
      </c>
      <c r="B506" s="56" t="s">
        <v>739</v>
      </c>
      <c r="C506" s="56" t="s">
        <v>731</v>
      </c>
      <c r="D506" s="56" t="s">
        <v>186</v>
      </c>
      <c r="E506" s="56" t="s">
        <v>176</v>
      </c>
      <c r="F506" s="57" t="s">
        <v>154</v>
      </c>
      <c r="G506" s="61"/>
      <c r="H506" s="53"/>
    </row>
    <row r="507" ht="24.75" hidden="1" customHeight="1">
      <c r="A507" s="54" t="s">
        <v>729</v>
      </c>
      <c r="B507" s="56" t="s">
        <v>740</v>
      </c>
      <c r="C507" s="56" t="s">
        <v>731</v>
      </c>
      <c r="D507" s="56" t="s">
        <v>183</v>
      </c>
      <c r="E507" s="56" t="s">
        <v>163</v>
      </c>
      <c r="F507" s="57" t="s">
        <v>154</v>
      </c>
      <c r="G507" s="61"/>
      <c r="H507" s="53"/>
    </row>
    <row r="508" ht="24.75" hidden="1" customHeight="1">
      <c r="A508" s="54" t="s">
        <v>729</v>
      </c>
      <c r="B508" s="56" t="s">
        <v>740</v>
      </c>
      <c r="C508" s="56" t="s">
        <v>731</v>
      </c>
      <c r="D508" s="56" t="s">
        <v>183</v>
      </c>
      <c r="E508" s="56" t="s">
        <v>176</v>
      </c>
      <c r="F508" s="57" t="s">
        <v>154</v>
      </c>
      <c r="G508" s="61"/>
      <c r="H508" s="53"/>
    </row>
    <row r="509" ht="24.75" hidden="1" customHeight="1">
      <c r="A509" s="54" t="s">
        <v>741</v>
      </c>
      <c r="B509" s="56" t="s">
        <v>742</v>
      </c>
      <c r="C509" s="56" t="s">
        <v>405</v>
      </c>
      <c r="D509" s="56" t="s">
        <v>743</v>
      </c>
      <c r="E509" s="56" t="s">
        <v>409</v>
      </c>
      <c r="F509" s="57" t="s">
        <v>154</v>
      </c>
      <c r="G509" s="61"/>
      <c r="H509" s="53"/>
    </row>
    <row r="510" ht="24.75" hidden="1" customHeight="1">
      <c r="A510" s="54" t="s">
        <v>741</v>
      </c>
      <c r="B510" s="56" t="s">
        <v>744</v>
      </c>
      <c r="C510" s="56" t="s">
        <v>745</v>
      </c>
      <c r="D510" s="56" t="s">
        <v>746</v>
      </c>
      <c r="E510" s="56" t="s">
        <v>747</v>
      </c>
      <c r="F510" s="57" t="s">
        <v>34</v>
      </c>
      <c r="G510" s="61"/>
      <c r="H510" s="53"/>
    </row>
    <row r="511" ht="24.75" hidden="1" customHeight="1">
      <c r="A511" s="54" t="s">
        <v>741</v>
      </c>
      <c r="B511" s="56" t="s">
        <v>744</v>
      </c>
      <c r="C511" s="56" t="s">
        <v>745</v>
      </c>
      <c r="D511" s="56" t="s">
        <v>746</v>
      </c>
      <c r="E511" s="56" t="s">
        <v>748</v>
      </c>
      <c r="F511" s="57" t="s">
        <v>154</v>
      </c>
      <c r="G511" s="61"/>
      <c r="H511" s="53"/>
    </row>
    <row r="512" ht="24.75" hidden="1" customHeight="1">
      <c r="A512" s="54" t="s">
        <v>741</v>
      </c>
      <c r="B512" s="56" t="s">
        <v>749</v>
      </c>
      <c r="C512" s="56" t="s">
        <v>745</v>
      </c>
      <c r="D512" s="56" t="s">
        <v>750</v>
      </c>
      <c r="E512" s="56" t="s">
        <v>747</v>
      </c>
      <c r="F512" s="57" t="s">
        <v>34</v>
      </c>
      <c r="G512" s="61"/>
      <c r="H512" s="53"/>
    </row>
    <row r="513" ht="24.75" hidden="1" customHeight="1">
      <c r="A513" s="54" t="s">
        <v>741</v>
      </c>
      <c r="B513" s="56" t="s">
        <v>749</v>
      </c>
      <c r="C513" s="56" t="s">
        <v>745</v>
      </c>
      <c r="D513" s="56" t="s">
        <v>750</v>
      </c>
      <c r="E513" s="56" t="s">
        <v>748</v>
      </c>
      <c r="F513" s="57" t="s">
        <v>154</v>
      </c>
      <c r="G513" s="61"/>
      <c r="H513" s="53"/>
    </row>
    <row r="514" ht="24.75" hidden="1" customHeight="1">
      <c r="A514" s="54" t="s">
        <v>741</v>
      </c>
      <c r="B514" s="56" t="s">
        <v>751</v>
      </c>
      <c r="C514" s="56" t="s">
        <v>610</v>
      </c>
      <c r="D514" s="56" t="s">
        <v>752</v>
      </c>
      <c r="E514" s="56" t="s">
        <v>753</v>
      </c>
      <c r="F514" s="57" t="s">
        <v>154</v>
      </c>
      <c r="G514" s="61"/>
      <c r="H514" s="53"/>
    </row>
    <row r="515" ht="24.75" hidden="1" customHeight="1">
      <c r="A515" s="54" t="s">
        <v>741</v>
      </c>
      <c r="B515" s="56" t="s">
        <v>751</v>
      </c>
      <c r="C515" s="56" t="s">
        <v>610</v>
      </c>
      <c r="D515" s="56" t="s">
        <v>752</v>
      </c>
      <c r="E515" s="56" t="s">
        <v>754</v>
      </c>
      <c r="F515" s="57" t="s">
        <v>154</v>
      </c>
      <c r="G515" s="61"/>
      <c r="H515" s="53"/>
    </row>
    <row r="516" ht="24.75" hidden="1" customHeight="1">
      <c r="A516" s="54" t="s">
        <v>741</v>
      </c>
      <c r="B516" s="56" t="s">
        <v>751</v>
      </c>
      <c r="C516" s="56" t="s">
        <v>610</v>
      </c>
      <c r="D516" s="56" t="s">
        <v>752</v>
      </c>
      <c r="E516" s="56" t="s">
        <v>755</v>
      </c>
      <c r="F516" s="57" t="s">
        <v>154</v>
      </c>
      <c r="G516" s="61"/>
      <c r="H516" s="53"/>
    </row>
    <row r="517" ht="24.75" hidden="1" customHeight="1">
      <c r="A517" s="54" t="s">
        <v>741</v>
      </c>
      <c r="B517" s="56" t="s">
        <v>756</v>
      </c>
      <c r="C517" s="56" t="s">
        <v>624</v>
      </c>
      <c r="D517" s="56" t="s">
        <v>752</v>
      </c>
      <c r="E517" s="56" t="s">
        <v>753</v>
      </c>
      <c r="F517" s="57" t="s">
        <v>154</v>
      </c>
      <c r="G517" s="61"/>
      <c r="H517" s="53"/>
    </row>
    <row r="518" ht="24.75" hidden="1" customHeight="1">
      <c r="A518" s="54" t="s">
        <v>741</v>
      </c>
      <c r="B518" s="56" t="s">
        <v>756</v>
      </c>
      <c r="C518" s="56" t="s">
        <v>624</v>
      </c>
      <c r="D518" s="56" t="s">
        <v>752</v>
      </c>
      <c r="E518" s="56" t="s">
        <v>754</v>
      </c>
      <c r="F518" s="57" t="s">
        <v>154</v>
      </c>
      <c r="G518" s="61"/>
      <c r="H518" s="53"/>
    </row>
    <row r="519" ht="24.75" hidden="1" customHeight="1">
      <c r="A519" s="54" t="s">
        <v>741</v>
      </c>
      <c r="B519" s="56" t="s">
        <v>756</v>
      </c>
      <c r="C519" s="56" t="s">
        <v>624</v>
      </c>
      <c r="D519" s="56" t="s">
        <v>752</v>
      </c>
      <c r="E519" s="56" t="s">
        <v>755</v>
      </c>
      <c r="F519" s="57" t="s">
        <v>154</v>
      </c>
      <c r="G519" s="61"/>
      <c r="H519" s="53"/>
    </row>
    <row r="520" ht="24.75" hidden="1" customHeight="1">
      <c r="A520" s="54" t="s">
        <v>741</v>
      </c>
      <c r="B520" s="56" t="s">
        <v>757</v>
      </c>
      <c r="C520" s="56" t="s">
        <v>627</v>
      </c>
      <c r="D520" s="56" t="s">
        <v>752</v>
      </c>
      <c r="E520" s="56" t="s">
        <v>753</v>
      </c>
      <c r="F520" s="57" t="s">
        <v>250</v>
      </c>
      <c r="G520" s="61"/>
      <c r="H520" s="53"/>
    </row>
    <row r="521" ht="24.75" hidden="1" customHeight="1">
      <c r="A521" s="54" t="s">
        <v>741</v>
      </c>
      <c r="B521" s="56" t="s">
        <v>757</v>
      </c>
      <c r="C521" s="56" t="s">
        <v>627</v>
      </c>
      <c r="D521" s="56" t="s">
        <v>752</v>
      </c>
      <c r="E521" s="56" t="s">
        <v>754</v>
      </c>
      <c r="F521" s="57" t="s">
        <v>250</v>
      </c>
      <c r="G521" s="61"/>
      <c r="H521" s="53"/>
    </row>
    <row r="522" ht="24.75" hidden="1" customHeight="1">
      <c r="A522" s="54" t="s">
        <v>741</v>
      </c>
      <c r="B522" s="56" t="s">
        <v>757</v>
      </c>
      <c r="C522" s="56" t="s">
        <v>627</v>
      </c>
      <c r="D522" s="56" t="s">
        <v>752</v>
      </c>
      <c r="E522" s="56" t="s">
        <v>755</v>
      </c>
      <c r="F522" s="57" t="s">
        <v>250</v>
      </c>
      <c r="G522" s="61"/>
      <c r="H522" s="53"/>
    </row>
    <row r="523" ht="24.75" hidden="1" customHeight="1">
      <c r="A523" s="54" t="s">
        <v>741</v>
      </c>
      <c r="B523" s="56" t="s">
        <v>758</v>
      </c>
      <c r="C523" s="56" t="s">
        <v>640</v>
      </c>
      <c r="D523" s="56" t="s">
        <v>752</v>
      </c>
      <c r="E523" s="56" t="s">
        <v>753</v>
      </c>
      <c r="F523" s="57" t="s">
        <v>250</v>
      </c>
      <c r="G523" s="61"/>
      <c r="H523" s="53"/>
    </row>
    <row r="524" ht="24.75" hidden="1" customHeight="1">
      <c r="A524" s="54" t="s">
        <v>741</v>
      </c>
      <c r="B524" s="56" t="s">
        <v>758</v>
      </c>
      <c r="C524" s="56" t="s">
        <v>640</v>
      </c>
      <c r="D524" s="56" t="s">
        <v>752</v>
      </c>
      <c r="E524" s="56" t="s">
        <v>754</v>
      </c>
      <c r="F524" s="57" t="s">
        <v>250</v>
      </c>
      <c r="G524" s="61"/>
      <c r="H524" s="53"/>
    </row>
    <row r="525" ht="24.75" hidden="1" customHeight="1">
      <c r="A525" s="54" t="s">
        <v>741</v>
      </c>
      <c r="B525" s="56" t="s">
        <v>758</v>
      </c>
      <c r="C525" s="56" t="s">
        <v>640</v>
      </c>
      <c r="D525" s="56" t="s">
        <v>752</v>
      </c>
      <c r="E525" s="56" t="s">
        <v>755</v>
      </c>
      <c r="F525" s="57" t="s">
        <v>250</v>
      </c>
      <c r="G525" s="61"/>
      <c r="H525" s="53"/>
    </row>
    <row r="526" ht="24.75" hidden="1" customHeight="1">
      <c r="A526" s="54" t="s">
        <v>741</v>
      </c>
      <c r="B526" s="56" t="s">
        <v>759</v>
      </c>
      <c r="C526" s="56" t="s">
        <v>645</v>
      </c>
      <c r="D526" s="56" t="s">
        <v>752</v>
      </c>
      <c r="E526" s="56" t="s">
        <v>753</v>
      </c>
      <c r="F526" s="57" t="s">
        <v>250</v>
      </c>
      <c r="G526" s="61"/>
      <c r="H526" s="53"/>
    </row>
    <row r="527" ht="24.75" hidden="1" customHeight="1">
      <c r="A527" s="54" t="s">
        <v>741</v>
      </c>
      <c r="B527" s="56" t="s">
        <v>759</v>
      </c>
      <c r="C527" s="56" t="s">
        <v>645</v>
      </c>
      <c r="D527" s="56" t="s">
        <v>752</v>
      </c>
      <c r="E527" s="56" t="s">
        <v>754</v>
      </c>
      <c r="F527" s="57" t="s">
        <v>250</v>
      </c>
      <c r="G527" s="61"/>
      <c r="H527" s="53"/>
    </row>
    <row r="528" ht="24.75" hidden="1" customHeight="1">
      <c r="A528" s="54" t="s">
        <v>741</v>
      </c>
      <c r="B528" s="56" t="s">
        <v>759</v>
      </c>
      <c r="C528" s="56" t="s">
        <v>645</v>
      </c>
      <c r="D528" s="56" t="s">
        <v>752</v>
      </c>
      <c r="E528" s="56" t="s">
        <v>755</v>
      </c>
      <c r="F528" s="57" t="s">
        <v>250</v>
      </c>
      <c r="G528" s="61"/>
      <c r="H528" s="53"/>
    </row>
    <row r="529" ht="24.75" hidden="1" customHeight="1">
      <c r="A529" s="54" t="s">
        <v>741</v>
      </c>
      <c r="B529" s="56" t="s">
        <v>760</v>
      </c>
      <c r="C529" s="56" t="s">
        <v>606</v>
      </c>
      <c r="D529" s="56" t="s">
        <v>752</v>
      </c>
      <c r="E529" s="56" t="s">
        <v>753</v>
      </c>
      <c r="F529" s="57" t="s">
        <v>250</v>
      </c>
      <c r="G529" s="61"/>
      <c r="H529" s="53"/>
    </row>
    <row r="530" ht="24.75" hidden="1" customHeight="1">
      <c r="A530" s="54" t="s">
        <v>741</v>
      </c>
      <c r="B530" s="56" t="s">
        <v>760</v>
      </c>
      <c r="C530" s="56" t="s">
        <v>606</v>
      </c>
      <c r="D530" s="56" t="s">
        <v>752</v>
      </c>
      <c r="E530" s="56" t="s">
        <v>754</v>
      </c>
      <c r="F530" s="57" t="s">
        <v>250</v>
      </c>
      <c r="G530" s="61"/>
      <c r="H530" s="53"/>
    </row>
    <row r="531" ht="24.75" hidden="1" customHeight="1">
      <c r="A531" s="54" t="s">
        <v>741</v>
      </c>
      <c r="B531" s="56" t="s">
        <v>760</v>
      </c>
      <c r="C531" s="56" t="s">
        <v>606</v>
      </c>
      <c r="D531" s="56" t="s">
        <v>752</v>
      </c>
      <c r="E531" s="56" t="s">
        <v>755</v>
      </c>
      <c r="F531" s="57" t="s">
        <v>250</v>
      </c>
      <c r="G531" s="61"/>
      <c r="H531" s="53"/>
    </row>
    <row r="532" ht="24.75" hidden="1" customHeight="1">
      <c r="A532" s="54" t="s">
        <v>761</v>
      </c>
      <c r="B532" s="56" t="s">
        <v>762</v>
      </c>
      <c r="C532" s="56" t="s">
        <v>763</v>
      </c>
      <c r="D532" s="56" t="s">
        <v>764</v>
      </c>
      <c r="E532" s="56" t="s">
        <v>195</v>
      </c>
      <c r="F532" s="57" t="s">
        <v>34</v>
      </c>
      <c r="G532" s="61"/>
      <c r="H532" s="53"/>
    </row>
    <row r="533" ht="24.75" hidden="1" customHeight="1">
      <c r="A533" s="54" t="s">
        <v>761</v>
      </c>
      <c r="B533" s="56" t="s">
        <v>762</v>
      </c>
      <c r="C533" s="56" t="s">
        <v>763</v>
      </c>
      <c r="D533" s="56" t="s">
        <v>764</v>
      </c>
      <c r="E533" s="56" t="s">
        <v>196</v>
      </c>
      <c r="F533" s="57" t="s">
        <v>154</v>
      </c>
      <c r="G533" s="61"/>
      <c r="H533" s="53"/>
    </row>
    <row r="534" ht="24.75" hidden="1" customHeight="1">
      <c r="A534" s="54" t="s">
        <v>761</v>
      </c>
      <c r="B534" s="56" t="s">
        <v>762</v>
      </c>
      <c r="C534" s="56" t="s">
        <v>763</v>
      </c>
      <c r="D534" s="56" t="s">
        <v>764</v>
      </c>
      <c r="E534" s="56" t="s">
        <v>191</v>
      </c>
      <c r="F534" s="57" t="s">
        <v>192</v>
      </c>
      <c r="G534" s="61"/>
      <c r="H534" s="53"/>
    </row>
    <row r="535" ht="24.75" hidden="1" customHeight="1">
      <c r="A535" s="54" t="s">
        <v>761</v>
      </c>
      <c r="B535" s="56" t="s">
        <v>762</v>
      </c>
      <c r="C535" s="56" t="s">
        <v>763</v>
      </c>
      <c r="D535" s="56" t="s">
        <v>764</v>
      </c>
      <c r="E535" s="56" t="s">
        <v>194</v>
      </c>
      <c r="F535" s="57" t="s">
        <v>192</v>
      </c>
      <c r="G535" s="61"/>
      <c r="H535" s="53"/>
    </row>
    <row r="536" ht="24.75" hidden="1" customHeight="1">
      <c r="A536" s="54" t="s">
        <v>761</v>
      </c>
      <c r="B536" s="56" t="s">
        <v>765</v>
      </c>
      <c r="C536" s="56" t="s">
        <v>766</v>
      </c>
      <c r="D536" s="56" t="s">
        <v>767</v>
      </c>
      <c r="E536" s="56" t="s">
        <v>768</v>
      </c>
      <c r="F536" s="57" t="s">
        <v>154</v>
      </c>
      <c r="G536" s="61"/>
      <c r="H536" s="53"/>
    </row>
    <row r="537" ht="24.75" hidden="1" customHeight="1">
      <c r="A537" s="54" t="s">
        <v>761</v>
      </c>
      <c r="B537" s="56" t="s">
        <v>765</v>
      </c>
      <c r="C537" s="56" t="s">
        <v>766</v>
      </c>
      <c r="D537" s="56" t="s">
        <v>767</v>
      </c>
      <c r="E537" s="56" t="s">
        <v>771</v>
      </c>
      <c r="F537" s="57" t="s">
        <v>154</v>
      </c>
      <c r="G537" s="61"/>
      <c r="H537" s="53"/>
    </row>
    <row r="538" ht="24.75" hidden="1" customHeight="1">
      <c r="A538" s="54" t="s">
        <v>761</v>
      </c>
      <c r="B538" s="56" t="s">
        <v>765</v>
      </c>
      <c r="C538" s="56" t="s">
        <v>766</v>
      </c>
      <c r="D538" s="56" t="s">
        <v>767</v>
      </c>
      <c r="E538" s="56" t="s">
        <v>773</v>
      </c>
      <c r="F538" s="57" t="s">
        <v>154</v>
      </c>
      <c r="G538" s="61"/>
      <c r="H538" s="53"/>
    </row>
    <row r="539" ht="24.75" hidden="1" customHeight="1">
      <c r="A539" s="54" t="s">
        <v>761</v>
      </c>
      <c r="B539" s="56" t="s">
        <v>765</v>
      </c>
      <c r="C539" s="56" t="s">
        <v>766</v>
      </c>
      <c r="D539" s="56" t="s">
        <v>767</v>
      </c>
      <c r="E539" s="56" t="s">
        <v>774</v>
      </c>
      <c r="F539" s="57" t="s">
        <v>154</v>
      </c>
      <c r="G539" s="61"/>
      <c r="H539" s="53"/>
    </row>
    <row r="540" ht="24.75" hidden="1" customHeight="1">
      <c r="A540" s="54" t="s">
        <v>761</v>
      </c>
      <c r="B540" s="56" t="s">
        <v>765</v>
      </c>
      <c r="C540" s="56" t="s">
        <v>766</v>
      </c>
      <c r="D540" s="56" t="s">
        <v>767</v>
      </c>
      <c r="E540" s="56" t="s">
        <v>775</v>
      </c>
      <c r="F540" s="57" t="s">
        <v>154</v>
      </c>
      <c r="G540" s="61"/>
      <c r="H540" s="53"/>
    </row>
    <row r="541" ht="24.75" customHeight="1">
      <c r="A541" s="54" t="s">
        <v>761</v>
      </c>
      <c r="B541" s="56" t="s">
        <v>765</v>
      </c>
      <c r="C541" s="56" t="s">
        <v>766</v>
      </c>
      <c r="D541" s="56" t="s">
        <v>776</v>
      </c>
      <c r="E541" s="56" t="s">
        <v>777</v>
      </c>
      <c r="F541" s="57" t="s">
        <v>15</v>
      </c>
      <c r="G541" s="61"/>
      <c r="H541" s="75"/>
      <c r="I541" s="78"/>
      <c r="J541" s="78"/>
      <c r="K541" s="78"/>
      <c r="L541" s="78"/>
    </row>
    <row r="542" ht="24.75" customHeight="1">
      <c r="A542" s="54" t="s">
        <v>761</v>
      </c>
      <c r="B542" s="56" t="s">
        <v>765</v>
      </c>
      <c r="C542" s="56" t="s">
        <v>766</v>
      </c>
      <c r="D542" s="56" t="s">
        <v>776</v>
      </c>
      <c r="E542" s="56" t="s">
        <v>778</v>
      </c>
      <c r="F542" s="57" t="s">
        <v>15</v>
      </c>
      <c r="G542" s="61"/>
      <c r="H542" s="75"/>
      <c r="I542" s="78"/>
      <c r="J542" s="78"/>
      <c r="K542" s="78"/>
      <c r="L542" s="78"/>
    </row>
    <row r="543" ht="24.75" hidden="1" customHeight="1">
      <c r="A543" s="54" t="s">
        <v>761</v>
      </c>
      <c r="B543" s="56" t="s">
        <v>779</v>
      </c>
      <c r="C543" s="56" t="s">
        <v>780</v>
      </c>
      <c r="D543" s="56" t="s">
        <v>781</v>
      </c>
      <c r="E543" s="56" t="s">
        <v>232</v>
      </c>
      <c r="F543" s="57" t="s">
        <v>154</v>
      </c>
      <c r="G543" s="61"/>
      <c r="H543" s="83"/>
    </row>
    <row r="544" ht="24.75" hidden="1" customHeight="1">
      <c r="A544" s="54" t="s">
        <v>761</v>
      </c>
      <c r="B544" s="56" t="s">
        <v>779</v>
      </c>
      <c r="C544" s="56" t="s">
        <v>780</v>
      </c>
      <c r="D544" s="56" t="s">
        <v>781</v>
      </c>
      <c r="E544" s="56" t="s">
        <v>783</v>
      </c>
      <c r="F544" s="57" t="s">
        <v>154</v>
      </c>
      <c r="G544" s="61"/>
      <c r="H544" s="53"/>
    </row>
    <row r="545" ht="24.75" hidden="1" customHeight="1">
      <c r="A545" s="54" t="s">
        <v>761</v>
      </c>
      <c r="B545" s="56" t="s">
        <v>779</v>
      </c>
      <c r="C545" s="56" t="s">
        <v>780</v>
      </c>
      <c r="D545" s="56" t="s">
        <v>781</v>
      </c>
      <c r="E545" s="56" t="s">
        <v>230</v>
      </c>
      <c r="F545" s="57" t="s">
        <v>154</v>
      </c>
      <c r="G545" s="61"/>
      <c r="H545" s="83"/>
    </row>
    <row r="546" ht="24.75" hidden="1" customHeight="1">
      <c r="A546" s="54" t="s">
        <v>761</v>
      </c>
      <c r="B546" s="56" t="s">
        <v>784</v>
      </c>
      <c r="C546" s="56" t="s">
        <v>763</v>
      </c>
      <c r="D546" s="56" t="s">
        <v>785</v>
      </c>
      <c r="E546" s="56" t="s">
        <v>216</v>
      </c>
      <c r="F546" s="57" t="s">
        <v>34</v>
      </c>
      <c r="G546" s="61"/>
      <c r="H546" s="53"/>
    </row>
    <row r="547" ht="24.75" hidden="1" customHeight="1">
      <c r="A547" s="54" t="s">
        <v>761</v>
      </c>
      <c r="B547" s="56" t="s">
        <v>784</v>
      </c>
      <c r="C547" s="56" t="s">
        <v>763</v>
      </c>
      <c r="D547" s="56" t="s">
        <v>785</v>
      </c>
      <c r="E547" s="56" t="s">
        <v>786</v>
      </c>
      <c r="F547" s="57" t="s">
        <v>34</v>
      </c>
      <c r="G547" s="61"/>
      <c r="H547" s="53"/>
    </row>
    <row r="548" ht="24.75" hidden="1" customHeight="1">
      <c r="A548" s="54" t="s">
        <v>761</v>
      </c>
      <c r="B548" s="56" t="s">
        <v>784</v>
      </c>
      <c r="C548" s="56" t="s">
        <v>763</v>
      </c>
      <c r="D548" s="56" t="s">
        <v>787</v>
      </c>
      <c r="E548" s="56" t="s">
        <v>163</v>
      </c>
      <c r="F548" s="57" t="s">
        <v>34</v>
      </c>
      <c r="G548" s="61"/>
      <c r="H548" s="53"/>
    </row>
    <row r="549" ht="24.75" hidden="1" customHeight="1">
      <c r="A549" s="54" t="s">
        <v>761</v>
      </c>
      <c r="B549" s="56" t="s">
        <v>784</v>
      </c>
      <c r="C549" s="56" t="s">
        <v>763</v>
      </c>
      <c r="D549" s="56" t="s">
        <v>787</v>
      </c>
      <c r="E549" s="56" t="s">
        <v>788</v>
      </c>
      <c r="F549" s="57" t="s">
        <v>154</v>
      </c>
      <c r="G549" s="61"/>
      <c r="H549" s="53"/>
    </row>
    <row r="550" ht="24.75" hidden="1" customHeight="1">
      <c r="A550" s="54" t="s">
        <v>761</v>
      </c>
      <c r="B550" s="56" t="s">
        <v>784</v>
      </c>
      <c r="C550" s="56" t="s">
        <v>763</v>
      </c>
      <c r="D550" s="56" t="s">
        <v>787</v>
      </c>
      <c r="E550" s="56" t="s">
        <v>213</v>
      </c>
      <c r="F550" s="57"/>
      <c r="G550" s="50"/>
      <c r="H550" s="53"/>
    </row>
    <row r="551" ht="24.75" hidden="1" customHeight="1">
      <c r="A551" s="54" t="s">
        <v>761</v>
      </c>
      <c r="B551" s="56" t="s">
        <v>784</v>
      </c>
      <c r="C551" s="56" t="s">
        <v>763</v>
      </c>
      <c r="D551" s="56" t="s">
        <v>789</v>
      </c>
      <c r="E551" s="56" t="s">
        <v>790</v>
      </c>
      <c r="F551" s="57" t="s">
        <v>154</v>
      </c>
      <c r="G551" s="61"/>
      <c r="H551" s="53"/>
    </row>
    <row r="552" ht="24.75" hidden="1" customHeight="1">
      <c r="A552" s="54" t="s">
        <v>761</v>
      </c>
      <c r="B552" s="56" t="s">
        <v>791</v>
      </c>
      <c r="C552" s="56" t="s">
        <v>792</v>
      </c>
      <c r="D552" s="56" t="s">
        <v>793</v>
      </c>
      <c r="E552" s="56" t="s">
        <v>794</v>
      </c>
      <c r="F552" s="57" t="s">
        <v>154</v>
      </c>
      <c r="G552" s="61"/>
      <c r="H552" s="53"/>
    </row>
    <row r="553" ht="24.75" hidden="1" customHeight="1">
      <c r="A553" s="54" t="s">
        <v>761</v>
      </c>
      <c r="B553" s="56" t="s">
        <v>795</v>
      </c>
      <c r="C553" s="56" t="s">
        <v>792</v>
      </c>
      <c r="D553" s="56" t="s">
        <v>796</v>
      </c>
      <c r="E553" s="56" t="s">
        <v>797</v>
      </c>
      <c r="F553" s="57" t="s">
        <v>154</v>
      </c>
      <c r="G553" s="81"/>
      <c r="H553" s="53"/>
    </row>
    <row r="554" ht="24.75" hidden="1" customHeight="1">
      <c r="A554" s="54" t="s">
        <v>761</v>
      </c>
      <c r="B554" s="56" t="s">
        <v>798</v>
      </c>
      <c r="C554" s="56" t="s">
        <v>792</v>
      </c>
      <c r="D554" s="56" t="s">
        <v>799</v>
      </c>
      <c r="E554" s="56" t="s">
        <v>790</v>
      </c>
      <c r="F554" s="57" t="s">
        <v>154</v>
      </c>
      <c r="G554" s="61"/>
      <c r="H554" s="53"/>
    </row>
    <row r="555" ht="24.75" hidden="1" customHeight="1">
      <c r="A555" s="54" t="s">
        <v>761</v>
      </c>
      <c r="B555" s="56" t="s">
        <v>801</v>
      </c>
      <c r="C555" s="56" t="s">
        <v>792</v>
      </c>
      <c r="D555" s="56" t="s">
        <v>802</v>
      </c>
      <c r="E555" s="56" t="s">
        <v>790</v>
      </c>
      <c r="F555" s="57" t="s">
        <v>154</v>
      </c>
      <c r="G555" s="61"/>
      <c r="H555" s="53"/>
    </row>
    <row r="556" ht="24.75" hidden="1" customHeight="1">
      <c r="A556" s="54" t="s">
        <v>761</v>
      </c>
      <c r="B556" s="56" t="s">
        <v>804</v>
      </c>
      <c r="C556" s="56" t="s">
        <v>792</v>
      </c>
      <c r="D556" s="56" t="s">
        <v>805</v>
      </c>
      <c r="E556" s="56" t="s">
        <v>790</v>
      </c>
      <c r="F556" s="57" t="s">
        <v>154</v>
      </c>
      <c r="G556" s="61"/>
      <c r="H556" s="53"/>
    </row>
    <row r="557" ht="24.75" hidden="1" customHeight="1">
      <c r="A557" s="54" t="s">
        <v>761</v>
      </c>
      <c r="B557" s="56" t="s">
        <v>807</v>
      </c>
      <c r="C557" s="56" t="s">
        <v>792</v>
      </c>
      <c r="D557" s="56" t="s">
        <v>808</v>
      </c>
      <c r="E557" s="56" t="s">
        <v>790</v>
      </c>
      <c r="F557" s="57" t="s">
        <v>154</v>
      </c>
      <c r="G557" s="61"/>
      <c r="H557" s="53"/>
    </row>
    <row r="558" ht="24.75" hidden="1" customHeight="1">
      <c r="A558" s="54" t="s">
        <v>761</v>
      </c>
      <c r="B558" s="56" t="s">
        <v>807</v>
      </c>
      <c r="C558" s="56" t="s">
        <v>792</v>
      </c>
      <c r="D558" s="56" t="s">
        <v>809</v>
      </c>
      <c r="E558" s="56" t="s">
        <v>790</v>
      </c>
      <c r="F558" s="57" t="s">
        <v>154</v>
      </c>
      <c r="G558" s="61"/>
      <c r="H558" s="53"/>
    </row>
    <row r="559" ht="24.75" hidden="1" customHeight="1">
      <c r="A559" s="54" t="s">
        <v>761</v>
      </c>
      <c r="B559" s="56" t="s">
        <v>811</v>
      </c>
      <c r="C559" s="56" t="s">
        <v>792</v>
      </c>
      <c r="D559" s="56" t="s">
        <v>812</v>
      </c>
      <c r="E559" s="56" t="s">
        <v>790</v>
      </c>
      <c r="F559" s="57" t="s">
        <v>154</v>
      </c>
      <c r="G559" s="61"/>
      <c r="H559" s="53"/>
    </row>
    <row r="560" ht="24.75" hidden="1" customHeight="1">
      <c r="A560" s="54" t="s">
        <v>761</v>
      </c>
      <c r="B560" s="56" t="s">
        <v>813</v>
      </c>
      <c r="C560" s="56" t="s">
        <v>792</v>
      </c>
      <c r="D560" s="56" t="s">
        <v>814</v>
      </c>
      <c r="E560" s="56" t="s">
        <v>790</v>
      </c>
      <c r="F560" s="57" t="s">
        <v>154</v>
      </c>
      <c r="G560" s="61"/>
      <c r="H560" s="53"/>
    </row>
    <row r="561" ht="24.75" hidden="1" customHeight="1">
      <c r="A561" s="54" t="s">
        <v>761</v>
      </c>
      <c r="B561" s="56" t="s">
        <v>815</v>
      </c>
      <c r="C561" s="56" t="s">
        <v>792</v>
      </c>
      <c r="D561" s="56" t="s">
        <v>816</v>
      </c>
      <c r="E561" s="56" t="s">
        <v>790</v>
      </c>
      <c r="F561" s="57" t="s">
        <v>154</v>
      </c>
      <c r="G561" s="61"/>
      <c r="H561" s="53"/>
    </row>
    <row r="562" ht="24.75" hidden="1" customHeight="1">
      <c r="A562" s="54" t="s">
        <v>761</v>
      </c>
      <c r="B562" s="56" t="s">
        <v>815</v>
      </c>
      <c r="C562" s="104" t="s">
        <v>792</v>
      </c>
      <c r="D562" s="56" t="s">
        <v>816</v>
      </c>
      <c r="E562" s="56" t="s">
        <v>817</v>
      </c>
      <c r="F562" s="57" t="s">
        <v>154</v>
      </c>
      <c r="G562" s="61"/>
      <c r="H562" s="53"/>
    </row>
    <row r="563" ht="24.75" hidden="1" customHeight="1">
      <c r="A563" s="54" t="s">
        <v>761</v>
      </c>
      <c r="B563" s="56" t="s">
        <v>818</v>
      </c>
      <c r="C563" s="104" t="s">
        <v>792</v>
      </c>
      <c r="D563" s="56" t="s">
        <v>819</v>
      </c>
      <c r="E563" s="56" t="s">
        <v>790</v>
      </c>
      <c r="F563" s="57" t="s">
        <v>154</v>
      </c>
      <c r="G563" s="61"/>
      <c r="H563" s="53"/>
    </row>
    <row r="564" ht="24.75" hidden="1" customHeight="1">
      <c r="A564" s="54" t="s">
        <v>761</v>
      </c>
      <c r="B564" s="56" t="s">
        <v>818</v>
      </c>
      <c r="C564" s="104" t="s">
        <v>792</v>
      </c>
      <c r="D564" s="56" t="s">
        <v>820</v>
      </c>
      <c r="E564" s="56" t="s">
        <v>817</v>
      </c>
      <c r="F564" s="57" t="s">
        <v>154</v>
      </c>
      <c r="G564" s="61"/>
      <c r="H564" s="53"/>
    </row>
    <row r="565" ht="24.75" hidden="1" customHeight="1">
      <c r="A565" s="54" t="s">
        <v>761</v>
      </c>
      <c r="B565" s="56" t="s">
        <v>818</v>
      </c>
      <c r="C565" s="104" t="s">
        <v>792</v>
      </c>
      <c r="D565" s="56" t="s">
        <v>821</v>
      </c>
      <c r="E565" s="56" t="s">
        <v>817</v>
      </c>
      <c r="F565" s="57" t="s">
        <v>154</v>
      </c>
      <c r="G565" s="61"/>
      <c r="H565" s="53"/>
    </row>
    <row r="566" ht="24.75" hidden="1" customHeight="1">
      <c r="A566" s="54" t="s">
        <v>761</v>
      </c>
      <c r="B566" s="56" t="s">
        <v>818</v>
      </c>
      <c r="C566" s="104" t="s">
        <v>792</v>
      </c>
      <c r="D566" s="56" t="s">
        <v>822</v>
      </c>
      <c r="E566" s="56" t="s">
        <v>790</v>
      </c>
      <c r="F566" s="57" t="s">
        <v>154</v>
      </c>
      <c r="G566" s="61"/>
      <c r="H566" s="53"/>
    </row>
    <row r="567" ht="24.75" hidden="1" customHeight="1">
      <c r="A567" s="54" t="s">
        <v>761</v>
      </c>
      <c r="B567" s="56" t="s">
        <v>791</v>
      </c>
      <c r="C567" s="104" t="s">
        <v>792</v>
      </c>
      <c r="D567" s="56" t="s">
        <v>793</v>
      </c>
      <c r="E567" s="56" t="s">
        <v>824</v>
      </c>
      <c r="F567" s="57" t="s">
        <v>192</v>
      </c>
      <c r="G567" s="61"/>
      <c r="H567" s="53"/>
    </row>
    <row r="568" ht="24.75" hidden="1" customHeight="1">
      <c r="A568" s="54" t="s">
        <v>761</v>
      </c>
      <c r="B568" s="56" t="s">
        <v>825</v>
      </c>
      <c r="C568" s="104" t="s">
        <v>792</v>
      </c>
      <c r="D568" s="56" t="s">
        <v>826</v>
      </c>
      <c r="E568" s="56" t="s">
        <v>232</v>
      </c>
      <c r="F568" s="76" t="s">
        <v>154</v>
      </c>
      <c r="G568" s="61"/>
      <c r="H568" s="53"/>
    </row>
    <row r="569" ht="24.75" hidden="1" customHeight="1">
      <c r="A569" s="54" t="s">
        <v>761</v>
      </c>
      <c r="B569" s="56" t="s">
        <v>825</v>
      </c>
      <c r="C569" s="56" t="s">
        <v>792</v>
      </c>
      <c r="D569" s="56" t="s">
        <v>826</v>
      </c>
      <c r="E569" s="56" t="s">
        <v>794</v>
      </c>
      <c r="F569" s="57" t="s">
        <v>154</v>
      </c>
      <c r="G569" s="61"/>
      <c r="H569" s="53"/>
    </row>
    <row r="570" ht="24.75" hidden="1" customHeight="1">
      <c r="A570" s="54" t="s">
        <v>761</v>
      </c>
      <c r="B570" s="56" t="s">
        <v>825</v>
      </c>
      <c r="C570" s="56" t="s">
        <v>792</v>
      </c>
      <c r="D570" s="56" t="s">
        <v>826</v>
      </c>
      <c r="E570" s="56" t="s">
        <v>824</v>
      </c>
      <c r="F570" s="57" t="s">
        <v>192</v>
      </c>
      <c r="G570" s="61"/>
      <c r="H570" s="53"/>
    </row>
    <row r="571" ht="24.75" hidden="1" customHeight="1">
      <c r="A571" s="54" t="s">
        <v>761</v>
      </c>
      <c r="B571" s="56" t="s">
        <v>827</v>
      </c>
      <c r="C571" s="56" t="s">
        <v>792</v>
      </c>
      <c r="D571" s="56" t="s">
        <v>828</v>
      </c>
      <c r="E571" s="56" t="s">
        <v>829</v>
      </c>
      <c r="F571" s="76" t="s">
        <v>154</v>
      </c>
      <c r="G571" s="61"/>
      <c r="H571" s="53"/>
    </row>
    <row r="572" ht="24.75" hidden="1" customHeight="1">
      <c r="A572" s="54" t="s">
        <v>761</v>
      </c>
      <c r="B572" s="56" t="s">
        <v>827</v>
      </c>
      <c r="C572" s="56" t="s">
        <v>792</v>
      </c>
      <c r="D572" s="56" t="s">
        <v>828</v>
      </c>
      <c r="E572" s="56" t="s">
        <v>830</v>
      </c>
      <c r="F572" s="57" t="s">
        <v>154</v>
      </c>
      <c r="G572" s="61"/>
      <c r="H572" s="53"/>
    </row>
    <row r="573" ht="24.75" hidden="1" customHeight="1">
      <c r="A573" s="54" t="s">
        <v>831</v>
      </c>
      <c r="B573" s="56" t="s">
        <v>832</v>
      </c>
      <c r="C573" s="56" t="s">
        <v>833</v>
      </c>
      <c r="D573" s="56" t="s">
        <v>834</v>
      </c>
      <c r="E573" s="56" t="s">
        <v>111</v>
      </c>
      <c r="F573" s="57" t="s">
        <v>34</v>
      </c>
      <c r="G573" s="61"/>
      <c r="H573" s="53"/>
    </row>
    <row r="574" ht="24.75" hidden="1" customHeight="1">
      <c r="A574" s="54" t="s">
        <v>831</v>
      </c>
      <c r="B574" s="56" t="s">
        <v>832</v>
      </c>
      <c r="C574" s="56" t="s">
        <v>833</v>
      </c>
      <c r="D574" s="56" t="s">
        <v>834</v>
      </c>
      <c r="E574" s="56" t="s">
        <v>835</v>
      </c>
      <c r="F574" s="57" t="s">
        <v>34</v>
      </c>
      <c r="G574" s="61"/>
      <c r="H574" s="53"/>
    </row>
    <row r="575" ht="24.75" hidden="1" customHeight="1">
      <c r="A575" s="54" t="s">
        <v>831</v>
      </c>
      <c r="B575" s="56" t="s">
        <v>832</v>
      </c>
      <c r="C575" s="56" t="s">
        <v>833</v>
      </c>
      <c r="D575" s="56" t="s">
        <v>834</v>
      </c>
      <c r="E575" s="56" t="s">
        <v>836</v>
      </c>
      <c r="F575" s="57" t="s">
        <v>154</v>
      </c>
      <c r="G575" s="61"/>
      <c r="H575" s="53"/>
    </row>
    <row r="576" ht="24.75" hidden="1" customHeight="1">
      <c r="A576" s="54" t="s">
        <v>831</v>
      </c>
      <c r="B576" s="56" t="s">
        <v>837</v>
      </c>
      <c r="C576" s="56" t="s">
        <v>838</v>
      </c>
      <c r="D576" s="56" t="s">
        <v>839</v>
      </c>
      <c r="E576" s="56" t="s">
        <v>771</v>
      </c>
      <c r="F576" s="57" t="s">
        <v>154</v>
      </c>
      <c r="G576" s="61"/>
      <c r="H576" s="53"/>
    </row>
    <row r="577" ht="24.75" hidden="1" customHeight="1">
      <c r="A577" s="54" t="s">
        <v>831</v>
      </c>
      <c r="B577" s="56" t="s">
        <v>837</v>
      </c>
      <c r="C577" s="56" t="s">
        <v>838</v>
      </c>
      <c r="D577" s="56" t="s">
        <v>839</v>
      </c>
      <c r="E577" s="56" t="s">
        <v>768</v>
      </c>
      <c r="F577" s="57" t="s">
        <v>154</v>
      </c>
      <c r="G577" s="61"/>
      <c r="H577" s="53"/>
    </row>
    <row r="578" ht="24.75" hidden="1" customHeight="1">
      <c r="A578" s="54" t="s">
        <v>831</v>
      </c>
      <c r="B578" s="56" t="s">
        <v>837</v>
      </c>
      <c r="C578" s="56" t="s">
        <v>838</v>
      </c>
      <c r="D578" s="56" t="s">
        <v>839</v>
      </c>
      <c r="E578" s="56" t="s">
        <v>773</v>
      </c>
      <c r="F578" s="57" t="s">
        <v>154</v>
      </c>
      <c r="G578" s="61"/>
      <c r="H578" s="53"/>
    </row>
    <row r="579" ht="24.75" hidden="1" customHeight="1">
      <c r="A579" s="54" t="s">
        <v>831</v>
      </c>
      <c r="B579" s="56" t="s">
        <v>837</v>
      </c>
      <c r="C579" s="56" t="s">
        <v>838</v>
      </c>
      <c r="D579" s="56" t="s">
        <v>839</v>
      </c>
      <c r="E579" s="56" t="s">
        <v>841</v>
      </c>
      <c r="F579" s="57" t="s">
        <v>154</v>
      </c>
      <c r="G579" s="61"/>
      <c r="H579" s="53"/>
    </row>
    <row r="580" ht="24.75" customHeight="1">
      <c r="A580" s="54" t="s">
        <v>831</v>
      </c>
      <c r="B580" s="56" t="s">
        <v>837</v>
      </c>
      <c r="C580" s="56" t="s">
        <v>838</v>
      </c>
      <c r="D580" s="56" t="s">
        <v>839</v>
      </c>
      <c r="E580" s="56" t="s">
        <v>777</v>
      </c>
      <c r="F580" s="57" t="s">
        <v>15</v>
      </c>
      <c r="G580" s="61"/>
      <c r="H580" s="75"/>
      <c r="I580" s="78"/>
      <c r="J580" s="78"/>
      <c r="K580" s="78"/>
      <c r="L580" s="78"/>
    </row>
    <row r="581" ht="24.75" customHeight="1">
      <c r="A581" s="54" t="s">
        <v>831</v>
      </c>
      <c r="B581" s="56" t="s">
        <v>837</v>
      </c>
      <c r="C581" s="56" t="s">
        <v>838</v>
      </c>
      <c r="D581" s="56" t="s">
        <v>839</v>
      </c>
      <c r="E581" s="56" t="s">
        <v>778</v>
      </c>
      <c r="F581" s="57" t="s">
        <v>15</v>
      </c>
      <c r="G581" s="61"/>
      <c r="H581" s="75"/>
      <c r="I581" s="78"/>
      <c r="J581" s="78"/>
      <c r="K581" s="78"/>
      <c r="L581" s="78"/>
    </row>
    <row r="582" ht="24.75" hidden="1" customHeight="1">
      <c r="A582" s="54" t="s">
        <v>831</v>
      </c>
      <c r="B582" s="56" t="s">
        <v>842</v>
      </c>
      <c r="C582" s="56" t="s">
        <v>838</v>
      </c>
      <c r="D582" s="56" t="s">
        <v>843</v>
      </c>
      <c r="E582" s="56" t="s">
        <v>111</v>
      </c>
      <c r="F582" s="57" t="s">
        <v>154</v>
      </c>
      <c r="G582" s="61"/>
      <c r="H582" s="53"/>
    </row>
    <row r="583" ht="24.75" hidden="1" customHeight="1">
      <c r="A583" s="54" t="s">
        <v>831</v>
      </c>
      <c r="B583" s="56" t="s">
        <v>842</v>
      </c>
      <c r="C583" s="56" t="s">
        <v>838</v>
      </c>
      <c r="D583" s="56" t="s">
        <v>843</v>
      </c>
      <c r="E583" s="56" t="s">
        <v>844</v>
      </c>
      <c r="F583" s="57" t="s">
        <v>154</v>
      </c>
      <c r="G583" s="61"/>
      <c r="H583" s="53"/>
    </row>
    <row r="584" ht="24.75" hidden="1" customHeight="1">
      <c r="A584" s="54" t="s">
        <v>831</v>
      </c>
      <c r="B584" s="56" t="s">
        <v>842</v>
      </c>
      <c r="C584" s="56" t="s">
        <v>838</v>
      </c>
      <c r="D584" s="56" t="s">
        <v>843</v>
      </c>
      <c r="E584" s="56" t="s">
        <v>797</v>
      </c>
      <c r="F584" s="57" t="s">
        <v>192</v>
      </c>
      <c r="G584" s="61"/>
      <c r="H584" s="53"/>
    </row>
    <row r="585" ht="24.75" hidden="1" customHeight="1">
      <c r="A585" s="54" t="s">
        <v>831</v>
      </c>
      <c r="B585" s="56" t="s">
        <v>845</v>
      </c>
      <c r="C585" s="56" t="s">
        <v>838</v>
      </c>
      <c r="D585" s="56" t="s">
        <v>846</v>
      </c>
      <c r="E585" s="56" t="s">
        <v>771</v>
      </c>
      <c r="F585" s="57" t="s">
        <v>154</v>
      </c>
      <c r="G585" s="61"/>
      <c r="H585" s="53"/>
    </row>
    <row r="586" ht="24.75" hidden="1" customHeight="1">
      <c r="A586" s="54" t="s">
        <v>831</v>
      </c>
      <c r="B586" s="56" t="s">
        <v>845</v>
      </c>
      <c r="C586" s="56" t="s">
        <v>838</v>
      </c>
      <c r="D586" s="56" t="s">
        <v>846</v>
      </c>
      <c r="E586" s="56" t="s">
        <v>768</v>
      </c>
      <c r="F586" s="57" t="s">
        <v>154</v>
      </c>
      <c r="G586" s="61"/>
      <c r="H586" s="53"/>
    </row>
    <row r="587" ht="24.75" hidden="1" customHeight="1">
      <c r="A587" s="54" t="s">
        <v>831</v>
      </c>
      <c r="B587" s="56" t="s">
        <v>845</v>
      </c>
      <c r="C587" s="56" t="s">
        <v>838</v>
      </c>
      <c r="D587" s="56" t="s">
        <v>846</v>
      </c>
      <c r="E587" s="56" t="s">
        <v>773</v>
      </c>
      <c r="F587" s="57" t="s">
        <v>154</v>
      </c>
      <c r="G587" s="61"/>
      <c r="H587" s="53"/>
    </row>
    <row r="588" ht="24.75" hidden="1" customHeight="1">
      <c r="A588" s="54" t="s">
        <v>831</v>
      </c>
      <c r="B588" s="56" t="s">
        <v>845</v>
      </c>
      <c r="C588" s="56" t="s">
        <v>838</v>
      </c>
      <c r="D588" s="56" t="s">
        <v>846</v>
      </c>
      <c r="E588" s="56" t="s">
        <v>841</v>
      </c>
      <c r="F588" s="57" t="s">
        <v>154</v>
      </c>
      <c r="G588" s="61"/>
      <c r="H588" s="53"/>
    </row>
    <row r="589" ht="24.75" customHeight="1">
      <c r="A589" s="54" t="s">
        <v>831</v>
      </c>
      <c r="B589" s="56" t="s">
        <v>845</v>
      </c>
      <c r="C589" s="56" t="s">
        <v>838</v>
      </c>
      <c r="D589" s="56" t="s">
        <v>846</v>
      </c>
      <c r="E589" s="56" t="s">
        <v>777</v>
      </c>
      <c r="F589" s="57" t="s">
        <v>15</v>
      </c>
      <c r="G589" s="61"/>
      <c r="H589" s="105"/>
      <c r="I589" s="78"/>
      <c r="J589" s="78"/>
      <c r="K589" s="78"/>
      <c r="L589" s="78"/>
    </row>
    <row r="590" ht="24.75" customHeight="1">
      <c r="A590" s="54" t="s">
        <v>831</v>
      </c>
      <c r="B590" s="56" t="s">
        <v>845</v>
      </c>
      <c r="C590" s="56" t="s">
        <v>838</v>
      </c>
      <c r="D590" s="56" t="s">
        <v>846</v>
      </c>
      <c r="E590" s="56" t="s">
        <v>778</v>
      </c>
      <c r="F590" s="57" t="s">
        <v>15</v>
      </c>
      <c r="G590" s="61"/>
      <c r="H590" s="53"/>
      <c r="I590" s="78"/>
      <c r="J590" s="78"/>
      <c r="K590" s="78"/>
      <c r="L590" s="78"/>
    </row>
    <row r="591" ht="24.75" hidden="1" customHeight="1">
      <c r="A591" s="54" t="s">
        <v>831</v>
      </c>
      <c r="B591" s="56" t="s">
        <v>847</v>
      </c>
      <c r="C591" s="56" t="s">
        <v>838</v>
      </c>
      <c r="D591" s="56" t="s">
        <v>848</v>
      </c>
      <c r="E591" s="56" t="s">
        <v>111</v>
      </c>
      <c r="F591" s="57" t="s">
        <v>154</v>
      </c>
      <c r="G591" s="61"/>
      <c r="H591" s="59"/>
    </row>
    <row r="592" ht="24.75" hidden="1" customHeight="1">
      <c r="A592" s="54" t="s">
        <v>831</v>
      </c>
      <c r="B592" s="56" t="s">
        <v>847</v>
      </c>
      <c r="C592" s="56" t="s">
        <v>838</v>
      </c>
      <c r="D592" s="56" t="s">
        <v>848</v>
      </c>
      <c r="E592" s="56" t="s">
        <v>844</v>
      </c>
      <c r="F592" s="57" t="s">
        <v>154</v>
      </c>
      <c r="G592" s="61"/>
      <c r="H592" s="53"/>
    </row>
    <row r="593" ht="24.75" hidden="1" customHeight="1">
      <c r="A593" s="54" t="s">
        <v>831</v>
      </c>
      <c r="B593" s="56" t="s">
        <v>847</v>
      </c>
      <c r="C593" s="56" t="s">
        <v>838</v>
      </c>
      <c r="D593" s="56" t="s">
        <v>848</v>
      </c>
      <c r="E593" s="56" t="s">
        <v>797</v>
      </c>
      <c r="F593" s="57" t="s">
        <v>192</v>
      </c>
      <c r="G593" s="61"/>
      <c r="H593" s="53"/>
    </row>
    <row r="594" ht="24.75" hidden="1" customHeight="1">
      <c r="A594" s="54" t="s">
        <v>831</v>
      </c>
      <c r="B594" s="56" t="s">
        <v>849</v>
      </c>
      <c r="C594" s="56" t="s">
        <v>833</v>
      </c>
      <c r="D594" s="56" t="s">
        <v>850</v>
      </c>
      <c r="E594" s="56" t="s">
        <v>336</v>
      </c>
      <c r="F594" s="57" t="s">
        <v>192</v>
      </c>
      <c r="G594" s="61"/>
      <c r="H594" s="53"/>
    </row>
    <row r="595" ht="24.75" hidden="1" customHeight="1">
      <c r="A595" s="54" t="s">
        <v>831</v>
      </c>
      <c r="B595" s="56" t="s">
        <v>851</v>
      </c>
      <c r="C595" s="56" t="s">
        <v>852</v>
      </c>
      <c r="D595" s="56" t="s">
        <v>853</v>
      </c>
      <c r="E595" s="56" t="s">
        <v>854</v>
      </c>
      <c r="F595" s="57" t="s">
        <v>154</v>
      </c>
      <c r="G595" s="61"/>
      <c r="H595" s="53"/>
    </row>
    <row r="596" ht="24.75" hidden="1" customHeight="1">
      <c r="A596" s="54" t="s">
        <v>831</v>
      </c>
      <c r="B596" s="56" t="s">
        <v>851</v>
      </c>
      <c r="C596" s="56" t="s">
        <v>852</v>
      </c>
      <c r="D596" s="56" t="s">
        <v>853</v>
      </c>
      <c r="E596" s="56" t="s">
        <v>824</v>
      </c>
      <c r="F596" s="57" t="s">
        <v>154</v>
      </c>
      <c r="G596" s="61"/>
      <c r="H596" s="53"/>
    </row>
    <row r="597" ht="24.75" hidden="1" customHeight="1">
      <c r="A597" s="54" t="s">
        <v>831</v>
      </c>
      <c r="B597" s="56" t="s">
        <v>851</v>
      </c>
      <c r="C597" s="56" t="s">
        <v>852</v>
      </c>
      <c r="D597" s="56" t="s">
        <v>853</v>
      </c>
      <c r="E597" s="56" t="s">
        <v>111</v>
      </c>
      <c r="F597" s="57" t="s">
        <v>192</v>
      </c>
      <c r="G597" s="61"/>
      <c r="H597" s="53"/>
    </row>
    <row r="598" ht="24.75" hidden="1" customHeight="1">
      <c r="A598" s="54" t="s">
        <v>831</v>
      </c>
      <c r="B598" s="56" t="s">
        <v>851</v>
      </c>
      <c r="C598" s="56" t="s">
        <v>852</v>
      </c>
      <c r="D598" s="56" t="s">
        <v>853</v>
      </c>
      <c r="E598" s="56" t="s">
        <v>856</v>
      </c>
      <c r="F598" s="57" t="s">
        <v>192</v>
      </c>
      <c r="G598" s="61"/>
      <c r="H598" s="53"/>
    </row>
    <row r="599" ht="24.75" hidden="1" customHeight="1">
      <c r="A599" s="54" t="s">
        <v>831</v>
      </c>
      <c r="B599" s="56" t="s">
        <v>851</v>
      </c>
      <c r="C599" s="56" t="s">
        <v>852</v>
      </c>
      <c r="D599" s="56" t="s">
        <v>853</v>
      </c>
      <c r="E599" s="56" t="s">
        <v>857</v>
      </c>
      <c r="F599" s="57" t="s">
        <v>192</v>
      </c>
      <c r="G599" s="61"/>
      <c r="H599" s="53"/>
    </row>
    <row r="600" ht="24.75" hidden="1" customHeight="1">
      <c r="A600" s="54" t="s">
        <v>831</v>
      </c>
      <c r="B600" s="56" t="s">
        <v>858</v>
      </c>
      <c r="C600" s="56" t="s">
        <v>838</v>
      </c>
      <c r="D600" s="56" t="s">
        <v>859</v>
      </c>
      <c r="E600" s="56" t="s">
        <v>111</v>
      </c>
      <c r="F600" s="57" t="s">
        <v>154</v>
      </c>
      <c r="G600" s="61"/>
      <c r="H600" s="53"/>
    </row>
    <row r="601" ht="24.75" hidden="1" customHeight="1">
      <c r="A601" s="54" t="s">
        <v>831</v>
      </c>
      <c r="B601" s="56" t="s">
        <v>858</v>
      </c>
      <c r="C601" s="56" t="s">
        <v>838</v>
      </c>
      <c r="D601" s="56" t="s">
        <v>859</v>
      </c>
      <c r="E601" s="56" t="s">
        <v>824</v>
      </c>
      <c r="F601" s="57" t="s">
        <v>154</v>
      </c>
      <c r="G601" s="61"/>
      <c r="H601" s="53"/>
    </row>
    <row r="602" ht="24.75" hidden="1" customHeight="1">
      <c r="A602" s="54" t="s">
        <v>831</v>
      </c>
      <c r="B602" s="56" t="s">
        <v>858</v>
      </c>
      <c r="C602" s="56" t="s">
        <v>838</v>
      </c>
      <c r="D602" s="56" t="s">
        <v>859</v>
      </c>
      <c r="E602" s="56" t="s">
        <v>797</v>
      </c>
      <c r="F602" s="57" t="s">
        <v>192</v>
      </c>
      <c r="G602" s="61"/>
      <c r="H602" s="53"/>
    </row>
    <row r="603" ht="24.75" hidden="1" customHeight="1">
      <c r="A603" s="54" t="s">
        <v>831</v>
      </c>
      <c r="B603" s="56" t="s">
        <v>860</v>
      </c>
      <c r="C603" s="56" t="s">
        <v>852</v>
      </c>
      <c r="D603" s="56" t="s">
        <v>861</v>
      </c>
      <c r="E603" s="56" t="s">
        <v>854</v>
      </c>
      <c r="F603" s="57" t="s">
        <v>154</v>
      </c>
      <c r="G603" s="61"/>
      <c r="H603" s="53"/>
    </row>
    <row r="604" ht="24.75" hidden="1" customHeight="1">
      <c r="A604" s="54" t="s">
        <v>831</v>
      </c>
      <c r="B604" s="56" t="s">
        <v>860</v>
      </c>
      <c r="C604" s="56" t="s">
        <v>852</v>
      </c>
      <c r="D604" s="56" t="s">
        <v>861</v>
      </c>
      <c r="E604" s="56" t="s">
        <v>824</v>
      </c>
      <c r="F604" s="57" t="s">
        <v>154</v>
      </c>
      <c r="G604" s="61"/>
      <c r="H604" s="53"/>
    </row>
    <row r="605" ht="24.75" hidden="1" customHeight="1">
      <c r="A605" s="54" t="s">
        <v>831</v>
      </c>
      <c r="B605" s="56" t="s">
        <v>860</v>
      </c>
      <c r="C605" s="56" t="s">
        <v>852</v>
      </c>
      <c r="D605" s="56" t="s">
        <v>861</v>
      </c>
      <c r="E605" s="56" t="s">
        <v>856</v>
      </c>
      <c r="F605" s="57" t="s">
        <v>154</v>
      </c>
      <c r="G605" s="61"/>
      <c r="H605" s="53"/>
    </row>
    <row r="606" ht="24.75" hidden="1" customHeight="1">
      <c r="A606" s="54" t="s">
        <v>831</v>
      </c>
      <c r="B606" s="56" t="s">
        <v>860</v>
      </c>
      <c r="C606" s="56" t="s">
        <v>852</v>
      </c>
      <c r="D606" s="56" t="s">
        <v>861</v>
      </c>
      <c r="E606" s="56" t="s">
        <v>111</v>
      </c>
      <c r="F606" s="57" t="s">
        <v>192</v>
      </c>
      <c r="G606" s="61"/>
      <c r="H606" s="53"/>
    </row>
    <row r="607" ht="24.75" hidden="1" customHeight="1">
      <c r="A607" s="54" t="s">
        <v>831</v>
      </c>
      <c r="B607" s="56" t="s">
        <v>860</v>
      </c>
      <c r="C607" s="56" t="s">
        <v>852</v>
      </c>
      <c r="D607" s="56" t="s">
        <v>861</v>
      </c>
      <c r="E607" s="56" t="s">
        <v>857</v>
      </c>
      <c r="F607" s="57" t="s">
        <v>192</v>
      </c>
      <c r="G607" s="61"/>
      <c r="H607" s="53"/>
    </row>
    <row r="608" ht="24.75" hidden="1" customHeight="1">
      <c r="A608" s="54" t="s">
        <v>831</v>
      </c>
      <c r="B608" s="56" t="s">
        <v>862</v>
      </c>
      <c r="C608" s="56" t="s">
        <v>838</v>
      </c>
      <c r="D608" s="56" t="s">
        <v>863</v>
      </c>
      <c r="E608" s="56" t="s">
        <v>111</v>
      </c>
      <c r="F608" s="57" t="s">
        <v>154</v>
      </c>
      <c r="G608" s="61"/>
      <c r="H608" s="53"/>
    </row>
    <row r="609" ht="24.75" hidden="1" customHeight="1">
      <c r="A609" s="54" t="s">
        <v>831</v>
      </c>
      <c r="B609" s="56" t="s">
        <v>862</v>
      </c>
      <c r="C609" s="56" t="s">
        <v>838</v>
      </c>
      <c r="D609" s="56" t="s">
        <v>863</v>
      </c>
      <c r="E609" s="56" t="s">
        <v>824</v>
      </c>
      <c r="F609" s="57" t="s">
        <v>154</v>
      </c>
      <c r="G609" s="61"/>
      <c r="H609" s="53"/>
    </row>
    <row r="610" ht="24.75" hidden="1" customHeight="1">
      <c r="A610" s="54" t="s">
        <v>831</v>
      </c>
      <c r="B610" s="56" t="s">
        <v>862</v>
      </c>
      <c r="C610" s="56" t="s">
        <v>838</v>
      </c>
      <c r="D610" s="56" t="s">
        <v>863</v>
      </c>
      <c r="E610" s="56" t="s">
        <v>797</v>
      </c>
      <c r="F610" s="57" t="s">
        <v>192</v>
      </c>
      <c r="G610" s="61"/>
      <c r="H610" s="53"/>
    </row>
    <row r="611" ht="24.75" hidden="1" customHeight="1">
      <c r="A611" s="54" t="s">
        <v>831</v>
      </c>
      <c r="B611" s="56" t="s">
        <v>865</v>
      </c>
      <c r="C611" s="56" t="s">
        <v>838</v>
      </c>
      <c r="D611" s="56" t="s">
        <v>866</v>
      </c>
      <c r="E611" s="56" t="s">
        <v>867</v>
      </c>
      <c r="F611" s="57" t="s">
        <v>154</v>
      </c>
      <c r="G611" s="61"/>
      <c r="H611" s="53"/>
    </row>
    <row r="612" ht="24.75" hidden="1" customHeight="1">
      <c r="A612" s="54" t="s">
        <v>831</v>
      </c>
      <c r="B612" s="56" t="s">
        <v>865</v>
      </c>
      <c r="C612" s="56" t="s">
        <v>838</v>
      </c>
      <c r="D612" s="56" t="s">
        <v>866</v>
      </c>
      <c r="E612" s="56" t="s">
        <v>868</v>
      </c>
      <c r="F612" s="57" t="s">
        <v>154</v>
      </c>
      <c r="G612" s="61"/>
      <c r="H612" s="53"/>
    </row>
    <row r="613" ht="24.75" hidden="1" customHeight="1">
      <c r="A613" s="54" t="s">
        <v>831</v>
      </c>
      <c r="B613" s="56" t="s">
        <v>869</v>
      </c>
      <c r="C613" s="56" t="s">
        <v>833</v>
      </c>
      <c r="D613" s="56" t="s">
        <v>850</v>
      </c>
      <c r="E613" s="56" t="s">
        <v>870</v>
      </c>
      <c r="F613" s="57" t="s">
        <v>154</v>
      </c>
      <c r="G613" s="61"/>
      <c r="H613" s="53"/>
    </row>
    <row r="614" ht="24.75" hidden="1" customHeight="1">
      <c r="A614" s="54" t="s">
        <v>831</v>
      </c>
      <c r="B614" s="56" t="s">
        <v>869</v>
      </c>
      <c r="C614" s="56" t="s">
        <v>833</v>
      </c>
      <c r="D614" s="56" t="s">
        <v>850</v>
      </c>
      <c r="E614" s="56" t="s">
        <v>871</v>
      </c>
      <c r="F614" s="57" t="s">
        <v>192</v>
      </c>
      <c r="G614" s="61"/>
      <c r="H614" s="53"/>
    </row>
    <row r="615" ht="15.75" hidden="1" customHeight="1">
      <c r="A615" s="54"/>
      <c r="B615" s="56"/>
      <c r="C615" s="56"/>
      <c r="D615" s="56"/>
      <c r="E615" s="56"/>
      <c r="F615" s="57"/>
      <c r="G615" s="61"/>
      <c r="H615" s="53"/>
    </row>
  </sheetData>
  <autoFilter ref="$A$4:$GD$615">
    <filterColumn colId="5">
      <filters>
        <filter val="SEMANAL"/>
      </filters>
    </filterColumn>
    <sortState ref="A4:GD615">
      <sortCondition ref="A4:A615"/>
    </sortState>
  </autoFilter>
  <mergeCells count="1">
    <mergeCell ref="H1:L3"/>
  </mergeCells>
  <printOptions/>
  <pageMargins bottom="0.7480314960629921" footer="0.0" header="0.0" left="0.2362204724409449" right="0.2362204724409449" top="0.35433070866141736"/>
  <pageSetup fitToHeight="0" paperSize="9" orientation="landscape"/>
  <headerFooter>
    <oddFooter>&amp;L&amp;F&amp;CDATA VERIFICAÇÃO:                                                                                                                                                ASSINATURA:                                                                  &amp;RPágina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46.86"/>
    <col customWidth="1" min="6" max="6" width="12.0"/>
    <col customWidth="1" hidden="1" min="7" max="7" width="6.86"/>
    <col customWidth="1" min="8" max="8" width="26.57"/>
    <col customWidth="1" min="9" max="9" width="31.86"/>
    <col customWidth="1" min="10" max="10" width="15.71"/>
  </cols>
  <sheetData>
    <row r="1" ht="24.75" customHeight="1">
      <c r="I1" s="25" t="s">
        <v>2</v>
      </c>
    </row>
    <row r="2" ht="24.75" customHeight="1">
      <c r="A2" s="1"/>
      <c r="B2" s="2"/>
      <c r="C2" s="2"/>
      <c r="D2" s="2"/>
      <c r="E2" s="2"/>
      <c r="F2" s="3"/>
      <c r="G2" s="8"/>
      <c r="H2" s="10"/>
    </row>
    <row r="3" ht="24.75" customHeight="1">
      <c r="A3" s="8"/>
      <c r="B3" s="9"/>
      <c r="C3" s="9"/>
      <c r="D3" s="9"/>
      <c r="E3" s="9"/>
      <c r="F3" s="2"/>
      <c r="G3" s="8"/>
      <c r="H3" s="35"/>
      <c r="I3" s="35"/>
      <c r="J3" s="35"/>
    </row>
    <row r="4" ht="51.0" customHeight="1">
      <c r="A4" s="39" t="s">
        <v>17</v>
      </c>
      <c r="B4" s="39" t="s">
        <v>18</v>
      </c>
      <c r="C4" s="39" t="s">
        <v>19</v>
      </c>
      <c r="D4" s="39" t="s">
        <v>20</v>
      </c>
      <c r="E4" s="39" t="s">
        <v>21</v>
      </c>
      <c r="F4" s="39" t="s">
        <v>22</v>
      </c>
      <c r="G4" s="40" t="s">
        <v>23</v>
      </c>
      <c r="H4" s="39" t="s">
        <v>24</v>
      </c>
      <c r="I4" s="42" t="s">
        <v>26</v>
      </c>
      <c r="J4" s="39" t="s">
        <v>25</v>
      </c>
    </row>
    <row r="5" ht="24.75" hidden="1" customHeight="1">
      <c r="A5" s="44">
        <v>10.0</v>
      </c>
      <c r="B5" s="47" t="s">
        <v>27</v>
      </c>
      <c r="C5" s="47" t="s">
        <v>29</v>
      </c>
      <c r="D5" s="47" t="s">
        <v>29</v>
      </c>
      <c r="E5" s="47" t="s">
        <v>32</v>
      </c>
      <c r="F5" s="48" t="s">
        <v>34</v>
      </c>
      <c r="G5" s="50"/>
      <c r="H5" s="51"/>
      <c r="I5" s="52"/>
      <c r="J5" s="53"/>
    </row>
    <row r="6" ht="24.75" customHeight="1">
      <c r="A6" s="54">
        <v>20.0</v>
      </c>
      <c r="B6" s="56" t="s">
        <v>83</v>
      </c>
      <c r="C6" s="56" t="s">
        <v>84</v>
      </c>
      <c r="D6" s="56" t="s">
        <v>85</v>
      </c>
      <c r="E6" s="56" t="s">
        <v>86</v>
      </c>
      <c r="F6" s="57" t="s">
        <v>87</v>
      </c>
      <c r="G6" s="58"/>
      <c r="H6" s="58"/>
      <c r="I6" s="60" t="s">
        <v>88</v>
      </c>
      <c r="J6" s="59"/>
    </row>
    <row r="7" ht="24.75" hidden="1" customHeight="1">
      <c r="A7" s="54">
        <v>20.0</v>
      </c>
      <c r="B7" s="56" t="s">
        <v>89</v>
      </c>
      <c r="C7" s="56" t="s">
        <v>90</v>
      </c>
      <c r="D7" s="56" t="s">
        <v>91</v>
      </c>
      <c r="E7" s="56"/>
      <c r="F7" s="57" t="s">
        <v>34</v>
      </c>
      <c r="G7" s="61"/>
      <c r="H7" s="61"/>
      <c r="I7" s="62"/>
      <c r="J7" s="53"/>
    </row>
    <row r="8" ht="24.75" hidden="1" customHeight="1">
      <c r="A8" s="54">
        <v>20.0</v>
      </c>
      <c r="B8" s="56" t="s">
        <v>95</v>
      </c>
      <c r="C8" s="56" t="s">
        <v>90</v>
      </c>
      <c r="D8" s="56" t="s">
        <v>96</v>
      </c>
      <c r="E8" s="56" t="s">
        <v>97</v>
      </c>
      <c r="F8" s="57" t="s">
        <v>34</v>
      </c>
      <c r="G8" s="61"/>
      <c r="H8" s="61"/>
      <c r="I8" s="62"/>
      <c r="J8" s="53"/>
    </row>
    <row r="9" ht="24.75" hidden="1" customHeight="1">
      <c r="A9" s="54">
        <v>20.0</v>
      </c>
      <c r="B9" s="56" t="s">
        <v>98</v>
      </c>
      <c r="C9" s="56" t="s">
        <v>90</v>
      </c>
      <c r="D9" s="56" t="s">
        <v>99</v>
      </c>
      <c r="E9" s="56" t="s">
        <v>97</v>
      </c>
      <c r="F9" s="57" t="s">
        <v>34</v>
      </c>
      <c r="G9" s="61"/>
      <c r="H9" s="61"/>
      <c r="I9" s="62"/>
      <c r="J9" s="53"/>
    </row>
    <row r="10" ht="24.75" hidden="1" customHeight="1">
      <c r="A10" s="54">
        <v>20.0</v>
      </c>
      <c r="B10" s="56" t="s">
        <v>100</v>
      </c>
      <c r="C10" s="56" t="s">
        <v>101</v>
      </c>
      <c r="D10" s="56" t="s">
        <v>102</v>
      </c>
      <c r="E10" s="56" t="s">
        <v>103</v>
      </c>
      <c r="F10" s="57" t="s">
        <v>34</v>
      </c>
      <c r="G10" s="61"/>
      <c r="H10" s="61"/>
      <c r="I10" s="62"/>
      <c r="J10" s="53"/>
    </row>
    <row r="11" ht="24.75" customHeight="1">
      <c r="A11" s="54">
        <v>30.0</v>
      </c>
      <c r="B11" s="56" t="s">
        <v>108</v>
      </c>
      <c r="C11" s="56" t="s">
        <v>109</v>
      </c>
      <c r="D11" s="56" t="s">
        <v>110</v>
      </c>
      <c r="E11" s="56" t="s">
        <v>111</v>
      </c>
      <c r="F11" s="57" t="s">
        <v>87</v>
      </c>
      <c r="G11" s="61"/>
      <c r="H11" s="61"/>
      <c r="I11" s="60"/>
      <c r="J11" s="53"/>
    </row>
    <row r="12" ht="24.75" customHeight="1">
      <c r="A12" s="54">
        <v>30.0</v>
      </c>
      <c r="B12" s="56" t="s">
        <v>113</v>
      </c>
      <c r="C12" s="56" t="s">
        <v>109</v>
      </c>
      <c r="D12" s="56" t="s">
        <v>114</v>
      </c>
      <c r="E12" s="56" t="s">
        <v>111</v>
      </c>
      <c r="F12" s="57" t="s">
        <v>87</v>
      </c>
      <c r="G12" s="61"/>
      <c r="H12" s="61"/>
      <c r="I12" s="60"/>
      <c r="J12" s="53"/>
    </row>
    <row r="13" ht="24.75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118</v>
      </c>
      <c r="F13" s="57" t="s">
        <v>87</v>
      </c>
      <c r="G13" s="61"/>
      <c r="H13" s="61"/>
      <c r="I13" s="60"/>
      <c r="J13" s="53"/>
    </row>
    <row r="14" ht="24.75" hidden="1" customHeight="1">
      <c r="A14" s="54">
        <v>30.0</v>
      </c>
      <c r="B14" s="56" t="s">
        <v>116</v>
      </c>
      <c r="C14" s="56" t="s">
        <v>109</v>
      </c>
      <c r="D14" s="56" t="s">
        <v>117</v>
      </c>
      <c r="E14" s="56" t="s">
        <v>119</v>
      </c>
      <c r="F14" s="57" t="s">
        <v>34</v>
      </c>
      <c r="G14" s="61"/>
      <c r="H14" s="61"/>
      <c r="I14" s="62"/>
      <c r="J14" s="53"/>
    </row>
    <row r="15" ht="24.75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111</v>
      </c>
      <c r="F15" s="57" t="s">
        <v>87</v>
      </c>
      <c r="G15" s="61"/>
      <c r="H15" s="61"/>
      <c r="I15" s="60"/>
      <c r="J15" s="53"/>
    </row>
    <row r="16" ht="24.75" hidden="1" customHeight="1">
      <c r="A16" s="54">
        <v>30.0</v>
      </c>
      <c r="B16" s="56" t="s">
        <v>120</v>
      </c>
      <c r="C16" s="56" t="s">
        <v>109</v>
      </c>
      <c r="D16" s="56" t="s">
        <v>121</v>
      </c>
      <c r="E16" s="56" t="s">
        <v>122</v>
      </c>
      <c r="F16" s="57" t="s">
        <v>34</v>
      </c>
      <c r="G16" s="61"/>
      <c r="H16" s="61"/>
      <c r="I16" s="62"/>
      <c r="J16" s="53"/>
    </row>
    <row r="17" ht="24.75" customHeight="1">
      <c r="A17" s="54">
        <v>30.0</v>
      </c>
      <c r="B17" s="56" t="s">
        <v>123</v>
      </c>
      <c r="C17" s="56" t="s">
        <v>109</v>
      </c>
      <c r="D17" s="56" t="s">
        <v>124</v>
      </c>
      <c r="E17" s="56" t="s">
        <v>86</v>
      </c>
      <c r="F17" s="57" t="s">
        <v>87</v>
      </c>
      <c r="G17" s="61"/>
      <c r="H17" s="61"/>
      <c r="I17" s="60"/>
      <c r="J17" s="53"/>
    </row>
    <row r="18" ht="24.75" hidden="1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129</v>
      </c>
      <c r="F18" s="57" t="s">
        <v>34</v>
      </c>
      <c r="G18" s="61"/>
      <c r="H18" s="61"/>
      <c r="I18" s="62" t="s">
        <v>133</v>
      </c>
      <c r="J18" s="53"/>
    </row>
    <row r="19" ht="24.75" hidden="1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132</v>
      </c>
      <c r="F19" s="57" t="s">
        <v>34</v>
      </c>
      <c r="G19" s="61"/>
      <c r="H19" s="61"/>
      <c r="I19" s="62" t="s">
        <v>133</v>
      </c>
      <c r="J19" s="53"/>
    </row>
    <row r="20" ht="24.75" hidden="1" customHeight="1">
      <c r="A20" s="54">
        <v>31.0</v>
      </c>
      <c r="B20" s="56" t="s">
        <v>126</v>
      </c>
      <c r="C20" s="56" t="s">
        <v>127</v>
      </c>
      <c r="D20" s="56" t="s">
        <v>128</v>
      </c>
      <c r="E20" s="56" t="s">
        <v>134</v>
      </c>
      <c r="F20" s="57" t="s">
        <v>34</v>
      </c>
      <c r="G20" s="61"/>
      <c r="H20" s="61"/>
      <c r="I20" s="62" t="s">
        <v>133</v>
      </c>
      <c r="J20" s="53"/>
    </row>
    <row r="21" ht="24.75" hidden="1" customHeight="1">
      <c r="A21" s="54">
        <v>40.0</v>
      </c>
      <c r="B21" s="56" t="s">
        <v>135</v>
      </c>
      <c r="C21" s="56" t="s">
        <v>136</v>
      </c>
      <c r="D21" s="56" t="s">
        <v>137</v>
      </c>
      <c r="E21" s="56" t="s">
        <v>111</v>
      </c>
      <c r="F21" s="57" t="s">
        <v>34</v>
      </c>
      <c r="G21" s="61"/>
      <c r="H21" s="61"/>
      <c r="I21" s="62"/>
      <c r="J21" s="53"/>
    </row>
    <row r="22" ht="24.75" hidden="1" customHeight="1">
      <c r="A22" s="54">
        <v>40.0</v>
      </c>
      <c r="B22" s="56" t="s">
        <v>139</v>
      </c>
      <c r="C22" s="56" t="s">
        <v>101</v>
      </c>
      <c r="D22" s="56" t="s">
        <v>102</v>
      </c>
      <c r="E22" s="56" t="s">
        <v>111</v>
      </c>
      <c r="F22" s="57" t="s">
        <v>34</v>
      </c>
      <c r="G22" s="61"/>
      <c r="H22" s="61"/>
      <c r="I22" s="62"/>
      <c r="J22" s="53"/>
    </row>
    <row r="23" ht="24.75" hidden="1" customHeight="1">
      <c r="A23" s="54">
        <v>40.0</v>
      </c>
      <c r="B23" s="56" t="s">
        <v>140</v>
      </c>
      <c r="C23" s="56" t="s">
        <v>141</v>
      </c>
      <c r="D23" s="56" t="s">
        <v>142</v>
      </c>
      <c r="E23" s="56" t="s">
        <v>111</v>
      </c>
      <c r="F23" s="57" t="s">
        <v>34</v>
      </c>
      <c r="G23" s="61"/>
      <c r="H23" s="61"/>
      <c r="I23" s="62"/>
      <c r="J23" s="53"/>
    </row>
    <row r="24" ht="24.75" hidden="1" customHeight="1">
      <c r="A24" s="54">
        <v>40.0</v>
      </c>
      <c r="B24" s="56" t="s">
        <v>143</v>
      </c>
      <c r="C24" s="56" t="s">
        <v>144</v>
      </c>
      <c r="D24" s="56" t="s">
        <v>145</v>
      </c>
      <c r="E24" s="56" t="s">
        <v>111</v>
      </c>
      <c r="F24" s="57" t="s">
        <v>34</v>
      </c>
      <c r="G24" s="61"/>
      <c r="H24" s="61"/>
      <c r="I24" s="62"/>
      <c r="J24" s="53"/>
    </row>
    <row r="25" ht="24.75" hidden="1" customHeight="1">
      <c r="A25" s="54">
        <v>50.0</v>
      </c>
      <c r="B25" s="56" t="s">
        <v>147</v>
      </c>
      <c r="C25" s="56" t="s">
        <v>148</v>
      </c>
      <c r="D25" s="56" t="s">
        <v>149</v>
      </c>
      <c r="E25" s="56" t="s">
        <v>150</v>
      </c>
      <c r="F25" s="57" t="s">
        <v>34</v>
      </c>
      <c r="G25" s="61"/>
      <c r="H25" s="61"/>
      <c r="I25" s="62"/>
      <c r="J25" s="53"/>
    </row>
    <row r="26" ht="24.75" hidden="1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111</v>
      </c>
      <c r="F26" s="57" t="s">
        <v>34</v>
      </c>
      <c r="G26" s="61"/>
      <c r="H26" s="61"/>
      <c r="I26" s="62"/>
      <c r="J26" s="53"/>
    </row>
    <row r="27" ht="24.75" hidden="1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153</v>
      </c>
      <c r="F27" s="57" t="s">
        <v>154</v>
      </c>
      <c r="G27" s="61"/>
      <c r="H27" s="61"/>
      <c r="I27" s="62"/>
      <c r="J27" s="53"/>
    </row>
    <row r="28" ht="24.75" hidden="1" customHeight="1">
      <c r="A28" s="54">
        <v>50.0</v>
      </c>
      <c r="B28" s="56" t="s">
        <v>151</v>
      </c>
      <c r="C28" s="56" t="s">
        <v>152</v>
      </c>
      <c r="D28" s="56" t="s">
        <v>152</v>
      </c>
      <c r="E28" s="56" t="s">
        <v>155</v>
      </c>
      <c r="F28" s="57" t="s">
        <v>154</v>
      </c>
      <c r="G28" s="61"/>
      <c r="H28" s="61" t="s">
        <v>159</v>
      </c>
      <c r="I28" s="62" t="s">
        <v>160</v>
      </c>
      <c r="J28" s="53"/>
    </row>
    <row r="29" ht="24.75" hidden="1" customHeight="1">
      <c r="A29" s="54">
        <v>50.0</v>
      </c>
      <c r="B29" s="56" t="s">
        <v>156</v>
      </c>
      <c r="C29" s="56" t="s">
        <v>152</v>
      </c>
      <c r="D29" s="56" t="s">
        <v>157</v>
      </c>
      <c r="E29" s="56" t="s">
        <v>158</v>
      </c>
      <c r="F29" s="57" t="s">
        <v>34</v>
      </c>
      <c r="G29" s="61"/>
      <c r="H29" s="61"/>
      <c r="I29" s="62"/>
      <c r="J29" s="53"/>
    </row>
    <row r="30" ht="24.75" hidden="1" customHeight="1">
      <c r="A30" s="54">
        <v>50.0</v>
      </c>
      <c r="B30" s="56" t="s">
        <v>161</v>
      </c>
      <c r="C30" s="56" t="s">
        <v>152</v>
      </c>
      <c r="D30" s="56" t="s">
        <v>162</v>
      </c>
      <c r="E30" s="56" t="s">
        <v>163</v>
      </c>
      <c r="F30" s="57" t="s">
        <v>34</v>
      </c>
      <c r="G30" s="61"/>
      <c r="H30" s="61"/>
      <c r="I30" s="62"/>
      <c r="J30" s="53"/>
    </row>
    <row r="31" ht="24.75" hidden="1" customHeight="1">
      <c r="A31" s="54">
        <v>60.0</v>
      </c>
      <c r="B31" s="56" t="s">
        <v>164</v>
      </c>
      <c r="C31" s="56" t="s">
        <v>165</v>
      </c>
      <c r="D31" s="56" t="s">
        <v>166</v>
      </c>
      <c r="E31" s="56" t="s">
        <v>167</v>
      </c>
      <c r="F31" s="57" t="s">
        <v>154</v>
      </c>
      <c r="G31" s="61"/>
      <c r="H31" s="61"/>
      <c r="I31" s="62"/>
      <c r="J31" s="53"/>
    </row>
    <row r="32" ht="24.75" hidden="1" customHeight="1">
      <c r="A32" s="54">
        <v>60.0</v>
      </c>
      <c r="B32" s="56" t="s">
        <v>169</v>
      </c>
      <c r="C32" s="56" t="s">
        <v>165</v>
      </c>
      <c r="D32" s="56" t="s">
        <v>170</v>
      </c>
      <c r="E32" s="56" t="s">
        <v>167</v>
      </c>
      <c r="F32" s="57" t="s">
        <v>154</v>
      </c>
      <c r="G32" s="61"/>
      <c r="H32" s="61"/>
      <c r="I32" s="62"/>
      <c r="J32" s="53"/>
    </row>
    <row r="33" ht="24.75" hidden="1" customHeight="1">
      <c r="A33" s="54">
        <v>60.0</v>
      </c>
      <c r="B33" s="56" t="s">
        <v>171</v>
      </c>
      <c r="C33" s="56" t="s">
        <v>165</v>
      </c>
      <c r="D33" s="56" t="s">
        <v>172</v>
      </c>
      <c r="E33" s="56" t="s">
        <v>167</v>
      </c>
      <c r="F33" s="57" t="s">
        <v>154</v>
      </c>
      <c r="G33" s="61"/>
      <c r="H33" s="61"/>
      <c r="I33" s="62"/>
      <c r="J33" s="53"/>
    </row>
    <row r="34" ht="24.75" hidden="1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167</v>
      </c>
      <c r="F34" s="57" t="s">
        <v>154</v>
      </c>
      <c r="G34" s="61"/>
      <c r="H34" s="61"/>
      <c r="I34" s="62"/>
      <c r="J34" s="53"/>
    </row>
    <row r="35" ht="24.75" hidden="1" customHeight="1">
      <c r="A35" s="54">
        <v>60.0</v>
      </c>
      <c r="B35" s="56" t="s">
        <v>174</v>
      </c>
      <c r="C35" s="56" t="s">
        <v>165</v>
      </c>
      <c r="D35" s="56" t="s">
        <v>175</v>
      </c>
      <c r="E35" s="56" t="s">
        <v>176</v>
      </c>
      <c r="F35" s="57" t="s">
        <v>154</v>
      </c>
      <c r="G35" s="61"/>
      <c r="H35" s="61"/>
      <c r="I35" s="62"/>
      <c r="J35" s="53"/>
    </row>
    <row r="36" ht="24.75" hidden="1" customHeight="1">
      <c r="A36" s="54">
        <v>60.0</v>
      </c>
      <c r="B36" s="56" t="s">
        <v>177</v>
      </c>
      <c r="C36" s="56" t="s">
        <v>165</v>
      </c>
      <c r="D36" s="56" t="s">
        <v>178</v>
      </c>
      <c r="E36" s="56" t="s">
        <v>111</v>
      </c>
      <c r="F36" s="57" t="s">
        <v>154</v>
      </c>
      <c r="G36" s="61"/>
      <c r="H36" s="61"/>
      <c r="I36" s="62"/>
      <c r="J36" s="53"/>
    </row>
    <row r="37" ht="24.75" hidden="1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167</v>
      </c>
      <c r="F37" s="57" t="s">
        <v>154</v>
      </c>
      <c r="G37" s="61"/>
      <c r="H37" s="61"/>
      <c r="I37" s="62"/>
      <c r="J37" s="53"/>
    </row>
    <row r="38" ht="24.75" hidden="1" customHeight="1">
      <c r="A38" s="54">
        <v>60.0</v>
      </c>
      <c r="B38" s="56" t="s">
        <v>179</v>
      </c>
      <c r="C38" s="56" t="s">
        <v>165</v>
      </c>
      <c r="D38" s="56" t="s">
        <v>180</v>
      </c>
      <c r="E38" s="56" t="s">
        <v>176</v>
      </c>
      <c r="F38" s="57" t="s">
        <v>154</v>
      </c>
      <c r="G38" s="61"/>
      <c r="H38" s="61"/>
      <c r="I38" s="62"/>
      <c r="J38" s="53"/>
    </row>
    <row r="39" ht="24.75" hidden="1" customHeight="1">
      <c r="A39" s="54">
        <v>60.0</v>
      </c>
      <c r="B39" s="56" t="s">
        <v>181</v>
      </c>
      <c r="C39" s="56" t="s">
        <v>165</v>
      </c>
      <c r="D39" s="56" t="s">
        <v>178</v>
      </c>
      <c r="E39" s="56" t="s">
        <v>167</v>
      </c>
      <c r="F39" s="57" t="s">
        <v>154</v>
      </c>
      <c r="G39" s="61"/>
      <c r="H39" s="61"/>
      <c r="I39" s="62" t="s">
        <v>14</v>
      </c>
      <c r="J39" s="53"/>
    </row>
    <row r="40" ht="24.75" hidden="1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167</v>
      </c>
      <c r="F40" s="57" t="s">
        <v>154</v>
      </c>
      <c r="G40" s="61"/>
      <c r="H40" s="61"/>
      <c r="I40" s="62"/>
      <c r="J40" s="53"/>
    </row>
    <row r="41" ht="24.75" hidden="1" customHeight="1">
      <c r="A41" s="54">
        <v>60.0</v>
      </c>
      <c r="B41" s="56" t="s">
        <v>182</v>
      </c>
      <c r="C41" s="56" t="s">
        <v>165</v>
      </c>
      <c r="D41" s="56" t="s">
        <v>183</v>
      </c>
      <c r="E41" s="56" t="s">
        <v>176</v>
      </c>
      <c r="F41" s="57" t="s">
        <v>154</v>
      </c>
      <c r="G41" s="61"/>
      <c r="H41" s="61"/>
      <c r="I41" s="62"/>
      <c r="J41" s="53"/>
    </row>
    <row r="42" ht="24.75" hidden="1" customHeight="1">
      <c r="A42" s="54">
        <v>60.0</v>
      </c>
      <c r="B42" s="56" t="s">
        <v>184</v>
      </c>
      <c r="C42" s="56" t="s">
        <v>165</v>
      </c>
      <c r="D42" s="56" t="s">
        <v>178</v>
      </c>
      <c r="E42" s="56" t="s">
        <v>167</v>
      </c>
      <c r="F42" s="57" t="s">
        <v>154</v>
      </c>
      <c r="G42" s="61"/>
      <c r="H42" s="61"/>
      <c r="I42" s="62"/>
      <c r="J42" s="53"/>
    </row>
    <row r="43" ht="24.75" hidden="1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167</v>
      </c>
      <c r="F43" s="57" t="s">
        <v>154</v>
      </c>
      <c r="G43" s="61"/>
      <c r="H43" s="61"/>
      <c r="I43" s="62"/>
      <c r="J43" s="53"/>
    </row>
    <row r="44" ht="24.75" hidden="1" customHeight="1">
      <c r="A44" s="54">
        <v>60.0</v>
      </c>
      <c r="B44" s="56" t="s">
        <v>185</v>
      </c>
      <c r="C44" s="56" t="s">
        <v>165</v>
      </c>
      <c r="D44" s="56" t="s">
        <v>186</v>
      </c>
      <c r="E44" s="56" t="s">
        <v>176</v>
      </c>
      <c r="F44" s="57" t="s">
        <v>154</v>
      </c>
      <c r="G44" s="61"/>
      <c r="H44" s="61"/>
      <c r="I44" s="62"/>
      <c r="J44" s="53"/>
    </row>
    <row r="45" ht="24.75" hidden="1" customHeight="1">
      <c r="A45" s="54">
        <v>60.0</v>
      </c>
      <c r="B45" s="56" t="s">
        <v>187</v>
      </c>
      <c r="C45" s="56" t="s">
        <v>165</v>
      </c>
      <c r="D45" s="56" t="s">
        <v>178</v>
      </c>
      <c r="E45" s="56" t="s">
        <v>167</v>
      </c>
      <c r="F45" s="57" t="s">
        <v>154</v>
      </c>
      <c r="G45" s="61"/>
      <c r="H45" s="61"/>
      <c r="I45" s="62"/>
      <c r="J45" s="53"/>
    </row>
    <row r="46" ht="24.75" hidden="1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191</v>
      </c>
      <c r="F46" s="57" t="s">
        <v>192</v>
      </c>
      <c r="G46" s="61"/>
      <c r="H46" s="61"/>
      <c r="I46" s="62"/>
      <c r="J46" s="53"/>
    </row>
    <row r="47" ht="24.75" hidden="1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194</v>
      </c>
      <c r="F47" s="57" t="s">
        <v>192</v>
      </c>
      <c r="G47" s="61"/>
      <c r="H47" s="61"/>
      <c r="I47" s="62"/>
      <c r="J47" s="53"/>
    </row>
    <row r="48" ht="24.75" hidden="1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195</v>
      </c>
      <c r="F48" s="57" t="s">
        <v>34</v>
      </c>
      <c r="G48" s="61"/>
      <c r="H48" s="61" t="s">
        <v>197</v>
      </c>
      <c r="I48" s="62"/>
      <c r="J48" s="53"/>
    </row>
    <row r="49" ht="24.75" hidden="1" customHeight="1">
      <c r="A49" s="54">
        <v>80.0</v>
      </c>
      <c r="B49" s="56" t="s">
        <v>188</v>
      </c>
      <c r="C49" s="56" t="s">
        <v>189</v>
      </c>
      <c r="D49" s="56" t="s">
        <v>190</v>
      </c>
      <c r="E49" s="56" t="s">
        <v>196</v>
      </c>
      <c r="F49" s="57" t="s">
        <v>154</v>
      </c>
      <c r="G49" s="61"/>
      <c r="H49" s="61" t="s">
        <v>200</v>
      </c>
      <c r="I49" s="62" t="s">
        <v>201</v>
      </c>
      <c r="J49" s="53"/>
    </row>
    <row r="50" ht="24.75" hidden="1" customHeight="1">
      <c r="A50" s="54">
        <v>80.0</v>
      </c>
      <c r="B50" s="56" t="s">
        <v>198</v>
      </c>
      <c r="C50" s="56" t="s">
        <v>189</v>
      </c>
      <c r="D50" s="56" t="s">
        <v>199</v>
      </c>
      <c r="E50" s="56" t="s">
        <v>163</v>
      </c>
      <c r="F50" s="57" t="s">
        <v>154</v>
      </c>
      <c r="G50" s="61"/>
      <c r="H50" s="61"/>
      <c r="I50" s="62" t="s">
        <v>207</v>
      </c>
      <c r="J50" s="53"/>
    </row>
    <row r="51" ht="24.75" hidden="1" customHeight="1">
      <c r="A51" s="54">
        <v>80.0</v>
      </c>
      <c r="B51" s="56" t="s">
        <v>203</v>
      </c>
      <c r="C51" s="56" t="s">
        <v>204</v>
      </c>
      <c r="D51" s="56" t="s">
        <v>205</v>
      </c>
      <c r="E51" s="56" t="s">
        <v>206</v>
      </c>
      <c r="F51" s="76" t="s">
        <v>192</v>
      </c>
      <c r="G51" s="61"/>
      <c r="H51" s="77" t="s">
        <v>209</v>
      </c>
      <c r="I51" s="62" t="s">
        <v>211</v>
      </c>
      <c r="J51" s="53"/>
    </row>
    <row r="52" ht="24.75" hidden="1" customHeight="1">
      <c r="A52" s="54">
        <v>80.0</v>
      </c>
      <c r="B52" s="56" t="s">
        <v>203</v>
      </c>
      <c r="C52" s="56" t="s">
        <v>204</v>
      </c>
      <c r="D52" s="56" t="s">
        <v>205</v>
      </c>
      <c r="E52" s="56" t="s">
        <v>208</v>
      </c>
      <c r="F52" s="57" t="s">
        <v>154</v>
      </c>
      <c r="G52" s="61"/>
      <c r="H52" s="61"/>
      <c r="I52" s="62" t="s">
        <v>207</v>
      </c>
      <c r="J52" s="53"/>
    </row>
    <row r="53" ht="24.75" hidden="1" customHeight="1">
      <c r="A53" s="54">
        <v>80.0</v>
      </c>
      <c r="B53" s="56" t="s">
        <v>210</v>
      </c>
      <c r="C53" s="56" t="s">
        <v>189</v>
      </c>
      <c r="D53" s="56" t="s">
        <v>212</v>
      </c>
      <c r="E53" s="56" t="s">
        <v>213</v>
      </c>
      <c r="F53" s="57"/>
      <c r="G53" s="61"/>
      <c r="H53" s="61"/>
      <c r="I53" s="62"/>
      <c r="J53" s="53"/>
    </row>
    <row r="54" ht="24.75" hidden="1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216</v>
      </c>
      <c r="F54" s="57" t="s">
        <v>154</v>
      </c>
      <c r="G54" s="61"/>
      <c r="H54" s="61"/>
      <c r="I54" s="62" t="s">
        <v>207</v>
      </c>
      <c r="J54" s="53"/>
    </row>
    <row r="55" ht="24.75" hidden="1" customHeight="1">
      <c r="A55" s="54">
        <v>80.0</v>
      </c>
      <c r="B55" s="56" t="s">
        <v>214</v>
      </c>
      <c r="C55" s="56" t="s">
        <v>204</v>
      </c>
      <c r="D55" s="56" t="s">
        <v>215</v>
      </c>
      <c r="E55" s="56" t="s">
        <v>217</v>
      </c>
      <c r="F55" s="57" t="s">
        <v>154</v>
      </c>
      <c r="G55" s="61"/>
      <c r="H55" s="61"/>
      <c r="I55" s="62" t="s">
        <v>207</v>
      </c>
      <c r="J55" s="53"/>
    </row>
    <row r="56" ht="24.75" hidden="1" customHeight="1">
      <c r="A56" s="54">
        <v>80.0</v>
      </c>
      <c r="B56" s="56" t="s">
        <v>214</v>
      </c>
      <c r="C56" s="56" t="s">
        <v>204</v>
      </c>
      <c r="D56" s="56" t="s">
        <v>215</v>
      </c>
      <c r="E56" s="56" t="s">
        <v>163</v>
      </c>
      <c r="F56" s="57" t="s">
        <v>154</v>
      </c>
      <c r="G56" s="61"/>
      <c r="H56" s="61"/>
      <c r="I56" s="62" t="s">
        <v>207</v>
      </c>
      <c r="J56" s="53"/>
    </row>
    <row r="57" ht="24.75" hidden="1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191</v>
      </c>
      <c r="F57" s="57" t="s">
        <v>192</v>
      </c>
      <c r="G57" s="61"/>
      <c r="H57" s="61"/>
      <c r="I57" s="62"/>
      <c r="J57" s="53"/>
    </row>
    <row r="58" ht="24.75" hidden="1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194</v>
      </c>
      <c r="F58" s="57" t="s">
        <v>192</v>
      </c>
      <c r="G58" s="61"/>
      <c r="H58" s="61"/>
      <c r="I58" s="62"/>
      <c r="J58" s="53"/>
    </row>
    <row r="59" ht="24.75" hidden="1" customHeight="1">
      <c r="A59" s="54">
        <v>80.0</v>
      </c>
      <c r="B59" s="56" t="s">
        <v>218</v>
      </c>
      <c r="C59" s="56" t="s">
        <v>204</v>
      </c>
      <c r="D59" s="56" t="s">
        <v>219</v>
      </c>
      <c r="E59" s="56" t="s">
        <v>195</v>
      </c>
      <c r="F59" s="57" t="s">
        <v>34</v>
      </c>
      <c r="G59" s="61"/>
      <c r="H59" s="61" t="s">
        <v>197</v>
      </c>
      <c r="I59" s="62"/>
      <c r="J59" s="53"/>
    </row>
    <row r="60" ht="24.75" hidden="1" customHeight="1">
      <c r="A60" s="54">
        <v>80.0</v>
      </c>
      <c r="B60" s="56" t="s">
        <v>218</v>
      </c>
      <c r="C60" s="56" t="s">
        <v>204</v>
      </c>
      <c r="D60" s="56" t="s">
        <v>219</v>
      </c>
      <c r="E60" s="56" t="s">
        <v>196</v>
      </c>
      <c r="F60" s="57" t="s">
        <v>154</v>
      </c>
      <c r="G60" s="61"/>
      <c r="H60" s="61" t="s">
        <v>200</v>
      </c>
      <c r="I60" s="62" t="s">
        <v>201</v>
      </c>
      <c r="J60" s="53"/>
    </row>
    <row r="61" ht="24.75" hidden="1" customHeight="1">
      <c r="A61" s="54">
        <v>80.0</v>
      </c>
      <c r="B61" s="56" t="s">
        <v>220</v>
      </c>
      <c r="C61" s="56" t="s">
        <v>204</v>
      </c>
      <c r="D61" s="56" t="s">
        <v>221</v>
      </c>
      <c r="E61" s="56" t="s">
        <v>222</v>
      </c>
      <c r="F61" s="57" t="s">
        <v>154</v>
      </c>
      <c r="G61" s="61"/>
      <c r="H61" s="61"/>
      <c r="I61" s="62"/>
      <c r="J61" s="53"/>
    </row>
    <row r="62" ht="24.75" hidden="1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225</v>
      </c>
      <c r="F62" s="57" t="s">
        <v>34</v>
      </c>
      <c r="G62" s="61"/>
      <c r="H62" s="61"/>
      <c r="I62" s="62"/>
      <c r="J62" s="53"/>
    </row>
    <row r="63" ht="24.75" hidden="1" customHeight="1">
      <c r="A63" s="54">
        <v>80.0</v>
      </c>
      <c r="B63" s="56" t="s">
        <v>223</v>
      </c>
      <c r="C63" s="56" t="s">
        <v>204</v>
      </c>
      <c r="D63" s="56" t="s">
        <v>224</v>
      </c>
      <c r="E63" s="56" t="s">
        <v>167</v>
      </c>
      <c r="F63" s="57" t="s">
        <v>154</v>
      </c>
      <c r="G63" s="61"/>
      <c r="H63" s="61"/>
      <c r="I63" s="62"/>
      <c r="J63" s="53"/>
    </row>
    <row r="64" ht="24.75" hidden="1" customHeight="1">
      <c r="A64" s="54">
        <v>80.0</v>
      </c>
      <c r="B64" s="56" t="s">
        <v>223</v>
      </c>
      <c r="C64" s="56" t="s">
        <v>204</v>
      </c>
      <c r="D64" s="56" t="s">
        <v>224</v>
      </c>
      <c r="E64" s="56" t="s">
        <v>226</v>
      </c>
      <c r="F64" s="57" t="s">
        <v>154</v>
      </c>
      <c r="G64" s="61"/>
      <c r="H64" s="61"/>
      <c r="I64" s="62"/>
      <c r="J64" s="53"/>
    </row>
    <row r="65" ht="24.75" hidden="1" customHeight="1">
      <c r="A65" s="54">
        <v>80.0</v>
      </c>
      <c r="B65" s="56" t="s">
        <v>227</v>
      </c>
      <c r="C65" s="56" t="s">
        <v>228</v>
      </c>
      <c r="D65" s="56" t="s">
        <v>229</v>
      </c>
      <c r="E65" s="56" t="s">
        <v>230</v>
      </c>
      <c r="F65" s="57" t="s">
        <v>154</v>
      </c>
      <c r="G65" s="61"/>
      <c r="H65" s="61"/>
      <c r="I65" s="62"/>
      <c r="J65" s="53"/>
    </row>
    <row r="66" ht="24.75" hidden="1" customHeight="1">
      <c r="A66" s="54">
        <v>80.0</v>
      </c>
      <c r="B66" s="56" t="s">
        <v>227</v>
      </c>
      <c r="C66" s="56" t="s">
        <v>228</v>
      </c>
      <c r="D66" s="56" t="s">
        <v>231</v>
      </c>
      <c r="E66" s="56" t="s">
        <v>232</v>
      </c>
      <c r="F66" s="57" t="s">
        <v>192</v>
      </c>
      <c r="G66" s="61"/>
      <c r="H66" s="61" t="s">
        <v>200</v>
      </c>
      <c r="I66" s="62" t="s">
        <v>240</v>
      </c>
      <c r="J66" s="53"/>
    </row>
    <row r="67" ht="24.75" customHeight="1">
      <c r="A67" s="54">
        <v>92.0</v>
      </c>
      <c r="B67" s="56" t="s">
        <v>233</v>
      </c>
      <c r="C67" s="56" t="s">
        <v>234</v>
      </c>
      <c r="D67" s="56" t="s">
        <v>235</v>
      </c>
      <c r="E67" s="56" t="s">
        <v>111</v>
      </c>
      <c r="F67" s="57" t="s">
        <v>87</v>
      </c>
      <c r="G67" s="61"/>
      <c r="H67" s="61"/>
      <c r="I67" s="60" t="s">
        <v>243</v>
      </c>
      <c r="J67" s="53"/>
    </row>
    <row r="68" ht="24.75" hidden="1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239</v>
      </c>
      <c r="F68" s="57" t="s">
        <v>34</v>
      </c>
      <c r="G68" s="61"/>
      <c r="H68" s="61"/>
      <c r="I68" s="62" t="s">
        <v>245</v>
      </c>
      <c r="J68" s="53"/>
    </row>
    <row r="69" ht="24.75" hidden="1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241</v>
      </c>
      <c r="F69" s="57" t="s">
        <v>34</v>
      </c>
      <c r="G69" s="61"/>
      <c r="H69" s="61"/>
      <c r="I69" s="62" t="s">
        <v>245</v>
      </c>
      <c r="J69" s="53"/>
    </row>
    <row r="70" ht="24.75" hidden="1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242</v>
      </c>
      <c r="F70" s="57" t="s">
        <v>34</v>
      </c>
      <c r="G70" s="61"/>
      <c r="H70" s="61"/>
      <c r="I70" s="62" t="s">
        <v>245</v>
      </c>
      <c r="J70" s="53"/>
    </row>
    <row r="71" ht="24.75" hidden="1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244</v>
      </c>
      <c r="F71" s="57" t="s">
        <v>34</v>
      </c>
      <c r="G71" s="61"/>
      <c r="H71" s="61"/>
      <c r="I71" s="62" t="s">
        <v>245</v>
      </c>
      <c r="J71" s="53"/>
    </row>
    <row r="72" ht="24.75" hidden="1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247</v>
      </c>
      <c r="F72" s="57" t="s">
        <v>34</v>
      </c>
      <c r="G72" s="61"/>
      <c r="H72" s="61"/>
      <c r="I72" s="62" t="s">
        <v>245</v>
      </c>
      <c r="J72" s="53"/>
    </row>
    <row r="73" ht="24.75" hidden="1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248</v>
      </c>
      <c r="F73" s="57" t="s">
        <v>34</v>
      </c>
      <c r="G73" s="61"/>
      <c r="H73" s="61"/>
      <c r="I73" s="62"/>
      <c r="J73" s="53"/>
    </row>
    <row r="74" ht="24.75" hidden="1" customHeight="1">
      <c r="A74" s="54">
        <v>90.0</v>
      </c>
      <c r="B74" s="56" t="s">
        <v>236</v>
      </c>
      <c r="C74" s="56" t="s">
        <v>237</v>
      </c>
      <c r="D74" s="56" t="s">
        <v>238</v>
      </c>
      <c r="E74" s="56" t="s">
        <v>252</v>
      </c>
      <c r="F74" s="57" t="s">
        <v>34</v>
      </c>
      <c r="G74" s="61"/>
      <c r="H74" s="61"/>
      <c r="I74" s="62" t="s">
        <v>245</v>
      </c>
      <c r="J74" s="53"/>
    </row>
    <row r="75" ht="24.75" customHeight="1">
      <c r="A75" s="54">
        <v>92.0</v>
      </c>
      <c r="B75" s="56" t="s">
        <v>253</v>
      </c>
      <c r="C75" s="56" t="s">
        <v>234</v>
      </c>
      <c r="D75" s="56" t="s">
        <v>254</v>
      </c>
      <c r="E75" s="56" t="s">
        <v>111</v>
      </c>
      <c r="F75" s="57" t="s">
        <v>87</v>
      </c>
      <c r="G75" s="61"/>
      <c r="H75" s="61"/>
      <c r="I75" s="60" t="s">
        <v>243</v>
      </c>
      <c r="J75" s="53"/>
    </row>
    <row r="76" ht="24.75" customHeight="1">
      <c r="A76" s="54">
        <v>92.0</v>
      </c>
      <c r="B76" s="56" t="s">
        <v>255</v>
      </c>
      <c r="C76" s="56" t="s">
        <v>234</v>
      </c>
      <c r="D76" s="56" t="s">
        <v>256</v>
      </c>
      <c r="E76" s="56" t="s">
        <v>257</v>
      </c>
      <c r="F76" s="57" t="s">
        <v>87</v>
      </c>
      <c r="G76" s="61"/>
      <c r="H76" s="61"/>
      <c r="I76" s="60"/>
      <c r="J76" s="53"/>
    </row>
    <row r="77" ht="24.75" customHeight="1">
      <c r="A77" s="54">
        <v>110.0</v>
      </c>
      <c r="B77" s="56" t="s">
        <v>258</v>
      </c>
      <c r="C77" s="56" t="s">
        <v>259</v>
      </c>
      <c r="D77" s="56" t="s">
        <v>85</v>
      </c>
      <c r="E77" s="56" t="s">
        <v>86</v>
      </c>
      <c r="F77" s="57" t="s">
        <v>87</v>
      </c>
      <c r="G77" s="61"/>
      <c r="H77" s="61"/>
      <c r="I77" s="60" t="s">
        <v>88</v>
      </c>
      <c r="J77" s="53"/>
    </row>
    <row r="78" ht="24.75" customHeight="1">
      <c r="A78" s="54">
        <v>110.0</v>
      </c>
      <c r="B78" s="56" t="s">
        <v>260</v>
      </c>
      <c r="C78" s="56" t="s">
        <v>259</v>
      </c>
      <c r="D78" s="56" t="s">
        <v>261</v>
      </c>
      <c r="E78" s="56" t="s">
        <v>86</v>
      </c>
      <c r="F78" s="57" t="s">
        <v>87</v>
      </c>
      <c r="G78" s="61"/>
      <c r="H78" s="61"/>
      <c r="I78" s="60" t="s">
        <v>88</v>
      </c>
      <c r="J78" s="53"/>
    </row>
    <row r="79" ht="24.75" customHeight="1">
      <c r="A79" s="54">
        <v>120.0</v>
      </c>
      <c r="B79" s="56" t="s">
        <v>262</v>
      </c>
      <c r="C79" s="56" t="s">
        <v>263</v>
      </c>
      <c r="D79" s="56" t="s">
        <v>263</v>
      </c>
      <c r="E79" s="56" t="s">
        <v>264</v>
      </c>
      <c r="F79" s="57" t="s">
        <v>87</v>
      </c>
      <c r="G79" s="61"/>
      <c r="H79" s="61"/>
      <c r="I79" s="60" t="s">
        <v>273</v>
      </c>
      <c r="J79" s="53"/>
    </row>
    <row r="80" ht="24.75" hidden="1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267</v>
      </c>
      <c r="F80" s="57" t="s">
        <v>192</v>
      </c>
      <c r="G80" s="61"/>
      <c r="H80" s="61"/>
      <c r="I80" s="62" t="s">
        <v>245</v>
      </c>
      <c r="J80" s="53"/>
    </row>
    <row r="81" ht="24.75" hidden="1" customHeight="1">
      <c r="A81" s="54">
        <v>90.0</v>
      </c>
      <c r="B81" s="56" t="s">
        <v>265</v>
      </c>
      <c r="C81" s="56" t="s">
        <v>237</v>
      </c>
      <c r="D81" s="56" t="s">
        <v>266</v>
      </c>
      <c r="E81" s="56" t="s">
        <v>268</v>
      </c>
      <c r="F81" s="57" t="s">
        <v>34</v>
      </c>
      <c r="G81" s="61"/>
      <c r="H81" s="61"/>
      <c r="I81" s="62" t="s">
        <v>245</v>
      </c>
      <c r="J81" s="53"/>
    </row>
    <row r="82" ht="24.75" customHeight="1">
      <c r="A82" s="54">
        <v>140.0</v>
      </c>
      <c r="B82" s="56" t="s">
        <v>269</v>
      </c>
      <c r="C82" s="56" t="s">
        <v>270</v>
      </c>
      <c r="D82" s="56" t="s">
        <v>271</v>
      </c>
      <c r="E82" s="56" t="s">
        <v>272</v>
      </c>
      <c r="F82" s="57" t="s">
        <v>87</v>
      </c>
      <c r="G82" s="61"/>
      <c r="H82" s="61"/>
      <c r="I82" s="60"/>
      <c r="J82" s="53"/>
    </row>
    <row r="83" ht="24.75" hidden="1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239</v>
      </c>
      <c r="F83" s="57" t="s">
        <v>34</v>
      </c>
      <c r="G83" s="61"/>
      <c r="H83" s="61"/>
      <c r="I83" s="62" t="s">
        <v>245</v>
      </c>
      <c r="J83" s="53"/>
    </row>
    <row r="84" ht="24.75" hidden="1" customHeight="1">
      <c r="A84" s="54">
        <v>90.0</v>
      </c>
      <c r="B84" s="56" t="s">
        <v>274</v>
      </c>
      <c r="C84" s="56" t="s">
        <v>237</v>
      </c>
      <c r="D84" s="56" t="s">
        <v>275</v>
      </c>
      <c r="E84" s="56" t="s">
        <v>248</v>
      </c>
      <c r="F84" s="57" t="s">
        <v>34</v>
      </c>
      <c r="G84" s="61"/>
      <c r="H84" s="61"/>
      <c r="I84" s="62"/>
      <c r="J84" s="53"/>
    </row>
    <row r="85" ht="24.75" customHeight="1">
      <c r="A85" s="54">
        <v>140.0</v>
      </c>
      <c r="B85" s="56" t="s">
        <v>269</v>
      </c>
      <c r="C85" s="56" t="s">
        <v>270</v>
      </c>
      <c r="D85" s="56" t="s">
        <v>271</v>
      </c>
      <c r="E85" s="56" t="s">
        <v>276</v>
      </c>
      <c r="F85" s="57" t="s">
        <v>87</v>
      </c>
      <c r="G85" s="61"/>
      <c r="H85" s="61"/>
      <c r="I85" s="60" t="s">
        <v>88</v>
      </c>
      <c r="J85" s="53"/>
    </row>
    <row r="86" ht="24.75" hidden="1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239</v>
      </c>
      <c r="F86" s="57" t="s">
        <v>34</v>
      </c>
      <c r="G86" s="61"/>
      <c r="H86" s="61"/>
      <c r="I86" s="62" t="s">
        <v>283</v>
      </c>
      <c r="J86" s="53"/>
    </row>
    <row r="87" ht="24.75" hidden="1" customHeight="1">
      <c r="A87" s="54">
        <v>90.0</v>
      </c>
      <c r="B87" s="56" t="s">
        <v>277</v>
      </c>
      <c r="C87" s="56" t="s">
        <v>278</v>
      </c>
      <c r="D87" s="56" t="s">
        <v>279</v>
      </c>
      <c r="E87" s="56" t="s">
        <v>163</v>
      </c>
      <c r="F87" s="57" t="s">
        <v>34</v>
      </c>
      <c r="G87" s="61"/>
      <c r="H87" s="61"/>
      <c r="I87" s="62" t="s">
        <v>283</v>
      </c>
      <c r="J87" s="53"/>
    </row>
    <row r="88" ht="24.75" hidden="1" customHeight="1">
      <c r="A88" s="54">
        <v>90.0</v>
      </c>
      <c r="B88" s="56" t="s">
        <v>277</v>
      </c>
      <c r="C88" s="56" t="s">
        <v>278</v>
      </c>
      <c r="D88" s="56" t="s">
        <v>279</v>
      </c>
      <c r="E88" s="56" t="s">
        <v>241</v>
      </c>
      <c r="F88" s="57" t="s">
        <v>34</v>
      </c>
      <c r="G88" s="61"/>
      <c r="H88" s="61"/>
      <c r="I88" s="62" t="s">
        <v>283</v>
      </c>
      <c r="J88" s="53"/>
    </row>
    <row r="89" ht="24.75" hidden="1" customHeight="1">
      <c r="A89" s="54">
        <v>90.0</v>
      </c>
      <c r="B89" s="56" t="s">
        <v>280</v>
      </c>
      <c r="C89" s="56" t="s">
        <v>278</v>
      </c>
      <c r="D89" s="56" t="s">
        <v>281</v>
      </c>
      <c r="E89" s="56" t="s">
        <v>196</v>
      </c>
      <c r="F89" s="57" t="s">
        <v>192</v>
      </c>
      <c r="G89" s="61"/>
      <c r="H89" s="61" t="s">
        <v>287</v>
      </c>
      <c r="I89" s="62" t="s">
        <v>288</v>
      </c>
      <c r="J89" s="53"/>
    </row>
    <row r="90" ht="24.75" hidden="1" customHeight="1">
      <c r="A90" s="54">
        <v>90.0</v>
      </c>
      <c r="B90" s="56" t="s">
        <v>280</v>
      </c>
      <c r="C90" s="56" t="s">
        <v>278</v>
      </c>
      <c r="D90" s="56" t="s">
        <v>281</v>
      </c>
      <c r="E90" s="56" t="s">
        <v>282</v>
      </c>
      <c r="F90" s="76" t="s">
        <v>192</v>
      </c>
      <c r="G90" s="61"/>
      <c r="H90" s="77" t="s">
        <v>209</v>
      </c>
      <c r="I90" s="62" t="s">
        <v>293</v>
      </c>
      <c r="J90" s="53"/>
    </row>
    <row r="91" ht="24.75" customHeight="1">
      <c r="A91" s="54">
        <v>140.0</v>
      </c>
      <c r="B91" s="56" t="s">
        <v>284</v>
      </c>
      <c r="C91" s="56" t="s">
        <v>270</v>
      </c>
      <c r="D91" s="56" t="s">
        <v>285</v>
      </c>
      <c r="E91" s="56" t="s">
        <v>272</v>
      </c>
      <c r="F91" s="57" t="s">
        <v>87</v>
      </c>
      <c r="G91" s="61"/>
      <c r="H91" s="61"/>
      <c r="I91" s="60"/>
      <c r="J91" s="53"/>
    </row>
    <row r="92" ht="24.75" customHeight="1">
      <c r="A92" s="54">
        <v>140.0</v>
      </c>
      <c r="B92" s="56" t="s">
        <v>284</v>
      </c>
      <c r="C92" s="56" t="s">
        <v>270</v>
      </c>
      <c r="D92" s="56" t="s">
        <v>285</v>
      </c>
      <c r="E92" s="56" t="s">
        <v>276</v>
      </c>
      <c r="F92" s="57" t="s">
        <v>87</v>
      </c>
      <c r="G92" s="61"/>
      <c r="H92" s="61"/>
      <c r="I92" s="60" t="s">
        <v>88</v>
      </c>
      <c r="J92" s="53"/>
    </row>
    <row r="93" ht="24.75" hidden="1" customHeight="1">
      <c r="A93" s="54">
        <v>90.0</v>
      </c>
      <c r="B93" s="56" t="s">
        <v>286</v>
      </c>
      <c r="C93" s="56" t="s">
        <v>278</v>
      </c>
      <c r="D93" s="56" t="s">
        <v>266</v>
      </c>
      <c r="E93" s="56" t="s">
        <v>268</v>
      </c>
      <c r="F93" s="57" t="s">
        <v>34</v>
      </c>
      <c r="G93" s="61"/>
      <c r="H93" s="61"/>
      <c r="I93" s="62" t="s">
        <v>283</v>
      </c>
      <c r="J93" s="53"/>
    </row>
    <row r="94" ht="24.75" customHeight="1">
      <c r="A94" s="54" t="s">
        <v>289</v>
      </c>
      <c r="B94" s="56" t="s">
        <v>290</v>
      </c>
      <c r="C94" s="56" t="s">
        <v>291</v>
      </c>
      <c r="D94" s="56" t="s">
        <v>292</v>
      </c>
      <c r="E94" s="56" t="s">
        <v>167</v>
      </c>
      <c r="F94" s="57" t="s">
        <v>87</v>
      </c>
      <c r="G94" s="61"/>
      <c r="H94" s="79"/>
      <c r="I94" s="60"/>
      <c r="J94" s="53"/>
    </row>
    <row r="95" ht="24.75" hidden="1" customHeight="1">
      <c r="A95" s="54">
        <v>90.0</v>
      </c>
      <c r="B95" s="56" t="s">
        <v>294</v>
      </c>
      <c r="C95" s="56" t="s">
        <v>278</v>
      </c>
      <c r="D95" s="56" t="s">
        <v>275</v>
      </c>
      <c r="E95" s="56" t="s">
        <v>239</v>
      </c>
      <c r="F95" s="57" t="s">
        <v>34</v>
      </c>
      <c r="G95" s="61"/>
      <c r="H95" s="61"/>
      <c r="I95" s="62"/>
      <c r="J95" s="53"/>
    </row>
    <row r="96" ht="24.75" customHeight="1">
      <c r="A96" s="54" t="s">
        <v>289</v>
      </c>
      <c r="B96" s="56" t="s">
        <v>290</v>
      </c>
      <c r="C96" s="56" t="s">
        <v>291</v>
      </c>
      <c r="D96" s="56" t="s">
        <v>292</v>
      </c>
      <c r="E96" s="56" t="s">
        <v>295</v>
      </c>
      <c r="F96" s="57" t="s">
        <v>87</v>
      </c>
      <c r="G96" s="61"/>
      <c r="H96" s="79"/>
      <c r="I96" s="60"/>
      <c r="J96" s="53"/>
    </row>
    <row r="97" ht="24.75" hidden="1" customHeight="1">
      <c r="A97" s="54">
        <v>92.0</v>
      </c>
      <c r="B97" s="56" t="s">
        <v>233</v>
      </c>
      <c r="C97" s="56" t="s">
        <v>234</v>
      </c>
      <c r="D97" s="56" t="s">
        <v>296</v>
      </c>
      <c r="E97" s="56" t="s">
        <v>297</v>
      </c>
      <c r="F97" s="57"/>
      <c r="G97" s="61"/>
      <c r="H97" s="61"/>
      <c r="I97" s="62" t="s">
        <v>283</v>
      </c>
      <c r="J97" s="53"/>
    </row>
    <row r="98" ht="24.75" hidden="1" customHeight="1">
      <c r="A98" s="54">
        <v>90.0</v>
      </c>
      <c r="B98" s="56" t="s">
        <v>298</v>
      </c>
      <c r="C98" s="56" t="s">
        <v>278</v>
      </c>
      <c r="D98" s="56" t="s">
        <v>299</v>
      </c>
      <c r="E98" s="56" t="s">
        <v>167</v>
      </c>
      <c r="F98" s="57" t="s">
        <v>15</v>
      </c>
      <c r="G98" s="61"/>
      <c r="H98" s="61"/>
      <c r="I98" s="60"/>
      <c r="J98" s="53"/>
    </row>
    <row r="99" ht="24.75" hidden="1" customHeight="1">
      <c r="A99" s="54">
        <v>92.0</v>
      </c>
      <c r="B99" s="56" t="s">
        <v>253</v>
      </c>
      <c r="C99" s="56" t="s">
        <v>234</v>
      </c>
      <c r="D99" s="56" t="s">
        <v>300</v>
      </c>
      <c r="E99" s="56" t="s">
        <v>297</v>
      </c>
      <c r="F99" s="57"/>
      <c r="G99" s="61"/>
      <c r="H99" s="61"/>
      <c r="I99" s="62" t="s">
        <v>283</v>
      </c>
      <c r="J99" s="53"/>
    </row>
    <row r="100" ht="24.75" hidden="1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163</v>
      </c>
      <c r="F100" s="57" t="s">
        <v>34</v>
      </c>
      <c r="G100" s="61"/>
      <c r="H100" s="61"/>
      <c r="I100" s="62"/>
      <c r="J100" s="53"/>
    </row>
    <row r="101" ht="24.75" hidden="1" customHeight="1">
      <c r="A101" s="54">
        <v>92.0</v>
      </c>
      <c r="B101" s="56" t="s">
        <v>301</v>
      </c>
      <c r="C101" s="56" t="s">
        <v>234</v>
      </c>
      <c r="D101" s="56" t="s">
        <v>302</v>
      </c>
      <c r="E101" s="56" t="s">
        <v>111</v>
      </c>
      <c r="F101" s="57" t="s">
        <v>154</v>
      </c>
      <c r="G101" s="61"/>
      <c r="H101" s="61"/>
      <c r="I101" s="62"/>
      <c r="J101" s="53"/>
    </row>
    <row r="102" ht="24.75" hidden="1" customHeight="1">
      <c r="A102" s="54">
        <v>92.0</v>
      </c>
      <c r="B102" s="56" t="s">
        <v>301</v>
      </c>
      <c r="C102" s="56" t="s">
        <v>234</v>
      </c>
      <c r="D102" s="56" t="s">
        <v>302</v>
      </c>
      <c r="E102" s="56" t="s">
        <v>248</v>
      </c>
      <c r="F102" s="57" t="s">
        <v>303</v>
      </c>
      <c r="G102" s="61"/>
      <c r="H102" s="61"/>
      <c r="I102" s="62"/>
      <c r="J102" s="53"/>
    </row>
    <row r="103" ht="24.75" hidden="1" customHeight="1">
      <c r="A103" s="54">
        <v>92.0</v>
      </c>
      <c r="B103" s="56" t="s">
        <v>301</v>
      </c>
      <c r="C103" s="56" t="s">
        <v>234</v>
      </c>
      <c r="D103" s="56" t="s">
        <v>302</v>
      </c>
      <c r="E103" s="56" t="s">
        <v>247</v>
      </c>
      <c r="F103" s="57" t="s">
        <v>303</v>
      </c>
      <c r="G103" s="61"/>
      <c r="H103" s="61"/>
      <c r="I103" s="62"/>
      <c r="J103" s="53"/>
    </row>
    <row r="104" ht="24.75" hidden="1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163</v>
      </c>
      <c r="F104" s="57" t="s">
        <v>34</v>
      </c>
      <c r="G104" s="61"/>
      <c r="H104" s="61"/>
      <c r="I104" s="62"/>
      <c r="J104" s="53"/>
    </row>
    <row r="105" ht="24.75" hidden="1" customHeight="1">
      <c r="A105" s="54">
        <v>92.0</v>
      </c>
      <c r="B105" s="56" t="s">
        <v>304</v>
      </c>
      <c r="C105" s="56" t="s">
        <v>234</v>
      </c>
      <c r="D105" s="56" t="s">
        <v>305</v>
      </c>
      <c r="E105" s="56" t="s">
        <v>111</v>
      </c>
      <c r="F105" s="57" t="s">
        <v>154</v>
      </c>
      <c r="G105" s="61"/>
      <c r="H105" s="61"/>
      <c r="I105" s="62"/>
      <c r="J105" s="53"/>
    </row>
    <row r="106" ht="24.75" hidden="1" customHeight="1">
      <c r="A106" s="54">
        <v>92.0</v>
      </c>
      <c r="B106" s="56" t="s">
        <v>304</v>
      </c>
      <c r="C106" s="56" t="s">
        <v>234</v>
      </c>
      <c r="D106" s="56" t="s">
        <v>305</v>
      </c>
      <c r="E106" s="56" t="s">
        <v>248</v>
      </c>
      <c r="F106" s="57" t="s">
        <v>303</v>
      </c>
      <c r="G106" s="61"/>
      <c r="H106" s="61"/>
      <c r="I106" s="62"/>
      <c r="J106" s="53"/>
    </row>
    <row r="107" ht="24.75" hidden="1" customHeight="1">
      <c r="A107" s="54">
        <v>92.0</v>
      </c>
      <c r="B107" s="56" t="s">
        <v>304</v>
      </c>
      <c r="C107" s="56" t="s">
        <v>234</v>
      </c>
      <c r="D107" s="56" t="s">
        <v>305</v>
      </c>
      <c r="E107" s="56" t="s">
        <v>247</v>
      </c>
      <c r="F107" s="57" t="s">
        <v>303</v>
      </c>
      <c r="G107" s="61"/>
      <c r="H107" s="61"/>
      <c r="I107" s="62"/>
      <c r="J107" s="53"/>
    </row>
    <row r="108" ht="24.75" hidden="1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163</v>
      </c>
      <c r="F108" s="57" t="s">
        <v>34</v>
      </c>
      <c r="G108" s="61"/>
      <c r="H108" s="61"/>
      <c r="I108" s="62"/>
      <c r="J108" s="53"/>
    </row>
    <row r="109" ht="24.75" hidden="1" customHeight="1">
      <c r="A109" s="54">
        <v>92.0</v>
      </c>
      <c r="B109" s="56" t="s">
        <v>306</v>
      </c>
      <c r="C109" s="56" t="s">
        <v>234</v>
      </c>
      <c r="D109" s="56" t="s">
        <v>307</v>
      </c>
      <c r="E109" s="56" t="s">
        <v>111</v>
      </c>
      <c r="F109" s="57" t="s">
        <v>154</v>
      </c>
      <c r="G109" s="61"/>
      <c r="H109" s="61"/>
      <c r="I109" s="62"/>
      <c r="J109" s="53"/>
    </row>
    <row r="110" ht="24.75" hidden="1" customHeight="1">
      <c r="A110" s="54">
        <v>92.0</v>
      </c>
      <c r="B110" s="56" t="s">
        <v>306</v>
      </c>
      <c r="C110" s="56" t="s">
        <v>234</v>
      </c>
      <c r="D110" s="56" t="s">
        <v>307</v>
      </c>
      <c r="E110" s="56" t="s">
        <v>248</v>
      </c>
      <c r="F110" s="57" t="s">
        <v>303</v>
      </c>
      <c r="G110" s="61"/>
      <c r="H110" s="61"/>
      <c r="I110" s="62"/>
      <c r="J110" s="53"/>
    </row>
    <row r="111" ht="24.75" hidden="1" customHeight="1">
      <c r="A111" s="54">
        <v>92.0</v>
      </c>
      <c r="B111" s="56" t="s">
        <v>306</v>
      </c>
      <c r="C111" s="56" t="s">
        <v>234</v>
      </c>
      <c r="D111" s="56" t="s">
        <v>307</v>
      </c>
      <c r="E111" s="56" t="s">
        <v>247</v>
      </c>
      <c r="F111" s="57" t="s">
        <v>303</v>
      </c>
      <c r="G111" s="61"/>
      <c r="H111" s="61"/>
      <c r="I111" s="62"/>
      <c r="J111" s="53"/>
    </row>
    <row r="112" ht="24.75" hidden="1" customHeight="1">
      <c r="A112" s="54">
        <v>90.0</v>
      </c>
      <c r="B112" s="56" t="s">
        <v>236</v>
      </c>
      <c r="C112" s="56" t="s">
        <v>237</v>
      </c>
      <c r="D112" s="56" t="s">
        <v>238</v>
      </c>
      <c r="E112" s="56" t="s">
        <v>308</v>
      </c>
      <c r="F112" s="57" t="s">
        <v>15</v>
      </c>
      <c r="G112" s="61"/>
      <c r="H112" s="61"/>
      <c r="I112" s="60"/>
      <c r="J112" s="53"/>
    </row>
    <row r="113" ht="24.75" hidden="1" customHeight="1">
      <c r="A113" s="54">
        <v>92.0</v>
      </c>
      <c r="B113" s="56" t="s">
        <v>309</v>
      </c>
      <c r="C113" s="56" t="s">
        <v>234</v>
      </c>
      <c r="D113" s="80" t="s">
        <v>310</v>
      </c>
      <c r="E113" s="56" t="s">
        <v>297</v>
      </c>
      <c r="F113" s="57"/>
      <c r="G113" s="61"/>
      <c r="H113" s="61"/>
      <c r="I113" s="62"/>
      <c r="J113" s="53"/>
    </row>
    <row r="114" ht="24.75" hidden="1" customHeight="1">
      <c r="A114" s="54">
        <v>90.0</v>
      </c>
      <c r="B114" s="56" t="s">
        <v>236</v>
      </c>
      <c r="C114" s="56" t="s">
        <v>237</v>
      </c>
      <c r="D114" s="56" t="s">
        <v>238</v>
      </c>
      <c r="E114" s="56" t="s">
        <v>311</v>
      </c>
      <c r="F114" s="57" t="s">
        <v>15</v>
      </c>
      <c r="G114" s="61"/>
      <c r="H114" s="61"/>
      <c r="I114" s="60"/>
      <c r="J114" s="53"/>
    </row>
    <row r="115" ht="24.75" hidden="1" customHeight="1">
      <c r="A115" s="54">
        <v>90.0</v>
      </c>
      <c r="B115" s="56" t="s">
        <v>236</v>
      </c>
      <c r="C115" s="56" t="s">
        <v>237</v>
      </c>
      <c r="D115" s="56" t="s">
        <v>238</v>
      </c>
      <c r="E115" s="56" t="s">
        <v>312</v>
      </c>
      <c r="F115" s="57" t="s">
        <v>15</v>
      </c>
      <c r="G115" s="61"/>
      <c r="H115" s="61"/>
      <c r="I115" s="60"/>
      <c r="J115" s="53"/>
    </row>
    <row r="116" ht="24.75" hidden="1" customHeight="1">
      <c r="A116" s="54">
        <v>100.0</v>
      </c>
      <c r="B116" s="56" t="s">
        <v>314</v>
      </c>
      <c r="C116" s="56" t="s">
        <v>315</v>
      </c>
      <c r="D116" s="56" t="s">
        <v>316</v>
      </c>
      <c r="E116" s="56" t="s">
        <v>317</v>
      </c>
      <c r="F116" s="57" t="s">
        <v>34</v>
      </c>
      <c r="G116" s="81"/>
      <c r="H116" s="81"/>
      <c r="I116" s="57"/>
      <c r="J116" s="53"/>
    </row>
    <row r="117" ht="24.75" hidden="1" customHeight="1">
      <c r="A117" s="54">
        <v>100.0</v>
      </c>
      <c r="B117" s="56" t="s">
        <v>318</v>
      </c>
      <c r="C117" s="56" t="s">
        <v>315</v>
      </c>
      <c r="D117" s="56" t="s">
        <v>319</v>
      </c>
      <c r="E117" s="56" t="s">
        <v>320</v>
      </c>
      <c r="F117" s="57" t="s">
        <v>34</v>
      </c>
      <c r="G117" s="81"/>
      <c r="H117" s="81"/>
      <c r="I117" s="57"/>
      <c r="J117" s="5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  <c r="FU117" s="82"/>
      <c r="FV117" s="82"/>
      <c r="FW117" s="82"/>
      <c r="FX117" s="82"/>
      <c r="FY117" s="82"/>
      <c r="FZ117" s="82"/>
      <c r="GA117" s="82"/>
      <c r="GB117" s="82"/>
      <c r="GC117" s="82"/>
      <c r="GD117" s="82"/>
      <c r="GE117" s="82"/>
      <c r="GF117" s="82"/>
    </row>
    <row r="118" ht="24.75" hidden="1" customHeight="1">
      <c r="A118" s="54">
        <v>100.0</v>
      </c>
      <c r="B118" s="56" t="s">
        <v>318</v>
      </c>
      <c r="C118" s="56" t="s">
        <v>315</v>
      </c>
      <c r="D118" s="56" t="s">
        <v>319</v>
      </c>
      <c r="E118" s="56" t="s">
        <v>325</v>
      </c>
      <c r="F118" s="57" t="s">
        <v>34</v>
      </c>
      <c r="G118" s="53"/>
      <c r="H118" s="53"/>
      <c r="I118" s="53"/>
      <c r="J118" s="5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  <c r="FU118" s="82"/>
      <c r="FV118" s="82"/>
      <c r="FW118" s="82"/>
      <c r="FX118" s="82"/>
      <c r="FY118" s="82"/>
      <c r="FZ118" s="82"/>
      <c r="GA118" s="82"/>
      <c r="GB118" s="82"/>
      <c r="GC118" s="82"/>
      <c r="GD118" s="82"/>
      <c r="GE118" s="82"/>
      <c r="GF118" s="82"/>
    </row>
    <row r="119" ht="24.75" hidden="1" customHeight="1">
      <c r="A119" s="54">
        <v>100.0</v>
      </c>
      <c r="B119" s="56" t="s">
        <v>328</v>
      </c>
      <c r="C119" s="56" t="s">
        <v>315</v>
      </c>
      <c r="D119" s="56" t="s">
        <v>329</v>
      </c>
      <c r="E119" s="56" t="s">
        <v>320</v>
      </c>
      <c r="F119" s="57" t="s">
        <v>34</v>
      </c>
      <c r="G119" s="53"/>
      <c r="H119" s="53"/>
      <c r="I119" s="53"/>
      <c r="J119" s="53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  <c r="BT119" s="82"/>
      <c r="BU119" s="82"/>
      <c r="BV119" s="82"/>
      <c r="BW119" s="82"/>
      <c r="BX119" s="82"/>
      <c r="BY119" s="82"/>
      <c r="BZ119" s="82"/>
      <c r="CA119" s="82"/>
      <c r="CB119" s="82"/>
      <c r="CC119" s="82"/>
      <c r="CD119" s="82"/>
      <c r="CE119" s="82"/>
      <c r="CF119" s="82"/>
      <c r="CG119" s="82"/>
      <c r="CH119" s="82"/>
      <c r="CI119" s="82"/>
      <c r="CJ119" s="82"/>
      <c r="CK119" s="82"/>
      <c r="CL119" s="82"/>
      <c r="CM119" s="82"/>
      <c r="CN119" s="82"/>
      <c r="CO119" s="82"/>
      <c r="CP119" s="82"/>
      <c r="CQ119" s="82"/>
      <c r="CR119" s="82"/>
      <c r="CS119" s="82"/>
      <c r="CT119" s="82"/>
      <c r="CU119" s="82"/>
      <c r="CV119" s="82"/>
      <c r="CW119" s="82"/>
      <c r="CX119" s="82"/>
      <c r="CY119" s="82"/>
      <c r="CZ119" s="82"/>
      <c r="DA119" s="82"/>
      <c r="DB119" s="82"/>
      <c r="DC119" s="82"/>
      <c r="DD119" s="82"/>
      <c r="DE119" s="82"/>
      <c r="DF119" s="82"/>
      <c r="DG119" s="82"/>
      <c r="DH119" s="82"/>
      <c r="DI119" s="82"/>
      <c r="DJ119" s="82"/>
      <c r="DK119" s="82"/>
      <c r="DL119" s="82"/>
      <c r="DM119" s="82"/>
      <c r="DN119" s="82"/>
      <c r="DO119" s="82"/>
      <c r="DP119" s="82"/>
      <c r="DQ119" s="82"/>
      <c r="DR119" s="82"/>
      <c r="DS119" s="82"/>
      <c r="DT119" s="82"/>
      <c r="DU119" s="82"/>
      <c r="DV119" s="82"/>
      <c r="DW119" s="82"/>
      <c r="DX119" s="82"/>
      <c r="DY119" s="82"/>
      <c r="DZ119" s="82"/>
      <c r="EA119" s="82"/>
      <c r="EB119" s="82"/>
      <c r="EC119" s="82"/>
      <c r="ED119" s="82"/>
      <c r="EE119" s="82"/>
      <c r="EF119" s="82"/>
      <c r="EG119" s="82"/>
      <c r="EH119" s="82"/>
      <c r="EI119" s="82"/>
      <c r="EJ119" s="82"/>
      <c r="EK119" s="82"/>
      <c r="EL119" s="82"/>
      <c r="EM119" s="82"/>
      <c r="EN119" s="82"/>
      <c r="EO119" s="82"/>
      <c r="EP119" s="82"/>
      <c r="EQ119" s="82"/>
      <c r="ER119" s="8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2"/>
      <c r="FF119" s="82"/>
      <c r="FG119" s="82"/>
      <c r="FH119" s="82"/>
      <c r="FI119" s="82"/>
      <c r="FJ119" s="82"/>
      <c r="FK119" s="82"/>
      <c r="FL119" s="82"/>
      <c r="FM119" s="82"/>
      <c r="FN119" s="82"/>
      <c r="FO119" s="82"/>
      <c r="FP119" s="82"/>
      <c r="FQ119" s="82"/>
      <c r="FR119" s="82"/>
      <c r="FS119" s="82"/>
      <c r="FT119" s="82"/>
      <c r="FU119" s="82"/>
      <c r="FV119" s="82"/>
      <c r="FW119" s="82"/>
      <c r="FX119" s="82"/>
      <c r="FY119" s="82"/>
      <c r="FZ119" s="82"/>
      <c r="GA119" s="82"/>
      <c r="GB119" s="82"/>
      <c r="GC119" s="82"/>
      <c r="GD119" s="82"/>
      <c r="GE119" s="82"/>
      <c r="GF119" s="82"/>
    </row>
    <row r="120" ht="24.75" hidden="1" customHeight="1">
      <c r="A120" s="54">
        <v>100.0</v>
      </c>
      <c r="B120" s="56" t="s">
        <v>328</v>
      </c>
      <c r="C120" s="56" t="s">
        <v>315</v>
      </c>
      <c r="D120" s="56" t="s">
        <v>329</v>
      </c>
      <c r="E120" s="56" t="s">
        <v>325</v>
      </c>
      <c r="F120" s="57" t="s">
        <v>34</v>
      </c>
      <c r="G120" s="53"/>
      <c r="H120" s="53"/>
      <c r="I120" s="53"/>
      <c r="J120" s="53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  <c r="BT120" s="82"/>
      <c r="BU120" s="82"/>
      <c r="BV120" s="82"/>
      <c r="BW120" s="82"/>
      <c r="BX120" s="82"/>
      <c r="BY120" s="82"/>
      <c r="BZ120" s="82"/>
      <c r="CA120" s="82"/>
      <c r="CB120" s="82"/>
      <c r="CC120" s="82"/>
      <c r="CD120" s="82"/>
      <c r="CE120" s="82"/>
      <c r="CF120" s="82"/>
      <c r="CG120" s="82"/>
      <c r="CH120" s="82"/>
      <c r="CI120" s="82"/>
      <c r="CJ120" s="82"/>
      <c r="CK120" s="82"/>
      <c r="CL120" s="82"/>
      <c r="CM120" s="82"/>
      <c r="CN120" s="82"/>
      <c r="CO120" s="82"/>
      <c r="CP120" s="82"/>
      <c r="CQ120" s="82"/>
      <c r="CR120" s="82"/>
      <c r="CS120" s="82"/>
      <c r="CT120" s="82"/>
      <c r="CU120" s="82"/>
      <c r="CV120" s="82"/>
      <c r="CW120" s="82"/>
      <c r="CX120" s="82"/>
      <c r="CY120" s="82"/>
      <c r="CZ120" s="82"/>
      <c r="DA120" s="82"/>
      <c r="DB120" s="82"/>
      <c r="DC120" s="82"/>
      <c r="DD120" s="82"/>
      <c r="DE120" s="82"/>
      <c r="DF120" s="82"/>
      <c r="DG120" s="82"/>
      <c r="DH120" s="82"/>
      <c r="DI120" s="82"/>
      <c r="DJ120" s="82"/>
      <c r="DK120" s="82"/>
      <c r="DL120" s="82"/>
      <c r="DM120" s="82"/>
      <c r="DN120" s="82"/>
      <c r="DO120" s="82"/>
      <c r="DP120" s="82"/>
      <c r="DQ120" s="82"/>
      <c r="DR120" s="82"/>
      <c r="DS120" s="82"/>
      <c r="DT120" s="82"/>
      <c r="DU120" s="82"/>
      <c r="DV120" s="82"/>
      <c r="DW120" s="82"/>
      <c r="DX120" s="82"/>
      <c r="DY120" s="82"/>
      <c r="DZ120" s="82"/>
      <c r="EA120" s="82"/>
      <c r="EB120" s="82"/>
      <c r="EC120" s="82"/>
      <c r="ED120" s="82"/>
      <c r="EE120" s="82"/>
      <c r="EF120" s="82"/>
      <c r="EG120" s="82"/>
      <c r="EH120" s="82"/>
      <c r="EI120" s="82"/>
      <c r="EJ120" s="82"/>
      <c r="EK120" s="82"/>
      <c r="EL120" s="82"/>
      <c r="EM120" s="82"/>
      <c r="EN120" s="82"/>
      <c r="EO120" s="82"/>
      <c r="EP120" s="82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2"/>
      <c r="FF120" s="82"/>
      <c r="FG120" s="82"/>
      <c r="FH120" s="82"/>
      <c r="FI120" s="82"/>
      <c r="FJ120" s="82"/>
      <c r="FK120" s="82"/>
      <c r="FL120" s="82"/>
      <c r="FM120" s="82"/>
      <c r="FN120" s="82"/>
      <c r="FO120" s="82"/>
      <c r="FP120" s="82"/>
      <c r="FQ120" s="82"/>
      <c r="FR120" s="82"/>
      <c r="FS120" s="82"/>
      <c r="FT120" s="82"/>
      <c r="FU120" s="82"/>
      <c r="FV120" s="82"/>
      <c r="FW120" s="82"/>
      <c r="FX120" s="82"/>
      <c r="FY120" s="82"/>
      <c r="FZ120" s="82"/>
      <c r="GA120" s="82"/>
      <c r="GB120" s="82"/>
      <c r="GC120" s="82"/>
      <c r="GD120" s="82"/>
      <c r="GE120" s="82"/>
      <c r="GF120" s="82"/>
    </row>
    <row r="121" ht="24.75" hidden="1" customHeight="1">
      <c r="A121" s="54">
        <v>100.0</v>
      </c>
      <c r="B121" s="56" t="s">
        <v>331</v>
      </c>
      <c r="C121" s="56" t="s">
        <v>315</v>
      </c>
      <c r="D121" s="56" t="s">
        <v>332</v>
      </c>
      <c r="E121" s="56" t="s">
        <v>333</v>
      </c>
      <c r="F121" s="57" t="s">
        <v>154</v>
      </c>
      <c r="G121" s="50"/>
      <c r="H121" s="61" t="s">
        <v>346</v>
      </c>
      <c r="I121" s="84" t="s">
        <v>347</v>
      </c>
      <c r="J121" s="53"/>
    </row>
    <row r="122" ht="24.75" hidden="1" customHeight="1">
      <c r="A122" s="54">
        <v>100.0</v>
      </c>
      <c r="B122" s="56" t="s">
        <v>334</v>
      </c>
      <c r="C122" s="56" t="s">
        <v>315</v>
      </c>
      <c r="D122" s="56" t="s">
        <v>335</v>
      </c>
      <c r="E122" s="56" t="s">
        <v>336</v>
      </c>
      <c r="F122" s="57" t="s">
        <v>192</v>
      </c>
      <c r="G122" s="50"/>
      <c r="H122" s="50"/>
      <c r="I122" s="84"/>
      <c r="J122" s="53"/>
    </row>
    <row r="123" ht="24.75" hidden="1" customHeight="1">
      <c r="A123" s="54">
        <v>90.0</v>
      </c>
      <c r="B123" s="56" t="s">
        <v>337</v>
      </c>
      <c r="C123" s="56" t="s">
        <v>237</v>
      </c>
      <c r="D123" s="56" t="s">
        <v>338</v>
      </c>
      <c r="E123" s="56" t="s">
        <v>111</v>
      </c>
      <c r="F123" s="57" t="s">
        <v>15</v>
      </c>
      <c r="G123" s="61"/>
      <c r="H123" s="61"/>
      <c r="I123" s="60"/>
      <c r="J123" s="53"/>
    </row>
    <row r="124" ht="24.75" hidden="1" customHeight="1">
      <c r="A124" s="54">
        <v>101.0</v>
      </c>
      <c r="B124" s="56" t="s">
        <v>339</v>
      </c>
      <c r="C124" s="56" t="s">
        <v>315</v>
      </c>
      <c r="D124" s="56" t="s">
        <v>340</v>
      </c>
      <c r="E124" s="56" t="s">
        <v>341</v>
      </c>
      <c r="F124" s="57" t="s">
        <v>154</v>
      </c>
      <c r="G124" s="61"/>
      <c r="H124" s="61"/>
      <c r="I124" s="62"/>
      <c r="J124" s="53"/>
    </row>
    <row r="125" ht="24.75" hidden="1" customHeight="1">
      <c r="A125" s="54">
        <v>101.0</v>
      </c>
      <c r="B125" s="56" t="s">
        <v>342</v>
      </c>
      <c r="C125" s="56" t="s">
        <v>315</v>
      </c>
      <c r="D125" s="56" t="s">
        <v>340</v>
      </c>
      <c r="E125" s="56" t="s">
        <v>333</v>
      </c>
      <c r="F125" s="57" t="s">
        <v>154</v>
      </c>
      <c r="G125" s="61"/>
      <c r="H125" s="61" t="s">
        <v>346</v>
      </c>
      <c r="I125" s="62" t="s">
        <v>347</v>
      </c>
      <c r="J125" s="53"/>
    </row>
    <row r="126" ht="24.75" hidden="1" customHeight="1">
      <c r="A126" s="54">
        <v>101.0</v>
      </c>
      <c r="B126" s="56" t="s">
        <v>343</v>
      </c>
      <c r="C126" s="56" t="s">
        <v>315</v>
      </c>
      <c r="D126" s="56" t="s">
        <v>340</v>
      </c>
      <c r="E126" s="56" t="s">
        <v>333</v>
      </c>
      <c r="F126" s="57" t="s">
        <v>154</v>
      </c>
      <c r="G126" s="61"/>
      <c r="H126" s="61" t="s">
        <v>346</v>
      </c>
      <c r="I126" s="62" t="s">
        <v>347</v>
      </c>
      <c r="J126" s="53"/>
    </row>
    <row r="127" ht="24.75" hidden="1" customHeight="1">
      <c r="A127" s="54">
        <v>101.0</v>
      </c>
      <c r="B127" s="56" t="s">
        <v>344</v>
      </c>
      <c r="C127" s="56" t="s">
        <v>315</v>
      </c>
      <c r="D127" s="56" t="s">
        <v>340</v>
      </c>
      <c r="E127" s="56" t="s">
        <v>345</v>
      </c>
      <c r="F127" s="57" t="s">
        <v>154</v>
      </c>
      <c r="G127" s="61"/>
      <c r="H127" s="61"/>
      <c r="I127" s="62"/>
      <c r="J127" s="53"/>
    </row>
    <row r="128" ht="24.75" hidden="1" customHeight="1">
      <c r="A128" s="54">
        <v>90.0</v>
      </c>
      <c r="B128" s="56" t="s">
        <v>348</v>
      </c>
      <c r="C128" s="56" t="s">
        <v>237</v>
      </c>
      <c r="D128" s="56" t="s">
        <v>349</v>
      </c>
      <c r="E128" s="56" t="s">
        <v>111</v>
      </c>
      <c r="F128" s="57" t="s">
        <v>15</v>
      </c>
      <c r="G128" s="61"/>
      <c r="H128" s="61"/>
      <c r="I128" s="60"/>
      <c r="J128" s="53"/>
    </row>
    <row r="129" ht="24.75" hidden="1" customHeight="1">
      <c r="A129" s="54">
        <v>101.0</v>
      </c>
      <c r="B129" s="56" t="s">
        <v>350</v>
      </c>
      <c r="C129" s="56" t="s">
        <v>315</v>
      </c>
      <c r="D129" s="56" t="s">
        <v>351</v>
      </c>
      <c r="E129" s="56" t="s">
        <v>352</v>
      </c>
      <c r="F129" s="57" t="s">
        <v>154</v>
      </c>
      <c r="G129" s="61"/>
      <c r="H129" s="61"/>
      <c r="I129" s="62"/>
      <c r="J129" s="53"/>
    </row>
    <row r="130" ht="24.75" hidden="1" customHeight="1">
      <c r="A130" s="54">
        <v>102.0</v>
      </c>
      <c r="B130" s="56" t="s">
        <v>353</v>
      </c>
      <c r="C130" s="56" t="s">
        <v>315</v>
      </c>
      <c r="D130" s="56" t="s">
        <v>354</v>
      </c>
      <c r="E130" s="56" t="s">
        <v>355</v>
      </c>
      <c r="F130" s="57" t="s">
        <v>154</v>
      </c>
      <c r="G130" s="61"/>
      <c r="H130" s="61" t="s">
        <v>346</v>
      </c>
      <c r="I130" s="62" t="s">
        <v>363</v>
      </c>
      <c r="J130" s="53"/>
    </row>
    <row r="131" ht="24.75" hidden="1" customHeight="1">
      <c r="A131" s="54">
        <v>90.0</v>
      </c>
      <c r="B131" s="56" t="s">
        <v>265</v>
      </c>
      <c r="C131" s="56" t="s">
        <v>237</v>
      </c>
      <c r="D131" s="56" t="s">
        <v>266</v>
      </c>
      <c r="E131" s="56" t="s">
        <v>111</v>
      </c>
      <c r="F131" s="57" t="s">
        <v>15</v>
      </c>
      <c r="G131" s="61"/>
      <c r="H131" s="61"/>
      <c r="I131" s="60" t="s">
        <v>283</v>
      </c>
      <c r="J131" s="53"/>
    </row>
    <row r="132" ht="24.75" hidden="1" customHeight="1">
      <c r="A132" s="54">
        <v>110.0</v>
      </c>
      <c r="B132" s="56" t="s">
        <v>356</v>
      </c>
      <c r="C132" s="56" t="s">
        <v>259</v>
      </c>
      <c r="D132" s="56" t="s">
        <v>357</v>
      </c>
      <c r="E132" s="56" t="s">
        <v>358</v>
      </c>
      <c r="F132" s="57" t="s">
        <v>34</v>
      </c>
      <c r="G132" s="61"/>
      <c r="H132" s="61"/>
      <c r="I132" s="62"/>
      <c r="J132" s="53"/>
    </row>
    <row r="133" ht="24.75" hidden="1" customHeight="1">
      <c r="A133" s="54">
        <v>110.0</v>
      </c>
      <c r="B133" s="56" t="s">
        <v>359</v>
      </c>
      <c r="C133" s="56" t="s">
        <v>259</v>
      </c>
      <c r="D133" s="56" t="s">
        <v>360</v>
      </c>
      <c r="E133" s="56" t="s">
        <v>358</v>
      </c>
      <c r="F133" s="57" t="s">
        <v>34</v>
      </c>
      <c r="G133" s="61"/>
      <c r="H133" s="61"/>
      <c r="I133" s="62"/>
      <c r="J133" s="53"/>
    </row>
    <row r="134" ht="24.75" hidden="1" customHeight="1">
      <c r="A134" s="54">
        <v>90.0</v>
      </c>
      <c r="B134" s="56" t="s">
        <v>274</v>
      </c>
      <c r="C134" s="56" t="s">
        <v>237</v>
      </c>
      <c r="D134" s="56" t="s">
        <v>275</v>
      </c>
      <c r="E134" s="56" t="s">
        <v>111</v>
      </c>
      <c r="F134" s="57" t="s">
        <v>15</v>
      </c>
      <c r="G134" s="61"/>
      <c r="H134" s="61"/>
      <c r="I134" s="60"/>
      <c r="J134" s="53"/>
    </row>
    <row r="135" ht="24.75" hidden="1" customHeight="1">
      <c r="A135" s="54">
        <v>90.0</v>
      </c>
      <c r="B135" s="56" t="s">
        <v>280</v>
      </c>
      <c r="C135" s="56" t="s">
        <v>278</v>
      </c>
      <c r="D135" s="56" t="s">
        <v>281</v>
      </c>
      <c r="E135" s="56" t="s">
        <v>272</v>
      </c>
      <c r="F135" s="57" t="s">
        <v>15</v>
      </c>
      <c r="G135" s="61"/>
      <c r="H135" s="61"/>
      <c r="I135" s="60"/>
      <c r="J135" s="53"/>
    </row>
    <row r="136" ht="24.75" hidden="1" customHeight="1">
      <c r="A136" s="54">
        <v>110.0</v>
      </c>
      <c r="B136" s="56" t="s">
        <v>361</v>
      </c>
      <c r="C136" s="56" t="s">
        <v>259</v>
      </c>
      <c r="D136" s="56" t="s">
        <v>362</v>
      </c>
      <c r="E136" s="56" t="s">
        <v>358</v>
      </c>
      <c r="F136" s="57" t="s">
        <v>34</v>
      </c>
      <c r="G136" s="61"/>
      <c r="H136" s="61"/>
      <c r="I136" s="62"/>
      <c r="J136" s="53"/>
    </row>
    <row r="137" ht="24.75" hidden="1" customHeight="1">
      <c r="A137" s="54">
        <v>110.0</v>
      </c>
      <c r="B137" s="56" t="s">
        <v>364</v>
      </c>
      <c r="C137" s="56" t="s">
        <v>259</v>
      </c>
      <c r="D137" s="56" t="s">
        <v>365</v>
      </c>
      <c r="E137" s="56" t="s">
        <v>358</v>
      </c>
      <c r="F137" s="57" t="s">
        <v>34</v>
      </c>
      <c r="G137" s="61"/>
      <c r="H137" s="61"/>
      <c r="I137" s="62"/>
      <c r="J137" s="53"/>
    </row>
    <row r="138" ht="24.75" hidden="1" customHeight="1">
      <c r="A138" s="54">
        <v>110.0</v>
      </c>
      <c r="B138" s="56" t="s">
        <v>366</v>
      </c>
      <c r="C138" s="56" t="s">
        <v>259</v>
      </c>
      <c r="D138" s="56" t="s">
        <v>367</v>
      </c>
      <c r="E138" s="56" t="s">
        <v>358</v>
      </c>
      <c r="F138" s="57" t="s">
        <v>34</v>
      </c>
      <c r="G138" s="61"/>
      <c r="H138" s="61"/>
      <c r="I138" s="62"/>
      <c r="J138" s="53"/>
    </row>
    <row r="139" ht="24.75" hidden="1" customHeight="1">
      <c r="A139" s="54">
        <v>110.0</v>
      </c>
      <c r="B139" s="56" t="s">
        <v>368</v>
      </c>
      <c r="C139" s="56" t="s">
        <v>259</v>
      </c>
      <c r="D139" s="56" t="s">
        <v>369</v>
      </c>
      <c r="E139" s="56" t="s">
        <v>358</v>
      </c>
      <c r="F139" s="57" t="s">
        <v>34</v>
      </c>
      <c r="G139" s="61"/>
      <c r="H139" s="61"/>
      <c r="I139" s="62"/>
      <c r="J139" s="53"/>
    </row>
    <row r="140" ht="24.75" hidden="1" customHeight="1">
      <c r="A140" s="54">
        <v>110.0</v>
      </c>
      <c r="B140" s="56" t="s">
        <v>370</v>
      </c>
      <c r="C140" s="56" t="s">
        <v>259</v>
      </c>
      <c r="D140" s="56" t="s">
        <v>371</v>
      </c>
      <c r="E140" s="56" t="s">
        <v>336</v>
      </c>
      <c r="F140" s="57" t="s">
        <v>192</v>
      </c>
      <c r="G140" s="61"/>
      <c r="H140" s="61"/>
      <c r="I140" s="62"/>
      <c r="J140" s="53"/>
    </row>
    <row r="141" ht="24.75" hidden="1" customHeight="1">
      <c r="A141" s="54">
        <v>110.0</v>
      </c>
      <c r="B141" s="56" t="s">
        <v>370</v>
      </c>
      <c r="C141" s="56" t="s">
        <v>259</v>
      </c>
      <c r="D141" s="56" t="s">
        <v>371</v>
      </c>
      <c r="E141" s="56" t="s">
        <v>372</v>
      </c>
      <c r="F141" s="57" t="s">
        <v>34</v>
      </c>
      <c r="G141" s="61"/>
      <c r="H141" s="61"/>
      <c r="I141" s="62"/>
      <c r="J141" s="53"/>
    </row>
    <row r="142" ht="24.75" hidden="1" customHeight="1">
      <c r="A142" s="54">
        <v>110.0</v>
      </c>
      <c r="B142" s="56" t="s">
        <v>370</v>
      </c>
      <c r="C142" s="56" t="s">
        <v>259</v>
      </c>
      <c r="D142" s="56" t="s">
        <v>371</v>
      </c>
      <c r="E142" s="56" t="s">
        <v>158</v>
      </c>
      <c r="F142" s="57" t="s">
        <v>34</v>
      </c>
      <c r="G142" s="61"/>
      <c r="H142" s="61"/>
      <c r="I142" s="62"/>
      <c r="J142" s="53"/>
    </row>
    <row r="143" ht="24.75" hidden="1" customHeight="1">
      <c r="A143" s="54">
        <v>110.0</v>
      </c>
      <c r="B143" s="56" t="s">
        <v>373</v>
      </c>
      <c r="C143" s="56" t="s">
        <v>259</v>
      </c>
      <c r="D143" s="56" t="s">
        <v>374</v>
      </c>
      <c r="E143" s="56" t="s">
        <v>336</v>
      </c>
      <c r="F143" s="57" t="s">
        <v>192</v>
      </c>
      <c r="G143" s="61"/>
      <c r="H143" s="61"/>
      <c r="I143" s="62"/>
      <c r="J143" s="53"/>
    </row>
    <row r="144" ht="24.75" hidden="1" customHeight="1">
      <c r="A144" s="54">
        <v>110.0</v>
      </c>
      <c r="B144" s="56" t="s">
        <v>375</v>
      </c>
      <c r="C144" s="56" t="s">
        <v>259</v>
      </c>
      <c r="D144" s="56" t="s">
        <v>376</v>
      </c>
      <c r="E144" s="56" t="s">
        <v>336</v>
      </c>
      <c r="F144" s="57" t="s">
        <v>192</v>
      </c>
      <c r="G144" s="61"/>
      <c r="H144" s="61"/>
      <c r="I144" s="62"/>
      <c r="J144" s="53"/>
    </row>
    <row r="145" ht="24.75" hidden="1" customHeight="1">
      <c r="A145" s="54">
        <v>110.0</v>
      </c>
      <c r="B145" s="56" t="s">
        <v>375</v>
      </c>
      <c r="C145" s="56" t="s">
        <v>259</v>
      </c>
      <c r="D145" s="56" t="s">
        <v>376</v>
      </c>
      <c r="E145" s="56" t="s">
        <v>372</v>
      </c>
      <c r="F145" s="57" t="s">
        <v>34</v>
      </c>
      <c r="G145" s="61"/>
      <c r="H145" s="61"/>
      <c r="I145" s="62"/>
      <c r="J145" s="53"/>
    </row>
    <row r="146" ht="24.75" hidden="1" customHeight="1">
      <c r="A146" s="54">
        <v>110.0</v>
      </c>
      <c r="B146" s="56" t="s">
        <v>375</v>
      </c>
      <c r="C146" s="56" t="s">
        <v>259</v>
      </c>
      <c r="D146" s="56" t="s">
        <v>376</v>
      </c>
      <c r="E146" s="56" t="s">
        <v>158</v>
      </c>
      <c r="F146" s="57" t="s">
        <v>34</v>
      </c>
      <c r="G146" s="61"/>
      <c r="H146" s="61"/>
      <c r="I146" s="62"/>
      <c r="J146" s="53"/>
    </row>
    <row r="147" ht="24.75" hidden="1" customHeight="1">
      <c r="A147" s="54">
        <v>110.0</v>
      </c>
      <c r="B147" s="56" t="s">
        <v>377</v>
      </c>
      <c r="C147" s="56" t="s">
        <v>259</v>
      </c>
      <c r="D147" s="56" t="s">
        <v>378</v>
      </c>
      <c r="E147" s="56" t="s">
        <v>336</v>
      </c>
      <c r="F147" s="57" t="s">
        <v>192</v>
      </c>
      <c r="G147" s="61"/>
      <c r="H147" s="61"/>
      <c r="I147" s="62"/>
      <c r="J147" s="53"/>
    </row>
    <row r="148" ht="24.75" hidden="1" customHeight="1">
      <c r="A148" s="54">
        <v>110.0</v>
      </c>
      <c r="B148" s="56" t="s">
        <v>380</v>
      </c>
      <c r="C148" s="56" t="s">
        <v>259</v>
      </c>
      <c r="D148" s="56" t="s">
        <v>381</v>
      </c>
      <c r="E148" s="56" t="s">
        <v>336</v>
      </c>
      <c r="F148" s="57" t="s">
        <v>192</v>
      </c>
      <c r="G148" s="61"/>
      <c r="H148" s="61"/>
      <c r="I148" s="62"/>
      <c r="J148" s="53"/>
    </row>
    <row r="149" ht="24.75" hidden="1" customHeight="1">
      <c r="A149" s="54">
        <v>110.0</v>
      </c>
      <c r="B149" s="56" t="s">
        <v>382</v>
      </c>
      <c r="C149" s="56" t="s">
        <v>259</v>
      </c>
      <c r="D149" s="56" t="s">
        <v>383</v>
      </c>
      <c r="E149" s="56" t="s">
        <v>336</v>
      </c>
      <c r="F149" s="57" t="s">
        <v>192</v>
      </c>
      <c r="G149" s="61"/>
      <c r="H149" s="61"/>
      <c r="I149" s="62"/>
      <c r="J149" s="53"/>
    </row>
    <row r="150" ht="24.75" hidden="1" customHeight="1">
      <c r="A150" s="54">
        <v>110.0</v>
      </c>
      <c r="B150" s="56" t="s">
        <v>385</v>
      </c>
      <c r="C150" s="56" t="s">
        <v>259</v>
      </c>
      <c r="D150" s="56" t="s">
        <v>386</v>
      </c>
      <c r="E150" s="56" t="s">
        <v>336</v>
      </c>
      <c r="F150" s="57" t="s">
        <v>192</v>
      </c>
      <c r="G150" s="61"/>
      <c r="H150" s="61"/>
      <c r="I150" s="62"/>
      <c r="J150" s="53"/>
    </row>
    <row r="151" ht="24.75" hidden="1" customHeight="1">
      <c r="A151" s="54">
        <v>110.0</v>
      </c>
      <c r="B151" s="56" t="s">
        <v>385</v>
      </c>
      <c r="C151" s="56" t="s">
        <v>259</v>
      </c>
      <c r="D151" s="56" t="s">
        <v>386</v>
      </c>
      <c r="E151" s="56" t="s">
        <v>372</v>
      </c>
      <c r="F151" s="57" t="s">
        <v>34</v>
      </c>
      <c r="G151" s="61"/>
      <c r="H151" s="61"/>
      <c r="I151" s="62"/>
      <c r="J151" s="53"/>
    </row>
    <row r="152" ht="24.75" hidden="1" customHeight="1">
      <c r="A152" s="54">
        <v>110.0</v>
      </c>
      <c r="B152" s="56" t="s">
        <v>385</v>
      </c>
      <c r="C152" s="56" t="s">
        <v>259</v>
      </c>
      <c r="D152" s="56" t="s">
        <v>386</v>
      </c>
      <c r="E152" s="56" t="s">
        <v>158</v>
      </c>
      <c r="F152" s="57" t="s">
        <v>34</v>
      </c>
      <c r="G152" s="61"/>
      <c r="H152" s="61"/>
      <c r="I152" s="62"/>
      <c r="J152" s="53"/>
    </row>
    <row r="153" ht="24.75" hidden="1" customHeight="1">
      <c r="A153" s="54">
        <v>110.0</v>
      </c>
      <c r="B153" s="56" t="s">
        <v>388</v>
      </c>
      <c r="C153" s="56" t="s">
        <v>259</v>
      </c>
      <c r="D153" s="56" t="s">
        <v>389</v>
      </c>
      <c r="E153" s="56" t="s">
        <v>336</v>
      </c>
      <c r="F153" s="57" t="s">
        <v>192</v>
      </c>
      <c r="G153" s="61"/>
      <c r="H153" s="61"/>
      <c r="I153" s="62"/>
      <c r="J153" s="53"/>
    </row>
    <row r="154" ht="24.75" hidden="1" customHeight="1">
      <c r="A154" s="54">
        <v>110.0</v>
      </c>
      <c r="B154" s="56" t="s">
        <v>388</v>
      </c>
      <c r="C154" s="56" t="s">
        <v>259</v>
      </c>
      <c r="D154" s="56" t="s">
        <v>389</v>
      </c>
      <c r="E154" s="56" t="s">
        <v>372</v>
      </c>
      <c r="F154" s="57" t="s">
        <v>34</v>
      </c>
      <c r="G154" s="61"/>
      <c r="H154" s="61"/>
      <c r="I154" s="62"/>
      <c r="J154" s="53"/>
    </row>
    <row r="155" ht="24.75" hidden="1" customHeight="1">
      <c r="A155" s="54">
        <v>110.0</v>
      </c>
      <c r="B155" s="56" t="s">
        <v>388</v>
      </c>
      <c r="C155" s="56" t="s">
        <v>259</v>
      </c>
      <c r="D155" s="56" t="s">
        <v>389</v>
      </c>
      <c r="E155" s="56" t="s">
        <v>158</v>
      </c>
      <c r="F155" s="57" t="s">
        <v>34</v>
      </c>
      <c r="G155" s="61"/>
      <c r="H155" s="61"/>
      <c r="I155" s="62"/>
      <c r="J155" s="53"/>
    </row>
    <row r="156" ht="24.75" hidden="1" customHeight="1">
      <c r="A156" s="54">
        <v>110.0</v>
      </c>
      <c r="B156" s="56" t="s">
        <v>390</v>
      </c>
      <c r="C156" s="56" t="s">
        <v>259</v>
      </c>
      <c r="D156" s="56" t="s">
        <v>391</v>
      </c>
      <c r="E156" s="56" t="s">
        <v>372</v>
      </c>
      <c r="F156" s="57" t="s">
        <v>34</v>
      </c>
      <c r="G156" s="61"/>
      <c r="H156" s="61"/>
      <c r="I156" s="62"/>
      <c r="J156" s="53"/>
    </row>
    <row r="157" ht="24.75" hidden="1" customHeight="1">
      <c r="A157" s="54">
        <v>110.0</v>
      </c>
      <c r="B157" s="56" t="s">
        <v>390</v>
      </c>
      <c r="C157" s="56" t="s">
        <v>259</v>
      </c>
      <c r="D157" s="56" t="s">
        <v>391</v>
      </c>
      <c r="E157" s="56" t="s">
        <v>158</v>
      </c>
      <c r="F157" s="57" t="s">
        <v>34</v>
      </c>
      <c r="G157" s="61"/>
      <c r="H157" s="61"/>
      <c r="I157" s="62"/>
      <c r="J157" s="53"/>
    </row>
    <row r="158" ht="24.75" hidden="1" customHeight="1">
      <c r="A158" s="54">
        <v>110.0</v>
      </c>
      <c r="B158" s="56" t="s">
        <v>392</v>
      </c>
      <c r="C158" s="56" t="s">
        <v>101</v>
      </c>
      <c r="D158" s="56" t="s">
        <v>102</v>
      </c>
      <c r="E158" s="56" t="s">
        <v>111</v>
      </c>
      <c r="F158" s="57" t="s">
        <v>34</v>
      </c>
      <c r="G158" s="61"/>
      <c r="H158" s="61"/>
      <c r="I158" s="62"/>
      <c r="J158" s="53"/>
    </row>
    <row r="159" ht="24.75" hidden="1" customHeight="1">
      <c r="A159" s="54">
        <v>120.0</v>
      </c>
      <c r="B159" s="56" t="s">
        <v>393</v>
      </c>
      <c r="C159" s="56" t="s">
        <v>394</v>
      </c>
      <c r="D159" s="56" t="s">
        <v>299</v>
      </c>
      <c r="E159" s="56" t="s">
        <v>163</v>
      </c>
      <c r="F159" s="57" t="s">
        <v>154</v>
      </c>
      <c r="G159" s="61"/>
      <c r="H159" s="61"/>
      <c r="I159" s="62" t="s">
        <v>207</v>
      </c>
      <c r="J159" s="53"/>
    </row>
    <row r="160" ht="24.75" hidden="1" customHeight="1">
      <c r="A160" s="54">
        <v>120.0</v>
      </c>
      <c r="B160" s="56" t="s">
        <v>395</v>
      </c>
      <c r="C160" s="56" t="s">
        <v>394</v>
      </c>
      <c r="D160" s="56" t="s">
        <v>172</v>
      </c>
      <c r="E160" s="56" t="s">
        <v>163</v>
      </c>
      <c r="F160" s="57" t="s">
        <v>154</v>
      </c>
      <c r="G160" s="61"/>
      <c r="H160" s="61"/>
      <c r="I160" s="62"/>
      <c r="J160" s="53"/>
    </row>
    <row r="161" ht="24.75" hidden="1" customHeight="1">
      <c r="A161" s="54">
        <v>120.0</v>
      </c>
      <c r="B161" s="56" t="s">
        <v>396</v>
      </c>
      <c r="C161" s="56" t="s">
        <v>394</v>
      </c>
      <c r="D161" s="56" t="s">
        <v>397</v>
      </c>
      <c r="E161" s="56" t="s">
        <v>163</v>
      </c>
      <c r="F161" s="57" t="s">
        <v>154</v>
      </c>
      <c r="G161" s="61"/>
      <c r="H161" s="61"/>
      <c r="I161" s="62"/>
      <c r="J161" s="53"/>
    </row>
    <row r="162" ht="24.75" hidden="1" customHeight="1">
      <c r="A162" s="54">
        <v>120.0</v>
      </c>
      <c r="B162" s="56" t="s">
        <v>398</v>
      </c>
      <c r="C162" s="56" t="s">
        <v>394</v>
      </c>
      <c r="D162" s="56" t="s">
        <v>399</v>
      </c>
      <c r="E162" s="56" t="s">
        <v>163</v>
      </c>
      <c r="F162" s="57" t="s">
        <v>154</v>
      </c>
      <c r="G162" s="61"/>
      <c r="H162" s="61"/>
      <c r="I162" s="62"/>
      <c r="J162" s="53"/>
    </row>
    <row r="163" ht="24.75" hidden="1" customHeight="1">
      <c r="A163" s="54">
        <v>120.0</v>
      </c>
      <c r="B163" s="56" t="s">
        <v>400</v>
      </c>
      <c r="C163" s="56" t="s">
        <v>394</v>
      </c>
      <c r="D163" s="56" t="s">
        <v>401</v>
      </c>
      <c r="E163" s="56" t="s">
        <v>163</v>
      </c>
      <c r="F163" s="57" t="s">
        <v>154</v>
      </c>
      <c r="G163" s="61"/>
      <c r="H163" s="61"/>
      <c r="I163" s="62"/>
      <c r="J163" s="53"/>
    </row>
    <row r="164" ht="24.75" hidden="1" customHeight="1">
      <c r="A164" s="54">
        <v>90.0</v>
      </c>
      <c r="B164" s="56" t="s">
        <v>402</v>
      </c>
      <c r="C164" s="56" t="s">
        <v>278</v>
      </c>
      <c r="D164" s="56" t="s">
        <v>403</v>
      </c>
      <c r="E164" s="56" t="s">
        <v>111</v>
      </c>
      <c r="F164" s="57" t="s">
        <v>15</v>
      </c>
      <c r="G164" s="61"/>
      <c r="H164" s="61"/>
      <c r="I164" s="86"/>
      <c r="J164" s="53"/>
    </row>
    <row r="165" ht="24.75" hidden="1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407</v>
      </c>
      <c r="F165" s="57" t="s">
        <v>192</v>
      </c>
      <c r="G165" s="61"/>
      <c r="H165" s="61" t="s">
        <v>346</v>
      </c>
      <c r="I165" s="62" t="s">
        <v>414</v>
      </c>
      <c r="J165" s="53"/>
    </row>
    <row r="166" ht="24.75" hidden="1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408</v>
      </c>
      <c r="F166" s="57" t="s">
        <v>192</v>
      </c>
      <c r="G166" s="61"/>
      <c r="H166" s="61" t="s">
        <v>346</v>
      </c>
      <c r="I166" s="62" t="s">
        <v>417</v>
      </c>
      <c r="J166" s="53"/>
    </row>
    <row r="167" ht="24.75" hidden="1" customHeight="1">
      <c r="A167" s="54">
        <v>130.0</v>
      </c>
      <c r="B167" s="56" t="s">
        <v>404</v>
      </c>
      <c r="C167" s="56" t="s">
        <v>405</v>
      </c>
      <c r="D167" s="56" t="s">
        <v>406</v>
      </c>
      <c r="E167" s="56" t="s">
        <v>111</v>
      </c>
      <c r="F167" s="57" t="s">
        <v>154</v>
      </c>
      <c r="G167" s="61"/>
      <c r="H167" s="61"/>
      <c r="I167" s="62"/>
      <c r="J167" s="53"/>
    </row>
    <row r="168" ht="24.75" hidden="1" customHeight="1">
      <c r="A168" s="54">
        <v>130.0</v>
      </c>
      <c r="B168" s="56" t="s">
        <v>404</v>
      </c>
      <c r="C168" s="56" t="s">
        <v>405</v>
      </c>
      <c r="D168" s="56" t="s">
        <v>406</v>
      </c>
      <c r="E168" s="56" t="s">
        <v>409</v>
      </c>
      <c r="F168" s="57" t="s">
        <v>154</v>
      </c>
      <c r="G168" s="61"/>
      <c r="H168" s="61"/>
      <c r="I168" s="62"/>
      <c r="J168" s="53"/>
    </row>
    <row r="169" ht="24.75" hidden="1" customHeight="1">
      <c r="A169" s="54">
        <v>130.0</v>
      </c>
      <c r="B169" s="56" t="s">
        <v>404</v>
      </c>
      <c r="C169" s="56" t="s">
        <v>405</v>
      </c>
      <c r="D169" s="56" t="s">
        <v>406</v>
      </c>
      <c r="E169" s="56" t="s">
        <v>410</v>
      </c>
      <c r="F169" s="57" t="s">
        <v>154</v>
      </c>
      <c r="G169" s="61"/>
      <c r="H169" s="61"/>
      <c r="I169" s="62"/>
      <c r="J169" s="53"/>
    </row>
    <row r="170" ht="24.75" hidden="1" customHeight="1">
      <c r="A170" s="54">
        <v>130.0</v>
      </c>
      <c r="B170" s="56" t="s">
        <v>404</v>
      </c>
      <c r="C170" s="56" t="s">
        <v>405</v>
      </c>
      <c r="D170" s="56" t="s">
        <v>406</v>
      </c>
      <c r="E170" s="56" t="s">
        <v>411</v>
      </c>
      <c r="F170" s="57" t="s">
        <v>154</v>
      </c>
      <c r="G170" s="61"/>
      <c r="H170" s="61"/>
      <c r="I170" s="62"/>
      <c r="J170" s="53"/>
    </row>
    <row r="171" ht="24.75" hidden="1" customHeight="1">
      <c r="A171" s="54">
        <v>130.0</v>
      </c>
      <c r="B171" s="56" t="s">
        <v>412</v>
      </c>
      <c r="C171" s="56"/>
      <c r="D171" s="56" t="s">
        <v>413</v>
      </c>
      <c r="E171" s="56" t="s">
        <v>336</v>
      </c>
      <c r="F171" s="57" t="s">
        <v>192</v>
      </c>
      <c r="G171" s="61"/>
      <c r="H171" s="61"/>
      <c r="I171" s="62"/>
      <c r="J171" s="53"/>
    </row>
    <row r="172" ht="24.75" hidden="1" customHeight="1">
      <c r="A172" s="54">
        <v>130.0</v>
      </c>
      <c r="B172" s="56" t="s">
        <v>415</v>
      </c>
      <c r="C172" s="56" t="s">
        <v>148</v>
      </c>
      <c r="D172" s="56" t="s">
        <v>416</v>
      </c>
      <c r="E172" s="56" t="s">
        <v>150</v>
      </c>
      <c r="F172" s="57" t="s">
        <v>34</v>
      </c>
      <c r="G172" s="61"/>
      <c r="H172" s="61"/>
      <c r="I172" s="62"/>
      <c r="J172" s="53"/>
    </row>
    <row r="173" ht="24.75" hidden="1" customHeight="1">
      <c r="A173" s="54">
        <v>130.0</v>
      </c>
      <c r="B173" s="56" t="s">
        <v>418</v>
      </c>
      <c r="C173" s="56" t="s">
        <v>148</v>
      </c>
      <c r="D173" s="56" t="s">
        <v>419</v>
      </c>
      <c r="E173" s="56" t="s">
        <v>150</v>
      </c>
      <c r="F173" s="57" t="s">
        <v>34</v>
      </c>
      <c r="G173" s="61"/>
      <c r="H173" s="61"/>
      <c r="I173" s="62"/>
      <c r="J173" s="53"/>
    </row>
    <row r="174" ht="24.75" hidden="1" customHeight="1">
      <c r="A174" s="54">
        <v>136.0</v>
      </c>
      <c r="B174" s="56" t="s">
        <v>421</v>
      </c>
      <c r="C174" s="56" t="s">
        <v>422</v>
      </c>
      <c r="D174" s="56" t="s">
        <v>422</v>
      </c>
      <c r="E174" s="56" t="s">
        <v>423</v>
      </c>
      <c r="F174" s="57" t="s">
        <v>154</v>
      </c>
      <c r="G174" s="61"/>
      <c r="H174" s="61"/>
      <c r="I174" s="62" t="s">
        <v>207</v>
      </c>
      <c r="J174" s="53"/>
    </row>
    <row r="175" ht="24.75" hidden="1" customHeight="1">
      <c r="A175" s="54">
        <v>136.0</v>
      </c>
      <c r="B175" s="56" t="s">
        <v>421</v>
      </c>
      <c r="C175" s="56" t="s">
        <v>422</v>
      </c>
      <c r="D175" s="56" t="s">
        <v>422</v>
      </c>
      <c r="E175" s="80" t="s">
        <v>213</v>
      </c>
      <c r="F175" s="57"/>
      <c r="G175" s="61"/>
      <c r="H175" s="61"/>
      <c r="I175" s="62"/>
      <c r="J175" s="53"/>
    </row>
    <row r="176" ht="24.75" hidden="1" customHeight="1">
      <c r="A176" s="54">
        <v>136.0</v>
      </c>
      <c r="B176" s="56" t="s">
        <v>424</v>
      </c>
      <c r="C176" s="56" t="s">
        <v>422</v>
      </c>
      <c r="D176" s="56" t="s">
        <v>425</v>
      </c>
      <c r="E176" s="56" t="s">
        <v>111</v>
      </c>
      <c r="F176" s="57" t="s">
        <v>154</v>
      </c>
      <c r="G176" s="61"/>
      <c r="H176" s="61"/>
      <c r="I176" s="62"/>
      <c r="J176" s="53"/>
    </row>
    <row r="177" ht="24.75" hidden="1" customHeight="1">
      <c r="A177" s="54">
        <v>136.0</v>
      </c>
      <c r="B177" s="56" t="s">
        <v>426</v>
      </c>
      <c r="C177" s="56" t="s">
        <v>422</v>
      </c>
      <c r="D177" s="56" t="s">
        <v>427</v>
      </c>
      <c r="E177" s="56" t="s">
        <v>111</v>
      </c>
      <c r="F177" s="57" t="s">
        <v>154</v>
      </c>
      <c r="G177" s="61"/>
      <c r="H177" s="61"/>
      <c r="I177" s="62"/>
      <c r="J177" s="53"/>
    </row>
    <row r="178" ht="24.75" hidden="1" customHeight="1">
      <c r="A178" s="54">
        <v>136.0</v>
      </c>
      <c r="B178" s="56" t="s">
        <v>428</v>
      </c>
      <c r="C178" s="56" t="s">
        <v>422</v>
      </c>
      <c r="D178" s="56" t="s">
        <v>429</v>
      </c>
      <c r="E178" s="56" t="s">
        <v>111</v>
      </c>
      <c r="F178" s="57" t="s">
        <v>154</v>
      </c>
      <c r="G178" s="61"/>
      <c r="H178" s="61"/>
      <c r="I178" s="62"/>
      <c r="J178" s="53"/>
    </row>
    <row r="179" ht="24.75" hidden="1" customHeight="1">
      <c r="A179" s="54">
        <v>136.0</v>
      </c>
      <c r="B179" s="56" t="s">
        <v>430</v>
      </c>
      <c r="C179" s="56" t="s">
        <v>422</v>
      </c>
      <c r="D179" s="56" t="s">
        <v>431</v>
      </c>
      <c r="E179" s="56" t="s">
        <v>432</v>
      </c>
      <c r="F179" s="57" t="s">
        <v>154</v>
      </c>
      <c r="G179" s="61"/>
      <c r="H179" s="61"/>
      <c r="I179" s="62"/>
      <c r="J179" s="53"/>
    </row>
    <row r="180" ht="24.75" hidden="1" customHeight="1">
      <c r="A180" s="54">
        <v>140.0</v>
      </c>
      <c r="B180" s="56" t="s">
        <v>433</v>
      </c>
      <c r="C180" s="56" t="s">
        <v>434</v>
      </c>
      <c r="D180" s="56" t="s">
        <v>435</v>
      </c>
      <c r="E180" s="56" t="s">
        <v>167</v>
      </c>
      <c r="F180" s="57" t="s">
        <v>154</v>
      </c>
      <c r="G180" s="61"/>
      <c r="H180" s="61"/>
      <c r="I180" s="62"/>
      <c r="J180" s="53"/>
    </row>
    <row r="181" ht="24.75" hidden="1" customHeight="1">
      <c r="A181" s="54">
        <v>140.0</v>
      </c>
      <c r="B181" s="56" t="s">
        <v>436</v>
      </c>
      <c r="C181" s="56" t="s">
        <v>437</v>
      </c>
      <c r="D181" s="56" t="s">
        <v>438</v>
      </c>
      <c r="E181" s="56" t="s">
        <v>439</v>
      </c>
      <c r="F181" s="57" t="s">
        <v>154</v>
      </c>
      <c r="G181" s="61"/>
      <c r="H181" s="61"/>
      <c r="I181" s="62"/>
      <c r="J181" s="53"/>
    </row>
    <row r="182" ht="24.75" hidden="1" customHeight="1">
      <c r="A182" s="54">
        <v>140.0</v>
      </c>
      <c r="B182" s="56" t="s">
        <v>440</v>
      </c>
      <c r="C182" s="56" t="s">
        <v>437</v>
      </c>
      <c r="D182" s="56" t="s">
        <v>441</v>
      </c>
      <c r="E182" s="56" t="s">
        <v>439</v>
      </c>
      <c r="F182" s="57" t="s">
        <v>154</v>
      </c>
      <c r="G182" s="61"/>
      <c r="H182" s="61"/>
      <c r="I182" s="62"/>
      <c r="J182" s="53"/>
    </row>
    <row r="183" ht="24.75" hidden="1" customHeight="1">
      <c r="A183" s="54">
        <v>140.0</v>
      </c>
      <c r="B183" s="56" t="s">
        <v>442</v>
      </c>
      <c r="C183" s="56" t="s">
        <v>443</v>
      </c>
      <c r="D183" s="56" t="s">
        <v>444</v>
      </c>
      <c r="E183" s="56" t="s">
        <v>439</v>
      </c>
      <c r="F183" s="57" t="s">
        <v>154</v>
      </c>
      <c r="G183" s="61"/>
      <c r="H183" s="61"/>
      <c r="I183" s="62"/>
      <c r="J183" s="53"/>
    </row>
    <row r="184" ht="24.75" hidden="1" customHeight="1">
      <c r="A184" s="54">
        <v>140.0</v>
      </c>
      <c r="B184" s="56" t="s">
        <v>445</v>
      </c>
      <c r="C184" s="56" t="s">
        <v>446</v>
      </c>
      <c r="D184" s="56" t="s">
        <v>447</v>
      </c>
      <c r="E184" s="56" t="s">
        <v>439</v>
      </c>
      <c r="F184" s="57" t="s">
        <v>154</v>
      </c>
      <c r="G184" s="61"/>
      <c r="H184" s="61"/>
      <c r="I184" s="62"/>
      <c r="J184" s="53"/>
    </row>
    <row r="185" ht="24.75" hidden="1" customHeight="1">
      <c r="A185" s="54">
        <v>140.0</v>
      </c>
      <c r="B185" s="56" t="s">
        <v>448</v>
      </c>
      <c r="C185" s="88" t="s">
        <v>449</v>
      </c>
      <c r="D185" s="56" t="s">
        <v>450</v>
      </c>
      <c r="E185" s="56" t="s">
        <v>439</v>
      </c>
      <c r="F185" s="57" t="s">
        <v>154</v>
      </c>
      <c r="G185" s="61"/>
      <c r="H185" s="61"/>
      <c r="I185" s="62"/>
      <c r="J185" s="53"/>
    </row>
    <row r="186" ht="24.75" hidden="1" customHeight="1">
      <c r="A186" s="54">
        <v>90.0</v>
      </c>
      <c r="B186" s="56" t="s">
        <v>286</v>
      </c>
      <c r="C186" s="56" t="s">
        <v>278</v>
      </c>
      <c r="D186" s="56" t="s">
        <v>266</v>
      </c>
      <c r="E186" s="56" t="s">
        <v>111</v>
      </c>
      <c r="F186" s="57" t="s">
        <v>15</v>
      </c>
      <c r="G186" s="61"/>
      <c r="H186" s="61"/>
      <c r="I186" s="60"/>
      <c r="J186" s="53"/>
    </row>
    <row r="187" ht="24.75" hidden="1" customHeight="1">
      <c r="A187" s="54">
        <v>100.0</v>
      </c>
      <c r="B187" s="56" t="s">
        <v>451</v>
      </c>
      <c r="C187" s="56" t="s">
        <v>315</v>
      </c>
      <c r="D187" s="56" t="s">
        <v>452</v>
      </c>
      <c r="E187" s="56" t="s">
        <v>453</v>
      </c>
      <c r="F187" s="57" t="s">
        <v>15</v>
      </c>
      <c r="G187" s="61"/>
      <c r="H187" s="61"/>
      <c r="I187" s="60"/>
      <c r="J187" s="53"/>
    </row>
    <row r="188" ht="24.75" hidden="1" customHeight="1">
      <c r="A188" s="54">
        <v>100.0</v>
      </c>
      <c r="B188" s="56" t="s">
        <v>454</v>
      </c>
      <c r="C188" s="56" t="s">
        <v>315</v>
      </c>
      <c r="D188" s="56" t="s">
        <v>316</v>
      </c>
      <c r="E188" s="56" t="s">
        <v>455</v>
      </c>
      <c r="F188" s="57" t="s">
        <v>15</v>
      </c>
      <c r="G188" s="61"/>
      <c r="H188" s="61"/>
      <c r="I188" s="60"/>
      <c r="J188" s="53"/>
    </row>
    <row r="189" ht="24.75" hidden="1" customHeight="1">
      <c r="A189" s="54">
        <v>101.0</v>
      </c>
      <c r="B189" s="56" t="s">
        <v>456</v>
      </c>
      <c r="C189" s="56" t="s">
        <v>315</v>
      </c>
      <c r="D189" s="56" t="s">
        <v>340</v>
      </c>
      <c r="E189" s="56" t="s">
        <v>457</v>
      </c>
      <c r="F189" s="57" t="s">
        <v>15</v>
      </c>
      <c r="G189" s="61"/>
      <c r="H189" s="61"/>
      <c r="I189" s="60"/>
      <c r="J189" s="53"/>
    </row>
    <row r="190" ht="24.75" hidden="1" customHeight="1">
      <c r="A190" s="54">
        <v>101.0</v>
      </c>
      <c r="B190" s="56" t="s">
        <v>458</v>
      </c>
      <c r="C190" s="56" t="s">
        <v>315</v>
      </c>
      <c r="D190" s="56" t="s">
        <v>351</v>
      </c>
      <c r="E190" s="56" t="s">
        <v>459</v>
      </c>
      <c r="F190" s="57" t="s">
        <v>15</v>
      </c>
      <c r="G190" s="61"/>
      <c r="H190" s="61"/>
      <c r="I190" s="60"/>
      <c r="J190" s="53"/>
    </row>
    <row r="191" ht="24.75" hidden="1" customHeight="1">
      <c r="A191" s="54">
        <v>102.0</v>
      </c>
      <c r="B191" s="56" t="s">
        <v>353</v>
      </c>
      <c r="C191" s="56" t="s">
        <v>315</v>
      </c>
      <c r="D191" s="56" t="s">
        <v>354</v>
      </c>
      <c r="E191" s="56" t="s">
        <v>461</v>
      </c>
      <c r="F191" s="57" t="s">
        <v>15</v>
      </c>
      <c r="G191" s="61"/>
      <c r="H191" s="61"/>
      <c r="I191" s="60"/>
      <c r="J191" s="53"/>
    </row>
    <row r="192" ht="24.75" hidden="1" customHeight="1">
      <c r="A192" s="54">
        <v>140.0</v>
      </c>
      <c r="B192" s="56" t="s">
        <v>462</v>
      </c>
      <c r="C192" s="56" t="s">
        <v>434</v>
      </c>
      <c r="D192" s="56" t="s">
        <v>463</v>
      </c>
      <c r="E192" s="56" t="s">
        <v>272</v>
      </c>
      <c r="F192" s="57" t="s">
        <v>15</v>
      </c>
      <c r="G192" s="61"/>
      <c r="H192" s="61"/>
      <c r="I192" s="60"/>
      <c r="J192" s="53"/>
    </row>
    <row r="193" ht="24.75" hidden="1" customHeight="1">
      <c r="A193" s="54">
        <v>140.0</v>
      </c>
      <c r="B193" s="56" t="s">
        <v>464</v>
      </c>
      <c r="C193" s="56" t="s">
        <v>270</v>
      </c>
      <c r="D193" s="56" t="s">
        <v>465</v>
      </c>
      <c r="E193" s="56" t="s">
        <v>272</v>
      </c>
      <c r="F193" s="57" t="s">
        <v>15</v>
      </c>
      <c r="G193" s="61"/>
      <c r="H193" s="61"/>
      <c r="I193" s="60"/>
      <c r="J193" s="53"/>
    </row>
    <row r="194" ht="24.75" hidden="1" customHeight="1">
      <c r="A194" s="54">
        <v>140.0</v>
      </c>
      <c r="B194" s="56" t="s">
        <v>466</v>
      </c>
      <c r="C194" s="56" t="s">
        <v>443</v>
      </c>
      <c r="D194" s="56" t="s">
        <v>467</v>
      </c>
      <c r="E194" s="56" t="s">
        <v>272</v>
      </c>
      <c r="F194" s="57" t="s">
        <v>15</v>
      </c>
      <c r="G194" s="61"/>
      <c r="H194" s="61"/>
      <c r="I194" s="60"/>
      <c r="J194" s="53"/>
    </row>
    <row r="195" ht="24.75" hidden="1" customHeight="1">
      <c r="A195" s="54">
        <v>140.0</v>
      </c>
      <c r="B195" s="56" t="s">
        <v>468</v>
      </c>
      <c r="C195" s="56" t="s">
        <v>446</v>
      </c>
      <c r="D195" s="56" t="s">
        <v>469</v>
      </c>
      <c r="E195" s="56" t="s">
        <v>272</v>
      </c>
      <c r="F195" s="57" t="s">
        <v>15</v>
      </c>
      <c r="G195" s="61"/>
      <c r="H195" s="61"/>
      <c r="I195" s="60"/>
      <c r="J195" s="53"/>
    </row>
    <row r="196" ht="24.75" hidden="1" customHeight="1">
      <c r="A196" s="54">
        <v>140.0</v>
      </c>
      <c r="B196" s="56" t="s">
        <v>470</v>
      </c>
      <c r="C196" s="56" t="s">
        <v>443</v>
      </c>
      <c r="D196" s="56" t="s">
        <v>471</v>
      </c>
      <c r="E196" s="56" t="s">
        <v>272</v>
      </c>
      <c r="F196" s="57" t="s">
        <v>15</v>
      </c>
      <c r="G196" s="61"/>
      <c r="H196" s="61"/>
      <c r="I196" s="60"/>
      <c r="J196" s="53"/>
    </row>
    <row r="197" ht="24.75" hidden="1" customHeight="1">
      <c r="A197" s="54">
        <v>140.0</v>
      </c>
      <c r="B197" s="56" t="s">
        <v>472</v>
      </c>
      <c r="C197" s="56" t="s">
        <v>446</v>
      </c>
      <c r="D197" s="56" t="s">
        <v>473</v>
      </c>
      <c r="E197" s="56" t="s">
        <v>272</v>
      </c>
      <c r="F197" s="57" t="s">
        <v>15</v>
      </c>
      <c r="G197" s="61"/>
      <c r="H197" s="61"/>
      <c r="I197" s="60"/>
      <c r="J197" s="53"/>
    </row>
    <row r="198" ht="24.75" hidden="1" customHeight="1">
      <c r="A198" s="54">
        <v>140.0</v>
      </c>
      <c r="B198" s="56" t="s">
        <v>474</v>
      </c>
      <c r="C198" s="56" t="s">
        <v>443</v>
      </c>
      <c r="D198" s="56" t="s">
        <v>475</v>
      </c>
      <c r="E198" s="56" t="s">
        <v>272</v>
      </c>
      <c r="F198" s="57" t="s">
        <v>15</v>
      </c>
      <c r="G198" s="61"/>
      <c r="H198" s="61"/>
      <c r="I198" s="60"/>
      <c r="J198" s="53"/>
    </row>
    <row r="199" ht="24.75" hidden="1" customHeight="1">
      <c r="A199" s="54">
        <v>140.0</v>
      </c>
      <c r="B199" s="56" t="s">
        <v>476</v>
      </c>
      <c r="C199" s="56" t="s">
        <v>270</v>
      </c>
      <c r="D199" s="56" t="s">
        <v>477</v>
      </c>
      <c r="E199" s="56" t="s">
        <v>272</v>
      </c>
      <c r="F199" s="57" t="s">
        <v>15</v>
      </c>
      <c r="G199" s="61"/>
      <c r="H199" s="61"/>
      <c r="I199" s="60"/>
      <c r="J199" s="53"/>
    </row>
    <row r="200" ht="24.75" hidden="1" customHeight="1">
      <c r="A200" s="54">
        <v>140.0</v>
      </c>
      <c r="B200" s="56" t="s">
        <v>478</v>
      </c>
      <c r="C200" s="56" t="s">
        <v>270</v>
      </c>
      <c r="D200" s="56" t="s">
        <v>479</v>
      </c>
      <c r="E200" s="56" t="s">
        <v>272</v>
      </c>
      <c r="F200" s="57" t="s">
        <v>15</v>
      </c>
      <c r="G200" s="61"/>
      <c r="H200" s="61"/>
      <c r="I200" s="60"/>
      <c r="J200" s="53"/>
    </row>
    <row r="201" ht="24.75" hidden="1" customHeight="1">
      <c r="A201" s="54">
        <v>140.0</v>
      </c>
      <c r="B201" s="56" t="s">
        <v>480</v>
      </c>
      <c r="C201" s="56" t="s">
        <v>270</v>
      </c>
      <c r="D201" s="56" t="s">
        <v>481</v>
      </c>
      <c r="E201" s="56" t="s">
        <v>272</v>
      </c>
      <c r="F201" s="57" t="s">
        <v>15</v>
      </c>
      <c r="G201" s="61"/>
      <c r="H201" s="61"/>
      <c r="I201" s="60"/>
      <c r="J201" s="53"/>
    </row>
    <row r="202" ht="24.75" hidden="1" customHeight="1">
      <c r="A202" s="54">
        <v>140.0</v>
      </c>
      <c r="B202" s="56" t="s">
        <v>482</v>
      </c>
      <c r="C202" s="56" t="s">
        <v>443</v>
      </c>
      <c r="D202" s="56" t="s">
        <v>483</v>
      </c>
      <c r="E202" s="56" t="s">
        <v>272</v>
      </c>
      <c r="F202" s="57" t="s">
        <v>15</v>
      </c>
      <c r="G202" s="61"/>
      <c r="H202" s="61"/>
      <c r="I202" s="60"/>
      <c r="J202" s="53"/>
    </row>
    <row r="203" ht="24.75" hidden="1" customHeight="1">
      <c r="A203" s="54">
        <v>140.0</v>
      </c>
      <c r="B203" s="56" t="s">
        <v>484</v>
      </c>
      <c r="C203" s="56" t="s">
        <v>446</v>
      </c>
      <c r="D203" s="56" t="s">
        <v>485</v>
      </c>
      <c r="E203" s="56" t="s">
        <v>272</v>
      </c>
      <c r="F203" s="57" t="s">
        <v>15</v>
      </c>
      <c r="G203" s="61"/>
      <c r="H203" s="61"/>
      <c r="I203" s="60"/>
      <c r="J203" s="53"/>
    </row>
    <row r="204" ht="24.75" hidden="1" customHeight="1">
      <c r="A204" s="54">
        <v>140.0</v>
      </c>
      <c r="B204" s="56" t="s">
        <v>269</v>
      </c>
      <c r="C204" s="56" t="s">
        <v>270</v>
      </c>
      <c r="D204" s="56" t="s">
        <v>486</v>
      </c>
      <c r="E204" s="56" t="s">
        <v>487</v>
      </c>
      <c r="F204" s="56"/>
      <c r="G204" s="61"/>
      <c r="H204" s="61"/>
      <c r="I204" s="62"/>
      <c r="J204" s="53"/>
    </row>
    <row r="205" ht="24.75" hidden="1" customHeight="1">
      <c r="A205" s="54">
        <v>140.0</v>
      </c>
      <c r="B205" s="56" t="s">
        <v>488</v>
      </c>
      <c r="C205" s="88" t="s">
        <v>449</v>
      </c>
      <c r="D205" s="56" t="s">
        <v>489</v>
      </c>
      <c r="E205" s="56" t="s">
        <v>272</v>
      </c>
      <c r="F205" s="57" t="s">
        <v>15</v>
      </c>
      <c r="G205" s="61"/>
      <c r="H205" s="61"/>
      <c r="I205" s="60"/>
      <c r="J205" s="53"/>
    </row>
    <row r="206" ht="24.75" hidden="1" customHeight="1">
      <c r="A206" s="54">
        <v>140.0</v>
      </c>
      <c r="B206" s="56" t="s">
        <v>490</v>
      </c>
      <c r="C206" s="56" t="s">
        <v>270</v>
      </c>
      <c r="D206" s="56" t="s">
        <v>491</v>
      </c>
      <c r="E206" s="56" t="s">
        <v>272</v>
      </c>
      <c r="F206" s="57" t="s">
        <v>15</v>
      </c>
      <c r="G206" s="61"/>
      <c r="H206" s="61"/>
      <c r="I206" s="60"/>
      <c r="J206" s="53"/>
    </row>
    <row r="207" ht="24.75" hidden="1" customHeight="1">
      <c r="A207" s="54">
        <v>140.0</v>
      </c>
      <c r="B207" s="56" t="s">
        <v>284</v>
      </c>
      <c r="C207" s="56" t="s">
        <v>270</v>
      </c>
      <c r="D207" s="56" t="s">
        <v>492</v>
      </c>
      <c r="E207" s="56" t="s">
        <v>487</v>
      </c>
      <c r="F207" s="56"/>
      <c r="G207" s="61"/>
      <c r="H207" s="61"/>
      <c r="I207" s="62"/>
      <c r="J207" s="53"/>
    </row>
    <row r="208" ht="24.75" hidden="1" customHeight="1">
      <c r="A208" s="54">
        <v>140.0</v>
      </c>
      <c r="B208" s="56" t="s">
        <v>493</v>
      </c>
      <c r="C208" s="56" t="s">
        <v>270</v>
      </c>
      <c r="D208" s="56" t="s">
        <v>494</v>
      </c>
      <c r="E208" s="56" t="s">
        <v>272</v>
      </c>
      <c r="F208" s="57" t="s">
        <v>15</v>
      </c>
      <c r="G208" s="61"/>
      <c r="H208" s="61"/>
      <c r="I208" s="60"/>
      <c r="J208" s="53"/>
    </row>
    <row r="209" ht="24.75" hidden="1" customHeight="1">
      <c r="A209" s="54">
        <v>140.0</v>
      </c>
      <c r="B209" s="56" t="s">
        <v>496</v>
      </c>
      <c r="C209" s="56" t="s">
        <v>497</v>
      </c>
      <c r="D209" s="56" t="s">
        <v>498</v>
      </c>
      <c r="E209" s="56" t="s">
        <v>272</v>
      </c>
      <c r="F209" s="57" t="s">
        <v>15</v>
      </c>
      <c r="G209" s="61"/>
      <c r="H209" s="61"/>
      <c r="I209" s="60"/>
      <c r="J209" s="53"/>
    </row>
    <row r="210" ht="24.75" hidden="1" customHeight="1">
      <c r="A210" s="54">
        <v>140.0</v>
      </c>
      <c r="B210" s="56" t="s">
        <v>499</v>
      </c>
      <c r="C210" s="56" t="s">
        <v>500</v>
      </c>
      <c r="D210" s="56" t="s">
        <v>501</v>
      </c>
      <c r="E210" s="56" t="s">
        <v>225</v>
      </c>
      <c r="F210" s="57" t="s">
        <v>34</v>
      </c>
      <c r="G210" s="61"/>
      <c r="H210" s="61"/>
      <c r="I210" s="62"/>
      <c r="J210" s="53"/>
    </row>
    <row r="211" ht="24.75" hidden="1" customHeight="1">
      <c r="A211" s="54">
        <v>140.0</v>
      </c>
      <c r="B211" s="56" t="s">
        <v>499</v>
      </c>
      <c r="C211" s="56" t="s">
        <v>500</v>
      </c>
      <c r="D211" s="56" t="s">
        <v>501</v>
      </c>
      <c r="E211" s="56" t="s">
        <v>167</v>
      </c>
      <c r="F211" s="57" t="s">
        <v>154</v>
      </c>
      <c r="G211" s="61"/>
      <c r="H211" s="61"/>
      <c r="I211" s="62"/>
      <c r="J211" s="53"/>
    </row>
    <row r="212" ht="24.75" hidden="1" customHeight="1">
      <c r="A212" s="54">
        <v>140.0</v>
      </c>
      <c r="B212" s="56" t="s">
        <v>499</v>
      </c>
      <c r="C212" s="56" t="s">
        <v>500</v>
      </c>
      <c r="D212" s="56" t="s">
        <v>501</v>
      </c>
      <c r="E212" s="56" t="s">
        <v>226</v>
      </c>
      <c r="F212" s="57" t="s">
        <v>154</v>
      </c>
      <c r="G212" s="61"/>
      <c r="H212" s="61"/>
      <c r="I212" s="62"/>
      <c r="J212" s="53"/>
    </row>
    <row r="213" ht="24.75" hidden="1" customHeight="1">
      <c r="A213" s="54">
        <v>140.0</v>
      </c>
      <c r="B213" s="56" t="s">
        <v>502</v>
      </c>
      <c r="C213" s="56" t="s">
        <v>497</v>
      </c>
      <c r="D213" s="56" t="s">
        <v>503</v>
      </c>
      <c r="E213" s="56" t="s">
        <v>272</v>
      </c>
      <c r="F213" s="57" t="s">
        <v>15</v>
      </c>
      <c r="G213" s="61"/>
      <c r="H213" s="61"/>
      <c r="I213" s="60"/>
      <c r="J213" s="53"/>
    </row>
    <row r="214" ht="24.75" hidden="1" customHeight="1">
      <c r="A214" s="54">
        <v>140.0</v>
      </c>
      <c r="B214" s="56" t="s">
        <v>504</v>
      </c>
      <c r="C214" s="56" t="s">
        <v>443</v>
      </c>
      <c r="D214" s="56" t="s">
        <v>505</v>
      </c>
      <c r="E214" s="56" t="s">
        <v>439</v>
      </c>
      <c r="F214" s="57" t="s">
        <v>154</v>
      </c>
      <c r="G214" s="61"/>
      <c r="H214" s="61"/>
      <c r="I214" s="62"/>
      <c r="J214" s="53"/>
    </row>
    <row r="215" ht="24.75" hidden="1" customHeight="1">
      <c r="A215" s="54">
        <v>140.0</v>
      </c>
      <c r="B215" s="56" t="s">
        <v>506</v>
      </c>
      <c r="C215" s="56" t="s">
        <v>507</v>
      </c>
      <c r="D215" s="56" t="s">
        <v>508</v>
      </c>
      <c r="E215" s="56" t="s">
        <v>336</v>
      </c>
      <c r="F215" s="57" t="s">
        <v>192</v>
      </c>
      <c r="G215" s="61"/>
      <c r="H215" s="61"/>
      <c r="I215" s="62"/>
      <c r="J215" s="53"/>
    </row>
    <row r="216" ht="24.75" hidden="1" customHeight="1">
      <c r="A216" s="54">
        <v>140.0</v>
      </c>
      <c r="B216" s="56" t="s">
        <v>506</v>
      </c>
      <c r="C216" s="56" t="s">
        <v>507</v>
      </c>
      <c r="D216" s="56" t="s">
        <v>508</v>
      </c>
      <c r="E216" s="56" t="s">
        <v>372</v>
      </c>
      <c r="F216" s="57" t="s">
        <v>34</v>
      </c>
      <c r="G216" s="61"/>
      <c r="H216" s="61"/>
      <c r="I216" s="62"/>
      <c r="J216" s="53"/>
    </row>
    <row r="217" ht="24.75" hidden="1" customHeight="1">
      <c r="A217" s="54">
        <v>140.0</v>
      </c>
      <c r="B217" s="56" t="s">
        <v>506</v>
      </c>
      <c r="C217" s="56" t="s">
        <v>507</v>
      </c>
      <c r="D217" s="56" t="s">
        <v>508</v>
      </c>
      <c r="E217" s="56" t="s">
        <v>158</v>
      </c>
      <c r="F217" s="57" t="s">
        <v>34</v>
      </c>
      <c r="G217" s="61"/>
      <c r="H217" s="61"/>
      <c r="I217" s="62"/>
      <c r="J217" s="53"/>
    </row>
    <row r="218" ht="24.75" hidden="1" customHeight="1">
      <c r="A218" s="54">
        <v>140.0</v>
      </c>
      <c r="B218" s="56" t="s">
        <v>502</v>
      </c>
      <c r="C218" s="56" t="s">
        <v>497</v>
      </c>
      <c r="D218" s="56" t="s">
        <v>509</v>
      </c>
      <c r="E218" s="56" t="s">
        <v>272</v>
      </c>
      <c r="F218" s="57" t="s">
        <v>15</v>
      </c>
      <c r="G218" s="61"/>
      <c r="H218" s="61"/>
      <c r="I218" s="60"/>
      <c r="J218" s="53"/>
    </row>
    <row r="219" ht="24.75" hidden="1" customHeight="1">
      <c r="A219" s="54">
        <v>140.0</v>
      </c>
      <c r="B219" s="56" t="s">
        <v>499</v>
      </c>
      <c r="C219" s="56" t="s">
        <v>500</v>
      </c>
      <c r="D219" s="56" t="s">
        <v>510</v>
      </c>
      <c r="E219" s="56" t="s">
        <v>272</v>
      </c>
      <c r="F219" s="57" t="s">
        <v>15</v>
      </c>
      <c r="G219" s="61"/>
      <c r="H219" s="61"/>
      <c r="I219" s="60"/>
      <c r="J219" s="53"/>
    </row>
    <row r="220" ht="24.75" hidden="1" customHeight="1">
      <c r="A220" s="54">
        <v>140.0</v>
      </c>
      <c r="B220" s="56" t="s">
        <v>511</v>
      </c>
      <c r="C220" s="56" t="s">
        <v>497</v>
      </c>
      <c r="D220" s="56" t="s">
        <v>512</v>
      </c>
      <c r="E220" s="56" t="s">
        <v>272</v>
      </c>
      <c r="F220" s="57" t="s">
        <v>15</v>
      </c>
      <c r="G220" s="61"/>
      <c r="H220" s="61"/>
      <c r="I220" s="60"/>
      <c r="J220" s="53"/>
    </row>
    <row r="221" ht="24.75" hidden="1" customHeight="1">
      <c r="A221" s="54">
        <v>140.0</v>
      </c>
      <c r="B221" s="56" t="s">
        <v>513</v>
      </c>
      <c r="C221" s="56" t="s">
        <v>437</v>
      </c>
      <c r="D221" s="56" t="s">
        <v>514</v>
      </c>
      <c r="E221" s="56" t="s">
        <v>272</v>
      </c>
      <c r="F221" s="57" t="s">
        <v>15</v>
      </c>
      <c r="G221" s="61"/>
      <c r="H221" s="61"/>
      <c r="I221" s="60"/>
      <c r="J221" s="53"/>
    </row>
    <row r="222" ht="24.75" hidden="1" customHeight="1">
      <c r="A222" s="54">
        <v>140.0</v>
      </c>
      <c r="B222" s="56" t="s">
        <v>515</v>
      </c>
      <c r="C222" s="56" t="s">
        <v>437</v>
      </c>
      <c r="D222" s="56" t="s">
        <v>516</v>
      </c>
      <c r="E222" s="56" t="s">
        <v>272</v>
      </c>
      <c r="F222" s="57" t="s">
        <v>15</v>
      </c>
      <c r="G222" s="61"/>
      <c r="H222" s="61"/>
      <c r="I222" s="60"/>
      <c r="J222" s="53"/>
    </row>
    <row r="223" ht="24.75" hidden="1" customHeight="1">
      <c r="A223" s="54">
        <v>140.0</v>
      </c>
      <c r="B223" s="56" t="s">
        <v>517</v>
      </c>
      <c r="C223" s="56" t="s">
        <v>437</v>
      </c>
      <c r="D223" s="56" t="s">
        <v>518</v>
      </c>
      <c r="E223" s="56" t="s">
        <v>272</v>
      </c>
      <c r="F223" s="57" t="s">
        <v>15</v>
      </c>
      <c r="G223" s="81"/>
      <c r="H223" s="81"/>
      <c r="I223" s="93"/>
      <c r="J223" s="53"/>
    </row>
    <row r="224" ht="24.75" hidden="1" customHeight="1">
      <c r="A224" s="54">
        <v>140.0</v>
      </c>
      <c r="B224" s="56" t="s">
        <v>519</v>
      </c>
      <c r="C224" s="56" t="s">
        <v>437</v>
      </c>
      <c r="D224" s="56" t="s">
        <v>520</v>
      </c>
      <c r="E224" s="56" t="s">
        <v>272</v>
      </c>
      <c r="F224" s="57" t="s">
        <v>15</v>
      </c>
      <c r="G224" s="61"/>
      <c r="H224" s="61"/>
      <c r="I224" s="60"/>
      <c r="J224" s="53"/>
    </row>
    <row r="225" ht="24.75" hidden="1" customHeight="1">
      <c r="A225" s="54">
        <v>140.0</v>
      </c>
      <c r="B225" s="56" t="s">
        <v>521</v>
      </c>
      <c r="C225" s="56" t="s">
        <v>443</v>
      </c>
      <c r="D225" s="56" t="s">
        <v>522</v>
      </c>
      <c r="E225" s="56" t="s">
        <v>272</v>
      </c>
      <c r="F225" s="57" t="s">
        <v>15</v>
      </c>
      <c r="G225" s="61"/>
      <c r="H225" s="61"/>
      <c r="I225" s="60"/>
      <c r="J225" s="53"/>
    </row>
    <row r="226" ht="24.75" hidden="1" customHeight="1">
      <c r="A226" s="54">
        <v>140.0</v>
      </c>
      <c r="B226" s="56" t="s">
        <v>523</v>
      </c>
      <c r="C226" s="56" t="s">
        <v>443</v>
      </c>
      <c r="D226" s="56" t="s">
        <v>524</v>
      </c>
      <c r="E226" s="56" t="s">
        <v>272</v>
      </c>
      <c r="F226" s="57" t="s">
        <v>15</v>
      </c>
      <c r="G226" s="61"/>
      <c r="H226" s="61"/>
      <c r="I226" s="60"/>
      <c r="J226" s="53"/>
    </row>
    <row r="227" ht="24.75" hidden="1" customHeight="1">
      <c r="A227" s="54">
        <v>140.0</v>
      </c>
      <c r="B227" s="56" t="s">
        <v>525</v>
      </c>
      <c r="C227" s="56" t="s">
        <v>443</v>
      </c>
      <c r="D227" s="56" t="s">
        <v>526</v>
      </c>
      <c r="E227" s="56" t="s">
        <v>272</v>
      </c>
      <c r="F227" s="57" t="s">
        <v>15</v>
      </c>
      <c r="G227" s="61"/>
      <c r="H227" s="61"/>
      <c r="I227" s="60"/>
      <c r="J227" s="53"/>
    </row>
    <row r="228" ht="24.75" hidden="1" customHeight="1">
      <c r="A228" s="54">
        <v>140.0</v>
      </c>
      <c r="B228" s="56" t="s">
        <v>527</v>
      </c>
      <c r="C228" s="56" t="s">
        <v>446</v>
      </c>
      <c r="D228" s="56" t="s">
        <v>528</v>
      </c>
      <c r="E228" s="56" t="s">
        <v>272</v>
      </c>
      <c r="F228" s="57" t="s">
        <v>15</v>
      </c>
      <c r="G228" s="61"/>
      <c r="H228" s="61"/>
      <c r="I228" s="60"/>
      <c r="J228" s="53"/>
    </row>
    <row r="229" ht="24.75" hidden="1" customHeight="1">
      <c r="A229" s="54">
        <v>140.0</v>
      </c>
      <c r="B229" s="56" t="s">
        <v>529</v>
      </c>
      <c r="C229" s="56" t="s">
        <v>446</v>
      </c>
      <c r="D229" s="56" t="s">
        <v>530</v>
      </c>
      <c r="E229" s="56" t="s">
        <v>272</v>
      </c>
      <c r="F229" s="57" t="s">
        <v>15</v>
      </c>
      <c r="G229" s="61"/>
      <c r="H229" s="61"/>
      <c r="I229" s="60"/>
      <c r="J229" s="53"/>
    </row>
    <row r="230" ht="24.75" hidden="1" customHeight="1">
      <c r="A230" s="54">
        <v>140.0</v>
      </c>
      <c r="B230" s="56" t="s">
        <v>531</v>
      </c>
      <c r="C230" s="88" t="s">
        <v>449</v>
      </c>
      <c r="D230" s="56" t="s">
        <v>532</v>
      </c>
      <c r="E230" s="56" t="s">
        <v>272</v>
      </c>
      <c r="F230" s="57" t="s">
        <v>15</v>
      </c>
      <c r="G230" s="61"/>
      <c r="H230" s="61"/>
      <c r="I230" s="60"/>
      <c r="J230" s="53"/>
    </row>
    <row r="231" ht="24.75" hidden="1" customHeight="1">
      <c r="A231" s="54">
        <v>140.0</v>
      </c>
      <c r="B231" s="56" t="s">
        <v>533</v>
      </c>
      <c r="C231" s="56" t="s">
        <v>497</v>
      </c>
      <c r="D231" s="56" t="s">
        <v>534</v>
      </c>
      <c r="E231" s="56" t="s">
        <v>439</v>
      </c>
      <c r="F231" s="57" t="s">
        <v>154</v>
      </c>
      <c r="G231" s="61"/>
      <c r="H231" s="61"/>
      <c r="I231" s="62"/>
      <c r="J231" s="53"/>
    </row>
    <row r="232" ht="24.75" hidden="1" customHeight="1">
      <c r="A232" s="54">
        <v>140.0</v>
      </c>
      <c r="B232" s="56" t="s">
        <v>535</v>
      </c>
      <c r="C232" s="56" t="s">
        <v>443</v>
      </c>
      <c r="D232" s="56" t="s">
        <v>537</v>
      </c>
      <c r="E232" s="56" t="s">
        <v>439</v>
      </c>
      <c r="F232" s="57" t="s">
        <v>154</v>
      </c>
      <c r="G232" s="61"/>
      <c r="H232" s="61"/>
      <c r="I232" s="62"/>
      <c r="J232" s="53"/>
    </row>
    <row r="233" ht="24.75" hidden="1" customHeight="1">
      <c r="A233" s="54">
        <v>140.0</v>
      </c>
      <c r="B233" s="56" t="s">
        <v>538</v>
      </c>
      <c r="C233" s="56" t="s">
        <v>446</v>
      </c>
      <c r="D233" s="56" t="s">
        <v>539</v>
      </c>
      <c r="E233" s="56" t="s">
        <v>439</v>
      </c>
      <c r="F233" s="57" t="s">
        <v>154</v>
      </c>
      <c r="G233" s="61"/>
      <c r="H233" s="61"/>
      <c r="I233" s="62"/>
      <c r="J233" s="53"/>
    </row>
    <row r="234" ht="24.75" hidden="1" customHeight="1">
      <c r="A234" s="54">
        <v>140.0</v>
      </c>
      <c r="B234" s="56" t="s">
        <v>540</v>
      </c>
      <c r="C234" s="56" t="s">
        <v>434</v>
      </c>
      <c r="D234" s="56" t="s">
        <v>541</v>
      </c>
      <c r="E234" s="56" t="s">
        <v>167</v>
      </c>
      <c r="F234" s="57" t="s">
        <v>154</v>
      </c>
      <c r="G234" s="61"/>
      <c r="H234" s="61"/>
      <c r="I234" s="62"/>
      <c r="J234" s="53"/>
    </row>
    <row r="235" ht="24.75" hidden="1" customHeight="1">
      <c r="A235" s="54">
        <v>140.0</v>
      </c>
      <c r="B235" s="56" t="s">
        <v>540</v>
      </c>
      <c r="C235" s="56" t="s">
        <v>434</v>
      </c>
      <c r="D235" s="56" t="s">
        <v>541</v>
      </c>
      <c r="E235" s="56" t="s">
        <v>176</v>
      </c>
      <c r="F235" s="57" t="s">
        <v>154</v>
      </c>
      <c r="G235" s="61"/>
      <c r="H235" s="61"/>
      <c r="I235" s="62"/>
      <c r="J235" s="53"/>
    </row>
    <row r="236" ht="24.75" hidden="1" customHeight="1">
      <c r="A236" s="54">
        <v>140.0</v>
      </c>
      <c r="B236" s="56" t="s">
        <v>543</v>
      </c>
      <c r="C236" s="56" t="s">
        <v>437</v>
      </c>
      <c r="D236" s="56" t="s">
        <v>544</v>
      </c>
      <c r="E236" s="56" t="s">
        <v>167</v>
      </c>
      <c r="F236" s="57" t="s">
        <v>154</v>
      </c>
      <c r="G236" s="61"/>
      <c r="H236" s="61"/>
      <c r="I236" s="62"/>
      <c r="J236" s="53"/>
    </row>
    <row r="237" ht="24.75" hidden="1" customHeight="1">
      <c r="A237" s="54">
        <v>140.0</v>
      </c>
      <c r="B237" s="56" t="s">
        <v>543</v>
      </c>
      <c r="C237" s="56" t="s">
        <v>437</v>
      </c>
      <c r="D237" s="56" t="s">
        <v>544</v>
      </c>
      <c r="E237" s="56" t="s">
        <v>176</v>
      </c>
      <c r="F237" s="57" t="s">
        <v>154</v>
      </c>
      <c r="G237" s="61"/>
      <c r="H237" s="61"/>
      <c r="I237" s="62"/>
      <c r="J237" s="53"/>
    </row>
    <row r="238" ht="24.75" hidden="1" customHeight="1">
      <c r="A238" s="54">
        <v>140.0</v>
      </c>
      <c r="B238" s="56" t="s">
        <v>545</v>
      </c>
      <c r="C238" s="56" t="s">
        <v>437</v>
      </c>
      <c r="D238" s="56" t="s">
        <v>546</v>
      </c>
      <c r="E238" s="56" t="s">
        <v>167</v>
      </c>
      <c r="F238" s="57" t="s">
        <v>154</v>
      </c>
      <c r="G238" s="61"/>
      <c r="H238" s="61"/>
      <c r="I238" s="62"/>
      <c r="J238" s="53"/>
    </row>
    <row r="239" ht="24.75" hidden="1" customHeight="1">
      <c r="A239" s="54">
        <v>140.0</v>
      </c>
      <c r="B239" s="56" t="s">
        <v>545</v>
      </c>
      <c r="C239" s="56" t="s">
        <v>437</v>
      </c>
      <c r="D239" s="56" t="s">
        <v>546</v>
      </c>
      <c r="E239" s="56" t="s">
        <v>176</v>
      </c>
      <c r="F239" s="57" t="s">
        <v>154</v>
      </c>
      <c r="G239" s="61"/>
      <c r="H239" s="61"/>
      <c r="I239" s="62"/>
      <c r="J239" s="53"/>
    </row>
    <row r="240" ht="24.75" hidden="1" customHeight="1">
      <c r="A240" s="54">
        <v>140.0</v>
      </c>
      <c r="B240" s="56" t="s">
        <v>547</v>
      </c>
      <c r="C240" s="56" t="s">
        <v>437</v>
      </c>
      <c r="D240" s="56" t="s">
        <v>548</v>
      </c>
      <c r="E240" s="56" t="s">
        <v>167</v>
      </c>
      <c r="F240" s="57" t="s">
        <v>154</v>
      </c>
      <c r="G240" s="61"/>
      <c r="H240" s="61"/>
      <c r="I240" s="62"/>
      <c r="J240" s="53"/>
    </row>
    <row r="241" ht="24.75" hidden="1" customHeight="1">
      <c r="A241" s="54">
        <v>140.0</v>
      </c>
      <c r="B241" s="56" t="s">
        <v>547</v>
      </c>
      <c r="C241" s="56" t="s">
        <v>437</v>
      </c>
      <c r="D241" s="56" t="s">
        <v>548</v>
      </c>
      <c r="E241" s="56" t="s">
        <v>176</v>
      </c>
      <c r="F241" s="57" t="s">
        <v>154</v>
      </c>
      <c r="G241" s="61"/>
      <c r="H241" s="61"/>
      <c r="I241" s="62"/>
      <c r="J241" s="53"/>
    </row>
    <row r="242" ht="24.75" hidden="1" customHeight="1">
      <c r="A242" s="54">
        <v>140.0</v>
      </c>
      <c r="B242" s="56" t="s">
        <v>549</v>
      </c>
      <c r="C242" s="56" t="s">
        <v>434</v>
      </c>
      <c r="D242" s="56" t="s">
        <v>550</v>
      </c>
      <c r="E242" s="56" t="s">
        <v>167</v>
      </c>
      <c r="F242" s="57" t="s">
        <v>154</v>
      </c>
      <c r="G242" s="61"/>
      <c r="H242" s="61"/>
      <c r="I242" s="62"/>
      <c r="J242" s="53"/>
    </row>
    <row r="243" ht="24.75" hidden="1" customHeight="1">
      <c r="A243" s="54">
        <v>140.0</v>
      </c>
      <c r="B243" s="56" t="s">
        <v>549</v>
      </c>
      <c r="C243" s="56" t="s">
        <v>434</v>
      </c>
      <c r="D243" s="56" t="s">
        <v>550</v>
      </c>
      <c r="E243" s="56" t="s">
        <v>176</v>
      </c>
      <c r="F243" s="57" t="s">
        <v>154</v>
      </c>
      <c r="G243" s="61"/>
      <c r="H243" s="61"/>
      <c r="I243" s="62"/>
      <c r="J243" s="53"/>
    </row>
    <row r="244" ht="24.75" hidden="1" customHeight="1">
      <c r="A244" s="54">
        <v>140.0</v>
      </c>
      <c r="B244" s="56" t="s">
        <v>551</v>
      </c>
      <c r="C244" s="56" t="s">
        <v>497</v>
      </c>
      <c r="D244" s="56" t="s">
        <v>552</v>
      </c>
      <c r="E244" s="56" t="s">
        <v>167</v>
      </c>
      <c r="F244" s="57" t="s">
        <v>154</v>
      </c>
      <c r="G244" s="61"/>
      <c r="H244" s="61"/>
      <c r="I244" s="62"/>
      <c r="J244" s="53"/>
    </row>
    <row r="245" ht="24.75" hidden="1" customHeight="1">
      <c r="A245" s="54">
        <v>140.0</v>
      </c>
      <c r="B245" s="56" t="s">
        <v>551</v>
      </c>
      <c r="C245" s="56" t="s">
        <v>497</v>
      </c>
      <c r="D245" s="56" t="s">
        <v>552</v>
      </c>
      <c r="E245" s="56" t="s">
        <v>176</v>
      </c>
      <c r="F245" s="57" t="s">
        <v>154</v>
      </c>
      <c r="G245" s="61"/>
      <c r="H245" s="61"/>
      <c r="I245" s="62"/>
      <c r="J245" s="53"/>
    </row>
    <row r="246" ht="24.75" hidden="1" customHeight="1">
      <c r="A246" s="54">
        <v>140.0</v>
      </c>
      <c r="B246" s="56" t="s">
        <v>553</v>
      </c>
      <c r="C246" s="56" t="s">
        <v>443</v>
      </c>
      <c r="D246" s="56" t="s">
        <v>554</v>
      </c>
      <c r="E246" s="56" t="s">
        <v>167</v>
      </c>
      <c r="F246" s="57" t="s">
        <v>154</v>
      </c>
      <c r="G246" s="61"/>
      <c r="H246" s="61"/>
      <c r="I246" s="62"/>
      <c r="J246" s="53"/>
    </row>
    <row r="247" ht="24.75" hidden="1" customHeight="1">
      <c r="A247" s="54">
        <v>140.0</v>
      </c>
      <c r="B247" s="56" t="s">
        <v>553</v>
      </c>
      <c r="C247" s="56" t="s">
        <v>443</v>
      </c>
      <c r="D247" s="56" t="s">
        <v>554</v>
      </c>
      <c r="E247" s="56" t="s">
        <v>176</v>
      </c>
      <c r="F247" s="57" t="s">
        <v>154</v>
      </c>
      <c r="G247" s="61"/>
      <c r="H247" s="61"/>
      <c r="I247" s="62"/>
      <c r="J247" s="53"/>
    </row>
    <row r="248" ht="24.75" hidden="1" customHeight="1">
      <c r="A248" s="54">
        <v>140.0</v>
      </c>
      <c r="B248" s="56" t="s">
        <v>555</v>
      </c>
      <c r="C248" s="56" t="s">
        <v>434</v>
      </c>
      <c r="D248" s="56" t="s">
        <v>556</v>
      </c>
      <c r="E248" s="56" t="s">
        <v>167</v>
      </c>
      <c r="F248" s="57" t="s">
        <v>154</v>
      </c>
      <c r="G248" s="61"/>
      <c r="H248" s="61"/>
      <c r="I248" s="62"/>
      <c r="J248" s="53"/>
    </row>
    <row r="249" ht="24.75" hidden="1" customHeight="1">
      <c r="A249" s="54">
        <v>140.0</v>
      </c>
      <c r="B249" s="56" t="s">
        <v>555</v>
      </c>
      <c r="C249" s="56" t="s">
        <v>434</v>
      </c>
      <c r="D249" s="56" t="s">
        <v>556</v>
      </c>
      <c r="E249" s="56" t="s">
        <v>176</v>
      </c>
      <c r="F249" s="57" t="s">
        <v>154</v>
      </c>
      <c r="G249" s="61"/>
      <c r="H249" s="61"/>
      <c r="I249" s="62"/>
      <c r="J249" s="53"/>
    </row>
    <row r="250" ht="24.75" hidden="1" customHeight="1">
      <c r="A250" s="54">
        <v>140.0</v>
      </c>
      <c r="B250" s="56" t="s">
        <v>558</v>
      </c>
      <c r="C250" s="56" t="s">
        <v>270</v>
      </c>
      <c r="D250" s="56" t="s">
        <v>559</v>
      </c>
      <c r="E250" s="56" t="s">
        <v>167</v>
      </c>
      <c r="F250" s="57" t="s">
        <v>154</v>
      </c>
      <c r="G250" s="61"/>
      <c r="H250" s="61"/>
      <c r="I250" s="62"/>
      <c r="J250" s="53"/>
    </row>
    <row r="251" ht="24.75" hidden="1" customHeight="1">
      <c r="A251" s="54">
        <v>140.0</v>
      </c>
      <c r="B251" s="56" t="s">
        <v>558</v>
      </c>
      <c r="C251" s="56" t="s">
        <v>270</v>
      </c>
      <c r="D251" s="56" t="s">
        <v>559</v>
      </c>
      <c r="E251" s="56" t="s">
        <v>176</v>
      </c>
      <c r="F251" s="57" t="s">
        <v>154</v>
      </c>
      <c r="G251" s="61"/>
      <c r="H251" s="61"/>
      <c r="I251" s="62"/>
      <c r="J251" s="53"/>
    </row>
    <row r="252" ht="24.75" hidden="1" customHeight="1">
      <c r="A252" s="54">
        <v>140.0</v>
      </c>
      <c r="B252" s="56" t="s">
        <v>560</v>
      </c>
      <c r="C252" s="56" t="s">
        <v>446</v>
      </c>
      <c r="D252" s="56" t="s">
        <v>561</v>
      </c>
      <c r="E252" s="56" t="s">
        <v>167</v>
      </c>
      <c r="F252" s="57" t="s">
        <v>154</v>
      </c>
      <c r="G252" s="61"/>
      <c r="H252" s="61"/>
      <c r="I252" s="62"/>
      <c r="J252" s="53"/>
    </row>
    <row r="253" ht="24.75" hidden="1" customHeight="1">
      <c r="A253" s="54">
        <v>140.0</v>
      </c>
      <c r="B253" s="56" t="s">
        <v>560</v>
      </c>
      <c r="C253" s="56" t="s">
        <v>446</v>
      </c>
      <c r="D253" s="56" t="s">
        <v>561</v>
      </c>
      <c r="E253" s="56" t="s">
        <v>176</v>
      </c>
      <c r="F253" s="57" t="s">
        <v>154</v>
      </c>
      <c r="G253" s="61"/>
      <c r="H253" s="61"/>
      <c r="I253" s="62"/>
      <c r="J253" s="53"/>
    </row>
    <row r="254" ht="24.75" hidden="1" customHeight="1">
      <c r="A254" s="54">
        <v>140.0</v>
      </c>
      <c r="B254" s="56" t="s">
        <v>562</v>
      </c>
      <c r="C254" s="56" t="s">
        <v>443</v>
      </c>
      <c r="D254" s="56" t="s">
        <v>563</v>
      </c>
      <c r="E254" s="56" t="s">
        <v>167</v>
      </c>
      <c r="F254" s="57" t="s">
        <v>154</v>
      </c>
      <c r="G254" s="61"/>
      <c r="H254" s="61"/>
      <c r="I254" s="62"/>
      <c r="J254" s="53"/>
    </row>
    <row r="255" ht="24.75" hidden="1" customHeight="1">
      <c r="A255" s="54">
        <v>140.0</v>
      </c>
      <c r="B255" s="56" t="s">
        <v>562</v>
      </c>
      <c r="C255" s="56" t="s">
        <v>443</v>
      </c>
      <c r="D255" s="56" t="s">
        <v>563</v>
      </c>
      <c r="E255" s="56" t="s">
        <v>176</v>
      </c>
      <c r="F255" s="57" t="s">
        <v>154</v>
      </c>
      <c r="G255" s="61"/>
      <c r="H255" s="61"/>
      <c r="I255" s="62"/>
      <c r="J255" s="53"/>
    </row>
    <row r="256" ht="24.75" hidden="1" customHeight="1">
      <c r="A256" s="54">
        <v>140.0</v>
      </c>
      <c r="B256" s="56" t="s">
        <v>564</v>
      </c>
      <c r="C256" s="56" t="s">
        <v>446</v>
      </c>
      <c r="D256" s="56" t="s">
        <v>565</v>
      </c>
      <c r="E256" s="56" t="s">
        <v>167</v>
      </c>
      <c r="F256" s="57" t="s">
        <v>154</v>
      </c>
      <c r="G256" s="61"/>
      <c r="H256" s="61"/>
      <c r="I256" s="62"/>
      <c r="J256" s="53"/>
    </row>
    <row r="257" ht="24.75" hidden="1" customHeight="1">
      <c r="A257" s="54">
        <v>140.0</v>
      </c>
      <c r="B257" s="56" t="s">
        <v>564</v>
      </c>
      <c r="C257" s="56" t="s">
        <v>446</v>
      </c>
      <c r="D257" s="56" t="s">
        <v>565</v>
      </c>
      <c r="E257" s="56" t="s">
        <v>176</v>
      </c>
      <c r="F257" s="57" t="s">
        <v>154</v>
      </c>
      <c r="G257" s="61"/>
      <c r="H257" s="61"/>
      <c r="I257" s="62"/>
      <c r="J257" s="53"/>
    </row>
    <row r="258" ht="24.75" hidden="1" customHeight="1">
      <c r="A258" s="54">
        <v>140.0</v>
      </c>
      <c r="B258" s="56" t="s">
        <v>566</v>
      </c>
      <c r="C258" s="88" t="s">
        <v>449</v>
      </c>
      <c r="D258" s="56" t="s">
        <v>567</v>
      </c>
      <c r="E258" s="56" t="s">
        <v>167</v>
      </c>
      <c r="F258" s="57" t="s">
        <v>154</v>
      </c>
      <c r="G258" s="61"/>
      <c r="H258" s="61"/>
      <c r="I258" s="62"/>
      <c r="J258" s="53"/>
    </row>
    <row r="259" ht="24.75" hidden="1" customHeight="1">
      <c r="A259" s="54">
        <v>140.0</v>
      </c>
      <c r="B259" s="56" t="s">
        <v>566</v>
      </c>
      <c r="C259" s="88" t="s">
        <v>449</v>
      </c>
      <c r="D259" s="56" t="s">
        <v>567</v>
      </c>
      <c r="E259" s="56" t="s">
        <v>176</v>
      </c>
      <c r="F259" s="57" t="s">
        <v>154</v>
      </c>
      <c r="G259" s="61"/>
      <c r="H259" s="61"/>
      <c r="I259" s="62"/>
      <c r="J259" s="53"/>
    </row>
    <row r="260" ht="24.75" hidden="1" customHeight="1">
      <c r="A260" s="54">
        <v>140.0</v>
      </c>
      <c r="B260" s="56" t="s">
        <v>568</v>
      </c>
      <c r="C260" s="56" t="s">
        <v>446</v>
      </c>
      <c r="D260" s="56" t="s">
        <v>569</v>
      </c>
      <c r="E260" s="56" t="s">
        <v>272</v>
      </c>
      <c r="F260" s="57" t="s">
        <v>15</v>
      </c>
      <c r="G260" s="61"/>
      <c r="H260" s="61"/>
      <c r="I260" s="60"/>
      <c r="J260" s="53"/>
    </row>
    <row r="261" ht="24.75" hidden="1" customHeight="1">
      <c r="A261" s="54">
        <v>140.0</v>
      </c>
      <c r="B261" s="56" t="s">
        <v>570</v>
      </c>
      <c r="C261" s="88" t="s">
        <v>449</v>
      </c>
      <c r="D261" s="56" t="s">
        <v>571</v>
      </c>
      <c r="E261" s="56" t="s">
        <v>167</v>
      </c>
      <c r="F261" s="57" t="s">
        <v>154</v>
      </c>
      <c r="G261" s="61"/>
      <c r="H261" s="61"/>
      <c r="I261" s="62"/>
      <c r="J261" s="53"/>
    </row>
    <row r="262" ht="24.75" hidden="1" customHeight="1">
      <c r="A262" s="54">
        <v>140.0</v>
      </c>
      <c r="B262" s="56" t="s">
        <v>570</v>
      </c>
      <c r="C262" s="88" t="s">
        <v>449</v>
      </c>
      <c r="D262" s="56" t="s">
        <v>571</v>
      </c>
      <c r="E262" s="56" t="s">
        <v>176</v>
      </c>
      <c r="F262" s="57" t="s">
        <v>154</v>
      </c>
      <c r="G262" s="61"/>
      <c r="H262" s="61"/>
      <c r="I262" s="62"/>
      <c r="J262" s="53"/>
    </row>
    <row r="263" ht="24.75" hidden="1" customHeight="1">
      <c r="A263" s="54" t="s">
        <v>572</v>
      </c>
      <c r="B263" s="56" t="s">
        <v>573</v>
      </c>
      <c r="C263" s="56" t="s">
        <v>574</v>
      </c>
      <c r="D263" s="56" t="s">
        <v>575</v>
      </c>
      <c r="E263" s="56" t="s">
        <v>239</v>
      </c>
      <c r="F263" s="57" t="s">
        <v>154</v>
      </c>
      <c r="G263" s="61"/>
      <c r="H263" s="61"/>
      <c r="I263" s="62" t="s">
        <v>207</v>
      </c>
      <c r="J263" s="53"/>
    </row>
    <row r="264" ht="24.75" hidden="1" customHeight="1">
      <c r="A264" s="54" t="s">
        <v>572</v>
      </c>
      <c r="B264" s="56" t="s">
        <v>576</v>
      </c>
      <c r="C264" s="56" t="s">
        <v>574</v>
      </c>
      <c r="D264" s="56" t="s">
        <v>577</v>
      </c>
      <c r="E264" s="56" t="s">
        <v>578</v>
      </c>
      <c r="F264" s="57" t="s">
        <v>154</v>
      </c>
      <c r="G264" s="61"/>
      <c r="H264" s="61"/>
      <c r="I264" s="62"/>
      <c r="J264" s="53"/>
    </row>
    <row r="265" ht="24.75" hidden="1" customHeight="1">
      <c r="A265" s="54" t="s">
        <v>572</v>
      </c>
      <c r="B265" s="56" t="s">
        <v>576</v>
      </c>
      <c r="C265" s="56" t="s">
        <v>574</v>
      </c>
      <c r="D265" s="56" t="s">
        <v>577</v>
      </c>
      <c r="E265" s="56" t="s">
        <v>196</v>
      </c>
      <c r="F265" s="57" t="s">
        <v>154</v>
      </c>
      <c r="G265" s="61"/>
      <c r="H265" s="61" t="s">
        <v>197</v>
      </c>
      <c r="I265" s="62" t="s">
        <v>581</v>
      </c>
      <c r="J265" s="53"/>
    </row>
    <row r="266" ht="24.75" hidden="1" customHeight="1">
      <c r="A266" s="54" t="s">
        <v>572</v>
      </c>
      <c r="B266" s="56" t="s">
        <v>579</v>
      </c>
      <c r="C266" s="56" t="s">
        <v>574</v>
      </c>
      <c r="D266" s="56" t="s">
        <v>580</v>
      </c>
      <c r="E266" s="56" t="s">
        <v>578</v>
      </c>
      <c r="F266" s="57" t="s">
        <v>154</v>
      </c>
      <c r="G266" s="61"/>
      <c r="H266" s="61"/>
      <c r="I266" s="62"/>
      <c r="J266" s="53"/>
    </row>
    <row r="267" ht="24.75" hidden="1" customHeight="1">
      <c r="A267" s="54" t="s">
        <v>572</v>
      </c>
      <c r="B267" s="56" t="s">
        <v>579</v>
      </c>
      <c r="C267" s="56" t="s">
        <v>574</v>
      </c>
      <c r="D267" s="56" t="s">
        <v>580</v>
      </c>
      <c r="E267" s="56" t="s">
        <v>196</v>
      </c>
      <c r="F267" s="57" t="s">
        <v>154</v>
      </c>
      <c r="G267" s="61"/>
      <c r="H267" s="61" t="s">
        <v>197</v>
      </c>
      <c r="I267" s="62" t="s">
        <v>581</v>
      </c>
      <c r="J267" s="53"/>
    </row>
    <row r="268" ht="24.75" hidden="1" customHeight="1">
      <c r="A268" s="54" t="s">
        <v>572</v>
      </c>
      <c r="B268" s="56" t="s">
        <v>582</v>
      </c>
      <c r="C268" s="56" t="s">
        <v>583</v>
      </c>
      <c r="D268" s="56" t="s">
        <v>584</v>
      </c>
      <c r="E268" s="56" t="s">
        <v>585</v>
      </c>
      <c r="F268" s="57" t="s">
        <v>154</v>
      </c>
      <c r="G268" s="61"/>
      <c r="H268" s="61"/>
      <c r="I268" s="62" t="s">
        <v>207</v>
      </c>
      <c r="J268" s="53"/>
    </row>
    <row r="269" ht="24.75" hidden="1" customHeight="1">
      <c r="A269" s="54" t="s">
        <v>572</v>
      </c>
      <c r="B269" s="56" t="s">
        <v>586</v>
      </c>
      <c r="C269" s="56" t="s">
        <v>583</v>
      </c>
      <c r="D269" s="56" t="s">
        <v>587</v>
      </c>
      <c r="E269" s="56" t="s">
        <v>588</v>
      </c>
      <c r="F269" s="57" t="s">
        <v>154</v>
      </c>
      <c r="G269" s="61"/>
      <c r="H269" s="61"/>
      <c r="I269" s="62"/>
      <c r="J269" s="53"/>
    </row>
    <row r="270" ht="24.75" hidden="1" customHeight="1">
      <c r="A270" s="54" t="s">
        <v>572</v>
      </c>
      <c r="B270" s="56" t="s">
        <v>586</v>
      </c>
      <c r="C270" s="56" t="s">
        <v>583</v>
      </c>
      <c r="D270" s="56" t="s">
        <v>587</v>
      </c>
      <c r="E270" s="56" t="s">
        <v>589</v>
      </c>
      <c r="F270" s="57" t="s">
        <v>154</v>
      </c>
      <c r="G270" s="61"/>
      <c r="H270" s="61"/>
      <c r="I270" s="62"/>
      <c r="J270" s="53"/>
    </row>
    <row r="271" ht="24.75" hidden="1" customHeight="1">
      <c r="A271" s="54" t="s">
        <v>572</v>
      </c>
      <c r="B271" s="56" t="s">
        <v>586</v>
      </c>
      <c r="C271" s="56" t="s">
        <v>583</v>
      </c>
      <c r="D271" s="56" t="s">
        <v>587</v>
      </c>
      <c r="E271" s="56" t="s">
        <v>590</v>
      </c>
      <c r="F271" s="57" t="s">
        <v>154</v>
      </c>
      <c r="G271" s="61"/>
      <c r="H271" s="61" t="s">
        <v>592</v>
      </c>
      <c r="I271" s="62" t="s">
        <v>593</v>
      </c>
      <c r="J271" s="53"/>
    </row>
    <row r="272" ht="24.75" hidden="1" customHeight="1">
      <c r="A272" s="54" t="s">
        <v>572</v>
      </c>
      <c r="B272" s="56" t="s">
        <v>591</v>
      </c>
      <c r="C272" s="56" t="s">
        <v>574</v>
      </c>
      <c r="D272" s="56" t="s">
        <v>594</v>
      </c>
      <c r="E272" s="56" t="s">
        <v>239</v>
      </c>
      <c r="F272" s="57" t="s">
        <v>154</v>
      </c>
      <c r="G272" s="61"/>
      <c r="H272" s="61"/>
      <c r="I272" s="62"/>
      <c r="J272" s="53"/>
    </row>
    <row r="273" ht="24.75" hidden="1" customHeight="1">
      <c r="A273" s="54" t="s">
        <v>572</v>
      </c>
      <c r="B273" s="56" t="s">
        <v>595</v>
      </c>
      <c r="C273" s="56" t="s">
        <v>574</v>
      </c>
      <c r="D273" s="56" t="s">
        <v>577</v>
      </c>
      <c r="E273" s="56" t="s">
        <v>578</v>
      </c>
      <c r="F273" s="57" t="s">
        <v>154</v>
      </c>
      <c r="G273" s="61"/>
      <c r="H273" s="61"/>
      <c r="I273" s="62"/>
      <c r="J273" s="53"/>
    </row>
    <row r="274" ht="24.75" hidden="1" customHeight="1">
      <c r="A274" s="54" t="s">
        <v>572</v>
      </c>
      <c r="B274" s="56" t="s">
        <v>595</v>
      </c>
      <c r="C274" s="56" t="s">
        <v>574</v>
      </c>
      <c r="D274" s="56" t="s">
        <v>577</v>
      </c>
      <c r="E274" s="56" t="s">
        <v>196</v>
      </c>
      <c r="F274" s="57" t="s">
        <v>154</v>
      </c>
      <c r="G274" s="61"/>
      <c r="H274" s="61" t="s">
        <v>197</v>
      </c>
      <c r="I274" s="62" t="s">
        <v>581</v>
      </c>
      <c r="J274" s="53"/>
    </row>
    <row r="275" ht="24.75" hidden="1" customHeight="1">
      <c r="A275" s="54" t="s">
        <v>572</v>
      </c>
      <c r="B275" s="56" t="s">
        <v>596</v>
      </c>
      <c r="C275" s="56" t="s">
        <v>574</v>
      </c>
      <c r="D275" s="56" t="s">
        <v>597</v>
      </c>
      <c r="E275" s="56" t="s">
        <v>239</v>
      </c>
      <c r="F275" s="57" t="s">
        <v>154</v>
      </c>
      <c r="G275" s="61"/>
      <c r="H275" s="61"/>
      <c r="I275" s="62"/>
      <c r="J275" s="53"/>
    </row>
    <row r="276" ht="24.75" hidden="1" customHeight="1">
      <c r="A276" s="54" t="s">
        <v>572</v>
      </c>
      <c r="B276" s="56" t="s">
        <v>598</v>
      </c>
      <c r="C276" s="56" t="s">
        <v>574</v>
      </c>
      <c r="D276" s="56" t="s">
        <v>577</v>
      </c>
      <c r="E276" s="56" t="s">
        <v>578</v>
      </c>
      <c r="F276" s="57" t="s">
        <v>154</v>
      </c>
      <c r="G276" s="61"/>
      <c r="H276" s="61"/>
      <c r="I276" s="62"/>
      <c r="J276" s="53"/>
    </row>
    <row r="277" ht="24.75" hidden="1" customHeight="1">
      <c r="A277" s="54" t="s">
        <v>572</v>
      </c>
      <c r="B277" s="56" t="s">
        <v>598</v>
      </c>
      <c r="C277" s="56" t="s">
        <v>574</v>
      </c>
      <c r="D277" s="56" t="s">
        <v>577</v>
      </c>
      <c r="E277" s="56" t="s">
        <v>196</v>
      </c>
      <c r="F277" s="57" t="s">
        <v>154</v>
      </c>
      <c r="G277" s="61"/>
      <c r="H277" s="61" t="s">
        <v>197</v>
      </c>
      <c r="I277" s="62" t="s">
        <v>581</v>
      </c>
      <c r="J277" s="53"/>
    </row>
    <row r="278" ht="24.75" hidden="1" customHeight="1">
      <c r="A278" s="54" t="s">
        <v>289</v>
      </c>
      <c r="B278" s="56" t="s">
        <v>599</v>
      </c>
      <c r="C278" s="56" t="s">
        <v>291</v>
      </c>
      <c r="D278" s="56" t="s">
        <v>600</v>
      </c>
      <c r="E278" s="56" t="s">
        <v>163</v>
      </c>
      <c r="F278" s="57" t="s">
        <v>154</v>
      </c>
      <c r="G278" s="61"/>
      <c r="H278" s="79"/>
      <c r="I278" s="62"/>
      <c r="J278" s="53"/>
    </row>
    <row r="279" ht="24.75" hidden="1" customHeight="1">
      <c r="A279" s="54" t="s">
        <v>289</v>
      </c>
      <c r="B279" s="56" t="s">
        <v>290</v>
      </c>
      <c r="C279" s="56" t="s">
        <v>291</v>
      </c>
      <c r="D279" s="56" t="s">
        <v>292</v>
      </c>
      <c r="E279" s="56" t="s">
        <v>196</v>
      </c>
      <c r="F279" s="57" t="s">
        <v>192</v>
      </c>
      <c r="G279" s="61"/>
      <c r="H279" s="61" t="s">
        <v>287</v>
      </c>
      <c r="I279" s="62" t="s">
        <v>288</v>
      </c>
      <c r="J279" s="53"/>
    </row>
    <row r="280" ht="24.75" hidden="1" customHeight="1">
      <c r="A280" s="54" t="s">
        <v>289</v>
      </c>
      <c r="B280" s="56" t="s">
        <v>290</v>
      </c>
      <c r="C280" s="56" t="s">
        <v>291</v>
      </c>
      <c r="D280" s="56" t="s">
        <v>292</v>
      </c>
      <c r="E280" s="56" t="s">
        <v>601</v>
      </c>
      <c r="F280" s="57" t="s">
        <v>154</v>
      </c>
      <c r="G280" s="61"/>
      <c r="H280" s="79"/>
      <c r="I280" s="62"/>
      <c r="J280" s="53"/>
    </row>
    <row r="281" ht="24.75" hidden="1" customHeight="1">
      <c r="A281" s="54">
        <v>140.0</v>
      </c>
      <c r="B281" s="56" t="s">
        <v>602</v>
      </c>
      <c r="C281" s="56" t="s">
        <v>500</v>
      </c>
      <c r="D281" s="56" t="s">
        <v>603</v>
      </c>
      <c r="E281" s="56" t="s">
        <v>272</v>
      </c>
      <c r="F281" s="57" t="s">
        <v>15</v>
      </c>
      <c r="G281" s="61"/>
      <c r="H281" s="61"/>
      <c r="I281" s="60"/>
      <c r="J281" s="53"/>
    </row>
    <row r="282" ht="24.75" hidden="1" customHeight="1">
      <c r="A282" s="54">
        <v>140.0</v>
      </c>
      <c r="B282" s="56" t="s">
        <v>566</v>
      </c>
      <c r="C282" s="56" t="s">
        <v>500</v>
      </c>
      <c r="D282" s="56" t="s">
        <v>604</v>
      </c>
      <c r="E282" s="56" t="s">
        <v>272</v>
      </c>
      <c r="F282" s="57" t="s">
        <v>15</v>
      </c>
      <c r="G282" s="61"/>
      <c r="H282" s="61"/>
      <c r="I282" s="60"/>
      <c r="J282" s="53"/>
    </row>
    <row r="283" ht="24.75" hidden="1" customHeight="1">
      <c r="A283" s="54" t="s">
        <v>289</v>
      </c>
      <c r="B283" s="56" t="s">
        <v>605</v>
      </c>
      <c r="C283" s="56" t="s">
        <v>606</v>
      </c>
      <c r="D283" s="56" t="s">
        <v>607</v>
      </c>
      <c r="E283" s="56" t="s">
        <v>608</v>
      </c>
      <c r="F283" s="57" t="s">
        <v>154</v>
      </c>
      <c r="G283" s="61"/>
      <c r="H283" s="79"/>
      <c r="I283" s="62"/>
      <c r="J283" s="53"/>
    </row>
    <row r="284" ht="24.75" hidden="1" customHeight="1">
      <c r="A284" s="54" t="s">
        <v>289</v>
      </c>
      <c r="B284" s="56" t="s">
        <v>609</v>
      </c>
      <c r="C284" s="56" t="s">
        <v>610</v>
      </c>
      <c r="D284" s="56" t="s">
        <v>611</v>
      </c>
      <c r="E284" s="56" t="s">
        <v>612</v>
      </c>
      <c r="F284" s="57" t="s">
        <v>34</v>
      </c>
      <c r="G284" s="61"/>
      <c r="H284" s="79"/>
      <c r="I284" s="62"/>
      <c r="J284" s="53"/>
    </row>
    <row r="285" ht="24.75" hidden="1" customHeight="1">
      <c r="A285" s="54" t="s">
        <v>289</v>
      </c>
      <c r="B285" s="56" t="s">
        <v>609</v>
      </c>
      <c r="C285" s="56" t="s">
        <v>610</v>
      </c>
      <c r="D285" s="56" t="s">
        <v>611</v>
      </c>
      <c r="E285" s="56" t="s">
        <v>613</v>
      </c>
      <c r="F285" s="57" t="s">
        <v>34</v>
      </c>
      <c r="G285" s="61"/>
      <c r="H285" s="79"/>
      <c r="I285" s="62"/>
      <c r="J285" s="53"/>
    </row>
    <row r="286" ht="24.75" hidden="1" customHeight="1">
      <c r="A286" s="54" t="s">
        <v>289</v>
      </c>
      <c r="B286" s="56" t="s">
        <v>609</v>
      </c>
      <c r="C286" s="56" t="s">
        <v>610</v>
      </c>
      <c r="D286" s="56" t="s">
        <v>611</v>
      </c>
      <c r="E286" s="56" t="s">
        <v>614</v>
      </c>
      <c r="F286" s="57" t="s">
        <v>34</v>
      </c>
      <c r="G286" s="61"/>
      <c r="H286" s="79"/>
      <c r="I286" s="62" t="s">
        <v>615</v>
      </c>
      <c r="J286" s="53"/>
    </row>
    <row r="287" ht="24.75" hidden="1" customHeight="1">
      <c r="A287" s="54" t="s">
        <v>289</v>
      </c>
      <c r="B287" s="56" t="s">
        <v>609</v>
      </c>
      <c r="C287" s="56" t="s">
        <v>610</v>
      </c>
      <c r="D287" s="56" t="s">
        <v>611</v>
      </c>
      <c r="E287" s="56" t="s">
        <v>616</v>
      </c>
      <c r="F287" s="57" t="s">
        <v>154</v>
      </c>
      <c r="G287" s="61"/>
      <c r="H287" s="79"/>
      <c r="I287" s="62" t="s">
        <v>617</v>
      </c>
      <c r="J287" s="53"/>
    </row>
    <row r="288" ht="24.75" hidden="1" customHeight="1">
      <c r="A288" s="54" t="s">
        <v>289</v>
      </c>
      <c r="B288" s="56" t="s">
        <v>609</v>
      </c>
      <c r="C288" s="56" t="s">
        <v>610</v>
      </c>
      <c r="D288" s="56" t="s">
        <v>611</v>
      </c>
      <c r="E288" s="80" t="s">
        <v>618</v>
      </c>
      <c r="F288" s="57" t="s">
        <v>154</v>
      </c>
      <c r="G288" s="61"/>
      <c r="H288" s="79"/>
      <c r="I288" s="62" t="s">
        <v>617</v>
      </c>
      <c r="J288" s="53"/>
    </row>
    <row r="289" ht="24.75" hidden="1" customHeight="1">
      <c r="A289" s="54" t="s">
        <v>289</v>
      </c>
      <c r="B289" s="56" t="s">
        <v>619</v>
      </c>
      <c r="C289" s="56" t="s">
        <v>610</v>
      </c>
      <c r="D289" s="56" t="s">
        <v>620</v>
      </c>
      <c r="E289" s="56" t="s">
        <v>196</v>
      </c>
      <c r="F289" s="57" t="s">
        <v>192</v>
      </c>
      <c r="G289" s="61"/>
      <c r="H289" s="61" t="s">
        <v>287</v>
      </c>
      <c r="I289" s="62" t="s">
        <v>288</v>
      </c>
      <c r="J289" s="53"/>
    </row>
    <row r="290" ht="24.75" hidden="1" customHeight="1">
      <c r="A290" s="54" t="s">
        <v>289</v>
      </c>
      <c r="B290" s="56" t="s">
        <v>619</v>
      </c>
      <c r="C290" s="56" t="s">
        <v>610</v>
      </c>
      <c r="D290" s="56" t="s">
        <v>620</v>
      </c>
      <c r="E290" s="56" t="s">
        <v>621</v>
      </c>
      <c r="F290" s="57" t="s">
        <v>192</v>
      </c>
      <c r="G290" s="61"/>
      <c r="H290" s="79"/>
      <c r="I290" s="62"/>
      <c r="J290" s="53"/>
    </row>
    <row r="291" ht="24.75" hidden="1" customHeight="1">
      <c r="A291" s="54" t="s">
        <v>289</v>
      </c>
      <c r="B291" s="56" t="s">
        <v>619</v>
      </c>
      <c r="C291" s="56" t="s">
        <v>610</v>
      </c>
      <c r="D291" s="56" t="s">
        <v>620</v>
      </c>
      <c r="E291" s="56" t="s">
        <v>622</v>
      </c>
      <c r="F291" s="57" t="s">
        <v>154</v>
      </c>
      <c r="G291" s="61"/>
      <c r="H291" s="79"/>
      <c r="I291" s="62" t="s">
        <v>617</v>
      </c>
      <c r="J291" s="53"/>
    </row>
    <row r="292" ht="24.75" hidden="1" customHeight="1">
      <c r="A292" s="54" t="s">
        <v>289</v>
      </c>
      <c r="B292" s="56" t="s">
        <v>623</v>
      </c>
      <c r="C292" s="56" t="s">
        <v>624</v>
      </c>
      <c r="D292" s="56" t="s">
        <v>611</v>
      </c>
      <c r="E292" s="56" t="s">
        <v>612</v>
      </c>
      <c r="F292" s="57" t="s">
        <v>34</v>
      </c>
      <c r="G292" s="61"/>
      <c r="H292" s="79"/>
      <c r="I292" s="62"/>
      <c r="J292" s="53"/>
    </row>
    <row r="293" ht="24.75" hidden="1" customHeight="1">
      <c r="A293" s="54" t="s">
        <v>289</v>
      </c>
      <c r="B293" s="56" t="s">
        <v>623</v>
      </c>
      <c r="C293" s="56" t="s">
        <v>624</v>
      </c>
      <c r="D293" s="56" t="s">
        <v>611</v>
      </c>
      <c r="E293" s="56" t="s">
        <v>613</v>
      </c>
      <c r="F293" s="57" t="s">
        <v>34</v>
      </c>
      <c r="G293" s="61"/>
      <c r="H293" s="79"/>
      <c r="I293" s="62"/>
      <c r="J293" s="53"/>
    </row>
    <row r="294" ht="24.75" hidden="1" customHeight="1">
      <c r="A294" s="54" t="s">
        <v>289</v>
      </c>
      <c r="B294" s="56" t="s">
        <v>623</v>
      </c>
      <c r="C294" s="56" t="s">
        <v>624</v>
      </c>
      <c r="D294" s="56" t="s">
        <v>611</v>
      </c>
      <c r="E294" s="56" t="s">
        <v>614</v>
      </c>
      <c r="F294" s="57" t="s">
        <v>34</v>
      </c>
      <c r="G294" s="61"/>
      <c r="H294" s="79"/>
      <c r="I294" s="62" t="s">
        <v>615</v>
      </c>
      <c r="J294" s="53"/>
    </row>
    <row r="295" ht="24.75" hidden="1" customHeight="1">
      <c r="A295" s="54" t="s">
        <v>289</v>
      </c>
      <c r="B295" s="56" t="s">
        <v>623</v>
      </c>
      <c r="C295" s="56" t="s">
        <v>624</v>
      </c>
      <c r="D295" s="56" t="s">
        <v>611</v>
      </c>
      <c r="E295" s="56" t="s">
        <v>616</v>
      </c>
      <c r="F295" s="57" t="s">
        <v>154</v>
      </c>
      <c r="G295" s="61"/>
      <c r="H295" s="79"/>
      <c r="I295" s="62" t="s">
        <v>617</v>
      </c>
      <c r="J295" s="53"/>
    </row>
    <row r="296" ht="24.75" hidden="1" customHeight="1">
      <c r="A296" s="54" t="s">
        <v>289</v>
      </c>
      <c r="B296" s="56" t="s">
        <v>623</v>
      </c>
      <c r="C296" s="56" t="s">
        <v>624</v>
      </c>
      <c r="D296" s="56" t="s">
        <v>611</v>
      </c>
      <c r="E296" s="80" t="s">
        <v>618</v>
      </c>
      <c r="F296" s="57" t="s">
        <v>154</v>
      </c>
      <c r="G296" s="61"/>
      <c r="H296" s="79"/>
      <c r="I296" s="62" t="s">
        <v>617</v>
      </c>
      <c r="J296" s="53"/>
    </row>
    <row r="297" ht="24.75" hidden="1" customHeight="1">
      <c r="A297" s="54" t="s">
        <v>289</v>
      </c>
      <c r="B297" s="56" t="s">
        <v>625</v>
      </c>
      <c r="C297" s="56" t="s">
        <v>624</v>
      </c>
      <c r="D297" s="56" t="s">
        <v>620</v>
      </c>
      <c r="E297" s="56" t="s">
        <v>196</v>
      </c>
      <c r="F297" s="57" t="s">
        <v>192</v>
      </c>
      <c r="G297" s="61"/>
      <c r="H297" s="61" t="s">
        <v>287</v>
      </c>
      <c r="I297" s="62" t="s">
        <v>288</v>
      </c>
      <c r="J297" s="53"/>
    </row>
    <row r="298" ht="24.75" hidden="1" customHeight="1">
      <c r="A298" s="54" t="s">
        <v>289</v>
      </c>
      <c r="B298" s="56" t="s">
        <v>625</v>
      </c>
      <c r="C298" s="56" t="s">
        <v>624</v>
      </c>
      <c r="D298" s="56" t="s">
        <v>620</v>
      </c>
      <c r="E298" s="56" t="s">
        <v>621</v>
      </c>
      <c r="F298" s="57" t="s">
        <v>192</v>
      </c>
      <c r="G298" s="61"/>
      <c r="H298" s="79"/>
      <c r="I298" s="62"/>
      <c r="J298" s="53"/>
    </row>
    <row r="299" ht="24.75" hidden="1" customHeight="1">
      <c r="A299" s="54" t="s">
        <v>289</v>
      </c>
      <c r="B299" s="56" t="s">
        <v>625</v>
      </c>
      <c r="C299" s="56" t="s">
        <v>624</v>
      </c>
      <c r="D299" s="56" t="s">
        <v>620</v>
      </c>
      <c r="E299" s="56" t="s">
        <v>622</v>
      </c>
      <c r="F299" s="57" t="s">
        <v>154</v>
      </c>
      <c r="G299" s="61"/>
      <c r="H299" s="79"/>
      <c r="I299" s="62" t="s">
        <v>617</v>
      </c>
      <c r="J299" s="53"/>
    </row>
    <row r="300" ht="24.75" hidden="1" customHeight="1">
      <c r="A300" s="54" t="s">
        <v>289</v>
      </c>
      <c r="B300" s="56" t="s">
        <v>626</v>
      </c>
      <c r="C300" s="56" t="s">
        <v>627</v>
      </c>
      <c r="D300" s="56" t="s">
        <v>611</v>
      </c>
      <c r="E300" s="56" t="s">
        <v>612</v>
      </c>
      <c r="F300" s="57" t="s">
        <v>34</v>
      </c>
      <c r="G300" s="61"/>
      <c r="H300" s="79"/>
      <c r="I300" s="62"/>
      <c r="J300" s="53"/>
    </row>
    <row r="301" ht="24.75" hidden="1" customHeight="1">
      <c r="A301" s="54" t="s">
        <v>289</v>
      </c>
      <c r="B301" s="56" t="s">
        <v>626</v>
      </c>
      <c r="C301" s="56" t="s">
        <v>627</v>
      </c>
      <c r="D301" s="56" t="s">
        <v>611</v>
      </c>
      <c r="E301" s="56" t="s">
        <v>613</v>
      </c>
      <c r="F301" s="57" t="s">
        <v>34</v>
      </c>
      <c r="G301" s="61"/>
      <c r="H301" s="79"/>
      <c r="I301" s="62"/>
      <c r="J301" s="53"/>
    </row>
    <row r="302" ht="24.75" hidden="1" customHeight="1">
      <c r="A302" s="54" t="s">
        <v>289</v>
      </c>
      <c r="B302" s="56" t="s">
        <v>626</v>
      </c>
      <c r="C302" s="56" t="s">
        <v>627</v>
      </c>
      <c r="D302" s="56" t="s">
        <v>611</v>
      </c>
      <c r="E302" s="56" t="s">
        <v>614</v>
      </c>
      <c r="F302" s="57" t="s">
        <v>34</v>
      </c>
      <c r="G302" s="61"/>
      <c r="H302" s="79"/>
      <c r="I302" s="62" t="s">
        <v>615</v>
      </c>
      <c r="J302" s="53"/>
    </row>
    <row r="303" ht="24.75" hidden="1" customHeight="1">
      <c r="A303" s="54" t="s">
        <v>289</v>
      </c>
      <c r="B303" s="56" t="s">
        <v>626</v>
      </c>
      <c r="C303" s="56" t="s">
        <v>627</v>
      </c>
      <c r="D303" s="56" t="s">
        <v>611</v>
      </c>
      <c r="E303" s="56" t="s">
        <v>616</v>
      </c>
      <c r="F303" s="57" t="s">
        <v>154</v>
      </c>
      <c r="G303" s="61"/>
      <c r="H303" s="79"/>
      <c r="I303" s="62" t="s">
        <v>617</v>
      </c>
      <c r="J303" s="53"/>
    </row>
    <row r="304" ht="24.75" hidden="1" customHeight="1">
      <c r="A304" s="54" t="s">
        <v>289</v>
      </c>
      <c r="B304" s="56" t="s">
        <v>626</v>
      </c>
      <c r="C304" s="56" t="s">
        <v>627</v>
      </c>
      <c r="D304" s="56" t="s">
        <v>611</v>
      </c>
      <c r="E304" s="56" t="s">
        <v>618</v>
      </c>
      <c r="F304" s="57" t="s">
        <v>154</v>
      </c>
      <c r="G304" s="61"/>
      <c r="H304" s="79"/>
      <c r="I304" s="62" t="s">
        <v>617</v>
      </c>
      <c r="J304" s="53"/>
    </row>
    <row r="305" ht="24.75" hidden="1" customHeight="1">
      <c r="A305" s="54" t="s">
        <v>289</v>
      </c>
      <c r="B305" s="56" t="s">
        <v>628</v>
      </c>
      <c r="C305" s="56" t="s">
        <v>627</v>
      </c>
      <c r="D305" s="56" t="s">
        <v>620</v>
      </c>
      <c r="E305" s="56" t="s">
        <v>196</v>
      </c>
      <c r="F305" s="57" t="s">
        <v>192</v>
      </c>
      <c r="G305" s="61"/>
      <c r="H305" s="61" t="s">
        <v>287</v>
      </c>
      <c r="I305" s="62" t="s">
        <v>288</v>
      </c>
      <c r="J305" s="53"/>
    </row>
    <row r="306" ht="24.75" hidden="1" customHeight="1">
      <c r="A306" s="54" t="s">
        <v>289</v>
      </c>
      <c r="B306" s="56" t="s">
        <v>628</v>
      </c>
      <c r="C306" s="56" t="s">
        <v>627</v>
      </c>
      <c r="D306" s="56" t="s">
        <v>620</v>
      </c>
      <c r="E306" s="56" t="s">
        <v>621</v>
      </c>
      <c r="F306" s="57" t="s">
        <v>192</v>
      </c>
      <c r="G306" s="61"/>
      <c r="H306" s="79"/>
      <c r="I306" s="62"/>
      <c r="J306" s="53"/>
    </row>
    <row r="307" ht="24.75" hidden="1" customHeight="1">
      <c r="A307" s="54" t="s">
        <v>289</v>
      </c>
      <c r="B307" s="56" t="s">
        <v>628</v>
      </c>
      <c r="C307" s="56" t="s">
        <v>627</v>
      </c>
      <c r="D307" s="56" t="s">
        <v>620</v>
      </c>
      <c r="E307" s="56" t="s">
        <v>622</v>
      </c>
      <c r="F307" s="57" t="s">
        <v>154</v>
      </c>
      <c r="G307" s="61"/>
      <c r="H307" s="79"/>
      <c r="I307" s="62" t="s">
        <v>617</v>
      </c>
      <c r="J307" s="53"/>
    </row>
    <row r="308" ht="24.75" hidden="1" customHeight="1">
      <c r="A308" s="54" t="s">
        <v>289</v>
      </c>
      <c r="B308" s="56" t="s">
        <v>629</v>
      </c>
      <c r="C308" s="56" t="s">
        <v>627</v>
      </c>
      <c r="D308" s="56" t="s">
        <v>631</v>
      </c>
      <c r="E308" s="56" t="s">
        <v>191</v>
      </c>
      <c r="F308" s="57" t="s">
        <v>192</v>
      </c>
      <c r="G308" s="61"/>
      <c r="H308" s="79"/>
      <c r="I308" s="62"/>
      <c r="J308" s="53"/>
    </row>
    <row r="309" ht="24.75" hidden="1" customHeight="1">
      <c r="A309" s="54" t="s">
        <v>289</v>
      </c>
      <c r="B309" s="56" t="s">
        <v>629</v>
      </c>
      <c r="C309" s="56" t="s">
        <v>627</v>
      </c>
      <c r="D309" s="56" t="s">
        <v>631</v>
      </c>
      <c r="E309" s="56" t="s">
        <v>632</v>
      </c>
      <c r="F309" s="57" t="s">
        <v>34</v>
      </c>
      <c r="G309" s="61"/>
      <c r="H309" s="61" t="s">
        <v>197</v>
      </c>
      <c r="I309" s="62"/>
      <c r="J309" s="53"/>
    </row>
    <row r="310" ht="24.75" hidden="1" customHeight="1">
      <c r="A310" s="54" t="s">
        <v>289</v>
      </c>
      <c r="B310" s="56" t="s">
        <v>629</v>
      </c>
      <c r="C310" s="56" t="s">
        <v>627</v>
      </c>
      <c r="D310" s="56" t="s">
        <v>631</v>
      </c>
      <c r="E310" s="56" t="s">
        <v>633</v>
      </c>
      <c r="F310" s="57" t="s">
        <v>154</v>
      </c>
      <c r="G310" s="61"/>
      <c r="H310" s="79"/>
      <c r="I310" s="62"/>
      <c r="J310" s="53"/>
    </row>
    <row r="311" ht="24.75" hidden="1" customHeight="1">
      <c r="A311" s="54" t="s">
        <v>289</v>
      </c>
      <c r="B311" s="56" t="s">
        <v>629</v>
      </c>
      <c r="C311" s="56" t="s">
        <v>627</v>
      </c>
      <c r="D311" s="56" t="s">
        <v>631</v>
      </c>
      <c r="E311" s="56" t="s">
        <v>196</v>
      </c>
      <c r="F311" s="57" t="s">
        <v>154</v>
      </c>
      <c r="G311" s="61"/>
      <c r="H311" s="61" t="s">
        <v>200</v>
      </c>
      <c r="I311" s="62" t="s">
        <v>201</v>
      </c>
      <c r="J311" s="53"/>
    </row>
    <row r="312" ht="24.75" hidden="1" customHeight="1">
      <c r="A312" s="54" t="s">
        <v>289</v>
      </c>
      <c r="B312" s="56" t="s">
        <v>635</v>
      </c>
      <c r="C312" s="56" t="s">
        <v>627</v>
      </c>
      <c r="D312" s="56" t="s">
        <v>636</v>
      </c>
      <c r="E312" s="56" t="s">
        <v>191</v>
      </c>
      <c r="F312" s="57" t="s">
        <v>192</v>
      </c>
      <c r="G312" s="61"/>
      <c r="H312" s="79"/>
      <c r="I312" s="62"/>
      <c r="J312" s="53"/>
    </row>
    <row r="313" ht="24.75" hidden="1" customHeight="1">
      <c r="A313" s="54" t="s">
        <v>289</v>
      </c>
      <c r="B313" s="56" t="s">
        <v>635</v>
      </c>
      <c r="C313" s="56" t="s">
        <v>627</v>
      </c>
      <c r="D313" s="56" t="s">
        <v>636</v>
      </c>
      <c r="E313" s="56" t="s">
        <v>632</v>
      </c>
      <c r="F313" s="57" t="s">
        <v>34</v>
      </c>
      <c r="G313" s="61"/>
      <c r="H313" s="61" t="s">
        <v>197</v>
      </c>
      <c r="I313" s="62"/>
      <c r="J313" s="53"/>
    </row>
    <row r="314" ht="24.75" hidden="1" customHeight="1">
      <c r="A314" s="54" t="s">
        <v>289</v>
      </c>
      <c r="B314" s="56" t="s">
        <v>635</v>
      </c>
      <c r="C314" s="56" t="s">
        <v>627</v>
      </c>
      <c r="D314" s="56" t="s">
        <v>636</v>
      </c>
      <c r="E314" s="56" t="s">
        <v>633</v>
      </c>
      <c r="F314" s="57" t="s">
        <v>154</v>
      </c>
      <c r="G314" s="61"/>
      <c r="H314" s="79"/>
      <c r="I314" s="62"/>
      <c r="J314" s="53"/>
    </row>
    <row r="315" ht="24.75" hidden="1" customHeight="1">
      <c r="A315" s="54" t="s">
        <v>289</v>
      </c>
      <c r="B315" s="56" t="s">
        <v>635</v>
      </c>
      <c r="C315" s="56" t="s">
        <v>627</v>
      </c>
      <c r="D315" s="56" t="s">
        <v>636</v>
      </c>
      <c r="E315" s="56" t="s">
        <v>196</v>
      </c>
      <c r="F315" s="57" t="s">
        <v>154</v>
      </c>
      <c r="G315" s="61"/>
      <c r="H315" s="61" t="s">
        <v>200</v>
      </c>
      <c r="I315" s="62" t="s">
        <v>201</v>
      </c>
      <c r="J315" s="53"/>
    </row>
    <row r="316" ht="24.75" hidden="1" customHeight="1">
      <c r="A316" s="54" t="s">
        <v>289</v>
      </c>
      <c r="B316" s="56" t="s">
        <v>639</v>
      </c>
      <c r="C316" s="56" t="s">
        <v>640</v>
      </c>
      <c r="D316" s="56" t="s">
        <v>611</v>
      </c>
      <c r="E316" s="56" t="s">
        <v>612</v>
      </c>
      <c r="F316" s="57" t="s">
        <v>34</v>
      </c>
      <c r="G316" s="61"/>
      <c r="H316" s="79"/>
      <c r="I316" s="62"/>
      <c r="J316" s="53"/>
    </row>
    <row r="317" ht="24.75" hidden="1" customHeight="1">
      <c r="A317" s="54" t="s">
        <v>289</v>
      </c>
      <c r="B317" s="56" t="s">
        <v>639</v>
      </c>
      <c r="C317" s="56" t="s">
        <v>640</v>
      </c>
      <c r="D317" s="56" t="s">
        <v>611</v>
      </c>
      <c r="E317" s="56" t="s">
        <v>613</v>
      </c>
      <c r="F317" s="57" t="s">
        <v>34</v>
      </c>
      <c r="G317" s="61"/>
      <c r="H317" s="79"/>
      <c r="I317" s="62"/>
      <c r="J317" s="53"/>
    </row>
    <row r="318" ht="24.75" hidden="1" customHeight="1">
      <c r="A318" s="54" t="s">
        <v>289</v>
      </c>
      <c r="B318" s="56" t="s">
        <v>639</v>
      </c>
      <c r="C318" s="56" t="s">
        <v>640</v>
      </c>
      <c r="D318" s="56" t="s">
        <v>611</v>
      </c>
      <c r="E318" s="56" t="s">
        <v>614</v>
      </c>
      <c r="F318" s="57" t="s">
        <v>34</v>
      </c>
      <c r="G318" s="61"/>
      <c r="H318" s="79"/>
      <c r="I318" s="62" t="s">
        <v>615</v>
      </c>
      <c r="J318" s="53"/>
    </row>
    <row r="319" ht="24.75" hidden="1" customHeight="1">
      <c r="A319" s="54" t="s">
        <v>289</v>
      </c>
      <c r="B319" s="56" t="s">
        <v>639</v>
      </c>
      <c r="C319" s="56" t="s">
        <v>640</v>
      </c>
      <c r="D319" s="56" t="s">
        <v>611</v>
      </c>
      <c r="E319" s="56" t="s">
        <v>616</v>
      </c>
      <c r="F319" s="57" t="s">
        <v>154</v>
      </c>
      <c r="G319" s="61"/>
      <c r="H319" s="79"/>
      <c r="I319" s="62" t="s">
        <v>617</v>
      </c>
      <c r="J319" s="53"/>
    </row>
    <row r="320" ht="24.75" hidden="1" customHeight="1">
      <c r="A320" s="54" t="s">
        <v>289</v>
      </c>
      <c r="B320" s="56" t="s">
        <v>639</v>
      </c>
      <c r="C320" s="56" t="s">
        <v>640</v>
      </c>
      <c r="D320" s="56" t="s">
        <v>611</v>
      </c>
      <c r="E320" s="56" t="s">
        <v>618</v>
      </c>
      <c r="F320" s="57" t="s">
        <v>154</v>
      </c>
      <c r="G320" s="61"/>
      <c r="H320" s="79"/>
      <c r="I320" s="62" t="s">
        <v>617</v>
      </c>
      <c r="J320" s="53"/>
    </row>
    <row r="321" ht="24.75" hidden="1" customHeight="1">
      <c r="A321" s="54" t="s">
        <v>289</v>
      </c>
      <c r="B321" s="56" t="s">
        <v>641</v>
      </c>
      <c r="C321" s="56" t="s">
        <v>640</v>
      </c>
      <c r="D321" s="56" t="s">
        <v>620</v>
      </c>
      <c r="E321" s="56" t="s">
        <v>196</v>
      </c>
      <c r="F321" s="57" t="s">
        <v>192</v>
      </c>
      <c r="G321" s="61"/>
      <c r="H321" s="61" t="s">
        <v>287</v>
      </c>
      <c r="I321" s="62" t="s">
        <v>288</v>
      </c>
      <c r="J321" s="53"/>
    </row>
    <row r="322" ht="24.75" hidden="1" customHeight="1">
      <c r="A322" s="54" t="s">
        <v>289</v>
      </c>
      <c r="B322" s="56" t="s">
        <v>641</v>
      </c>
      <c r="C322" s="56" t="s">
        <v>640</v>
      </c>
      <c r="D322" s="56" t="s">
        <v>620</v>
      </c>
      <c r="E322" s="56" t="s">
        <v>621</v>
      </c>
      <c r="F322" s="57" t="s">
        <v>192</v>
      </c>
      <c r="G322" s="61"/>
      <c r="H322" s="79"/>
      <c r="I322" s="62"/>
      <c r="J322" s="53"/>
    </row>
    <row r="323" ht="24.75" hidden="1" customHeight="1">
      <c r="A323" s="54" t="s">
        <v>289</v>
      </c>
      <c r="B323" s="56" t="s">
        <v>641</v>
      </c>
      <c r="C323" s="56" t="s">
        <v>640</v>
      </c>
      <c r="D323" s="56" t="s">
        <v>620</v>
      </c>
      <c r="E323" s="56" t="s">
        <v>622</v>
      </c>
      <c r="F323" s="57" t="s">
        <v>154</v>
      </c>
      <c r="G323" s="61"/>
      <c r="H323" s="79"/>
      <c r="I323" s="62" t="s">
        <v>617</v>
      </c>
      <c r="J323" s="53"/>
    </row>
    <row r="324" ht="24.75" hidden="1" customHeight="1">
      <c r="A324" s="54" t="s">
        <v>289</v>
      </c>
      <c r="B324" s="56" t="s">
        <v>642</v>
      </c>
      <c r="C324" s="56" t="s">
        <v>640</v>
      </c>
      <c r="D324" s="56" t="s">
        <v>631</v>
      </c>
      <c r="E324" s="56" t="s">
        <v>191</v>
      </c>
      <c r="F324" s="57" t="s">
        <v>192</v>
      </c>
      <c r="G324" s="61"/>
      <c r="H324" s="79"/>
      <c r="I324" s="62"/>
      <c r="J324" s="53"/>
    </row>
    <row r="325" ht="24.75" hidden="1" customHeight="1">
      <c r="A325" s="54" t="s">
        <v>289</v>
      </c>
      <c r="B325" s="56" t="s">
        <v>642</v>
      </c>
      <c r="C325" s="56" t="s">
        <v>640</v>
      </c>
      <c r="D325" s="56" t="s">
        <v>631</v>
      </c>
      <c r="E325" s="56" t="s">
        <v>632</v>
      </c>
      <c r="F325" s="57" t="s">
        <v>34</v>
      </c>
      <c r="G325" s="61"/>
      <c r="H325" s="61" t="s">
        <v>197</v>
      </c>
      <c r="I325" s="62"/>
      <c r="J325" s="53"/>
    </row>
    <row r="326" ht="24.75" hidden="1" customHeight="1">
      <c r="A326" s="54" t="s">
        <v>289</v>
      </c>
      <c r="B326" s="56" t="s">
        <v>642</v>
      </c>
      <c r="C326" s="56" t="s">
        <v>640</v>
      </c>
      <c r="D326" s="56" t="s">
        <v>631</v>
      </c>
      <c r="E326" s="56" t="s">
        <v>633</v>
      </c>
      <c r="F326" s="57" t="s">
        <v>154</v>
      </c>
      <c r="G326" s="61"/>
      <c r="H326" s="79"/>
      <c r="I326" s="62"/>
      <c r="J326" s="53"/>
    </row>
    <row r="327" ht="24.75" hidden="1" customHeight="1">
      <c r="A327" s="54" t="s">
        <v>289</v>
      </c>
      <c r="B327" s="56" t="s">
        <v>642</v>
      </c>
      <c r="C327" s="56" t="s">
        <v>640</v>
      </c>
      <c r="D327" s="56" t="s">
        <v>631</v>
      </c>
      <c r="E327" s="56" t="s">
        <v>196</v>
      </c>
      <c r="F327" s="57" t="s">
        <v>154</v>
      </c>
      <c r="G327" s="61"/>
      <c r="H327" s="61" t="s">
        <v>200</v>
      </c>
      <c r="I327" s="62" t="s">
        <v>201</v>
      </c>
      <c r="J327" s="53"/>
    </row>
    <row r="328" ht="24.75" hidden="1" customHeight="1">
      <c r="A328" s="54" t="s">
        <v>289</v>
      </c>
      <c r="B328" s="56" t="s">
        <v>643</v>
      </c>
      <c r="C328" s="56" t="s">
        <v>640</v>
      </c>
      <c r="D328" s="56" t="s">
        <v>636</v>
      </c>
      <c r="E328" s="56" t="s">
        <v>191</v>
      </c>
      <c r="F328" s="57" t="s">
        <v>192</v>
      </c>
      <c r="G328" s="61"/>
      <c r="H328" s="79"/>
      <c r="I328" s="62"/>
      <c r="J328" s="53"/>
    </row>
    <row r="329" ht="24.75" hidden="1" customHeight="1">
      <c r="A329" s="54" t="s">
        <v>289</v>
      </c>
      <c r="B329" s="56" t="s">
        <v>643</v>
      </c>
      <c r="C329" s="56" t="s">
        <v>640</v>
      </c>
      <c r="D329" s="56" t="s">
        <v>636</v>
      </c>
      <c r="E329" s="56" t="s">
        <v>632</v>
      </c>
      <c r="F329" s="57" t="s">
        <v>34</v>
      </c>
      <c r="G329" s="61"/>
      <c r="H329" s="61" t="s">
        <v>197</v>
      </c>
      <c r="I329" s="62"/>
      <c r="J329" s="53"/>
    </row>
    <row r="330" ht="24.75" hidden="1" customHeight="1">
      <c r="A330" s="54" t="s">
        <v>289</v>
      </c>
      <c r="B330" s="56" t="s">
        <v>643</v>
      </c>
      <c r="C330" s="56" t="s">
        <v>640</v>
      </c>
      <c r="D330" s="56" t="s">
        <v>636</v>
      </c>
      <c r="E330" s="56" t="s">
        <v>633</v>
      </c>
      <c r="F330" s="57" t="s">
        <v>154</v>
      </c>
      <c r="G330" s="61"/>
      <c r="H330" s="79"/>
      <c r="I330" s="62"/>
      <c r="J330" s="53"/>
    </row>
    <row r="331" ht="24.75" hidden="1" customHeight="1">
      <c r="A331" s="54" t="s">
        <v>289</v>
      </c>
      <c r="B331" s="56" t="s">
        <v>643</v>
      </c>
      <c r="C331" s="56" t="s">
        <v>640</v>
      </c>
      <c r="D331" s="56" t="s">
        <v>636</v>
      </c>
      <c r="E331" s="56" t="s">
        <v>196</v>
      </c>
      <c r="F331" s="57" t="s">
        <v>154</v>
      </c>
      <c r="G331" s="61"/>
      <c r="H331" s="61" t="s">
        <v>200</v>
      </c>
      <c r="I331" s="62" t="s">
        <v>201</v>
      </c>
      <c r="J331" s="53"/>
    </row>
    <row r="332" ht="24.75" hidden="1" customHeight="1">
      <c r="A332" s="54" t="s">
        <v>289</v>
      </c>
      <c r="B332" s="56" t="s">
        <v>644</v>
      </c>
      <c r="C332" s="56" t="s">
        <v>645</v>
      </c>
      <c r="D332" s="56" t="s">
        <v>611</v>
      </c>
      <c r="E332" s="56" t="s">
        <v>612</v>
      </c>
      <c r="F332" s="57" t="s">
        <v>34</v>
      </c>
      <c r="G332" s="61"/>
      <c r="H332" s="79"/>
      <c r="I332" s="62"/>
      <c r="J332" s="53"/>
    </row>
    <row r="333" ht="24.75" hidden="1" customHeight="1">
      <c r="A333" s="54" t="s">
        <v>289</v>
      </c>
      <c r="B333" s="56" t="s">
        <v>644</v>
      </c>
      <c r="C333" s="56" t="s">
        <v>645</v>
      </c>
      <c r="D333" s="56" t="s">
        <v>611</v>
      </c>
      <c r="E333" s="56" t="s">
        <v>613</v>
      </c>
      <c r="F333" s="57" t="s">
        <v>34</v>
      </c>
      <c r="G333" s="61"/>
      <c r="H333" s="79"/>
      <c r="I333" s="62"/>
      <c r="J333" s="53"/>
    </row>
    <row r="334" ht="24.75" hidden="1" customHeight="1">
      <c r="A334" s="54" t="s">
        <v>289</v>
      </c>
      <c r="B334" s="56" t="s">
        <v>644</v>
      </c>
      <c r="C334" s="56" t="s">
        <v>645</v>
      </c>
      <c r="D334" s="56" t="s">
        <v>611</v>
      </c>
      <c r="E334" s="56" t="s">
        <v>614</v>
      </c>
      <c r="F334" s="57" t="s">
        <v>34</v>
      </c>
      <c r="G334" s="61"/>
      <c r="H334" s="79"/>
      <c r="I334" s="62" t="s">
        <v>615</v>
      </c>
      <c r="J334" s="53"/>
    </row>
    <row r="335" ht="24.75" hidden="1" customHeight="1">
      <c r="A335" s="54" t="s">
        <v>289</v>
      </c>
      <c r="B335" s="56" t="s">
        <v>644</v>
      </c>
      <c r="C335" s="56" t="s">
        <v>645</v>
      </c>
      <c r="D335" s="56" t="s">
        <v>611</v>
      </c>
      <c r="E335" s="56" t="s">
        <v>616</v>
      </c>
      <c r="F335" s="57" t="s">
        <v>154</v>
      </c>
      <c r="G335" s="61"/>
      <c r="H335" s="79"/>
      <c r="I335" s="62" t="s">
        <v>617</v>
      </c>
      <c r="J335" s="53"/>
    </row>
    <row r="336" ht="24.75" hidden="1" customHeight="1">
      <c r="A336" s="54" t="s">
        <v>289</v>
      </c>
      <c r="B336" s="56" t="s">
        <v>644</v>
      </c>
      <c r="C336" s="56" t="s">
        <v>645</v>
      </c>
      <c r="D336" s="56" t="s">
        <v>611</v>
      </c>
      <c r="E336" s="56" t="s">
        <v>618</v>
      </c>
      <c r="F336" s="57" t="s">
        <v>154</v>
      </c>
      <c r="G336" s="61"/>
      <c r="H336" s="79"/>
      <c r="I336" s="62" t="s">
        <v>617</v>
      </c>
      <c r="J336" s="53"/>
    </row>
    <row r="337" ht="24.75" hidden="1" customHeight="1">
      <c r="A337" s="54" t="s">
        <v>289</v>
      </c>
      <c r="B337" s="56" t="s">
        <v>646</v>
      </c>
      <c r="C337" s="56" t="s">
        <v>645</v>
      </c>
      <c r="D337" s="56" t="s">
        <v>620</v>
      </c>
      <c r="E337" s="56" t="s">
        <v>196</v>
      </c>
      <c r="F337" s="57" t="s">
        <v>192</v>
      </c>
      <c r="G337" s="61"/>
      <c r="H337" s="61" t="s">
        <v>287</v>
      </c>
      <c r="I337" s="62" t="s">
        <v>288</v>
      </c>
      <c r="J337" s="53"/>
    </row>
    <row r="338" ht="24.75" hidden="1" customHeight="1">
      <c r="A338" s="54" t="s">
        <v>289</v>
      </c>
      <c r="B338" s="56" t="s">
        <v>646</v>
      </c>
      <c r="C338" s="56" t="s">
        <v>645</v>
      </c>
      <c r="D338" s="56" t="s">
        <v>620</v>
      </c>
      <c r="E338" s="56" t="s">
        <v>621</v>
      </c>
      <c r="F338" s="57" t="s">
        <v>192</v>
      </c>
      <c r="G338" s="61"/>
      <c r="H338" s="79"/>
      <c r="I338" s="62"/>
      <c r="J338" s="53"/>
    </row>
    <row r="339" ht="24.75" hidden="1" customHeight="1">
      <c r="A339" s="54" t="s">
        <v>289</v>
      </c>
      <c r="B339" s="56" t="s">
        <v>646</v>
      </c>
      <c r="C339" s="56" t="s">
        <v>645</v>
      </c>
      <c r="D339" s="56" t="s">
        <v>620</v>
      </c>
      <c r="E339" s="56" t="s">
        <v>622</v>
      </c>
      <c r="F339" s="57" t="s">
        <v>154</v>
      </c>
      <c r="G339" s="61"/>
      <c r="H339" s="79"/>
      <c r="I339" s="62" t="s">
        <v>617</v>
      </c>
      <c r="J339" s="53"/>
    </row>
    <row r="340" ht="24.75" hidden="1" customHeight="1">
      <c r="A340" s="54" t="s">
        <v>289</v>
      </c>
      <c r="B340" s="56" t="s">
        <v>647</v>
      </c>
      <c r="C340" s="56" t="s">
        <v>645</v>
      </c>
      <c r="D340" s="56" t="s">
        <v>631</v>
      </c>
      <c r="E340" s="56" t="s">
        <v>191</v>
      </c>
      <c r="F340" s="57" t="s">
        <v>192</v>
      </c>
      <c r="G340" s="61"/>
      <c r="H340" s="79"/>
      <c r="I340" s="62"/>
      <c r="J340" s="53"/>
    </row>
    <row r="341" ht="24.75" hidden="1" customHeight="1">
      <c r="A341" s="54" t="s">
        <v>289</v>
      </c>
      <c r="B341" s="56" t="s">
        <v>647</v>
      </c>
      <c r="C341" s="56" t="s">
        <v>645</v>
      </c>
      <c r="D341" s="56" t="s">
        <v>631</v>
      </c>
      <c r="E341" s="56" t="s">
        <v>632</v>
      </c>
      <c r="F341" s="57" t="s">
        <v>34</v>
      </c>
      <c r="G341" s="61"/>
      <c r="H341" s="61" t="s">
        <v>197</v>
      </c>
      <c r="I341" s="62"/>
      <c r="J341" s="53"/>
    </row>
    <row r="342" ht="24.75" hidden="1" customHeight="1">
      <c r="A342" s="54" t="s">
        <v>289</v>
      </c>
      <c r="B342" s="56" t="s">
        <v>647</v>
      </c>
      <c r="C342" s="56" t="s">
        <v>645</v>
      </c>
      <c r="D342" s="56" t="s">
        <v>631</v>
      </c>
      <c r="E342" s="56" t="s">
        <v>633</v>
      </c>
      <c r="F342" s="57" t="s">
        <v>154</v>
      </c>
      <c r="G342" s="50"/>
      <c r="H342" s="79"/>
      <c r="I342" s="62"/>
      <c r="J342" s="53"/>
    </row>
    <row r="343" ht="24.75" hidden="1" customHeight="1">
      <c r="A343" s="54" t="s">
        <v>289</v>
      </c>
      <c r="B343" s="56" t="s">
        <v>647</v>
      </c>
      <c r="C343" s="56" t="s">
        <v>645</v>
      </c>
      <c r="D343" s="56" t="s">
        <v>631</v>
      </c>
      <c r="E343" s="56" t="s">
        <v>196</v>
      </c>
      <c r="F343" s="57" t="s">
        <v>154</v>
      </c>
      <c r="G343" s="61"/>
      <c r="H343" s="61" t="s">
        <v>200</v>
      </c>
      <c r="I343" s="62" t="s">
        <v>201</v>
      </c>
      <c r="J343" s="53"/>
    </row>
    <row r="344" ht="24.75" hidden="1" customHeight="1">
      <c r="A344" s="54" t="s">
        <v>289</v>
      </c>
      <c r="B344" s="56" t="s">
        <v>648</v>
      </c>
      <c r="C344" s="56" t="s">
        <v>645</v>
      </c>
      <c r="D344" s="56" t="s">
        <v>636</v>
      </c>
      <c r="E344" s="56" t="s">
        <v>191</v>
      </c>
      <c r="F344" s="57" t="s">
        <v>192</v>
      </c>
      <c r="G344" s="61"/>
      <c r="H344" s="79"/>
      <c r="I344" s="62"/>
      <c r="J344" s="53"/>
    </row>
    <row r="345" ht="24.75" hidden="1" customHeight="1">
      <c r="A345" s="54" t="s">
        <v>289</v>
      </c>
      <c r="B345" s="56" t="s">
        <v>648</v>
      </c>
      <c r="C345" s="56" t="s">
        <v>645</v>
      </c>
      <c r="D345" s="56" t="s">
        <v>636</v>
      </c>
      <c r="E345" s="56" t="s">
        <v>632</v>
      </c>
      <c r="F345" s="57" t="s">
        <v>34</v>
      </c>
      <c r="G345" s="61"/>
      <c r="H345" s="61" t="s">
        <v>197</v>
      </c>
      <c r="I345" s="62"/>
      <c r="J345" s="53"/>
    </row>
    <row r="346" ht="24.75" hidden="1" customHeight="1">
      <c r="A346" s="54" t="s">
        <v>289</v>
      </c>
      <c r="B346" s="56" t="s">
        <v>648</v>
      </c>
      <c r="C346" s="56" t="s">
        <v>645</v>
      </c>
      <c r="D346" s="56" t="s">
        <v>636</v>
      </c>
      <c r="E346" s="56" t="s">
        <v>633</v>
      </c>
      <c r="F346" s="57" t="s">
        <v>154</v>
      </c>
      <c r="G346" s="61"/>
      <c r="H346" s="79"/>
      <c r="I346" s="62"/>
      <c r="J346" s="53"/>
    </row>
    <row r="347" ht="24.75" hidden="1" customHeight="1">
      <c r="A347" s="54" t="s">
        <v>289</v>
      </c>
      <c r="B347" s="56" t="s">
        <v>648</v>
      </c>
      <c r="C347" s="56" t="s">
        <v>645</v>
      </c>
      <c r="D347" s="56" t="s">
        <v>636</v>
      </c>
      <c r="E347" s="56" t="s">
        <v>196</v>
      </c>
      <c r="F347" s="57" t="s">
        <v>154</v>
      </c>
      <c r="G347" s="61"/>
      <c r="H347" s="61" t="s">
        <v>200</v>
      </c>
      <c r="I347" s="62" t="s">
        <v>201</v>
      </c>
      <c r="J347" s="53"/>
    </row>
    <row r="348" ht="24.75" hidden="1" customHeight="1">
      <c r="A348" s="54" t="s">
        <v>289</v>
      </c>
      <c r="B348" s="56" t="s">
        <v>649</v>
      </c>
      <c r="C348" s="56" t="s">
        <v>606</v>
      </c>
      <c r="D348" s="56" t="s">
        <v>611</v>
      </c>
      <c r="E348" s="56" t="s">
        <v>612</v>
      </c>
      <c r="F348" s="57" t="s">
        <v>34</v>
      </c>
      <c r="G348" s="61"/>
      <c r="H348" s="79"/>
      <c r="I348" s="62"/>
      <c r="J348" s="53"/>
    </row>
    <row r="349" ht="24.75" hidden="1" customHeight="1">
      <c r="A349" s="54" t="s">
        <v>289</v>
      </c>
      <c r="B349" s="56" t="s">
        <v>649</v>
      </c>
      <c r="C349" s="56" t="s">
        <v>606</v>
      </c>
      <c r="D349" s="56" t="s">
        <v>611</v>
      </c>
      <c r="E349" s="56" t="s">
        <v>613</v>
      </c>
      <c r="F349" s="57" t="s">
        <v>34</v>
      </c>
      <c r="G349" s="61"/>
      <c r="H349" s="79"/>
      <c r="I349" s="62"/>
      <c r="J349" s="53"/>
    </row>
    <row r="350" ht="24.75" hidden="1" customHeight="1">
      <c r="A350" s="54" t="s">
        <v>289</v>
      </c>
      <c r="B350" s="56" t="s">
        <v>649</v>
      </c>
      <c r="C350" s="56" t="s">
        <v>606</v>
      </c>
      <c r="D350" s="56" t="s">
        <v>611</v>
      </c>
      <c r="E350" s="56" t="s">
        <v>614</v>
      </c>
      <c r="F350" s="57" t="s">
        <v>34</v>
      </c>
      <c r="G350" s="61"/>
      <c r="H350" s="79"/>
      <c r="I350" s="62" t="s">
        <v>615</v>
      </c>
      <c r="J350" s="53"/>
    </row>
    <row r="351" ht="24.75" hidden="1" customHeight="1">
      <c r="A351" s="54" t="s">
        <v>289</v>
      </c>
      <c r="B351" s="56" t="s">
        <v>649</v>
      </c>
      <c r="C351" s="56" t="s">
        <v>606</v>
      </c>
      <c r="D351" s="56" t="s">
        <v>611</v>
      </c>
      <c r="E351" s="56" t="s">
        <v>616</v>
      </c>
      <c r="F351" s="57" t="s">
        <v>154</v>
      </c>
      <c r="G351" s="61"/>
      <c r="H351" s="79"/>
      <c r="I351" s="62" t="s">
        <v>617</v>
      </c>
      <c r="J351" s="53"/>
    </row>
    <row r="352" ht="24.75" hidden="1" customHeight="1">
      <c r="A352" s="54" t="s">
        <v>289</v>
      </c>
      <c r="B352" s="56" t="s">
        <v>649</v>
      </c>
      <c r="C352" s="56" t="s">
        <v>606</v>
      </c>
      <c r="D352" s="56" t="s">
        <v>611</v>
      </c>
      <c r="E352" s="56" t="s">
        <v>618</v>
      </c>
      <c r="F352" s="57" t="s">
        <v>154</v>
      </c>
      <c r="G352" s="61"/>
      <c r="H352" s="79"/>
      <c r="I352" s="62" t="s">
        <v>617</v>
      </c>
      <c r="J352" s="53"/>
    </row>
    <row r="353" ht="24.75" hidden="1" customHeight="1">
      <c r="A353" s="54" t="s">
        <v>289</v>
      </c>
      <c r="B353" s="56" t="s">
        <v>650</v>
      </c>
      <c r="C353" s="56" t="s">
        <v>606</v>
      </c>
      <c r="D353" s="56" t="s">
        <v>651</v>
      </c>
      <c r="E353" s="56" t="s">
        <v>196</v>
      </c>
      <c r="F353" s="57" t="s">
        <v>192</v>
      </c>
      <c r="G353" s="61"/>
      <c r="H353" s="61" t="s">
        <v>287</v>
      </c>
      <c r="I353" s="62" t="s">
        <v>288</v>
      </c>
      <c r="J353" s="53"/>
    </row>
    <row r="354" ht="24.75" hidden="1" customHeight="1">
      <c r="A354" s="54" t="s">
        <v>289</v>
      </c>
      <c r="B354" s="56" t="s">
        <v>650</v>
      </c>
      <c r="C354" s="56" t="s">
        <v>606</v>
      </c>
      <c r="D354" s="56" t="s">
        <v>651</v>
      </c>
      <c r="E354" s="56" t="s">
        <v>621</v>
      </c>
      <c r="F354" s="57" t="s">
        <v>192</v>
      </c>
      <c r="G354" s="61"/>
      <c r="H354" s="79"/>
      <c r="I354" s="62"/>
      <c r="J354" s="53"/>
    </row>
    <row r="355" ht="24.75" hidden="1" customHeight="1">
      <c r="A355" s="54" t="s">
        <v>289</v>
      </c>
      <c r="B355" s="56" t="s">
        <v>650</v>
      </c>
      <c r="C355" s="56" t="s">
        <v>606</v>
      </c>
      <c r="D355" s="56" t="s">
        <v>651</v>
      </c>
      <c r="E355" s="56" t="s">
        <v>622</v>
      </c>
      <c r="F355" s="57" t="s">
        <v>154</v>
      </c>
      <c r="G355" s="61"/>
      <c r="H355" s="79"/>
      <c r="I355" s="62" t="s">
        <v>617</v>
      </c>
      <c r="J355" s="53"/>
    </row>
    <row r="356" ht="24.75" hidden="1" customHeight="1">
      <c r="A356" s="54" t="s">
        <v>289</v>
      </c>
      <c r="B356" s="56" t="s">
        <v>654</v>
      </c>
      <c r="C356" s="56" t="s">
        <v>606</v>
      </c>
      <c r="D356" s="56" t="s">
        <v>655</v>
      </c>
      <c r="E356" s="56" t="s">
        <v>191</v>
      </c>
      <c r="F356" s="57" t="s">
        <v>192</v>
      </c>
      <c r="G356" s="61"/>
      <c r="H356" s="79"/>
      <c r="I356" s="62"/>
      <c r="J356" s="53"/>
    </row>
    <row r="357" ht="24.75" hidden="1" customHeight="1">
      <c r="A357" s="54" t="s">
        <v>289</v>
      </c>
      <c r="B357" s="56" t="s">
        <v>654</v>
      </c>
      <c r="C357" s="56" t="s">
        <v>606</v>
      </c>
      <c r="D357" s="56" t="s">
        <v>655</v>
      </c>
      <c r="E357" s="56" t="s">
        <v>632</v>
      </c>
      <c r="F357" s="57" t="s">
        <v>34</v>
      </c>
      <c r="G357" s="61"/>
      <c r="H357" s="61" t="s">
        <v>197</v>
      </c>
      <c r="I357" s="62"/>
      <c r="J357" s="53"/>
    </row>
    <row r="358" ht="24.75" hidden="1" customHeight="1">
      <c r="A358" s="54" t="s">
        <v>289</v>
      </c>
      <c r="B358" s="56" t="s">
        <v>654</v>
      </c>
      <c r="C358" s="56" t="s">
        <v>606</v>
      </c>
      <c r="D358" s="56" t="s">
        <v>655</v>
      </c>
      <c r="E358" s="56" t="s">
        <v>633</v>
      </c>
      <c r="F358" s="57" t="s">
        <v>154</v>
      </c>
      <c r="G358" s="61"/>
      <c r="H358" s="79"/>
      <c r="I358" s="62"/>
      <c r="J358" s="53"/>
    </row>
    <row r="359" ht="24.75" hidden="1" customHeight="1">
      <c r="A359" s="54" t="s">
        <v>289</v>
      </c>
      <c r="B359" s="56" t="s">
        <v>654</v>
      </c>
      <c r="C359" s="56" t="s">
        <v>606</v>
      </c>
      <c r="D359" s="56" t="s">
        <v>655</v>
      </c>
      <c r="E359" s="56" t="s">
        <v>196</v>
      </c>
      <c r="F359" s="57" t="s">
        <v>154</v>
      </c>
      <c r="G359" s="61"/>
      <c r="H359" s="61" t="s">
        <v>200</v>
      </c>
      <c r="I359" s="62" t="s">
        <v>201</v>
      </c>
      <c r="J359" s="53"/>
    </row>
    <row r="360" ht="24.75" hidden="1" customHeight="1">
      <c r="A360" s="54" t="s">
        <v>289</v>
      </c>
      <c r="B360" s="56" t="s">
        <v>656</v>
      </c>
      <c r="C360" s="56" t="s">
        <v>606</v>
      </c>
      <c r="D360" s="56" t="s">
        <v>657</v>
      </c>
      <c r="E360" s="56" t="s">
        <v>191</v>
      </c>
      <c r="F360" s="57" t="s">
        <v>192</v>
      </c>
      <c r="G360" s="61"/>
      <c r="H360" s="79"/>
      <c r="I360" s="62"/>
      <c r="J360" s="53"/>
    </row>
    <row r="361" ht="24.75" hidden="1" customHeight="1">
      <c r="A361" s="54" t="s">
        <v>289</v>
      </c>
      <c r="B361" s="56" t="s">
        <v>656</v>
      </c>
      <c r="C361" s="56" t="s">
        <v>606</v>
      </c>
      <c r="D361" s="56" t="s">
        <v>657</v>
      </c>
      <c r="E361" s="56" t="s">
        <v>632</v>
      </c>
      <c r="F361" s="57" t="s">
        <v>34</v>
      </c>
      <c r="G361" s="61"/>
      <c r="H361" s="61" t="s">
        <v>197</v>
      </c>
      <c r="I361" s="62"/>
      <c r="J361" s="53"/>
    </row>
    <row r="362" ht="24.75" hidden="1" customHeight="1">
      <c r="A362" s="54" t="s">
        <v>289</v>
      </c>
      <c r="B362" s="56" t="s">
        <v>656</v>
      </c>
      <c r="C362" s="56" t="s">
        <v>606</v>
      </c>
      <c r="D362" s="56" t="s">
        <v>657</v>
      </c>
      <c r="E362" s="56" t="s">
        <v>633</v>
      </c>
      <c r="F362" s="57" t="s">
        <v>154</v>
      </c>
      <c r="G362" s="61"/>
      <c r="H362" s="79"/>
      <c r="I362" s="62"/>
      <c r="J362" s="53"/>
    </row>
    <row r="363" ht="24.75" hidden="1" customHeight="1">
      <c r="A363" s="54" t="s">
        <v>289</v>
      </c>
      <c r="B363" s="56" t="s">
        <v>656</v>
      </c>
      <c r="C363" s="56" t="s">
        <v>606</v>
      </c>
      <c r="D363" s="56" t="s">
        <v>657</v>
      </c>
      <c r="E363" s="56" t="s">
        <v>196</v>
      </c>
      <c r="F363" s="57" t="s">
        <v>154</v>
      </c>
      <c r="G363" s="61"/>
      <c r="H363" s="61" t="s">
        <v>200</v>
      </c>
      <c r="I363" s="62" t="s">
        <v>201</v>
      </c>
      <c r="J363" s="53"/>
    </row>
    <row r="364" ht="24.75" hidden="1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661</v>
      </c>
      <c r="F364" s="57" t="s">
        <v>34</v>
      </c>
      <c r="G364" s="61"/>
      <c r="H364" s="79"/>
      <c r="I364" s="62"/>
      <c r="J364" s="53"/>
    </row>
    <row r="365" ht="24.75" hidden="1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662</v>
      </c>
      <c r="F365" s="57" t="s">
        <v>34</v>
      </c>
      <c r="G365" s="61"/>
      <c r="H365" s="79"/>
      <c r="I365" s="62"/>
      <c r="J365" s="53"/>
    </row>
    <row r="366" ht="24.75" hidden="1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663</v>
      </c>
      <c r="F366" s="57" t="s">
        <v>34</v>
      </c>
      <c r="G366" s="61"/>
      <c r="H366" s="79"/>
      <c r="I366" s="62"/>
      <c r="J366" s="53"/>
    </row>
    <row r="367" ht="24.75" hidden="1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664</v>
      </c>
      <c r="F367" s="57" t="s">
        <v>34</v>
      </c>
      <c r="G367" s="61"/>
      <c r="H367" s="79"/>
      <c r="I367" s="62"/>
      <c r="J367" s="53"/>
    </row>
    <row r="368" ht="24.75" hidden="1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665</v>
      </c>
      <c r="F368" s="57" t="s">
        <v>34</v>
      </c>
      <c r="G368" s="61"/>
      <c r="H368" s="79"/>
      <c r="I368" s="62"/>
      <c r="J368" s="53"/>
    </row>
    <row r="369" ht="24.75" hidden="1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614</v>
      </c>
      <c r="F369" s="57" t="s">
        <v>34</v>
      </c>
      <c r="G369" s="61"/>
      <c r="H369" s="79"/>
      <c r="I369" s="62"/>
      <c r="J369" s="53"/>
    </row>
    <row r="370" ht="24.75" hidden="1" customHeight="1">
      <c r="A370" s="54" t="s">
        <v>658</v>
      </c>
      <c r="B370" s="56" t="s">
        <v>659</v>
      </c>
      <c r="C370" s="56" t="s">
        <v>610</v>
      </c>
      <c r="D370" s="56" t="s">
        <v>660</v>
      </c>
      <c r="E370" s="56" t="s">
        <v>666</v>
      </c>
      <c r="F370" s="57" t="s">
        <v>34</v>
      </c>
      <c r="G370" s="61"/>
      <c r="H370" s="79"/>
      <c r="I370" s="62"/>
      <c r="J370" s="53"/>
    </row>
    <row r="371" ht="24.75" hidden="1" customHeight="1">
      <c r="A371" s="54" t="s">
        <v>658</v>
      </c>
      <c r="B371" s="56" t="s">
        <v>659</v>
      </c>
      <c r="C371" s="56" t="s">
        <v>610</v>
      </c>
      <c r="D371" s="56" t="s">
        <v>660</v>
      </c>
      <c r="E371" s="56" t="s">
        <v>667</v>
      </c>
      <c r="F371" s="57" t="s">
        <v>34</v>
      </c>
      <c r="G371" s="61"/>
      <c r="H371" s="79"/>
      <c r="I371" s="62"/>
      <c r="J371" s="53"/>
    </row>
    <row r="372" ht="24.75" hidden="1" customHeight="1">
      <c r="A372" s="54" t="s">
        <v>658</v>
      </c>
      <c r="B372" s="56" t="s">
        <v>659</v>
      </c>
      <c r="C372" s="56" t="s">
        <v>610</v>
      </c>
      <c r="D372" s="56" t="s">
        <v>660</v>
      </c>
      <c r="E372" s="56" t="s">
        <v>668</v>
      </c>
      <c r="F372" s="57" t="s">
        <v>154</v>
      </c>
      <c r="G372" s="61"/>
      <c r="H372" s="79"/>
      <c r="I372" s="62" t="s">
        <v>617</v>
      </c>
      <c r="J372" s="53"/>
    </row>
    <row r="373" ht="24.75" hidden="1" customHeight="1">
      <c r="A373" s="54" t="s">
        <v>658</v>
      </c>
      <c r="B373" s="56" t="s">
        <v>659</v>
      </c>
      <c r="C373" s="56" t="s">
        <v>610</v>
      </c>
      <c r="D373" s="56" t="s">
        <v>660</v>
      </c>
      <c r="E373" s="56" t="s">
        <v>669</v>
      </c>
      <c r="F373" s="57" t="s">
        <v>154</v>
      </c>
      <c r="G373" s="61"/>
      <c r="H373" s="79"/>
      <c r="I373" s="62" t="s">
        <v>617</v>
      </c>
      <c r="J373" s="53"/>
    </row>
    <row r="374" ht="24.75" hidden="1" customHeight="1">
      <c r="A374" s="54" t="s">
        <v>658</v>
      </c>
      <c r="B374" s="56" t="s">
        <v>659</v>
      </c>
      <c r="C374" s="56" t="s">
        <v>610</v>
      </c>
      <c r="D374" s="56" t="s">
        <v>660</v>
      </c>
      <c r="E374" s="56" t="s">
        <v>671</v>
      </c>
      <c r="F374" s="57" t="s">
        <v>154</v>
      </c>
      <c r="G374" s="61"/>
      <c r="H374" s="79"/>
      <c r="I374" s="62" t="s">
        <v>617</v>
      </c>
      <c r="J374" s="53"/>
    </row>
    <row r="375" ht="24.75" hidden="1" customHeight="1">
      <c r="A375" s="54" t="s">
        <v>658</v>
      </c>
      <c r="B375" s="56" t="s">
        <v>659</v>
      </c>
      <c r="C375" s="56" t="s">
        <v>610</v>
      </c>
      <c r="D375" s="56" t="s">
        <v>660</v>
      </c>
      <c r="E375" s="56" t="s">
        <v>672</v>
      </c>
      <c r="F375" s="57" t="s">
        <v>154</v>
      </c>
      <c r="G375" s="61"/>
      <c r="H375" s="79"/>
      <c r="I375" s="62" t="s">
        <v>617</v>
      </c>
      <c r="J375" s="53"/>
    </row>
    <row r="376" ht="24.75" hidden="1" customHeight="1">
      <c r="A376" s="54" t="s">
        <v>658</v>
      </c>
      <c r="B376" s="56" t="s">
        <v>659</v>
      </c>
      <c r="C376" s="56" t="s">
        <v>610</v>
      </c>
      <c r="D376" s="56" t="s">
        <v>660</v>
      </c>
      <c r="E376" s="56" t="s">
        <v>673</v>
      </c>
      <c r="F376" s="57" t="s">
        <v>154</v>
      </c>
      <c r="G376" s="61"/>
      <c r="H376" s="79"/>
      <c r="I376" s="62" t="s">
        <v>617</v>
      </c>
      <c r="J376" s="53"/>
    </row>
    <row r="377" ht="24.75" hidden="1" customHeight="1">
      <c r="A377" s="54" t="s">
        <v>658</v>
      </c>
      <c r="B377" s="56" t="s">
        <v>674</v>
      </c>
      <c r="C377" s="56" t="s">
        <v>610</v>
      </c>
      <c r="D377" s="56" t="s">
        <v>675</v>
      </c>
      <c r="E377" s="56" t="s">
        <v>676</v>
      </c>
      <c r="F377" s="57" t="s">
        <v>34</v>
      </c>
      <c r="G377" s="61"/>
      <c r="H377" s="79"/>
      <c r="I377" s="62"/>
      <c r="J377" s="53"/>
    </row>
    <row r="378" ht="24.75" hidden="1" customHeight="1">
      <c r="A378" s="54" t="s">
        <v>658</v>
      </c>
      <c r="B378" s="56" t="s">
        <v>677</v>
      </c>
      <c r="C378" s="56" t="s">
        <v>610</v>
      </c>
      <c r="D378" s="56" t="s">
        <v>678</v>
      </c>
      <c r="E378" s="56" t="s">
        <v>679</v>
      </c>
      <c r="F378" s="57" t="s">
        <v>34</v>
      </c>
      <c r="G378" s="61"/>
      <c r="H378" s="61" t="s">
        <v>681</v>
      </c>
      <c r="I378" s="62"/>
      <c r="J378" s="53"/>
    </row>
    <row r="379" ht="24.75" hidden="1" customHeight="1">
      <c r="A379" s="54" t="s">
        <v>658</v>
      </c>
      <c r="B379" s="56" t="s">
        <v>677</v>
      </c>
      <c r="C379" s="56" t="s">
        <v>610</v>
      </c>
      <c r="D379" s="56" t="s">
        <v>678</v>
      </c>
      <c r="E379" s="56" t="s">
        <v>680</v>
      </c>
      <c r="F379" s="57" t="s">
        <v>34</v>
      </c>
      <c r="G379" s="61"/>
      <c r="H379" s="79"/>
      <c r="I379" s="62"/>
      <c r="J379" s="53"/>
    </row>
    <row r="380" ht="24.75" hidden="1" customHeight="1">
      <c r="A380" s="54" t="s">
        <v>658</v>
      </c>
      <c r="B380" s="56" t="s">
        <v>677</v>
      </c>
      <c r="C380" s="56" t="s">
        <v>610</v>
      </c>
      <c r="D380" s="56" t="s">
        <v>678</v>
      </c>
      <c r="E380" s="56" t="s">
        <v>682</v>
      </c>
      <c r="F380" s="57" t="s">
        <v>34</v>
      </c>
      <c r="G380" s="61"/>
      <c r="H380" s="79"/>
      <c r="I380" s="62"/>
      <c r="J380" s="53"/>
    </row>
    <row r="381" ht="24.75" hidden="1" customHeight="1">
      <c r="A381" s="54" t="s">
        <v>658</v>
      </c>
      <c r="B381" s="56" t="s">
        <v>677</v>
      </c>
      <c r="C381" s="56" t="s">
        <v>610</v>
      </c>
      <c r="D381" s="56" t="s">
        <v>678</v>
      </c>
      <c r="E381" s="56" t="s">
        <v>683</v>
      </c>
      <c r="F381" s="57" t="s">
        <v>34</v>
      </c>
      <c r="G381" s="61"/>
      <c r="H381" s="79"/>
      <c r="I381" s="62"/>
      <c r="J381" s="53"/>
    </row>
    <row r="382" ht="24.75" hidden="1" customHeight="1">
      <c r="A382" s="54" t="s">
        <v>658</v>
      </c>
      <c r="B382" s="56" t="s">
        <v>677</v>
      </c>
      <c r="C382" s="56" t="s">
        <v>610</v>
      </c>
      <c r="D382" s="56" t="s">
        <v>678</v>
      </c>
      <c r="E382" s="56" t="s">
        <v>684</v>
      </c>
      <c r="F382" s="57" t="s">
        <v>154</v>
      </c>
      <c r="G382" s="61"/>
      <c r="H382" s="61" t="s">
        <v>686</v>
      </c>
      <c r="I382" s="62" t="s">
        <v>687</v>
      </c>
      <c r="J382" s="53"/>
    </row>
    <row r="383" ht="24.75" hidden="1" customHeight="1">
      <c r="A383" s="54" t="s">
        <v>658</v>
      </c>
      <c r="B383" s="56" t="s">
        <v>677</v>
      </c>
      <c r="C383" s="56" t="s">
        <v>610</v>
      </c>
      <c r="D383" s="56" t="s">
        <v>678</v>
      </c>
      <c r="E383" s="56" t="s">
        <v>685</v>
      </c>
      <c r="F383" s="57" t="s">
        <v>154</v>
      </c>
      <c r="G383" s="61"/>
      <c r="H383" s="61" t="s">
        <v>200</v>
      </c>
      <c r="I383" s="62" t="s">
        <v>689</v>
      </c>
      <c r="J383" s="53"/>
    </row>
    <row r="384" ht="24.75" hidden="1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661</v>
      </c>
      <c r="F384" s="57" t="s">
        <v>34</v>
      </c>
      <c r="G384" s="61"/>
      <c r="H384" s="79"/>
      <c r="I384" s="62"/>
      <c r="J384" s="53"/>
    </row>
    <row r="385" ht="24.75" hidden="1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662</v>
      </c>
      <c r="F385" s="57" t="s">
        <v>34</v>
      </c>
      <c r="G385" s="61"/>
      <c r="H385" s="79"/>
      <c r="I385" s="62"/>
      <c r="J385" s="53"/>
    </row>
    <row r="386" ht="24.75" hidden="1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663</v>
      </c>
      <c r="F386" s="57" t="s">
        <v>34</v>
      </c>
      <c r="G386" s="61"/>
      <c r="H386" s="79"/>
      <c r="I386" s="62"/>
      <c r="J386" s="53"/>
    </row>
    <row r="387" ht="24.75" hidden="1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664</v>
      </c>
      <c r="F387" s="57" t="s">
        <v>34</v>
      </c>
      <c r="G387" s="61"/>
      <c r="H387" s="79"/>
      <c r="I387" s="62"/>
      <c r="J387" s="53"/>
    </row>
    <row r="388" ht="24.75" hidden="1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665</v>
      </c>
      <c r="F388" s="57" t="s">
        <v>34</v>
      </c>
      <c r="G388" s="61"/>
      <c r="H388" s="79"/>
      <c r="I388" s="62"/>
      <c r="J388" s="53"/>
    </row>
    <row r="389" ht="24.75" hidden="1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614</v>
      </c>
      <c r="F389" s="57" t="s">
        <v>34</v>
      </c>
      <c r="G389" s="61"/>
      <c r="H389" s="79"/>
      <c r="I389" s="62"/>
      <c r="J389" s="53"/>
    </row>
    <row r="390" ht="24.75" hidden="1" customHeight="1">
      <c r="A390" s="54" t="s">
        <v>658</v>
      </c>
      <c r="B390" s="56" t="s">
        <v>688</v>
      </c>
      <c r="C390" s="56" t="s">
        <v>624</v>
      </c>
      <c r="D390" s="56" t="s">
        <v>660</v>
      </c>
      <c r="E390" s="56" t="s">
        <v>666</v>
      </c>
      <c r="F390" s="57" t="s">
        <v>34</v>
      </c>
      <c r="G390" s="61"/>
      <c r="H390" s="79"/>
      <c r="I390" s="62"/>
      <c r="J390" s="53"/>
    </row>
    <row r="391" ht="24.75" hidden="1" customHeight="1">
      <c r="A391" s="54" t="s">
        <v>658</v>
      </c>
      <c r="B391" s="56" t="s">
        <v>688</v>
      </c>
      <c r="C391" s="56" t="s">
        <v>624</v>
      </c>
      <c r="D391" s="56" t="s">
        <v>660</v>
      </c>
      <c r="E391" s="56" t="s">
        <v>667</v>
      </c>
      <c r="F391" s="57" t="s">
        <v>34</v>
      </c>
      <c r="G391" s="61"/>
      <c r="H391" s="79"/>
      <c r="I391" s="62"/>
      <c r="J391" s="53"/>
    </row>
    <row r="392" ht="24.75" hidden="1" customHeight="1">
      <c r="A392" s="54" t="s">
        <v>658</v>
      </c>
      <c r="B392" s="56" t="s">
        <v>688</v>
      </c>
      <c r="C392" s="56" t="s">
        <v>624</v>
      </c>
      <c r="D392" s="56" t="s">
        <v>660</v>
      </c>
      <c r="E392" s="56" t="s">
        <v>668</v>
      </c>
      <c r="F392" s="57" t="s">
        <v>154</v>
      </c>
      <c r="G392" s="61"/>
      <c r="H392" s="79"/>
      <c r="I392" s="62" t="s">
        <v>617</v>
      </c>
      <c r="J392" s="53"/>
    </row>
    <row r="393" ht="24.75" hidden="1" customHeight="1">
      <c r="A393" s="54" t="s">
        <v>658</v>
      </c>
      <c r="B393" s="56" t="s">
        <v>688</v>
      </c>
      <c r="C393" s="56" t="s">
        <v>624</v>
      </c>
      <c r="D393" s="56" t="s">
        <v>660</v>
      </c>
      <c r="E393" s="56" t="s">
        <v>669</v>
      </c>
      <c r="F393" s="57" t="s">
        <v>154</v>
      </c>
      <c r="G393" s="61"/>
      <c r="H393" s="79"/>
      <c r="I393" s="62" t="s">
        <v>617</v>
      </c>
      <c r="J393" s="53"/>
    </row>
    <row r="394" ht="24.75" hidden="1" customHeight="1">
      <c r="A394" s="54" t="s">
        <v>658</v>
      </c>
      <c r="B394" s="56" t="s">
        <v>688</v>
      </c>
      <c r="C394" s="56" t="s">
        <v>624</v>
      </c>
      <c r="D394" s="56" t="s">
        <v>660</v>
      </c>
      <c r="E394" s="56" t="s">
        <v>671</v>
      </c>
      <c r="F394" s="57" t="s">
        <v>154</v>
      </c>
      <c r="G394" s="61"/>
      <c r="H394" s="79"/>
      <c r="I394" s="62" t="s">
        <v>617</v>
      </c>
      <c r="J394" s="53"/>
    </row>
    <row r="395" ht="24.75" hidden="1" customHeight="1">
      <c r="A395" s="54" t="s">
        <v>658</v>
      </c>
      <c r="B395" s="56" t="s">
        <v>688</v>
      </c>
      <c r="C395" s="56" t="s">
        <v>624</v>
      </c>
      <c r="D395" s="56" t="s">
        <v>660</v>
      </c>
      <c r="E395" s="56" t="s">
        <v>672</v>
      </c>
      <c r="F395" s="57" t="s">
        <v>154</v>
      </c>
      <c r="G395" s="61"/>
      <c r="H395" s="79"/>
      <c r="I395" s="62" t="s">
        <v>617</v>
      </c>
      <c r="J395" s="53"/>
    </row>
    <row r="396" ht="24.75" hidden="1" customHeight="1">
      <c r="A396" s="54" t="s">
        <v>658</v>
      </c>
      <c r="B396" s="56" t="s">
        <v>688</v>
      </c>
      <c r="C396" s="56" t="s">
        <v>624</v>
      </c>
      <c r="D396" s="56" t="s">
        <v>660</v>
      </c>
      <c r="E396" s="56" t="s">
        <v>673</v>
      </c>
      <c r="F396" s="57" t="s">
        <v>154</v>
      </c>
      <c r="G396" s="61"/>
      <c r="H396" s="79"/>
      <c r="I396" s="62" t="s">
        <v>617</v>
      </c>
      <c r="J396" s="53"/>
    </row>
    <row r="397" ht="24.75" hidden="1" customHeight="1">
      <c r="A397" s="54" t="s">
        <v>658</v>
      </c>
      <c r="B397" s="56" t="s">
        <v>690</v>
      </c>
      <c r="C397" s="56" t="s">
        <v>624</v>
      </c>
      <c r="D397" s="56" t="s">
        <v>675</v>
      </c>
      <c r="E397" s="56" t="s">
        <v>676</v>
      </c>
      <c r="F397" s="57" t="s">
        <v>34</v>
      </c>
      <c r="G397" s="61"/>
      <c r="H397" s="79"/>
      <c r="I397" s="62"/>
      <c r="J397" s="53"/>
    </row>
    <row r="398" ht="24.75" hidden="1" customHeight="1">
      <c r="A398" s="54" t="s">
        <v>658</v>
      </c>
      <c r="B398" s="56" t="s">
        <v>691</v>
      </c>
      <c r="C398" s="56" t="s">
        <v>624</v>
      </c>
      <c r="D398" s="56" t="s">
        <v>678</v>
      </c>
      <c r="E398" s="56" t="s">
        <v>679</v>
      </c>
      <c r="F398" s="57" t="s">
        <v>34</v>
      </c>
      <c r="G398" s="61"/>
      <c r="H398" s="61" t="s">
        <v>681</v>
      </c>
      <c r="I398" s="62"/>
      <c r="J398" s="53"/>
    </row>
    <row r="399" ht="24.75" hidden="1" customHeight="1">
      <c r="A399" s="54" t="s">
        <v>658</v>
      </c>
      <c r="B399" s="56" t="s">
        <v>691</v>
      </c>
      <c r="C399" s="56" t="s">
        <v>624</v>
      </c>
      <c r="D399" s="56" t="s">
        <v>678</v>
      </c>
      <c r="E399" s="56" t="s">
        <v>680</v>
      </c>
      <c r="F399" s="57" t="s">
        <v>34</v>
      </c>
      <c r="G399" s="61"/>
      <c r="H399" s="79"/>
      <c r="I399" s="62"/>
      <c r="J399" s="53"/>
    </row>
    <row r="400" ht="24.75" hidden="1" customHeight="1">
      <c r="A400" s="54" t="s">
        <v>658</v>
      </c>
      <c r="B400" s="56" t="s">
        <v>691</v>
      </c>
      <c r="C400" s="56" t="s">
        <v>624</v>
      </c>
      <c r="D400" s="56" t="s">
        <v>678</v>
      </c>
      <c r="E400" s="56" t="s">
        <v>682</v>
      </c>
      <c r="F400" s="57" t="s">
        <v>34</v>
      </c>
      <c r="G400" s="61"/>
      <c r="H400" s="79"/>
      <c r="I400" s="62"/>
      <c r="J400" s="53"/>
    </row>
    <row r="401" ht="24.75" hidden="1" customHeight="1">
      <c r="A401" s="54" t="s">
        <v>658</v>
      </c>
      <c r="B401" s="56" t="s">
        <v>691</v>
      </c>
      <c r="C401" s="56" t="s">
        <v>624</v>
      </c>
      <c r="D401" s="56" t="s">
        <v>678</v>
      </c>
      <c r="E401" s="56" t="s">
        <v>683</v>
      </c>
      <c r="F401" s="57" t="s">
        <v>34</v>
      </c>
      <c r="G401" s="61"/>
      <c r="H401" s="79"/>
      <c r="I401" s="62"/>
      <c r="J401" s="53"/>
    </row>
    <row r="402" ht="24.75" hidden="1" customHeight="1">
      <c r="A402" s="54" t="s">
        <v>658</v>
      </c>
      <c r="B402" s="56" t="s">
        <v>691</v>
      </c>
      <c r="C402" s="56" t="s">
        <v>624</v>
      </c>
      <c r="D402" s="56" t="s">
        <v>678</v>
      </c>
      <c r="E402" s="56" t="s">
        <v>684</v>
      </c>
      <c r="F402" s="57" t="s">
        <v>154</v>
      </c>
      <c r="G402" s="61"/>
      <c r="H402" s="61" t="s">
        <v>686</v>
      </c>
      <c r="I402" s="62" t="s">
        <v>687</v>
      </c>
      <c r="J402" s="53"/>
    </row>
    <row r="403" ht="24.75" hidden="1" customHeight="1">
      <c r="A403" s="54" t="s">
        <v>658</v>
      </c>
      <c r="B403" s="56" t="s">
        <v>691</v>
      </c>
      <c r="C403" s="56" t="s">
        <v>624</v>
      </c>
      <c r="D403" s="56" t="s">
        <v>678</v>
      </c>
      <c r="E403" s="56" t="s">
        <v>685</v>
      </c>
      <c r="F403" s="57" t="s">
        <v>154</v>
      </c>
      <c r="G403" s="61"/>
      <c r="H403" s="61" t="s">
        <v>200</v>
      </c>
      <c r="I403" s="62" t="s">
        <v>689</v>
      </c>
      <c r="J403" s="53"/>
    </row>
    <row r="404" ht="24.75" hidden="1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661</v>
      </c>
      <c r="F404" s="57" t="s">
        <v>34</v>
      </c>
      <c r="G404" s="61"/>
      <c r="H404" s="79"/>
      <c r="I404" s="62"/>
      <c r="J404" s="53"/>
    </row>
    <row r="405" ht="24.75" hidden="1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662</v>
      </c>
      <c r="F405" s="57" t="s">
        <v>34</v>
      </c>
      <c r="G405" s="61"/>
      <c r="H405" s="79"/>
      <c r="I405" s="62"/>
      <c r="J405" s="53"/>
    </row>
    <row r="406" ht="24.75" hidden="1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663</v>
      </c>
      <c r="F406" s="57" t="s">
        <v>34</v>
      </c>
      <c r="G406" s="61"/>
      <c r="H406" s="79"/>
      <c r="I406" s="62"/>
      <c r="J406" s="53"/>
    </row>
    <row r="407" ht="24.75" hidden="1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664</v>
      </c>
      <c r="F407" s="57" t="s">
        <v>34</v>
      </c>
      <c r="G407" s="61"/>
      <c r="H407" s="79"/>
      <c r="I407" s="62"/>
      <c r="J407" s="53"/>
    </row>
    <row r="408" ht="24.75" hidden="1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665</v>
      </c>
      <c r="F408" s="57" t="s">
        <v>34</v>
      </c>
      <c r="G408" s="61"/>
      <c r="H408" s="79"/>
      <c r="I408" s="62"/>
      <c r="J408" s="53"/>
    </row>
    <row r="409" ht="24.75" hidden="1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614</v>
      </c>
      <c r="F409" s="57" t="s">
        <v>34</v>
      </c>
      <c r="G409" s="61"/>
      <c r="H409" s="79"/>
      <c r="I409" s="62"/>
      <c r="J409" s="53"/>
    </row>
    <row r="410" ht="24.75" hidden="1" customHeight="1">
      <c r="A410" s="54" t="s">
        <v>658</v>
      </c>
      <c r="B410" s="56" t="s">
        <v>692</v>
      </c>
      <c r="C410" s="56" t="s">
        <v>627</v>
      </c>
      <c r="D410" s="56" t="s">
        <v>660</v>
      </c>
      <c r="E410" s="56" t="s">
        <v>666</v>
      </c>
      <c r="F410" s="57" t="s">
        <v>34</v>
      </c>
      <c r="G410" s="61"/>
      <c r="H410" s="79"/>
      <c r="I410" s="62"/>
      <c r="J410" s="53"/>
    </row>
    <row r="411" ht="24.75" hidden="1" customHeight="1">
      <c r="A411" s="54" t="s">
        <v>658</v>
      </c>
      <c r="B411" s="56" t="s">
        <v>692</v>
      </c>
      <c r="C411" s="56" t="s">
        <v>627</v>
      </c>
      <c r="D411" s="56" t="s">
        <v>660</v>
      </c>
      <c r="E411" s="56" t="s">
        <v>667</v>
      </c>
      <c r="F411" s="57" t="s">
        <v>34</v>
      </c>
      <c r="G411" s="61"/>
      <c r="H411" s="79"/>
      <c r="I411" s="62"/>
      <c r="J411" s="53"/>
    </row>
    <row r="412" ht="24.75" hidden="1" customHeight="1">
      <c r="A412" s="54" t="s">
        <v>658</v>
      </c>
      <c r="B412" s="56" t="s">
        <v>692</v>
      </c>
      <c r="C412" s="56" t="s">
        <v>627</v>
      </c>
      <c r="D412" s="56" t="s">
        <v>660</v>
      </c>
      <c r="E412" s="56" t="s">
        <v>668</v>
      </c>
      <c r="F412" s="57" t="s">
        <v>154</v>
      </c>
      <c r="G412" s="61"/>
      <c r="H412" s="79"/>
      <c r="I412" s="62" t="s">
        <v>617</v>
      </c>
      <c r="J412" s="53"/>
    </row>
    <row r="413" ht="24.75" hidden="1" customHeight="1">
      <c r="A413" s="54" t="s">
        <v>658</v>
      </c>
      <c r="B413" s="56" t="s">
        <v>692</v>
      </c>
      <c r="C413" s="56" t="s">
        <v>627</v>
      </c>
      <c r="D413" s="56" t="s">
        <v>660</v>
      </c>
      <c r="E413" s="56" t="s">
        <v>669</v>
      </c>
      <c r="F413" s="57" t="s">
        <v>154</v>
      </c>
      <c r="G413" s="61"/>
      <c r="H413" s="79"/>
      <c r="I413" s="62" t="s">
        <v>617</v>
      </c>
      <c r="J413" s="53"/>
    </row>
    <row r="414" ht="24.75" hidden="1" customHeight="1">
      <c r="A414" s="54" t="s">
        <v>658</v>
      </c>
      <c r="B414" s="56" t="s">
        <v>692</v>
      </c>
      <c r="C414" s="56" t="s">
        <v>627</v>
      </c>
      <c r="D414" s="56" t="s">
        <v>660</v>
      </c>
      <c r="E414" s="56" t="s">
        <v>671</v>
      </c>
      <c r="F414" s="57" t="s">
        <v>154</v>
      </c>
      <c r="G414" s="61"/>
      <c r="H414" s="79"/>
      <c r="I414" s="62" t="s">
        <v>617</v>
      </c>
      <c r="J414" s="53"/>
    </row>
    <row r="415" ht="24.75" hidden="1" customHeight="1">
      <c r="A415" s="54" t="s">
        <v>658</v>
      </c>
      <c r="B415" s="56" t="s">
        <v>692</v>
      </c>
      <c r="C415" s="56" t="s">
        <v>627</v>
      </c>
      <c r="D415" s="56" t="s">
        <v>660</v>
      </c>
      <c r="E415" s="56" t="s">
        <v>672</v>
      </c>
      <c r="F415" s="57" t="s">
        <v>154</v>
      </c>
      <c r="G415" s="61"/>
      <c r="H415" s="79"/>
      <c r="I415" s="62" t="s">
        <v>617</v>
      </c>
      <c r="J415" s="53"/>
    </row>
    <row r="416" ht="24.75" hidden="1" customHeight="1">
      <c r="A416" s="54" t="s">
        <v>658</v>
      </c>
      <c r="B416" s="56" t="s">
        <v>692</v>
      </c>
      <c r="C416" s="56" t="s">
        <v>627</v>
      </c>
      <c r="D416" s="56" t="s">
        <v>660</v>
      </c>
      <c r="E416" s="56" t="s">
        <v>673</v>
      </c>
      <c r="F416" s="57" t="s">
        <v>154</v>
      </c>
      <c r="G416" s="61"/>
      <c r="H416" s="79"/>
      <c r="I416" s="62" t="s">
        <v>617</v>
      </c>
      <c r="J416" s="53"/>
    </row>
    <row r="417" ht="24.75" hidden="1" customHeight="1">
      <c r="A417" s="54" t="s">
        <v>658</v>
      </c>
      <c r="B417" s="56" t="s">
        <v>693</v>
      </c>
      <c r="C417" s="56" t="s">
        <v>627</v>
      </c>
      <c r="D417" s="56" t="s">
        <v>675</v>
      </c>
      <c r="E417" s="56" t="s">
        <v>676</v>
      </c>
      <c r="F417" s="57" t="s">
        <v>34</v>
      </c>
      <c r="G417" s="61"/>
      <c r="H417" s="79"/>
      <c r="I417" s="62"/>
      <c r="J417" s="53"/>
    </row>
    <row r="418" ht="24.75" hidden="1" customHeight="1">
      <c r="A418" s="54" t="s">
        <v>658</v>
      </c>
      <c r="B418" s="56" t="s">
        <v>694</v>
      </c>
      <c r="C418" s="56" t="s">
        <v>627</v>
      </c>
      <c r="D418" s="56" t="s">
        <v>678</v>
      </c>
      <c r="E418" s="56" t="s">
        <v>679</v>
      </c>
      <c r="F418" s="57" t="s">
        <v>34</v>
      </c>
      <c r="G418" s="61"/>
      <c r="H418" s="61" t="s">
        <v>197</v>
      </c>
      <c r="I418" s="62"/>
      <c r="J418" s="53"/>
    </row>
    <row r="419" ht="24.75" hidden="1" customHeight="1">
      <c r="A419" s="54" t="s">
        <v>658</v>
      </c>
      <c r="B419" s="56" t="s">
        <v>694</v>
      </c>
      <c r="C419" s="56" t="s">
        <v>627</v>
      </c>
      <c r="D419" s="56" t="s">
        <v>678</v>
      </c>
      <c r="E419" s="56" t="s">
        <v>680</v>
      </c>
      <c r="F419" s="57" t="s">
        <v>34</v>
      </c>
      <c r="G419" s="61"/>
      <c r="H419" s="79"/>
      <c r="I419" s="62"/>
      <c r="J419" s="53"/>
    </row>
    <row r="420" ht="24.75" hidden="1" customHeight="1">
      <c r="A420" s="54" t="s">
        <v>658</v>
      </c>
      <c r="B420" s="56" t="s">
        <v>694</v>
      </c>
      <c r="C420" s="56" t="s">
        <v>627</v>
      </c>
      <c r="D420" s="56" t="s">
        <v>678</v>
      </c>
      <c r="E420" s="56" t="s">
        <v>683</v>
      </c>
      <c r="F420" s="57" t="s">
        <v>34</v>
      </c>
      <c r="G420" s="61"/>
      <c r="H420" s="79"/>
      <c r="I420" s="62"/>
      <c r="J420" s="53"/>
    </row>
    <row r="421" ht="24.75" hidden="1" customHeight="1">
      <c r="A421" s="54" t="s">
        <v>658</v>
      </c>
      <c r="B421" s="56" t="s">
        <v>694</v>
      </c>
      <c r="C421" s="56" t="s">
        <v>627</v>
      </c>
      <c r="D421" s="56" t="s">
        <v>678</v>
      </c>
      <c r="E421" s="56" t="s">
        <v>684</v>
      </c>
      <c r="F421" s="57" t="s">
        <v>154</v>
      </c>
      <c r="G421" s="61"/>
      <c r="H421" s="61" t="s">
        <v>686</v>
      </c>
      <c r="I421" s="62" t="s">
        <v>687</v>
      </c>
      <c r="J421" s="53"/>
    </row>
    <row r="422" ht="24.75" hidden="1" customHeight="1">
      <c r="A422" s="54" t="s">
        <v>658</v>
      </c>
      <c r="B422" s="56" t="s">
        <v>694</v>
      </c>
      <c r="C422" s="56" t="s">
        <v>627</v>
      </c>
      <c r="D422" s="56" t="s">
        <v>678</v>
      </c>
      <c r="E422" s="56" t="s">
        <v>695</v>
      </c>
      <c r="F422" s="57" t="s">
        <v>154</v>
      </c>
      <c r="G422" s="61"/>
      <c r="H422" s="61" t="s">
        <v>346</v>
      </c>
      <c r="I422" s="62" t="s">
        <v>696</v>
      </c>
      <c r="J422" s="53"/>
    </row>
    <row r="423" ht="24.75" hidden="1" customHeight="1">
      <c r="A423" s="54" t="s">
        <v>658</v>
      </c>
      <c r="B423" s="56" t="s">
        <v>694</v>
      </c>
      <c r="C423" s="56" t="s">
        <v>627</v>
      </c>
      <c r="D423" s="56" t="s">
        <v>678</v>
      </c>
      <c r="E423" s="56" t="s">
        <v>685</v>
      </c>
      <c r="F423" s="57" t="s">
        <v>154</v>
      </c>
      <c r="G423" s="61"/>
      <c r="H423" s="61" t="s">
        <v>200</v>
      </c>
      <c r="I423" s="62" t="s">
        <v>689</v>
      </c>
      <c r="J423" s="53"/>
    </row>
    <row r="424" ht="24.75" hidden="1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661</v>
      </c>
      <c r="F424" s="57" t="s">
        <v>34</v>
      </c>
      <c r="G424" s="61"/>
      <c r="H424" s="79"/>
      <c r="I424" s="62"/>
      <c r="J424" s="53"/>
    </row>
    <row r="425" ht="24.75" hidden="1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662</v>
      </c>
      <c r="F425" s="57" t="s">
        <v>34</v>
      </c>
      <c r="G425" s="61"/>
      <c r="H425" s="79"/>
      <c r="I425" s="62"/>
      <c r="J425" s="53"/>
    </row>
    <row r="426" ht="24.75" hidden="1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663</v>
      </c>
      <c r="F426" s="57" t="s">
        <v>34</v>
      </c>
      <c r="G426" s="61"/>
      <c r="H426" s="79"/>
      <c r="I426" s="62"/>
      <c r="J426" s="53"/>
    </row>
    <row r="427" ht="24.75" hidden="1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664</v>
      </c>
      <c r="F427" s="57" t="s">
        <v>34</v>
      </c>
      <c r="G427" s="61"/>
      <c r="H427" s="79"/>
      <c r="I427" s="62"/>
      <c r="J427" s="53"/>
    </row>
    <row r="428" ht="24.75" hidden="1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665</v>
      </c>
      <c r="F428" s="57" t="s">
        <v>34</v>
      </c>
      <c r="G428" s="61"/>
      <c r="H428" s="79"/>
      <c r="I428" s="62"/>
      <c r="J428" s="53"/>
    </row>
    <row r="429" ht="24.75" hidden="1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614</v>
      </c>
      <c r="F429" s="57" t="s">
        <v>34</v>
      </c>
      <c r="G429" s="61"/>
      <c r="H429" s="79"/>
      <c r="I429" s="62"/>
      <c r="J429" s="53"/>
    </row>
    <row r="430" ht="24.75" hidden="1" customHeight="1">
      <c r="A430" s="54" t="s">
        <v>658</v>
      </c>
      <c r="B430" s="56" t="s">
        <v>697</v>
      </c>
      <c r="C430" s="56" t="s">
        <v>640</v>
      </c>
      <c r="D430" s="56" t="s">
        <v>660</v>
      </c>
      <c r="E430" s="56" t="s">
        <v>666</v>
      </c>
      <c r="F430" s="57" t="s">
        <v>34</v>
      </c>
      <c r="G430" s="61"/>
      <c r="H430" s="79"/>
      <c r="I430" s="62"/>
      <c r="J430" s="53"/>
    </row>
    <row r="431" ht="24.75" hidden="1" customHeight="1">
      <c r="A431" s="54" t="s">
        <v>658</v>
      </c>
      <c r="B431" s="56" t="s">
        <v>697</v>
      </c>
      <c r="C431" s="56" t="s">
        <v>640</v>
      </c>
      <c r="D431" s="56" t="s">
        <v>660</v>
      </c>
      <c r="E431" s="56" t="s">
        <v>667</v>
      </c>
      <c r="F431" s="57" t="s">
        <v>34</v>
      </c>
      <c r="G431" s="61"/>
      <c r="H431" s="79"/>
      <c r="I431" s="62"/>
      <c r="J431" s="53"/>
    </row>
    <row r="432" ht="24.75" hidden="1" customHeight="1">
      <c r="A432" s="54" t="s">
        <v>658</v>
      </c>
      <c r="B432" s="56" t="s">
        <v>697</v>
      </c>
      <c r="C432" s="56" t="s">
        <v>640</v>
      </c>
      <c r="D432" s="56" t="s">
        <v>660</v>
      </c>
      <c r="E432" s="56" t="s">
        <v>668</v>
      </c>
      <c r="F432" s="57" t="s">
        <v>154</v>
      </c>
      <c r="G432" s="61"/>
      <c r="H432" s="79"/>
      <c r="I432" s="62" t="s">
        <v>617</v>
      </c>
      <c r="J432" s="53"/>
    </row>
    <row r="433" ht="24.75" hidden="1" customHeight="1">
      <c r="A433" s="54" t="s">
        <v>658</v>
      </c>
      <c r="B433" s="56" t="s">
        <v>697</v>
      </c>
      <c r="C433" s="56" t="s">
        <v>640</v>
      </c>
      <c r="D433" s="56" t="s">
        <v>660</v>
      </c>
      <c r="E433" s="56" t="s">
        <v>669</v>
      </c>
      <c r="F433" s="57" t="s">
        <v>154</v>
      </c>
      <c r="G433" s="61"/>
      <c r="H433" s="79"/>
      <c r="I433" s="62" t="s">
        <v>617</v>
      </c>
      <c r="J433" s="53"/>
    </row>
    <row r="434" ht="24.75" hidden="1" customHeight="1">
      <c r="A434" s="54" t="s">
        <v>658</v>
      </c>
      <c r="B434" s="56" t="s">
        <v>697</v>
      </c>
      <c r="C434" s="56" t="s">
        <v>640</v>
      </c>
      <c r="D434" s="56" t="s">
        <v>660</v>
      </c>
      <c r="E434" s="56" t="s">
        <v>671</v>
      </c>
      <c r="F434" s="57" t="s">
        <v>154</v>
      </c>
      <c r="G434" s="61"/>
      <c r="H434" s="79"/>
      <c r="I434" s="62" t="s">
        <v>617</v>
      </c>
      <c r="J434" s="53"/>
    </row>
    <row r="435" ht="24.75" hidden="1" customHeight="1">
      <c r="A435" s="54" t="s">
        <v>658</v>
      </c>
      <c r="B435" s="56" t="s">
        <v>697</v>
      </c>
      <c r="C435" s="56" t="s">
        <v>640</v>
      </c>
      <c r="D435" s="56" t="s">
        <v>660</v>
      </c>
      <c r="E435" s="56" t="s">
        <v>672</v>
      </c>
      <c r="F435" s="57" t="s">
        <v>154</v>
      </c>
      <c r="G435" s="61"/>
      <c r="H435" s="79"/>
      <c r="I435" s="62" t="s">
        <v>617</v>
      </c>
      <c r="J435" s="53"/>
    </row>
    <row r="436" ht="24.75" hidden="1" customHeight="1">
      <c r="A436" s="54" t="s">
        <v>658</v>
      </c>
      <c r="B436" s="56" t="s">
        <v>697</v>
      </c>
      <c r="C436" s="56" t="s">
        <v>640</v>
      </c>
      <c r="D436" s="56" t="s">
        <v>660</v>
      </c>
      <c r="E436" s="56" t="s">
        <v>673</v>
      </c>
      <c r="F436" s="57" t="s">
        <v>154</v>
      </c>
      <c r="G436" s="61"/>
      <c r="H436" s="79"/>
      <c r="I436" s="62" t="s">
        <v>617</v>
      </c>
      <c r="J436" s="53"/>
    </row>
    <row r="437" ht="24.75" hidden="1" customHeight="1">
      <c r="A437" s="54" t="s">
        <v>658</v>
      </c>
      <c r="B437" s="56" t="s">
        <v>698</v>
      </c>
      <c r="C437" s="56" t="s">
        <v>640</v>
      </c>
      <c r="D437" s="56" t="s">
        <v>675</v>
      </c>
      <c r="E437" s="56" t="s">
        <v>676</v>
      </c>
      <c r="F437" s="57" t="s">
        <v>34</v>
      </c>
      <c r="G437" s="61"/>
      <c r="H437" s="79"/>
      <c r="I437" s="62"/>
      <c r="J437" s="53"/>
    </row>
    <row r="438" ht="24.75" hidden="1" customHeight="1">
      <c r="A438" s="54" t="s">
        <v>658</v>
      </c>
      <c r="B438" s="56" t="s">
        <v>699</v>
      </c>
      <c r="C438" s="56" t="s">
        <v>640</v>
      </c>
      <c r="D438" s="56" t="s">
        <v>678</v>
      </c>
      <c r="E438" s="56" t="s">
        <v>679</v>
      </c>
      <c r="F438" s="57" t="s">
        <v>34</v>
      </c>
      <c r="G438" s="61"/>
      <c r="H438" s="61" t="s">
        <v>197</v>
      </c>
      <c r="I438" s="62"/>
      <c r="J438" s="53"/>
    </row>
    <row r="439" ht="24.75" hidden="1" customHeight="1">
      <c r="A439" s="54" t="s">
        <v>658</v>
      </c>
      <c r="B439" s="56" t="s">
        <v>699</v>
      </c>
      <c r="C439" s="56" t="s">
        <v>640</v>
      </c>
      <c r="D439" s="56" t="s">
        <v>678</v>
      </c>
      <c r="E439" s="56" t="s">
        <v>680</v>
      </c>
      <c r="F439" s="57" t="s">
        <v>34</v>
      </c>
      <c r="G439" s="61"/>
      <c r="H439" s="79"/>
      <c r="I439" s="62"/>
      <c r="J439" s="53"/>
    </row>
    <row r="440" ht="24.75" hidden="1" customHeight="1">
      <c r="A440" s="54" t="s">
        <v>658</v>
      </c>
      <c r="B440" s="56" t="s">
        <v>699</v>
      </c>
      <c r="C440" s="56" t="s">
        <v>640</v>
      </c>
      <c r="D440" s="56" t="s">
        <v>678</v>
      </c>
      <c r="E440" s="56" t="s">
        <v>682</v>
      </c>
      <c r="F440" s="57" t="s">
        <v>34</v>
      </c>
      <c r="G440" s="61"/>
      <c r="H440" s="79"/>
      <c r="I440" s="62"/>
      <c r="J440" s="53"/>
    </row>
    <row r="441" ht="24.75" hidden="1" customHeight="1">
      <c r="A441" s="54" t="s">
        <v>658</v>
      </c>
      <c r="B441" s="56" t="s">
        <v>699</v>
      </c>
      <c r="C441" s="56" t="s">
        <v>640</v>
      </c>
      <c r="D441" s="56" t="s">
        <v>678</v>
      </c>
      <c r="E441" s="56" t="s">
        <v>683</v>
      </c>
      <c r="F441" s="57" t="s">
        <v>34</v>
      </c>
      <c r="G441" s="61"/>
      <c r="H441" s="79"/>
      <c r="I441" s="62"/>
      <c r="J441" s="53"/>
    </row>
    <row r="442" ht="24.75" hidden="1" customHeight="1">
      <c r="A442" s="54" t="s">
        <v>658</v>
      </c>
      <c r="B442" s="56" t="s">
        <v>699</v>
      </c>
      <c r="C442" s="56" t="s">
        <v>640</v>
      </c>
      <c r="D442" s="56" t="s">
        <v>678</v>
      </c>
      <c r="E442" s="56" t="s">
        <v>684</v>
      </c>
      <c r="F442" s="57" t="s">
        <v>154</v>
      </c>
      <c r="G442" s="61"/>
      <c r="H442" s="61" t="s">
        <v>686</v>
      </c>
      <c r="I442" s="62" t="s">
        <v>687</v>
      </c>
      <c r="J442" s="53"/>
    </row>
    <row r="443" ht="24.75" hidden="1" customHeight="1">
      <c r="A443" s="54" t="s">
        <v>658</v>
      </c>
      <c r="B443" s="56" t="s">
        <v>699</v>
      </c>
      <c r="C443" s="56" t="s">
        <v>640</v>
      </c>
      <c r="D443" s="56" t="s">
        <v>678</v>
      </c>
      <c r="E443" s="56" t="s">
        <v>695</v>
      </c>
      <c r="F443" s="57" t="s">
        <v>154</v>
      </c>
      <c r="G443" s="61"/>
      <c r="H443" s="61" t="s">
        <v>346</v>
      </c>
      <c r="I443" s="62" t="s">
        <v>696</v>
      </c>
      <c r="J443" s="53"/>
    </row>
    <row r="444" ht="24.75" hidden="1" customHeight="1">
      <c r="A444" s="54" t="s">
        <v>658</v>
      </c>
      <c r="B444" s="56" t="s">
        <v>699</v>
      </c>
      <c r="C444" s="56" t="s">
        <v>640</v>
      </c>
      <c r="D444" s="56" t="s">
        <v>678</v>
      </c>
      <c r="E444" s="56" t="s">
        <v>685</v>
      </c>
      <c r="F444" s="57" t="s">
        <v>154</v>
      </c>
      <c r="G444" s="61"/>
      <c r="H444" s="61" t="s">
        <v>200</v>
      </c>
      <c r="I444" s="62" t="s">
        <v>689</v>
      </c>
      <c r="J444" s="53"/>
    </row>
    <row r="445" ht="24.75" hidden="1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661</v>
      </c>
      <c r="F445" s="57" t="s">
        <v>34</v>
      </c>
      <c r="G445" s="61"/>
      <c r="H445" s="79"/>
      <c r="I445" s="62"/>
      <c r="J445" s="53"/>
    </row>
    <row r="446" ht="24.75" hidden="1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662</v>
      </c>
      <c r="F446" s="57" t="s">
        <v>34</v>
      </c>
      <c r="G446" s="61"/>
      <c r="H446" s="61"/>
      <c r="I446" s="62"/>
      <c r="J446" s="53"/>
    </row>
    <row r="447" ht="24.75" hidden="1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663</v>
      </c>
      <c r="F447" s="57" t="s">
        <v>34</v>
      </c>
      <c r="G447" s="61"/>
      <c r="H447" s="61"/>
      <c r="I447" s="62"/>
      <c r="J447" s="53"/>
    </row>
    <row r="448" ht="24.75" hidden="1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664</v>
      </c>
      <c r="F448" s="57" t="s">
        <v>34</v>
      </c>
      <c r="G448" s="61"/>
      <c r="H448" s="79"/>
      <c r="I448" s="62"/>
      <c r="J448" s="53"/>
    </row>
    <row r="449" ht="24.75" hidden="1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665</v>
      </c>
      <c r="F449" s="57" t="s">
        <v>34</v>
      </c>
      <c r="G449" s="61"/>
      <c r="H449" s="79"/>
      <c r="I449" s="62"/>
      <c r="J449" s="53"/>
    </row>
    <row r="450" ht="24.75" hidden="1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614</v>
      </c>
      <c r="F450" s="57" t="s">
        <v>34</v>
      </c>
      <c r="G450" s="61"/>
      <c r="H450" s="79"/>
      <c r="I450" s="62"/>
      <c r="J450" s="53"/>
    </row>
    <row r="451" ht="24.75" hidden="1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666</v>
      </c>
      <c r="F451" s="57" t="s">
        <v>34</v>
      </c>
      <c r="G451" s="61"/>
      <c r="H451" s="79"/>
      <c r="I451" s="62"/>
      <c r="J451" s="53"/>
    </row>
    <row r="452" ht="24.75" hidden="1" customHeight="1">
      <c r="A452" s="54" t="s">
        <v>658</v>
      </c>
      <c r="B452" s="56" t="s">
        <v>700</v>
      </c>
      <c r="C452" s="56" t="s">
        <v>645</v>
      </c>
      <c r="D452" s="56" t="s">
        <v>660</v>
      </c>
      <c r="E452" s="56" t="s">
        <v>667</v>
      </c>
      <c r="F452" s="57" t="s">
        <v>34</v>
      </c>
      <c r="G452" s="61"/>
      <c r="H452" s="61"/>
      <c r="I452" s="62"/>
      <c r="J452" s="53"/>
    </row>
    <row r="453" ht="24.75" hidden="1" customHeight="1">
      <c r="A453" s="54" t="s">
        <v>658</v>
      </c>
      <c r="B453" s="56" t="s">
        <v>700</v>
      </c>
      <c r="C453" s="56" t="s">
        <v>645</v>
      </c>
      <c r="D453" s="56" t="s">
        <v>660</v>
      </c>
      <c r="E453" s="56" t="s">
        <v>668</v>
      </c>
      <c r="F453" s="57" t="s">
        <v>154</v>
      </c>
      <c r="G453" s="61"/>
      <c r="H453" s="61"/>
      <c r="I453" s="62" t="s">
        <v>617</v>
      </c>
      <c r="J453" s="53"/>
    </row>
    <row r="454" ht="24.75" hidden="1" customHeight="1">
      <c r="A454" s="54" t="s">
        <v>658</v>
      </c>
      <c r="B454" s="56" t="s">
        <v>700</v>
      </c>
      <c r="C454" s="56" t="s">
        <v>645</v>
      </c>
      <c r="D454" s="56" t="s">
        <v>660</v>
      </c>
      <c r="E454" s="56" t="s">
        <v>669</v>
      </c>
      <c r="F454" s="57" t="s">
        <v>154</v>
      </c>
      <c r="G454" s="61"/>
      <c r="H454" s="61"/>
      <c r="I454" s="62" t="s">
        <v>617</v>
      </c>
      <c r="J454" s="53"/>
    </row>
    <row r="455" ht="24.75" hidden="1" customHeight="1">
      <c r="A455" s="54" t="s">
        <v>658</v>
      </c>
      <c r="B455" s="56" t="s">
        <v>700</v>
      </c>
      <c r="C455" s="56" t="s">
        <v>645</v>
      </c>
      <c r="D455" s="56" t="s">
        <v>660</v>
      </c>
      <c r="E455" s="56" t="s">
        <v>680</v>
      </c>
      <c r="F455" s="57" t="s">
        <v>154</v>
      </c>
      <c r="G455" s="61"/>
      <c r="H455" s="61"/>
      <c r="I455" s="62" t="s">
        <v>617</v>
      </c>
      <c r="J455" s="53"/>
    </row>
    <row r="456" ht="24.75" hidden="1" customHeight="1">
      <c r="A456" s="54" t="s">
        <v>658</v>
      </c>
      <c r="B456" s="56" t="s">
        <v>700</v>
      </c>
      <c r="C456" s="56" t="s">
        <v>645</v>
      </c>
      <c r="D456" s="56" t="s">
        <v>660</v>
      </c>
      <c r="E456" s="56" t="s">
        <v>671</v>
      </c>
      <c r="F456" s="57" t="s">
        <v>154</v>
      </c>
      <c r="G456" s="61"/>
      <c r="H456" s="79"/>
      <c r="I456" s="62" t="s">
        <v>617</v>
      </c>
      <c r="J456" s="53"/>
    </row>
    <row r="457" ht="24.75" hidden="1" customHeight="1">
      <c r="A457" s="54" t="s">
        <v>658</v>
      </c>
      <c r="B457" s="56" t="s">
        <v>700</v>
      </c>
      <c r="C457" s="56" t="s">
        <v>645</v>
      </c>
      <c r="D457" s="56" t="s">
        <v>660</v>
      </c>
      <c r="E457" s="56" t="s">
        <v>672</v>
      </c>
      <c r="F457" s="57" t="s">
        <v>154</v>
      </c>
      <c r="G457" s="61"/>
      <c r="H457" s="79"/>
      <c r="I457" s="62" t="s">
        <v>617</v>
      </c>
      <c r="J457" s="53"/>
    </row>
    <row r="458" ht="24.75" hidden="1" customHeight="1">
      <c r="A458" s="54" t="s">
        <v>658</v>
      </c>
      <c r="B458" s="56" t="s">
        <v>700</v>
      </c>
      <c r="C458" s="56" t="s">
        <v>645</v>
      </c>
      <c r="D458" s="56" t="s">
        <v>660</v>
      </c>
      <c r="E458" s="56" t="s">
        <v>673</v>
      </c>
      <c r="F458" s="57" t="s">
        <v>154</v>
      </c>
      <c r="G458" s="61"/>
      <c r="H458" s="79"/>
      <c r="I458" s="62" t="s">
        <v>617</v>
      </c>
      <c r="J458" s="53"/>
    </row>
    <row r="459" ht="24.75" hidden="1" customHeight="1">
      <c r="A459" s="54" t="s">
        <v>658</v>
      </c>
      <c r="B459" s="56" t="s">
        <v>703</v>
      </c>
      <c r="C459" s="56" t="s">
        <v>645</v>
      </c>
      <c r="D459" s="56" t="s">
        <v>675</v>
      </c>
      <c r="E459" s="56" t="s">
        <v>676</v>
      </c>
      <c r="F459" s="57" t="s">
        <v>34</v>
      </c>
      <c r="G459" s="61"/>
      <c r="H459" s="79"/>
      <c r="I459" s="62"/>
      <c r="J459" s="53"/>
    </row>
    <row r="460" ht="24.75" hidden="1" customHeight="1">
      <c r="A460" s="54" t="s">
        <v>658</v>
      </c>
      <c r="B460" s="56" t="s">
        <v>704</v>
      </c>
      <c r="C460" s="56" t="s">
        <v>645</v>
      </c>
      <c r="D460" s="56" t="s">
        <v>678</v>
      </c>
      <c r="E460" s="56" t="s">
        <v>679</v>
      </c>
      <c r="F460" s="57" t="s">
        <v>34</v>
      </c>
      <c r="G460" s="61"/>
      <c r="H460" s="61" t="s">
        <v>197</v>
      </c>
      <c r="I460" s="62"/>
      <c r="J460" s="53"/>
    </row>
    <row r="461" ht="24.75" hidden="1" customHeight="1">
      <c r="A461" s="54" t="s">
        <v>658</v>
      </c>
      <c r="B461" s="56" t="s">
        <v>704</v>
      </c>
      <c r="C461" s="56" t="s">
        <v>645</v>
      </c>
      <c r="D461" s="56" t="s">
        <v>678</v>
      </c>
      <c r="E461" s="56" t="s">
        <v>680</v>
      </c>
      <c r="F461" s="57" t="s">
        <v>34</v>
      </c>
      <c r="G461" s="61"/>
      <c r="H461" s="79"/>
      <c r="I461" s="62"/>
      <c r="J461" s="53"/>
    </row>
    <row r="462" ht="24.75" hidden="1" customHeight="1">
      <c r="A462" s="54" t="s">
        <v>658</v>
      </c>
      <c r="B462" s="56" t="s">
        <v>704</v>
      </c>
      <c r="C462" s="56" t="s">
        <v>645</v>
      </c>
      <c r="D462" s="56" t="s">
        <v>678</v>
      </c>
      <c r="E462" s="56" t="s">
        <v>682</v>
      </c>
      <c r="F462" s="57" t="s">
        <v>34</v>
      </c>
      <c r="G462" s="61"/>
      <c r="H462" s="79"/>
      <c r="I462" s="62"/>
      <c r="J462" s="53"/>
    </row>
    <row r="463" ht="24.75" hidden="1" customHeight="1">
      <c r="A463" s="54" t="s">
        <v>658</v>
      </c>
      <c r="B463" s="56" t="s">
        <v>704</v>
      </c>
      <c r="C463" s="56" t="s">
        <v>645</v>
      </c>
      <c r="D463" s="56" t="s">
        <v>678</v>
      </c>
      <c r="E463" s="56" t="s">
        <v>683</v>
      </c>
      <c r="F463" s="57" t="s">
        <v>34</v>
      </c>
      <c r="G463" s="61"/>
      <c r="H463" s="79"/>
      <c r="I463" s="62"/>
      <c r="J463" s="53"/>
    </row>
    <row r="464" ht="24.75" hidden="1" customHeight="1">
      <c r="A464" s="54" t="s">
        <v>658</v>
      </c>
      <c r="B464" s="56" t="s">
        <v>704</v>
      </c>
      <c r="C464" s="56" t="s">
        <v>645</v>
      </c>
      <c r="D464" s="56" t="s">
        <v>678</v>
      </c>
      <c r="E464" s="56" t="s">
        <v>684</v>
      </c>
      <c r="F464" s="57" t="s">
        <v>154</v>
      </c>
      <c r="G464" s="61"/>
      <c r="H464" s="61" t="s">
        <v>686</v>
      </c>
      <c r="I464" s="62" t="s">
        <v>687</v>
      </c>
      <c r="J464" s="53"/>
    </row>
    <row r="465" ht="24.75" hidden="1" customHeight="1">
      <c r="A465" s="54" t="s">
        <v>658</v>
      </c>
      <c r="B465" s="56" t="s">
        <v>704</v>
      </c>
      <c r="C465" s="56" t="s">
        <v>645</v>
      </c>
      <c r="D465" s="56" t="s">
        <v>678</v>
      </c>
      <c r="E465" s="56" t="s">
        <v>695</v>
      </c>
      <c r="F465" s="57" t="s">
        <v>154</v>
      </c>
      <c r="G465" s="61"/>
      <c r="H465" s="61" t="s">
        <v>346</v>
      </c>
      <c r="I465" s="62" t="s">
        <v>696</v>
      </c>
      <c r="J465" s="53"/>
    </row>
    <row r="466" ht="24.75" hidden="1" customHeight="1">
      <c r="A466" s="54" t="s">
        <v>658</v>
      </c>
      <c r="B466" s="56" t="s">
        <v>704</v>
      </c>
      <c r="C466" s="56" t="s">
        <v>645</v>
      </c>
      <c r="D466" s="56" t="s">
        <v>678</v>
      </c>
      <c r="E466" s="56" t="s">
        <v>685</v>
      </c>
      <c r="F466" s="57" t="s">
        <v>154</v>
      </c>
      <c r="G466" s="61"/>
      <c r="H466" s="61" t="s">
        <v>200</v>
      </c>
      <c r="I466" s="62" t="s">
        <v>689</v>
      </c>
      <c r="J466" s="53"/>
    </row>
    <row r="467" ht="24.75" hidden="1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661</v>
      </c>
      <c r="F467" s="57" t="s">
        <v>34</v>
      </c>
      <c r="G467" s="61"/>
      <c r="H467" s="79"/>
      <c r="I467" s="62"/>
      <c r="J467" s="53"/>
    </row>
    <row r="468" ht="24.75" hidden="1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662</v>
      </c>
      <c r="F468" s="57" t="s">
        <v>34</v>
      </c>
      <c r="G468" s="61"/>
      <c r="H468" s="61"/>
      <c r="I468" s="62"/>
      <c r="J468" s="53"/>
    </row>
    <row r="469" ht="24.75" hidden="1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663</v>
      </c>
      <c r="F469" s="57" t="s">
        <v>34</v>
      </c>
      <c r="G469" s="61"/>
      <c r="H469" s="61"/>
      <c r="I469" s="62"/>
      <c r="J469" s="53"/>
    </row>
    <row r="470" ht="24.75" hidden="1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664</v>
      </c>
      <c r="F470" s="57" t="s">
        <v>34</v>
      </c>
      <c r="G470" s="61"/>
      <c r="H470" s="79"/>
      <c r="I470" s="62"/>
      <c r="J470" s="53"/>
    </row>
    <row r="471" ht="24.75" hidden="1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665</v>
      </c>
      <c r="F471" s="57" t="s">
        <v>34</v>
      </c>
      <c r="G471" s="61"/>
      <c r="H471" s="79"/>
      <c r="I471" s="103"/>
      <c r="J471" s="53"/>
    </row>
    <row r="472" ht="24.75" hidden="1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614</v>
      </c>
      <c r="F472" s="57" t="s">
        <v>34</v>
      </c>
      <c r="G472" s="61"/>
      <c r="H472" s="79"/>
      <c r="I472" s="62"/>
      <c r="J472" s="53"/>
    </row>
    <row r="473" ht="24.75" hidden="1" customHeight="1">
      <c r="A473" s="54" t="s">
        <v>658</v>
      </c>
      <c r="B473" s="56" t="s">
        <v>705</v>
      </c>
      <c r="C473" s="56" t="s">
        <v>606</v>
      </c>
      <c r="D473" s="56" t="s">
        <v>660</v>
      </c>
      <c r="E473" s="56" t="s">
        <v>666</v>
      </c>
      <c r="F473" s="57" t="s">
        <v>34</v>
      </c>
      <c r="G473" s="61"/>
      <c r="H473" s="79"/>
      <c r="I473" s="62"/>
      <c r="J473" s="53"/>
    </row>
    <row r="474" ht="24.75" hidden="1" customHeight="1">
      <c r="A474" s="54" t="s">
        <v>658</v>
      </c>
      <c r="B474" s="56" t="s">
        <v>705</v>
      </c>
      <c r="C474" s="56" t="s">
        <v>606</v>
      </c>
      <c r="D474" s="56" t="s">
        <v>660</v>
      </c>
      <c r="E474" s="56" t="s">
        <v>667</v>
      </c>
      <c r="F474" s="57" t="s">
        <v>34</v>
      </c>
      <c r="G474" s="61"/>
      <c r="H474" s="61"/>
      <c r="I474" s="62"/>
      <c r="J474" s="53"/>
    </row>
    <row r="475" ht="24.75" hidden="1" customHeight="1">
      <c r="A475" s="54" t="s">
        <v>658</v>
      </c>
      <c r="B475" s="56" t="s">
        <v>705</v>
      </c>
      <c r="C475" s="56" t="s">
        <v>606</v>
      </c>
      <c r="D475" s="56" t="s">
        <v>660</v>
      </c>
      <c r="E475" s="56" t="s">
        <v>668</v>
      </c>
      <c r="F475" s="57" t="s">
        <v>154</v>
      </c>
      <c r="G475" s="61"/>
      <c r="H475" s="61"/>
      <c r="I475" s="62" t="s">
        <v>617</v>
      </c>
      <c r="J475" s="53"/>
    </row>
    <row r="476" ht="24.75" hidden="1" customHeight="1">
      <c r="A476" s="54" t="s">
        <v>658</v>
      </c>
      <c r="B476" s="56" t="s">
        <v>705</v>
      </c>
      <c r="C476" s="56" t="s">
        <v>606</v>
      </c>
      <c r="D476" s="56" t="s">
        <v>660</v>
      </c>
      <c r="E476" s="56" t="s">
        <v>669</v>
      </c>
      <c r="F476" s="57" t="s">
        <v>154</v>
      </c>
      <c r="G476" s="61"/>
      <c r="H476" s="61"/>
      <c r="I476" s="62" t="s">
        <v>617</v>
      </c>
      <c r="J476" s="53"/>
    </row>
    <row r="477" ht="24.75" hidden="1" customHeight="1">
      <c r="A477" s="54" t="s">
        <v>658</v>
      </c>
      <c r="B477" s="56" t="s">
        <v>705</v>
      </c>
      <c r="C477" s="56" t="s">
        <v>606</v>
      </c>
      <c r="D477" s="56" t="s">
        <v>660</v>
      </c>
      <c r="E477" s="56" t="s">
        <v>671</v>
      </c>
      <c r="F477" s="57" t="s">
        <v>154</v>
      </c>
      <c r="G477" s="61"/>
      <c r="H477" s="61"/>
      <c r="I477" s="62" t="s">
        <v>617</v>
      </c>
      <c r="J477" s="53"/>
    </row>
    <row r="478" ht="24.75" hidden="1" customHeight="1">
      <c r="A478" s="54" t="s">
        <v>658</v>
      </c>
      <c r="B478" s="56" t="s">
        <v>705</v>
      </c>
      <c r="C478" s="56" t="s">
        <v>606</v>
      </c>
      <c r="D478" s="56" t="s">
        <v>660</v>
      </c>
      <c r="E478" s="56" t="s">
        <v>672</v>
      </c>
      <c r="F478" s="57" t="s">
        <v>154</v>
      </c>
      <c r="G478" s="61"/>
      <c r="H478" s="61"/>
      <c r="I478" s="62" t="s">
        <v>617</v>
      </c>
      <c r="J478" s="53"/>
    </row>
    <row r="479" ht="24.75" hidden="1" customHeight="1">
      <c r="A479" s="54" t="s">
        <v>658</v>
      </c>
      <c r="B479" s="56" t="s">
        <v>705</v>
      </c>
      <c r="C479" s="56" t="s">
        <v>606</v>
      </c>
      <c r="D479" s="56" t="s">
        <v>660</v>
      </c>
      <c r="E479" s="56" t="s">
        <v>673</v>
      </c>
      <c r="F479" s="57" t="s">
        <v>154</v>
      </c>
      <c r="G479" s="61"/>
      <c r="H479" s="79"/>
      <c r="I479" s="62" t="s">
        <v>617</v>
      </c>
      <c r="J479" s="53"/>
    </row>
    <row r="480" ht="24.75" hidden="1" customHeight="1">
      <c r="A480" s="54" t="s">
        <v>658</v>
      </c>
      <c r="B480" s="56" t="s">
        <v>714</v>
      </c>
      <c r="C480" s="56" t="s">
        <v>606</v>
      </c>
      <c r="D480" s="56" t="s">
        <v>675</v>
      </c>
      <c r="E480" s="56" t="s">
        <v>676</v>
      </c>
      <c r="F480" s="57" t="s">
        <v>34</v>
      </c>
      <c r="G480" s="61"/>
      <c r="H480" s="79"/>
      <c r="I480" s="62"/>
      <c r="J480" s="53"/>
    </row>
    <row r="481" ht="24.75" hidden="1" customHeight="1">
      <c r="A481" s="54" t="s">
        <v>658</v>
      </c>
      <c r="B481" s="56" t="s">
        <v>715</v>
      </c>
      <c r="C481" s="56" t="s">
        <v>606</v>
      </c>
      <c r="D481" s="56" t="s">
        <v>716</v>
      </c>
      <c r="E481" s="56" t="s">
        <v>679</v>
      </c>
      <c r="F481" s="57" t="s">
        <v>34</v>
      </c>
      <c r="G481" s="61"/>
      <c r="H481" s="61" t="s">
        <v>197</v>
      </c>
      <c r="I481" s="62"/>
      <c r="J481" s="53"/>
    </row>
    <row r="482" ht="24.75" hidden="1" customHeight="1">
      <c r="A482" s="54" t="s">
        <v>658</v>
      </c>
      <c r="B482" s="56" t="s">
        <v>715</v>
      </c>
      <c r="C482" s="56" t="s">
        <v>606</v>
      </c>
      <c r="D482" s="56" t="s">
        <v>678</v>
      </c>
      <c r="E482" s="56" t="s">
        <v>680</v>
      </c>
      <c r="F482" s="57" t="s">
        <v>34</v>
      </c>
      <c r="G482" s="61"/>
      <c r="H482" s="79"/>
      <c r="I482" s="62"/>
      <c r="J482" s="53"/>
    </row>
    <row r="483" ht="24.75" hidden="1" customHeight="1">
      <c r="A483" s="54" t="s">
        <v>658</v>
      </c>
      <c r="B483" s="56" t="s">
        <v>715</v>
      </c>
      <c r="C483" s="56" t="s">
        <v>606</v>
      </c>
      <c r="D483" s="56" t="s">
        <v>716</v>
      </c>
      <c r="E483" s="56" t="s">
        <v>682</v>
      </c>
      <c r="F483" s="57" t="s">
        <v>34</v>
      </c>
      <c r="G483" s="61"/>
      <c r="H483" s="79"/>
      <c r="I483" s="62"/>
      <c r="J483" s="53"/>
    </row>
    <row r="484" ht="24.75" hidden="1" customHeight="1">
      <c r="A484" s="54" t="s">
        <v>658</v>
      </c>
      <c r="B484" s="56" t="s">
        <v>715</v>
      </c>
      <c r="C484" s="56" t="s">
        <v>606</v>
      </c>
      <c r="D484" s="56" t="s">
        <v>716</v>
      </c>
      <c r="E484" s="56" t="s">
        <v>683</v>
      </c>
      <c r="F484" s="57" t="s">
        <v>34</v>
      </c>
      <c r="G484" s="61"/>
      <c r="H484" s="79"/>
      <c r="I484" s="62"/>
      <c r="J484" s="53"/>
    </row>
    <row r="485" ht="24.75" hidden="1" customHeight="1">
      <c r="A485" s="54" t="s">
        <v>658</v>
      </c>
      <c r="B485" s="56" t="s">
        <v>715</v>
      </c>
      <c r="C485" s="56" t="s">
        <v>606</v>
      </c>
      <c r="D485" s="56" t="s">
        <v>716</v>
      </c>
      <c r="E485" s="56" t="s">
        <v>684</v>
      </c>
      <c r="F485" s="57" t="s">
        <v>154</v>
      </c>
      <c r="G485" s="61"/>
      <c r="H485" s="61" t="s">
        <v>686</v>
      </c>
      <c r="I485" s="62" t="s">
        <v>687</v>
      </c>
      <c r="J485" s="53"/>
    </row>
    <row r="486" ht="24.75" hidden="1" customHeight="1">
      <c r="A486" s="54" t="s">
        <v>658</v>
      </c>
      <c r="B486" s="56" t="s">
        <v>715</v>
      </c>
      <c r="C486" s="56" t="s">
        <v>606</v>
      </c>
      <c r="D486" s="56" t="s">
        <v>716</v>
      </c>
      <c r="E486" s="56" t="s">
        <v>695</v>
      </c>
      <c r="F486" s="57" t="s">
        <v>154</v>
      </c>
      <c r="G486" s="61"/>
      <c r="H486" s="61" t="s">
        <v>346</v>
      </c>
      <c r="I486" s="62" t="s">
        <v>696</v>
      </c>
      <c r="J486" s="53"/>
    </row>
    <row r="487" ht="24.75" hidden="1" customHeight="1">
      <c r="A487" s="54" t="s">
        <v>658</v>
      </c>
      <c r="B487" s="56" t="s">
        <v>715</v>
      </c>
      <c r="C487" s="56" t="s">
        <v>606</v>
      </c>
      <c r="D487" s="56" t="s">
        <v>716</v>
      </c>
      <c r="E487" s="56" t="s">
        <v>685</v>
      </c>
      <c r="F487" s="57" t="s">
        <v>154</v>
      </c>
      <c r="G487" s="61"/>
      <c r="H487" s="61" t="s">
        <v>200</v>
      </c>
      <c r="I487" s="62" t="s">
        <v>689</v>
      </c>
      <c r="J487" s="53"/>
    </row>
    <row r="488" ht="24.75" hidden="1" customHeight="1">
      <c r="A488" s="54" t="s">
        <v>658</v>
      </c>
      <c r="B488" s="56" t="s">
        <v>717</v>
      </c>
      <c r="C488" s="56" t="s">
        <v>718</v>
      </c>
      <c r="D488" s="56" t="s">
        <v>719</v>
      </c>
      <c r="E488" s="56" t="s">
        <v>239</v>
      </c>
      <c r="F488" s="57" t="s">
        <v>154</v>
      </c>
      <c r="G488" s="61"/>
      <c r="H488" s="79"/>
      <c r="I488" s="62" t="s">
        <v>207</v>
      </c>
      <c r="J488" s="53"/>
    </row>
    <row r="489" ht="24.75" hidden="1" customHeight="1">
      <c r="A489" s="54" t="s">
        <v>658</v>
      </c>
      <c r="B489" s="56" t="s">
        <v>720</v>
      </c>
      <c r="C489" s="56" t="s">
        <v>718</v>
      </c>
      <c r="D489" s="56" t="s">
        <v>721</v>
      </c>
      <c r="E489" s="56" t="s">
        <v>722</v>
      </c>
      <c r="F489" s="57" t="s">
        <v>154</v>
      </c>
      <c r="G489" s="61"/>
      <c r="H489" s="79"/>
      <c r="I489" s="62"/>
      <c r="J489" s="53"/>
    </row>
    <row r="490" ht="24.75" hidden="1" customHeight="1">
      <c r="A490" s="54" t="s">
        <v>658</v>
      </c>
      <c r="B490" s="56" t="s">
        <v>720</v>
      </c>
      <c r="C490" s="56" t="s">
        <v>718</v>
      </c>
      <c r="D490" s="56" t="s">
        <v>721</v>
      </c>
      <c r="E490" s="56" t="s">
        <v>723</v>
      </c>
      <c r="F490" s="57" t="s">
        <v>154</v>
      </c>
      <c r="G490" s="61"/>
      <c r="H490" s="79"/>
      <c r="I490" s="62"/>
      <c r="J490" s="53"/>
    </row>
    <row r="491" ht="24.75" hidden="1" customHeight="1">
      <c r="A491" s="54" t="s">
        <v>658</v>
      </c>
      <c r="B491" s="56" t="s">
        <v>724</v>
      </c>
      <c r="C491" s="56" t="s">
        <v>718</v>
      </c>
      <c r="D491" s="56" t="s">
        <v>725</v>
      </c>
      <c r="E491" s="56" t="s">
        <v>239</v>
      </c>
      <c r="F491" s="57" t="s">
        <v>154</v>
      </c>
      <c r="G491" s="61"/>
      <c r="H491" s="79"/>
      <c r="I491" s="62" t="s">
        <v>207</v>
      </c>
      <c r="J491" s="53"/>
    </row>
    <row r="492" ht="24.75" hidden="1" customHeight="1">
      <c r="A492" s="54" t="s">
        <v>658</v>
      </c>
      <c r="B492" s="56" t="s">
        <v>720</v>
      </c>
      <c r="C492" s="56" t="s">
        <v>718</v>
      </c>
      <c r="D492" s="56" t="s">
        <v>728</v>
      </c>
      <c r="E492" s="56" t="s">
        <v>722</v>
      </c>
      <c r="F492" s="57" t="s">
        <v>154</v>
      </c>
      <c r="G492" s="61"/>
      <c r="H492" s="79"/>
      <c r="I492" s="62"/>
      <c r="J492" s="53"/>
    </row>
    <row r="493" ht="24.75" hidden="1" customHeight="1">
      <c r="A493" s="54" t="s">
        <v>658</v>
      </c>
      <c r="B493" s="56" t="s">
        <v>720</v>
      </c>
      <c r="C493" s="56" t="s">
        <v>718</v>
      </c>
      <c r="D493" s="56" t="s">
        <v>728</v>
      </c>
      <c r="E493" s="56" t="s">
        <v>723</v>
      </c>
      <c r="F493" s="57" t="s">
        <v>154</v>
      </c>
      <c r="G493" s="61"/>
      <c r="H493" s="79"/>
      <c r="I493" s="62"/>
      <c r="J493" s="53"/>
    </row>
    <row r="494" ht="24.75" hidden="1" customHeight="1">
      <c r="A494" s="54" t="s">
        <v>729</v>
      </c>
      <c r="B494" s="56" t="s">
        <v>730</v>
      </c>
      <c r="C494" s="56" t="s">
        <v>731</v>
      </c>
      <c r="D494" s="56" t="s">
        <v>732</v>
      </c>
      <c r="E494" s="56" t="s">
        <v>167</v>
      </c>
      <c r="F494" s="57" t="s">
        <v>154</v>
      </c>
      <c r="G494" s="61"/>
      <c r="H494" s="61"/>
      <c r="I494" s="62"/>
      <c r="J494" s="53"/>
    </row>
    <row r="495" ht="24.75" hidden="1" customHeight="1">
      <c r="A495" s="54" t="s">
        <v>729</v>
      </c>
      <c r="B495" s="56" t="s">
        <v>730</v>
      </c>
      <c r="C495" s="56" t="s">
        <v>731</v>
      </c>
      <c r="D495" s="56" t="s">
        <v>732</v>
      </c>
      <c r="E495" s="56" t="s">
        <v>733</v>
      </c>
      <c r="F495" s="57" t="s">
        <v>154</v>
      </c>
      <c r="G495" s="61"/>
      <c r="H495" s="61"/>
      <c r="I495" s="62"/>
      <c r="J495" s="53"/>
    </row>
    <row r="496" ht="24.75" hidden="1" customHeight="1">
      <c r="A496" s="54" t="s">
        <v>729</v>
      </c>
      <c r="B496" s="56" t="s">
        <v>730</v>
      </c>
      <c r="C496" s="56" t="s">
        <v>731</v>
      </c>
      <c r="D496" s="56" t="s">
        <v>732</v>
      </c>
      <c r="E496" s="56" t="s">
        <v>176</v>
      </c>
      <c r="F496" s="57" t="s">
        <v>154</v>
      </c>
      <c r="G496" s="61"/>
      <c r="H496" s="61"/>
      <c r="I496" s="62"/>
      <c r="J496" s="53"/>
    </row>
    <row r="497" ht="24.75" hidden="1" customHeight="1">
      <c r="A497" s="54" t="s">
        <v>729</v>
      </c>
      <c r="B497" s="56" t="s">
        <v>734</v>
      </c>
      <c r="C497" s="56" t="s">
        <v>731</v>
      </c>
      <c r="D497" s="56" t="s">
        <v>735</v>
      </c>
      <c r="E497" s="56" t="s">
        <v>167</v>
      </c>
      <c r="F497" s="57" t="s">
        <v>154</v>
      </c>
      <c r="G497" s="61"/>
      <c r="H497" s="61"/>
      <c r="I497" s="62"/>
      <c r="J497" s="53"/>
    </row>
    <row r="498" ht="24.75" hidden="1" customHeight="1">
      <c r="A498" s="54" t="s">
        <v>729</v>
      </c>
      <c r="B498" s="56" t="s">
        <v>734</v>
      </c>
      <c r="C498" s="56" t="s">
        <v>731</v>
      </c>
      <c r="D498" s="56" t="s">
        <v>735</v>
      </c>
      <c r="E498" s="56" t="s">
        <v>733</v>
      </c>
      <c r="F498" s="57" t="s">
        <v>154</v>
      </c>
      <c r="G498" s="61"/>
      <c r="H498" s="61"/>
      <c r="I498" s="62"/>
      <c r="J498" s="53"/>
    </row>
    <row r="499" ht="24.75" hidden="1" customHeight="1">
      <c r="A499" s="54" t="s">
        <v>729</v>
      </c>
      <c r="B499" s="56" t="s">
        <v>734</v>
      </c>
      <c r="C499" s="56" t="s">
        <v>731</v>
      </c>
      <c r="D499" s="56" t="s">
        <v>735</v>
      </c>
      <c r="E499" s="56" t="s">
        <v>176</v>
      </c>
      <c r="F499" s="57" t="s">
        <v>154</v>
      </c>
      <c r="G499" s="61"/>
      <c r="H499" s="61"/>
      <c r="I499" s="62"/>
      <c r="J499" s="53"/>
    </row>
    <row r="500" ht="24.75" hidden="1" customHeight="1">
      <c r="A500" s="54" t="s">
        <v>729</v>
      </c>
      <c r="B500" s="56" t="s">
        <v>736</v>
      </c>
      <c r="C500" s="56" t="s">
        <v>731</v>
      </c>
      <c r="D500" s="56" t="s">
        <v>737</v>
      </c>
      <c r="E500" s="56" t="s">
        <v>167</v>
      </c>
      <c r="F500" s="57" t="s">
        <v>154</v>
      </c>
      <c r="G500" s="61"/>
      <c r="H500" s="61"/>
      <c r="I500" s="62"/>
      <c r="J500" s="53"/>
    </row>
    <row r="501" ht="24.75" hidden="1" customHeight="1">
      <c r="A501" s="54" t="s">
        <v>729</v>
      </c>
      <c r="B501" s="56" t="s">
        <v>736</v>
      </c>
      <c r="C501" s="56" t="s">
        <v>731</v>
      </c>
      <c r="D501" s="56" t="s">
        <v>737</v>
      </c>
      <c r="E501" s="56" t="s">
        <v>733</v>
      </c>
      <c r="F501" s="57" t="s">
        <v>154</v>
      </c>
      <c r="G501" s="61"/>
      <c r="H501" s="61"/>
      <c r="I501" s="62"/>
      <c r="J501" s="53"/>
    </row>
    <row r="502" ht="24.75" hidden="1" customHeight="1">
      <c r="A502" s="54" t="s">
        <v>729</v>
      </c>
      <c r="B502" s="56" t="s">
        <v>736</v>
      </c>
      <c r="C502" s="56" t="s">
        <v>731</v>
      </c>
      <c r="D502" s="56" t="s">
        <v>737</v>
      </c>
      <c r="E502" s="56" t="s">
        <v>176</v>
      </c>
      <c r="F502" s="57" t="s">
        <v>154</v>
      </c>
      <c r="G502" s="61"/>
      <c r="H502" s="61"/>
      <c r="I502" s="62"/>
      <c r="J502" s="53"/>
    </row>
    <row r="503" ht="24.75" hidden="1" customHeight="1">
      <c r="A503" s="54" t="s">
        <v>729</v>
      </c>
      <c r="B503" s="56" t="s">
        <v>738</v>
      </c>
      <c r="C503" s="56" t="s">
        <v>731</v>
      </c>
      <c r="D503" s="56" t="s">
        <v>175</v>
      </c>
      <c r="E503" s="56" t="s">
        <v>163</v>
      </c>
      <c r="F503" s="57" t="s">
        <v>154</v>
      </c>
      <c r="G503" s="61"/>
      <c r="H503" s="61"/>
      <c r="I503" s="62"/>
      <c r="J503" s="53"/>
    </row>
    <row r="504" ht="24.75" hidden="1" customHeight="1">
      <c r="A504" s="54" t="s">
        <v>729</v>
      </c>
      <c r="B504" s="56" t="s">
        <v>738</v>
      </c>
      <c r="C504" s="56" t="s">
        <v>731</v>
      </c>
      <c r="D504" s="56" t="s">
        <v>175</v>
      </c>
      <c r="E504" s="56" t="s">
        <v>176</v>
      </c>
      <c r="F504" s="57" t="s">
        <v>154</v>
      </c>
      <c r="G504" s="61"/>
      <c r="H504" s="61"/>
      <c r="I504" s="62"/>
      <c r="J504" s="53"/>
    </row>
    <row r="505" ht="24.75" hidden="1" customHeight="1">
      <c r="A505" s="54" t="s">
        <v>729</v>
      </c>
      <c r="B505" s="56" t="s">
        <v>739</v>
      </c>
      <c r="C505" s="56" t="s">
        <v>731</v>
      </c>
      <c r="D505" s="56" t="s">
        <v>186</v>
      </c>
      <c r="E505" s="56" t="s">
        <v>163</v>
      </c>
      <c r="F505" s="57" t="s">
        <v>154</v>
      </c>
      <c r="G505" s="61"/>
      <c r="H505" s="61"/>
      <c r="I505" s="62"/>
      <c r="J505" s="53"/>
    </row>
    <row r="506" ht="24.75" hidden="1" customHeight="1">
      <c r="A506" s="54" t="s">
        <v>729</v>
      </c>
      <c r="B506" s="56" t="s">
        <v>739</v>
      </c>
      <c r="C506" s="56" t="s">
        <v>731</v>
      </c>
      <c r="D506" s="56" t="s">
        <v>186</v>
      </c>
      <c r="E506" s="56" t="s">
        <v>176</v>
      </c>
      <c r="F506" s="57" t="s">
        <v>154</v>
      </c>
      <c r="G506" s="61"/>
      <c r="H506" s="61"/>
      <c r="I506" s="62"/>
      <c r="J506" s="53"/>
    </row>
    <row r="507" ht="24.75" hidden="1" customHeight="1">
      <c r="A507" s="54" t="s">
        <v>729</v>
      </c>
      <c r="B507" s="56" t="s">
        <v>740</v>
      </c>
      <c r="C507" s="56" t="s">
        <v>731</v>
      </c>
      <c r="D507" s="56" t="s">
        <v>183</v>
      </c>
      <c r="E507" s="56" t="s">
        <v>163</v>
      </c>
      <c r="F507" s="57" t="s">
        <v>154</v>
      </c>
      <c r="G507" s="61"/>
      <c r="H507" s="61"/>
      <c r="I507" s="62"/>
      <c r="J507" s="53"/>
    </row>
    <row r="508" ht="24.75" hidden="1" customHeight="1">
      <c r="A508" s="54" t="s">
        <v>729</v>
      </c>
      <c r="B508" s="56" t="s">
        <v>740</v>
      </c>
      <c r="C508" s="56" t="s">
        <v>731</v>
      </c>
      <c r="D508" s="56" t="s">
        <v>183</v>
      </c>
      <c r="E508" s="56" t="s">
        <v>176</v>
      </c>
      <c r="F508" s="57" t="s">
        <v>154</v>
      </c>
      <c r="G508" s="61"/>
      <c r="H508" s="61"/>
      <c r="I508" s="62"/>
      <c r="J508" s="53"/>
    </row>
    <row r="509" ht="24.75" hidden="1" customHeight="1">
      <c r="A509" s="54" t="s">
        <v>741</v>
      </c>
      <c r="B509" s="56" t="s">
        <v>742</v>
      </c>
      <c r="C509" s="56" t="s">
        <v>405</v>
      </c>
      <c r="D509" s="56" t="s">
        <v>743</v>
      </c>
      <c r="E509" s="56" t="s">
        <v>409</v>
      </c>
      <c r="F509" s="57" t="s">
        <v>154</v>
      </c>
      <c r="G509" s="61"/>
      <c r="H509" s="61"/>
      <c r="I509" s="62"/>
      <c r="J509" s="53"/>
    </row>
    <row r="510" ht="24.75" hidden="1" customHeight="1">
      <c r="A510" s="54" t="s">
        <v>741</v>
      </c>
      <c r="B510" s="56" t="s">
        <v>744</v>
      </c>
      <c r="C510" s="56" t="s">
        <v>745</v>
      </c>
      <c r="D510" s="56" t="s">
        <v>746</v>
      </c>
      <c r="E510" s="56" t="s">
        <v>747</v>
      </c>
      <c r="F510" s="57" t="s">
        <v>34</v>
      </c>
      <c r="G510" s="61"/>
      <c r="H510" s="61"/>
      <c r="I510" s="62"/>
      <c r="J510" s="53"/>
    </row>
    <row r="511" ht="24.75" hidden="1" customHeight="1">
      <c r="A511" s="54" t="s">
        <v>741</v>
      </c>
      <c r="B511" s="56" t="s">
        <v>744</v>
      </c>
      <c r="C511" s="56" t="s">
        <v>745</v>
      </c>
      <c r="D511" s="56" t="s">
        <v>746</v>
      </c>
      <c r="E511" s="56" t="s">
        <v>748</v>
      </c>
      <c r="F511" s="57" t="s">
        <v>154</v>
      </c>
      <c r="G511" s="61"/>
      <c r="H511" s="61"/>
      <c r="I511" s="62"/>
      <c r="J511" s="53"/>
    </row>
    <row r="512" ht="24.75" hidden="1" customHeight="1">
      <c r="A512" s="54" t="s">
        <v>741</v>
      </c>
      <c r="B512" s="56" t="s">
        <v>749</v>
      </c>
      <c r="C512" s="56" t="s">
        <v>745</v>
      </c>
      <c r="D512" s="56" t="s">
        <v>750</v>
      </c>
      <c r="E512" s="56" t="s">
        <v>747</v>
      </c>
      <c r="F512" s="57" t="s">
        <v>34</v>
      </c>
      <c r="G512" s="61"/>
      <c r="H512" s="61"/>
      <c r="I512" s="62" t="s">
        <v>617</v>
      </c>
      <c r="J512" s="53"/>
    </row>
    <row r="513" ht="24.75" hidden="1" customHeight="1">
      <c r="A513" s="54" t="s">
        <v>741</v>
      </c>
      <c r="B513" s="56" t="s">
        <v>749</v>
      </c>
      <c r="C513" s="56" t="s">
        <v>745</v>
      </c>
      <c r="D513" s="56" t="s">
        <v>750</v>
      </c>
      <c r="E513" s="56" t="s">
        <v>748</v>
      </c>
      <c r="F513" s="57" t="s">
        <v>154</v>
      </c>
      <c r="G513" s="61"/>
      <c r="H513" s="61"/>
      <c r="I513" s="62" t="s">
        <v>617</v>
      </c>
      <c r="J513" s="53"/>
    </row>
    <row r="514" ht="24.75" hidden="1" customHeight="1">
      <c r="A514" s="54" t="s">
        <v>741</v>
      </c>
      <c r="B514" s="56" t="s">
        <v>751</v>
      </c>
      <c r="C514" s="56" t="s">
        <v>610</v>
      </c>
      <c r="D514" s="56" t="s">
        <v>752</v>
      </c>
      <c r="E514" s="56" t="s">
        <v>753</v>
      </c>
      <c r="F514" s="57" t="s">
        <v>154</v>
      </c>
      <c r="G514" s="61"/>
      <c r="H514" s="61"/>
      <c r="I514" s="62" t="s">
        <v>617</v>
      </c>
      <c r="J514" s="53"/>
    </row>
    <row r="515" ht="24.75" hidden="1" customHeight="1">
      <c r="A515" s="54" t="s">
        <v>741</v>
      </c>
      <c r="B515" s="56" t="s">
        <v>751</v>
      </c>
      <c r="C515" s="56" t="s">
        <v>610</v>
      </c>
      <c r="D515" s="56" t="s">
        <v>752</v>
      </c>
      <c r="E515" s="56" t="s">
        <v>754</v>
      </c>
      <c r="F515" s="57" t="s">
        <v>154</v>
      </c>
      <c r="G515" s="61"/>
      <c r="H515" s="61"/>
      <c r="I515" s="62" t="s">
        <v>617</v>
      </c>
      <c r="J515" s="53"/>
    </row>
    <row r="516" ht="24.75" hidden="1" customHeight="1">
      <c r="A516" s="54" t="s">
        <v>741</v>
      </c>
      <c r="B516" s="56" t="s">
        <v>751</v>
      </c>
      <c r="C516" s="56" t="s">
        <v>610</v>
      </c>
      <c r="D516" s="56" t="s">
        <v>752</v>
      </c>
      <c r="E516" s="56" t="s">
        <v>755</v>
      </c>
      <c r="F516" s="57" t="s">
        <v>154</v>
      </c>
      <c r="G516" s="61"/>
      <c r="H516" s="61"/>
      <c r="I516" s="62" t="s">
        <v>617</v>
      </c>
      <c r="J516" s="53"/>
    </row>
    <row r="517" ht="24.75" hidden="1" customHeight="1">
      <c r="A517" s="54" t="s">
        <v>741</v>
      </c>
      <c r="B517" s="56" t="s">
        <v>756</v>
      </c>
      <c r="C517" s="56" t="s">
        <v>624</v>
      </c>
      <c r="D517" s="56" t="s">
        <v>752</v>
      </c>
      <c r="E517" s="56" t="s">
        <v>753</v>
      </c>
      <c r="F517" s="57" t="s">
        <v>154</v>
      </c>
      <c r="G517" s="61"/>
      <c r="H517" s="61"/>
      <c r="I517" s="62" t="s">
        <v>617</v>
      </c>
      <c r="J517" s="53"/>
    </row>
    <row r="518" ht="24.75" hidden="1" customHeight="1">
      <c r="A518" s="54" t="s">
        <v>741</v>
      </c>
      <c r="B518" s="56" t="s">
        <v>756</v>
      </c>
      <c r="C518" s="56" t="s">
        <v>624</v>
      </c>
      <c r="D518" s="56" t="s">
        <v>752</v>
      </c>
      <c r="E518" s="56" t="s">
        <v>754</v>
      </c>
      <c r="F518" s="57" t="s">
        <v>154</v>
      </c>
      <c r="G518" s="61"/>
      <c r="H518" s="61"/>
      <c r="I518" s="62" t="s">
        <v>617</v>
      </c>
      <c r="J518" s="53"/>
    </row>
    <row r="519" ht="24.75" hidden="1" customHeight="1">
      <c r="A519" s="54" t="s">
        <v>741</v>
      </c>
      <c r="B519" s="56" t="s">
        <v>756</v>
      </c>
      <c r="C519" s="56" t="s">
        <v>624</v>
      </c>
      <c r="D519" s="56" t="s">
        <v>752</v>
      </c>
      <c r="E519" s="56" t="s">
        <v>755</v>
      </c>
      <c r="F519" s="57" t="s">
        <v>154</v>
      </c>
      <c r="G519" s="61"/>
      <c r="H519" s="61"/>
      <c r="I519" s="62" t="s">
        <v>617</v>
      </c>
      <c r="J519" s="53"/>
    </row>
    <row r="520" ht="24.75" hidden="1" customHeight="1">
      <c r="A520" s="54" t="s">
        <v>741</v>
      </c>
      <c r="B520" s="56" t="s">
        <v>757</v>
      </c>
      <c r="C520" s="56" t="s">
        <v>627</v>
      </c>
      <c r="D520" s="56" t="s">
        <v>752</v>
      </c>
      <c r="E520" s="56" t="s">
        <v>753</v>
      </c>
      <c r="F520" s="57" t="s">
        <v>250</v>
      </c>
      <c r="G520" s="61"/>
      <c r="H520" s="61"/>
      <c r="I520" s="62" t="s">
        <v>617</v>
      </c>
      <c r="J520" s="53"/>
    </row>
    <row r="521" ht="24.75" hidden="1" customHeight="1">
      <c r="A521" s="54" t="s">
        <v>741</v>
      </c>
      <c r="B521" s="56" t="s">
        <v>757</v>
      </c>
      <c r="C521" s="56" t="s">
        <v>627</v>
      </c>
      <c r="D521" s="56" t="s">
        <v>752</v>
      </c>
      <c r="E521" s="56" t="s">
        <v>754</v>
      </c>
      <c r="F521" s="57" t="s">
        <v>250</v>
      </c>
      <c r="G521" s="61"/>
      <c r="H521" s="61"/>
      <c r="I521" s="62" t="s">
        <v>617</v>
      </c>
      <c r="J521" s="53"/>
    </row>
    <row r="522" ht="24.75" hidden="1" customHeight="1">
      <c r="A522" s="54" t="s">
        <v>741</v>
      </c>
      <c r="B522" s="56" t="s">
        <v>757</v>
      </c>
      <c r="C522" s="56" t="s">
        <v>627</v>
      </c>
      <c r="D522" s="56" t="s">
        <v>752</v>
      </c>
      <c r="E522" s="56" t="s">
        <v>755</v>
      </c>
      <c r="F522" s="57" t="s">
        <v>250</v>
      </c>
      <c r="G522" s="61"/>
      <c r="H522" s="61"/>
      <c r="I522" s="62" t="s">
        <v>617</v>
      </c>
      <c r="J522" s="53"/>
    </row>
    <row r="523" ht="24.75" hidden="1" customHeight="1">
      <c r="A523" s="54" t="s">
        <v>741</v>
      </c>
      <c r="B523" s="56" t="s">
        <v>758</v>
      </c>
      <c r="C523" s="56" t="s">
        <v>640</v>
      </c>
      <c r="D523" s="56" t="s">
        <v>752</v>
      </c>
      <c r="E523" s="56" t="s">
        <v>753</v>
      </c>
      <c r="F523" s="57" t="s">
        <v>250</v>
      </c>
      <c r="G523" s="61"/>
      <c r="H523" s="61"/>
      <c r="I523" s="62" t="s">
        <v>617</v>
      </c>
      <c r="J523" s="53"/>
    </row>
    <row r="524" ht="24.75" hidden="1" customHeight="1">
      <c r="A524" s="54" t="s">
        <v>741</v>
      </c>
      <c r="B524" s="56" t="s">
        <v>758</v>
      </c>
      <c r="C524" s="56" t="s">
        <v>640</v>
      </c>
      <c r="D524" s="56" t="s">
        <v>752</v>
      </c>
      <c r="E524" s="56" t="s">
        <v>754</v>
      </c>
      <c r="F524" s="57" t="s">
        <v>250</v>
      </c>
      <c r="G524" s="61"/>
      <c r="H524" s="61"/>
      <c r="I524" s="62" t="s">
        <v>617</v>
      </c>
      <c r="J524" s="53"/>
    </row>
    <row r="525" ht="24.75" hidden="1" customHeight="1">
      <c r="A525" s="54" t="s">
        <v>741</v>
      </c>
      <c r="B525" s="56" t="s">
        <v>758</v>
      </c>
      <c r="C525" s="56" t="s">
        <v>640</v>
      </c>
      <c r="D525" s="56" t="s">
        <v>752</v>
      </c>
      <c r="E525" s="56" t="s">
        <v>755</v>
      </c>
      <c r="F525" s="57" t="s">
        <v>250</v>
      </c>
      <c r="G525" s="61"/>
      <c r="H525" s="61"/>
      <c r="I525" s="62" t="s">
        <v>617</v>
      </c>
      <c r="J525" s="53"/>
    </row>
    <row r="526" ht="24.75" hidden="1" customHeight="1">
      <c r="A526" s="54" t="s">
        <v>741</v>
      </c>
      <c r="B526" s="56" t="s">
        <v>759</v>
      </c>
      <c r="C526" s="56" t="s">
        <v>645</v>
      </c>
      <c r="D526" s="56" t="s">
        <v>752</v>
      </c>
      <c r="E526" s="56" t="s">
        <v>753</v>
      </c>
      <c r="F526" s="57" t="s">
        <v>250</v>
      </c>
      <c r="G526" s="61"/>
      <c r="H526" s="61"/>
      <c r="I526" s="62" t="s">
        <v>617</v>
      </c>
      <c r="J526" s="53"/>
    </row>
    <row r="527" ht="24.75" hidden="1" customHeight="1">
      <c r="A527" s="54" t="s">
        <v>741</v>
      </c>
      <c r="B527" s="56" t="s">
        <v>759</v>
      </c>
      <c r="C527" s="56" t="s">
        <v>645</v>
      </c>
      <c r="D527" s="56" t="s">
        <v>752</v>
      </c>
      <c r="E527" s="56" t="s">
        <v>754</v>
      </c>
      <c r="F527" s="57" t="s">
        <v>250</v>
      </c>
      <c r="G527" s="61"/>
      <c r="H527" s="61"/>
      <c r="I527" s="62" t="s">
        <v>617</v>
      </c>
      <c r="J527" s="53"/>
    </row>
    <row r="528" ht="24.75" hidden="1" customHeight="1">
      <c r="A528" s="54" t="s">
        <v>741</v>
      </c>
      <c r="B528" s="56" t="s">
        <v>759</v>
      </c>
      <c r="C528" s="56" t="s">
        <v>645</v>
      </c>
      <c r="D528" s="56" t="s">
        <v>752</v>
      </c>
      <c r="E528" s="56" t="s">
        <v>755</v>
      </c>
      <c r="F528" s="57" t="s">
        <v>250</v>
      </c>
      <c r="G528" s="61"/>
      <c r="H528" s="61"/>
      <c r="I528" s="62" t="s">
        <v>617</v>
      </c>
      <c r="J528" s="53"/>
    </row>
    <row r="529" ht="24.75" hidden="1" customHeight="1">
      <c r="A529" s="54" t="s">
        <v>741</v>
      </c>
      <c r="B529" s="56" t="s">
        <v>760</v>
      </c>
      <c r="C529" s="56" t="s">
        <v>606</v>
      </c>
      <c r="D529" s="56" t="s">
        <v>752</v>
      </c>
      <c r="E529" s="56" t="s">
        <v>753</v>
      </c>
      <c r="F529" s="57" t="s">
        <v>250</v>
      </c>
      <c r="G529" s="61"/>
      <c r="H529" s="61"/>
      <c r="I529" s="62" t="s">
        <v>617</v>
      </c>
      <c r="J529" s="53"/>
    </row>
    <row r="530" ht="24.75" hidden="1" customHeight="1">
      <c r="A530" s="54" t="s">
        <v>741</v>
      </c>
      <c r="B530" s="56" t="s">
        <v>760</v>
      </c>
      <c r="C530" s="56" t="s">
        <v>606</v>
      </c>
      <c r="D530" s="56" t="s">
        <v>752</v>
      </c>
      <c r="E530" s="56" t="s">
        <v>754</v>
      </c>
      <c r="F530" s="57" t="s">
        <v>250</v>
      </c>
      <c r="G530" s="61"/>
      <c r="H530" s="61"/>
      <c r="I530" s="62" t="s">
        <v>617</v>
      </c>
      <c r="J530" s="53"/>
    </row>
    <row r="531" ht="24.75" hidden="1" customHeight="1">
      <c r="A531" s="54" t="s">
        <v>741</v>
      </c>
      <c r="B531" s="56" t="s">
        <v>760</v>
      </c>
      <c r="C531" s="56" t="s">
        <v>606</v>
      </c>
      <c r="D531" s="56" t="s">
        <v>752</v>
      </c>
      <c r="E531" s="56" t="s">
        <v>755</v>
      </c>
      <c r="F531" s="57" t="s">
        <v>250</v>
      </c>
      <c r="G531" s="61"/>
      <c r="H531" s="61"/>
      <c r="I531" s="62" t="s">
        <v>617</v>
      </c>
      <c r="J531" s="53"/>
    </row>
    <row r="532" ht="24.75" hidden="1" customHeight="1">
      <c r="A532" s="54" t="s">
        <v>761</v>
      </c>
      <c r="B532" s="56" t="s">
        <v>762</v>
      </c>
      <c r="C532" s="56" t="s">
        <v>763</v>
      </c>
      <c r="D532" s="56" t="s">
        <v>764</v>
      </c>
      <c r="E532" s="56" t="s">
        <v>195</v>
      </c>
      <c r="F532" s="57" t="s">
        <v>34</v>
      </c>
      <c r="G532" s="61"/>
      <c r="H532" s="61" t="s">
        <v>197</v>
      </c>
      <c r="I532" s="62"/>
      <c r="J532" s="53"/>
    </row>
    <row r="533" ht="24.75" hidden="1" customHeight="1">
      <c r="A533" s="54" t="s">
        <v>761</v>
      </c>
      <c r="B533" s="56" t="s">
        <v>762</v>
      </c>
      <c r="C533" s="56" t="s">
        <v>763</v>
      </c>
      <c r="D533" s="56" t="s">
        <v>764</v>
      </c>
      <c r="E533" s="56" t="s">
        <v>196</v>
      </c>
      <c r="F533" s="57" t="s">
        <v>154</v>
      </c>
      <c r="G533" s="61"/>
      <c r="H533" s="61" t="s">
        <v>200</v>
      </c>
      <c r="I533" s="62" t="s">
        <v>201</v>
      </c>
      <c r="J533" s="53"/>
    </row>
    <row r="534" ht="24.75" hidden="1" customHeight="1">
      <c r="A534" s="54" t="s">
        <v>761</v>
      </c>
      <c r="B534" s="56" t="s">
        <v>762</v>
      </c>
      <c r="C534" s="56" t="s">
        <v>763</v>
      </c>
      <c r="D534" s="56" t="s">
        <v>764</v>
      </c>
      <c r="E534" s="56" t="s">
        <v>191</v>
      </c>
      <c r="F534" s="57" t="s">
        <v>192</v>
      </c>
      <c r="G534" s="61"/>
      <c r="H534" s="61"/>
      <c r="I534" s="62"/>
      <c r="J534" s="53"/>
    </row>
    <row r="535" ht="24.75" hidden="1" customHeight="1">
      <c r="A535" s="54" t="s">
        <v>761</v>
      </c>
      <c r="B535" s="56" t="s">
        <v>762</v>
      </c>
      <c r="C535" s="56" t="s">
        <v>763</v>
      </c>
      <c r="D535" s="56" t="s">
        <v>764</v>
      </c>
      <c r="E535" s="56" t="s">
        <v>194</v>
      </c>
      <c r="F535" s="57" t="s">
        <v>192</v>
      </c>
      <c r="G535" s="61"/>
      <c r="H535" s="61"/>
      <c r="I535" s="62"/>
      <c r="J535" s="53"/>
    </row>
    <row r="536" ht="24.75" hidden="1" customHeight="1">
      <c r="A536" s="54" t="s">
        <v>761</v>
      </c>
      <c r="B536" s="56" t="s">
        <v>765</v>
      </c>
      <c r="C536" s="56" t="s">
        <v>766</v>
      </c>
      <c r="D536" s="56" t="s">
        <v>767</v>
      </c>
      <c r="E536" s="56" t="s">
        <v>768</v>
      </c>
      <c r="F536" s="57" t="s">
        <v>154</v>
      </c>
      <c r="G536" s="61"/>
      <c r="H536" s="61" t="s">
        <v>769</v>
      </c>
      <c r="I536" s="62" t="s">
        <v>770</v>
      </c>
      <c r="J536" s="53"/>
    </row>
    <row r="537" ht="24.75" hidden="1" customHeight="1">
      <c r="A537" s="54" t="s">
        <v>761</v>
      </c>
      <c r="B537" s="56" t="s">
        <v>765</v>
      </c>
      <c r="C537" s="56" t="s">
        <v>766</v>
      </c>
      <c r="D537" s="56" t="s">
        <v>767</v>
      </c>
      <c r="E537" s="56" t="s">
        <v>771</v>
      </c>
      <c r="F537" s="57" t="s">
        <v>154</v>
      </c>
      <c r="G537" s="61"/>
      <c r="H537" s="61" t="s">
        <v>769</v>
      </c>
      <c r="I537" s="62" t="s">
        <v>772</v>
      </c>
      <c r="J537" s="53"/>
    </row>
    <row r="538" ht="24.75" hidden="1" customHeight="1">
      <c r="A538" s="54" t="s">
        <v>761</v>
      </c>
      <c r="B538" s="56" t="s">
        <v>765</v>
      </c>
      <c r="C538" s="56" t="s">
        <v>766</v>
      </c>
      <c r="D538" s="56" t="s">
        <v>767</v>
      </c>
      <c r="E538" s="56" t="s">
        <v>773</v>
      </c>
      <c r="F538" s="57" t="s">
        <v>154</v>
      </c>
      <c r="G538" s="61"/>
      <c r="H538" s="61"/>
      <c r="I538" s="62"/>
      <c r="J538" s="53"/>
    </row>
    <row r="539" ht="24.75" hidden="1" customHeight="1">
      <c r="A539" s="54" t="s">
        <v>761</v>
      </c>
      <c r="B539" s="56" t="s">
        <v>765</v>
      </c>
      <c r="C539" s="56" t="s">
        <v>766</v>
      </c>
      <c r="D539" s="56" t="s">
        <v>767</v>
      </c>
      <c r="E539" s="56" t="s">
        <v>774</v>
      </c>
      <c r="F539" s="57" t="s">
        <v>154</v>
      </c>
      <c r="G539" s="61"/>
      <c r="H539" s="61"/>
      <c r="I539" s="62"/>
      <c r="J539" s="53"/>
    </row>
    <row r="540" ht="24.75" hidden="1" customHeight="1">
      <c r="A540" s="54" t="s">
        <v>761</v>
      </c>
      <c r="B540" s="56" t="s">
        <v>765</v>
      </c>
      <c r="C540" s="56" t="s">
        <v>766</v>
      </c>
      <c r="D540" s="56" t="s">
        <v>767</v>
      </c>
      <c r="E540" s="56" t="s">
        <v>775</v>
      </c>
      <c r="F540" s="57" t="s">
        <v>154</v>
      </c>
      <c r="G540" s="61"/>
      <c r="H540" s="61"/>
      <c r="I540" s="62"/>
      <c r="J540" s="53"/>
    </row>
    <row r="541" ht="24.75" hidden="1" customHeight="1">
      <c r="A541" s="54" t="s">
        <v>761</v>
      </c>
      <c r="B541" s="56" t="s">
        <v>765</v>
      </c>
      <c r="C541" s="56" t="s">
        <v>766</v>
      </c>
      <c r="D541" s="56" t="s">
        <v>776</v>
      </c>
      <c r="E541" s="56" t="s">
        <v>777</v>
      </c>
      <c r="F541" s="57" t="s">
        <v>15</v>
      </c>
      <c r="G541" s="61"/>
      <c r="H541" s="61"/>
      <c r="I541" s="60"/>
      <c r="J541" s="53"/>
    </row>
    <row r="542" ht="24.75" hidden="1" customHeight="1">
      <c r="A542" s="54" t="s">
        <v>761</v>
      </c>
      <c r="B542" s="56" t="s">
        <v>765</v>
      </c>
      <c r="C542" s="56" t="s">
        <v>766</v>
      </c>
      <c r="D542" s="56" t="s">
        <v>776</v>
      </c>
      <c r="E542" s="56" t="s">
        <v>778</v>
      </c>
      <c r="F542" s="57" t="s">
        <v>15</v>
      </c>
      <c r="G542" s="61"/>
      <c r="H542" s="61"/>
      <c r="I542" s="60"/>
      <c r="J542" s="53"/>
    </row>
    <row r="543" ht="24.75" hidden="1" customHeight="1">
      <c r="A543" s="54" t="s">
        <v>761</v>
      </c>
      <c r="B543" s="56" t="s">
        <v>779</v>
      </c>
      <c r="C543" s="56" t="s">
        <v>780</v>
      </c>
      <c r="D543" s="56" t="s">
        <v>781</v>
      </c>
      <c r="E543" s="56" t="s">
        <v>232</v>
      </c>
      <c r="F543" s="57" t="s">
        <v>154</v>
      </c>
      <c r="G543" s="61"/>
      <c r="H543" s="61" t="s">
        <v>769</v>
      </c>
      <c r="I543" s="62" t="s">
        <v>782</v>
      </c>
      <c r="J543" s="83"/>
    </row>
    <row r="544" ht="24.75" hidden="1" customHeight="1">
      <c r="A544" s="54" t="s">
        <v>761</v>
      </c>
      <c r="B544" s="56" t="s">
        <v>779</v>
      </c>
      <c r="C544" s="56" t="s">
        <v>780</v>
      </c>
      <c r="D544" s="56" t="s">
        <v>781</v>
      </c>
      <c r="E544" s="56" t="s">
        <v>783</v>
      </c>
      <c r="F544" s="57" t="s">
        <v>154</v>
      </c>
      <c r="G544" s="61"/>
      <c r="H544" s="61"/>
      <c r="I544" s="62"/>
      <c r="J544" s="53"/>
    </row>
    <row r="545" ht="24.75" hidden="1" customHeight="1">
      <c r="A545" s="54" t="s">
        <v>761</v>
      </c>
      <c r="B545" s="56" t="s">
        <v>779</v>
      </c>
      <c r="C545" s="56" t="s">
        <v>780</v>
      </c>
      <c r="D545" s="56" t="s">
        <v>781</v>
      </c>
      <c r="E545" s="56" t="s">
        <v>230</v>
      </c>
      <c r="F545" s="57" t="s">
        <v>154</v>
      </c>
      <c r="G545" s="61"/>
      <c r="H545" s="61"/>
      <c r="I545" s="62"/>
      <c r="J545" s="83"/>
    </row>
    <row r="546" ht="24.75" hidden="1" customHeight="1">
      <c r="A546" s="54" t="s">
        <v>761</v>
      </c>
      <c r="B546" s="56" t="s">
        <v>784</v>
      </c>
      <c r="C546" s="56" t="s">
        <v>763</v>
      </c>
      <c r="D546" s="56" t="s">
        <v>785</v>
      </c>
      <c r="E546" s="56" t="s">
        <v>216</v>
      </c>
      <c r="F546" s="57" t="s">
        <v>34</v>
      </c>
      <c r="G546" s="61"/>
      <c r="H546" s="61"/>
      <c r="I546" s="62"/>
      <c r="J546" s="53"/>
    </row>
    <row r="547" ht="24.75" hidden="1" customHeight="1">
      <c r="A547" s="54" t="s">
        <v>761</v>
      </c>
      <c r="B547" s="56" t="s">
        <v>784</v>
      </c>
      <c r="C547" s="56" t="s">
        <v>763</v>
      </c>
      <c r="D547" s="56" t="s">
        <v>785</v>
      </c>
      <c r="E547" s="56" t="s">
        <v>786</v>
      </c>
      <c r="F547" s="57" t="s">
        <v>34</v>
      </c>
      <c r="G547" s="61"/>
      <c r="H547" s="61"/>
      <c r="I547" s="62"/>
      <c r="J547" s="53"/>
    </row>
    <row r="548" ht="24.75" hidden="1" customHeight="1">
      <c r="A548" s="54" t="s">
        <v>761</v>
      </c>
      <c r="B548" s="56" t="s">
        <v>784</v>
      </c>
      <c r="C548" s="56" t="s">
        <v>763</v>
      </c>
      <c r="D548" s="56" t="s">
        <v>787</v>
      </c>
      <c r="E548" s="56" t="s">
        <v>163</v>
      </c>
      <c r="F548" s="57" t="s">
        <v>34</v>
      </c>
      <c r="G548" s="61"/>
      <c r="H548" s="61"/>
      <c r="I548" s="62"/>
      <c r="J548" s="53"/>
    </row>
    <row r="549" ht="24.75" hidden="1" customHeight="1">
      <c r="A549" s="54" t="s">
        <v>761</v>
      </c>
      <c r="B549" s="56" t="s">
        <v>784</v>
      </c>
      <c r="C549" s="56" t="s">
        <v>763</v>
      </c>
      <c r="D549" s="56" t="s">
        <v>787</v>
      </c>
      <c r="E549" s="56" t="s">
        <v>788</v>
      </c>
      <c r="F549" s="57" t="s">
        <v>154</v>
      </c>
      <c r="G549" s="61"/>
      <c r="H549" s="61"/>
      <c r="I549" s="62"/>
      <c r="J549" s="53"/>
    </row>
    <row r="550" ht="24.75" hidden="1" customHeight="1">
      <c r="A550" s="54" t="s">
        <v>761</v>
      </c>
      <c r="B550" s="56" t="s">
        <v>784</v>
      </c>
      <c r="C550" s="56" t="s">
        <v>763</v>
      </c>
      <c r="D550" s="56" t="s">
        <v>787</v>
      </c>
      <c r="E550" s="56" t="s">
        <v>213</v>
      </c>
      <c r="F550" s="57"/>
      <c r="G550" s="50"/>
      <c r="H550" s="50"/>
      <c r="I550" s="84"/>
      <c r="J550" s="53"/>
    </row>
    <row r="551" ht="24.75" hidden="1" customHeight="1">
      <c r="A551" s="54" t="s">
        <v>761</v>
      </c>
      <c r="B551" s="56" t="s">
        <v>784</v>
      </c>
      <c r="C551" s="56" t="s">
        <v>763</v>
      </c>
      <c r="D551" s="56" t="s">
        <v>789</v>
      </c>
      <c r="E551" s="56" t="s">
        <v>790</v>
      </c>
      <c r="F551" s="57" t="s">
        <v>154</v>
      </c>
      <c r="G551" s="61"/>
      <c r="H551" s="61"/>
      <c r="I551" s="62"/>
      <c r="J551" s="53"/>
    </row>
    <row r="552" ht="24.75" hidden="1" customHeight="1">
      <c r="A552" s="54" t="s">
        <v>761</v>
      </c>
      <c r="B552" s="56" t="s">
        <v>791</v>
      </c>
      <c r="C552" s="56" t="s">
        <v>792</v>
      </c>
      <c r="D552" s="56" t="s">
        <v>793</v>
      </c>
      <c r="E552" s="56" t="s">
        <v>794</v>
      </c>
      <c r="F552" s="57" t="s">
        <v>154</v>
      </c>
      <c r="G552" s="61"/>
      <c r="H552" s="61"/>
      <c r="I552" s="62"/>
      <c r="J552" s="53"/>
    </row>
    <row r="553" ht="24.75" hidden="1" customHeight="1">
      <c r="A553" s="54" t="s">
        <v>761</v>
      </c>
      <c r="B553" s="56" t="s">
        <v>795</v>
      </c>
      <c r="C553" s="56" t="s">
        <v>792</v>
      </c>
      <c r="D553" s="56" t="s">
        <v>796</v>
      </c>
      <c r="E553" s="56" t="s">
        <v>797</v>
      </c>
      <c r="F553" s="57" t="s">
        <v>154</v>
      </c>
      <c r="G553" s="81"/>
      <c r="H553" s="61" t="s">
        <v>769</v>
      </c>
      <c r="I553" s="62" t="s">
        <v>800</v>
      </c>
      <c r="J553" s="53"/>
    </row>
    <row r="554" ht="24.75" hidden="1" customHeight="1">
      <c r="A554" s="54" t="s">
        <v>761</v>
      </c>
      <c r="B554" s="56" t="s">
        <v>798</v>
      </c>
      <c r="C554" s="56" t="s">
        <v>792</v>
      </c>
      <c r="D554" s="56" t="s">
        <v>799</v>
      </c>
      <c r="E554" s="56" t="s">
        <v>790</v>
      </c>
      <c r="F554" s="57" t="s">
        <v>154</v>
      </c>
      <c r="G554" s="61"/>
      <c r="H554" s="61" t="s">
        <v>769</v>
      </c>
      <c r="I554" s="62" t="s">
        <v>803</v>
      </c>
      <c r="J554" s="53"/>
    </row>
    <row r="555" ht="24.75" hidden="1" customHeight="1">
      <c r="A555" s="54" t="s">
        <v>761</v>
      </c>
      <c r="B555" s="56" t="s">
        <v>801</v>
      </c>
      <c r="C555" s="56" t="s">
        <v>792</v>
      </c>
      <c r="D555" s="56" t="s">
        <v>802</v>
      </c>
      <c r="E555" s="56" t="s">
        <v>790</v>
      </c>
      <c r="F555" s="57" t="s">
        <v>154</v>
      </c>
      <c r="G555" s="61"/>
      <c r="H555" s="61" t="s">
        <v>769</v>
      </c>
      <c r="I555" s="62" t="s">
        <v>806</v>
      </c>
      <c r="J555" s="53"/>
    </row>
    <row r="556" ht="24.75" hidden="1" customHeight="1">
      <c r="A556" s="54" t="s">
        <v>761</v>
      </c>
      <c r="B556" s="56" t="s">
        <v>804</v>
      </c>
      <c r="C556" s="56" t="s">
        <v>792</v>
      </c>
      <c r="D556" s="56" t="s">
        <v>805</v>
      </c>
      <c r="E556" s="56" t="s">
        <v>790</v>
      </c>
      <c r="F556" s="57" t="s">
        <v>154</v>
      </c>
      <c r="G556" s="61"/>
      <c r="H556" s="61" t="s">
        <v>769</v>
      </c>
      <c r="I556" s="62" t="s">
        <v>810</v>
      </c>
      <c r="J556" s="53"/>
    </row>
    <row r="557" ht="24.75" hidden="1" customHeight="1">
      <c r="A557" s="54" t="s">
        <v>761</v>
      </c>
      <c r="B557" s="56" t="s">
        <v>807</v>
      </c>
      <c r="C557" s="56" t="s">
        <v>792</v>
      </c>
      <c r="D557" s="56" t="s">
        <v>808</v>
      </c>
      <c r="E557" s="56" t="s">
        <v>790</v>
      </c>
      <c r="F557" s="57" t="s">
        <v>154</v>
      </c>
      <c r="G557" s="61"/>
      <c r="H557" s="61" t="s">
        <v>769</v>
      </c>
      <c r="I557" s="62" t="s">
        <v>806</v>
      </c>
      <c r="J557" s="53"/>
    </row>
    <row r="558" ht="24.75" hidden="1" customHeight="1">
      <c r="A558" s="54" t="s">
        <v>761</v>
      </c>
      <c r="B558" s="56" t="s">
        <v>807</v>
      </c>
      <c r="C558" s="56" t="s">
        <v>792</v>
      </c>
      <c r="D558" s="56" t="s">
        <v>809</v>
      </c>
      <c r="E558" s="56" t="s">
        <v>790</v>
      </c>
      <c r="F558" s="57" t="s">
        <v>154</v>
      </c>
      <c r="G558" s="61"/>
      <c r="H558" s="61" t="s">
        <v>769</v>
      </c>
      <c r="I558" s="62" t="s">
        <v>806</v>
      </c>
      <c r="J558" s="53"/>
    </row>
    <row r="559" ht="24.75" hidden="1" customHeight="1">
      <c r="A559" s="54" t="s">
        <v>761</v>
      </c>
      <c r="B559" s="56" t="s">
        <v>811</v>
      </c>
      <c r="C559" s="56" t="s">
        <v>792</v>
      </c>
      <c r="D559" s="56" t="s">
        <v>812</v>
      </c>
      <c r="E559" s="56" t="s">
        <v>790</v>
      </c>
      <c r="F559" s="57" t="s">
        <v>154</v>
      </c>
      <c r="G559" s="61"/>
      <c r="H559" s="61" t="s">
        <v>769</v>
      </c>
      <c r="I559" s="62" t="s">
        <v>806</v>
      </c>
      <c r="J559" s="53"/>
    </row>
    <row r="560" ht="24.75" hidden="1" customHeight="1">
      <c r="A560" s="54" t="s">
        <v>761</v>
      </c>
      <c r="B560" s="56" t="s">
        <v>813</v>
      </c>
      <c r="C560" s="56" t="s">
        <v>792</v>
      </c>
      <c r="D560" s="56" t="s">
        <v>814</v>
      </c>
      <c r="E560" s="56" t="s">
        <v>790</v>
      </c>
      <c r="F560" s="57" t="s">
        <v>154</v>
      </c>
      <c r="G560" s="61"/>
      <c r="H560" s="61" t="s">
        <v>769</v>
      </c>
      <c r="I560" s="62" t="s">
        <v>810</v>
      </c>
      <c r="J560" s="53"/>
    </row>
    <row r="561" ht="24.75" hidden="1" customHeight="1">
      <c r="A561" s="54" t="s">
        <v>761</v>
      </c>
      <c r="B561" s="56" t="s">
        <v>815</v>
      </c>
      <c r="C561" s="56" t="s">
        <v>792</v>
      </c>
      <c r="D561" s="56" t="s">
        <v>816</v>
      </c>
      <c r="E561" s="56" t="s">
        <v>790</v>
      </c>
      <c r="F561" s="57" t="s">
        <v>154</v>
      </c>
      <c r="G561" s="61"/>
      <c r="H561" s="61" t="s">
        <v>769</v>
      </c>
      <c r="I561" s="62" t="s">
        <v>806</v>
      </c>
      <c r="J561" s="53"/>
    </row>
    <row r="562" ht="24.75" hidden="1" customHeight="1">
      <c r="A562" s="54" t="s">
        <v>761</v>
      </c>
      <c r="B562" s="56" t="s">
        <v>815</v>
      </c>
      <c r="C562" s="104" t="s">
        <v>792</v>
      </c>
      <c r="D562" s="56" t="s">
        <v>816</v>
      </c>
      <c r="E562" s="56" t="s">
        <v>817</v>
      </c>
      <c r="F562" s="57" t="s">
        <v>154</v>
      </c>
      <c r="G562" s="61"/>
      <c r="H562" s="61" t="s">
        <v>769</v>
      </c>
      <c r="I562" s="62" t="s">
        <v>823</v>
      </c>
      <c r="J562" s="53"/>
    </row>
    <row r="563" ht="24.75" hidden="1" customHeight="1">
      <c r="A563" s="54" t="s">
        <v>761</v>
      </c>
      <c r="B563" s="56" t="s">
        <v>818</v>
      </c>
      <c r="C563" s="104" t="s">
        <v>792</v>
      </c>
      <c r="D563" s="56" t="s">
        <v>819</v>
      </c>
      <c r="E563" s="56" t="s">
        <v>790</v>
      </c>
      <c r="F563" s="57" t="s">
        <v>154</v>
      </c>
      <c r="G563" s="61"/>
      <c r="H563" s="61" t="s">
        <v>769</v>
      </c>
      <c r="I563" s="62" t="s">
        <v>806</v>
      </c>
      <c r="J563" s="53"/>
    </row>
    <row r="564" ht="24.75" hidden="1" customHeight="1">
      <c r="A564" s="54" t="s">
        <v>761</v>
      </c>
      <c r="B564" s="56" t="s">
        <v>818</v>
      </c>
      <c r="C564" s="104" t="s">
        <v>792</v>
      </c>
      <c r="D564" s="56" t="s">
        <v>820</v>
      </c>
      <c r="E564" s="56" t="s">
        <v>817</v>
      </c>
      <c r="F564" s="57" t="s">
        <v>154</v>
      </c>
      <c r="G564" s="61"/>
      <c r="H564" s="61" t="s">
        <v>769</v>
      </c>
      <c r="I564" s="62" t="s">
        <v>823</v>
      </c>
      <c r="J564" s="53"/>
    </row>
    <row r="565" ht="24.75" hidden="1" customHeight="1">
      <c r="A565" s="54" t="s">
        <v>761</v>
      </c>
      <c r="B565" s="56" t="s">
        <v>818</v>
      </c>
      <c r="C565" s="104" t="s">
        <v>792</v>
      </c>
      <c r="D565" s="56" t="s">
        <v>821</v>
      </c>
      <c r="E565" s="56" t="s">
        <v>817</v>
      </c>
      <c r="F565" s="57" t="s">
        <v>154</v>
      </c>
      <c r="G565" s="61"/>
      <c r="H565" s="61" t="s">
        <v>769</v>
      </c>
      <c r="I565" s="62" t="s">
        <v>823</v>
      </c>
      <c r="J565" s="53"/>
    </row>
    <row r="566" ht="24.75" hidden="1" customHeight="1">
      <c r="A566" s="54" t="s">
        <v>761</v>
      </c>
      <c r="B566" s="56" t="s">
        <v>818</v>
      </c>
      <c r="C566" s="104" t="s">
        <v>792</v>
      </c>
      <c r="D566" s="56" t="s">
        <v>822</v>
      </c>
      <c r="E566" s="56" t="s">
        <v>790</v>
      </c>
      <c r="F566" s="57" t="s">
        <v>154</v>
      </c>
      <c r="G566" s="61"/>
      <c r="H566" s="61" t="s">
        <v>769</v>
      </c>
      <c r="I566" s="62" t="s">
        <v>823</v>
      </c>
      <c r="J566" s="53"/>
    </row>
    <row r="567" ht="24.75" hidden="1" customHeight="1">
      <c r="A567" s="54" t="s">
        <v>761</v>
      </c>
      <c r="B567" s="56" t="s">
        <v>791</v>
      </c>
      <c r="C567" s="104" t="s">
        <v>792</v>
      </c>
      <c r="D567" s="56" t="s">
        <v>793</v>
      </c>
      <c r="E567" s="56" t="s">
        <v>824</v>
      </c>
      <c r="F567" s="57" t="s">
        <v>192</v>
      </c>
      <c r="G567" s="61"/>
      <c r="H567" s="61"/>
      <c r="I567" s="62"/>
      <c r="J567" s="53"/>
    </row>
    <row r="568" ht="24.75" hidden="1" customHeight="1">
      <c r="A568" s="54" t="s">
        <v>761</v>
      </c>
      <c r="B568" s="56" t="s">
        <v>825</v>
      </c>
      <c r="C568" s="104" t="s">
        <v>792</v>
      </c>
      <c r="D568" s="56" t="s">
        <v>826</v>
      </c>
      <c r="E568" s="56" t="s">
        <v>232</v>
      </c>
      <c r="F568" s="76" t="s">
        <v>154</v>
      </c>
      <c r="G568" s="61"/>
      <c r="H568" s="61" t="s">
        <v>769</v>
      </c>
      <c r="I568" s="62" t="s">
        <v>823</v>
      </c>
      <c r="J568" s="53"/>
    </row>
    <row r="569" ht="24.75" hidden="1" customHeight="1">
      <c r="A569" s="54" t="s">
        <v>761</v>
      </c>
      <c r="B569" s="56" t="s">
        <v>825</v>
      </c>
      <c r="C569" s="56" t="s">
        <v>792</v>
      </c>
      <c r="D569" s="56" t="s">
        <v>826</v>
      </c>
      <c r="E569" s="56" t="s">
        <v>794</v>
      </c>
      <c r="F569" s="57" t="s">
        <v>154</v>
      </c>
      <c r="G569" s="61"/>
      <c r="H569" s="61"/>
      <c r="I569" s="62"/>
      <c r="J569" s="53"/>
    </row>
    <row r="570" ht="24.75" hidden="1" customHeight="1">
      <c r="A570" s="54" t="s">
        <v>761</v>
      </c>
      <c r="B570" s="56" t="s">
        <v>825</v>
      </c>
      <c r="C570" s="56" t="s">
        <v>792</v>
      </c>
      <c r="D570" s="56" t="s">
        <v>826</v>
      </c>
      <c r="E570" s="56" t="s">
        <v>824</v>
      </c>
      <c r="F570" s="57" t="s">
        <v>192</v>
      </c>
      <c r="G570" s="61"/>
      <c r="H570" s="61"/>
      <c r="I570" s="62"/>
      <c r="J570" s="53"/>
    </row>
    <row r="571" ht="24.75" hidden="1" customHeight="1">
      <c r="A571" s="54" t="s">
        <v>761</v>
      </c>
      <c r="B571" s="56" t="s">
        <v>827</v>
      </c>
      <c r="C571" s="56" t="s">
        <v>792</v>
      </c>
      <c r="D571" s="56" t="s">
        <v>828</v>
      </c>
      <c r="E571" s="56" t="s">
        <v>829</v>
      </c>
      <c r="F571" s="76" t="s">
        <v>154</v>
      </c>
      <c r="G571" s="61"/>
      <c r="H571" s="61" t="s">
        <v>769</v>
      </c>
      <c r="I571" s="62" t="s">
        <v>840</v>
      </c>
      <c r="J571" s="53"/>
    </row>
    <row r="572" ht="24.75" hidden="1" customHeight="1">
      <c r="A572" s="54" t="s">
        <v>761</v>
      </c>
      <c r="B572" s="56" t="s">
        <v>827</v>
      </c>
      <c r="C572" s="56" t="s">
        <v>792</v>
      </c>
      <c r="D572" s="56" t="s">
        <v>828</v>
      </c>
      <c r="E572" s="56" t="s">
        <v>830</v>
      </c>
      <c r="F572" s="57" t="s">
        <v>154</v>
      </c>
      <c r="G572" s="61"/>
      <c r="H572" s="61"/>
      <c r="I572" s="62"/>
      <c r="J572" s="53"/>
    </row>
    <row r="573" ht="24.75" hidden="1" customHeight="1">
      <c r="A573" s="54" t="s">
        <v>831</v>
      </c>
      <c r="B573" s="56" t="s">
        <v>832</v>
      </c>
      <c r="C573" s="56" t="s">
        <v>833</v>
      </c>
      <c r="D573" s="56" t="s">
        <v>834</v>
      </c>
      <c r="E573" s="56" t="s">
        <v>111</v>
      </c>
      <c r="F573" s="57" t="s">
        <v>34</v>
      </c>
      <c r="G573" s="61"/>
      <c r="H573" s="61"/>
      <c r="I573" s="62"/>
      <c r="J573" s="53"/>
    </row>
    <row r="574" ht="24.75" hidden="1" customHeight="1">
      <c r="A574" s="54" t="s">
        <v>831</v>
      </c>
      <c r="B574" s="56" t="s">
        <v>832</v>
      </c>
      <c r="C574" s="56" t="s">
        <v>833</v>
      </c>
      <c r="D574" s="56" t="s">
        <v>834</v>
      </c>
      <c r="E574" s="56" t="s">
        <v>835</v>
      </c>
      <c r="F574" s="57" t="s">
        <v>34</v>
      </c>
      <c r="G574" s="61"/>
      <c r="H574" s="61"/>
      <c r="I574" s="62"/>
      <c r="J574" s="53"/>
    </row>
    <row r="575" ht="24.75" hidden="1" customHeight="1">
      <c r="A575" s="54" t="s">
        <v>831</v>
      </c>
      <c r="B575" s="56" t="s">
        <v>832</v>
      </c>
      <c r="C575" s="56" t="s">
        <v>833</v>
      </c>
      <c r="D575" s="56" t="s">
        <v>834</v>
      </c>
      <c r="E575" s="56" t="s">
        <v>836</v>
      </c>
      <c r="F575" s="57" t="s">
        <v>154</v>
      </c>
      <c r="G575" s="61"/>
      <c r="H575" s="61" t="s">
        <v>159</v>
      </c>
      <c r="I575" s="62" t="s">
        <v>160</v>
      </c>
      <c r="J575" s="53"/>
    </row>
    <row r="576" ht="24.75" hidden="1" customHeight="1">
      <c r="A576" s="54" t="s">
        <v>831</v>
      </c>
      <c r="B576" s="56" t="s">
        <v>837</v>
      </c>
      <c r="C576" s="56" t="s">
        <v>838</v>
      </c>
      <c r="D576" s="56" t="s">
        <v>839</v>
      </c>
      <c r="E576" s="56" t="s">
        <v>771</v>
      </c>
      <c r="F576" s="57" t="s">
        <v>154</v>
      </c>
      <c r="G576" s="61"/>
      <c r="H576" s="61" t="s">
        <v>159</v>
      </c>
      <c r="I576" s="62" t="s">
        <v>772</v>
      </c>
      <c r="J576" s="53"/>
    </row>
    <row r="577" ht="24.75" hidden="1" customHeight="1">
      <c r="A577" s="54" t="s">
        <v>831</v>
      </c>
      <c r="B577" s="56" t="s">
        <v>837</v>
      </c>
      <c r="C577" s="56" t="s">
        <v>838</v>
      </c>
      <c r="D577" s="56" t="s">
        <v>839</v>
      </c>
      <c r="E577" s="56" t="s">
        <v>768</v>
      </c>
      <c r="F577" s="57" t="s">
        <v>154</v>
      </c>
      <c r="G577" s="61"/>
      <c r="H577" s="61" t="s">
        <v>592</v>
      </c>
      <c r="I577" s="62" t="s">
        <v>770</v>
      </c>
      <c r="J577" s="53"/>
    </row>
    <row r="578" ht="24.75" hidden="1" customHeight="1">
      <c r="A578" s="54" t="s">
        <v>831</v>
      </c>
      <c r="B578" s="56" t="s">
        <v>837</v>
      </c>
      <c r="C578" s="56" t="s">
        <v>838</v>
      </c>
      <c r="D578" s="56" t="s">
        <v>839</v>
      </c>
      <c r="E578" s="56" t="s">
        <v>773</v>
      </c>
      <c r="F578" s="57" t="s">
        <v>154</v>
      </c>
      <c r="G578" s="61"/>
      <c r="H578" s="61"/>
      <c r="I578" s="62"/>
      <c r="J578" s="53"/>
    </row>
    <row r="579" ht="24.75" hidden="1" customHeight="1">
      <c r="A579" s="54" t="s">
        <v>831</v>
      </c>
      <c r="B579" s="56" t="s">
        <v>837</v>
      </c>
      <c r="C579" s="56" t="s">
        <v>838</v>
      </c>
      <c r="D579" s="56" t="s">
        <v>839</v>
      </c>
      <c r="E579" s="56" t="s">
        <v>841</v>
      </c>
      <c r="F579" s="57" t="s">
        <v>154</v>
      </c>
      <c r="G579" s="61"/>
      <c r="H579" s="61"/>
      <c r="I579" s="62"/>
      <c r="J579" s="53"/>
    </row>
    <row r="580" ht="24.75" hidden="1" customHeight="1">
      <c r="A580" s="54" t="s">
        <v>831</v>
      </c>
      <c r="B580" s="56" t="s">
        <v>837</v>
      </c>
      <c r="C580" s="56" t="s">
        <v>838</v>
      </c>
      <c r="D580" s="56" t="s">
        <v>839</v>
      </c>
      <c r="E580" s="56" t="s">
        <v>777</v>
      </c>
      <c r="F580" s="57" t="s">
        <v>15</v>
      </c>
      <c r="G580" s="61"/>
      <c r="H580" s="61"/>
      <c r="I580" s="60"/>
      <c r="J580" s="53"/>
    </row>
    <row r="581" ht="24.75" hidden="1" customHeight="1">
      <c r="A581" s="54" t="s">
        <v>831</v>
      </c>
      <c r="B581" s="56" t="s">
        <v>837</v>
      </c>
      <c r="C581" s="56" t="s">
        <v>838</v>
      </c>
      <c r="D581" s="56" t="s">
        <v>839</v>
      </c>
      <c r="E581" s="56" t="s">
        <v>778</v>
      </c>
      <c r="F581" s="57" t="s">
        <v>15</v>
      </c>
      <c r="G581" s="61"/>
      <c r="H581" s="61"/>
      <c r="I581" s="60"/>
      <c r="J581" s="53"/>
    </row>
    <row r="582" ht="24.75" hidden="1" customHeight="1">
      <c r="A582" s="54" t="s">
        <v>831</v>
      </c>
      <c r="B582" s="56" t="s">
        <v>842</v>
      </c>
      <c r="C582" s="56" t="s">
        <v>838</v>
      </c>
      <c r="D582" s="56" t="s">
        <v>843</v>
      </c>
      <c r="E582" s="56" t="s">
        <v>111</v>
      </c>
      <c r="F582" s="57" t="s">
        <v>154</v>
      </c>
      <c r="G582" s="61"/>
      <c r="H582" s="61"/>
      <c r="I582" s="62"/>
      <c r="J582" s="53"/>
    </row>
    <row r="583" ht="24.75" hidden="1" customHeight="1">
      <c r="A583" s="54" t="s">
        <v>831</v>
      </c>
      <c r="B583" s="56" t="s">
        <v>842</v>
      </c>
      <c r="C583" s="56" t="s">
        <v>838</v>
      </c>
      <c r="D583" s="56" t="s">
        <v>843</v>
      </c>
      <c r="E583" s="56" t="s">
        <v>844</v>
      </c>
      <c r="F583" s="57" t="s">
        <v>154</v>
      </c>
      <c r="G583" s="61"/>
      <c r="H583" s="61"/>
      <c r="I583" s="62"/>
      <c r="J583" s="53"/>
    </row>
    <row r="584" ht="24.75" hidden="1" customHeight="1">
      <c r="A584" s="54" t="s">
        <v>831</v>
      </c>
      <c r="B584" s="56" t="s">
        <v>842</v>
      </c>
      <c r="C584" s="56" t="s">
        <v>838</v>
      </c>
      <c r="D584" s="56" t="s">
        <v>843</v>
      </c>
      <c r="E584" s="56" t="s">
        <v>797</v>
      </c>
      <c r="F584" s="57" t="s">
        <v>192</v>
      </c>
      <c r="G584" s="61"/>
      <c r="H584" s="61" t="s">
        <v>592</v>
      </c>
      <c r="I584" s="62" t="s">
        <v>855</v>
      </c>
      <c r="J584" s="53"/>
    </row>
    <row r="585" ht="24.75" hidden="1" customHeight="1">
      <c r="A585" s="54" t="s">
        <v>831</v>
      </c>
      <c r="B585" s="56" t="s">
        <v>845</v>
      </c>
      <c r="C585" s="56" t="s">
        <v>838</v>
      </c>
      <c r="D585" s="56" t="s">
        <v>846</v>
      </c>
      <c r="E585" s="56" t="s">
        <v>771</v>
      </c>
      <c r="F585" s="57" t="s">
        <v>154</v>
      </c>
      <c r="G585" s="61"/>
      <c r="H585" s="61" t="s">
        <v>159</v>
      </c>
      <c r="I585" s="62" t="s">
        <v>772</v>
      </c>
      <c r="J585" s="53"/>
    </row>
    <row r="586" ht="24.75" hidden="1" customHeight="1">
      <c r="A586" s="54" t="s">
        <v>831</v>
      </c>
      <c r="B586" s="56" t="s">
        <v>845</v>
      </c>
      <c r="C586" s="56" t="s">
        <v>838</v>
      </c>
      <c r="D586" s="56" t="s">
        <v>846</v>
      </c>
      <c r="E586" s="56" t="s">
        <v>768</v>
      </c>
      <c r="F586" s="57" t="s">
        <v>154</v>
      </c>
      <c r="G586" s="61"/>
      <c r="H586" s="61" t="s">
        <v>592</v>
      </c>
      <c r="I586" s="62" t="s">
        <v>770</v>
      </c>
      <c r="J586" s="53"/>
    </row>
    <row r="587" ht="24.75" hidden="1" customHeight="1">
      <c r="A587" s="54" t="s">
        <v>831</v>
      </c>
      <c r="B587" s="56" t="s">
        <v>845</v>
      </c>
      <c r="C587" s="56" t="s">
        <v>838</v>
      </c>
      <c r="D587" s="56" t="s">
        <v>846</v>
      </c>
      <c r="E587" s="56" t="s">
        <v>773</v>
      </c>
      <c r="F587" s="57" t="s">
        <v>154</v>
      </c>
      <c r="G587" s="61"/>
      <c r="H587" s="61"/>
      <c r="I587" s="62"/>
      <c r="J587" s="53"/>
    </row>
    <row r="588" ht="24.75" hidden="1" customHeight="1">
      <c r="A588" s="54" t="s">
        <v>831</v>
      </c>
      <c r="B588" s="56" t="s">
        <v>845</v>
      </c>
      <c r="C588" s="56" t="s">
        <v>838</v>
      </c>
      <c r="D588" s="56" t="s">
        <v>846</v>
      </c>
      <c r="E588" s="56" t="s">
        <v>841</v>
      </c>
      <c r="F588" s="57" t="s">
        <v>154</v>
      </c>
      <c r="G588" s="61"/>
      <c r="H588" s="61"/>
      <c r="I588" s="62"/>
      <c r="J588" s="53"/>
    </row>
    <row r="589" ht="24.75" hidden="1" customHeight="1">
      <c r="A589" s="54" t="s">
        <v>831</v>
      </c>
      <c r="B589" s="56" t="s">
        <v>845</v>
      </c>
      <c r="C589" s="56" t="s">
        <v>838</v>
      </c>
      <c r="D589" s="56" t="s">
        <v>846</v>
      </c>
      <c r="E589" s="56" t="s">
        <v>777</v>
      </c>
      <c r="F589" s="57" t="s">
        <v>15</v>
      </c>
      <c r="G589" s="61"/>
      <c r="H589" s="61"/>
      <c r="I589" s="60"/>
      <c r="J589" s="53"/>
    </row>
    <row r="590" ht="24.75" hidden="1" customHeight="1">
      <c r="A590" s="54" t="s">
        <v>831</v>
      </c>
      <c r="B590" s="56" t="s">
        <v>845</v>
      </c>
      <c r="C590" s="56" t="s">
        <v>838</v>
      </c>
      <c r="D590" s="56" t="s">
        <v>846</v>
      </c>
      <c r="E590" s="56" t="s">
        <v>778</v>
      </c>
      <c r="F590" s="57" t="s">
        <v>15</v>
      </c>
      <c r="G590" s="61"/>
      <c r="H590" s="61"/>
      <c r="I590" s="60"/>
      <c r="J590" s="53"/>
    </row>
    <row r="591" ht="24.75" hidden="1" customHeight="1">
      <c r="A591" s="54" t="s">
        <v>831</v>
      </c>
      <c r="B591" s="56" t="s">
        <v>847</v>
      </c>
      <c r="C591" s="56" t="s">
        <v>838</v>
      </c>
      <c r="D591" s="56" t="s">
        <v>848</v>
      </c>
      <c r="E591" s="56" t="s">
        <v>111</v>
      </c>
      <c r="F591" s="57" t="s">
        <v>154</v>
      </c>
      <c r="G591" s="61"/>
      <c r="H591" s="61"/>
      <c r="I591" s="62"/>
      <c r="J591" s="53"/>
    </row>
    <row r="592" ht="24.75" hidden="1" customHeight="1">
      <c r="A592" s="54" t="s">
        <v>831</v>
      </c>
      <c r="B592" s="56" t="s">
        <v>847</v>
      </c>
      <c r="C592" s="56" t="s">
        <v>838</v>
      </c>
      <c r="D592" s="56" t="s">
        <v>848</v>
      </c>
      <c r="E592" s="56" t="s">
        <v>844</v>
      </c>
      <c r="F592" s="57" t="s">
        <v>154</v>
      </c>
      <c r="G592" s="61"/>
      <c r="H592" s="61"/>
      <c r="I592" s="62"/>
      <c r="J592" s="53"/>
    </row>
    <row r="593" ht="24.75" hidden="1" customHeight="1">
      <c r="A593" s="54" t="s">
        <v>831</v>
      </c>
      <c r="B593" s="56" t="s">
        <v>847</v>
      </c>
      <c r="C593" s="56" t="s">
        <v>838</v>
      </c>
      <c r="D593" s="56" t="s">
        <v>848</v>
      </c>
      <c r="E593" s="56" t="s">
        <v>797</v>
      </c>
      <c r="F593" s="57" t="s">
        <v>192</v>
      </c>
      <c r="G593" s="61"/>
      <c r="H593" s="61" t="s">
        <v>592</v>
      </c>
      <c r="I593" s="62" t="s">
        <v>855</v>
      </c>
      <c r="J593" s="53"/>
    </row>
    <row r="594" ht="24.75" hidden="1" customHeight="1">
      <c r="A594" s="54" t="s">
        <v>831</v>
      </c>
      <c r="B594" s="56" t="s">
        <v>849</v>
      </c>
      <c r="C594" s="56" t="s">
        <v>833</v>
      </c>
      <c r="D594" s="56" t="s">
        <v>850</v>
      </c>
      <c r="E594" s="56" t="s">
        <v>336</v>
      </c>
      <c r="F594" s="57" t="s">
        <v>192</v>
      </c>
      <c r="G594" s="61"/>
      <c r="H594" s="61"/>
      <c r="I594" s="62"/>
      <c r="J594" s="53"/>
    </row>
    <row r="595" ht="24.75" hidden="1" customHeight="1">
      <c r="A595" s="54" t="s">
        <v>831</v>
      </c>
      <c r="B595" s="56" t="s">
        <v>851</v>
      </c>
      <c r="C595" s="56" t="s">
        <v>852</v>
      </c>
      <c r="D595" s="56" t="s">
        <v>853</v>
      </c>
      <c r="E595" s="56" t="s">
        <v>854</v>
      </c>
      <c r="F595" s="57" t="s">
        <v>154</v>
      </c>
      <c r="G595" s="61"/>
      <c r="H595" s="61" t="s">
        <v>592</v>
      </c>
      <c r="I595" s="62" t="s">
        <v>864</v>
      </c>
      <c r="J595" s="53"/>
    </row>
    <row r="596" ht="24.75" hidden="1" customHeight="1">
      <c r="A596" s="54" t="s">
        <v>831</v>
      </c>
      <c r="B596" s="56" t="s">
        <v>851</v>
      </c>
      <c r="C596" s="56" t="s">
        <v>852</v>
      </c>
      <c r="D596" s="56" t="s">
        <v>853</v>
      </c>
      <c r="E596" s="56" t="s">
        <v>824</v>
      </c>
      <c r="F596" s="57" t="s">
        <v>154</v>
      </c>
      <c r="G596" s="61"/>
      <c r="H596" s="61"/>
      <c r="I596" s="62"/>
      <c r="J596" s="53"/>
    </row>
    <row r="597" ht="24.75" hidden="1" customHeight="1">
      <c r="A597" s="54" t="s">
        <v>831</v>
      </c>
      <c r="B597" s="56" t="s">
        <v>851</v>
      </c>
      <c r="C597" s="56" t="s">
        <v>852</v>
      </c>
      <c r="D597" s="56" t="s">
        <v>853</v>
      </c>
      <c r="E597" s="56" t="s">
        <v>111</v>
      </c>
      <c r="F597" s="57" t="s">
        <v>192</v>
      </c>
      <c r="G597" s="61"/>
      <c r="H597" s="61"/>
      <c r="I597" s="62"/>
      <c r="J597" s="53"/>
    </row>
    <row r="598" ht="24.75" hidden="1" customHeight="1">
      <c r="A598" s="54" t="s">
        <v>831</v>
      </c>
      <c r="B598" s="56" t="s">
        <v>851</v>
      </c>
      <c r="C598" s="56" t="s">
        <v>852</v>
      </c>
      <c r="D598" s="56" t="s">
        <v>853</v>
      </c>
      <c r="E598" s="56" t="s">
        <v>856</v>
      </c>
      <c r="F598" s="57" t="s">
        <v>192</v>
      </c>
      <c r="G598" s="61"/>
      <c r="H598" s="61"/>
      <c r="I598" s="62"/>
      <c r="J598" s="53"/>
    </row>
    <row r="599" ht="24.75" hidden="1" customHeight="1">
      <c r="A599" s="54" t="s">
        <v>831</v>
      </c>
      <c r="B599" s="56" t="s">
        <v>851</v>
      </c>
      <c r="C599" s="56" t="s">
        <v>852</v>
      </c>
      <c r="D599" s="56" t="s">
        <v>853</v>
      </c>
      <c r="E599" s="56" t="s">
        <v>857</v>
      </c>
      <c r="F599" s="57" t="s">
        <v>192</v>
      </c>
      <c r="G599" s="61"/>
      <c r="H599" s="61"/>
      <c r="I599" s="62"/>
      <c r="J599" s="53"/>
    </row>
    <row r="600" ht="24.75" hidden="1" customHeight="1">
      <c r="A600" s="54" t="s">
        <v>831</v>
      </c>
      <c r="B600" s="56" t="s">
        <v>858</v>
      </c>
      <c r="C600" s="56" t="s">
        <v>838</v>
      </c>
      <c r="D600" s="56" t="s">
        <v>859</v>
      </c>
      <c r="E600" s="56" t="s">
        <v>111</v>
      </c>
      <c r="F600" s="57" t="s">
        <v>154</v>
      </c>
      <c r="G600" s="61"/>
      <c r="H600" s="61"/>
      <c r="I600" s="62"/>
      <c r="J600" s="53"/>
    </row>
    <row r="601" ht="24.75" hidden="1" customHeight="1">
      <c r="A601" s="54" t="s">
        <v>831</v>
      </c>
      <c r="B601" s="56" t="s">
        <v>858</v>
      </c>
      <c r="C601" s="56" t="s">
        <v>838</v>
      </c>
      <c r="D601" s="56" t="s">
        <v>859</v>
      </c>
      <c r="E601" s="56" t="s">
        <v>824</v>
      </c>
      <c r="F601" s="57" t="s">
        <v>154</v>
      </c>
      <c r="G601" s="61"/>
      <c r="H601" s="61"/>
      <c r="I601" s="62"/>
      <c r="J601" s="53"/>
    </row>
    <row r="602" ht="24.75" hidden="1" customHeight="1">
      <c r="A602" s="54" t="s">
        <v>831</v>
      </c>
      <c r="B602" s="56" t="s">
        <v>858</v>
      </c>
      <c r="C602" s="56" t="s">
        <v>838</v>
      </c>
      <c r="D602" s="56" t="s">
        <v>859</v>
      </c>
      <c r="E602" s="56" t="s">
        <v>797</v>
      </c>
      <c r="F602" s="57" t="s">
        <v>192</v>
      </c>
      <c r="G602" s="61"/>
      <c r="H602" s="61" t="s">
        <v>592</v>
      </c>
      <c r="I602" s="62" t="s">
        <v>872</v>
      </c>
      <c r="J602" s="53"/>
    </row>
    <row r="603" ht="24.75" hidden="1" customHeight="1">
      <c r="A603" s="54" t="s">
        <v>831</v>
      </c>
      <c r="B603" s="56" t="s">
        <v>860</v>
      </c>
      <c r="C603" s="56" t="s">
        <v>852</v>
      </c>
      <c r="D603" s="56" t="s">
        <v>861</v>
      </c>
      <c r="E603" s="56" t="s">
        <v>854</v>
      </c>
      <c r="F603" s="57" t="s">
        <v>154</v>
      </c>
      <c r="G603" s="61"/>
      <c r="H603" s="61" t="s">
        <v>592</v>
      </c>
      <c r="I603" s="62" t="s">
        <v>864</v>
      </c>
      <c r="J603" s="53"/>
    </row>
    <row r="604" ht="24.75" hidden="1" customHeight="1">
      <c r="A604" s="54" t="s">
        <v>831</v>
      </c>
      <c r="B604" s="56" t="s">
        <v>860</v>
      </c>
      <c r="C604" s="56" t="s">
        <v>852</v>
      </c>
      <c r="D604" s="56" t="s">
        <v>861</v>
      </c>
      <c r="E604" s="56" t="s">
        <v>824</v>
      </c>
      <c r="F604" s="57" t="s">
        <v>154</v>
      </c>
      <c r="G604" s="61"/>
      <c r="H604" s="61"/>
      <c r="I604" s="62"/>
      <c r="J604" s="53"/>
    </row>
    <row r="605" ht="24.75" hidden="1" customHeight="1">
      <c r="A605" s="54" t="s">
        <v>831</v>
      </c>
      <c r="B605" s="56" t="s">
        <v>860</v>
      </c>
      <c r="C605" s="56" t="s">
        <v>852</v>
      </c>
      <c r="D605" s="56" t="s">
        <v>861</v>
      </c>
      <c r="E605" s="56" t="s">
        <v>856</v>
      </c>
      <c r="F605" s="57" t="s">
        <v>154</v>
      </c>
      <c r="G605" s="61"/>
      <c r="H605" s="61"/>
      <c r="I605" s="62"/>
      <c r="J605" s="53"/>
    </row>
    <row r="606" ht="24.75" hidden="1" customHeight="1">
      <c r="A606" s="54" t="s">
        <v>831</v>
      </c>
      <c r="B606" s="56" t="s">
        <v>860</v>
      </c>
      <c r="C606" s="56" t="s">
        <v>852</v>
      </c>
      <c r="D606" s="56" t="s">
        <v>861</v>
      </c>
      <c r="E606" s="56" t="s">
        <v>111</v>
      </c>
      <c r="F606" s="57" t="s">
        <v>192</v>
      </c>
      <c r="G606" s="61"/>
      <c r="H606" s="61"/>
      <c r="I606" s="62"/>
      <c r="J606" s="53"/>
    </row>
    <row r="607" ht="24.75" hidden="1" customHeight="1">
      <c r="A607" s="54" t="s">
        <v>831</v>
      </c>
      <c r="B607" s="56" t="s">
        <v>860</v>
      </c>
      <c r="C607" s="56" t="s">
        <v>852</v>
      </c>
      <c r="D607" s="56" t="s">
        <v>861</v>
      </c>
      <c r="E607" s="56" t="s">
        <v>857</v>
      </c>
      <c r="F607" s="57" t="s">
        <v>192</v>
      </c>
      <c r="G607" s="61"/>
      <c r="H607" s="61"/>
      <c r="I607" s="62"/>
      <c r="J607" s="53"/>
    </row>
    <row r="608" ht="24.75" hidden="1" customHeight="1">
      <c r="A608" s="54" t="s">
        <v>831</v>
      </c>
      <c r="B608" s="56" t="s">
        <v>862</v>
      </c>
      <c r="C608" s="56" t="s">
        <v>838</v>
      </c>
      <c r="D608" s="56" t="s">
        <v>863</v>
      </c>
      <c r="E608" s="56" t="s">
        <v>111</v>
      </c>
      <c r="F608" s="57" t="s">
        <v>154</v>
      </c>
      <c r="G608" s="61"/>
      <c r="H608" s="61"/>
      <c r="I608" s="62"/>
      <c r="J608" s="53"/>
    </row>
    <row r="609" ht="24.75" hidden="1" customHeight="1">
      <c r="A609" s="54" t="s">
        <v>831</v>
      </c>
      <c r="B609" s="56" t="s">
        <v>862</v>
      </c>
      <c r="C609" s="56" t="s">
        <v>838</v>
      </c>
      <c r="D609" s="56" t="s">
        <v>863</v>
      </c>
      <c r="E609" s="56" t="s">
        <v>824</v>
      </c>
      <c r="F609" s="57" t="s">
        <v>154</v>
      </c>
      <c r="G609" s="61"/>
      <c r="H609" s="61"/>
      <c r="I609" s="62"/>
      <c r="J609" s="53"/>
    </row>
    <row r="610" ht="24.75" hidden="1" customHeight="1">
      <c r="A610" s="54" t="s">
        <v>831</v>
      </c>
      <c r="B610" s="56" t="s">
        <v>862</v>
      </c>
      <c r="C610" s="56" t="s">
        <v>838</v>
      </c>
      <c r="D610" s="56" t="s">
        <v>863</v>
      </c>
      <c r="E610" s="56" t="s">
        <v>797</v>
      </c>
      <c r="F610" s="57" t="s">
        <v>192</v>
      </c>
      <c r="G610" s="61"/>
      <c r="H610" s="61" t="s">
        <v>592</v>
      </c>
      <c r="I610" s="62" t="s">
        <v>872</v>
      </c>
      <c r="J610" s="53"/>
    </row>
    <row r="611" ht="24.75" hidden="1" customHeight="1">
      <c r="A611" s="54" t="s">
        <v>831</v>
      </c>
      <c r="B611" s="56" t="s">
        <v>865</v>
      </c>
      <c r="C611" s="56" t="s">
        <v>838</v>
      </c>
      <c r="D611" s="56" t="s">
        <v>866</v>
      </c>
      <c r="E611" s="56" t="s">
        <v>867</v>
      </c>
      <c r="F611" s="57" t="s">
        <v>154</v>
      </c>
      <c r="G611" s="61"/>
      <c r="H611" s="61"/>
      <c r="I611" s="62"/>
      <c r="J611" s="53"/>
    </row>
    <row r="612" ht="24.75" hidden="1" customHeight="1">
      <c r="A612" s="54" t="s">
        <v>831</v>
      </c>
      <c r="B612" s="56" t="s">
        <v>865</v>
      </c>
      <c r="C612" s="56" t="s">
        <v>838</v>
      </c>
      <c r="D612" s="56" t="s">
        <v>866</v>
      </c>
      <c r="E612" s="56" t="s">
        <v>868</v>
      </c>
      <c r="F612" s="57" t="s">
        <v>154</v>
      </c>
      <c r="G612" s="61"/>
      <c r="H612" s="61"/>
      <c r="I612" s="62"/>
      <c r="J612" s="53"/>
    </row>
    <row r="613" ht="24.75" hidden="1" customHeight="1">
      <c r="A613" s="54" t="s">
        <v>831</v>
      </c>
      <c r="B613" s="56" t="s">
        <v>869</v>
      </c>
      <c r="C613" s="56" t="s">
        <v>833</v>
      </c>
      <c r="D613" s="56" t="s">
        <v>850</v>
      </c>
      <c r="E613" s="56" t="s">
        <v>870</v>
      </c>
      <c r="F613" s="57" t="s">
        <v>154</v>
      </c>
      <c r="G613" s="61"/>
      <c r="H613" s="61"/>
      <c r="I613" s="62"/>
      <c r="J613" s="53"/>
    </row>
    <row r="614" ht="24.75" hidden="1" customHeight="1">
      <c r="A614" s="54" t="s">
        <v>831</v>
      </c>
      <c r="B614" s="56" t="s">
        <v>869</v>
      </c>
      <c r="C614" s="56" t="s">
        <v>833</v>
      </c>
      <c r="D614" s="56" t="s">
        <v>850</v>
      </c>
      <c r="E614" s="56" t="s">
        <v>871</v>
      </c>
      <c r="F614" s="57" t="s">
        <v>192</v>
      </c>
      <c r="G614" s="61"/>
      <c r="H614" s="61"/>
      <c r="I614" s="62"/>
      <c r="J614" s="53"/>
    </row>
    <row r="615" ht="15.75" hidden="1" customHeight="1">
      <c r="A615" s="54"/>
      <c r="B615" s="56"/>
      <c r="C615" s="56"/>
      <c r="D615" s="56"/>
      <c r="E615" s="56"/>
      <c r="F615" s="57"/>
      <c r="G615" s="61"/>
      <c r="H615" s="61"/>
      <c r="I615" s="62"/>
      <c r="J615" s="53"/>
    </row>
  </sheetData>
  <autoFilter ref="$A$4:$GF$615">
    <filterColumn colId="5">
      <filters>
        <filter val="JAN, FEV, MAR, ABR, MAI, JUN, JUL, AGO, SET, OUT, NOV, DEZ"/>
      </filters>
    </filterColumn>
    <sortState ref="A4:GF615">
      <sortCondition ref="F4:F615"/>
    </sortState>
  </autoFilter>
  <mergeCells count="2">
    <mergeCell ref="I1:J3"/>
    <mergeCell ref="H2:H3"/>
  </mergeCells>
  <printOptions/>
  <pageMargins bottom="0.7480314960629921" footer="0.0" header="0.0" left="0.2362204724409449" right="0.2362204724409449" top="0.35433070866141736"/>
  <pageSetup fitToHeight="0" paperSize="9" orientation="landscape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46.86"/>
    <col customWidth="1" min="6" max="6" width="12.0"/>
    <col customWidth="1" hidden="1" min="7" max="7" width="6.86"/>
    <col customWidth="1" min="8" max="8" width="26.57"/>
    <col customWidth="1" min="9" max="9" width="31.86"/>
    <col customWidth="1" min="10" max="10" width="15.71"/>
  </cols>
  <sheetData>
    <row r="1" ht="24.75" customHeight="1">
      <c r="I1" s="25" t="s">
        <v>3</v>
      </c>
    </row>
    <row r="2" ht="24.75" customHeight="1">
      <c r="A2" s="1"/>
      <c r="B2" s="2"/>
      <c r="C2" s="2"/>
      <c r="D2" s="2"/>
      <c r="E2" s="2"/>
      <c r="F2" s="3"/>
      <c r="G2" s="8"/>
      <c r="H2" s="10"/>
    </row>
    <row r="3" ht="24.75" customHeight="1">
      <c r="A3" s="8"/>
      <c r="B3" s="9"/>
      <c r="C3" s="9"/>
      <c r="D3" s="9"/>
      <c r="E3" s="9"/>
      <c r="F3" s="2"/>
      <c r="G3" s="8"/>
      <c r="H3" s="35"/>
      <c r="I3" s="35"/>
      <c r="J3" s="35"/>
    </row>
    <row r="4" ht="51.0" customHeight="1">
      <c r="A4" s="39" t="s">
        <v>17</v>
      </c>
      <c r="B4" s="39" t="s">
        <v>18</v>
      </c>
      <c r="C4" s="39" t="s">
        <v>19</v>
      </c>
      <c r="D4" s="39" t="s">
        <v>20</v>
      </c>
      <c r="E4" s="39" t="s">
        <v>21</v>
      </c>
      <c r="F4" s="39" t="s">
        <v>22</v>
      </c>
      <c r="G4" s="40" t="s">
        <v>23</v>
      </c>
      <c r="H4" s="39" t="s">
        <v>24</v>
      </c>
      <c r="I4" s="42" t="s">
        <v>26</v>
      </c>
      <c r="J4" s="39" t="s">
        <v>25</v>
      </c>
    </row>
    <row r="5" ht="24.75" hidden="1" customHeight="1">
      <c r="A5" s="44">
        <v>10.0</v>
      </c>
      <c r="B5" s="47" t="s">
        <v>27</v>
      </c>
      <c r="C5" s="47" t="s">
        <v>29</v>
      </c>
      <c r="D5" s="47" t="s">
        <v>29</v>
      </c>
      <c r="E5" s="47" t="s">
        <v>32</v>
      </c>
      <c r="F5" s="48" t="s">
        <v>34</v>
      </c>
      <c r="G5" s="50"/>
      <c r="H5" s="51"/>
      <c r="I5" s="52"/>
      <c r="J5" s="53"/>
    </row>
    <row r="6" ht="24.75" customHeight="1">
      <c r="A6" s="54">
        <v>20.0</v>
      </c>
      <c r="B6" s="56" t="s">
        <v>83</v>
      </c>
      <c r="C6" s="56" t="s">
        <v>84</v>
      </c>
      <c r="D6" s="56" t="s">
        <v>85</v>
      </c>
      <c r="E6" s="56" t="s">
        <v>86</v>
      </c>
      <c r="F6" s="57" t="s">
        <v>87</v>
      </c>
      <c r="G6" s="58"/>
      <c r="H6" s="58"/>
      <c r="I6" s="60" t="s">
        <v>88</v>
      </c>
      <c r="J6" s="59"/>
    </row>
    <row r="7" ht="24.75" hidden="1" customHeight="1">
      <c r="A7" s="54">
        <v>20.0</v>
      </c>
      <c r="B7" s="56" t="s">
        <v>89</v>
      </c>
      <c r="C7" s="56" t="s">
        <v>90</v>
      </c>
      <c r="D7" s="56" t="s">
        <v>91</v>
      </c>
      <c r="E7" s="56"/>
      <c r="F7" s="57" t="s">
        <v>34</v>
      </c>
      <c r="G7" s="61"/>
      <c r="H7" s="61"/>
      <c r="I7" s="62"/>
      <c r="J7" s="53"/>
    </row>
    <row r="8" ht="24.75" hidden="1" customHeight="1">
      <c r="A8" s="54">
        <v>20.0</v>
      </c>
      <c r="B8" s="56" t="s">
        <v>95</v>
      </c>
      <c r="C8" s="56" t="s">
        <v>90</v>
      </c>
      <c r="D8" s="56" t="s">
        <v>96</v>
      </c>
      <c r="E8" s="56" t="s">
        <v>97</v>
      </c>
      <c r="F8" s="57" t="s">
        <v>34</v>
      </c>
      <c r="G8" s="61"/>
      <c r="H8" s="61"/>
      <c r="I8" s="62"/>
      <c r="J8" s="53"/>
    </row>
    <row r="9" ht="24.75" hidden="1" customHeight="1">
      <c r="A9" s="54">
        <v>20.0</v>
      </c>
      <c r="B9" s="56" t="s">
        <v>98</v>
      </c>
      <c r="C9" s="56" t="s">
        <v>90</v>
      </c>
      <c r="D9" s="56" t="s">
        <v>99</v>
      </c>
      <c r="E9" s="56" t="s">
        <v>97</v>
      </c>
      <c r="F9" s="57" t="s">
        <v>34</v>
      </c>
      <c r="G9" s="61"/>
      <c r="H9" s="61"/>
      <c r="I9" s="62"/>
      <c r="J9" s="53"/>
    </row>
    <row r="10" ht="24.75" hidden="1" customHeight="1">
      <c r="A10" s="54">
        <v>20.0</v>
      </c>
      <c r="B10" s="56" t="s">
        <v>100</v>
      </c>
      <c r="C10" s="56" t="s">
        <v>101</v>
      </c>
      <c r="D10" s="56" t="s">
        <v>102</v>
      </c>
      <c r="E10" s="56" t="s">
        <v>103</v>
      </c>
      <c r="F10" s="57" t="s">
        <v>34</v>
      </c>
      <c r="G10" s="61"/>
      <c r="H10" s="61"/>
      <c r="I10" s="62"/>
      <c r="J10" s="53"/>
    </row>
    <row r="11" ht="24.75" customHeight="1">
      <c r="A11" s="54">
        <v>30.0</v>
      </c>
      <c r="B11" s="56" t="s">
        <v>108</v>
      </c>
      <c r="C11" s="56" t="s">
        <v>109</v>
      </c>
      <c r="D11" s="56" t="s">
        <v>110</v>
      </c>
      <c r="E11" s="56" t="s">
        <v>111</v>
      </c>
      <c r="F11" s="57" t="s">
        <v>87</v>
      </c>
      <c r="G11" s="61"/>
      <c r="H11" s="61"/>
      <c r="I11" s="60"/>
      <c r="J11" s="53"/>
    </row>
    <row r="12" ht="24.75" customHeight="1">
      <c r="A12" s="54">
        <v>30.0</v>
      </c>
      <c r="B12" s="56" t="s">
        <v>113</v>
      </c>
      <c r="C12" s="56" t="s">
        <v>109</v>
      </c>
      <c r="D12" s="56" t="s">
        <v>114</v>
      </c>
      <c r="E12" s="56" t="s">
        <v>111</v>
      </c>
      <c r="F12" s="57" t="s">
        <v>87</v>
      </c>
      <c r="G12" s="61"/>
      <c r="H12" s="61"/>
      <c r="I12" s="60"/>
      <c r="J12" s="53"/>
    </row>
    <row r="13" ht="24.75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118</v>
      </c>
      <c r="F13" s="57" t="s">
        <v>87</v>
      </c>
      <c r="G13" s="61"/>
      <c r="H13" s="61"/>
      <c r="I13" s="60"/>
      <c r="J13" s="53"/>
    </row>
    <row r="14" ht="24.75" hidden="1" customHeight="1">
      <c r="A14" s="54">
        <v>30.0</v>
      </c>
      <c r="B14" s="56" t="s">
        <v>116</v>
      </c>
      <c r="C14" s="56" t="s">
        <v>109</v>
      </c>
      <c r="D14" s="56" t="s">
        <v>117</v>
      </c>
      <c r="E14" s="56" t="s">
        <v>119</v>
      </c>
      <c r="F14" s="57" t="s">
        <v>34</v>
      </c>
      <c r="G14" s="61"/>
      <c r="H14" s="61"/>
      <c r="I14" s="62"/>
      <c r="J14" s="53"/>
    </row>
    <row r="15" ht="24.75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111</v>
      </c>
      <c r="F15" s="57" t="s">
        <v>87</v>
      </c>
      <c r="G15" s="61"/>
      <c r="H15" s="61"/>
      <c r="I15" s="60"/>
      <c r="J15" s="53"/>
    </row>
    <row r="16" ht="24.75" hidden="1" customHeight="1">
      <c r="A16" s="54">
        <v>30.0</v>
      </c>
      <c r="B16" s="56" t="s">
        <v>120</v>
      </c>
      <c r="C16" s="56" t="s">
        <v>109</v>
      </c>
      <c r="D16" s="56" t="s">
        <v>121</v>
      </c>
      <c r="E16" s="56" t="s">
        <v>122</v>
      </c>
      <c r="F16" s="57" t="s">
        <v>34</v>
      </c>
      <c r="G16" s="61"/>
      <c r="H16" s="61"/>
      <c r="I16" s="62"/>
      <c r="J16" s="53"/>
    </row>
    <row r="17" ht="24.75" customHeight="1">
      <c r="A17" s="54">
        <v>30.0</v>
      </c>
      <c r="B17" s="56" t="s">
        <v>123</v>
      </c>
      <c r="C17" s="56" t="s">
        <v>109</v>
      </c>
      <c r="D17" s="56" t="s">
        <v>124</v>
      </c>
      <c r="E17" s="56" t="s">
        <v>86</v>
      </c>
      <c r="F17" s="57" t="s">
        <v>87</v>
      </c>
      <c r="G17" s="61"/>
      <c r="H17" s="61"/>
      <c r="I17" s="60"/>
      <c r="J17" s="53"/>
    </row>
    <row r="18" ht="24.75" hidden="1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129</v>
      </c>
      <c r="F18" s="57" t="s">
        <v>34</v>
      </c>
      <c r="G18" s="61"/>
      <c r="H18" s="61"/>
      <c r="I18" s="62" t="s">
        <v>133</v>
      </c>
      <c r="J18" s="53"/>
    </row>
    <row r="19" ht="24.75" hidden="1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132</v>
      </c>
      <c r="F19" s="57" t="s">
        <v>34</v>
      </c>
      <c r="G19" s="61"/>
      <c r="H19" s="61"/>
      <c r="I19" s="62" t="s">
        <v>133</v>
      </c>
      <c r="J19" s="53"/>
    </row>
    <row r="20" ht="24.75" hidden="1" customHeight="1">
      <c r="A20" s="54">
        <v>31.0</v>
      </c>
      <c r="B20" s="56" t="s">
        <v>126</v>
      </c>
      <c r="C20" s="56" t="s">
        <v>127</v>
      </c>
      <c r="D20" s="56" t="s">
        <v>128</v>
      </c>
      <c r="E20" s="56" t="s">
        <v>134</v>
      </c>
      <c r="F20" s="57" t="s">
        <v>34</v>
      </c>
      <c r="G20" s="61"/>
      <c r="H20" s="61"/>
      <c r="I20" s="62" t="s">
        <v>133</v>
      </c>
      <c r="J20" s="53"/>
    </row>
    <row r="21" ht="24.75" hidden="1" customHeight="1">
      <c r="A21" s="54">
        <v>40.0</v>
      </c>
      <c r="B21" s="56" t="s">
        <v>135</v>
      </c>
      <c r="C21" s="56" t="s">
        <v>136</v>
      </c>
      <c r="D21" s="56" t="s">
        <v>137</v>
      </c>
      <c r="E21" s="56" t="s">
        <v>111</v>
      </c>
      <c r="F21" s="57" t="s">
        <v>34</v>
      </c>
      <c r="G21" s="61"/>
      <c r="H21" s="61"/>
      <c r="I21" s="62"/>
      <c r="J21" s="53"/>
    </row>
    <row r="22" ht="24.75" hidden="1" customHeight="1">
      <c r="A22" s="54">
        <v>40.0</v>
      </c>
      <c r="B22" s="56" t="s">
        <v>139</v>
      </c>
      <c r="C22" s="56" t="s">
        <v>101</v>
      </c>
      <c r="D22" s="56" t="s">
        <v>102</v>
      </c>
      <c r="E22" s="56" t="s">
        <v>111</v>
      </c>
      <c r="F22" s="57" t="s">
        <v>34</v>
      </c>
      <c r="G22" s="61"/>
      <c r="H22" s="61"/>
      <c r="I22" s="62"/>
      <c r="J22" s="53"/>
    </row>
    <row r="23" ht="24.75" hidden="1" customHeight="1">
      <c r="A23" s="54">
        <v>40.0</v>
      </c>
      <c r="B23" s="56" t="s">
        <v>140</v>
      </c>
      <c r="C23" s="56" t="s">
        <v>141</v>
      </c>
      <c r="D23" s="56" t="s">
        <v>142</v>
      </c>
      <c r="E23" s="56" t="s">
        <v>111</v>
      </c>
      <c r="F23" s="57" t="s">
        <v>34</v>
      </c>
      <c r="G23" s="61"/>
      <c r="H23" s="61"/>
      <c r="I23" s="62"/>
      <c r="J23" s="53"/>
    </row>
    <row r="24" ht="24.75" hidden="1" customHeight="1">
      <c r="A24" s="54">
        <v>40.0</v>
      </c>
      <c r="B24" s="56" t="s">
        <v>143</v>
      </c>
      <c r="C24" s="56" t="s">
        <v>144</v>
      </c>
      <c r="D24" s="56" t="s">
        <v>145</v>
      </c>
      <c r="E24" s="56" t="s">
        <v>111</v>
      </c>
      <c r="F24" s="57" t="s">
        <v>34</v>
      </c>
      <c r="G24" s="61"/>
      <c r="H24" s="61"/>
      <c r="I24" s="62"/>
      <c r="J24" s="53"/>
    </row>
    <row r="25" ht="24.75" hidden="1" customHeight="1">
      <c r="A25" s="54">
        <v>50.0</v>
      </c>
      <c r="B25" s="56" t="s">
        <v>147</v>
      </c>
      <c r="C25" s="56" t="s">
        <v>148</v>
      </c>
      <c r="D25" s="56" t="s">
        <v>149</v>
      </c>
      <c r="E25" s="56" t="s">
        <v>150</v>
      </c>
      <c r="F25" s="57" t="s">
        <v>34</v>
      </c>
      <c r="G25" s="61"/>
      <c r="H25" s="61"/>
      <c r="I25" s="62"/>
      <c r="J25" s="53"/>
    </row>
    <row r="26" ht="24.75" hidden="1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111</v>
      </c>
      <c r="F26" s="57" t="s">
        <v>34</v>
      </c>
      <c r="G26" s="61"/>
      <c r="H26" s="61"/>
      <c r="I26" s="62"/>
      <c r="J26" s="53"/>
    </row>
    <row r="27" ht="24.75" hidden="1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153</v>
      </c>
      <c r="F27" s="57" t="s">
        <v>154</v>
      </c>
      <c r="G27" s="61"/>
      <c r="H27" s="61"/>
      <c r="I27" s="62"/>
      <c r="J27" s="53"/>
    </row>
    <row r="28" ht="24.75" hidden="1" customHeight="1">
      <c r="A28" s="54">
        <v>50.0</v>
      </c>
      <c r="B28" s="56" t="s">
        <v>151</v>
      </c>
      <c r="C28" s="56" t="s">
        <v>152</v>
      </c>
      <c r="D28" s="56" t="s">
        <v>152</v>
      </c>
      <c r="E28" s="56" t="s">
        <v>155</v>
      </c>
      <c r="F28" s="57" t="s">
        <v>154</v>
      </c>
      <c r="G28" s="61"/>
      <c r="H28" s="61" t="s">
        <v>159</v>
      </c>
      <c r="I28" s="62" t="s">
        <v>160</v>
      </c>
      <c r="J28" s="53"/>
    </row>
    <row r="29" ht="24.75" hidden="1" customHeight="1">
      <c r="A29" s="54">
        <v>50.0</v>
      </c>
      <c r="B29" s="56" t="s">
        <v>156</v>
      </c>
      <c r="C29" s="56" t="s">
        <v>152</v>
      </c>
      <c r="D29" s="56" t="s">
        <v>157</v>
      </c>
      <c r="E29" s="56" t="s">
        <v>158</v>
      </c>
      <c r="F29" s="57" t="s">
        <v>34</v>
      </c>
      <c r="G29" s="61"/>
      <c r="H29" s="61"/>
      <c r="I29" s="62"/>
      <c r="J29" s="53"/>
    </row>
    <row r="30" ht="24.75" hidden="1" customHeight="1">
      <c r="A30" s="54">
        <v>50.0</v>
      </c>
      <c r="B30" s="56" t="s">
        <v>161</v>
      </c>
      <c r="C30" s="56" t="s">
        <v>152</v>
      </c>
      <c r="D30" s="56" t="s">
        <v>162</v>
      </c>
      <c r="E30" s="56" t="s">
        <v>163</v>
      </c>
      <c r="F30" s="57" t="s">
        <v>34</v>
      </c>
      <c r="G30" s="61"/>
      <c r="H30" s="61"/>
      <c r="I30" s="62"/>
      <c r="J30" s="53"/>
    </row>
    <row r="31" ht="24.75" hidden="1" customHeight="1">
      <c r="A31" s="54">
        <v>60.0</v>
      </c>
      <c r="B31" s="56" t="s">
        <v>164</v>
      </c>
      <c r="C31" s="56" t="s">
        <v>165</v>
      </c>
      <c r="D31" s="56" t="s">
        <v>166</v>
      </c>
      <c r="E31" s="56" t="s">
        <v>167</v>
      </c>
      <c r="F31" s="57" t="s">
        <v>154</v>
      </c>
      <c r="G31" s="61"/>
      <c r="H31" s="61"/>
      <c r="I31" s="62"/>
      <c r="J31" s="53"/>
    </row>
    <row r="32" ht="24.75" hidden="1" customHeight="1">
      <c r="A32" s="54">
        <v>60.0</v>
      </c>
      <c r="B32" s="56" t="s">
        <v>169</v>
      </c>
      <c r="C32" s="56" t="s">
        <v>165</v>
      </c>
      <c r="D32" s="56" t="s">
        <v>170</v>
      </c>
      <c r="E32" s="56" t="s">
        <v>167</v>
      </c>
      <c r="F32" s="57" t="s">
        <v>154</v>
      </c>
      <c r="G32" s="61"/>
      <c r="H32" s="61"/>
      <c r="I32" s="62"/>
      <c r="J32" s="53"/>
    </row>
    <row r="33" ht="24.75" hidden="1" customHeight="1">
      <c r="A33" s="54">
        <v>60.0</v>
      </c>
      <c r="B33" s="56" t="s">
        <v>171</v>
      </c>
      <c r="C33" s="56" t="s">
        <v>165</v>
      </c>
      <c r="D33" s="56" t="s">
        <v>172</v>
      </c>
      <c r="E33" s="56" t="s">
        <v>167</v>
      </c>
      <c r="F33" s="57" t="s">
        <v>154</v>
      </c>
      <c r="G33" s="61"/>
      <c r="H33" s="61"/>
      <c r="I33" s="62"/>
      <c r="J33" s="53"/>
    </row>
    <row r="34" ht="24.75" hidden="1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167</v>
      </c>
      <c r="F34" s="57" t="s">
        <v>154</v>
      </c>
      <c r="G34" s="61"/>
      <c r="H34" s="61"/>
      <c r="I34" s="62"/>
      <c r="J34" s="53"/>
    </row>
    <row r="35" ht="24.75" hidden="1" customHeight="1">
      <c r="A35" s="54">
        <v>60.0</v>
      </c>
      <c r="B35" s="56" t="s">
        <v>174</v>
      </c>
      <c r="C35" s="56" t="s">
        <v>165</v>
      </c>
      <c r="D35" s="56" t="s">
        <v>175</v>
      </c>
      <c r="E35" s="56" t="s">
        <v>176</v>
      </c>
      <c r="F35" s="57" t="s">
        <v>154</v>
      </c>
      <c r="G35" s="61"/>
      <c r="H35" s="61"/>
      <c r="I35" s="62"/>
      <c r="J35" s="53"/>
    </row>
    <row r="36" ht="24.75" hidden="1" customHeight="1">
      <c r="A36" s="54">
        <v>60.0</v>
      </c>
      <c r="B36" s="56" t="s">
        <v>177</v>
      </c>
      <c r="C36" s="56" t="s">
        <v>165</v>
      </c>
      <c r="D36" s="56" t="s">
        <v>178</v>
      </c>
      <c r="E36" s="56" t="s">
        <v>111</v>
      </c>
      <c r="F36" s="57" t="s">
        <v>154</v>
      </c>
      <c r="G36" s="61"/>
      <c r="H36" s="61"/>
      <c r="I36" s="62"/>
      <c r="J36" s="53"/>
    </row>
    <row r="37" ht="24.75" hidden="1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167</v>
      </c>
      <c r="F37" s="57" t="s">
        <v>154</v>
      </c>
      <c r="G37" s="61"/>
      <c r="H37" s="61"/>
      <c r="I37" s="62"/>
      <c r="J37" s="53"/>
    </row>
    <row r="38" ht="24.75" hidden="1" customHeight="1">
      <c r="A38" s="54">
        <v>60.0</v>
      </c>
      <c r="B38" s="56" t="s">
        <v>179</v>
      </c>
      <c r="C38" s="56" t="s">
        <v>165</v>
      </c>
      <c r="D38" s="56" t="s">
        <v>180</v>
      </c>
      <c r="E38" s="56" t="s">
        <v>176</v>
      </c>
      <c r="F38" s="57" t="s">
        <v>154</v>
      </c>
      <c r="G38" s="61"/>
      <c r="H38" s="61"/>
      <c r="I38" s="62"/>
      <c r="J38" s="53"/>
    </row>
    <row r="39" ht="24.75" hidden="1" customHeight="1">
      <c r="A39" s="54">
        <v>60.0</v>
      </c>
      <c r="B39" s="56" t="s">
        <v>181</v>
      </c>
      <c r="C39" s="56" t="s">
        <v>165</v>
      </c>
      <c r="D39" s="56" t="s">
        <v>178</v>
      </c>
      <c r="E39" s="56" t="s">
        <v>167</v>
      </c>
      <c r="F39" s="57" t="s">
        <v>154</v>
      </c>
      <c r="G39" s="61"/>
      <c r="H39" s="61"/>
      <c r="I39" s="62" t="s">
        <v>14</v>
      </c>
      <c r="J39" s="53"/>
    </row>
    <row r="40" ht="24.75" hidden="1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167</v>
      </c>
      <c r="F40" s="57" t="s">
        <v>154</v>
      </c>
      <c r="G40" s="61"/>
      <c r="H40" s="61"/>
      <c r="I40" s="62"/>
      <c r="J40" s="53"/>
    </row>
    <row r="41" ht="24.75" hidden="1" customHeight="1">
      <c r="A41" s="54">
        <v>60.0</v>
      </c>
      <c r="B41" s="56" t="s">
        <v>182</v>
      </c>
      <c r="C41" s="56" t="s">
        <v>165</v>
      </c>
      <c r="D41" s="56" t="s">
        <v>183</v>
      </c>
      <c r="E41" s="56" t="s">
        <v>176</v>
      </c>
      <c r="F41" s="57" t="s">
        <v>154</v>
      </c>
      <c r="G41" s="61"/>
      <c r="H41" s="61"/>
      <c r="I41" s="62"/>
      <c r="J41" s="53"/>
    </row>
    <row r="42" ht="24.75" hidden="1" customHeight="1">
      <c r="A42" s="54">
        <v>60.0</v>
      </c>
      <c r="B42" s="56" t="s">
        <v>184</v>
      </c>
      <c r="C42" s="56" t="s">
        <v>165</v>
      </c>
      <c r="D42" s="56" t="s">
        <v>178</v>
      </c>
      <c r="E42" s="56" t="s">
        <v>167</v>
      </c>
      <c r="F42" s="57" t="s">
        <v>154</v>
      </c>
      <c r="G42" s="61"/>
      <c r="H42" s="61"/>
      <c r="I42" s="62"/>
      <c r="J42" s="53"/>
    </row>
    <row r="43" ht="24.75" hidden="1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167</v>
      </c>
      <c r="F43" s="57" t="s">
        <v>154</v>
      </c>
      <c r="G43" s="61"/>
      <c r="H43" s="61"/>
      <c r="I43" s="62"/>
      <c r="J43" s="53"/>
    </row>
    <row r="44" ht="24.75" hidden="1" customHeight="1">
      <c r="A44" s="54">
        <v>60.0</v>
      </c>
      <c r="B44" s="56" t="s">
        <v>185</v>
      </c>
      <c r="C44" s="56" t="s">
        <v>165</v>
      </c>
      <c r="D44" s="56" t="s">
        <v>186</v>
      </c>
      <c r="E44" s="56" t="s">
        <v>176</v>
      </c>
      <c r="F44" s="57" t="s">
        <v>154</v>
      </c>
      <c r="G44" s="61"/>
      <c r="H44" s="61"/>
      <c r="I44" s="62"/>
      <c r="J44" s="53"/>
    </row>
    <row r="45" ht="24.75" hidden="1" customHeight="1">
      <c r="A45" s="54">
        <v>60.0</v>
      </c>
      <c r="B45" s="56" t="s">
        <v>187</v>
      </c>
      <c r="C45" s="56" t="s">
        <v>165</v>
      </c>
      <c r="D45" s="56" t="s">
        <v>178</v>
      </c>
      <c r="E45" s="56" t="s">
        <v>167</v>
      </c>
      <c r="F45" s="57" t="s">
        <v>154</v>
      </c>
      <c r="G45" s="61"/>
      <c r="H45" s="61"/>
      <c r="I45" s="62"/>
      <c r="J45" s="53"/>
    </row>
    <row r="46" ht="24.75" hidden="1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191</v>
      </c>
      <c r="F46" s="57" t="s">
        <v>192</v>
      </c>
      <c r="G46" s="61"/>
      <c r="H46" s="61"/>
      <c r="I46" s="62"/>
      <c r="J46" s="53"/>
    </row>
    <row r="47" ht="24.75" hidden="1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194</v>
      </c>
      <c r="F47" s="57" t="s">
        <v>192</v>
      </c>
      <c r="G47" s="61"/>
      <c r="H47" s="61"/>
      <c r="I47" s="62"/>
      <c r="J47" s="53"/>
    </row>
    <row r="48" ht="24.75" hidden="1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195</v>
      </c>
      <c r="F48" s="57" t="s">
        <v>34</v>
      </c>
      <c r="G48" s="61"/>
      <c r="H48" s="61" t="s">
        <v>197</v>
      </c>
      <c r="I48" s="62"/>
      <c r="J48" s="53"/>
    </row>
    <row r="49" ht="24.75" hidden="1" customHeight="1">
      <c r="A49" s="54">
        <v>80.0</v>
      </c>
      <c r="B49" s="56" t="s">
        <v>188</v>
      </c>
      <c r="C49" s="56" t="s">
        <v>189</v>
      </c>
      <c r="D49" s="56" t="s">
        <v>190</v>
      </c>
      <c r="E49" s="56" t="s">
        <v>196</v>
      </c>
      <c r="F49" s="57" t="s">
        <v>154</v>
      </c>
      <c r="G49" s="61"/>
      <c r="H49" s="61" t="s">
        <v>200</v>
      </c>
      <c r="I49" s="62" t="s">
        <v>201</v>
      </c>
      <c r="J49" s="53"/>
    </row>
    <row r="50" ht="24.75" hidden="1" customHeight="1">
      <c r="A50" s="54">
        <v>80.0</v>
      </c>
      <c r="B50" s="56" t="s">
        <v>198</v>
      </c>
      <c r="C50" s="56" t="s">
        <v>189</v>
      </c>
      <c r="D50" s="56" t="s">
        <v>199</v>
      </c>
      <c r="E50" s="56" t="s">
        <v>163</v>
      </c>
      <c r="F50" s="57" t="s">
        <v>154</v>
      </c>
      <c r="G50" s="61"/>
      <c r="H50" s="61"/>
      <c r="I50" s="62" t="s">
        <v>207</v>
      </c>
      <c r="J50" s="53"/>
    </row>
    <row r="51" ht="24.75" hidden="1" customHeight="1">
      <c r="A51" s="54">
        <v>80.0</v>
      </c>
      <c r="B51" s="56" t="s">
        <v>203</v>
      </c>
      <c r="C51" s="56" t="s">
        <v>204</v>
      </c>
      <c r="D51" s="56" t="s">
        <v>205</v>
      </c>
      <c r="E51" s="56" t="s">
        <v>206</v>
      </c>
      <c r="F51" s="76" t="s">
        <v>192</v>
      </c>
      <c r="G51" s="61"/>
      <c r="H51" s="77" t="s">
        <v>209</v>
      </c>
      <c r="I51" s="62" t="s">
        <v>211</v>
      </c>
      <c r="J51" s="53"/>
    </row>
    <row r="52" ht="24.75" hidden="1" customHeight="1">
      <c r="A52" s="54">
        <v>80.0</v>
      </c>
      <c r="B52" s="56" t="s">
        <v>203</v>
      </c>
      <c r="C52" s="56" t="s">
        <v>204</v>
      </c>
      <c r="D52" s="56" t="s">
        <v>205</v>
      </c>
      <c r="E52" s="56" t="s">
        <v>208</v>
      </c>
      <c r="F52" s="57" t="s">
        <v>154</v>
      </c>
      <c r="G52" s="61"/>
      <c r="H52" s="61"/>
      <c r="I52" s="62" t="s">
        <v>207</v>
      </c>
      <c r="J52" s="53"/>
    </row>
    <row r="53" ht="24.75" hidden="1" customHeight="1">
      <c r="A53" s="54">
        <v>80.0</v>
      </c>
      <c r="B53" s="56" t="s">
        <v>210</v>
      </c>
      <c r="C53" s="56" t="s">
        <v>189</v>
      </c>
      <c r="D53" s="56" t="s">
        <v>212</v>
      </c>
      <c r="E53" s="56" t="s">
        <v>213</v>
      </c>
      <c r="F53" s="57"/>
      <c r="G53" s="61"/>
      <c r="H53" s="61"/>
      <c r="I53" s="62"/>
      <c r="J53" s="53"/>
    </row>
    <row r="54" ht="24.75" hidden="1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216</v>
      </c>
      <c r="F54" s="57" t="s">
        <v>154</v>
      </c>
      <c r="G54" s="61"/>
      <c r="H54" s="61"/>
      <c r="I54" s="62" t="s">
        <v>207</v>
      </c>
      <c r="J54" s="53"/>
    </row>
    <row r="55" ht="24.75" hidden="1" customHeight="1">
      <c r="A55" s="54">
        <v>80.0</v>
      </c>
      <c r="B55" s="56" t="s">
        <v>214</v>
      </c>
      <c r="C55" s="56" t="s">
        <v>204</v>
      </c>
      <c r="D55" s="56" t="s">
        <v>215</v>
      </c>
      <c r="E55" s="56" t="s">
        <v>217</v>
      </c>
      <c r="F55" s="57" t="s">
        <v>154</v>
      </c>
      <c r="G55" s="61"/>
      <c r="H55" s="61"/>
      <c r="I55" s="62" t="s">
        <v>207</v>
      </c>
      <c r="J55" s="53"/>
    </row>
    <row r="56" ht="24.75" hidden="1" customHeight="1">
      <c r="A56" s="54">
        <v>80.0</v>
      </c>
      <c r="B56" s="56" t="s">
        <v>214</v>
      </c>
      <c r="C56" s="56" t="s">
        <v>204</v>
      </c>
      <c r="D56" s="56" t="s">
        <v>215</v>
      </c>
      <c r="E56" s="56" t="s">
        <v>163</v>
      </c>
      <c r="F56" s="57" t="s">
        <v>154</v>
      </c>
      <c r="G56" s="61"/>
      <c r="H56" s="61"/>
      <c r="I56" s="62" t="s">
        <v>207</v>
      </c>
      <c r="J56" s="53"/>
    </row>
    <row r="57" ht="24.75" hidden="1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191</v>
      </c>
      <c r="F57" s="57" t="s">
        <v>192</v>
      </c>
      <c r="G57" s="61"/>
      <c r="H57" s="61"/>
      <c r="I57" s="62"/>
      <c r="J57" s="53"/>
    </row>
    <row r="58" ht="24.75" hidden="1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194</v>
      </c>
      <c r="F58" s="57" t="s">
        <v>192</v>
      </c>
      <c r="G58" s="61"/>
      <c r="H58" s="61"/>
      <c r="I58" s="62"/>
      <c r="J58" s="53"/>
    </row>
    <row r="59" ht="24.75" hidden="1" customHeight="1">
      <c r="A59" s="54">
        <v>80.0</v>
      </c>
      <c r="B59" s="56" t="s">
        <v>218</v>
      </c>
      <c r="C59" s="56" t="s">
        <v>204</v>
      </c>
      <c r="D59" s="56" t="s">
        <v>219</v>
      </c>
      <c r="E59" s="56" t="s">
        <v>195</v>
      </c>
      <c r="F59" s="57" t="s">
        <v>34</v>
      </c>
      <c r="G59" s="61"/>
      <c r="H59" s="61" t="s">
        <v>197</v>
      </c>
      <c r="I59" s="62"/>
      <c r="J59" s="53"/>
    </row>
    <row r="60" ht="24.75" hidden="1" customHeight="1">
      <c r="A60" s="54">
        <v>80.0</v>
      </c>
      <c r="B60" s="56" t="s">
        <v>218</v>
      </c>
      <c r="C60" s="56" t="s">
        <v>204</v>
      </c>
      <c r="D60" s="56" t="s">
        <v>219</v>
      </c>
      <c r="E60" s="56" t="s">
        <v>196</v>
      </c>
      <c r="F60" s="57" t="s">
        <v>154</v>
      </c>
      <c r="G60" s="61"/>
      <c r="H60" s="61" t="s">
        <v>200</v>
      </c>
      <c r="I60" s="62" t="s">
        <v>201</v>
      </c>
      <c r="J60" s="53"/>
    </row>
    <row r="61" ht="24.75" hidden="1" customHeight="1">
      <c r="A61" s="54">
        <v>80.0</v>
      </c>
      <c r="B61" s="56" t="s">
        <v>220</v>
      </c>
      <c r="C61" s="56" t="s">
        <v>204</v>
      </c>
      <c r="D61" s="56" t="s">
        <v>221</v>
      </c>
      <c r="E61" s="56" t="s">
        <v>222</v>
      </c>
      <c r="F61" s="57" t="s">
        <v>154</v>
      </c>
      <c r="G61" s="61"/>
      <c r="H61" s="61"/>
      <c r="I61" s="62"/>
      <c r="J61" s="53"/>
    </row>
    <row r="62" ht="24.75" hidden="1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225</v>
      </c>
      <c r="F62" s="57" t="s">
        <v>34</v>
      </c>
      <c r="G62" s="61"/>
      <c r="H62" s="61"/>
      <c r="I62" s="62"/>
      <c r="J62" s="53"/>
    </row>
    <row r="63" ht="24.75" hidden="1" customHeight="1">
      <c r="A63" s="54">
        <v>80.0</v>
      </c>
      <c r="B63" s="56" t="s">
        <v>223</v>
      </c>
      <c r="C63" s="56" t="s">
        <v>204</v>
      </c>
      <c r="D63" s="56" t="s">
        <v>224</v>
      </c>
      <c r="E63" s="56" t="s">
        <v>167</v>
      </c>
      <c r="F63" s="57" t="s">
        <v>154</v>
      </c>
      <c r="G63" s="61"/>
      <c r="H63" s="61"/>
      <c r="I63" s="62"/>
      <c r="J63" s="53"/>
    </row>
    <row r="64" ht="24.75" hidden="1" customHeight="1">
      <c r="A64" s="54">
        <v>80.0</v>
      </c>
      <c r="B64" s="56" t="s">
        <v>223</v>
      </c>
      <c r="C64" s="56" t="s">
        <v>204</v>
      </c>
      <c r="D64" s="56" t="s">
        <v>224</v>
      </c>
      <c r="E64" s="56" t="s">
        <v>226</v>
      </c>
      <c r="F64" s="57" t="s">
        <v>154</v>
      </c>
      <c r="G64" s="61"/>
      <c r="H64" s="61"/>
      <c r="I64" s="62"/>
      <c r="J64" s="53"/>
    </row>
    <row r="65" ht="24.75" hidden="1" customHeight="1">
      <c r="A65" s="54">
        <v>80.0</v>
      </c>
      <c r="B65" s="56" t="s">
        <v>227</v>
      </c>
      <c r="C65" s="56" t="s">
        <v>228</v>
      </c>
      <c r="D65" s="56" t="s">
        <v>229</v>
      </c>
      <c r="E65" s="56" t="s">
        <v>230</v>
      </c>
      <c r="F65" s="57" t="s">
        <v>154</v>
      </c>
      <c r="G65" s="61"/>
      <c r="H65" s="61"/>
      <c r="I65" s="62"/>
      <c r="J65" s="53"/>
    </row>
    <row r="66" ht="24.75" hidden="1" customHeight="1">
      <c r="A66" s="54">
        <v>80.0</v>
      </c>
      <c r="B66" s="56" t="s">
        <v>227</v>
      </c>
      <c r="C66" s="56" t="s">
        <v>228</v>
      </c>
      <c r="D66" s="56" t="s">
        <v>231</v>
      </c>
      <c r="E66" s="56" t="s">
        <v>232</v>
      </c>
      <c r="F66" s="57" t="s">
        <v>192</v>
      </c>
      <c r="G66" s="61"/>
      <c r="H66" s="61" t="s">
        <v>200</v>
      </c>
      <c r="I66" s="62" t="s">
        <v>240</v>
      </c>
      <c r="J66" s="53"/>
    </row>
    <row r="67" ht="24.75" customHeight="1">
      <c r="A67" s="54">
        <v>92.0</v>
      </c>
      <c r="B67" s="56" t="s">
        <v>233</v>
      </c>
      <c r="C67" s="56" t="s">
        <v>234</v>
      </c>
      <c r="D67" s="56" t="s">
        <v>235</v>
      </c>
      <c r="E67" s="56" t="s">
        <v>111</v>
      </c>
      <c r="F67" s="57" t="s">
        <v>87</v>
      </c>
      <c r="G67" s="61"/>
      <c r="H67" s="61"/>
      <c r="I67" s="60" t="s">
        <v>243</v>
      </c>
      <c r="J67" s="53"/>
    </row>
    <row r="68" ht="24.75" hidden="1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239</v>
      </c>
      <c r="F68" s="57" t="s">
        <v>34</v>
      </c>
      <c r="G68" s="61"/>
      <c r="H68" s="61"/>
      <c r="I68" s="62" t="s">
        <v>245</v>
      </c>
      <c r="J68" s="53"/>
    </row>
    <row r="69" ht="24.75" hidden="1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241</v>
      </c>
      <c r="F69" s="57" t="s">
        <v>34</v>
      </c>
      <c r="G69" s="61"/>
      <c r="H69" s="61"/>
      <c r="I69" s="62" t="s">
        <v>245</v>
      </c>
      <c r="J69" s="53"/>
    </row>
    <row r="70" ht="24.75" hidden="1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242</v>
      </c>
      <c r="F70" s="57" t="s">
        <v>34</v>
      </c>
      <c r="G70" s="61"/>
      <c r="H70" s="61"/>
      <c r="I70" s="62" t="s">
        <v>245</v>
      </c>
      <c r="J70" s="53"/>
    </row>
    <row r="71" ht="24.75" hidden="1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244</v>
      </c>
      <c r="F71" s="57" t="s">
        <v>34</v>
      </c>
      <c r="G71" s="61"/>
      <c r="H71" s="61"/>
      <c r="I71" s="62" t="s">
        <v>245</v>
      </c>
      <c r="J71" s="53"/>
    </row>
    <row r="72" ht="24.75" hidden="1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247</v>
      </c>
      <c r="F72" s="57" t="s">
        <v>34</v>
      </c>
      <c r="G72" s="61"/>
      <c r="H72" s="61"/>
      <c r="I72" s="62" t="s">
        <v>245</v>
      </c>
      <c r="J72" s="53"/>
    </row>
    <row r="73" ht="24.75" hidden="1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248</v>
      </c>
      <c r="F73" s="57" t="s">
        <v>34</v>
      </c>
      <c r="G73" s="61"/>
      <c r="H73" s="61"/>
      <c r="I73" s="62"/>
      <c r="J73" s="53"/>
    </row>
    <row r="74" ht="24.75" hidden="1" customHeight="1">
      <c r="A74" s="54">
        <v>90.0</v>
      </c>
      <c r="B74" s="56" t="s">
        <v>236</v>
      </c>
      <c r="C74" s="56" t="s">
        <v>237</v>
      </c>
      <c r="D74" s="56" t="s">
        <v>238</v>
      </c>
      <c r="E74" s="56" t="s">
        <v>252</v>
      </c>
      <c r="F74" s="57" t="s">
        <v>34</v>
      </c>
      <c r="G74" s="61"/>
      <c r="H74" s="61"/>
      <c r="I74" s="62" t="s">
        <v>245</v>
      </c>
      <c r="J74" s="53"/>
    </row>
    <row r="75" ht="24.75" customHeight="1">
      <c r="A75" s="54">
        <v>92.0</v>
      </c>
      <c r="B75" s="56" t="s">
        <v>253</v>
      </c>
      <c r="C75" s="56" t="s">
        <v>234</v>
      </c>
      <c r="D75" s="56" t="s">
        <v>254</v>
      </c>
      <c r="E75" s="56" t="s">
        <v>111</v>
      </c>
      <c r="F75" s="57" t="s">
        <v>87</v>
      </c>
      <c r="G75" s="61"/>
      <c r="H75" s="61"/>
      <c r="I75" s="60" t="s">
        <v>243</v>
      </c>
      <c r="J75" s="53"/>
    </row>
    <row r="76" ht="24.75" customHeight="1">
      <c r="A76" s="54">
        <v>92.0</v>
      </c>
      <c r="B76" s="56" t="s">
        <v>255</v>
      </c>
      <c r="C76" s="56" t="s">
        <v>234</v>
      </c>
      <c r="D76" s="56" t="s">
        <v>256</v>
      </c>
      <c r="E76" s="56" t="s">
        <v>257</v>
      </c>
      <c r="F76" s="57" t="s">
        <v>87</v>
      </c>
      <c r="G76" s="61"/>
      <c r="H76" s="61"/>
      <c r="I76" s="60"/>
      <c r="J76" s="53"/>
    </row>
    <row r="77" ht="24.75" customHeight="1">
      <c r="A77" s="54">
        <v>110.0</v>
      </c>
      <c r="B77" s="56" t="s">
        <v>258</v>
      </c>
      <c r="C77" s="56" t="s">
        <v>259</v>
      </c>
      <c r="D77" s="56" t="s">
        <v>85</v>
      </c>
      <c r="E77" s="56" t="s">
        <v>86</v>
      </c>
      <c r="F77" s="57" t="s">
        <v>87</v>
      </c>
      <c r="G77" s="61"/>
      <c r="H77" s="61"/>
      <c r="I77" s="60" t="s">
        <v>88</v>
      </c>
      <c r="J77" s="53"/>
    </row>
    <row r="78" ht="24.75" customHeight="1">
      <c r="A78" s="54">
        <v>110.0</v>
      </c>
      <c r="B78" s="56" t="s">
        <v>260</v>
      </c>
      <c r="C78" s="56" t="s">
        <v>259</v>
      </c>
      <c r="D78" s="56" t="s">
        <v>261</v>
      </c>
      <c r="E78" s="56" t="s">
        <v>86</v>
      </c>
      <c r="F78" s="57" t="s">
        <v>87</v>
      </c>
      <c r="G78" s="61"/>
      <c r="H78" s="61"/>
      <c r="I78" s="60" t="s">
        <v>88</v>
      </c>
      <c r="J78" s="53"/>
    </row>
    <row r="79" ht="24.75" customHeight="1">
      <c r="A79" s="54">
        <v>120.0</v>
      </c>
      <c r="B79" s="56" t="s">
        <v>262</v>
      </c>
      <c r="C79" s="56" t="s">
        <v>263</v>
      </c>
      <c r="D79" s="56" t="s">
        <v>263</v>
      </c>
      <c r="E79" s="56" t="s">
        <v>264</v>
      </c>
      <c r="F79" s="57" t="s">
        <v>87</v>
      </c>
      <c r="G79" s="61"/>
      <c r="H79" s="61"/>
      <c r="I79" s="60" t="s">
        <v>273</v>
      </c>
      <c r="J79" s="53"/>
    </row>
    <row r="80" ht="24.75" hidden="1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267</v>
      </c>
      <c r="F80" s="57" t="s">
        <v>192</v>
      </c>
      <c r="G80" s="61"/>
      <c r="H80" s="61"/>
      <c r="I80" s="62" t="s">
        <v>245</v>
      </c>
      <c r="J80" s="53"/>
    </row>
    <row r="81" ht="24.75" hidden="1" customHeight="1">
      <c r="A81" s="54">
        <v>90.0</v>
      </c>
      <c r="B81" s="56" t="s">
        <v>265</v>
      </c>
      <c r="C81" s="56" t="s">
        <v>237</v>
      </c>
      <c r="D81" s="56" t="s">
        <v>266</v>
      </c>
      <c r="E81" s="56" t="s">
        <v>268</v>
      </c>
      <c r="F81" s="57" t="s">
        <v>34</v>
      </c>
      <c r="G81" s="61"/>
      <c r="H81" s="61"/>
      <c r="I81" s="62" t="s">
        <v>245</v>
      </c>
      <c r="J81" s="53"/>
    </row>
    <row r="82" ht="24.75" customHeight="1">
      <c r="A82" s="54">
        <v>140.0</v>
      </c>
      <c r="B82" s="56" t="s">
        <v>269</v>
      </c>
      <c r="C82" s="56" t="s">
        <v>270</v>
      </c>
      <c r="D82" s="56" t="s">
        <v>271</v>
      </c>
      <c r="E82" s="56" t="s">
        <v>272</v>
      </c>
      <c r="F82" s="57" t="s">
        <v>87</v>
      </c>
      <c r="G82" s="61"/>
      <c r="H82" s="61"/>
      <c r="I82" s="60"/>
      <c r="J82" s="53"/>
    </row>
    <row r="83" ht="24.75" hidden="1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239</v>
      </c>
      <c r="F83" s="57" t="s">
        <v>34</v>
      </c>
      <c r="G83" s="61"/>
      <c r="H83" s="61"/>
      <c r="I83" s="62" t="s">
        <v>245</v>
      </c>
      <c r="J83" s="53"/>
    </row>
    <row r="84" ht="24.75" hidden="1" customHeight="1">
      <c r="A84" s="54">
        <v>90.0</v>
      </c>
      <c r="B84" s="56" t="s">
        <v>274</v>
      </c>
      <c r="C84" s="56" t="s">
        <v>237</v>
      </c>
      <c r="D84" s="56" t="s">
        <v>275</v>
      </c>
      <c r="E84" s="56" t="s">
        <v>248</v>
      </c>
      <c r="F84" s="57" t="s">
        <v>34</v>
      </c>
      <c r="G84" s="61"/>
      <c r="H84" s="61"/>
      <c r="I84" s="62"/>
      <c r="J84" s="53"/>
    </row>
    <row r="85" ht="24.75" customHeight="1">
      <c r="A85" s="54">
        <v>140.0</v>
      </c>
      <c r="B85" s="56" t="s">
        <v>269</v>
      </c>
      <c r="C85" s="56" t="s">
        <v>270</v>
      </c>
      <c r="D85" s="56" t="s">
        <v>271</v>
      </c>
      <c r="E85" s="56" t="s">
        <v>276</v>
      </c>
      <c r="F85" s="57" t="s">
        <v>87</v>
      </c>
      <c r="G85" s="61"/>
      <c r="H85" s="61"/>
      <c r="I85" s="60" t="s">
        <v>88</v>
      </c>
      <c r="J85" s="53"/>
    </row>
    <row r="86" ht="24.75" hidden="1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239</v>
      </c>
      <c r="F86" s="57" t="s">
        <v>34</v>
      </c>
      <c r="G86" s="61"/>
      <c r="H86" s="61"/>
      <c r="I86" s="62" t="s">
        <v>283</v>
      </c>
      <c r="J86" s="53"/>
    </row>
    <row r="87" ht="24.75" hidden="1" customHeight="1">
      <c r="A87" s="54">
        <v>90.0</v>
      </c>
      <c r="B87" s="56" t="s">
        <v>277</v>
      </c>
      <c r="C87" s="56" t="s">
        <v>278</v>
      </c>
      <c r="D87" s="56" t="s">
        <v>279</v>
      </c>
      <c r="E87" s="56" t="s">
        <v>163</v>
      </c>
      <c r="F87" s="57" t="s">
        <v>34</v>
      </c>
      <c r="G87" s="61"/>
      <c r="H87" s="61"/>
      <c r="I87" s="62" t="s">
        <v>283</v>
      </c>
      <c r="J87" s="53"/>
    </row>
    <row r="88" ht="24.75" hidden="1" customHeight="1">
      <c r="A88" s="54">
        <v>90.0</v>
      </c>
      <c r="B88" s="56" t="s">
        <v>277</v>
      </c>
      <c r="C88" s="56" t="s">
        <v>278</v>
      </c>
      <c r="D88" s="56" t="s">
        <v>279</v>
      </c>
      <c r="E88" s="56" t="s">
        <v>241</v>
      </c>
      <c r="F88" s="57" t="s">
        <v>34</v>
      </c>
      <c r="G88" s="61"/>
      <c r="H88" s="61"/>
      <c r="I88" s="62" t="s">
        <v>283</v>
      </c>
      <c r="J88" s="53"/>
    </row>
    <row r="89" ht="24.75" hidden="1" customHeight="1">
      <c r="A89" s="54">
        <v>90.0</v>
      </c>
      <c r="B89" s="56" t="s">
        <v>280</v>
      </c>
      <c r="C89" s="56" t="s">
        <v>278</v>
      </c>
      <c r="D89" s="56" t="s">
        <v>281</v>
      </c>
      <c r="E89" s="56" t="s">
        <v>196</v>
      </c>
      <c r="F89" s="57" t="s">
        <v>192</v>
      </c>
      <c r="G89" s="61"/>
      <c r="H89" s="61" t="s">
        <v>287</v>
      </c>
      <c r="I89" s="62" t="s">
        <v>288</v>
      </c>
      <c r="J89" s="53"/>
    </row>
    <row r="90" ht="24.75" hidden="1" customHeight="1">
      <c r="A90" s="54">
        <v>90.0</v>
      </c>
      <c r="B90" s="56" t="s">
        <v>280</v>
      </c>
      <c r="C90" s="56" t="s">
        <v>278</v>
      </c>
      <c r="D90" s="56" t="s">
        <v>281</v>
      </c>
      <c r="E90" s="56" t="s">
        <v>282</v>
      </c>
      <c r="F90" s="76" t="s">
        <v>192</v>
      </c>
      <c r="G90" s="61"/>
      <c r="H90" s="77" t="s">
        <v>209</v>
      </c>
      <c r="I90" s="62" t="s">
        <v>293</v>
      </c>
      <c r="J90" s="53"/>
    </row>
    <row r="91" ht="24.75" customHeight="1">
      <c r="A91" s="54">
        <v>140.0</v>
      </c>
      <c r="B91" s="56" t="s">
        <v>284</v>
      </c>
      <c r="C91" s="56" t="s">
        <v>270</v>
      </c>
      <c r="D91" s="56" t="s">
        <v>285</v>
      </c>
      <c r="E91" s="56" t="s">
        <v>272</v>
      </c>
      <c r="F91" s="57" t="s">
        <v>87</v>
      </c>
      <c r="G91" s="61"/>
      <c r="H91" s="61"/>
      <c r="I91" s="60"/>
      <c r="J91" s="53"/>
    </row>
    <row r="92" ht="24.75" customHeight="1">
      <c r="A92" s="54">
        <v>140.0</v>
      </c>
      <c r="B92" s="56" t="s">
        <v>284</v>
      </c>
      <c r="C92" s="56" t="s">
        <v>270</v>
      </c>
      <c r="D92" s="56" t="s">
        <v>285</v>
      </c>
      <c r="E92" s="56" t="s">
        <v>276</v>
      </c>
      <c r="F92" s="57" t="s">
        <v>87</v>
      </c>
      <c r="G92" s="61"/>
      <c r="H92" s="61"/>
      <c r="I92" s="60" t="s">
        <v>88</v>
      </c>
      <c r="J92" s="53"/>
    </row>
    <row r="93" ht="24.75" hidden="1" customHeight="1">
      <c r="A93" s="54">
        <v>90.0</v>
      </c>
      <c r="B93" s="56" t="s">
        <v>286</v>
      </c>
      <c r="C93" s="56" t="s">
        <v>278</v>
      </c>
      <c r="D93" s="56" t="s">
        <v>266</v>
      </c>
      <c r="E93" s="56" t="s">
        <v>268</v>
      </c>
      <c r="F93" s="57" t="s">
        <v>34</v>
      </c>
      <c r="G93" s="61"/>
      <c r="H93" s="61"/>
      <c r="I93" s="62" t="s">
        <v>283</v>
      </c>
      <c r="J93" s="53"/>
    </row>
    <row r="94" ht="24.75" customHeight="1">
      <c r="A94" s="54" t="s">
        <v>289</v>
      </c>
      <c r="B94" s="56" t="s">
        <v>290</v>
      </c>
      <c r="C94" s="56" t="s">
        <v>291</v>
      </c>
      <c r="D94" s="56" t="s">
        <v>292</v>
      </c>
      <c r="E94" s="56" t="s">
        <v>167</v>
      </c>
      <c r="F94" s="57" t="s">
        <v>87</v>
      </c>
      <c r="G94" s="61"/>
      <c r="H94" s="79"/>
      <c r="I94" s="60"/>
      <c r="J94" s="53"/>
    </row>
    <row r="95" ht="24.75" hidden="1" customHeight="1">
      <c r="A95" s="54">
        <v>90.0</v>
      </c>
      <c r="B95" s="56" t="s">
        <v>294</v>
      </c>
      <c r="C95" s="56" t="s">
        <v>278</v>
      </c>
      <c r="D95" s="56" t="s">
        <v>275</v>
      </c>
      <c r="E95" s="56" t="s">
        <v>239</v>
      </c>
      <c r="F95" s="57" t="s">
        <v>34</v>
      </c>
      <c r="G95" s="61"/>
      <c r="H95" s="61"/>
      <c r="I95" s="62"/>
      <c r="J95" s="53"/>
    </row>
    <row r="96" ht="24.75" customHeight="1">
      <c r="A96" s="54" t="s">
        <v>289</v>
      </c>
      <c r="B96" s="56" t="s">
        <v>290</v>
      </c>
      <c r="C96" s="56" t="s">
        <v>291</v>
      </c>
      <c r="D96" s="56" t="s">
        <v>292</v>
      </c>
      <c r="E96" s="56" t="s">
        <v>295</v>
      </c>
      <c r="F96" s="57" t="s">
        <v>87</v>
      </c>
      <c r="G96" s="61"/>
      <c r="H96" s="79"/>
      <c r="I96" s="60"/>
      <c r="J96" s="53"/>
    </row>
    <row r="97" ht="24.75" hidden="1" customHeight="1">
      <c r="A97" s="54">
        <v>92.0</v>
      </c>
      <c r="B97" s="56" t="s">
        <v>233</v>
      </c>
      <c r="C97" s="56" t="s">
        <v>234</v>
      </c>
      <c r="D97" s="56" t="s">
        <v>296</v>
      </c>
      <c r="E97" s="56" t="s">
        <v>297</v>
      </c>
      <c r="F97" s="57"/>
      <c r="G97" s="61"/>
      <c r="H97" s="61"/>
      <c r="I97" s="62" t="s">
        <v>283</v>
      </c>
      <c r="J97" s="53"/>
    </row>
    <row r="98" ht="24.75" hidden="1" customHeight="1">
      <c r="A98" s="54">
        <v>90.0</v>
      </c>
      <c r="B98" s="56" t="s">
        <v>298</v>
      </c>
      <c r="C98" s="56" t="s">
        <v>278</v>
      </c>
      <c r="D98" s="56" t="s">
        <v>299</v>
      </c>
      <c r="E98" s="56" t="s">
        <v>167</v>
      </c>
      <c r="F98" s="57" t="s">
        <v>15</v>
      </c>
      <c r="G98" s="61"/>
      <c r="H98" s="61"/>
      <c r="I98" s="60"/>
      <c r="J98" s="53"/>
    </row>
    <row r="99" ht="24.75" hidden="1" customHeight="1">
      <c r="A99" s="54">
        <v>92.0</v>
      </c>
      <c r="B99" s="56" t="s">
        <v>253</v>
      </c>
      <c r="C99" s="56" t="s">
        <v>234</v>
      </c>
      <c r="D99" s="56" t="s">
        <v>300</v>
      </c>
      <c r="E99" s="56" t="s">
        <v>297</v>
      </c>
      <c r="F99" s="57"/>
      <c r="G99" s="61"/>
      <c r="H99" s="61"/>
      <c r="I99" s="62" t="s">
        <v>283</v>
      </c>
      <c r="J99" s="53"/>
    </row>
    <row r="100" ht="24.75" hidden="1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163</v>
      </c>
      <c r="F100" s="57" t="s">
        <v>34</v>
      </c>
      <c r="G100" s="61"/>
      <c r="H100" s="61"/>
      <c r="I100" s="62"/>
      <c r="J100" s="53"/>
    </row>
    <row r="101" ht="24.75" hidden="1" customHeight="1">
      <c r="A101" s="54">
        <v>92.0</v>
      </c>
      <c r="B101" s="56" t="s">
        <v>301</v>
      </c>
      <c r="C101" s="56" t="s">
        <v>234</v>
      </c>
      <c r="D101" s="56" t="s">
        <v>302</v>
      </c>
      <c r="E101" s="56" t="s">
        <v>111</v>
      </c>
      <c r="F101" s="57" t="s">
        <v>154</v>
      </c>
      <c r="G101" s="61"/>
      <c r="H101" s="61"/>
      <c r="I101" s="62"/>
      <c r="J101" s="53"/>
    </row>
    <row r="102" ht="24.75" hidden="1" customHeight="1">
      <c r="A102" s="54">
        <v>92.0</v>
      </c>
      <c r="B102" s="56" t="s">
        <v>301</v>
      </c>
      <c r="C102" s="56" t="s">
        <v>234</v>
      </c>
      <c r="D102" s="56" t="s">
        <v>302</v>
      </c>
      <c r="E102" s="56" t="s">
        <v>248</v>
      </c>
      <c r="F102" s="57" t="s">
        <v>303</v>
      </c>
      <c r="G102" s="61"/>
      <c r="H102" s="61"/>
      <c r="I102" s="62"/>
      <c r="J102" s="53"/>
    </row>
    <row r="103" ht="24.75" hidden="1" customHeight="1">
      <c r="A103" s="54">
        <v>92.0</v>
      </c>
      <c r="B103" s="56" t="s">
        <v>301</v>
      </c>
      <c r="C103" s="56" t="s">
        <v>234</v>
      </c>
      <c r="D103" s="56" t="s">
        <v>302</v>
      </c>
      <c r="E103" s="56" t="s">
        <v>247</v>
      </c>
      <c r="F103" s="57" t="s">
        <v>303</v>
      </c>
      <c r="G103" s="61"/>
      <c r="H103" s="61"/>
      <c r="I103" s="62"/>
      <c r="J103" s="53"/>
    </row>
    <row r="104" ht="24.75" hidden="1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163</v>
      </c>
      <c r="F104" s="57" t="s">
        <v>34</v>
      </c>
      <c r="G104" s="61"/>
      <c r="H104" s="61"/>
      <c r="I104" s="62"/>
      <c r="J104" s="53"/>
    </row>
    <row r="105" ht="24.75" hidden="1" customHeight="1">
      <c r="A105" s="54">
        <v>92.0</v>
      </c>
      <c r="B105" s="56" t="s">
        <v>304</v>
      </c>
      <c r="C105" s="56" t="s">
        <v>234</v>
      </c>
      <c r="D105" s="56" t="s">
        <v>305</v>
      </c>
      <c r="E105" s="56" t="s">
        <v>111</v>
      </c>
      <c r="F105" s="57" t="s">
        <v>154</v>
      </c>
      <c r="G105" s="61"/>
      <c r="H105" s="61"/>
      <c r="I105" s="62"/>
      <c r="J105" s="53"/>
    </row>
    <row r="106" ht="24.75" hidden="1" customHeight="1">
      <c r="A106" s="54">
        <v>92.0</v>
      </c>
      <c r="B106" s="56" t="s">
        <v>304</v>
      </c>
      <c r="C106" s="56" t="s">
        <v>234</v>
      </c>
      <c r="D106" s="56" t="s">
        <v>305</v>
      </c>
      <c r="E106" s="56" t="s">
        <v>248</v>
      </c>
      <c r="F106" s="57" t="s">
        <v>303</v>
      </c>
      <c r="G106" s="61"/>
      <c r="H106" s="61"/>
      <c r="I106" s="62"/>
      <c r="J106" s="53"/>
    </row>
    <row r="107" ht="24.75" hidden="1" customHeight="1">
      <c r="A107" s="54">
        <v>92.0</v>
      </c>
      <c r="B107" s="56" t="s">
        <v>304</v>
      </c>
      <c r="C107" s="56" t="s">
        <v>234</v>
      </c>
      <c r="D107" s="56" t="s">
        <v>305</v>
      </c>
      <c r="E107" s="56" t="s">
        <v>247</v>
      </c>
      <c r="F107" s="57" t="s">
        <v>303</v>
      </c>
      <c r="G107" s="61"/>
      <c r="H107" s="61"/>
      <c r="I107" s="62"/>
      <c r="J107" s="53"/>
    </row>
    <row r="108" ht="24.75" hidden="1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163</v>
      </c>
      <c r="F108" s="57" t="s">
        <v>34</v>
      </c>
      <c r="G108" s="61"/>
      <c r="H108" s="61"/>
      <c r="I108" s="62"/>
      <c r="J108" s="53"/>
    </row>
    <row r="109" ht="24.75" hidden="1" customHeight="1">
      <c r="A109" s="54">
        <v>92.0</v>
      </c>
      <c r="B109" s="56" t="s">
        <v>306</v>
      </c>
      <c r="C109" s="56" t="s">
        <v>234</v>
      </c>
      <c r="D109" s="56" t="s">
        <v>307</v>
      </c>
      <c r="E109" s="56" t="s">
        <v>111</v>
      </c>
      <c r="F109" s="57" t="s">
        <v>154</v>
      </c>
      <c r="G109" s="61"/>
      <c r="H109" s="61"/>
      <c r="I109" s="62"/>
      <c r="J109" s="53"/>
    </row>
    <row r="110" ht="24.75" hidden="1" customHeight="1">
      <c r="A110" s="54">
        <v>92.0</v>
      </c>
      <c r="B110" s="56" t="s">
        <v>306</v>
      </c>
      <c r="C110" s="56" t="s">
        <v>234</v>
      </c>
      <c r="D110" s="56" t="s">
        <v>307</v>
      </c>
      <c r="E110" s="56" t="s">
        <v>248</v>
      </c>
      <c r="F110" s="57" t="s">
        <v>303</v>
      </c>
      <c r="G110" s="61"/>
      <c r="H110" s="61"/>
      <c r="I110" s="62"/>
      <c r="J110" s="53"/>
    </row>
    <row r="111" ht="24.75" hidden="1" customHeight="1">
      <c r="A111" s="54">
        <v>92.0</v>
      </c>
      <c r="B111" s="56" t="s">
        <v>306</v>
      </c>
      <c r="C111" s="56" t="s">
        <v>234</v>
      </c>
      <c r="D111" s="56" t="s">
        <v>307</v>
      </c>
      <c r="E111" s="56" t="s">
        <v>247</v>
      </c>
      <c r="F111" s="57" t="s">
        <v>303</v>
      </c>
      <c r="G111" s="61"/>
      <c r="H111" s="61"/>
      <c r="I111" s="62"/>
      <c r="J111" s="53"/>
    </row>
    <row r="112" ht="24.75" hidden="1" customHeight="1">
      <c r="A112" s="54">
        <v>90.0</v>
      </c>
      <c r="B112" s="56" t="s">
        <v>236</v>
      </c>
      <c r="C112" s="56" t="s">
        <v>237</v>
      </c>
      <c r="D112" s="56" t="s">
        <v>238</v>
      </c>
      <c r="E112" s="56" t="s">
        <v>308</v>
      </c>
      <c r="F112" s="57" t="s">
        <v>15</v>
      </c>
      <c r="G112" s="61"/>
      <c r="H112" s="61"/>
      <c r="I112" s="60"/>
      <c r="J112" s="53"/>
    </row>
    <row r="113" ht="24.75" hidden="1" customHeight="1">
      <c r="A113" s="54">
        <v>92.0</v>
      </c>
      <c r="B113" s="56" t="s">
        <v>309</v>
      </c>
      <c r="C113" s="56" t="s">
        <v>234</v>
      </c>
      <c r="D113" s="80" t="s">
        <v>310</v>
      </c>
      <c r="E113" s="56" t="s">
        <v>297</v>
      </c>
      <c r="F113" s="57"/>
      <c r="G113" s="61"/>
      <c r="H113" s="61"/>
      <c r="I113" s="62"/>
      <c r="J113" s="53"/>
    </row>
    <row r="114" ht="24.75" hidden="1" customHeight="1">
      <c r="A114" s="54">
        <v>90.0</v>
      </c>
      <c r="B114" s="56" t="s">
        <v>236</v>
      </c>
      <c r="C114" s="56" t="s">
        <v>237</v>
      </c>
      <c r="D114" s="56" t="s">
        <v>238</v>
      </c>
      <c r="E114" s="56" t="s">
        <v>311</v>
      </c>
      <c r="F114" s="57" t="s">
        <v>15</v>
      </c>
      <c r="G114" s="61"/>
      <c r="H114" s="61"/>
      <c r="I114" s="60"/>
      <c r="J114" s="53"/>
    </row>
    <row r="115" ht="24.75" hidden="1" customHeight="1">
      <c r="A115" s="54">
        <v>90.0</v>
      </c>
      <c r="B115" s="56" t="s">
        <v>236</v>
      </c>
      <c r="C115" s="56" t="s">
        <v>237</v>
      </c>
      <c r="D115" s="56" t="s">
        <v>238</v>
      </c>
      <c r="E115" s="56" t="s">
        <v>312</v>
      </c>
      <c r="F115" s="57" t="s">
        <v>15</v>
      </c>
      <c r="G115" s="61"/>
      <c r="H115" s="61"/>
      <c r="I115" s="60"/>
      <c r="J115" s="53"/>
    </row>
    <row r="116" ht="24.75" hidden="1" customHeight="1">
      <c r="A116" s="54">
        <v>100.0</v>
      </c>
      <c r="B116" s="56" t="s">
        <v>314</v>
      </c>
      <c r="C116" s="56" t="s">
        <v>315</v>
      </c>
      <c r="D116" s="56" t="s">
        <v>316</v>
      </c>
      <c r="E116" s="56" t="s">
        <v>317</v>
      </c>
      <c r="F116" s="57" t="s">
        <v>34</v>
      </c>
      <c r="G116" s="81"/>
      <c r="H116" s="81"/>
      <c r="I116" s="57"/>
      <c r="J116" s="53"/>
    </row>
    <row r="117" ht="24.75" hidden="1" customHeight="1">
      <c r="A117" s="54">
        <v>100.0</v>
      </c>
      <c r="B117" s="56" t="s">
        <v>318</v>
      </c>
      <c r="C117" s="56" t="s">
        <v>315</v>
      </c>
      <c r="D117" s="56" t="s">
        <v>319</v>
      </c>
      <c r="E117" s="56" t="s">
        <v>320</v>
      </c>
      <c r="F117" s="57" t="s">
        <v>34</v>
      </c>
      <c r="G117" s="81"/>
      <c r="H117" s="81"/>
      <c r="I117" s="57"/>
      <c r="J117" s="5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  <c r="FU117" s="82"/>
      <c r="FV117" s="82"/>
      <c r="FW117" s="82"/>
      <c r="FX117" s="82"/>
      <c r="FY117" s="82"/>
      <c r="FZ117" s="82"/>
      <c r="GA117" s="82"/>
      <c r="GB117" s="82"/>
      <c r="GC117" s="82"/>
      <c r="GD117" s="82"/>
      <c r="GE117" s="82"/>
      <c r="GF117" s="82"/>
    </row>
    <row r="118" ht="24.75" hidden="1" customHeight="1">
      <c r="A118" s="54">
        <v>100.0</v>
      </c>
      <c r="B118" s="56" t="s">
        <v>318</v>
      </c>
      <c r="C118" s="56" t="s">
        <v>315</v>
      </c>
      <c r="D118" s="56" t="s">
        <v>319</v>
      </c>
      <c r="E118" s="56" t="s">
        <v>325</v>
      </c>
      <c r="F118" s="57" t="s">
        <v>34</v>
      </c>
      <c r="G118" s="53"/>
      <c r="H118" s="53"/>
      <c r="I118" s="53"/>
      <c r="J118" s="5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  <c r="FU118" s="82"/>
      <c r="FV118" s="82"/>
      <c r="FW118" s="82"/>
      <c r="FX118" s="82"/>
      <c r="FY118" s="82"/>
      <c r="FZ118" s="82"/>
      <c r="GA118" s="82"/>
      <c r="GB118" s="82"/>
      <c r="GC118" s="82"/>
      <c r="GD118" s="82"/>
      <c r="GE118" s="82"/>
      <c r="GF118" s="82"/>
    </row>
    <row r="119" ht="24.75" hidden="1" customHeight="1">
      <c r="A119" s="54">
        <v>100.0</v>
      </c>
      <c r="B119" s="56" t="s">
        <v>328</v>
      </c>
      <c r="C119" s="56" t="s">
        <v>315</v>
      </c>
      <c r="D119" s="56" t="s">
        <v>329</v>
      </c>
      <c r="E119" s="56" t="s">
        <v>320</v>
      </c>
      <c r="F119" s="57" t="s">
        <v>34</v>
      </c>
      <c r="G119" s="53"/>
      <c r="H119" s="53"/>
      <c r="I119" s="53"/>
      <c r="J119" s="53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  <c r="BT119" s="82"/>
      <c r="BU119" s="82"/>
      <c r="BV119" s="82"/>
      <c r="BW119" s="82"/>
      <c r="BX119" s="82"/>
      <c r="BY119" s="82"/>
      <c r="BZ119" s="82"/>
      <c r="CA119" s="82"/>
      <c r="CB119" s="82"/>
      <c r="CC119" s="82"/>
      <c r="CD119" s="82"/>
      <c r="CE119" s="82"/>
      <c r="CF119" s="82"/>
      <c r="CG119" s="82"/>
      <c r="CH119" s="82"/>
      <c r="CI119" s="82"/>
      <c r="CJ119" s="82"/>
      <c r="CK119" s="82"/>
      <c r="CL119" s="82"/>
      <c r="CM119" s="82"/>
      <c r="CN119" s="82"/>
      <c r="CO119" s="82"/>
      <c r="CP119" s="82"/>
      <c r="CQ119" s="82"/>
      <c r="CR119" s="82"/>
      <c r="CS119" s="82"/>
      <c r="CT119" s="82"/>
      <c r="CU119" s="82"/>
      <c r="CV119" s="82"/>
      <c r="CW119" s="82"/>
      <c r="CX119" s="82"/>
      <c r="CY119" s="82"/>
      <c r="CZ119" s="82"/>
      <c r="DA119" s="82"/>
      <c r="DB119" s="82"/>
      <c r="DC119" s="82"/>
      <c r="DD119" s="82"/>
      <c r="DE119" s="82"/>
      <c r="DF119" s="82"/>
      <c r="DG119" s="82"/>
      <c r="DH119" s="82"/>
      <c r="DI119" s="82"/>
      <c r="DJ119" s="82"/>
      <c r="DK119" s="82"/>
      <c r="DL119" s="82"/>
      <c r="DM119" s="82"/>
      <c r="DN119" s="82"/>
      <c r="DO119" s="82"/>
      <c r="DP119" s="82"/>
      <c r="DQ119" s="82"/>
      <c r="DR119" s="82"/>
      <c r="DS119" s="82"/>
      <c r="DT119" s="82"/>
      <c r="DU119" s="82"/>
      <c r="DV119" s="82"/>
      <c r="DW119" s="82"/>
      <c r="DX119" s="82"/>
      <c r="DY119" s="82"/>
      <c r="DZ119" s="82"/>
      <c r="EA119" s="82"/>
      <c r="EB119" s="82"/>
      <c r="EC119" s="82"/>
      <c r="ED119" s="82"/>
      <c r="EE119" s="82"/>
      <c r="EF119" s="82"/>
      <c r="EG119" s="82"/>
      <c r="EH119" s="82"/>
      <c r="EI119" s="82"/>
      <c r="EJ119" s="82"/>
      <c r="EK119" s="82"/>
      <c r="EL119" s="82"/>
      <c r="EM119" s="82"/>
      <c r="EN119" s="82"/>
      <c r="EO119" s="82"/>
      <c r="EP119" s="82"/>
      <c r="EQ119" s="82"/>
      <c r="ER119" s="8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2"/>
      <c r="FF119" s="82"/>
      <c r="FG119" s="82"/>
      <c r="FH119" s="82"/>
      <c r="FI119" s="82"/>
      <c r="FJ119" s="82"/>
      <c r="FK119" s="82"/>
      <c r="FL119" s="82"/>
      <c r="FM119" s="82"/>
      <c r="FN119" s="82"/>
      <c r="FO119" s="82"/>
      <c r="FP119" s="82"/>
      <c r="FQ119" s="82"/>
      <c r="FR119" s="82"/>
      <c r="FS119" s="82"/>
      <c r="FT119" s="82"/>
      <c r="FU119" s="82"/>
      <c r="FV119" s="82"/>
      <c r="FW119" s="82"/>
      <c r="FX119" s="82"/>
      <c r="FY119" s="82"/>
      <c r="FZ119" s="82"/>
      <c r="GA119" s="82"/>
      <c r="GB119" s="82"/>
      <c r="GC119" s="82"/>
      <c r="GD119" s="82"/>
      <c r="GE119" s="82"/>
      <c r="GF119" s="82"/>
    </row>
    <row r="120" ht="24.75" hidden="1" customHeight="1">
      <c r="A120" s="54">
        <v>100.0</v>
      </c>
      <c r="B120" s="56" t="s">
        <v>328</v>
      </c>
      <c r="C120" s="56" t="s">
        <v>315</v>
      </c>
      <c r="D120" s="56" t="s">
        <v>329</v>
      </c>
      <c r="E120" s="56" t="s">
        <v>325</v>
      </c>
      <c r="F120" s="57" t="s">
        <v>34</v>
      </c>
      <c r="G120" s="53"/>
      <c r="H120" s="53"/>
      <c r="I120" s="53"/>
      <c r="J120" s="53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  <c r="BT120" s="82"/>
      <c r="BU120" s="82"/>
      <c r="BV120" s="82"/>
      <c r="BW120" s="82"/>
      <c r="BX120" s="82"/>
      <c r="BY120" s="82"/>
      <c r="BZ120" s="82"/>
      <c r="CA120" s="82"/>
      <c r="CB120" s="82"/>
      <c r="CC120" s="82"/>
      <c r="CD120" s="82"/>
      <c r="CE120" s="82"/>
      <c r="CF120" s="82"/>
      <c r="CG120" s="82"/>
      <c r="CH120" s="82"/>
      <c r="CI120" s="82"/>
      <c r="CJ120" s="82"/>
      <c r="CK120" s="82"/>
      <c r="CL120" s="82"/>
      <c r="CM120" s="82"/>
      <c r="CN120" s="82"/>
      <c r="CO120" s="82"/>
      <c r="CP120" s="82"/>
      <c r="CQ120" s="82"/>
      <c r="CR120" s="82"/>
      <c r="CS120" s="82"/>
      <c r="CT120" s="82"/>
      <c r="CU120" s="82"/>
      <c r="CV120" s="82"/>
      <c r="CW120" s="82"/>
      <c r="CX120" s="82"/>
      <c r="CY120" s="82"/>
      <c r="CZ120" s="82"/>
      <c r="DA120" s="82"/>
      <c r="DB120" s="82"/>
      <c r="DC120" s="82"/>
      <c r="DD120" s="82"/>
      <c r="DE120" s="82"/>
      <c r="DF120" s="82"/>
      <c r="DG120" s="82"/>
      <c r="DH120" s="82"/>
      <c r="DI120" s="82"/>
      <c r="DJ120" s="82"/>
      <c r="DK120" s="82"/>
      <c r="DL120" s="82"/>
      <c r="DM120" s="82"/>
      <c r="DN120" s="82"/>
      <c r="DO120" s="82"/>
      <c r="DP120" s="82"/>
      <c r="DQ120" s="82"/>
      <c r="DR120" s="82"/>
      <c r="DS120" s="82"/>
      <c r="DT120" s="82"/>
      <c r="DU120" s="82"/>
      <c r="DV120" s="82"/>
      <c r="DW120" s="82"/>
      <c r="DX120" s="82"/>
      <c r="DY120" s="82"/>
      <c r="DZ120" s="82"/>
      <c r="EA120" s="82"/>
      <c r="EB120" s="82"/>
      <c r="EC120" s="82"/>
      <c r="ED120" s="82"/>
      <c r="EE120" s="82"/>
      <c r="EF120" s="82"/>
      <c r="EG120" s="82"/>
      <c r="EH120" s="82"/>
      <c r="EI120" s="82"/>
      <c r="EJ120" s="82"/>
      <c r="EK120" s="82"/>
      <c r="EL120" s="82"/>
      <c r="EM120" s="82"/>
      <c r="EN120" s="82"/>
      <c r="EO120" s="82"/>
      <c r="EP120" s="82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2"/>
      <c r="FF120" s="82"/>
      <c r="FG120" s="82"/>
      <c r="FH120" s="82"/>
      <c r="FI120" s="82"/>
      <c r="FJ120" s="82"/>
      <c r="FK120" s="82"/>
      <c r="FL120" s="82"/>
      <c r="FM120" s="82"/>
      <c r="FN120" s="82"/>
      <c r="FO120" s="82"/>
      <c r="FP120" s="82"/>
      <c r="FQ120" s="82"/>
      <c r="FR120" s="82"/>
      <c r="FS120" s="82"/>
      <c r="FT120" s="82"/>
      <c r="FU120" s="82"/>
      <c r="FV120" s="82"/>
      <c r="FW120" s="82"/>
      <c r="FX120" s="82"/>
      <c r="FY120" s="82"/>
      <c r="FZ120" s="82"/>
      <c r="GA120" s="82"/>
      <c r="GB120" s="82"/>
      <c r="GC120" s="82"/>
      <c r="GD120" s="82"/>
      <c r="GE120" s="82"/>
      <c r="GF120" s="82"/>
    </row>
    <row r="121" ht="24.75" hidden="1" customHeight="1">
      <c r="A121" s="54">
        <v>100.0</v>
      </c>
      <c r="B121" s="56" t="s">
        <v>331</v>
      </c>
      <c r="C121" s="56" t="s">
        <v>315</v>
      </c>
      <c r="D121" s="56" t="s">
        <v>332</v>
      </c>
      <c r="E121" s="56" t="s">
        <v>333</v>
      </c>
      <c r="F121" s="57" t="s">
        <v>154</v>
      </c>
      <c r="G121" s="50"/>
      <c r="H121" s="61" t="s">
        <v>346</v>
      </c>
      <c r="I121" s="84" t="s">
        <v>347</v>
      </c>
      <c r="J121" s="53"/>
    </row>
    <row r="122" ht="24.75" hidden="1" customHeight="1">
      <c r="A122" s="54">
        <v>100.0</v>
      </c>
      <c r="B122" s="56" t="s">
        <v>334</v>
      </c>
      <c r="C122" s="56" t="s">
        <v>315</v>
      </c>
      <c r="D122" s="56" t="s">
        <v>335</v>
      </c>
      <c r="E122" s="56" t="s">
        <v>336</v>
      </c>
      <c r="F122" s="57" t="s">
        <v>192</v>
      </c>
      <c r="G122" s="50"/>
      <c r="H122" s="50"/>
      <c r="I122" s="84"/>
      <c r="J122" s="53"/>
    </row>
    <row r="123" ht="24.75" hidden="1" customHeight="1">
      <c r="A123" s="54">
        <v>90.0</v>
      </c>
      <c r="B123" s="56" t="s">
        <v>337</v>
      </c>
      <c r="C123" s="56" t="s">
        <v>237</v>
      </c>
      <c r="D123" s="56" t="s">
        <v>338</v>
      </c>
      <c r="E123" s="56" t="s">
        <v>111</v>
      </c>
      <c r="F123" s="57" t="s">
        <v>15</v>
      </c>
      <c r="G123" s="61"/>
      <c r="H123" s="61"/>
      <c r="I123" s="60"/>
      <c r="J123" s="53"/>
    </row>
    <row r="124" ht="24.75" hidden="1" customHeight="1">
      <c r="A124" s="54">
        <v>101.0</v>
      </c>
      <c r="B124" s="56" t="s">
        <v>339</v>
      </c>
      <c r="C124" s="56" t="s">
        <v>315</v>
      </c>
      <c r="D124" s="56" t="s">
        <v>340</v>
      </c>
      <c r="E124" s="56" t="s">
        <v>341</v>
      </c>
      <c r="F124" s="57" t="s">
        <v>154</v>
      </c>
      <c r="G124" s="61"/>
      <c r="H124" s="61"/>
      <c r="I124" s="62"/>
      <c r="J124" s="53"/>
    </row>
    <row r="125" ht="24.75" hidden="1" customHeight="1">
      <c r="A125" s="54">
        <v>101.0</v>
      </c>
      <c r="B125" s="56" t="s">
        <v>342</v>
      </c>
      <c r="C125" s="56" t="s">
        <v>315</v>
      </c>
      <c r="D125" s="56" t="s">
        <v>340</v>
      </c>
      <c r="E125" s="56" t="s">
        <v>333</v>
      </c>
      <c r="F125" s="57" t="s">
        <v>154</v>
      </c>
      <c r="G125" s="61"/>
      <c r="H125" s="61" t="s">
        <v>346</v>
      </c>
      <c r="I125" s="62" t="s">
        <v>347</v>
      </c>
      <c r="J125" s="53"/>
    </row>
    <row r="126" ht="24.75" hidden="1" customHeight="1">
      <c r="A126" s="54">
        <v>101.0</v>
      </c>
      <c r="B126" s="56" t="s">
        <v>343</v>
      </c>
      <c r="C126" s="56" t="s">
        <v>315</v>
      </c>
      <c r="D126" s="56" t="s">
        <v>340</v>
      </c>
      <c r="E126" s="56" t="s">
        <v>333</v>
      </c>
      <c r="F126" s="57" t="s">
        <v>154</v>
      </c>
      <c r="G126" s="61"/>
      <c r="H126" s="61" t="s">
        <v>346</v>
      </c>
      <c r="I126" s="62" t="s">
        <v>347</v>
      </c>
      <c r="J126" s="53"/>
    </row>
    <row r="127" ht="24.75" hidden="1" customHeight="1">
      <c r="A127" s="54">
        <v>101.0</v>
      </c>
      <c r="B127" s="56" t="s">
        <v>344</v>
      </c>
      <c r="C127" s="56" t="s">
        <v>315</v>
      </c>
      <c r="D127" s="56" t="s">
        <v>340</v>
      </c>
      <c r="E127" s="56" t="s">
        <v>345</v>
      </c>
      <c r="F127" s="57" t="s">
        <v>154</v>
      </c>
      <c r="G127" s="61"/>
      <c r="H127" s="61"/>
      <c r="I127" s="62"/>
      <c r="J127" s="53"/>
    </row>
    <row r="128" ht="24.75" hidden="1" customHeight="1">
      <c r="A128" s="54">
        <v>90.0</v>
      </c>
      <c r="B128" s="56" t="s">
        <v>348</v>
      </c>
      <c r="C128" s="56" t="s">
        <v>237</v>
      </c>
      <c r="D128" s="56" t="s">
        <v>349</v>
      </c>
      <c r="E128" s="56" t="s">
        <v>111</v>
      </c>
      <c r="F128" s="57" t="s">
        <v>15</v>
      </c>
      <c r="G128" s="61"/>
      <c r="H128" s="61"/>
      <c r="I128" s="60"/>
      <c r="J128" s="53"/>
    </row>
    <row r="129" ht="24.75" hidden="1" customHeight="1">
      <c r="A129" s="54">
        <v>101.0</v>
      </c>
      <c r="B129" s="56" t="s">
        <v>350</v>
      </c>
      <c r="C129" s="56" t="s">
        <v>315</v>
      </c>
      <c r="D129" s="56" t="s">
        <v>351</v>
      </c>
      <c r="E129" s="56" t="s">
        <v>352</v>
      </c>
      <c r="F129" s="57" t="s">
        <v>154</v>
      </c>
      <c r="G129" s="61"/>
      <c r="H129" s="61"/>
      <c r="I129" s="62"/>
      <c r="J129" s="53"/>
    </row>
    <row r="130" ht="24.75" hidden="1" customHeight="1">
      <c r="A130" s="54">
        <v>102.0</v>
      </c>
      <c r="B130" s="56" t="s">
        <v>353</v>
      </c>
      <c r="C130" s="56" t="s">
        <v>315</v>
      </c>
      <c r="D130" s="56" t="s">
        <v>354</v>
      </c>
      <c r="E130" s="56" t="s">
        <v>355</v>
      </c>
      <c r="F130" s="57" t="s">
        <v>154</v>
      </c>
      <c r="G130" s="61"/>
      <c r="H130" s="61" t="s">
        <v>346</v>
      </c>
      <c r="I130" s="62" t="s">
        <v>363</v>
      </c>
      <c r="J130" s="53"/>
    </row>
    <row r="131" ht="24.75" hidden="1" customHeight="1">
      <c r="A131" s="54">
        <v>90.0</v>
      </c>
      <c r="B131" s="56" t="s">
        <v>265</v>
      </c>
      <c r="C131" s="56" t="s">
        <v>237</v>
      </c>
      <c r="D131" s="56" t="s">
        <v>266</v>
      </c>
      <c r="E131" s="56" t="s">
        <v>111</v>
      </c>
      <c r="F131" s="57" t="s">
        <v>15</v>
      </c>
      <c r="G131" s="61"/>
      <c r="H131" s="61"/>
      <c r="I131" s="60" t="s">
        <v>283</v>
      </c>
      <c r="J131" s="53"/>
    </row>
    <row r="132" ht="24.75" hidden="1" customHeight="1">
      <c r="A132" s="54">
        <v>110.0</v>
      </c>
      <c r="B132" s="56" t="s">
        <v>356</v>
      </c>
      <c r="C132" s="56" t="s">
        <v>259</v>
      </c>
      <c r="D132" s="56" t="s">
        <v>357</v>
      </c>
      <c r="E132" s="56" t="s">
        <v>358</v>
      </c>
      <c r="F132" s="57" t="s">
        <v>34</v>
      </c>
      <c r="G132" s="61"/>
      <c r="H132" s="61"/>
      <c r="I132" s="62"/>
      <c r="J132" s="53"/>
    </row>
    <row r="133" ht="24.75" hidden="1" customHeight="1">
      <c r="A133" s="54">
        <v>110.0</v>
      </c>
      <c r="B133" s="56" t="s">
        <v>359</v>
      </c>
      <c r="C133" s="56" t="s">
        <v>259</v>
      </c>
      <c r="D133" s="56" t="s">
        <v>360</v>
      </c>
      <c r="E133" s="56" t="s">
        <v>358</v>
      </c>
      <c r="F133" s="57" t="s">
        <v>34</v>
      </c>
      <c r="G133" s="61"/>
      <c r="H133" s="61"/>
      <c r="I133" s="62"/>
      <c r="J133" s="53"/>
    </row>
    <row r="134" ht="24.75" hidden="1" customHeight="1">
      <c r="A134" s="54">
        <v>90.0</v>
      </c>
      <c r="B134" s="56" t="s">
        <v>274</v>
      </c>
      <c r="C134" s="56" t="s">
        <v>237</v>
      </c>
      <c r="D134" s="56" t="s">
        <v>275</v>
      </c>
      <c r="E134" s="56" t="s">
        <v>111</v>
      </c>
      <c r="F134" s="57" t="s">
        <v>15</v>
      </c>
      <c r="G134" s="61"/>
      <c r="H134" s="61"/>
      <c r="I134" s="60"/>
      <c r="J134" s="53"/>
    </row>
    <row r="135" ht="24.75" hidden="1" customHeight="1">
      <c r="A135" s="54">
        <v>90.0</v>
      </c>
      <c r="B135" s="56" t="s">
        <v>280</v>
      </c>
      <c r="C135" s="56" t="s">
        <v>278</v>
      </c>
      <c r="D135" s="56" t="s">
        <v>281</v>
      </c>
      <c r="E135" s="56" t="s">
        <v>272</v>
      </c>
      <c r="F135" s="57" t="s">
        <v>15</v>
      </c>
      <c r="G135" s="61"/>
      <c r="H135" s="61"/>
      <c r="I135" s="60"/>
      <c r="J135" s="53"/>
    </row>
    <row r="136" ht="24.75" hidden="1" customHeight="1">
      <c r="A136" s="54">
        <v>110.0</v>
      </c>
      <c r="B136" s="56" t="s">
        <v>361</v>
      </c>
      <c r="C136" s="56" t="s">
        <v>259</v>
      </c>
      <c r="D136" s="56" t="s">
        <v>362</v>
      </c>
      <c r="E136" s="56" t="s">
        <v>358</v>
      </c>
      <c r="F136" s="57" t="s">
        <v>34</v>
      </c>
      <c r="G136" s="61"/>
      <c r="H136" s="61"/>
      <c r="I136" s="62"/>
      <c r="J136" s="53"/>
    </row>
    <row r="137" ht="24.75" hidden="1" customHeight="1">
      <c r="A137" s="54">
        <v>110.0</v>
      </c>
      <c r="B137" s="56" t="s">
        <v>364</v>
      </c>
      <c r="C137" s="56" t="s">
        <v>259</v>
      </c>
      <c r="D137" s="56" t="s">
        <v>365</v>
      </c>
      <c r="E137" s="56" t="s">
        <v>358</v>
      </c>
      <c r="F137" s="57" t="s">
        <v>34</v>
      </c>
      <c r="G137" s="61"/>
      <c r="H137" s="61"/>
      <c r="I137" s="62"/>
      <c r="J137" s="53"/>
    </row>
    <row r="138" ht="24.75" hidden="1" customHeight="1">
      <c r="A138" s="54">
        <v>110.0</v>
      </c>
      <c r="B138" s="56" t="s">
        <v>366</v>
      </c>
      <c r="C138" s="56" t="s">
        <v>259</v>
      </c>
      <c r="D138" s="56" t="s">
        <v>367</v>
      </c>
      <c r="E138" s="56" t="s">
        <v>358</v>
      </c>
      <c r="F138" s="57" t="s">
        <v>34</v>
      </c>
      <c r="G138" s="61"/>
      <c r="H138" s="61"/>
      <c r="I138" s="62"/>
      <c r="J138" s="53"/>
    </row>
    <row r="139" ht="24.75" hidden="1" customHeight="1">
      <c r="A139" s="54">
        <v>110.0</v>
      </c>
      <c r="B139" s="56" t="s">
        <v>368</v>
      </c>
      <c r="C139" s="56" t="s">
        <v>259</v>
      </c>
      <c r="D139" s="56" t="s">
        <v>369</v>
      </c>
      <c r="E139" s="56" t="s">
        <v>358</v>
      </c>
      <c r="F139" s="57" t="s">
        <v>34</v>
      </c>
      <c r="G139" s="61"/>
      <c r="H139" s="61"/>
      <c r="I139" s="62"/>
      <c r="J139" s="53"/>
    </row>
    <row r="140" ht="24.75" hidden="1" customHeight="1">
      <c r="A140" s="54">
        <v>110.0</v>
      </c>
      <c r="B140" s="56" t="s">
        <v>370</v>
      </c>
      <c r="C140" s="56" t="s">
        <v>259</v>
      </c>
      <c r="D140" s="56" t="s">
        <v>371</v>
      </c>
      <c r="E140" s="56" t="s">
        <v>336</v>
      </c>
      <c r="F140" s="57" t="s">
        <v>192</v>
      </c>
      <c r="G140" s="61"/>
      <c r="H140" s="61"/>
      <c r="I140" s="62"/>
      <c r="J140" s="53"/>
    </row>
    <row r="141" ht="24.75" hidden="1" customHeight="1">
      <c r="A141" s="54">
        <v>110.0</v>
      </c>
      <c r="B141" s="56" t="s">
        <v>370</v>
      </c>
      <c r="C141" s="56" t="s">
        <v>259</v>
      </c>
      <c r="D141" s="56" t="s">
        <v>371</v>
      </c>
      <c r="E141" s="56" t="s">
        <v>372</v>
      </c>
      <c r="F141" s="57" t="s">
        <v>34</v>
      </c>
      <c r="G141" s="61"/>
      <c r="H141" s="61"/>
      <c r="I141" s="62"/>
      <c r="J141" s="53"/>
    </row>
    <row r="142" ht="24.75" hidden="1" customHeight="1">
      <c r="A142" s="54">
        <v>110.0</v>
      </c>
      <c r="B142" s="56" t="s">
        <v>370</v>
      </c>
      <c r="C142" s="56" t="s">
        <v>259</v>
      </c>
      <c r="D142" s="56" t="s">
        <v>371</v>
      </c>
      <c r="E142" s="56" t="s">
        <v>158</v>
      </c>
      <c r="F142" s="57" t="s">
        <v>34</v>
      </c>
      <c r="G142" s="61"/>
      <c r="H142" s="61"/>
      <c r="I142" s="62"/>
      <c r="J142" s="53"/>
    </row>
    <row r="143" ht="24.75" hidden="1" customHeight="1">
      <c r="A143" s="54">
        <v>110.0</v>
      </c>
      <c r="B143" s="56" t="s">
        <v>373</v>
      </c>
      <c r="C143" s="56" t="s">
        <v>259</v>
      </c>
      <c r="D143" s="56" t="s">
        <v>374</v>
      </c>
      <c r="E143" s="56" t="s">
        <v>336</v>
      </c>
      <c r="F143" s="57" t="s">
        <v>192</v>
      </c>
      <c r="G143" s="61"/>
      <c r="H143" s="61"/>
      <c r="I143" s="62"/>
      <c r="J143" s="53"/>
    </row>
    <row r="144" ht="24.75" hidden="1" customHeight="1">
      <c r="A144" s="54">
        <v>110.0</v>
      </c>
      <c r="B144" s="56" t="s">
        <v>375</v>
      </c>
      <c r="C144" s="56" t="s">
        <v>259</v>
      </c>
      <c r="D144" s="56" t="s">
        <v>376</v>
      </c>
      <c r="E144" s="56" t="s">
        <v>336</v>
      </c>
      <c r="F144" s="57" t="s">
        <v>192</v>
      </c>
      <c r="G144" s="61"/>
      <c r="H144" s="61"/>
      <c r="I144" s="62"/>
      <c r="J144" s="53"/>
    </row>
    <row r="145" ht="24.75" hidden="1" customHeight="1">
      <c r="A145" s="54">
        <v>110.0</v>
      </c>
      <c r="B145" s="56" t="s">
        <v>375</v>
      </c>
      <c r="C145" s="56" t="s">
        <v>259</v>
      </c>
      <c r="D145" s="56" t="s">
        <v>376</v>
      </c>
      <c r="E145" s="56" t="s">
        <v>372</v>
      </c>
      <c r="F145" s="57" t="s">
        <v>34</v>
      </c>
      <c r="G145" s="61"/>
      <c r="H145" s="61"/>
      <c r="I145" s="62"/>
      <c r="J145" s="53"/>
    </row>
    <row r="146" ht="24.75" hidden="1" customHeight="1">
      <c r="A146" s="54">
        <v>110.0</v>
      </c>
      <c r="B146" s="56" t="s">
        <v>375</v>
      </c>
      <c r="C146" s="56" t="s">
        <v>259</v>
      </c>
      <c r="D146" s="56" t="s">
        <v>376</v>
      </c>
      <c r="E146" s="56" t="s">
        <v>158</v>
      </c>
      <c r="F146" s="57" t="s">
        <v>34</v>
      </c>
      <c r="G146" s="61"/>
      <c r="H146" s="61"/>
      <c r="I146" s="62"/>
      <c r="J146" s="53"/>
    </row>
    <row r="147" ht="24.75" hidden="1" customHeight="1">
      <c r="A147" s="54">
        <v>110.0</v>
      </c>
      <c r="B147" s="56" t="s">
        <v>377</v>
      </c>
      <c r="C147" s="56" t="s">
        <v>259</v>
      </c>
      <c r="D147" s="56" t="s">
        <v>378</v>
      </c>
      <c r="E147" s="56" t="s">
        <v>336</v>
      </c>
      <c r="F147" s="57" t="s">
        <v>192</v>
      </c>
      <c r="G147" s="61"/>
      <c r="H147" s="61"/>
      <c r="I147" s="62"/>
      <c r="J147" s="53"/>
    </row>
    <row r="148" ht="24.75" hidden="1" customHeight="1">
      <c r="A148" s="54">
        <v>110.0</v>
      </c>
      <c r="B148" s="56" t="s">
        <v>380</v>
      </c>
      <c r="C148" s="56" t="s">
        <v>259</v>
      </c>
      <c r="D148" s="56" t="s">
        <v>381</v>
      </c>
      <c r="E148" s="56" t="s">
        <v>336</v>
      </c>
      <c r="F148" s="57" t="s">
        <v>192</v>
      </c>
      <c r="G148" s="61"/>
      <c r="H148" s="61"/>
      <c r="I148" s="62"/>
      <c r="J148" s="53"/>
    </row>
    <row r="149" ht="24.75" hidden="1" customHeight="1">
      <c r="A149" s="54">
        <v>110.0</v>
      </c>
      <c r="B149" s="56" t="s">
        <v>382</v>
      </c>
      <c r="C149" s="56" t="s">
        <v>259</v>
      </c>
      <c r="D149" s="56" t="s">
        <v>383</v>
      </c>
      <c r="E149" s="56" t="s">
        <v>336</v>
      </c>
      <c r="F149" s="57" t="s">
        <v>192</v>
      </c>
      <c r="G149" s="61"/>
      <c r="H149" s="61"/>
      <c r="I149" s="62"/>
      <c r="J149" s="53"/>
    </row>
    <row r="150" ht="24.75" hidden="1" customHeight="1">
      <c r="A150" s="54">
        <v>110.0</v>
      </c>
      <c r="B150" s="56" t="s">
        <v>385</v>
      </c>
      <c r="C150" s="56" t="s">
        <v>259</v>
      </c>
      <c r="D150" s="56" t="s">
        <v>386</v>
      </c>
      <c r="E150" s="56" t="s">
        <v>336</v>
      </c>
      <c r="F150" s="57" t="s">
        <v>192</v>
      </c>
      <c r="G150" s="61"/>
      <c r="H150" s="61"/>
      <c r="I150" s="62"/>
      <c r="J150" s="53"/>
    </row>
    <row r="151" ht="24.75" hidden="1" customHeight="1">
      <c r="A151" s="54">
        <v>110.0</v>
      </c>
      <c r="B151" s="56" t="s">
        <v>385</v>
      </c>
      <c r="C151" s="56" t="s">
        <v>259</v>
      </c>
      <c r="D151" s="56" t="s">
        <v>386</v>
      </c>
      <c r="E151" s="56" t="s">
        <v>372</v>
      </c>
      <c r="F151" s="57" t="s">
        <v>34</v>
      </c>
      <c r="G151" s="61"/>
      <c r="H151" s="61"/>
      <c r="I151" s="62"/>
      <c r="J151" s="53"/>
    </row>
    <row r="152" ht="24.75" hidden="1" customHeight="1">
      <c r="A152" s="54">
        <v>110.0</v>
      </c>
      <c r="B152" s="56" t="s">
        <v>385</v>
      </c>
      <c r="C152" s="56" t="s">
        <v>259</v>
      </c>
      <c r="D152" s="56" t="s">
        <v>386</v>
      </c>
      <c r="E152" s="56" t="s">
        <v>158</v>
      </c>
      <c r="F152" s="57" t="s">
        <v>34</v>
      </c>
      <c r="G152" s="61"/>
      <c r="H152" s="61"/>
      <c r="I152" s="62"/>
      <c r="J152" s="53"/>
    </row>
    <row r="153" ht="24.75" hidden="1" customHeight="1">
      <c r="A153" s="54">
        <v>110.0</v>
      </c>
      <c r="B153" s="56" t="s">
        <v>388</v>
      </c>
      <c r="C153" s="56" t="s">
        <v>259</v>
      </c>
      <c r="D153" s="56" t="s">
        <v>389</v>
      </c>
      <c r="E153" s="56" t="s">
        <v>336</v>
      </c>
      <c r="F153" s="57" t="s">
        <v>192</v>
      </c>
      <c r="G153" s="61"/>
      <c r="H153" s="61"/>
      <c r="I153" s="62"/>
      <c r="J153" s="53"/>
    </row>
    <row r="154" ht="24.75" hidden="1" customHeight="1">
      <c r="A154" s="54">
        <v>110.0</v>
      </c>
      <c r="B154" s="56" t="s">
        <v>388</v>
      </c>
      <c r="C154" s="56" t="s">
        <v>259</v>
      </c>
      <c r="D154" s="56" t="s">
        <v>389</v>
      </c>
      <c r="E154" s="56" t="s">
        <v>372</v>
      </c>
      <c r="F154" s="57" t="s">
        <v>34</v>
      </c>
      <c r="G154" s="61"/>
      <c r="H154" s="61"/>
      <c r="I154" s="62"/>
      <c r="J154" s="53"/>
    </row>
    <row r="155" ht="24.75" hidden="1" customHeight="1">
      <c r="A155" s="54">
        <v>110.0</v>
      </c>
      <c r="B155" s="56" t="s">
        <v>388</v>
      </c>
      <c r="C155" s="56" t="s">
        <v>259</v>
      </c>
      <c r="D155" s="56" t="s">
        <v>389</v>
      </c>
      <c r="E155" s="56" t="s">
        <v>158</v>
      </c>
      <c r="F155" s="57" t="s">
        <v>34</v>
      </c>
      <c r="G155" s="61"/>
      <c r="H155" s="61"/>
      <c r="I155" s="62"/>
      <c r="J155" s="53"/>
    </row>
    <row r="156" ht="24.75" hidden="1" customHeight="1">
      <c r="A156" s="54">
        <v>110.0</v>
      </c>
      <c r="B156" s="56" t="s">
        <v>390</v>
      </c>
      <c r="C156" s="56" t="s">
        <v>259</v>
      </c>
      <c r="D156" s="56" t="s">
        <v>391</v>
      </c>
      <c r="E156" s="56" t="s">
        <v>372</v>
      </c>
      <c r="F156" s="57" t="s">
        <v>34</v>
      </c>
      <c r="G156" s="61"/>
      <c r="H156" s="61"/>
      <c r="I156" s="62"/>
      <c r="J156" s="53"/>
    </row>
    <row r="157" ht="24.75" hidden="1" customHeight="1">
      <c r="A157" s="54">
        <v>110.0</v>
      </c>
      <c r="B157" s="56" t="s">
        <v>390</v>
      </c>
      <c r="C157" s="56" t="s">
        <v>259</v>
      </c>
      <c r="D157" s="56" t="s">
        <v>391</v>
      </c>
      <c r="E157" s="56" t="s">
        <v>158</v>
      </c>
      <c r="F157" s="57" t="s">
        <v>34</v>
      </c>
      <c r="G157" s="61"/>
      <c r="H157" s="61"/>
      <c r="I157" s="62"/>
      <c r="J157" s="53"/>
    </row>
    <row r="158" ht="24.75" hidden="1" customHeight="1">
      <c r="A158" s="54">
        <v>110.0</v>
      </c>
      <c r="B158" s="56" t="s">
        <v>392</v>
      </c>
      <c r="C158" s="56" t="s">
        <v>101</v>
      </c>
      <c r="D158" s="56" t="s">
        <v>102</v>
      </c>
      <c r="E158" s="56" t="s">
        <v>111</v>
      </c>
      <c r="F158" s="57" t="s">
        <v>34</v>
      </c>
      <c r="G158" s="61"/>
      <c r="H158" s="61"/>
      <c r="I158" s="62"/>
      <c r="J158" s="53"/>
    </row>
    <row r="159" ht="24.75" hidden="1" customHeight="1">
      <c r="A159" s="54">
        <v>120.0</v>
      </c>
      <c r="B159" s="56" t="s">
        <v>393</v>
      </c>
      <c r="C159" s="56" t="s">
        <v>394</v>
      </c>
      <c r="D159" s="56" t="s">
        <v>299</v>
      </c>
      <c r="E159" s="56" t="s">
        <v>163</v>
      </c>
      <c r="F159" s="57" t="s">
        <v>154</v>
      </c>
      <c r="G159" s="61"/>
      <c r="H159" s="61"/>
      <c r="I159" s="62" t="s">
        <v>207</v>
      </c>
      <c r="J159" s="53"/>
    </row>
    <row r="160" ht="24.75" hidden="1" customHeight="1">
      <c r="A160" s="54">
        <v>120.0</v>
      </c>
      <c r="B160" s="56" t="s">
        <v>395</v>
      </c>
      <c r="C160" s="56" t="s">
        <v>394</v>
      </c>
      <c r="D160" s="56" t="s">
        <v>172</v>
      </c>
      <c r="E160" s="56" t="s">
        <v>163</v>
      </c>
      <c r="F160" s="57" t="s">
        <v>154</v>
      </c>
      <c r="G160" s="61"/>
      <c r="H160" s="61"/>
      <c r="I160" s="62"/>
      <c r="J160" s="53"/>
    </row>
    <row r="161" ht="24.75" hidden="1" customHeight="1">
      <c r="A161" s="54">
        <v>120.0</v>
      </c>
      <c r="B161" s="56" t="s">
        <v>396</v>
      </c>
      <c r="C161" s="56" t="s">
        <v>394</v>
      </c>
      <c r="D161" s="56" t="s">
        <v>397</v>
      </c>
      <c r="E161" s="56" t="s">
        <v>163</v>
      </c>
      <c r="F161" s="57" t="s">
        <v>154</v>
      </c>
      <c r="G161" s="61"/>
      <c r="H161" s="61"/>
      <c r="I161" s="62"/>
      <c r="J161" s="53"/>
    </row>
    <row r="162" ht="24.75" hidden="1" customHeight="1">
      <c r="A162" s="54">
        <v>120.0</v>
      </c>
      <c r="B162" s="56" t="s">
        <v>398</v>
      </c>
      <c r="C162" s="56" t="s">
        <v>394</v>
      </c>
      <c r="D162" s="56" t="s">
        <v>399</v>
      </c>
      <c r="E162" s="56" t="s">
        <v>163</v>
      </c>
      <c r="F162" s="57" t="s">
        <v>154</v>
      </c>
      <c r="G162" s="61"/>
      <c r="H162" s="61"/>
      <c r="I162" s="62"/>
      <c r="J162" s="53"/>
    </row>
    <row r="163" ht="24.75" hidden="1" customHeight="1">
      <c r="A163" s="54">
        <v>120.0</v>
      </c>
      <c r="B163" s="56" t="s">
        <v>400</v>
      </c>
      <c r="C163" s="56" t="s">
        <v>394</v>
      </c>
      <c r="D163" s="56" t="s">
        <v>401</v>
      </c>
      <c r="E163" s="56" t="s">
        <v>163</v>
      </c>
      <c r="F163" s="57" t="s">
        <v>154</v>
      </c>
      <c r="G163" s="61"/>
      <c r="H163" s="61"/>
      <c r="I163" s="62"/>
      <c r="J163" s="53"/>
    </row>
    <row r="164" ht="24.75" hidden="1" customHeight="1">
      <c r="A164" s="54">
        <v>90.0</v>
      </c>
      <c r="B164" s="56" t="s">
        <v>402</v>
      </c>
      <c r="C164" s="56" t="s">
        <v>278</v>
      </c>
      <c r="D164" s="56" t="s">
        <v>403</v>
      </c>
      <c r="E164" s="56" t="s">
        <v>111</v>
      </c>
      <c r="F164" s="57" t="s">
        <v>15</v>
      </c>
      <c r="G164" s="61"/>
      <c r="H164" s="61"/>
      <c r="I164" s="86"/>
      <c r="J164" s="53"/>
    </row>
    <row r="165" ht="24.75" hidden="1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407</v>
      </c>
      <c r="F165" s="57" t="s">
        <v>192</v>
      </c>
      <c r="G165" s="61"/>
      <c r="H165" s="61" t="s">
        <v>346</v>
      </c>
      <c r="I165" s="62" t="s">
        <v>414</v>
      </c>
      <c r="J165" s="53"/>
    </row>
    <row r="166" ht="24.75" hidden="1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408</v>
      </c>
      <c r="F166" s="57" t="s">
        <v>192</v>
      </c>
      <c r="G166" s="61"/>
      <c r="H166" s="61" t="s">
        <v>346</v>
      </c>
      <c r="I166" s="62" t="s">
        <v>417</v>
      </c>
      <c r="J166" s="53"/>
    </row>
    <row r="167" ht="24.75" hidden="1" customHeight="1">
      <c r="A167" s="54">
        <v>130.0</v>
      </c>
      <c r="B167" s="56" t="s">
        <v>404</v>
      </c>
      <c r="C167" s="56" t="s">
        <v>405</v>
      </c>
      <c r="D167" s="56" t="s">
        <v>406</v>
      </c>
      <c r="E167" s="56" t="s">
        <v>111</v>
      </c>
      <c r="F167" s="57" t="s">
        <v>154</v>
      </c>
      <c r="G167" s="61"/>
      <c r="H167" s="61"/>
      <c r="I167" s="62"/>
      <c r="J167" s="53"/>
    </row>
    <row r="168" ht="24.75" hidden="1" customHeight="1">
      <c r="A168" s="54">
        <v>130.0</v>
      </c>
      <c r="B168" s="56" t="s">
        <v>404</v>
      </c>
      <c r="C168" s="56" t="s">
        <v>405</v>
      </c>
      <c r="D168" s="56" t="s">
        <v>406</v>
      </c>
      <c r="E168" s="56" t="s">
        <v>409</v>
      </c>
      <c r="F168" s="57" t="s">
        <v>154</v>
      </c>
      <c r="G168" s="61"/>
      <c r="H168" s="61"/>
      <c r="I168" s="62"/>
      <c r="J168" s="53"/>
    </row>
    <row r="169" ht="24.75" hidden="1" customHeight="1">
      <c r="A169" s="54">
        <v>130.0</v>
      </c>
      <c r="B169" s="56" t="s">
        <v>404</v>
      </c>
      <c r="C169" s="56" t="s">
        <v>405</v>
      </c>
      <c r="D169" s="56" t="s">
        <v>406</v>
      </c>
      <c r="E169" s="56" t="s">
        <v>410</v>
      </c>
      <c r="F169" s="57" t="s">
        <v>154</v>
      </c>
      <c r="G169" s="61"/>
      <c r="H169" s="61"/>
      <c r="I169" s="62"/>
      <c r="J169" s="53"/>
    </row>
    <row r="170" ht="24.75" hidden="1" customHeight="1">
      <c r="A170" s="54">
        <v>130.0</v>
      </c>
      <c r="B170" s="56" t="s">
        <v>404</v>
      </c>
      <c r="C170" s="56" t="s">
        <v>405</v>
      </c>
      <c r="D170" s="56" t="s">
        <v>406</v>
      </c>
      <c r="E170" s="56" t="s">
        <v>411</v>
      </c>
      <c r="F170" s="57" t="s">
        <v>154</v>
      </c>
      <c r="G170" s="61"/>
      <c r="H170" s="61"/>
      <c r="I170" s="62"/>
      <c r="J170" s="53"/>
    </row>
    <row r="171" ht="24.75" hidden="1" customHeight="1">
      <c r="A171" s="54">
        <v>130.0</v>
      </c>
      <c r="B171" s="56" t="s">
        <v>412</v>
      </c>
      <c r="C171" s="56"/>
      <c r="D171" s="56" t="s">
        <v>413</v>
      </c>
      <c r="E171" s="56" t="s">
        <v>336</v>
      </c>
      <c r="F171" s="57" t="s">
        <v>192</v>
      </c>
      <c r="G171" s="61"/>
      <c r="H171" s="61"/>
      <c r="I171" s="62"/>
      <c r="J171" s="53"/>
    </row>
    <row r="172" ht="24.75" hidden="1" customHeight="1">
      <c r="A172" s="54">
        <v>130.0</v>
      </c>
      <c r="B172" s="56" t="s">
        <v>415</v>
      </c>
      <c r="C172" s="56" t="s">
        <v>148</v>
      </c>
      <c r="D172" s="56" t="s">
        <v>416</v>
      </c>
      <c r="E172" s="56" t="s">
        <v>150</v>
      </c>
      <c r="F172" s="57" t="s">
        <v>34</v>
      </c>
      <c r="G172" s="61"/>
      <c r="H172" s="61"/>
      <c r="I172" s="62"/>
      <c r="J172" s="53"/>
    </row>
    <row r="173" ht="24.75" hidden="1" customHeight="1">
      <c r="A173" s="54">
        <v>130.0</v>
      </c>
      <c r="B173" s="56" t="s">
        <v>418</v>
      </c>
      <c r="C173" s="56" t="s">
        <v>148</v>
      </c>
      <c r="D173" s="56" t="s">
        <v>419</v>
      </c>
      <c r="E173" s="56" t="s">
        <v>150</v>
      </c>
      <c r="F173" s="57" t="s">
        <v>34</v>
      </c>
      <c r="G173" s="61"/>
      <c r="H173" s="61"/>
      <c r="I173" s="62"/>
      <c r="J173" s="53"/>
    </row>
    <row r="174" ht="24.75" hidden="1" customHeight="1">
      <c r="A174" s="54">
        <v>136.0</v>
      </c>
      <c r="B174" s="56" t="s">
        <v>421</v>
      </c>
      <c r="C174" s="56" t="s">
        <v>422</v>
      </c>
      <c r="D174" s="56" t="s">
        <v>422</v>
      </c>
      <c r="E174" s="56" t="s">
        <v>423</v>
      </c>
      <c r="F174" s="57" t="s">
        <v>154</v>
      </c>
      <c r="G174" s="61"/>
      <c r="H174" s="61"/>
      <c r="I174" s="62" t="s">
        <v>207</v>
      </c>
      <c r="J174" s="53"/>
    </row>
    <row r="175" ht="24.75" hidden="1" customHeight="1">
      <c r="A175" s="54">
        <v>136.0</v>
      </c>
      <c r="B175" s="56" t="s">
        <v>421</v>
      </c>
      <c r="C175" s="56" t="s">
        <v>422</v>
      </c>
      <c r="D175" s="56" t="s">
        <v>422</v>
      </c>
      <c r="E175" s="80" t="s">
        <v>213</v>
      </c>
      <c r="F175" s="57"/>
      <c r="G175" s="61"/>
      <c r="H175" s="61"/>
      <c r="I175" s="62"/>
      <c r="J175" s="53"/>
    </row>
    <row r="176" ht="24.75" hidden="1" customHeight="1">
      <c r="A176" s="54">
        <v>136.0</v>
      </c>
      <c r="B176" s="56" t="s">
        <v>424</v>
      </c>
      <c r="C176" s="56" t="s">
        <v>422</v>
      </c>
      <c r="D176" s="56" t="s">
        <v>425</v>
      </c>
      <c r="E176" s="56" t="s">
        <v>111</v>
      </c>
      <c r="F176" s="57" t="s">
        <v>154</v>
      </c>
      <c r="G176" s="61"/>
      <c r="H176" s="61"/>
      <c r="I176" s="62"/>
      <c r="J176" s="53"/>
    </row>
    <row r="177" ht="24.75" hidden="1" customHeight="1">
      <c r="A177" s="54">
        <v>136.0</v>
      </c>
      <c r="B177" s="56" t="s">
        <v>426</v>
      </c>
      <c r="C177" s="56" t="s">
        <v>422</v>
      </c>
      <c r="D177" s="56" t="s">
        <v>427</v>
      </c>
      <c r="E177" s="56" t="s">
        <v>111</v>
      </c>
      <c r="F177" s="57" t="s">
        <v>154</v>
      </c>
      <c r="G177" s="61"/>
      <c r="H177" s="61"/>
      <c r="I177" s="62"/>
      <c r="J177" s="53"/>
    </row>
    <row r="178" ht="24.75" hidden="1" customHeight="1">
      <c r="A178" s="54">
        <v>136.0</v>
      </c>
      <c r="B178" s="56" t="s">
        <v>428</v>
      </c>
      <c r="C178" s="56" t="s">
        <v>422</v>
      </c>
      <c r="D178" s="56" t="s">
        <v>429</v>
      </c>
      <c r="E178" s="56" t="s">
        <v>111</v>
      </c>
      <c r="F178" s="57" t="s">
        <v>154</v>
      </c>
      <c r="G178" s="61"/>
      <c r="H178" s="61"/>
      <c r="I178" s="62"/>
      <c r="J178" s="53"/>
    </row>
    <row r="179" ht="24.75" hidden="1" customHeight="1">
      <c r="A179" s="54">
        <v>136.0</v>
      </c>
      <c r="B179" s="56" t="s">
        <v>430</v>
      </c>
      <c r="C179" s="56" t="s">
        <v>422</v>
      </c>
      <c r="D179" s="56" t="s">
        <v>431</v>
      </c>
      <c r="E179" s="56" t="s">
        <v>432</v>
      </c>
      <c r="F179" s="57" t="s">
        <v>154</v>
      </c>
      <c r="G179" s="61"/>
      <c r="H179" s="61"/>
      <c r="I179" s="62"/>
      <c r="J179" s="53"/>
    </row>
    <row r="180" ht="24.75" hidden="1" customHeight="1">
      <c r="A180" s="54">
        <v>140.0</v>
      </c>
      <c r="B180" s="56" t="s">
        <v>433</v>
      </c>
      <c r="C180" s="56" t="s">
        <v>434</v>
      </c>
      <c r="D180" s="56" t="s">
        <v>435</v>
      </c>
      <c r="E180" s="56" t="s">
        <v>167</v>
      </c>
      <c r="F180" s="57" t="s">
        <v>154</v>
      </c>
      <c r="G180" s="61"/>
      <c r="H180" s="61"/>
      <c r="I180" s="62"/>
      <c r="J180" s="53"/>
    </row>
    <row r="181" ht="24.75" hidden="1" customHeight="1">
      <c r="A181" s="54">
        <v>140.0</v>
      </c>
      <c r="B181" s="56" t="s">
        <v>436</v>
      </c>
      <c r="C181" s="56" t="s">
        <v>437</v>
      </c>
      <c r="D181" s="56" t="s">
        <v>438</v>
      </c>
      <c r="E181" s="56" t="s">
        <v>439</v>
      </c>
      <c r="F181" s="57" t="s">
        <v>154</v>
      </c>
      <c r="G181" s="61"/>
      <c r="H181" s="61"/>
      <c r="I181" s="62"/>
      <c r="J181" s="53"/>
    </row>
    <row r="182" ht="24.75" hidden="1" customHeight="1">
      <c r="A182" s="54">
        <v>140.0</v>
      </c>
      <c r="B182" s="56" t="s">
        <v>440</v>
      </c>
      <c r="C182" s="56" t="s">
        <v>437</v>
      </c>
      <c r="D182" s="56" t="s">
        <v>441</v>
      </c>
      <c r="E182" s="56" t="s">
        <v>439</v>
      </c>
      <c r="F182" s="57" t="s">
        <v>154</v>
      </c>
      <c r="G182" s="61"/>
      <c r="H182" s="61"/>
      <c r="I182" s="62"/>
      <c r="J182" s="53"/>
    </row>
    <row r="183" ht="24.75" hidden="1" customHeight="1">
      <c r="A183" s="54">
        <v>140.0</v>
      </c>
      <c r="B183" s="56" t="s">
        <v>442</v>
      </c>
      <c r="C183" s="56" t="s">
        <v>443</v>
      </c>
      <c r="D183" s="56" t="s">
        <v>444</v>
      </c>
      <c r="E183" s="56" t="s">
        <v>439</v>
      </c>
      <c r="F183" s="57" t="s">
        <v>154</v>
      </c>
      <c r="G183" s="61"/>
      <c r="H183" s="61"/>
      <c r="I183" s="62"/>
      <c r="J183" s="53"/>
    </row>
    <row r="184" ht="24.75" hidden="1" customHeight="1">
      <c r="A184" s="54">
        <v>140.0</v>
      </c>
      <c r="B184" s="56" t="s">
        <v>445</v>
      </c>
      <c r="C184" s="56" t="s">
        <v>446</v>
      </c>
      <c r="D184" s="56" t="s">
        <v>447</v>
      </c>
      <c r="E184" s="56" t="s">
        <v>439</v>
      </c>
      <c r="F184" s="57" t="s">
        <v>154</v>
      </c>
      <c r="G184" s="61"/>
      <c r="H184" s="61"/>
      <c r="I184" s="62"/>
      <c r="J184" s="53"/>
    </row>
    <row r="185" ht="24.75" hidden="1" customHeight="1">
      <c r="A185" s="54">
        <v>140.0</v>
      </c>
      <c r="B185" s="56" t="s">
        <v>448</v>
      </c>
      <c r="C185" s="88" t="s">
        <v>449</v>
      </c>
      <c r="D185" s="56" t="s">
        <v>450</v>
      </c>
      <c r="E185" s="56" t="s">
        <v>439</v>
      </c>
      <c r="F185" s="57" t="s">
        <v>154</v>
      </c>
      <c r="G185" s="61"/>
      <c r="H185" s="61"/>
      <c r="I185" s="62"/>
      <c r="J185" s="53"/>
    </row>
    <row r="186" ht="24.75" hidden="1" customHeight="1">
      <c r="A186" s="54">
        <v>90.0</v>
      </c>
      <c r="B186" s="56" t="s">
        <v>286</v>
      </c>
      <c r="C186" s="56" t="s">
        <v>278</v>
      </c>
      <c r="D186" s="56" t="s">
        <v>266</v>
      </c>
      <c r="E186" s="56" t="s">
        <v>111</v>
      </c>
      <c r="F186" s="57" t="s">
        <v>15</v>
      </c>
      <c r="G186" s="61"/>
      <c r="H186" s="61"/>
      <c r="I186" s="60"/>
      <c r="J186" s="53"/>
    </row>
    <row r="187" ht="24.75" hidden="1" customHeight="1">
      <c r="A187" s="54">
        <v>100.0</v>
      </c>
      <c r="B187" s="56" t="s">
        <v>451</v>
      </c>
      <c r="C187" s="56" t="s">
        <v>315</v>
      </c>
      <c r="D187" s="56" t="s">
        <v>452</v>
      </c>
      <c r="E187" s="56" t="s">
        <v>453</v>
      </c>
      <c r="F187" s="57" t="s">
        <v>15</v>
      </c>
      <c r="G187" s="61"/>
      <c r="H187" s="61"/>
      <c r="I187" s="60"/>
      <c r="J187" s="53"/>
    </row>
    <row r="188" ht="24.75" hidden="1" customHeight="1">
      <c r="A188" s="54">
        <v>100.0</v>
      </c>
      <c r="B188" s="56" t="s">
        <v>454</v>
      </c>
      <c r="C188" s="56" t="s">
        <v>315</v>
      </c>
      <c r="D188" s="56" t="s">
        <v>316</v>
      </c>
      <c r="E188" s="56" t="s">
        <v>455</v>
      </c>
      <c r="F188" s="57" t="s">
        <v>15</v>
      </c>
      <c r="G188" s="61"/>
      <c r="H188" s="61"/>
      <c r="I188" s="60"/>
      <c r="J188" s="53"/>
    </row>
    <row r="189" ht="24.75" hidden="1" customHeight="1">
      <c r="A189" s="54">
        <v>101.0</v>
      </c>
      <c r="B189" s="56" t="s">
        <v>456</v>
      </c>
      <c r="C189" s="56" t="s">
        <v>315</v>
      </c>
      <c r="D189" s="56" t="s">
        <v>340</v>
      </c>
      <c r="E189" s="56" t="s">
        <v>457</v>
      </c>
      <c r="F189" s="57" t="s">
        <v>15</v>
      </c>
      <c r="G189" s="61"/>
      <c r="H189" s="61"/>
      <c r="I189" s="60"/>
      <c r="J189" s="53"/>
    </row>
    <row r="190" ht="24.75" hidden="1" customHeight="1">
      <c r="A190" s="54">
        <v>101.0</v>
      </c>
      <c r="B190" s="56" t="s">
        <v>458</v>
      </c>
      <c r="C190" s="56" t="s">
        <v>315</v>
      </c>
      <c r="D190" s="56" t="s">
        <v>351</v>
      </c>
      <c r="E190" s="56" t="s">
        <v>459</v>
      </c>
      <c r="F190" s="57" t="s">
        <v>15</v>
      </c>
      <c r="G190" s="61"/>
      <c r="H190" s="61"/>
      <c r="I190" s="60"/>
      <c r="J190" s="53"/>
    </row>
    <row r="191" ht="24.75" hidden="1" customHeight="1">
      <c r="A191" s="54">
        <v>102.0</v>
      </c>
      <c r="B191" s="56" t="s">
        <v>353</v>
      </c>
      <c r="C191" s="56" t="s">
        <v>315</v>
      </c>
      <c r="D191" s="56" t="s">
        <v>354</v>
      </c>
      <c r="E191" s="56" t="s">
        <v>461</v>
      </c>
      <c r="F191" s="57" t="s">
        <v>15</v>
      </c>
      <c r="G191" s="61"/>
      <c r="H191" s="61"/>
      <c r="I191" s="60"/>
      <c r="J191" s="53"/>
    </row>
    <row r="192" ht="24.75" hidden="1" customHeight="1">
      <c r="A192" s="54">
        <v>140.0</v>
      </c>
      <c r="B192" s="56" t="s">
        <v>462</v>
      </c>
      <c r="C192" s="56" t="s">
        <v>434</v>
      </c>
      <c r="D192" s="56" t="s">
        <v>463</v>
      </c>
      <c r="E192" s="56" t="s">
        <v>272</v>
      </c>
      <c r="F192" s="57" t="s">
        <v>15</v>
      </c>
      <c r="G192" s="61"/>
      <c r="H192" s="61"/>
      <c r="I192" s="60"/>
      <c r="J192" s="53"/>
    </row>
    <row r="193" ht="24.75" hidden="1" customHeight="1">
      <c r="A193" s="54">
        <v>140.0</v>
      </c>
      <c r="B193" s="56" t="s">
        <v>464</v>
      </c>
      <c r="C193" s="56" t="s">
        <v>270</v>
      </c>
      <c r="D193" s="56" t="s">
        <v>465</v>
      </c>
      <c r="E193" s="56" t="s">
        <v>272</v>
      </c>
      <c r="F193" s="57" t="s">
        <v>15</v>
      </c>
      <c r="G193" s="61"/>
      <c r="H193" s="61"/>
      <c r="I193" s="60"/>
      <c r="J193" s="53"/>
    </row>
    <row r="194" ht="24.75" hidden="1" customHeight="1">
      <c r="A194" s="54">
        <v>140.0</v>
      </c>
      <c r="B194" s="56" t="s">
        <v>466</v>
      </c>
      <c r="C194" s="56" t="s">
        <v>443</v>
      </c>
      <c r="D194" s="56" t="s">
        <v>467</v>
      </c>
      <c r="E194" s="56" t="s">
        <v>272</v>
      </c>
      <c r="F194" s="57" t="s">
        <v>15</v>
      </c>
      <c r="G194" s="61"/>
      <c r="H194" s="61"/>
      <c r="I194" s="60"/>
      <c r="J194" s="53"/>
    </row>
    <row r="195" ht="24.75" hidden="1" customHeight="1">
      <c r="A195" s="54">
        <v>140.0</v>
      </c>
      <c r="B195" s="56" t="s">
        <v>468</v>
      </c>
      <c r="C195" s="56" t="s">
        <v>446</v>
      </c>
      <c r="D195" s="56" t="s">
        <v>469</v>
      </c>
      <c r="E195" s="56" t="s">
        <v>272</v>
      </c>
      <c r="F195" s="57" t="s">
        <v>15</v>
      </c>
      <c r="G195" s="61"/>
      <c r="H195" s="61"/>
      <c r="I195" s="60"/>
      <c r="J195" s="53"/>
    </row>
    <row r="196" ht="24.75" hidden="1" customHeight="1">
      <c r="A196" s="54">
        <v>140.0</v>
      </c>
      <c r="B196" s="56" t="s">
        <v>470</v>
      </c>
      <c r="C196" s="56" t="s">
        <v>443</v>
      </c>
      <c r="D196" s="56" t="s">
        <v>471</v>
      </c>
      <c r="E196" s="56" t="s">
        <v>272</v>
      </c>
      <c r="F196" s="57" t="s">
        <v>15</v>
      </c>
      <c r="G196" s="61"/>
      <c r="H196" s="61"/>
      <c r="I196" s="60"/>
      <c r="J196" s="53"/>
    </row>
    <row r="197" ht="24.75" hidden="1" customHeight="1">
      <c r="A197" s="54">
        <v>140.0</v>
      </c>
      <c r="B197" s="56" t="s">
        <v>472</v>
      </c>
      <c r="C197" s="56" t="s">
        <v>446</v>
      </c>
      <c r="D197" s="56" t="s">
        <v>473</v>
      </c>
      <c r="E197" s="56" t="s">
        <v>272</v>
      </c>
      <c r="F197" s="57" t="s">
        <v>15</v>
      </c>
      <c r="G197" s="61"/>
      <c r="H197" s="61"/>
      <c r="I197" s="60"/>
      <c r="J197" s="53"/>
    </row>
    <row r="198" ht="24.75" hidden="1" customHeight="1">
      <c r="A198" s="54">
        <v>140.0</v>
      </c>
      <c r="B198" s="56" t="s">
        <v>474</v>
      </c>
      <c r="C198" s="56" t="s">
        <v>443</v>
      </c>
      <c r="D198" s="56" t="s">
        <v>475</v>
      </c>
      <c r="E198" s="56" t="s">
        <v>272</v>
      </c>
      <c r="F198" s="57" t="s">
        <v>15</v>
      </c>
      <c r="G198" s="61"/>
      <c r="H198" s="61"/>
      <c r="I198" s="60"/>
      <c r="J198" s="53"/>
    </row>
    <row r="199" ht="24.75" hidden="1" customHeight="1">
      <c r="A199" s="54">
        <v>140.0</v>
      </c>
      <c r="B199" s="56" t="s">
        <v>476</v>
      </c>
      <c r="C199" s="56" t="s">
        <v>270</v>
      </c>
      <c r="D199" s="56" t="s">
        <v>477</v>
      </c>
      <c r="E199" s="56" t="s">
        <v>272</v>
      </c>
      <c r="F199" s="57" t="s">
        <v>15</v>
      </c>
      <c r="G199" s="61"/>
      <c r="H199" s="61"/>
      <c r="I199" s="60"/>
      <c r="J199" s="53"/>
    </row>
    <row r="200" ht="24.75" hidden="1" customHeight="1">
      <c r="A200" s="54">
        <v>140.0</v>
      </c>
      <c r="B200" s="56" t="s">
        <v>478</v>
      </c>
      <c r="C200" s="56" t="s">
        <v>270</v>
      </c>
      <c r="D200" s="56" t="s">
        <v>479</v>
      </c>
      <c r="E200" s="56" t="s">
        <v>272</v>
      </c>
      <c r="F200" s="57" t="s">
        <v>15</v>
      </c>
      <c r="G200" s="61"/>
      <c r="H200" s="61"/>
      <c r="I200" s="60"/>
      <c r="J200" s="53"/>
    </row>
    <row r="201" ht="24.75" hidden="1" customHeight="1">
      <c r="A201" s="54">
        <v>140.0</v>
      </c>
      <c r="B201" s="56" t="s">
        <v>480</v>
      </c>
      <c r="C201" s="56" t="s">
        <v>270</v>
      </c>
      <c r="D201" s="56" t="s">
        <v>481</v>
      </c>
      <c r="E201" s="56" t="s">
        <v>272</v>
      </c>
      <c r="F201" s="57" t="s">
        <v>15</v>
      </c>
      <c r="G201" s="61"/>
      <c r="H201" s="61"/>
      <c r="I201" s="60"/>
      <c r="J201" s="53"/>
    </row>
    <row r="202" ht="24.75" hidden="1" customHeight="1">
      <c r="A202" s="54">
        <v>140.0</v>
      </c>
      <c r="B202" s="56" t="s">
        <v>482</v>
      </c>
      <c r="C202" s="56" t="s">
        <v>443</v>
      </c>
      <c r="D202" s="56" t="s">
        <v>483</v>
      </c>
      <c r="E202" s="56" t="s">
        <v>272</v>
      </c>
      <c r="F202" s="57" t="s">
        <v>15</v>
      </c>
      <c r="G202" s="61"/>
      <c r="H202" s="61"/>
      <c r="I202" s="60"/>
      <c r="J202" s="53"/>
    </row>
    <row r="203" ht="24.75" hidden="1" customHeight="1">
      <c r="A203" s="54">
        <v>140.0</v>
      </c>
      <c r="B203" s="56" t="s">
        <v>484</v>
      </c>
      <c r="C203" s="56" t="s">
        <v>446</v>
      </c>
      <c r="D203" s="56" t="s">
        <v>485</v>
      </c>
      <c r="E203" s="56" t="s">
        <v>272</v>
      </c>
      <c r="F203" s="57" t="s">
        <v>15</v>
      </c>
      <c r="G203" s="61"/>
      <c r="H203" s="61"/>
      <c r="I203" s="60"/>
      <c r="J203" s="53"/>
    </row>
    <row r="204" ht="24.75" hidden="1" customHeight="1">
      <c r="A204" s="54">
        <v>140.0</v>
      </c>
      <c r="B204" s="56" t="s">
        <v>269</v>
      </c>
      <c r="C204" s="56" t="s">
        <v>270</v>
      </c>
      <c r="D204" s="56" t="s">
        <v>486</v>
      </c>
      <c r="E204" s="56" t="s">
        <v>487</v>
      </c>
      <c r="F204" s="56"/>
      <c r="G204" s="61"/>
      <c r="H204" s="61"/>
      <c r="I204" s="62"/>
      <c r="J204" s="53"/>
    </row>
    <row r="205" ht="24.75" hidden="1" customHeight="1">
      <c r="A205" s="54">
        <v>140.0</v>
      </c>
      <c r="B205" s="56" t="s">
        <v>488</v>
      </c>
      <c r="C205" s="88" t="s">
        <v>449</v>
      </c>
      <c r="D205" s="56" t="s">
        <v>489</v>
      </c>
      <c r="E205" s="56" t="s">
        <v>272</v>
      </c>
      <c r="F205" s="57" t="s">
        <v>15</v>
      </c>
      <c r="G205" s="61"/>
      <c r="H205" s="61"/>
      <c r="I205" s="60"/>
      <c r="J205" s="53"/>
    </row>
    <row r="206" ht="24.75" hidden="1" customHeight="1">
      <c r="A206" s="54">
        <v>140.0</v>
      </c>
      <c r="B206" s="56" t="s">
        <v>490</v>
      </c>
      <c r="C206" s="56" t="s">
        <v>270</v>
      </c>
      <c r="D206" s="56" t="s">
        <v>491</v>
      </c>
      <c r="E206" s="56" t="s">
        <v>272</v>
      </c>
      <c r="F206" s="57" t="s">
        <v>15</v>
      </c>
      <c r="G206" s="61"/>
      <c r="H206" s="61"/>
      <c r="I206" s="60"/>
      <c r="J206" s="53"/>
    </row>
    <row r="207" ht="24.75" hidden="1" customHeight="1">
      <c r="A207" s="54">
        <v>140.0</v>
      </c>
      <c r="B207" s="56" t="s">
        <v>284</v>
      </c>
      <c r="C207" s="56" t="s">
        <v>270</v>
      </c>
      <c r="D207" s="56" t="s">
        <v>492</v>
      </c>
      <c r="E207" s="56" t="s">
        <v>487</v>
      </c>
      <c r="F207" s="56"/>
      <c r="G207" s="61"/>
      <c r="H207" s="61"/>
      <c r="I207" s="62"/>
      <c r="J207" s="53"/>
    </row>
    <row r="208" ht="24.75" hidden="1" customHeight="1">
      <c r="A208" s="54">
        <v>140.0</v>
      </c>
      <c r="B208" s="56" t="s">
        <v>493</v>
      </c>
      <c r="C208" s="56" t="s">
        <v>270</v>
      </c>
      <c r="D208" s="56" t="s">
        <v>494</v>
      </c>
      <c r="E208" s="56" t="s">
        <v>272</v>
      </c>
      <c r="F208" s="57" t="s">
        <v>15</v>
      </c>
      <c r="G208" s="61"/>
      <c r="H208" s="61"/>
      <c r="I208" s="60"/>
      <c r="J208" s="53"/>
    </row>
    <row r="209" ht="24.75" hidden="1" customHeight="1">
      <c r="A209" s="54">
        <v>140.0</v>
      </c>
      <c r="B209" s="56" t="s">
        <v>496</v>
      </c>
      <c r="C209" s="56" t="s">
        <v>497</v>
      </c>
      <c r="D209" s="56" t="s">
        <v>498</v>
      </c>
      <c r="E209" s="56" t="s">
        <v>272</v>
      </c>
      <c r="F209" s="57" t="s">
        <v>15</v>
      </c>
      <c r="G209" s="61"/>
      <c r="H209" s="61"/>
      <c r="I209" s="60"/>
      <c r="J209" s="53"/>
    </row>
    <row r="210" ht="24.75" hidden="1" customHeight="1">
      <c r="A210" s="54">
        <v>140.0</v>
      </c>
      <c r="B210" s="56" t="s">
        <v>499</v>
      </c>
      <c r="C210" s="56" t="s">
        <v>500</v>
      </c>
      <c r="D210" s="56" t="s">
        <v>501</v>
      </c>
      <c r="E210" s="56" t="s">
        <v>225</v>
      </c>
      <c r="F210" s="57" t="s">
        <v>34</v>
      </c>
      <c r="G210" s="61"/>
      <c r="H210" s="61"/>
      <c r="I210" s="62"/>
      <c r="J210" s="53"/>
    </row>
    <row r="211" ht="24.75" hidden="1" customHeight="1">
      <c r="A211" s="54">
        <v>140.0</v>
      </c>
      <c r="B211" s="56" t="s">
        <v>499</v>
      </c>
      <c r="C211" s="56" t="s">
        <v>500</v>
      </c>
      <c r="D211" s="56" t="s">
        <v>501</v>
      </c>
      <c r="E211" s="56" t="s">
        <v>167</v>
      </c>
      <c r="F211" s="57" t="s">
        <v>154</v>
      </c>
      <c r="G211" s="61"/>
      <c r="H211" s="61"/>
      <c r="I211" s="62"/>
      <c r="J211" s="53"/>
    </row>
    <row r="212" ht="24.75" hidden="1" customHeight="1">
      <c r="A212" s="54">
        <v>140.0</v>
      </c>
      <c r="B212" s="56" t="s">
        <v>499</v>
      </c>
      <c r="C212" s="56" t="s">
        <v>500</v>
      </c>
      <c r="D212" s="56" t="s">
        <v>501</v>
      </c>
      <c r="E212" s="56" t="s">
        <v>226</v>
      </c>
      <c r="F212" s="57" t="s">
        <v>154</v>
      </c>
      <c r="G212" s="61"/>
      <c r="H212" s="61"/>
      <c r="I212" s="62"/>
      <c r="J212" s="53"/>
    </row>
    <row r="213" ht="24.75" hidden="1" customHeight="1">
      <c r="A213" s="54">
        <v>140.0</v>
      </c>
      <c r="B213" s="56" t="s">
        <v>502</v>
      </c>
      <c r="C213" s="56" t="s">
        <v>497</v>
      </c>
      <c r="D213" s="56" t="s">
        <v>503</v>
      </c>
      <c r="E213" s="56" t="s">
        <v>272</v>
      </c>
      <c r="F213" s="57" t="s">
        <v>15</v>
      </c>
      <c r="G213" s="61"/>
      <c r="H213" s="61"/>
      <c r="I213" s="60"/>
      <c r="J213" s="53"/>
    </row>
    <row r="214" ht="24.75" hidden="1" customHeight="1">
      <c r="A214" s="54">
        <v>140.0</v>
      </c>
      <c r="B214" s="56" t="s">
        <v>504</v>
      </c>
      <c r="C214" s="56" t="s">
        <v>443</v>
      </c>
      <c r="D214" s="56" t="s">
        <v>505</v>
      </c>
      <c r="E214" s="56" t="s">
        <v>439</v>
      </c>
      <c r="F214" s="57" t="s">
        <v>154</v>
      </c>
      <c r="G214" s="61"/>
      <c r="H214" s="61"/>
      <c r="I214" s="62"/>
      <c r="J214" s="53"/>
    </row>
    <row r="215" ht="24.75" hidden="1" customHeight="1">
      <c r="A215" s="54">
        <v>140.0</v>
      </c>
      <c r="B215" s="56" t="s">
        <v>506</v>
      </c>
      <c r="C215" s="56" t="s">
        <v>507</v>
      </c>
      <c r="D215" s="56" t="s">
        <v>508</v>
      </c>
      <c r="E215" s="56" t="s">
        <v>336</v>
      </c>
      <c r="F215" s="57" t="s">
        <v>192</v>
      </c>
      <c r="G215" s="61"/>
      <c r="H215" s="61"/>
      <c r="I215" s="62"/>
      <c r="J215" s="53"/>
    </row>
    <row r="216" ht="24.75" hidden="1" customHeight="1">
      <c r="A216" s="54">
        <v>140.0</v>
      </c>
      <c r="B216" s="56" t="s">
        <v>506</v>
      </c>
      <c r="C216" s="56" t="s">
        <v>507</v>
      </c>
      <c r="D216" s="56" t="s">
        <v>508</v>
      </c>
      <c r="E216" s="56" t="s">
        <v>372</v>
      </c>
      <c r="F216" s="57" t="s">
        <v>34</v>
      </c>
      <c r="G216" s="61"/>
      <c r="H216" s="61"/>
      <c r="I216" s="62"/>
      <c r="J216" s="53"/>
    </row>
    <row r="217" ht="24.75" hidden="1" customHeight="1">
      <c r="A217" s="54">
        <v>140.0</v>
      </c>
      <c r="B217" s="56" t="s">
        <v>506</v>
      </c>
      <c r="C217" s="56" t="s">
        <v>507</v>
      </c>
      <c r="D217" s="56" t="s">
        <v>508</v>
      </c>
      <c r="E217" s="56" t="s">
        <v>158</v>
      </c>
      <c r="F217" s="57" t="s">
        <v>34</v>
      </c>
      <c r="G217" s="61"/>
      <c r="H217" s="61"/>
      <c r="I217" s="62"/>
      <c r="J217" s="53"/>
    </row>
    <row r="218" ht="24.75" hidden="1" customHeight="1">
      <c r="A218" s="54">
        <v>140.0</v>
      </c>
      <c r="B218" s="56" t="s">
        <v>502</v>
      </c>
      <c r="C218" s="56" t="s">
        <v>497</v>
      </c>
      <c r="D218" s="56" t="s">
        <v>509</v>
      </c>
      <c r="E218" s="56" t="s">
        <v>272</v>
      </c>
      <c r="F218" s="57" t="s">
        <v>15</v>
      </c>
      <c r="G218" s="61"/>
      <c r="H218" s="61"/>
      <c r="I218" s="60"/>
      <c r="J218" s="53"/>
    </row>
    <row r="219" ht="24.75" hidden="1" customHeight="1">
      <c r="A219" s="54">
        <v>140.0</v>
      </c>
      <c r="B219" s="56" t="s">
        <v>499</v>
      </c>
      <c r="C219" s="56" t="s">
        <v>500</v>
      </c>
      <c r="D219" s="56" t="s">
        <v>510</v>
      </c>
      <c r="E219" s="56" t="s">
        <v>272</v>
      </c>
      <c r="F219" s="57" t="s">
        <v>15</v>
      </c>
      <c r="G219" s="61"/>
      <c r="H219" s="61"/>
      <c r="I219" s="60"/>
      <c r="J219" s="53"/>
    </row>
    <row r="220" ht="24.75" hidden="1" customHeight="1">
      <c r="A220" s="54">
        <v>140.0</v>
      </c>
      <c r="B220" s="56" t="s">
        <v>511</v>
      </c>
      <c r="C220" s="56" t="s">
        <v>497</v>
      </c>
      <c r="D220" s="56" t="s">
        <v>512</v>
      </c>
      <c r="E220" s="56" t="s">
        <v>272</v>
      </c>
      <c r="F220" s="57" t="s">
        <v>15</v>
      </c>
      <c r="G220" s="61"/>
      <c r="H220" s="61"/>
      <c r="I220" s="60"/>
      <c r="J220" s="53"/>
    </row>
    <row r="221" ht="24.75" hidden="1" customHeight="1">
      <c r="A221" s="54">
        <v>140.0</v>
      </c>
      <c r="B221" s="56" t="s">
        <v>513</v>
      </c>
      <c r="C221" s="56" t="s">
        <v>437</v>
      </c>
      <c r="D221" s="56" t="s">
        <v>514</v>
      </c>
      <c r="E221" s="56" t="s">
        <v>272</v>
      </c>
      <c r="F221" s="57" t="s">
        <v>15</v>
      </c>
      <c r="G221" s="61"/>
      <c r="H221" s="61"/>
      <c r="I221" s="60"/>
      <c r="J221" s="53"/>
    </row>
    <row r="222" ht="24.75" hidden="1" customHeight="1">
      <c r="A222" s="54">
        <v>140.0</v>
      </c>
      <c r="B222" s="56" t="s">
        <v>515</v>
      </c>
      <c r="C222" s="56" t="s">
        <v>437</v>
      </c>
      <c r="D222" s="56" t="s">
        <v>516</v>
      </c>
      <c r="E222" s="56" t="s">
        <v>272</v>
      </c>
      <c r="F222" s="57" t="s">
        <v>15</v>
      </c>
      <c r="G222" s="61"/>
      <c r="H222" s="61"/>
      <c r="I222" s="60"/>
      <c r="J222" s="53"/>
    </row>
    <row r="223" ht="24.75" hidden="1" customHeight="1">
      <c r="A223" s="54">
        <v>140.0</v>
      </c>
      <c r="B223" s="56" t="s">
        <v>517</v>
      </c>
      <c r="C223" s="56" t="s">
        <v>437</v>
      </c>
      <c r="D223" s="56" t="s">
        <v>518</v>
      </c>
      <c r="E223" s="56" t="s">
        <v>272</v>
      </c>
      <c r="F223" s="57" t="s">
        <v>15</v>
      </c>
      <c r="G223" s="81"/>
      <c r="H223" s="81"/>
      <c r="I223" s="93"/>
      <c r="J223" s="53"/>
    </row>
    <row r="224" ht="24.75" hidden="1" customHeight="1">
      <c r="A224" s="54">
        <v>140.0</v>
      </c>
      <c r="B224" s="56" t="s">
        <v>519</v>
      </c>
      <c r="C224" s="56" t="s">
        <v>437</v>
      </c>
      <c r="D224" s="56" t="s">
        <v>520</v>
      </c>
      <c r="E224" s="56" t="s">
        <v>272</v>
      </c>
      <c r="F224" s="57" t="s">
        <v>15</v>
      </c>
      <c r="G224" s="61"/>
      <c r="H224" s="61"/>
      <c r="I224" s="60"/>
      <c r="J224" s="53"/>
    </row>
    <row r="225" ht="24.75" hidden="1" customHeight="1">
      <c r="A225" s="54">
        <v>140.0</v>
      </c>
      <c r="B225" s="56" t="s">
        <v>521</v>
      </c>
      <c r="C225" s="56" t="s">
        <v>443</v>
      </c>
      <c r="D225" s="56" t="s">
        <v>522</v>
      </c>
      <c r="E225" s="56" t="s">
        <v>272</v>
      </c>
      <c r="F225" s="57" t="s">
        <v>15</v>
      </c>
      <c r="G225" s="61"/>
      <c r="H225" s="61"/>
      <c r="I225" s="60"/>
      <c r="J225" s="53"/>
    </row>
    <row r="226" ht="24.75" hidden="1" customHeight="1">
      <c r="A226" s="54">
        <v>140.0</v>
      </c>
      <c r="B226" s="56" t="s">
        <v>523</v>
      </c>
      <c r="C226" s="56" t="s">
        <v>443</v>
      </c>
      <c r="D226" s="56" t="s">
        <v>524</v>
      </c>
      <c r="E226" s="56" t="s">
        <v>272</v>
      </c>
      <c r="F226" s="57" t="s">
        <v>15</v>
      </c>
      <c r="G226" s="61"/>
      <c r="H226" s="61"/>
      <c r="I226" s="60"/>
      <c r="J226" s="53"/>
    </row>
    <row r="227" ht="24.75" hidden="1" customHeight="1">
      <c r="A227" s="54">
        <v>140.0</v>
      </c>
      <c r="B227" s="56" t="s">
        <v>525</v>
      </c>
      <c r="C227" s="56" t="s">
        <v>443</v>
      </c>
      <c r="D227" s="56" t="s">
        <v>526</v>
      </c>
      <c r="E227" s="56" t="s">
        <v>272</v>
      </c>
      <c r="F227" s="57" t="s">
        <v>15</v>
      </c>
      <c r="G227" s="61"/>
      <c r="H227" s="61"/>
      <c r="I227" s="60"/>
      <c r="J227" s="53"/>
    </row>
    <row r="228" ht="24.75" hidden="1" customHeight="1">
      <c r="A228" s="54">
        <v>140.0</v>
      </c>
      <c r="B228" s="56" t="s">
        <v>527</v>
      </c>
      <c r="C228" s="56" t="s">
        <v>446</v>
      </c>
      <c r="D228" s="56" t="s">
        <v>528</v>
      </c>
      <c r="E228" s="56" t="s">
        <v>272</v>
      </c>
      <c r="F228" s="57" t="s">
        <v>15</v>
      </c>
      <c r="G228" s="61"/>
      <c r="H228" s="61"/>
      <c r="I228" s="60"/>
      <c r="J228" s="53"/>
    </row>
    <row r="229" ht="24.75" hidden="1" customHeight="1">
      <c r="A229" s="54">
        <v>140.0</v>
      </c>
      <c r="B229" s="56" t="s">
        <v>529</v>
      </c>
      <c r="C229" s="56" t="s">
        <v>446</v>
      </c>
      <c r="D229" s="56" t="s">
        <v>530</v>
      </c>
      <c r="E229" s="56" t="s">
        <v>272</v>
      </c>
      <c r="F229" s="57" t="s">
        <v>15</v>
      </c>
      <c r="G229" s="61"/>
      <c r="H229" s="61"/>
      <c r="I229" s="60"/>
      <c r="J229" s="53"/>
    </row>
    <row r="230" ht="24.75" hidden="1" customHeight="1">
      <c r="A230" s="54">
        <v>140.0</v>
      </c>
      <c r="B230" s="56" t="s">
        <v>531</v>
      </c>
      <c r="C230" s="88" t="s">
        <v>449</v>
      </c>
      <c r="D230" s="56" t="s">
        <v>532</v>
      </c>
      <c r="E230" s="56" t="s">
        <v>272</v>
      </c>
      <c r="F230" s="57" t="s">
        <v>15</v>
      </c>
      <c r="G230" s="61"/>
      <c r="H230" s="61"/>
      <c r="I230" s="60"/>
      <c r="J230" s="53"/>
    </row>
    <row r="231" ht="24.75" hidden="1" customHeight="1">
      <c r="A231" s="54">
        <v>140.0</v>
      </c>
      <c r="B231" s="56" t="s">
        <v>533</v>
      </c>
      <c r="C231" s="56" t="s">
        <v>497</v>
      </c>
      <c r="D231" s="56" t="s">
        <v>534</v>
      </c>
      <c r="E231" s="56" t="s">
        <v>439</v>
      </c>
      <c r="F231" s="57" t="s">
        <v>154</v>
      </c>
      <c r="G231" s="61"/>
      <c r="H231" s="61"/>
      <c r="I231" s="62"/>
      <c r="J231" s="53"/>
    </row>
    <row r="232" ht="24.75" hidden="1" customHeight="1">
      <c r="A232" s="54">
        <v>140.0</v>
      </c>
      <c r="B232" s="56" t="s">
        <v>535</v>
      </c>
      <c r="C232" s="56" t="s">
        <v>443</v>
      </c>
      <c r="D232" s="56" t="s">
        <v>537</v>
      </c>
      <c r="E232" s="56" t="s">
        <v>439</v>
      </c>
      <c r="F232" s="57" t="s">
        <v>154</v>
      </c>
      <c r="G232" s="61"/>
      <c r="H232" s="61"/>
      <c r="I232" s="62"/>
      <c r="J232" s="53"/>
    </row>
    <row r="233" ht="24.75" hidden="1" customHeight="1">
      <c r="A233" s="54">
        <v>140.0</v>
      </c>
      <c r="B233" s="56" t="s">
        <v>538</v>
      </c>
      <c r="C233" s="56" t="s">
        <v>446</v>
      </c>
      <c r="D233" s="56" t="s">
        <v>539</v>
      </c>
      <c r="E233" s="56" t="s">
        <v>439</v>
      </c>
      <c r="F233" s="57" t="s">
        <v>154</v>
      </c>
      <c r="G233" s="61"/>
      <c r="H233" s="61"/>
      <c r="I233" s="62"/>
      <c r="J233" s="53"/>
    </row>
    <row r="234" ht="24.75" hidden="1" customHeight="1">
      <c r="A234" s="54">
        <v>140.0</v>
      </c>
      <c r="B234" s="56" t="s">
        <v>540</v>
      </c>
      <c r="C234" s="56" t="s">
        <v>434</v>
      </c>
      <c r="D234" s="56" t="s">
        <v>541</v>
      </c>
      <c r="E234" s="56" t="s">
        <v>167</v>
      </c>
      <c r="F234" s="57" t="s">
        <v>154</v>
      </c>
      <c r="G234" s="61"/>
      <c r="H234" s="61"/>
      <c r="I234" s="62"/>
      <c r="J234" s="53"/>
    </row>
    <row r="235" ht="24.75" hidden="1" customHeight="1">
      <c r="A235" s="54">
        <v>140.0</v>
      </c>
      <c r="B235" s="56" t="s">
        <v>540</v>
      </c>
      <c r="C235" s="56" t="s">
        <v>434</v>
      </c>
      <c r="D235" s="56" t="s">
        <v>541</v>
      </c>
      <c r="E235" s="56" t="s">
        <v>176</v>
      </c>
      <c r="F235" s="57" t="s">
        <v>154</v>
      </c>
      <c r="G235" s="61"/>
      <c r="H235" s="61"/>
      <c r="I235" s="62"/>
      <c r="J235" s="53"/>
    </row>
    <row r="236" ht="24.75" hidden="1" customHeight="1">
      <c r="A236" s="54">
        <v>140.0</v>
      </c>
      <c r="B236" s="56" t="s">
        <v>543</v>
      </c>
      <c r="C236" s="56" t="s">
        <v>437</v>
      </c>
      <c r="D236" s="56" t="s">
        <v>544</v>
      </c>
      <c r="E236" s="56" t="s">
        <v>167</v>
      </c>
      <c r="F236" s="57" t="s">
        <v>154</v>
      </c>
      <c r="G236" s="61"/>
      <c r="H236" s="61"/>
      <c r="I236" s="62"/>
      <c r="J236" s="53"/>
    </row>
    <row r="237" ht="24.75" hidden="1" customHeight="1">
      <c r="A237" s="54">
        <v>140.0</v>
      </c>
      <c r="B237" s="56" t="s">
        <v>543</v>
      </c>
      <c r="C237" s="56" t="s">
        <v>437</v>
      </c>
      <c r="D237" s="56" t="s">
        <v>544</v>
      </c>
      <c r="E237" s="56" t="s">
        <v>176</v>
      </c>
      <c r="F237" s="57" t="s">
        <v>154</v>
      </c>
      <c r="G237" s="61"/>
      <c r="H237" s="61"/>
      <c r="I237" s="62"/>
      <c r="J237" s="53"/>
    </row>
    <row r="238" ht="24.75" hidden="1" customHeight="1">
      <c r="A238" s="54">
        <v>140.0</v>
      </c>
      <c r="B238" s="56" t="s">
        <v>545</v>
      </c>
      <c r="C238" s="56" t="s">
        <v>437</v>
      </c>
      <c r="D238" s="56" t="s">
        <v>546</v>
      </c>
      <c r="E238" s="56" t="s">
        <v>167</v>
      </c>
      <c r="F238" s="57" t="s">
        <v>154</v>
      </c>
      <c r="G238" s="61"/>
      <c r="H238" s="61"/>
      <c r="I238" s="62"/>
      <c r="J238" s="53"/>
    </row>
    <row r="239" ht="24.75" hidden="1" customHeight="1">
      <c r="A239" s="54">
        <v>140.0</v>
      </c>
      <c r="B239" s="56" t="s">
        <v>545</v>
      </c>
      <c r="C239" s="56" t="s">
        <v>437</v>
      </c>
      <c r="D239" s="56" t="s">
        <v>546</v>
      </c>
      <c r="E239" s="56" t="s">
        <v>176</v>
      </c>
      <c r="F239" s="57" t="s">
        <v>154</v>
      </c>
      <c r="G239" s="61"/>
      <c r="H239" s="61"/>
      <c r="I239" s="62"/>
      <c r="J239" s="53"/>
    </row>
    <row r="240" ht="24.75" hidden="1" customHeight="1">
      <c r="A240" s="54">
        <v>140.0</v>
      </c>
      <c r="B240" s="56" t="s">
        <v>547</v>
      </c>
      <c r="C240" s="56" t="s">
        <v>437</v>
      </c>
      <c r="D240" s="56" t="s">
        <v>548</v>
      </c>
      <c r="E240" s="56" t="s">
        <v>167</v>
      </c>
      <c r="F240" s="57" t="s">
        <v>154</v>
      </c>
      <c r="G240" s="61"/>
      <c r="H240" s="61"/>
      <c r="I240" s="62"/>
      <c r="J240" s="53"/>
    </row>
    <row r="241" ht="24.75" hidden="1" customHeight="1">
      <c r="A241" s="54">
        <v>140.0</v>
      </c>
      <c r="B241" s="56" t="s">
        <v>547</v>
      </c>
      <c r="C241" s="56" t="s">
        <v>437</v>
      </c>
      <c r="D241" s="56" t="s">
        <v>548</v>
      </c>
      <c r="E241" s="56" t="s">
        <v>176</v>
      </c>
      <c r="F241" s="57" t="s">
        <v>154</v>
      </c>
      <c r="G241" s="61"/>
      <c r="H241" s="61"/>
      <c r="I241" s="62"/>
      <c r="J241" s="53"/>
    </row>
    <row r="242" ht="24.75" hidden="1" customHeight="1">
      <c r="A242" s="54">
        <v>140.0</v>
      </c>
      <c r="B242" s="56" t="s">
        <v>549</v>
      </c>
      <c r="C242" s="56" t="s">
        <v>434</v>
      </c>
      <c r="D242" s="56" t="s">
        <v>550</v>
      </c>
      <c r="E242" s="56" t="s">
        <v>167</v>
      </c>
      <c r="F242" s="57" t="s">
        <v>154</v>
      </c>
      <c r="G242" s="61"/>
      <c r="H242" s="61"/>
      <c r="I242" s="62"/>
      <c r="J242" s="53"/>
    </row>
    <row r="243" ht="24.75" hidden="1" customHeight="1">
      <c r="A243" s="54">
        <v>140.0</v>
      </c>
      <c r="B243" s="56" t="s">
        <v>549</v>
      </c>
      <c r="C243" s="56" t="s">
        <v>434</v>
      </c>
      <c r="D243" s="56" t="s">
        <v>550</v>
      </c>
      <c r="E243" s="56" t="s">
        <v>176</v>
      </c>
      <c r="F243" s="57" t="s">
        <v>154</v>
      </c>
      <c r="G243" s="61"/>
      <c r="H243" s="61"/>
      <c r="I243" s="62"/>
      <c r="J243" s="53"/>
    </row>
    <row r="244" ht="24.75" hidden="1" customHeight="1">
      <c r="A244" s="54">
        <v>140.0</v>
      </c>
      <c r="B244" s="56" t="s">
        <v>551</v>
      </c>
      <c r="C244" s="56" t="s">
        <v>497</v>
      </c>
      <c r="D244" s="56" t="s">
        <v>552</v>
      </c>
      <c r="E244" s="56" t="s">
        <v>167</v>
      </c>
      <c r="F244" s="57" t="s">
        <v>154</v>
      </c>
      <c r="G244" s="61"/>
      <c r="H244" s="61"/>
      <c r="I244" s="62"/>
      <c r="J244" s="53"/>
    </row>
    <row r="245" ht="24.75" hidden="1" customHeight="1">
      <c r="A245" s="54">
        <v>140.0</v>
      </c>
      <c r="B245" s="56" t="s">
        <v>551</v>
      </c>
      <c r="C245" s="56" t="s">
        <v>497</v>
      </c>
      <c r="D245" s="56" t="s">
        <v>552</v>
      </c>
      <c r="E245" s="56" t="s">
        <v>176</v>
      </c>
      <c r="F245" s="57" t="s">
        <v>154</v>
      </c>
      <c r="G245" s="61"/>
      <c r="H245" s="61"/>
      <c r="I245" s="62"/>
      <c r="J245" s="53"/>
    </row>
    <row r="246" ht="24.75" hidden="1" customHeight="1">
      <c r="A246" s="54">
        <v>140.0</v>
      </c>
      <c r="B246" s="56" t="s">
        <v>553</v>
      </c>
      <c r="C246" s="56" t="s">
        <v>443</v>
      </c>
      <c r="D246" s="56" t="s">
        <v>554</v>
      </c>
      <c r="E246" s="56" t="s">
        <v>167</v>
      </c>
      <c r="F246" s="57" t="s">
        <v>154</v>
      </c>
      <c r="G246" s="61"/>
      <c r="H246" s="61"/>
      <c r="I246" s="62"/>
      <c r="J246" s="53"/>
    </row>
    <row r="247" ht="24.75" hidden="1" customHeight="1">
      <c r="A247" s="54">
        <v>140.0</v>
      </c>
      <c r="B247" s="56" t="s">
        <v>553</v>
      </c>
      <c r="C247" s="56" t="s">
        <v>443</v>
      </c>
      <c r="D247" s="56" t="s">
        <v>554</v>
      </c>
      <c r="E247" s="56" t="s">
        <v>176</v>
      </c>
      <c r="F247" s="57" t="s">
        <v>154</v>
      </c>
      <c r="G247" s="61"/>
      <c r="H247" s="61"/>
      <c r="I247" s="62"/>
      <c r="J247" s="53"/>
    </row>
    <row r="248" ht="24.75" hidden="1" customHeight="1">
      <c r="A248" s="54">
        <v>140.0</v>
      </c>
      <c r="B248" s="56" t="s">
        <v>555</v>
      </c>
      <c r="C248" s="56" t="s">
        <v>434</v>
      </c>
      <c r="D248" s="56" t="s">
        <v>556</v>
      </c>
      <c r="E248" s="56" t="s">
        <v>167</v>
      </c>
      <c r="F248" s="57" t="s">
        <v>154</v>
      </c>
      <c r="G248" s="61"/>
      <c r="H248" s="61"/>
      <c r="I248" s="62"/>
      <c r="J248" s="53"/>
    </row>
    <row r="249" ht="24.75" hidden="1" customHeight="1">
      <c r="A249" s="54">
        <v>140.0</v>
      </c>
      <c r="B249" s="56" t="s">
        <v>555</v>
      </c>
      <c r="C249" s="56" t="s">
        <v>434</v>
      </c>
      <c r="D249" s="56" t="s">
        <v>556</v>
      </c>
      <c r="E249" s="56" t="s">
        <v>176</v>
      </c>
      <c r="F249" s="57" t="s">
        <v>154</v>
      </c>
      <c r="G249" s="61"/>
      <c r="H249" s="61"/>
      <c r="I249" s="62"/>
      <c r="J249" s="53"/>
    </row>
    <row r="250" ht="24.75" hidden="1" customHeight="1">
      <c r="A250" s="54">
        <v>140.0</v>
      </c>
      <c r="B250" s="56" t="s">
        <v>558</v>
      </c>
      <c r="C250" s="56" t="s">
        <v>270</v>
      </c>
      <c r="D250" s="56" t="s">
        <v>559</v>
      </c>
      <c r="E250" s="56" t="s">
        <v>167</v>
      </c>
      <c r="F250" s="57" t="s">
        <v>154</v>
      </c>
      <c r="G250" s="61"/>
      <c r="H250" s="61"/>
      <c r="I250" s="62"/>
      <c r="J250" s="53"/>
    </row>
    <row r="251" ht="24.75" hidden="1" customHeight="1">
      <c r="A251" s="54">
        <v>140.0</v>
      </c>
      <c r="B251" s="56" t="s">
        <v>558</v>
      </c>
      <c r="C251" s="56" t="s">
        <v>270</v>
      </c>
      <c r="D251" s="56" t="s">
        <v>559</v>
      </c>
      <c r="E251" s="56" t="s">
        <v>176</v>
      </c>
      <c r="F251" s="57" t="s">
        <v>154</v>
      </c>
      <c r="G251" s="61"/>
      <c r="H251" s="61"/>
      <c r="I251" s="62"/>
      <c r="J251" s="53"/>
    </row>
    <row r="252" ht="24.75" hidden="1" customHeight="1">
      <c r="A252" s="54">
        <v>140.0</v>
      </c>
      <c r="B252" s="56" t="s">
        <v>560</v>
      </c>
      <c r="C252" s="56" t="s">
        <v>446</v>
      </c>
      <c r="D252" s="56" t="s">
        <v>561</v>
      </c>
      <c r="E252" s="56" t="s">
        <v>167</v>
      </c>
      <c r="F252" s="57" t="s">
        <v>154</v>
      </c>
      <c r="G252" s="61"/>
      <c r="H252" s="61"/>
      <c r="I252" s="62"/>
      <c r="J252" s="53"/>
    </row>
    <row r="253" ht="24.75" hidden="1" customHeight="1">
      <c r="A253" s="54">
        <v>140.0</v>
      </c>
      <c r="B253" s="56" t="s">
        <v>560</v>
      </c>
      <c r="C253" s="56" t="s">
        <v>446</v>
      </c>
      <c r="D253" s="56" t="s">
        <v>561</v>
      </c>
      <c r="E253" s="56" t="s">
        <v>176</v>
      </c>
      <c r="F253" s="57" t="s">
        <v>154</v>
      </c>
      <c r="G253" s="61"/>
      <c r="H253" s="61"/>
      <c r="I253" s="62"/>
      <c r="J253" s="53"/>
    </row>
    <row r="254" ht="24.75" hidden="1" customHeight="1">
      <c r="A254" s="54">
        <v>140.0</v>
      </c>
      <c r="B254" s="56" t="s">
        <v>562</v>
      </c>
      <c r="C254" s="56" t="s">
        <v>443</v>
      </c>
      <c r="D254" s="56" t="s">
        <v>563</v>
      </c>
      <c r="E254" s="56" t="s">
        <v>167</v>
      </c>
      <c r="F254" s="57" t="s">
        <v>154</v>
      </c>
      <c r="G254" s="61"/>
      <c r="H254" s="61"/>
      <c r="I254" s="62"/>
      <c r="J254" s="53"/>
    </row>
    <row r="255" ht="24.75" hidden="1" customHeight="1">
      <c r="A255" s="54">
        <v>140.0</v>
      </c>
      <c r="B255" s="56" t="s">
        <v>562</v>
      </c>
      <c r="C255" s="56" t="s">
        <v>443</v>
      </c>
      <c r="D255" s="56" t="s">
        <v>563</v>
      </c>
      <c r="E255" s="56" t="s">
        <v>176</v>
      </c>
      <c r="F255" s="57" t="s">
        <v>154</v>
      </c>
      <c r="G255" s="61"/>
      <c r="H255" s="61"/>
      <c r="I255" s="62"/>
      <c r="J255" s="53"/>
    </row>
    <row r="256" ht="24.75" hidden="1" customHeight="1">
      <c r="A256" s="54">
        <v>140.0</v>
      </c>
      <c r="B256" s="56" t="s">
        <v>564</v>
      </c>
      <c r="C256" s="56" t="s">
        <v>446</v>
      </c>
      <c r="D256" s="56" t="s">
        <v>565</v>
      </c>
      <c r="E256" s="56" t="s">
        <v>167</v>
      </c>
      <c r="F256" s="57" t="s">
        <v>154</v>
      </c>
      <c r="G256" s="61"/>
      <c r="H256" s="61"/>
      <c r="I256" s="62"/>
      <c r="J256" s="53"/>
    </row>
    <row r="257" ht="24.75" hidden="1" customHeight="1">
      <c r="A257" s="54">
        <v>140.0</v>
      </c>
      <c r="B257" s="56" t="s">
        <v>564</v>
      </c>
      <c r="C257" s="56" t="s">
        <v>446</v>
      </c>
      <c r="D257" s="56" t="s">
        <v>565</v>
      </c>
      <c r="E257" s="56" t="s">
        <v>176</v>
      </c>
      <c r="F257" s="57" t="s">
        <v>154</v>
      </c>
      <c r="G257" s="61"/>
      <c r="H257" s="61"/>
      <c r="I257" s="62"/>
      <c r="J257" s="53"/>
    </row>
    <row r="258" ht="24.75" hidden="1" customHeight="1">
      <c r="A258" s="54">
        <v>140.0</v>
      </c>
      <c r="B258" s="56" t="s">
        <v>566</v>
      </c>
      <c r="C258" s="88" t="s">
        <v>449</v>
      </c>
      <c r="D258" s="56" t="s">
        <v>567</v>
      </c>
      <c r="E258" s="56" t="s">
        <v>167</v>
      </c>
      <c r="F258" s="57" t="s">
        <v>154</v>
      </c>
      <c r="G258" s="61"/>
      <c r="H258" s="61"/>
      <c r="I258" s="62"/>
      <c r="J258" s="53"/>
    </row>
    <row r="259" ht="24.75" hidden="1" customHeight="1">
      <c r="A259" s="54">
        <v>140.0</v>
      </c>
      <c r="B259" s="56" t="s">
        <v>566</v>
      </c>
      <c r="C259" s="88" t="s">
        <v>449</v>
      </c>
      <c r="D259" s="56" t="s">
        <v>567</v>
      </c>
      <c r="E259" s="56" t="s">
        <v>176</v>
      </c>
      <c r="F259" s="57" t="s">
        <v>154</v>
      </c>
      <c r="G259" s="61"/>
      <c r="H259" s="61"/>
      <c r="I259" s="62"/>
      <c r="J259" s="53"/>
    </row>
    <row r="260" ht="24.75" hidden="1" customHeight="1">
      <c r="A260" s="54">
        <v>140.0</v>
      </c>
      <c r="B260" s="56" t="s">
        <v>568</v>
      </c>
      <c r="C260" s="56" t="s">
        <v>446</v>
      </c>
      <c r="D260" s="56" t="s">
        <v>569</v>
      </c>
      <c r="E260" s="56" t="s">
        <v>272</v>
      </c>
      <c r="F260" s="57" t="s">
        <v>15</v>
      </c>
      <c r="G260" s="61"/>
      <c r="H260" s="61"/>
      <c r="I260" s="60"/>
      <c r="J260" s="53"/>
    </row>
    <row r="261" ht="24.75" hidden="1" customHeight="1">
      <c r="A261" s="54">
        <v>140.0</v>
      </c>
      <c r="B261" s="56" t="s">
        <v>570</v>
      </c>
      <c r="C261" s="88" t="s">
        <v>449</v>
      </c>
      <c r="D261" s="56" t="s">
        <v>571</v>
      </c>
      <c r="E261" s="56" t="s">
        <v>167</v>
      </c>
      <c r="F261" s="57" t="s">
        <v>154</v>
      </c>
      <c r="G261" s="61"/>
      <c r="H261" s="61"/>
      <c r="I261" s="62"/>
      <c r="J261" s="53"/>
    </row>
    <row r="262" ht="24.75" hidden="1" customHeight="1">
      <c r="A262" s="54">
        <v>140.0</v>
      </c>
      <c r="B262" s="56" t="s">
        <v>570</v>
      </c>
      <c r="C262" s="88" t="s">
        <v>449</v>
      </c>
      <c r="D262" s="56" t="s">
        <v>571</v>
      </c>
      <c r="E262" s="56" t="s">
        <v>176</v>
      </c>
      <c r="F262" s="57" t="s">
        <v>154</v>
      </c>
      <c r="G262" s="61"/>
      <c r="H262" s="61"/>
      <c r="I262" s="62"/>
      <c r="J262" s="53"/>
    </row>
    <row r="263" ht="24.75" hidden="1" customHeight="1">
      <c r="A263" s="54" t="s">
        <v>572</v>
      </c>
      <c r="B263" s="56" t="s">
        <v>573</v>
      </c>
      <c r="C263" s="56" t="s">
        <v>574</v>
      </c>
      <c r="D263" s="56" t="s">
        <v>575</v>
      </c>
      <c r="E263" s="56" t="s">
        <v>239</v>
      </c>
      <c r="F263" s="57" t="s">
        <v>154</v>
      </c>
      <c r="G263" s="61"/>
      <c r="H263" s="61"/>
      <c r="I263" s="62" t="s">
        <v>207</v>
      </c>
      <c r="J263" s="53"/>
    </row>
    <row r="264" ht="24.75" hidden="1" customHeight="1">
      <c r="A264" s="54" t="s">
        <v>572</v>
      </c>
      <c r="B264" s="56" t="s">
        <v>576</v>
      </c>
      <c r="C264" s="56" t="s">
        <v>574</v>
      </c>
      <c r="D264" s="56" t="s">
        <v>577</v>
      </c>
      <c r="E264" s="56" t="s">
        <v>578</v>
      </c>
      <c r="F264" s="57" t="s">
        <v>154</v>
      </c>
      <c r="G264" s="61"/>
      <c r="H264" s="61"/>
      <c r="I264" s="62"/>
      <c r="J264" s="53"/>
    </row>
    <row r="265" ht="24.75" hidden="1" customHeight="1">
      <c r="A265" s="54" t="s">
        <v>572</v>
      </c>
      <c r="B265" s="56" t="s">
        <v>576</v>
      </c>
      <c r="C265" s="56" t="s">
        <v>574</v>
      </c>
      <c r="D265" s="56" t="s">
        <v>577</v>
      </c>
      <c r="E265" s="56" t="s">
        <v>196</v>
      </c>
      <c r="F265" s="57" t="s">
        <v>154</v>
      </c>
      <c r="G265" s="61"/>
      <c r="H265" s="61" t="s">
        <v>197</v>
      </c>
      <c r="I265" s="62" t="s">
        <v>581</v>
      </c>
      <c r="J265" s="53"/>
    </row>
    <row r="266" ht="24.75" hidden="1" customHeight="1">
      <c r="A266" s="54" t="s">
        <v>572</v>
      </c>
      <c r="B266" s="56" t="s">
        <v>579</v>
      </c>
      <c r="C266" s="56" t="s">
        <v>574</v>
      </c>
      <c r="D266" s="56" t="s">
        <v>580</v>
      </c>
      <c r="E266" s="56" t="s">
        <v>578</v>
      </c>
      <c r="F266" s="57" t="s">
        <v>154</v>
      </c>
      <c r="G266" s="61"/>
      <c r="H266" s="61"/>
      <c r="I266" s="62"/>
      <c r="J266" s="53"/>
    </row>
    <row r="267" ht="24.75" hidden="1" customHeight="1">
      <c r="A267" s="54" t="s">
        <v>572</v>
      </c>
      <c r="B267" s="56" t="s">
        <v>579</v>
      </c>
      <c r="C267" s="56" t="s">
        <v>574</v>
      </c>
      <c r="D267" s="56" t="s">
        <v>580</v>
      </c>
      <c r="E267" s="56" t="s">
        <v>196</v>
      </c>
      <c r="F267" s="57" t="s">
        <v>154</v>
      </c>
      <c r="G267" s="61"/>
      <c r="H267" s="61" t="s">
        <v>197</v>
      </c>
      <c r="I267" s="62" t="s">
        <v>581</v>
      </c>
      <c r="J267" s="53"/>
    </row>
    <row r="268" ht="24.75" hidden="1" customHeight="1">
      <c r="A268" s="54" t="s">
        <v>572</v>
      </c>
      <c r="B268" s="56" t="s">
        <v>582</v>
      </c>
      <c r="C268" s="56" t="s">
        <v>583</v>
      </c>
      <c r="D268" s="56" t="s">
        <v>584</v>
      </c>
      <c r="E268" s="56" t="s">
        <v>585</v>
      </c>
      <c r="F268" s="57" t="s">
        <v>154</v>
      </c>
      <c r="G268" s="61"/>
      <c r="H268" s="61"/>
      <c r="I268" s="62" t="s">
        <v>207</v>
      </c>
      <c r="J268" s="53"/>
    </row>
    <row r="269" ht="24.75" hidden="1" customHeight="1">
      <c r="A269" s="54" t="s">
        <v>572</v>
      </c>
      <c r="B269" s="56" t="s">
        <v>586</v>
      </c>
      <c r="C269" s="56" t="s">
        <v>583</v>
      </c>
      <c r="D269" s="56" t="s">
        <v>587</v>
      </c>
      <c r="E269" s="56" t="s">
        <v>588</v>
      </c>
      <c r="F269" s="57" t="s">
        <v>154</v>
      </c>
      <c r="G269" s="61"/>
      <c r="H269" s="61"/>
      <c r="I269" s="62"/>
      <c r="J269" s="53"/>
    </row>
    <row r="270" ht="24.75" hidden="1" customHeight="1">
      <c r="A270" s="54" t="s">
        <v>572</v>
      </c>
      <c r="B270" s="56" t="s">
        <v>586</v>
      </c>
      <c r="C270" s="56" t="s">
        <v>583</v>
      </c>
      <c r="D270" s="56" t="s">
        <v>587</v>
      </c>
      <c r="E270" s="56" t="s">
        <v>589</v>
      </c>
      <c r="F270" s="57" t="s">
        <v>154</v>
      </c>
      <c r="G270" s="61"/>
      <c r="H270" s="61"/>
      <c r="I270" s="62"/>
      <c r="J270" s="53"/>
    </row>
    <row r="271" ht="24.75" hidden="1" customHeight="1">
      <c r="A271" s="54" t="s">
        <v>572</v>
      </c>
      <c r="B271" s="56" t="s">
        <v>586</v>
      </c>
      <c r="C271" s="56" t="s">
        <v>583</v>
      </c>
      <c r="D271" s="56" t="s">
        <v>587</v>
      </c>
      <c r="E271" s="56" t="s">
        <v>590</v>
      </c>
      <c r="F271" s="57" t="s">
        <v>154</v>
      </c>
      <c r="G271" s="61"/>
      <c r="H271" s="61" t="s">
        <v>592</v>
      </c>
      <c r="I271" s="62" t="s">
        <v>593</v>
      </c>
      <c r="J271" s="53"/>
    </row>
    <row r="272" ht="24.75" hidden="1" customHeight="1">
      <c r="A272" s="54" t="s">
        <v>572</v>
      </c>
      <c r="B272" s="56" t="s">
        <v>591</v>
      </c>
      <c r="C272" s="56" t="s">
        <v>574</v>
      </c>
      <c r="D272" s="56" t="s">
        <v>594</v>
      </c>
      <c r="E272" s="56" t="s">
        <v>239</v>
      </c>
      <c r="F272" s="57" t="s">
        <v>154</v>
      </c>
      <c r="G272" s="61"/>
      <c r="H272" s="61"/>
      <c r="I272" s="62"/>
      <c r="J272" s="53"/>
    </row>
    <row r="273" ht="24.75" hidden="1" customHeight="1">
      <c r="A273" s="54" t="s">
        <v>572</v>
      </c>
      <c r="B273" s="56" t="s">
        <v>595</v>
      </c>
      <c r="C273" s="56" t="s">
        <v>574</v>
      </c>
      <c r="D273" s="56" t="s">
        <v>577</v>
      </c>
      <c r="E273" s="56" t="s">
        <v>578</v>
      </c>
      <c r="F273" s="57" t="s">
        <v>154</v>
      </c>
      <c r="G273" s="61"/>
      <c r="H273" s="61"/>
      <c r="I273" s="62"/>
      <c r="J273" s="53"/>
    </row>
    <row r="274" ht="24.75" hidden="1" customHeight="1">
      <c r="A274" s="54" t="s">
        <v>572</v>
      </c>
      <c r="B274" s="56" t="s">
        <v>595</v>
      </c>
      <c r="C274" s="56" t="s">
        <v>574</v>
      </c>
      <c r="D274" s="56" t="s">
        <v>577</v>
      </c>
      <c r="E274" s="56" t="s">
        <v>196</v>
      </c>
      <c r="F274" s="57" t="s">
        <v>154</v>
      </c>
      <c r="G274" s="61"/>
      <c r="H274" s="61" t="s">
        <v>197</v>
      </c>
      <c r="I274" s="62" t="s">
        <v>581</v>
      </c>
      <c r="J274" s="53"/>
    </row>
    <row r="275" ht="24.75" hidden="1" customHeight="1">
      <c r="A275" s="54" t="s">
        <v>572</v>
      </c>
      <c r="B275" s="56" t="s">
        <v>596</v>
      </c>
      <c r="C275" s="56" t="s">
        <v>574</v>
      </c>
      <c r="D275" s="56" t="s">
        <v>597</v>
      </c>
      <c r="E275" s="56" t="s">
        <v>239</v>
      </c>
      <c r="F275" s="57" t="s">
        <v>154</v>
      </c>
      <c r="G275" s="61"/>
      <c r="H275" s="61"/>
      <c r="I275" s="62"/>
      <c r="J275" s="53"/>
    </row>
    <row r="276" ht="24.75" hidden="1" customHeight="1">
      <c r="A276" s="54" t="s">
        <v>572</v>
      </c>
      <c r="B276" s="56" t="s">
        <v>598</v>
      </c>
      <c r="C276" s="56" t="s">
        <v>574</v>
      </c>
      <c r="D276" s="56" t="s">
        <v>577</v>
      </c>
      <c r="E276" s="56" t="s">
        <v>578</v>
      </c>
      <c r="F276" s="57" t="s">
        <v>154</v>
      </c>
      <c r="G276" s="61"/>
      <c r="H276" s="61"/>
      <c r="I276" s="62"/>
      <c r="J276" s="53"/>
    </row>
    <row r="277" ht="24.75" hidden="1" customHeight="1">
      <c r="A277" s="54" t="s">
        <v>572</v>
      </c>
      <c r="B277" s="56" t="s">
        <v>598</v>
      </c>
      <c r="C277" s="56" t="s">
        <v>574</v>
      </c>
      <c r="D277" s="56" t="s">
        <v>577</v>
      </c>
      <c r="E277" s="56" t="s">
        <v>196</v>
      </c>
      <c r="F277" s="57" t="s">
        <v>154</v>
      </c>
      <c r="G277" s="61"/>
      <c r="H277" s="61" t="s">
        <v>197</v>
      </c>
      <c r="I277" s="62" t="s">
        <v>581</v>
      </c>
      <c r="J277" s="53"/>
    </row>
    <row r="278" ht="24.75" hidden="1" customHeight="1">
      <c r="A278" s="54" t="s">
        <v>289</v>
      </c>
      <c r="B278" s="56" t="s">
        <v>599</v>
      </c>
      <c r="C278" s="56" t="s">
        <v>291</v>
      </c>
      <c r="D278" s="56" t="s">
        <v>600</v>
      </c>
      <c r="E278" s="56" t="s">
        <v>163</v>
      </c>
      <c r="F278" s="57" t="s">
        <v>154</v>
      </c>
      <c r="G278" s="61"/>
      <c r="H278" s="79"/>
      <c r="I278" s="62"/>
      <c r="J278" s="53"/>
    </row>
    <row r="279" ht="24.75" hidden="1" customHeight="1">
      <c r="A279" s="54" t="s">
        <v>289</v>
      </c>
      <c r="B279" s="56" t="s">
        <v>290</v>
      </c>
      <c r="C279" s="56" t="s">
        <v>291</v>
      </c>
      <c r="D279" s="56" t="s">
        <v>292</v>
      </c>
      <c r="E279" s="56" t="s">
        <v>196</v>
      </c>
      <c r="F279" s="57" t="s">
        <v>192</v>
      </c>
      <c r="G279" s="61"/>
      <c r="H279" s="61" t="s">
        <v>287</v>
      </c>
      <c r="I279" s="62" t="s">
        <v>288</v>
      </c>
      <c r="J279" s="53"/>
    </row>
    <row r="280" ht="24.75" hidden="1" customHeight="1">
      <c r="A280" s="54" t="s">
        <v>289</v>
      </c>
      <c r="B280" s="56" t="s">
        <v>290</v>
      </c>
      <c r="C280" s="56" t="s">
        <v>291</v>
      </c>
      <c r="D280" s="56" t="s">
        <v>292</v>
      </c>
      <c r="E280" s="56" t="s">
        <v>601</v>
      </c>
      <c r="F280" s="57" t="s">
        <v>154</v>
      </c>
      <c r="G280" s="61"/>
      <c r="H280" s="79"/>
      <c r="I280" s="62"/>
      <c r="J280" s="53"/>
    </row>
    <row r="281" ht="24.75" hidden="1" customHeight="1">
      <c r="A281" s="54">
        <v>140.0</v>
      </c>
      <c r="B281" s="56" t="s">
        <v>602</v>
      </c>
      <c r="C281" s="56" t="s">
        <v>500</v>
      </c>
      <c r="D281" s="56" t="s">
        <v>603</v>
      </c>
      <c r="E281" s="56" t="s">
        <v>272</v>
      </c>
      <c r="F281" s="57" t="s">
        <v>15</v>
      </c>
      <c r="G281" s="61"/>
      <c r="H281" s="61"/>
      <c r="I281" s="60"/>
      <c r="J281" s="53"/>
    </row>
    <row r="282" ht="24.75" hidden="1" customHeight="1">
      <c r="A282" s="54">
        <v>140.0</v>
      </c>
      <c r="B282" s="56" t="s">
        <v>566</v>
      </c>
      <c r="C282" s="56" t="s">
        <v>500</v>
      </c>
      <c r="D282" s="56" t="s">
        <v>604</v>
      </c>
      <c r="E282" s="56" t="s">
        <v>272</v>
      </c>
      <c r="F282" s="57" t="s">
        <v>15</v>
      </c>
      <c r="G282" s="61"/>
      <c r="H282" s="61"/>
      <c r="I282" s="60"/>
      <c r="J282" s="53"/>
    </row>
    <row r="283" ht="24.75" hidden="1" customHeight="1">
      <c r="A283" s="54" t="s">
        <v>289</v>
      </c>
      <c r="B283" s="56" t="s">
        <v>605</v>
      </c>
      <c r="C283" s="56" t="s">
        <v>606</v>
      </c>
      <c r="D283" s="56" t="s">
        <v>607</v>
      </c>
      <c r="E283" s="56" t="s">
        <v>608</v>
      </c>
      <c r="F283" s="57" t="s">
        <v>154</v>
      </c>
      <c r="G283" s="61"/>
      <c r="H283" s="79"/>
      <c r="I283" s="62"/>
      <c r="J283" s="53"/>
    </row>
    <row r="284" ht="24.75" hidden="1" customHeight="1">
      <c r="A284" s="54" t="s">
        <v>289</v>
      </c>
      <c r="B284" s="56" t="s">
        <v>609</v>
      </c>
      <c r="C284" s="56" t="s">
        <v>610</v>
      </c>
      <c r="D284" s="56" t="s">
        <v>611</v>
      </c>
      <c r="E284" s="56" t="s">
        <v>612</v>
      </c>
      <c r="F284" s="57" t="s">
        <v>34</v>
      </c>
      <c r="G284" s="61"/>
      <c r="H284" s="79"/>
      <c r="I284" s="62"/>
      <c r="J284" s="53"/>
    </row>
    <row r="285" ht="24.75" hidden="1" customHeight="1">
      <c r="A285" s="54" t="s">
        <v>289</v>
      </c>
      <c r="B285" s="56" t="s">
        <v>609</v>
      </c>
      <c r="C285" s="56" t="s">
        <v>610</v>
      </c>
      <c r="D285" s="56" t="s">
        <v>611</v>
      </c>
      <c r="E285" s="56" t="s">
        <v>613</v>
      </c>
      <c r="F285" s="57" t="s">
        <v>34</v>
      </c>
      <c r="G285" s="61"/>
      <c r="H285" s="79"/>
      <c r="I285" s="62"/>
      <c r="J285" s="53"/>
    </row>
    <row r="286" ht="24.75" hidden="1" customHeight="1">
      <c r="A286" s="54" t="s">
        <v>289</v>
      </c>
      <c r="B286" s="56" t="s">
        <v>609</v>
      </c>
      <c r="C286" s="56" t="s">
        <v>610</v>
      </c>
      <c r="D286" s="56" t="s">
        <v>611</v>
      </c>
      <c r="E286" s="56" t="s">
        <v>614</v>
      </c>
      <c r="F286" s="57" t="s">
        <v>34</v>
      </c>
      <c r="G286" s="61"/>
      <c r="H286" s="79"/>
      <c r="I286" s="62" t="s">
        <v>615</v>
      </c>
      <c r="J286" s="53"/>
    </row>
    <row r="287" ht="24.75" hidden="1" customHeight="1">
      <c r="A287" s="54" t="s">
        <v>289</v>
      </c>
      <c r="B287" s="56" t="s">
        <v>609</v>
      </c>
      <c r="C287" s="56" t="s">
        <v>610</v>
      </c>
      <c r="D287" s="56" t="s">
        <v>611</v>
      </c>
      <c r="E287" s="56" t="s">
        <v>616</v>
      </c>
      <c r="F287" s="57" t="s">
        <v>154</v>
      </c>
      <c r="G287" s="61"/>
      <c r="H287" s="79"/>
      <c r="I287" s="62" t="s">
        <v>617</v>
      </c>
      <c r="J287" s="53"/>
    </row>
    <row r="288" ht="24.75" hidden="1" customHeight="1">
      <c r="A288" s="54" t="s">
        <v>289</v>
      </c>
      <c r="B288" s="56" t="s">
        <v>609</v>
      </c>
      <c r="C288" s="56" t="s">
        <v>610</v>
      </c>
      <c r="D288" s="56" t="s">
        <v>611</v>
      </c>
      <c r="E288" s="80" t="s">
        <v>618</v>
      </c>
      <c r="F288" s="57" t="s">
        <v>154</v>
      </c>
      <c r="G288" s="61"/>
      <c r="H288" s="79"/>
      <c r="I288" s="62" t="s">
        <v>617</v>
      </c>
      <c r="J288" s="53"/>
    </row>
    <row r="289" ht="24.75" hidden="1" customHeight="1">
      <c r="A289" s="54" t="s">
        <v>289</v>
      </c>
      <c r="B289" s="56" t="s">
        <v>619</v>
      </c>
      <c r="C289" s="56" t="s">
        <v>610</v>
      </c>
      <c r="D289" s="56" t="s">
        <v>620</v>
      </c>
      <c r="E289" s="56" t="s">
        <v>196</v>
      </c>
      <c r="F289" s="57" t="s">
        <v>192</v>
      </c>
      <c r="G289" s="61"/>
      <c r="H289" s="61" t="s">
        <v>287</v>
      </c>
      <c r="I289" s="62" t="s">
        <v>288</v>
      </c>
      <c r="J289" s="53"/>
    </row>
    <row r="290" ht="24.75" hidden="1" customHeight="1">
      <c r="A290" s="54" t="s">
        <v>289</v>
      </c>
      <c r="B290" s="56" t="s">
        <v>619</v>
      </c>
      <c r="C290" s="56" t="s">
        <v>610</v>
      </c>
      <c r="D290" s="56" t="s">
        <v>620</v>
      </c>
      <c r="E290" s="56" t="s">
        <v>621</v>
      </c>
      <c r="F290" s="57" t="s">
        <v>192</v>
      </c>
      <c r="G290" s="61"/>
      <c r="H290" s="79"/>
      <c r="I290" s="62"/>
      <c r="J290" s="53"/>
    </row>
    <row r="291" ht="24.75" hidden="1" customHeight="1">
      <c r="A291" s="54" t="s">
        <v>289</v>
      </c>
      <c r="B291" s="56" t="s">
        <v>619</v>
      </c>
      <c r="C291" s="56" t="s">
        <v>610</v>
      </c>
      <c r="D291" s="56" t="s">
        <v>620</v>
      </c>
      <c r="E291" s="56" t="s">
        <v>622</v>
      </c>
      <c r="F291" s="57" t="s">
        <v>154</v>
      </c>
      <c r="G291" s="61"/>
      <c r="H291" s="79"/>
      <c r="I291" s="62" t="s">
        <v>617</v>
      </c>
      <c r="J291" s="53"/>
    </row>
    <row r="292" ht="24.75" hidden="1" customHeight="1">
      <c r="A292" s="54" t="s">
        <v>289</v>
      </c>
      <c r="B292" s="56" t="s">
        <v>623</v>
      </c>
      <c r="C292" s="56" t="s">
        <v>624</v>
      </c>
      <c r="D292" s="56" t="s">
        <v>611</v>
      </c>
      <c r="E292" s="56" t="s">
        <v>612</v>
      </c>
      <c r="F292" s="57" t="s">
        <v>34</v>
      </c>
      <c r="G292" s="61"/>
      <c r="H292" s="79"/>
      <c r="I292" s="62"/>
      <c r="J292" s="53"/>
    </row>
    <row r="293" ht="24.75" hidden="1" customHeight="1">
      <c r="A293" s="54" t="s">
        <v>289</v>
      </c>
      <c r="B293" s="56" t="s">
        <v>623</v>
      </c>
      <c r="C293" s="56" t="s">
        <v>624</v>
      </c>
      <c r="D293" s="56" t="s">
        <v>611</v>
      </c>
      <c r="E293" s="56" t="s">
        <v>613</v>
      </c>
      <c r="F293" s="57" t="s">
        <v>34</v>
      </c>
      <c r="G293" s="61"/>
      <c r="H293" s="79"/>
      <c r="I293" s="62"/>
      <c r="J293" s="53"/>
    </row>
    <row r="294" ht="24.75" hidden="1" customHeight="1">
      <c r="A294" s="54" t="s">
        <v>289</v>
      </c>
      <c r="B294" s="56" t="s">
        <v>623</v>
      </c>
      <c r="C294" s="56" t="s">
        <v>624</v>
      </c>
      <c r="D294" s="56" t="s">
        <v>611</v>
      </c>
      <c r="E294" s="56" t="s">
        <v>614</v>
      </c>
      <c r="F294" s="57" t="s">
        <v>34</v>
      </c>
      <c r="G294" s="61"/>
      <c r="H294" s="79"/>
      <c r="I294" s="62" t="s">
        <v>615</v>
      </c>
      <c r="J294" s="53"/>
    </row>
    <row r="295" ht="24.75" hidden="1" customHeight="1">
      <c r="A295" s="54" t="s">
        <v>289</v>
      </c>
      <c r="B295" s="56" t="s">
        <v>623</v>
      </c>
      <c r="C295" s="56" t="s">
        <v>624</v>
      </c>
      <c r="D295" s="56" t="s">
        <v>611</v>
      </c>
      <c r="E295" s="56" t="s">
        <v>616</v>
      </c>
      <c r="F295" s="57" t="s">
        <v>154</v>
      </c>
      <c r="G295" s="61"/>
      <c r="H295" s="79"/>
      <c r="I295" s="62" t="s">
        <v>617</v>
      </c>
      <c r="J295" s="53"/>
    </row>
    <row r="296" ht="24.75" hidden="1" customHeight="1">
      <c r="A296" s="54" t="s">
        <v>289</v>
      </c>
      <c r="B296" s="56" t="s">
        <v>623</v>
      </c>
      <c r="C296" s="56" t="s">
        <v>624</v>
      </c>
      <c r="D296" s="56" t="s">
        <v>611</v>
      </c>
      <c r="E296" s="80" t="s">
        <v>618</v>
      </c>
      <c r="F296" s="57" t="s">
        <v>154</v>
      </c>
      <c r="G296" s="61"/>
      <c r="H296" s="79"/>
      <c r="I296" s="62" t="s">
        <v>617</v>
      </c>
      <c r="J296" s="53"/>
    </row>
    <row r="297" ht="24.75" hidden="1" customHeight="1">
      <c r="A297" s="54" t="s">
        <v>289</v>
      </c>
      <c r="B297" s="56" t="s">
        <v>625</v>
      </c>
      <c r="C297" s="56" t="s">
        <v>624</v>
      </c>
      <c r="D297" s="56" t="s">
        <v>620</v>
      </c>
      <c r="E297" s="56" t="s">
        <v>196</v>
      </c>
      <c r="F297" s="57" t="s">
        <v>192</v>
      </c>
      <c r="G297" s="61"/>
      <c r="H297" s="61" t="s">
        <v>287</v>
      </c>
      <c r="I297" s="62" t="s">
        <v>288</v>
      </c>
      <c r="J297" s="53"/>
    </row>
    <row r="298" ht="24.75" hidden="1" customHeight="1">
      <c r="A298" s="54" t="s">
        <v>289</v>
      </c>
      <c r="B298" s="56" t="s">
        <v>625</v>
      </c>
      <c r="C298" s="56" t="s">
        <v>624</v>
      </c>
      <c r="D298" s="56" t="s">
        <v>620</v>
      </c>
      <c r="E298" s="56" t="s">
        <v>621</v>
      </c>
      <c r="F298" s="57" t="s">
        <v>192</v>
      </c>
      <c r="G298" s="61"/>
      <c r="H298" s="79"/>
      <c r="I298" s="62"/>
      <c r="J298" s="53"/>
    </row>
    <row r="299" ht="24.75" hidden="1" customHeight="1">
      <c r="A299" s="54" t="s">
        <v>289</v>
      </c>
      <c r="B299" s="56" t="s">
        <v>625</v>
      </c>
      <c r="C299" s="56" t="s">
        <v>624</v>
      </c>
      <c r="D299" s="56" t="s">
        <v>620</v>
      </c>
      <c r="E299" s="56" t="s">
        <v>622</v>
      </c>
      <c r="F299" s="57" t="s">
        <v>154</v>
      </c>
      <c r="G299" s="61"/>
      <c r="H299" s="79"/>
      <c r="I299" s="62" t="s">
        <v>617</v>
      </c>
      <c r="J299" s="53"/>
    </row>
    <row r="300" ht="24.75" hidden="1" customHeight="1">
      <c r="A300" s="54" t="s">
        <v>289</v>
      </c>
      <c r="B300" s="56" t="s">
        <v>626</v>
      </c>
      <c r="C300" s="56" t="s">
        <v>627</v>
      </c>
      <c r="D300" s="56" t="s">
        <v>611</v>
      </c>
      <c r="E300" s="56" t="s">
        <v>612</v>
      </c>
      <c r="F300" s="57" t="s">
        <v>34</v>
      </c>
      <c r="G300" s="61"/>
      <c r="H300" s="79"/>
      <c r="I300" s="62"/>
      <c r="J300" s="53"/>
    </row>
    <row r="301" ht="24.75" hidden="1" customHeight="1">
      <c r="A301" s="54" t="s">
        <v>289</v>
      </c>
      <c r="B301" s="56" t="s">
        <v>626</v>
      </c>
      <c r="C301" s="56" t="s">
        <v>627</v>
      </c>
      <c r="D301" s="56" t="s">
        <v>611</v>
      </c>
      <c r="E301" s="56" t="s">
        <v>613</v>
      </c>
      <c r="F301" s="57" t="s">
        <v>34</v>
      </c>
      <c r="G301" s="61"/>
      <c r="H301" s="79"/>
      <c r="I301" s="62"/>
      <c r="J301" s="53"/>
    </row>
    <row r="302" ht="24.75" hidden="1" customHeight="1">
      <c r="A302" s="54" t="s">
        <v>289</v>
      </c>
      <c r="B302" s="56" t="s">
        <v>626</v>
      </c>
      <c r="C302" s="56" t="s">
        <v>627</v>
      </c>
      <c r="D302" s="56" t="s">
        <v>611</v>
      </c>
      <c r="E302" s="56" t="s">
        <v>614</v>
      </c>
      <c r="F302" s="57" t="s">
        <v>34</v>
      </c>
      <c r="G302" s="61"/>
      <c r="H302" s="79"/>
      <c r="I302" s="62" t="s">
        <v>615</v>
      </c>
      <c r="J302" s="53"/>
    </row>
    <row r="303" ht="24.75" hidden="1" customHeight="1">
      <c r="A303" s="54" t="s">
        <v>289</v>
      </c>
      <c r="B303" s="56" t="s">
        <v>626</v>
      </c>
      <c r="C303" s="56" t="s">
        <v>627</v>
      </c>
      <c r="D303" s="56" t="s">
        <v>611</v>
      </c>
      <c r="E303" s="56" t="s">
        <v>616</v>
      </c>
      <c r="F303" s="57" t="s">
        <v>154</v>
      </c>
      <c r="G303" s="61"/>
      <c r="H303" s="79"/>
      <c r="I303" s="62" t="s">
        <v>617</v>
      </c>
      <c r="J303" s="53"/>
    </row>
    <row r="304" ht="24.75" hidden="1" customHeight="1">
      <c r="A304" s="54" t="s">
        <v>289</v>
      </c>
      <c r="B304" s="56" t="s">
        <v>626</v>
      </c>
      <c r="C304" s="56" t="s">
        <v>627</v>
      </c>
      <c r="D304" s="56" t="s">
        <v>611</v>
      </c>
      <c r="E304" s="56" t="s">
        <v>618</v>
      </c>
      <c r="F304" s="57" t="s">
        <v>154</v>
      </c>
      <c r="G304" s="61"/>
      <c r="H304" s="79"/>
      <c r="I304" s="62" t="s">
        <v>617</v>
      </c>
      <c r="J304" s="53"/>
    </row>
    <row r="305" ht="24.75" hidden="1" customHeight="1">
      <c r="A305" s="54" t="s">
        <v>289</v>
      </c>
      <c r="B305" s="56" t="s">
        <v>628</v>
      </c>
      <c r="C305" s="56" t="s">
        <v>627</v>
      </c>
      <c r="D305" s="56" t="s">
        <v>620</v>
      </c>
      <c r="E305" s="56" t="s">
        <v>196</v>
      </c>
      <c r="F305" s="57" t="s">
        <v>192</v>
      </c>
      <c r="G305" s="61"/>
      <c r="H305" s="61" t="s">
        <v>287</v>
      </c>
      <c r="I305" s="62" t="s">
        <v>288</v>
      </c>
      <c r="J305" s="53"/>
    </row>
    <row r="306" ht="24.75" hidden="1" customHeight="1">
      <c r="A306" s="54" t="s">
        <v>289</v>
      </c>
      <c r="B306" s="56" t="s">
        <v>628</v>
      </c>
      <c r="C306" s="56" t="s">
        <v>627</v>
      </c>
      <c r="D306" s="56" t="s">
        <v>620</v>
      </c>
      <c r="E306" s="56" t="s">
        <v>621</v>
      </c>
      <c r="F306" s="57" t="s">
        <v>192</v>
      </c>
      <c r="G306" s="61"/>
      <c r="H306" s="79"/>
      <c r="I306" s="62"/>
      <c r="J306" s="53"/>
    </row>
    <row r="307" ht="24.75" hidden="1" customHeight="1">
      <c r="A307" s="54" t="s">
        <v>289</v>
      </c>
      <c r="B307" s="56" t="s">
        <v>628</v>
      </c>
      <c r="C307" s="56" t="s">
        <v>627</v>
      </c>
      <c r="D307" s="56" t="s">
        <v>620</v>
      </c>
      <c r="E307" s="56" t="s">
        <v>622</v>
      </c>
      <c r="F307" s="57" t="s">
        <v>154</v>
      </c>
      <c r="G307" s="61"/>
      <c r="H307" s="79"/>
      <c r="I307" s="62" t="s">
        <v>617</v>
      </c>
      <c r="J307" s="53"/>
    </row>
    <row r="308" ht="24.75" hidden="1" customHeight="1">
      <c r="A308" s="54" t="s">
        <v>289</v>
      </c>
      <c r="B308" s="56" t="s">
        <v>629</v>
      </c>
      <c r="C308" s="56" t="s">
        <v>627</v>
      </c>
      <c r="D308" s="56" t="s">
        <v>631</v>
      </c>
      <c r="E308" s="56" t="s">
        <v>191</v>
      </c>
      <c r="F308" s="57" t="s">
        <v>192</v>
      </c>
      <c r="G308" s="61"/>
      <c r="H308" s="79"/>
      <c r="I308" s="62"/>
      <c r="J308" s="53"/>
    </row>
    <row r="309" ht="24.75" hidden="1" customHeight="1">
      <c r="A309" s="54" t="s">
        <v>289</v>
      </c>
      <c r="B309" s="56" t="s">
        <v>629</v>
      </c>
      <c r="C309" s="56" t="s">
        <v>627</v>
      </c>
      <c r="D309" s="56" t="s">
        <v>631</v>
      </c>
      <c r="E309" s="56" t="s">
        <v>632</v>
      </c>
      <c r="F309" s="57" t="s">
        <v>34</v>
      </c>
      <c r="G309" s="61"/>
      <c r="H309" s="61" t="s">
        <v>197</v>
      </c>
      <c r="I309" s="62"/>
      <c r="J309" s="53"/>
    </row>
    <row r="310" ht="24.75" hidden="1" customHeight="1">
      <c r="A310" s="54" t="s">
        <v>289</v>
      </c>
      <c r="B310" s="56" t="s">
        <v>629</v>
      </c>
      <c r="C310" s="56" t="s">
        <v>627</v>
      </c>
      <c r="D310" s="56" t="s">
        <v>631</v>
      </c>
      <c r="E310" s="56" t="s">
        <v>633</v>
      </c>
      <c r="F310" s="57" t="s">
        <v>154</v>
      </c>
      <c r="G310" s="61"/>
      <c r="H310" s="79"/>
      <c r="I310" s="62"/>
      <c r="J310" s="53"/>
    </row>
    <row r="311" ht="24.75" hidden="1" customHeight="1">
      <c r="A311" s="54" t="s">
        <v>289</v>
      </c>
      <c r="B311" s="56" t="s">
        <v>629</v>
      </c>
      <c r="C311" s="56" t="s">
        <v>627</v>
      </c>
      <c r="D311" s="56" t="s">
        <v>631</v>
      </c>
      <c r="E311" s="56" t="s">
        <v>196</v>
      </c>
      <c r="F311" s="57" t="s">
        <v>154</v>
      </c>
      <c r="G311" s="61"/>
      <c r="H311" s="61" t="s">
        <v>200</v>
      </c>
      <c r="I311" s="62" t="s">
        <v>201</v>
      </c>
      <c r="J311" s="53"/>
    </row>
    <row r="312" ht="24.75" hidden="1" customHeight="1">
      <c r="A312" s="54" t="s">
        <v>289</v>
      </c>
      <c r="B312" s="56" t="s">
        <v>635</v>
      </c>
      <c r="C312" s="56" t="s">
        <v>627</v>
      </c>
      <c r="D312" s="56" t="s">
        <v>636</v>
      </c>
      <c r="E312" s="56" t="s">
        <v>191</v>
      </c>
      <c r="F312" s="57" t="s">
        <v>192</v>
      </c>
      <c r="G312" s="61"/>
      <c r="H312" s="79"/>
      <c r="I312" s="62"/>
      <c r="J312" s="53"/>
    </row>
    <row r="313" ht="24.75" hidden="1" customHeight="1">
      <c r="A313" s="54" t="s">
        <v>289</v>
      </c>
      <c r="B313" s="56" t="s">
        <v>635</v>
      </c>
      <c r="C313" s="56" t="s">
        <v>627</v>
      </c>
      <c r="D313" s="56" t="s">
        <v>636</v>
      </c>
      <c r="E313" s="56" t="s">
        <v>632</v>
      </c>
      <c r="F313" s="57" t="s">
        <v>34</v>
      </c>
      <c r="G313" s="61"/>
      <c r="H313" s="61" t="s">
        <v>197</v>
      </c>
      <c r="I313" s="62"/>
      <c r="J313" s="53"/>
    </row>
    <row r="314" ht="24.75" hidden="1" customHeight="1">
      <c r="A314" s="54" t="s">
        <v>289</v>
      </c>
      <c r="B314" s="56" t="s">
        <v>635</v>
      </c>
      <c r="C314" s="56" t="s">
        <v>627</v>
      </c>
      <c r="D314" s="56" t="s">
        <v>636</v>
      </c>
      <c r="E314" s="56" t="s">
        <v>633</v>
      </c>
      <c r="F314" s="57" t="s">
        <v>154</v>
      </c>
      <c r="G314" s="61"/>
      <c r="H314" s="79"/>
      <c r="I314" s="62"/>
      <c r="J314" s="53"/>
    </row>
    <row r="315" ht="24.75" hidden="1" customHeight="1">
      <c r="A315" s="54" t="s">
        <v>289</v>
      </c>
      <c r="B315" s="56" t="s">
        <v>635</v>
      </c>
      <c r="C315" s="56" t="s">
        <v>627</v>
      </c>
      <c r="D315" s="56" t="s">
        <v>636</v>
      </c>
      <c r="E315" s="56" t="s">
        <v>196</v>
      </c>
      <c r="F315" s="57" t="s">
        <v>154</v>
      </c>
      <c r="G315" s="61"/>
      <c r="H315" s="61" t="s">
        <v>200</v>
      </c>
      <c r="I315" s="62" t="s">
        <v>201</v>
      </c>
      <c r="J315" s="53"/>
    </row>
    <row r="316" ht="24.75" hidden="1" customHeight="1">
      <c r="A316" s="54" t="s">
        <v>289</v>
      </c>
      <c r="B316" s="56" t="s">
        <v>639</v>
      </c>
      <c r="C316" s="56" t="s">
        <v>640</v>
      </c>
      <c r="D316" s="56" t="s">
        <v>611</v>
      </c>
      <c r="E316" s="56" t="s">
        <v>612</v>
      </c>
      <c r="F316" s="57" t="s">
        <v>34</v>
      </c>
      <c r="G316" s="61"/>
      <c r="H316" s="79"/>
      <c r="I316" s="62"/>
      <c r="J316" s="53"/>
    </row>
    <row r="317" ht="24.75" hidden="1" customHeight="1">
      <c r="A317" s="54" t="s">
        <v>289</v>
      </c>
      <c r="B317" s="56" t="s">
        <v>639</v>
      </c>
      <c r="C317" s="56" t="s">
        <v>640</v>
      </c>
      <c r="D317" s="56" t="s">
        <v>611</v>
      </c>
      <c r="E317" s="56" t="s">
        <v>613</v>
      </c>
      <c r="F317" s="57" t="s">
        <v>34</v>
      </c>
      <c r="G317" s="61"/>
      <c r="H317" s="79"/>
      <c r="I317" s="62"/>
      <c r="J317" s="53"/>
    </row>
    <row r="318" ht="24.75" hidden="1" customHeight="1">
      <c r="A318" s="54" t="s">
        <v>289</v>
      </c>
      <c r="B318" s="56" t="s">
        <v>639</v>
      </c>
      <c r="C318" s="56" t="s">
        <v>640</v>
      </c>
      <c r="D318" s="56" t="s">
        <v>611</v>
      </c>
      <c r="E318" s="56" t="s">
        <v>614</v>
      </c>
      <c r="F318" s="57" t="s">
        <v>34</v>
      </c>
      <c r="G318" s="61"/>
      <c r="H318" s="79"/>
      <c r="I318" s="62" t="s">
        <v>615</v>
      </c>
      <c r="J318" s="53"/>
    </row>
    <row r="319" ht="24.75" hidden="1" customHeight="1">
      <c r="A319" s="54" t="s">
        <v>289</v>
      </c>
      <c r="B319" s="56" t="s">
        <v>639</v>
      </c>
      <c r="C319" s="56" t="s">
        <v>640</v>
      </c>
      <c r="D319" s="56" t="s">
        <v>611</v>
      </c>
      <c r="E319" s="56" t="s">
        <v>616</v>
      </c>
      <c r="F319" s="57" t="s">
        <v>154</v>
      </c>
      <c r="G319" s="61"/>
      <c r="H319" s="79"/>
      <c r="I319" s="62" t="s">
        <v>617</v>
      </c>
      <c r="J319" s="53"/>
    </row>
    <row r="320" ht="24.75" hidden="1" customHeight="1">
      <c r="A320" s="54" t="s">
        <v>289</v>
      </c>
      <c r="B320" s="56" t="s">
        <v>639</v>
      </c>
      <c r="C320" s="56" t="s">
        <v>640</v>
      </c>
      <c r="D320" s="56" t="s">
        <v>611</v>
      </c>
      <c r="E320" s="56" t="s">
        <v>618</v>
      </c>
      <c r="F320" s="57" t="s">
        <v>154</v>
      </c>
      <c r="G320" s="61"/>
      <c r="H320" s="79"/>
      <c r="I320" s="62" t="s">
        <v>617</v>
      </c>
      <c r="J320" s="53"/>
    </row>
    <row r="321" ht="24.75" hidden="1" customHeight="1">
      <c r="A321" s="54" t="s">
        <v>289</v>
      </c>
      <c r="B321" s="56" t="s">
        <v>641</v>
      </c>
      <c r="C321" s="56" t="s">
        <v>640</v>
      </c>
      <c r="D321" s="56" t="s">
        <v>620</v>
      </c>
      <c r="E321" s="56" t="s">
        <v>196</v>
      </c>
      <c r="F321" s="57" t="s">
        <v>192</v>
      </c>
      <c r="G321" s="61"/>
      <c r="H321" s="61" t="s">
        <v>287</v>
      </c>
      <c r="I321" s="62" t="s">
        <v>288</v>
      </c>
      <c r="J321" s="53"/>
    </row>
    <row r="322" ht="24.75" hidden="1" customHeight="1">
      <c r="A322" s="54" t="s">
        <v>289</v>
      </c>
      <c r="B322" s="56" t="s">
        <v>641</v>
      </c>
      <c r="C322" s="56" t="s">
        <v>640</v>
      </c>
      <c r="D322" s="56" t="s">
        <v>620</v>
      </c>
      <c r="E322" s="56" t="s">
        <v>621</v>
      </c>
      <c r="F322" s="57" t="s">
        <v>192</v>
      </c>
      <c r="G322" s="61"/>
      <c r="H322" s="79"/>
      <c r="I322" s="62"/>
      <c r="J322" s="53"/>
    </row>
    <row r="323" ht="24.75" hidden="1" customHeight="1">
      <c r="A323" s="54" t="s">
        <v>289</v>
      </c>
      <c r="B323" s="56" t="s">
        <v>641</v>
      </c>
      <c r="C323" s="56" t="s">
        <v>640</v>
      </c>
      <c r="D323" s="56" t="s">
        <v>620</v>
      </c>
      <c r="E323" s="56" t="s">
        <v>622</v>
      </c>
      <c r="F323" s="57" t="s">
        <v>154</v>
      </c>
      <c r="G323" s="61"/>
      <c r="H323" s="79"/>
      <c r="I323" s="62" t="s">
        <v>617</v>
      </c>
      <c r="J323" s="53"/>
    </row>
    <row r="324" ht="24.75" hidden="1" customHeight="1">
      <c r="A324" s="54" t="s">
        <v>289</v>
      </c>
      <c r="B324" s="56" t="s">
        <v>642</v>
      </c>
      <c r="C324" s="56" t="s">
        <v>640</v>
      </c>
      <c r="D324" s="56" t="s">
        <v>631</v>
      </c>
      <c r="E324" s="56" t="s">
        <v>191</v>
      </c>
      <c r="F324" s="57" t="s">
        <v>192</v>
      </c>
      <c r="G324" s="61"/>
      <c r="H324" s="79"/>
      <c r="I324" s="62"/>
      <c r="J324" s="53"/>
    </row>
    <row r="325" ht="24.75" hidden="1" customHeight="1">
      <c r="A325" s="54" t="s">
        <v>289</v>
      </c>
      <c r="B325" s="56" t="s">
        <v>642</v>
      </c>
      <c r="C325" s="56" t="s">
        <v>640</v>
      </c>
      <c r="D325" s="56" t="s">
        <v>631</v>
      </c>
      <c r="E325" s="56" t="s">
        <v>632</v>
      </c>
      <c r="F325" s="57" t="s">
        <v>34</v>
      </c>
      <c r="G325" s="61"/>
      <c r="H325" s="61" t="s">
        <v>197</v>
      </c>
      <c r="I325" s="62"/>
      <c r="J325" s="53"/>
    </row>
    <row r="326" ht="24.75" hidden="1" customHeight="1">
      <c r="A326" s="54" t="s">
        <v>289</v>
      </c>
      <c r="B326" s="56" t="s">
        <v>642</v>
      </c>
      <c r="C326" s="56" t="s">
        <v>640</v>
      </c>
      <c r="D326" s="56" t="s">
        <v>631</v>
      </c>
      <c r="E326" s="56" t="s">
        <v>633</v>
      </c>
      <c r="F326" s="57" t="s">
        <v>154</v>
      </c>
      <c r="G326" s="61"/>
      <c r="H326" s="79"/>
      <c r="I326" s="62"/>
      <c r="J326" s="53"/>
    </row>
    <row r="327" ht="24.75" hidden="1" customHeight="1">
      <c r="A327" s="54" t="s">
        <v>289</v>
      </c>
      <c r="B327" s="56" t="s">
        <v>642</v>
      </c>
      <c r="C327" s="56" t="s">
        <v>640</v>
      </c>
      <c r="D327" s="56" t="s">
        <v>631</v>
      </c>
      <c r="E327" s="56" t="s">
        <v>196</v>
      </c>
      <c r="F327" s="57" t="s">
        <v>154</v>
      </c>
      <c r="G327" s="61"/>
      <c r="H327" s="61" t="s">
        <v>200</v>
      </c>
      <c r="I327" s="62" t="s">
        <v>201</v>
      </c>
      <c r="J327" s="53"/>
    </row>
    <row r="328" ht="24.75" hidden="1" customHeight="1">
      <c r="A328" s="54" t="s">
        <v>289</v>
      </c>
      <c r="B328" s="56" t="s">
        <v>643</v>
      </c>
      <c r="C328" s="56" t="s">
        <v>640</v>
      </c>
      <c r="D328" s="56" t="s">
        <v>636</v>
      </c>
      <c r="E328" s="56" t="s">
        <v>191</v>
      </c>
      <c r="F328" s="57" t="s">
        <v>192</v>
      </c>
      <c r="G328" s="61"/>
      <c r="H328" s="79"/>
      <c r="I328" s="62"/>
      <c r="J328" s="53"/>
    </row>
    <row r="329" ht="24.75" hidden="1" customHeight="1">
      <c r="A329" s="54" t="s">
        <v>289</v>
      </c>
      <c r="B329" s="56" t="s">
        <v>643</v>
      </c>
      <c r="C329" s="56" t="s">
        <v>640</v>
      </c>
      <c r="D329" s="56" t="s">
        <v>636</v>
      </c>
      <c r="E329" s="56" t="s">
        <v>632</v>
      </c>
      <c r="F329" s="57" t="s">
        <v>34</v>
      </c>
      <c r="G329" s="61"/>
      <c r="H329" s="61" t="s">
        <v>197</v>
      </c>
      <c r="I329" s="62"/>
      <c r="J329" s="53"/>
    </row>
    <row r="330" ht="24.75" hidden="1" customHeight="1">
      <c r="A330" s="54" t="s">
        <v>289</v>
      </c>
      <c r="B330" s="56" t="s">
        <v>643</v>
      </c>
      <c r="C330" s="56" t="s">
        <v>640</v>
      </c>
      <c r="D330" s="56" t="s">
        <v>636</v>
      </c>
      <c r="E330" s="56" t="s">
        <v>633</v>
      </c>
      <c r="F330" s="57" t="s">
        <v>154</v>
      </c>
      <c r="G330" s="61"/>
      <c r="H330" s="79"/>
      <c r="I330" s="62"/>
      <c r="J330" s="53"/>
    </row>
    <row r="331" ht="24.75" hidden="1" customHeight="1">
      <c r="A331" s="54" t="s">
        <v>289</v>
      </c>
      <c r="B331" s="56" t="s">
        <v>643</v>
      </c>
      <c r="C331" s="56" t="s">
        <v>640</v>
      </c>
      <c r="D331" s="56" t="s">
        <v>636</v>
      </c>
      <c r="E331" s="56" t="s">
        <v>196</v>
      </c>
      <c r="F331" s="57" t="s">
        <v>154</v>
      </c>
      <c r="G331" s="61"/>
      <c r="H331" s="61" t="s">
        <v>200</v>
      </c>
      <c r="I331" s="62" t="s">
        <v>201</v>
      </c>
      <c r="J331" s="53"/>
    </row>
    <row r="332" ht="24.75" hidden="1" customHeight="1">
      <c r="A332" s="54" t="s">
        <v>289</v>
      </c>
      <c r="B332" s="56" t="s">
        <v>644</v>
      </c>
      <c r="C332" s="56" t="s">
        <v>645</v>
      </c>
      <c r="D332" s="56" t="s">
        <v>611</v>
      </c>
      <c r="E332" s="56" t="s">
        <v>612</v>
      </c>
      <c r="F332" s="57" t="s">
        <v>34</v>
      </c>
      <c r="G332" s="61"/>
      <c r="H332" s="79"/>
      <c r="I332" s="62"/>
      <c r="J332" s="53"/>
    </row>
    <row r="333" ht="24.75" hidden="1" customHeight="1">
      <c r="A333" s="54" t="s">
        <v>289</v>
      </c>
      <c r="B333" s="56" t="s">
        <v>644</v>
      </c>
      <c r="C333" s="56" t="s">
        <v>645</v>
      </c>
      <c r="D333" s="56" t="s">
        <v>611</v>
      </c>
      <c r="E333" s="56" t="s">
        <v>613</v>
      </c>
      <c r="F333" s="57" t="s">
        <v>34</v>
      </c>
      <c r="G333" s="61"/>
      <c r="H333" s="79"/>
      <c r="I333" s="62"/>
      <c r="J333" s="53"/>
    </row>
    <row r="334" ht="24.75" hidden="1" customHeight="1">
      <c r="A334" s="54" t="s">
        <v>289</v>
      </c>
      <c r="B334" s="56" t="s">
        <v>644</v>
      </c>
      <c r="C334" s="56" t="s">
        <v>645</v>
      </c>
      <c r="D334" s="56" t="s">
        <v>611</v>
      </c>
      <c r="E334" s="56" t="s">
        <v>614</v>
      </c>
      <c r="F334" s="57" t="s">
        <v>34</v>
      </c>
      <c r="G334" s="61"/>
      <c r="H334" s="79"/>
      <c r="I334" s="62" t="s">
        <v>615</v>
      </c>
      <c r="J334" s="53"/>
    </row>
    <row r="335" ht="24.75" hidden="1" customHeight="1">
      <c r="A335" s="54" t="s">
        <v>289</v>
      </c>
      <c r="B335" s="56" t="s">
        <v>644</v>
      </c>
      <c r="C335" s="56" t="s">
        <v>645</v>
      </c>
      <c r="D335" s="56" t="s">
        <v>611</v>
      </c>
      <c r="E335" s="56" t="s">
        <v>616</v>
      </c>
      <c r="F335" s="57" t="s">
        <v>154</v>
      </c>
      <c r="G335" s="61"/>
      <c r="H335" s="79"/>
      <c r="I335" s="62" t="s">
        <v>617</v>
      </c>
      <c r="J335" s="53"/>
    </row>
    <row r="336" ht="24.75" hidden="1" customHeight="1">
      <c r="A336" s="54" t="s">
        <v>289</v>
      </c>
      <c r="B336" s="56" t="s">
        <v>644</v>
      </c>
      <c r="C336" s="56" t="s">
        <v>645</v>
      </c>
      <c r="D336" s="56" t="s">
        <v>611</v>
      </c>
      <c r="E336" s="56" t="s">
        <v>618</v>
      </c>
      <c r="F336" s="57" t="s">
        <v>154</v>
      </c>
      <c r="G336" s="61"/>
      <c r="H336" s="79"/>
      <c r="I336" s="62" t="s">
        <v>617</v>
      </c>
      <c r="J336" s="53"/>
    </row>
    <row r="337" ht="24.75" hidden="1" customHeight="1">
      <c r="A337" s="54" t="s">
        <v>289</v>
      </c>
      <c r="B337" s="56" t="s">
        <v>646</v>
      </c>
      <c r="C337" s="56" t="s">
        <v>645</v>
      </c>
      <c r="D337" s="56" t="s">
        <v>620</v>
      </c>
      <c r="E337" s="56" t="s">
        <v>196</v>
      </c>
      <c r="F337" s="57" t="s">
        <v>192</v>
      </c>
      <c r="G337" s="61"/>
      <c r="H337" s="61" t="s">
        <v>287</v>
      </c>
      <c r="I337" s="62" t="s">
        <v>288</v>
      </c>
      <c r="J337" s="53"/>
    </row>
    <row r="338" ht="24.75" hidden="1" customHeight="1">
      <c r="A338" s="54" t="s">
        <v>289</v>
      </c>
      <c r="B338" s="56" t="s">
        <v>646</v>
      </c>
      <c r="C338" s="56" t="s">
        <v>645</v>
      </c>
      <c r="D338" s="56" t="s">
        <v>620</v>
      </c>
      <c r="E338" s="56" t="s">
        <v>621</v>
      </c>
      <c r="F338" s="57" t="s">
        <v>192</v>
      </c>
      <c r="G338" s="61"/>
      <c r="H338" s="79"/>
      <c r="I338" s="62"/>
      <c r="J338" s="53"/>
    </row>
    <row r="339" ht="24.75" hidden="1" customHeight="1">
      <c r="A339" s="54" t="s">
        <v>289</v>
      </c>
      <c r="B339" s="56" t="s">
        <v>646</v>
      </c>
      <c r="C339" s="56" t="s">
        <v>645</v>
      </c>
      <c r="D339" s="56" t="s">
        <v>620</v>
      </c>
      <c r="E339" s="56" t="s">
        <v>622</v>
      </c>
      <c r="F339" s="57" t="s">
        <v>154</v>
      </c>
      <c r="G339" s="61"/>
      <c r="H339" s="79"/>
      <c r="I339" s="62" t="s">
        <v>617</v>
      </c>
      <c r="J339" s="53"/>
    </row>
    <row r="340" ht="24.75" hidden="1" customHeight="1">
      <c r="A340" s="54" t="s">
        <v>289</v>
      </c>
      <c r="B340" s="56" t="s">
        <v>647</v>
      </c>
      <c r="C340" s="56" t="s">
        <v>645</v>
      </c>
      <c r="D340" s="56" t="s">
        <v>631</v>
      </c>
      <c r="E340" s="56" t="s">
        <v>191</v>
      </c>
      <c r="F340" s="57" t="s">
        <v>192</v>
      </c>
      <c r="G340" s="61"/>
      <c r="H340" s="79"/>
      <c r="I340" s="62"/>
      <c r="J340" s="53"/>
    </row>
    <row r="341" ht="24.75" hidden="1" customHeight="1">
      <c r="A341" s="54" t="s">
        <v>289</v>
      </c>
      <c r="B341" s="56" t="s">
        <v>647</v>
      </c>
      <c r="C341" s="56" t="s">
        <v>645</v>
      </c>
      <c r="D341" s="56" t="s">
        <v>631</v>
      </c>
      <c r="E341" s="56" t="s">
        <v>632</v>
      </c>
      <c r="F341" s="57" t="s">
        <v>34</v>
      </c>
      <c r="G341" s="61"/>
      <c r="H341" s="61" t="s">
        <v>197</v>
      </c>
      <c r="I341" s="62"/>
      <c r="J341" s="53"/>
    </row>
    <row r="342" ht="24.75" hidden="1" customHeight="1">
      <c r="A342" s="54" t="s">
        <v>289</v>
      </c>
      <c r="B342" s="56" t="s">
        <v>647</v>
      </c>
      <c r="C342" s="56" t="s">
        <v>645</v>
      </c>
      <c r="D342" s="56" t="s">
        <v>631</v>
      </c>
      <c r="E342" s="56" t="s">
        <v>633</v>
      </c>
      <c r="F342" s="57" t="s">
        <v>154</v>
      </c>
      <c r="G342" s="50"/>
      <c r="H342" s="79"/>
      <c r="I342" s="62"/>
      <c r="J342" s="53"/>
    </row>
    <row r="343" ht="24.75" hidden="1" customHeight="1">
      <c r="A343" s="54" t="s">
        <v>289</v>
      </c>
      <c r="B343" s="56" t="s">
        <v>647</v>
      </c>
      <c r="C343" s="56" t="s">
        <v>645</v>
      </c>
      <c r="D343" s="56" t="s">
        <v>631</v>
      </c>
      <c r="E343" s="56" t="s">
        <v>196</v>
      </c>
      <c r="F343" s="57" t="s">
        <v>154</v>
      </c>
      <c r="G343" s="61"/>
      <c r="H343" s="61" t="s">
        <v>200</v>
      </c>
      <c r="I343" s="62" t="s">
        <v>201</v>
      </c>
      <c r="J343" s="53"/>
    </row>
    <row r="344" ht="24.75" hidden="1" customHeight="1">
      <c r="A344" s="54" t="s">
        <v>289</v>
      </c>
      <c r="B344" s="56" t="s">
        <v>648</v>
      </c>
      <c r="C344" s="56" t="s">
        <v>645</v>
      </c>
      <c r="D344" s="56" t="s">
        <v>636</v>
      </c>
      <c r="E344" s="56" t="s">
        <v>191</v>
      </c>
      <c r="F344" s="57" t="s">
        <v>192</v>
      </c>
      <c r="G344" s="61"/>
      <c r="H344" s="79"/>
      <c r="I344" s="62"/>
      <c r="J344" s="53"/>
    </row>
    <row r="345" ht="24.75" hidden="1" customHeight="1">
      <c r="A345" s="54" t="s">
        <v>289</v>
      </c>
      <c r="B345" s="56" t="s">
        <v>648</v>
      </c>
      <c r="C345" s="56" t="s">
        <v>645</v>
      </c>
      <c r="D345" s="56" t="s">
        <v>636</v>
      </c>
      <c r="E345" s="56" t="s">
        <v>632</v>
      </c>
      <c r="F345" s="57" t="s">
        <v>34</v>
      </c>
      <c r="G345" s="61"/>
      <c r="H345" s="61" t="s">
        <v>197</v>
      </c>
      <c r="I345" s="62"/>
      <c r="J345" s="53"/>
    </row>
    <row r="346" ht="24.75" hidden="1" customHeight="1">
      <c r="A346" s="54" t="s">
        <v>289</v>
      </c>
      <c r="B346" s="56" t="s">
        <v>648</v>
      </c>
      <c r="C346" s="56" t="s">
        <v>645</v>
      </c>
      <c r="D346" s="56" t="s">
        <v>636</v>
      </c>
      <c r="E346" s="56" t="s">
        <v>633</v>
      </c>
      <c r="F346" s="57" t="s">
        <v>154</v>
      </c>
      <c r="G346" s="61"/>
      <c r="H346" s="79"/>
      <c r="I346" s="62"/>
      <c r="J346" s="53"/>
    </row>
    <row r="347" ht="24.75" hidden="1" customHeight="1">
      <c r="A347" s="54" t="s">
        <v>289</v>
      </c>
      <c r="B347" s="56" t="s">
        <v>648</v>
      </c>
      <c r="C347" s="56" t="s">
        <v>645</v>
      </c>
      <c r="D347" s="56" t="s">
        <v>636</v>
      </c>
      <c r="E347" s="56" t="s">
        <v>196</v>
      </c>
      <c r="F347" s="57" t="s">
        <v>154</v>
      </c>
      <c r="G347" s="61"/>
      <c r="H347" s="61" t="s">
        <v>200</v>
      </c>
      <c r="I347" s="62" t="s">
        <v>201</v>
      </c>
      <c r="J347" s="53"/>
    </row>
    <row r="348" ht="24.75" hidden="1" customHeight="1">
      <c r="A348" s="54" t="s">
        <v>289</v>
      </c>
      <c r="B348" s="56" t="s">
        <v>649</v>
      </c>
      <c r="C348" s="56" t="s">
        <v>606</v>
      </c>
      <c r="D348" s="56" t="s">
        <v>611</v>
      </c>
      <c r="E348" s="56" t="s">
        <v>612</v>
      </c>
      <c r="F348" s="57" t="s">
        <v>34</v>
      </c>
      <c r="G348" s="61"/>
      <c r="H348" s="79"/>
      <c r="I348" s="62"/>
      <c r="J348" s="53"/>
    </row>
    <row r="349" ht="24.75" hidden="1" customHeight="1">
      <c r="A349" s="54" t="s">
        <v>289</v>
      </c>
      <c r="B349" s="56" t="s">
        <v>649</v>
      </c>
      <c r="C349" s="56" t="s">
        <v>606</v>
      </c>
      <c r="D349" s="56" t="s">
        <v>611</v>
      </c>
      <c r="E349" s="56" t="s">
        <v>613</v>
      </c>
      <c r="F349" s="57" t="s">
        <v>34</v>
      </c>
      <c r="G349" s="61"/>
      <c r="H349" s="79"/>
      <c r="I349" s="62"/>
      <c r="J349" s="53"/>
    </row>
    <row r="350" ht="24.75" hidden="1" customHeight="1">
      <c r="A350" s="54" t="s">
        <v>289</v>
      </c>
      <c r="B350" s="56" t="s">
        <v>649</v>
      </c>
      <c r="C350" s="56" t="s">
        <v>606</v>
      </c>
      <c r="D350" s="56" t="s">
        <v>611</v>
      </c>
      <c r="E350" s="56" t="s">
        <v>614</v>
      </c>
      <c r="F350" s="57" t="s">
        <v>34</v>
      </c>
      <c r="G350" s="61"/>
      <c r="H350" s="79"/>
      <c r="I350" s="62" t="s">
        <v>615</v>
      </c>
      <c r="J350" s="53"/>
    </row>
    <row r="351" ht="24.75" hidden="1" customHeight="1">
      <c r="A351" s="54" t="s">
        <v>289</v>
      </c>
      <c r="B351" s="56" t="s">
        <v>649</v>
      </c>
      <c r="C351" s="56" t="s">
        <v>606</v>
      </c>
      <c r="D351" s="56" t="s">
        <v>611</v>
      </c>
      <c r="E351" s="56" t="s">
        <v>616</v>
      </c>
      <c r="F351" s="57" t="s">
        <v>154</v>
      </c>
      <c r="G351" s="61"/>
      <c r="H351" s="79"/>
      <c r="I351" s="62" t="s">
        <v>617</v>
      </c>
      <c r="J351" s="53"/>
    </row>
    <row r="352" ht="24.75" hidden="1" customHeight="1">
      <c r="A352" s="54" t="s">
        <v>289</v>
      </c>
      <c r="B352" s="56" t="s">
        <v>649</v>
      </c>
      <c r="C352" s="56" t="s">
        <v>606</v>
      </c>
      <c r="D352" s="56" t="s">
        <v>611</v>
      </c>
      <c r="E352" s="56" t="s">
        <v>618</v>
      </c>
      <c r="F352" s="57" t="s">
        <v>154</v>
      </c>
      <c r="G352" s="61"/>
      <c r="H352" s="79"/>
      <c r="I352" s="62" t="s">
        <v>617</v>
      </c>
      <c r="J352" s="53"/>
    </row>
    <row r="353" ht="24.75" hidden="1" customHeight="1">
      <c r="A353" s="54" t="s">
        <v>289</v>
      </c>
      <c r="B353" s="56" t="s">
        <v>650</v>
      </c>
      <c r="C353" s="56" t="s">
        <v>606</v>
      </c>
      <c r="D353" s="56" t="s">
        <v>651</v>
      </c>
      <c r="E353" s="56" t="s">
        <v>196</v>
      </c>
      <c r="F353" s="57" t="s">
        <v>192</v>
      </c>
      <c r="G353" s="61"/>
      <c r="H353" s="61" t="s">
        <v>287</v>
      </c>
      <c r="I353" s="62" t="s">
        <v>288</v>
      </c>
      <c r="J353" s="53"/>
    </row>
    <row r="354" ht="24.75" hidden="1" customHeight="1">
      <c r="A354" s="54" t="s">
        <v>289</v>
      </c>
      <c r="B354" s="56" t="s">
        <v>650</v>
      </c>
      <c r="C354" s="56" t="s">
        <v>606</v>
      </c>
      <c r="D354" s="56" t="s">
        <v>651</v>
      </c>
      <c r="E354" s="56" t="s">
        <v>621</v>
      </c>
      <c r="F354" s="57" t="s">
        <v>192</v>
      </c>
      <c r="G354" s="61"/>
      <c r="H354" s="79"/>
      <c r="I354" s="62"/>
      <c r="J354" s="53"/>
    </row>
    <row r="355" ht="24.75" hidden="1" customHeight="1">
      <c r="A355" s="54" t="s">
        <v>289</v>
      </c>
      <c r="B355" s="56" t="s">
        <v>650</v>
      </c>
      <c r="C355" s="56" t="s">
        <v>606</v>
      </c>
      <c r="D355" s="56" t="s">
        <v>651</v>
      </c>
      <c r="E355" s="56" t="s">
        <v>622</v>
      </c>
      <c r="F355" s="57" t="s">
        <v>154</v>
      </c>
      <c r="G355" s="61"/>
      <c r="H355" s="79"/>
      <c r="I355" s="62" t="s">
        <v>617</v>
      </c>
      <c r="J355" s="53"/>
    </row>
    <row r="356" ht="24.75" hidden="1" customHeight="1">
      <c r="A356" s="54" t="s">
        <v>289</v>
      </c>
      <c r="B356" s="56" t="s">
        <v>654</v>
      </c>
      <c r="C356" s="56" t="s">
        <v>606</v>
      </c>
      <c r="D356" s="56" t="s">
        <v>655</v>
      </c>
      <c r="E356" s="56" t="s">
        <v>191</v>
      </c>
      <c r="F356" s="57" t="s">
        <v>192</v>
      </c>
      <c r="G356" s="61"/>
      <c r="H356" s="79"/>
      <c r="I356" s="62"/>
      <c r="J356" s="53"/>
    </row>
    <row r="357" ht="24.75" hidden="1" customHeight="1">
      <c r="A357" s="54" t="s">
        <v>289</v>
      </c>
      <c r="B357" s="56" t="s">
        <v>654</v>
      </c>
      <c r="C357" s="56" t="s">
        <v>606</v>
      </c>
      <c r="D357" s="56" t="s">
        <v>655</v>
      </c>
      <c r="E357" s="56" t="s">
        <v>632</v>
      </c>
      <c r="F357" s="57" t="s">
        <v>34</v>
      </c>
      <c r="G357" s="61"/>
      <c r="H357" s="61" t="s">
        <v>197</v>
      </c>
      <c r="I357" s="62"/>
      <c r="J357" s="53"/>
    </row>
    <row r="358" ht="24.75" hidden="1" customHeight="1">
      <c r="A358" s="54" t="s">
        <v>289</v>
      </c>
      <c r="B358" s="56" t="s">
        <v>654</v>
      </c>
      <c r="C358" s="56" t="s">
        <v>606</v>
      </c>
      <c r="D358" s="56" t="s">
        <v>655</v>
      </c>
      <c r="E358" s="56" t="s">
        <v>633</v>
      </c>
      <c r="F358" s="57" t="s">
        <v>154</v>
      </c>
      <c r="G358" s="61"/>
      <c r="H358" s="79"/>
      <c r="I358" s="62"/>
      <c r="J358" s="53"/>
    </row>
    <row r="359" ht="24.75" hidden="1" customHeight="1">
      <c r="A359" s="54" t="s">
        <v>289</v>
      </c>
      <c r="B359" s="56" t="s">
        <v>654</v>
      </c>
      <c r="C359" s="56" t="s">
        <v>606</v>
      </c>
      <c r="D359" s="56" t="s">
        <v>655</v>
      </c>
      <c r="E359" s="56" t="s">
        <v>196</v>
      </c>
      <c r="F359" s="57" t="s">
        <v>154</v>
      </c>
      <c r="G359" s="61"/>
      <c r="H359" s="61" t="s">
        <v>200</v>
      </c>
      <c r="I359" s="62" t="s">
        <v>201</v>
      </c>
      <c r="J359" s="53"/>
    </row>
    <row r="360" ht="24.75" hidden="1" customHeight="1">
      <c r="A360" s="54" t="s">
        <v>289</v>
      </c>
      <c r="B360" s="56" t="s">
        <v>656</v>
      </c>
      <c r="C360" s="56" t="s">
        <v>606</v>
      </c>
      <c r="D360" s="56" t="s">
        <v>657</v>
      </c>
      <c r="E360" s="56" t="s">
        <v>191</v>
      </c>
      <c r="F360" s="57" t="s">
        <v>192</v>
      </c>
      <c r="G360" s="61"/>
      <c r="H360" s="79"/>
      <c r="I360" s="62"/>
      <c r="J360" s="53"/>
    </row>
    <row r="361" ht="24.75" hidden="1" customHeight="1">
      <c r="A361" s="54" t="s">
        <v>289</v>
      </c>
      <c r="B361" s="56" t="s">
        <v>656</v>
      </c>
      <c r="C361" s="56" t="s">
        <v>606</v>
      </c>
      <c r="D361" s="56" t="s">
        <v>657</v>
      </c>
      <c r="E361" s="56" t="s">
        <v>632</v>
      </c>
      <c r="F361" s="57" t="s">
        <v>34</v>
      </c>
      <c r="G361" s="61"/>
      <c r="H361" s="61" t="s">
        <v>197</v>
      </c>
      <c r="I361" s="62"/>
      <c r="J361" s="53"/>
    </row>
    <row r="362" ht="24.75" hidden="1" customHeight="1">
      <c r="A362" s="54" t="s">
        <v>289</v>
      </c>
      <c r="B362" s="56" t="s">
        <v>656</v>
      </c>
      <c r="C362" s="56" t="s">
        <v>606</v>
      </c>
      <c r="D362" s="56" t="s">
        <v>657</v>
      </c>
      <c r="E362" s="56" t="s">
        <v>633</v>
      </c>
      <c r="F362" s="57" t="s">
        <v>154</v>
      </c>
      <c r="G362" s="61"/>
      <c r="H362" s="79"/>
      <c r="I362" s="62"/>
      <c r="J362" s="53"/>
    </row>
    <row r="363" ht="24.75" hidden="1" customHeight="1">
      <c r="A363" s="54" t="s">
        <v>289</v>
      </c>
      <c r="B363" s="56" t="s">
        <v>656</v>
      </c>
      <c r="C363" s="56" t="s">
        <v>606</v>
      </c>
      <c r="D363" s="56" t="s">
        <v>657</v>
      </c>
      <c r="E363" s="56" t="s">
        <v>196</v>
      </c>
      <c r="F363" s="57" t="s">
        <v>154</v>
      </c>
      <c r="G363" s="61"/>
      <c r="H363" s="61" t="s">
        <v>200</v>
      </c>
      <c r="I363" s="62" t="s">
        <v>201</v>
      </c>
      <c r="J363" s="53"/>
    </row>
    <row r="364" ht="24.75" hidden="1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661</v>
      </c>
      <c r="F364" s="57" t="s">
        <v>34</v>
      </c>
      <c r="G364" s="61"/>
      <c r="H364" s="79"/>
      <c r="I364" s="62"/>
      <c r="J364" s="53"/>
    </row>
    <row r="365" ht="24.75" hidden="1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662</v>
      </c>
      <c r="F365" s="57" t="s">
        <v>34</v>
      </c>
      <c r="G365" s="61"/>
      <c r="H365" s="79"/>
      <c r="I365" s="62"/>
      <c r="J365" s="53"/>
    </row>
    <row r="366" ht="24.75" hidden="1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663</v>
      </c>
      <c r="F366" s="57" t="s">
        <v>34</v>
      </c>
      <c r="G366" s="61"/>
      <c r="H366" s="79"/>
      <c r="I366" s="62"/>
      <c r="J366" s="53"/>
    </row>
    <row r="367" ht="24.75" hidden="1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664</v>
      </c>
      <c r="F367" s="57" t="s">
        <v>34</v>
      </c>
      <c r="G367" s="61"/>
      <c r="H367" s="79"/>
      <c r="I367" s="62"/>
      <c r="J367" s="53"/>
    </row>
    <row r="368" ht="24.75" hidden="1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665</v>
      </c>
      <c r="F368" s="57" t="s">
        <v>34</v>
      </c>
      <c r="G368" s="61"/>
      <c r="H368" s="79"/>
      <c r="I368" s="62"/>
      <c r="J368" s="53"/>
    </row>
    <row r="369" ht="24.75" hidden="1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614</v>
      </c>
      <c r="F369" s="57" t="s">
        <v>34</v>
      </c>
      <c r="G369" s="61"/>
      <c r="H369" s="79"/>
      <c r="I369" s="62"/>
      <c r="J369" s="53"/>
    </row>
    <row r="370" ht="24.75" hidden="1" customHeight="1">
      <c r="A370" s="54" t="s">
        <v>658</v>
      </c>
      <c r="B370" s="56" t="s">
        <v>659</v>
      </c>
      <c r="C370" s="56" t="s">
        <v>610</v>
      </c>
      <c r="D370" s="56" t="s">
        <v>660</v>
      </c>
      <c r="E370" s="56" t="s">
        <v>666</v>
      </c>
      <c r="F370" s="57" t="s">
        <v>34</v>
      </c>
      <c r="G370" s="61"/>
      <c r="H370" s="79"/>
      <c r="I370" s="62"/>
      <c r="J370" s="53"/>
    </row>
    <row r="371" ht="24.75" hidden="1" customHeight="1">
      <c r="A371" s="54" t="s">
        <v>658</v>
      </c>
      <c r="B371" s="56" t="s">
        <v>659</v>
      </c>
      <c r="C371" s="56" t="s">
        <v>610</v>
      </c>
      <c r="D371" s="56" t="s">
        <v>660</v>
      </c>
      <c r="E371" s="56" t="s">
        <v>667</v>
      </c>
      <c r="F371" s="57" t="s">
        <v>34</v>
      </c>
      <c r="G371" s="61"/>
      <c r="H371" s="79"/>
      <c r="I371" s="62"/>
      <c r="J371" s="53"/>
    </row>
    <row r="372" ht="24.75" hidden="1" customHeight="1">
      <c r="A372" s="54" t="s">
        <v>658</v>
      </c>
      <c r="B372" s="56" t="s">
        <v>659</v>
      </c>
      <c r="C372" s="56" t="s">
        <v>610</v>
      </c>
      <c r="D372" s="56" t="s">
        <v>660</v>
      </c>
      <c r="E372" s="56" t="s">
        <v>668</v>
      </c>
      <c r="F372" s="57" t="s">
        <v>154</v>
      </c>
      <c r="G372" s="61"/>
      <c r="H372" s="79"/>
      <c r="I372" s="62" t="s">
        <v>617</v>
      </c>
      <c r="J372" s="53"/>
    </row>
    <row r="373" ht="24.75" hidden="1" customHeight="1">
      <c r="A373" s="54" t="s">
        <v>658</v>
      </c>
      <c r="B373" s="56" t="s">
        <v>659</v>
      </c>
      <c r="C373" s="56" t="s">
        <v>610</v>
      </c>
      <c r="D373" s="56" t="s">
        <v>660</v>
      </c>
      <c r="E373" s="56" t="s">
        <v>669</v>
      </c>
      <c r="F373" s="57" t="s">
        <v>154</v>
      </c>
      <c r="G373" s="61"/>
      <c r="H373" s="79"/>
      <c r="I373" s="62" t="s">
        <v>617</v>
      </c>
      <c r="J373" s="53"/>
    </row>
    <row r="374" ht="24.75" hidden="1" customHeight="1">
      <c r="A374" s="54" t="s">
        <v>658</v>
      </c>
      <c r="B374" s="56" t="s">
        <v>659</v>
      </c>
      <c r="C374" s="56" t="s">
        <v>610</v>
      </c>
      <c r="D374" s="56" t="s">
        <v>660</v>
      </c>
      <c r="E374" s="56" t="s">
        <v>671</v>
      </c>
      <c r="F374" s="57" t="s">
        <v>154</v>
      </c>
      <c r="G374" s="61"/>
      <c r="H374" s="79"/>
      <c r="I374" s="62" t="s">
        <v>617</v>
      </c>
      <c r="J374" s="53"/>
    </row>
    <row r="375" ht="24.75" hidden="1" customHeight="1">
      <c r="A375" s="54" t="s">
        <v>658</v>
      </c>
      <c r="B375" s="56" t="s">
        <v>659</v>
      </c>
      <c r="C375" s="56" t="s">
        <v>610</v>
      </c>
      <c r="D375" s="56" t="s">
        <v>660</v>
      </c>
      <c r="E375" s="56" t="s">
        <v>672</v>
      </c>
      <c r="F375" s="57" t="s">
        <v>154</v>
      </c>
      <c r="G375" s="61"/>
      <c r="H375" s="79"/>
      <c r="I375" s="62" t="s">
        <v>617</v>
      </c>
      <c r="J375" s="53"/>
    </row>
    <row r="376" ht="24.75" hidden="1" customHeight="1">
      <c r="A376" s="54" t="s">
        <v>658</v>
      </c>
      <c r="B376" s="56" t="s">
        <v>659</v>
      </c>
      <c r="C376" s="56" t="s">
        <v>610</v>
      </c>
      <c r="D376" s="56" t="s">
        <v>660</v>
      </c>
      <c r="E376" s="56" t="s">
        <v>673</v>
      </c>
      <c r="F376" s="57" t="s">
        <v>154</v>
      </c>
      <c r="G376" s="61"/>
      <c r="H376" s="79"/>
      <c r="I376" s="62" t="s">
        <v>617</v>
      </c>
      <c r="J376" s="53"/>
    </row>
    <row r="377" ht="24.75" hidden="1" customHeight="1">
      <c r="A377" s="54" t="s">
        <v>658</v>
      </c>
      <c r="B377" s="56" t="s">
        <v>674</v>
      </c>
      <c r="C377" s="56" t="s">
        <v>610</v>
      </c>
      <c r="D377" s="56" t="s">
        <v>675</v>
      </c>
      <c r="E377" s="56" t="s">
        <v>676</v>
      </c>
      <c r="F377" s="57" t="s">
        <v>34</v>
      </c>
      <c r="G377" s="61"/>
      <c r="H377" s="79"/>
      <c r="I377" s="62"/>
      <c r="J377" s="53"/>
    </row>
    <row r="378" ht="24.75" hidden="1" customHeight="1">
      <c r="A378" s="54" t="s">
        <v>658</v>
      </c>
      <c r="B378" s="56" t="s">
        <v>677</v>
      </c>
      <c r="C378" s="56" t="s">
        <v>610</v>
      </c>
      <c r="D378" s="56" t="s">
        <v>678</v>
      </c>
      <c r="E378" s="56" t="s">
        <v>679</v>
      </c>
      <c r="F378" s="57" t="s">
        <v>34</v>
      </c>
      <c r="G378" s="61"/>
      <c r="H378" s="61" t="s">
        <v>681</v>
      </c>
      <c r="I378" s="62"/>
      <c r="J378" s="53"/>
    </row>
    <row r="379" ht="24.75" hidden="1" customHeight="1">
      <c r="A379" s="54" t="s">
        <v>658</v>
      </c>
      <c r="B379" s="56" t="s">
        <v>677</v>
      </c>
      <c r="C379" s="56" t="s">
        <v>610</v>
      </c>
      <c r="D379" s="56" t="s">
        <v>678</v>
      </c>
      <c r="E379" s="56" t="s">
        <v>680</v>
      </c>
      <c r="F379" s="57" t="s">
        <v>34</v>
      </c>
      <c r="G379" s="61"/>
      <c r="H379" s="79"/>
      <c r="I379" s="62"/>
      <c r="J379" s="53"/>
    </row>
    <row r="380" ht="24.75" hidden="1" customHeight="1">
      <c r="A380" s="54" t="s">
        <v>658</v>
      </c>
      <c r="B380" s="56" t="s">
        <v>677</v>
      </c>
      <c r="C380" s="56" t="s">
        <v>610</v>
      </c>
      <c r="D380" s="56" t="s">
        <v>678</v>
      </c>
      <c r="E380" s="56" t="s">
        <v>682</v>
      </c>
      <c r="F380" s="57" t="s">
        <v>34</v>
      </c>
      <c r="G380" s="61"/>
      <c r="H380" s="79"/>
      <c r="I380" s="62"/>
      <c r="J380" s="53"/>
    </row>
    <row r="381" ht="24.75" hidden="1" customHeight="1">
      <c r="A381" s="54" t="s">
        <v>658</v>
      </c>
      <c r="B381" s="56" t="s">
        <v>677</v>
      </c>
      <c r="C381" s="56" t="s">
        <v>610</v>
      </c>
      <c r="D381" s="56" t="s">
        <v>678</v>
      </c>
      <c r="E381" s="56" t="s">
        <v>683</v>
      </c>
      <c r="F381" s="57" t="s">
        <v>34</v>
      </c>
      <c r="G381" s="61"/>
      <c r="H381" s="79"/>
      <c r="I381" s="62"/>
      <c r="J381" s="53"/>
    </row>
    <row r="382" ht="24.75" hidden="1" customHeight="1">
      <c r="A382" s="54" t="s">
        <v>658</v>
      </c>
      <c r="B382" s="56" t="s">
        <v>677</v>
      </c>
      <c r="C382" s="56" t="s">
        <v>610</v>
      </c>
      <c r="D382" s="56" t="s">
        <v>678</v>
      </c>
      <c r="E382" s="56" t="s">
        <v>684</v>
      </c>
      <c r="F382" s="57" t="s">
        <v>154</v>
      </c>
      <c r="G382" s="61"/>
      <c r="H382" s="61" t="s">
        <v>686</v>
      </c>
      <c r="I382" s="62" t="s">
        <v>687</v>
      </c>
      <c r="J382" s="53"/>
    </row>
    <row r="383" ht="24.75" hidden="1" customHeight="1">
      <c r="A383" s="54" t="s">
        <v>658</v>
      </c>
      <c r="B383" s="56" t="s">
        <v>677</v>
      </c>
      <c r="C383" s="56" t="s">
        <v>610</v>
      </c>
      <c r="D383" s="56" t="s">
        <v>678</v>
      </c>
      <c r="E383" s="56" t="s">
        <v>685</v>
      </c>
      <c r="F383" s="57" t="s">
        <v>154</v>
      </c>
      <c r="G383" s="61"/>
      <c r="H383" s="61" t="s">
        <v>200</v>
      </c>
      <c r="I383" s="62" t="s">
        <v>689</v>
      </c>
      <c r="J383" s="53"/>
    </row>
    <row r="384" ht="24.75" hidden="1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661</v>
      </c>
      <c r="F384" s="57" t="s">
        <v>34</v>
      </c>
      <c r="G384" s="61"/>
      <c r="H384" s="79"/>
      <c r="I384" s="62"/>
      <c r="J384" s="53"/>
    </row>
    <row r="385" ht="24.75" hidden="1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662</v>
      </c>
      <c r="F385" s="57" t="s">
        <v>34</v>
      </c>
      <c r="G385" s="61"/>
      <c r="H385" s="79"/>
      <c r="I385" s="62"/>
      <c r="J385" s="53"/>
    </row>
    <row r="386" ht="24.75" hidden="1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663</v>
      </c>
      <c r="F386" s="57" t="s">
        <v>34</v>
      </c>
      <c r="G386" s="61"/>
      <c r="H386" s="79"/>
      <c r="I386" s="62"/>
      <c r="J386" s="53"/>
    </row>
    <row r="387" ht="24.75" hidden="1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664</v>
      </c>
      <c r="F387" s="57" t="s">
        <v>34</v>
      </c>
      <c r="G387" s="61"/>
      <c r="H387" s="79"/>
      <c r="I387" s="62"/>
      <c r="J387" s="53"/>
    </row>
    <row r="388" ht="24.75" hidden="1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665</v>
      </c>
      <c r="F388" s="57" t="s">
        <v>34</v>
      </c>
      <c r="G388" s="61"/>
      <c r="H388" s="79"/>
      <c r="I388" s="62"/>
      <c r="J388" s="53"/>
    </row>
    <row r="389" ht="24.75" hidden="1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614</v>
      </c>
      <c r="F389" s="57" t="s">
        <v>34</v>
      </c>
      <c r="G389" s="61"/>
      <c r="H389" s="79"/>
      <c r="I389" s="62"/>
      <c r="J389" s="53"/>
    </row>
    <row r="390" ht="24.75" hidden="1" customHeight="1">
      <c r="A390" s="54" t="s">
        <v>658</v>
      </c>
      <c r="B390" s="56" t="s">
        <v>688</v>
      </c>
      <c r="C390" s="56" t="s">
        <v>624</v>
      </c>
      <c r="D390" s="56" t="s">
        <v>660</v>
      </c>
      <c r="E390" s="56" t="s">
        <v>666</v>
      </c>
      <c r="F390" s="57" t="s">
        <v>34</v>
      </c>
      <c r="G390" s="61"/>
      <c r="H390" s="79"/>
      <c r="I390" s="62"/>
      <c r="J390" s="53"/>
    </row>
    <row r="391" ht="24.75" hidden="1" customHeight="1">
      <c r="A391" s="54" t="s">
        <v>658</v>
      </c>
      <c r="B391" s="56" t="s">
        <v>688</v>
      </c>
      <c r="C391" s="56" t="s">
        <v>624</v>
      </c>
      <c r="D391" s="56" t="s">
        <v>660</v>
      </c>
      <c r="E391" s="56" t="s">
        <v>667</v>
      </c>
      <c r="F391" s="57" t="s">
        <v>34</v>
      </c>
      <c r="G391" s="61"/>
      <c r="H391" s="79"/>
      <c r="I391" s="62"/>
      <c r="J391" s="53"/>
    </row>
    <row r="392" ht="24.75" hidden="1" customHeight="1">
      <c r="A392" s="54" t="s">
        <v>658</v>
      </c>
      <c r="B392" s="56" t="s">
        <v>688</v>
      </c>
      <c r="C392" s="56" t="s">
        <v>624</v>
      </c>
      <c r="D392" s="56" t="s">
        <v>660</v>
      </c>
      <c r="E392" s="56" t="s">
        <v>668</v>
      </c>
      <c r="F392" s="57" t="s">
        <v>154</v>
      </c>
      <c r="G392" s="61"/>
      <c r="H392" s="79"/>
      <c r="I392" s="62" t="s">
        <v>617</v>
      </c>
      <c r="J392" s="53"/>
    </row>
    <row r="393" ht="24.75" hidden="1" customHeight="1">
      <c r="A393" s="54" t="s">
        <v>658</v>
      </c>
      <c r="B393" s="56" t="s">
        <v>688</v>
      </c>
      <c r="C393" s="56" t="s">
        <v>624</v>
      </c>
      <c r="D393" s="56" t="s">
        <v>660</v>
      </c>
      <c r="E393" s="56" t="s">
        <v>669</v>
      </c>
      <c r="F393" s="57" t="s">
        <v>154</v>
      </c>
      <c r="G393" s="61"/>
      <c r="H393" s="79"/>
      <c r="I393" s="62" t="s">
        <v>617</v>
      </c>
      <c r="J393" s="53"/>
    </row>
    <row r="394" ht="24.75" hidden="1" customHeight="1">
      <c r="A394" s="54" t="s">
        <v>658</v>
      </c>
      <c r="B394" s="56" t="s">
        <v>688</v>
      </c>
      <c r="C394" s="56" t="s">
        <v>624</v>
      </c>
      <c r="D394" s="56" t="s">
        <v>660</v>
      </c>
      <c r="E394" s="56" t="s">
        <v>671</v>
      </c>
      <c r="F394" s="57" t="s">
        <v>154</v>
      </c>
      <c r="G394" s="61"/>
      <c r="H394" s="79"/>
      <c r="I394" s="62" t="s">
        <v>617</v>
      </c>
      <c r="J394" s="53"/>
    </row>
    <row r="395" ht="24.75" hidden="1" customHeight="1">
      <c r="A395" s="54" t="s">
        <v>658</v>
      </c>
      <c r="B395" s="56" t="s">
        <v>688</v>
      </c>
      <c r="C395" s="56" t="s">
        <v>624</v>
      </c>
      <c r="D395" s="56" t="s">
        <v>660</v>
      </c>
      <c r="E395" s="56" t="s">
        <v>672</v>
      </c>
      <c r="F395" s="57" t="s">
        <v>154</v>
      </c>
      <c r="G395" s="61"/>
      <c r="H395" s="79"/>
      <c r="I395" s="62" t="s">
        <v>617</v>
      </c>
      <c r="J395" s="53"/>
    </row>
    <row r="396" ht="24.75" hidden="1" customHeight="1">
      <c r="A396" s="54" t="s">
        <v>658</v>
      </c>
      <c r="B396" s="56" t="s">
        <v>688</v>
      </c>
      <c r="C396" s="56" t="s">
        <v>624</v>
      </c>
      <c r="D396" s="56" t="s">
        <v>660</v>
      </c>
      <c r="E396" s="56" t="s">
        <v>673</v>
      </c>
      <c r="F396" s="57" t="s">
        <v>154</v>
      </c>
      <c r="G396" s="61"/>
      <c r="H396" s="79"/>
      <c r="I396" s="62" t="s">
        <v>617</v>
      </c>
      <c r="J396" s="53"/>
    </row>
    <row r="397" ht="24.75" hidden="1" customHeight="1">
      <c r="A397" s="54" t="s">
        <v>658</v>
      </c>
      <c r="B397" s="56" t="s">
        <v>690</v>
      </c>
      <c r="C397" s="56" t="s">
        <v>624</v>
      </c>
      <c r="D397" s="56" t="s">
        <v>675</v>
      </c>
      <c r="E397" s="56" t="s">
        <v>676</v>
      </c>
      <c r="F397" s="57" t="s">
        <v>34</v>
      </c>
      <c r="G397" s="61"/>
      <c r="H397" s="79"/>
      <c r="I397" s="62"/>
      <c r="J397" s="53"/>
    </row>
    <row r="398" ht="24.75" hidden="1" customHeight="1">
      <c r="A398" s="54" t="s">
        <v>658</v>
      </c>
      <c r="B398" s="56" t="s">
        <v>691</v>
      </c>
      <c r="C398" s="56" t="s">
        <v>624</v>
      </c>
      <c r="D398" s="56" t="s">
        <v>678</v>
      </c>
      <c r="E398" s="56" t="s">
        <v>679</v>
      </c>
      <c r="F398" s="57" t="s">
        <v>34</v>
      </c>
      <c r="G398" s="61"/>
      <c r="H398" s="61" t="s">
        <v>681</v>
      </c>
      <c r="I398" s="62"/>
      <c r="J398" s="53"/>
    </row>
    <row r="399" ht="24.75" hidden="1" customHeight="1">
      <c r="A399" s="54" t="s">
        <v>658</v>
      </c>
      <c r="B399" s="56" t="s">
        <v>691</v>
      </c>
      <c r="C399" s="56" t="s">
        <v>624</v>
      </c>
      <c r="D399" s="56" t="s">
        <v>678</v>
      </c>
      <c r="E399" s="56" t="s">
        <v>680</v>
      </c>
      <c r="F399" s="57" t="s">
        <v>34</v>
      </c>
      <c r="G399" s="61"/>
      <c r="H399" s="79"/>
      <c r="I399" s="62"/>
      <c r="J399" s="53"/>
    </row>
    <row r="400" ht="24.75" hidden="1" customHeight="1">
      <c r="A400" s="54" t="s">
        <v>658</v>
      </c>
      <c r="B400" s="56" t="s">
        <v>691</v>
      </c>
      <c r="C400" s="56" t="s">
        <v>624</v>
      </c>
      <c r="D400" s="56" t="s">
        <v>678</v>
      </c>
      <c r="E400" s="56" t="s">
        <v>682</v>
      </c>
      <c r="F400" s="57" t="s">
        <v>34</v>
      </c>
      <c r="G400" s="61"/>
      <c r="H400" s="79"/>
      <c r="I400" s="62"/>
      <c r="J400" s="53"/>
    </row>
    <row r="401" ht="24.75" hidden="1" customHeight="1">
      <c r="A401" s="54" t="s">
        <v>658</v>
      </c>
      <c r="B401" s="56" t="s">
        <v>691</v>
      </c>
      <c r="C401" s="56" t="s">
        <v>624</v>
      </c>
      <c r="D401" s="56" t="s">
        <v>678</v>
      </c>
      <c r="E401" s="56" t="s">
        <v>683</v>
      </c>
      <c r="F401" s="57" t="s">
        <v>34</v>
      </c>
      <c r="G401" s="61"/>
      <c r="H401" s="79"/>
      <c r="I401" s="62"/>
      <c r="J401" s="53"/>
    </row>
    <row r="402" ht="24.75" hidden="1" customHeight="1">
      <c r="A402" s="54" t="s">
        <v>658</v>
      </c>
      <c r="B402" s="56" t="s">
        <v>691</v>
      </c>
      <c r="C402" s="56" t="s">
        <v>624</v>
      </c>
      <c r="D402" s="56" t="s">
        <v>678</v>
      </c>
      <c r="E402" s="56" t="s">
        <v>684</v>
      </c>
      <c r="F402" s="57" t="s">
        <v>154</v>
      </c>
      <c r="G402" s="61"/>
      <c r="H402" s="61" t="s">
        <v>686</v>
      </c>
      <c r="I402" s="62" t="s">
        <v>687</v>
      </c>
      <c r="J402" s="53"/>
    </row>
    <row r="403" ht="24.75" hidden="1" customHeight="1">
      <c r="A403" s="54" t="s">
        <v>658</v>
      </c>
      <c r="B403" s="56" t="s">
        <v>691</v>
      </c>
      <c r="C403" s="56" t="s">
        <v>624</v>
      </c>
      <c r="D403" s="56" t="s">
        <v>678</v>
      </c>
      <c r="E403" s="56" t="s">
        <v>685</v>
      </c>
      <c r="F403" s="57" t="s">
        <v>154</v>
      </c>
      <c r="G403" s="61"/>
      <c r="H403" s="61" t="s">
        <v>200</v>
      </c>
      <c r="I403" s="62" t="s">
        <v>689</v>
      </c>
      <c r="J403" s="53"/>
    </row>
    <row r="404" ht="24.75" hidden="1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661</v>
      </c>
      <c r="F404" s="57" t="s">
        <v>34</v>
      </c>
      <c r="G404" s="61"/>
      <c r="H404" s="79"/>
      <c r="I404" s="62"/>
      <c r="J404" s="53"/>
    </row>
    <row r="405" ht="24.75" hidden="1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662</v>
      </c>
      <c r="F405" s="57" t="s">
        <v>34</v>
      </c>
      <c r="G405" s="61"/>
      <c r="H405" s="79"/>
      <c r="I405" s="62"/>
      <c r="J405" s="53"/>
    </row>
    <row r="406" ht="24.75" hidden="1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663</v>
      </c>
      <c r="F406" s="57" t="s">
        <v>34</v>
      </c>
      <c r="G406" s="61"/>
      <c r="H406" s="79"/>
      <c r="I406" s="62"/>
      <c r="J406" s="53"/>
    </row>
    <row r="407" ht="24.75" hidden="1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664</v>
      </c>
      <c r="F407" s="57" t="s">
        <v>34</v>
      </c>
      <c r="G407" s="61"/>
      <c r="H407" s="79"/>
      <c r="I407" s="62"/>
      <c r="J407" s="53"/>
    </row>
    <row r="408" ht="24.75" hidden="1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665</v>
      </c>
      <c r="F408" s="57" t="s">
        <v>34</v>
      </c>
      <c r="G408" s="61"/>
      <c r="H408" s="79"/>
      <c r="I408" s="62"/>
      <c r="J408" s="53"/>
    </row>
    <row r="409" ht="24.75" hidden="1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614</v>
      </c>
      <c r="F409" s="57" t="s">
        <v>34</v>
      </c>
      <c r="G409" s="61"/>
      <c r="H409" s="79"/>
      <c r="I409" s="62"/>
      <c r="J409" s="53"/>
    </row>
    <row r="410" ht="24.75" hidden="1" customHeight="1">
      <c r="A410" s="54" t="s">
        <v>658</v>
      </c>
      <c r="B410" s="56" t="s">
        <v>692</v>
      </c>
      <c r="C410" s="56" t="s">
        <v>627</v>
      </c>
      <c r="D410" s="56" t="s">
        <v>660</v>
      </c>
      <c r="E410" s="56" t="s">
        <v>666</v>
      </c>
      <c r="F410" s="57" t="s">
        <v>34</v>
      </c>
      <c r="G410" s="61"/>
      <c r="H410" s="79"/>
      <c r="I410" s="62"/>
      <c r="J410" s="53"/>
    </row>
    <row r="411" ht="24.75" hidden="1" customHeight="1">
      <c r="A411" s="54" t="s">
        <v>658</v>
      </c>
      <c r="B411" s="56" t="s">
        <v>692</v>
      </c>
      <c r="C411" s="56" t="s">
        <v>627</v>
      </c>
      <c r="D411" s="56" t="s">
        <v>660</v>
      </c>
      <c r="E411" s="56" t="s">
        <v>667</v>
      </c>
      <c r="F411" s="57" t="s">
        <v>34</v>
      </c>
      <c r="G411" s="61"/>
      <c r="H411" s="79"/>
      <c r="I411" s="62"/>
      <c r="J411" s="53"/>
    </row>
    <row r="412" ht="24.75" hidden="1" customHeight="1">
      <c r="A412" s="54" t="s">
        <v>658</v>
      </c>
      <c r="B412" s="56" t="s">
        <v>692</v>
      </c>
      <c r="C412" s="56" t="s">
        <v>627</v>
      </c>
      <c r="D412" s="56" t="s">
        <v>660</v>
      </c>
      <c r="E412" s="56" t="s">
        <v>668</v>
      </c>
      <c r="F412" s="57" t="s">
        <v>154</v>
      </c>
      <c r="G412" s="61"/>
      <c r="H412" s="79"/>
      <c r="I412" s="62" t="s">
        <v>617</v>
      </c>
      <c r="J412" s="53"/>
    </row>
    <row r="413" ht="24.75" hidden="1" customHeight="1">
      <c r="A413" s="54" t="s">
        <v>658</v>
      </c>
      <c r="B413" s="56" t="s">
        <v>692</v>
      </c>
      <c r="C413" s="56" t="s">
        <v>627</v>
      </c>
      <c r="D413" s="56" t="s">
        <v>660</v>
      </c>
      <c r="E413" s="56" t="s">
        <v>669</v>
      </c>
      <c r="F413" s="57" t="s">
        <v>154</v>
      </c>
      <c r="G413" s="61"/>
      <c r="H413" s="79"/>
      <c r="I413" s="62" t="s">
        <v>617</v>
      </c>
      <c r="J413" s="53"/>
    </row>
    <row r="414" ht="24.75" hidden="1" customHeight="1">
      <c r="A414" s="54" t="s">
        <v>658</v>
      </c>
      <c r="B414" s="56" t="s">
        <v>692</v>
      </c>
      <c r="C414" s="56" t="s">
        <v>627</v>
      </c>
      <c r="D414" s="56" t="s">
        <v>660</v>
      </c>
      <c r="E414" s="56" t="s">
        <v>671</v>
      </c>
      <c r="F414" s="57" t="s">
        <v>154</v>
      </c>
      <c r="G414" s="61"/>
      <c r="H414" s="79"/>
      <c r="I414" s="62" t="s">
        <v>617</v>
      </c>
      <c r="J414" s="53"/>
    </row>
    <row r="415" ht="24.75" hidden="1" customHeight="1">
      <c r="A415" s="54" t="s">
        <v>658</v>
      </c>
      <c r="B415" s="56" t="s">
        <v>692</v>
      </c>
      <c r="C415" s="56" t="s">
        <v>627</v>
      </c>
      <c r="D415" s="56" t="s">
        <v>660</v>
      </c>
      <c r="E415" s="56" t="s">
        <v>672</v>
      </c>
      <c r="F415" s="57" t="s">
        <v>154</v>
      </c>
      <c r="G415" s="61"/>
      <c r="H415" s="79"/>
      <c r="I415" s="62" t="s">
        <v>617</v>
      </c>
      <c r="J415" s="53"/>
    </row>
    <row r="416" ht="24.75" hidden="1" customHeight="1">
      <c r="A416" s="54" t="s">
        <v>658</v>
      </c>
      <c r="B416" s="56" t="s">
        <v>692</v>
      </c>
      <c r="C416" s="56" t="s">
        <v>627</v>
      </c>
      <c r="D416" s="56" t="s">
        <v>660</v>
      </c>
      <c r="E416" s="56" t="s">
        <v>673</v>
      </c>
      <c r="F416" s="57" t="s">
        <v>154</v>
      </c>
      <c r="G416" s="61"/>
      <c r="H416" s="79"/>
      <c r="I416" s="62" t="s">
        <v>617</v>
      </c>
      <c r="J416" s="53"/>
    </row>
    <row r="417" ht="24.75" hidden="1" customHeight="1">
      <c r="A417" s="54" t="s">
        <v>658</v>
      </c>
      <c r="B417" s="56" t="s">
        <v>693</v>
      </c>
      <c r="C417" s="56" t="s">
        <v>627</v>
      </c>
      <c r="D417" s="56" t="s">
        <v>675</v>
      </c>
      <c r="E417" s="56" t="s">
        <v>676</v>
      </c>
      <c r="F417" s="57" t="s">
        <v>34</v>
      </c>
      <c r="G417" s="61"/>
      <c r="H417" s="79"/>
      <c r="I417" s="62"/>
      <c r="J417" s="53"/>
    </row>
    <row r="418" ht="24.75" hidden="1" customHeight="1">
      <c r="A418" s="54" t="s">
        <v>658</v>
      </c>
      <c r="B418" s="56" t="s">
        <v>694</v>
      </c>
      <c r="C418" s="56" t="s">
        <v>627</v>
      </c>
      <c r="D418" s="56" t="s">
        <v>678</v>
      </c>
      <c r="E418" s="56" t="s">
        <v>679</v>
      </c>
      <c r="F418" s="57" t="s">
        <v>34</v>
      </c>
      <c r="G418" s="61"/>
      <c r="H418" s="61" t="s">
        <v>197</v>
      </c>
      <c r="I418" s="62"/>
      <c r="J418" s="53"/>
    </row>
    <row r="419" ht="24.75" hidden="1" customHeight="1">
      <c r="A419" s="54" t="s">
        <v>658</v>
      </c>
      <c r="B419" s="56" t="s">
        <v>694</v>
      </c>
      <c r="C419" s="56" t="s">
        <v>627</v>
      </c>
      <c r="D419" s="56" t="s">
        <v>678</v>
      </c>
      <c r="E419" s="56" t="s">
        <v>680</v>
      </c>
      <c r="F419" s="57" t="s">
        <v>34</v>
      </c>
      <c r="G419" s="61"/>
      <c r="H419" s="79"/>
      <c r="I419" s="62"/>
      <c r="J419" s="53"/>
    </row>
    <row r="420" ht="24.75" hidden="1" customHeight="1">
      <c r="A420" s="54" t="s">
        <v>658</v>
      </c>
      <c r="B420" s="56" t="s">
        <v>694</v>
      </c>
      <c r="C420" s="56" t="s">
        <v>627</v>
      </c>
      <c r="D420" s="56" t="s">
        <v>678</v>
      </c>
      <c r="E420" s="56" t="s">
        <v>683</v>
      </c>
      <c r="F420" s="57" t="s">
        <v>34</v>
      </c>
      <c r="G420" s="61"/>
      <c r="H420" s="79"/>
      <c r="I420" s="62"/>
      <c r="J420" s="53"/>
    </row>
    <row r="421" ht="24.75" hidden="1" customHeight="1">
      <c r="A421" s="54" t="s">
        <v>658</v>
      </c>
      <c r="B421" s="56" t="s">
        <v>694</v>
      </c>
      <c r="C421" s="56" t="s">
        <v>627</v>
      </c>
      <c r="D421" s="56" t="s">
        <v>678</v>
      </c>
      <c r="E421" s="56" t="s">
        <v>684</v>
      </c>
      <c r="F421" s="57" t="s">
        <v>154</v>
      </c>
      <c r="G421" s="61"/>
      <c r="H421" s="61" t="s">
        <v>686</v>
      </c>
      <c r="I421" s="62" t="s">
        <v>687</v>
      </c>
      <c r="J421" s="53"/>
    </row>
    <row r="422" ht="24.75" hidden="1" customHeight="1">
      <c r="A422" s="54" t="s">
        <v>658</v>
      </c>
      <c r="B422" s="56" t="s">
        <v>694</v>
      </c>
      <c r="C422" s="56" t="s">
        <v>627</v>
      </c>
      <c r="D422" s="56" t="s">
        <v>678</v>
      </c>
      <c r="E422" s="56" t="s">
        <v>695</v>
      </c>
      <c r="F422" s="57" t="s">
        <v>154</v>
      </c>
      <c r="G422" s="61"/>
      <c r="H422" s="61" t="s">
        <v>346</v>
      </c>
      <c r="I422" s="62" t="s">
        <v>696</v>
      </c>
      <c r="J422" s="53"/>
    </row>
    <row r="423" ht="24.75" hidden="1" customHeight="1">
      <c r="A423" s="54" t="s">
        <v>658</v>
      </c>
      <c r="B423" s="56" t="s">
        <v>694</v>
      </c>
      <c r="C423" s="56" t="s">
        <v>627</v>
      </c>
      <c r="D423" s="56" t="s">
        <v>678</v>
      </c>
      <c r="E423" s="56" t="s">
        <v>685</v>
      </c>
      <c r="F423" s="57" t="s">
        <v>154</v>
      </c>
      <c r="G423" s="61"/>
      <c r="H423" s="61" t="s">
        <v>200</v>
      </c>
      <c r="I423" s="62" t="s">
        <v>689</v>
      </c>
      <c r="J423" s="53"/>
    </row>
    <row r="424" ht="24.75" hidden="1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661</v>
      </c>
      <c r="F424" s="57" t="s">
        <v>34</v>
      </c>
      <c r="G424" s="61"/>
      <c r="H424" s="79"/>
      <c r="I424" s="62"/>
      <c r="J424" s="53"/>
    </row>
    <row r="425" ht="24.75" hidden="1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662</v>
      </c>
      <c r="F425" s="57" t="s">
        <v>34</v>
      </c>
      <c r="G425" s="61"/>
      <c r="H425" s="79"/>
      <c r="I425" s="62"/>
      <c r="J425" s="53"/>
    </row>
    <row r="426" ht="24.75" hidden="1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663</v>
      </c>
      <c r="F426" s="57" t="s">
        <v>34</v>
      </c>
      <c r="G426" s="61"/>
      <c r="H426" s="79"/>
      <c r="I426" s="62"/>
      <c r="J426" s="53"/>
    </row>
    <row r="427" ht="24.75" hidden="1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664</v>
      </c>
      <c r="F427" s="57" t="s">
        <v>34</v>
      </c>
      <c r="G427" s="61"/>
      <c r="H427" s="79"/>
      <c r="I427" s="62"/>
      <c r="J427" s="53"/>
    </row>
    <row r="428" ht="24.75" hidden="1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665</v>
      </c>
      <c r="F428" s="57" t="s">
        <v>34</v>
      </c>
      <c r="G428" s="61"/>
      <c r="H428" s="79"/>
      <c r="I428" s="62"/>
      <c r="J428" s="53"/>
    </row>
    <row r="429" ht="24.75" hidden="1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614</v>
      </c>
      <c r="F429" s="57" t="s">
        <v>34</v>
      </c>
      <c r="G429" s="61"/>
      <c r="H429" s="79"/>
      <c r="I429" s="62"/>
      <c r="J429" s="53"/>
    </row>
    <row r="430" ht="24.75" hidden="1" customHeight="1">
      <c r="A430" s="54" t="s">
        <v>658</v>
      </c>
      <c r="B430" s="56" t="s">
        <v>697</v>
      </c>
      <c r="C430" s="56" t="s">
        <v>640</v>
      </c>
      <c r="D430" s="56" t="s">
        <v>660</v>
      </c>
      <c r="E430" s="56" t="s">
        <v>666</v>
      </c>
      <c r="F430" s="57" t="s">
        <v>34</v>
      </c>
      <c r="G430" s="61"/>
      <c r="H430" s="79"/>
      <c r="I430" s="62"/>
      <c r="J430" s="53"/>
    </row>
    <row r="431" ht="24.75" hidden="1" customHeight="1">
      <c r="A431" s="54" t="s">
        <v>658</v>
      </c>
      <c r="B431" s="56" t="s">
        <v>697</v>
      </c>
      <c r="C431" s="56" t="s">
        <v>640</v>
      </c>
      <c r="D431" s="56" t="s">
        <v>660</v>
      </c>
      <c r="E431" s="56" t="s">
        <v>667</v>
      </c>
      <c r="F431" s="57" t="s">
        <v>34</v>
      </c>
      <c r="G431" s="61"/>
      <c r="H431" s="79"/>
      <c r="I431" s="62"/>
      <c r="J431" s="53"/>
    </row>
    <row r="432" ht="24.75" hidden="1" customHeight="1">
      <c r="A432" s="54" t="s">
        <v>658</v>
      </c>
      <c r="B432" s="56" t="s">
        <v>697</v>
      </c>
      <c r="C432" s="56" t="s">
        <v>640</v>
      </c>
      <c r="D432" s="56" t="s">
        <v>660</v>
      </c>
      <c r="E432" s="56" t="s">
        <v>668</v>
      </c>
      <c r="F432" s="57" t="s">
        <v>154</v>
      </c>
      <c r="G432" s="61"/>
      <c r="H432" s="79"/>
      <c r="I432" s="62" t="s">
        <v>617</v>
      </c>
      <c r="J432" s="53"/>
    </row>
    <row r="433" ht="24.75" hidden="1" customHeight="1">
      <c r="A433" s="54" t="s">
        <v>658</v>
      </c>
      <c r="B433" s="56" t="s">
        <v>697</v>
      </c>
      <c r="C433" s="56" t="s">
        <v>640</v>
      </c>
      <c r="D433" s="56" t="s">
        <v>660</v>
      </c>
      <c r="E433" s="56" t="s">
        <v>669</v>
      </c>
      <c r="F433" s="57" t="s">
        <v>154</v>
      </c>
      <c r="G433" s="61"/>
      <c r="H433" s="79"/>
      <c r="I433" s="62" t="s">
        <v>617</v>
      </c>
      <c r="J433" s="53"/>
    </row>
    <row r="434" ht="24.75" hidden="1" customHeight="1">
      <c r="A434" s="54" t="s">
        <v>658</v>
      </c>
      <c r="B434" s="56" t="s">
        <v>697</v>
      </c>
      <c r="C434" s="56" t="s">
        <v>640</v>
      </c>
      <c r="D434" s="56" t="s">
        <v>660</v>
      </c>
      <c r="E434" s="56" t="s">
        <v>671</v>
      </c>
      <c r="F434" s="57" t="s">
        <v>154</v>
      </c>
      <c r="G434" s="61"/>
      <c r="H434" s="79"/>
      <c r="I434" s="62" t="s">
        <v>617</v>
      </c>
      <c r="J434" s="53"/>
    </row>
    <row r="435" ht="24.75" hidden="1" customHeight="1">
      <c r="A435" s="54" t="s">
        <v>658</v>
      </c>
      <c r="B435" s="56" t="s">
        <v>697</v>
      </c>
      <c r="C435" s="56" t="s">
        <v>640</v>
      </c>
      <c r="D435" s="56" t="s">
        <v>660</v>
      </c>
      <c r="E435" s="56" t="s">
        <v>672</v>
      </c>
      <c r="F435" s="57" t="s">
        <v>154</v>
      </c>
      <c r="G435" s="61"/>
      <c r="H435" s="79"/>
      <c r="I435" s="62" t="s">
        <v>617</v>
      </c>
      <c r="J435" s="53"/>
    </row>
    <row r="436" ht="24.75" hidden="1" customHeight="1">
      <c r="A436" s="54" t="s">
        <v>658</v>
      </c>
      <c r="B436" s="56" t="s">
        <v>697</v>
      </c>
      <c r="C436" s="56" t="s">
        <v>640</v>
      </c>
      <c r="D436" s="56" t="s">
        <v>660</v>
      </c>
      <c r="E436" s="56" t="s">
        <v>673</v>
      </c>
      <c r="F436" s="57" t="s">
        <v>154</v>
      </c>
      <c r="G436" s="61"/>
      <c r="H436" s="79"/>
      <c r="I436" s="62" t="s">
        <v>617</v>
      </c>
      <c r="J436" s="53"/>
    </row>
    <row r="437" ht="24.75" hidden="1" customHeight="1">
      <c r="A437" s="54" t="s">
        <v>658</v>
      </c>
      <c r="B437" s="56" t="s">
        <v>698</v>
      </c>
      <c r="C437" s="56" t="s">
        <v>640</v>
      </c>
      <c r="D437" s="56" t="s">
        <v>675</v>
      </c>
      <c r="E437" s="56" t="s">
        <v>676</v>
      </c>
      <c r="F437" s="57" t="s">
        <v>34</v>
      </c>
      <c r="G437" s="61"/>
      <c r="H437" s="79"/>
      <c r="I437" s="62"/>
      <c r="J437" s="53"/>
    </row>
    <row r="438" ht="24.75" hidden="1" customHeight="1">
      <c r="A438" s="54" t="s">
        <v>658</v>
      </c>
      <c r="B438" s="56" t="s">
        <v>699</v>
      </c>
      <c r="C438" s="56" t="s">
        <v>640</v>
      </c>
      <c r="D438" s="56" t="s">
        <v>678</v>
      </c>
      <c r="E438" s="56" t="s">
        <v>679</v>
      </c>
      <c r="F438" s="57" t="s">
        <v>34</v>
      </c>
      <c r="G438" s="61"/>
      <c r="H438" s="61" t="s">
        <v>197</v>
      </c>
      <c r="I438" s="62"/>
      <c r="J438" s="53"/>
    </row>
    <row r="439" ht="24.75" hidden="1" customHeight="1">
      <c r="A439" s="54" t="s">
        <v>658</v>
      </c>
      <c r="B439" s="56" t="s">
        <v>699</v>
      </c>
      <c r="C439" s="56" t="s">
        <v>640</v>
      </c>
      <c r="D439" s="56" t="s">
        <v>678</v>
      </c>
      <c r="E439" s="56" t="s">
        <v>680</v>
      </c>
      <c r="F439" s="57" t="s">
        <v>34</v>
      </c>
      <c r="G439" s="61"/>
      <c r="H439" s="79"/>
      <c r="I439" s="62"/>
      <c r="J439" s="53"/>
    </row>
    <row r="440" ht="24.75" hidden="1" customHeight="1">
      <c r="A440" s="54" t="s">
        <v>658</v>
      </c>
      <c r="B440" s="56" t="s">
        <v>699</v>
      </c>
      <c r="C440" s="56" t="s">
        <v>640</v>
      </c>
      <c r="D440" s="56" t="s">
        <v>678</v>
      </c>
      <c r="E440" s="56" t="s">
        <v>682</v>
      </c>
      <c r="F440" s="57" t="s">
        <v>34</v>
      </c>
      <c r="G440" s="61"/>
      <c r="H440" s="79"/>
      <c r="I440" s="62"/>
      <c r="J440" s="53"/>
    </row>
    <row r="441" ht="24.75" hidden="1" customHeight="1">
      <c r="A441" s="54" t="s">
        <v>658</v>
      </c>
      <c r="B441" s="56" t="s">
        <v>699</v>
      </c>
      <c r="C441" s="56" t="s">
        <v>640</v>
      </c>
      <c r="D441" s="56" t="s">
        <v>678</v>
      </c>
      <c r="E441" s="56" t="s">
        <v>683</v>
      </c>
      <c r="F441" s="57" t="s">
        <v>34</v>
      </c>
      <c r="G441" s="61"/>
      <c r="H441" s="79"/>
      <c r="I441" s="62"/>
      <c r="J441" s="53"/>
    </row>
    <row r="442" ht="24.75" hidden="1" customHeight="1">
      <c r="A442" s="54" t="s">
        <v>658</v>
      </c>
      <c r="B442" s="56" t="s">
        <v>699</v>
      </c>
      <c r="C442" s="56" t="s">
        <v>640</v>
      </c>
      <c r="D442" s="56" t="s">
        <v>678</v>
      </c>
      <c r="E442" s="56" t="s">
        <v>684</v>
      </c>
      <c r="F442" s="57" t="s">
        <v>154</v>
      </c>
      <c r="G442" s="61"/>
      <c r="H442" s="61" t="s">
        <v>686</v>
      </c>
      <c r="I442" s="62" t="s">
        <v>687</v>
      </c>
      <c r="J442" s="53"/>
    </row>
    <row r="443" ht="24.75" hidden="1" customHeight="1">
      <c r="A443" s="54" t="s">
        <v>658</v>
      </c>
      <c r="B443" s="56" t="s">
        <v>699</v>
      </c>
      <c r="C443" s="56" t="s">
        <v>640</v>
      </c>
      <c r="D443" s="56" t="s">
        <v>678</v>
      </c>
      <c r="E443" s="56" t="s">
        <v>695</v>
      </c>
      <c r="F443" s="57" t="s">
        <v>154</v>
      </c>
      <c r="G443" s="61"/>
      <c r="H443" s="61" t="s">
        <v>346</v>
      </c>
      <c r="I443" s="62" t="s">
        <v>696</v>
      </c>
      <c r="J443" s="53"/>
    </row>
    <row r="444" ht="24.75" hidden="1" customHeight="1">
      <c r="A444" s="54" t="s">
        <v>658</v>
      </c>
      <c r="B444" s="56" t="s">
        <v>699</v>
      </c>
      <c r="C444" s="56" t="s">
        <v>640</v>
      </c>
      <c r="D444" s="56" t="s">
        <v>678</v>
      </c>
      <c r="E444" s="56" t="s">
        <v>685</v>
      </c>
      <c r="F444" s="57" t="s">
        <v>154</v>
      </c>
      <c r="G444" s="61"/>
      <c r="H444" s="61" t="s">
        <v>200</v>
      </c>
      <c r="I444" s="62" t="s">
        <v>689</v>
      </c>
      <c r="J444" s="53"/>
    </row>
    <row r="445" ht="24.75" hidden="1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661</v>
      </c>
      <c r="F445" s="57" t="s">
        <v>34</v>
      </c>
      <c r="G445" s="61"/>
      <c r="H445" s="79"/>
      <c r="I445" s="62"/>
      <c r="J445" s="53"/>
    </row>
    <row r="446" ht="24.75" hidden="1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662</v>
      </c>
      <c r="F446" s="57" t="s">
        <v>34</v>
      </c>
      <c r="G446" s="61"/>
      <c r="H446" s="61"/>
      <c r="I446" s="62"/>
      <c r="J446" s="53"/>
    </row>
    <row r="447" ht="24.75" hidden="1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663</v>
      </c>
      <c r="F447" s="57" t="s">
        <v>34</v>
      </c>
      <c r="G447" s="61"/>
      <c r="H447" s="61"/>
      <c r="I447" s="62"/>
      <c r="J447" s="53"/>
    </row>
    <row r="448" ht="24.75" hidden="1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664</v>
      </c>
      <c r="F448" s="57" t="s">
        <v>34</v>
      </c>
      <c r="G448" s="61"/>
      <c r="H448" s="79"/>
      <c r="I448" s="62"/>
      <c r="J448" s="53"/>
    </row>
    <row r="449" ht="24.75" hidden="1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665</v>
      </c>
      <c r="F449" s="57" t="s">
        <v>34</v>
      </c>
      <c r="G449" s="61"/>
      <c r="H449" s="79"/>
      <c r="I449" s="62"/>
      <c r="J449" s="53"/>
    </row>
    <row r="450" ht="24.75" hidden="1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614</v>
      </c>
      <c r="F450" s="57" t="s">
        <v>34</v>
      </c>
      <c r="G450" s="61"/>
      <c r="H450" s="79"/>
      <c r="I450" s="62"/>
      <c r="J450" s="53"/>
    </row>
    <row r="451" ht="24.75" hidden="1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666</v>
      </c>
      <c r="F451" s="57" t="s">
        <v>34</v>
      </c>
      <c r="G451" s="61"/>
      <c r="H451" s="79"/>
      <c r="I451" s="62"/>
      <c r="J451" s="53"/>
    </row>
    <row r="452" ht="24.75" hidden="1" customHeight="1">
      <c r="A452" s="54" t="s">
        <v>658</v>
      </c>
      <c r="B452" s="56" t="s">
        <v>700</v>
      </c>
      <c r="C452" s="56" t="s">
        <v>645</v>
      </c>
      <c r="D452" s="56" t="s">
        <v>660</v>
      </c>
      <c r="E452" s="56" t="s">
        <v>667</v>
      </c>
      <c r="F452" s="57" t="s">
        <v>34</v>
      </c>
      <c r="G452" s="61"/>
      <c r="H452" s="61"/>
      <c r="I452" s="62"/>
      <c r="J452" s="53"/>
    </row>
    <row r="453" ht="24.75" hidden="1" customHeight="1">
      <c r="A453" s="54" t="s">
        <v>658</v>
      </c>
      <c r="B453" s="56" t="s">
        <v>700</v>
      </c>
      <c r="C453" s="56" t="s">
        <v>645</v>
      </c>
      <c r="D453" s="56" t="s">
        <v>660</v>
      </c>
      <c r="E453" s="56" t="s">
        <v>668</v>
      </c>
      <c r="F453" s="57" t="s">
        <v>154</v>
      </c>
      <c r="G453" s="61"/>
      <c r="H453" s="61"/>
      <c r="I453" s="62" t="s">
        <v>617</v>
      </c>
      <c r="J453" s="53"/>
    </row>
    <row r="454" ht="24.75" hidden="1" customHeight="1">
      <c r="A454" s="54" t="s">
        <v>658</v>
      </c>
      <c r="B454" s="56" t="s">
        <v>700</v>
      </c>
      <c r="C454" s="56" t="s">
        <v>645</v>
      </c>
      <c r="D454" s="56" t="s">
        <v>660</v>
      </c>
      <c r="E454" s="56" t="s">
        <v>669</v>
      </c>
      <c r="F454" s="57" t="s">
        <v>154</v>
      </c>
      <c r="G454" s="61"/>
      <c r="H454" s="61"/>
      <c r="I454" s="62" t="s">
        <v>617</v>
      </c>
      <c r="J454" s="53"/>
    </row>
    <row r="455" ht="24.75" hidden="1" customHeight="1">
      <c r="A455" s="54" t="s">
        <v>658</v>
      </c>
      <c r="B455" s="56" t="s">
        <v>700</v>
      </c>
      <c r="C455" s="56" t="s">
        <v>645</v>
      </c>
      <c r="D455" s="56" t="s">
        <v>660</v>
      </c>
      <c r="E455" s="56" t="s">
        <v>680</v>
      </c>
      <c r="F455" s="57" t="s">
        <v>154</v>
      </c>
      <c r="G455" s="61"/>
      <c r="H455" s="61"/>
      <c r="I455" s="62" t="s">
        <v>617</v>
      </c>
      <c r="J455" s="53"/>
    </row>
    <row r="456" ht="24.75" hidden="1" customHeight="1">
      <c r="A456" s="54" t="s">
        <v>658</v>
      </c>
      <c r="B456" s="56" t="s">
        <v>700</v>
      </c>
      <c r="C456" s="56" t="s">
        <v>645</v>
      </c>
      <c r="D456" s="56" t="s">
        <v>660</v>
      </c>
      <c r="E456" s="56" t="s">
        <v>671</v>
      </c>
      <c r="F456" s="57" t="s">
        <v>154</v>
      </c>
      <c r="G456" s="61"/>
      <c r="H456" s="79"/>
      <c r="I456" s="62" t="s">
        <v>617</v>
      </c>
      <c r="J456" s="53"/>
    </row>
    <row r="457" ht="24.75" hidden="1" customHeight="1">
      <c r="A457" s="54" t="s">
        <v>658</v>
      </c>
      <c r="B457" s="56" t="s">
        <v>700</v>
      </c>
      <c r="C457" s="56" t="s">
        <v>645</v>
      </c>
      <c r="D457" s="56" t="s">
        <v>660</v>
      </c>
      <c r="E457" s="56" t="s">
        <v>672</v>
      </c>
      <c r="F457" s="57" t="s">
        <v>154</v>
      </c>
      <c r="G457" s="61"/>
      <c r="H457" s="79"/>
      <c r="I457" s="62" t="s">
        <v>617</v>
      </c>
      <c r="J457" s="53"/>
    </row>
    <row r="458" ht="24.75" hidden="1" customHeight="1">
      <c r="A458" s="54" t="s">
        <v>658</v>
      </c>
      <c r="B458" s="56" t="s">
        <v>700</v>
      </c>
      <c r="C458" s="56" t="s">
        <v>645</v>
      </c>
      <c r="D458" s="56" t="s">
        <v>660</v>
      </c>
      <c r="E458" s="56" t="s">
        <v>673</v>
      </c>
      <c r="F458" s="57" t="s">
        <v>154</v>
      </c>
      <c r="G458" s="61"/>
      <c r="H458" s="79"/>
      <c r="I458" s="62" t="s">
        <v>617</v>
      </c>
      <c r="J458" s="53"/>
    </row>
    <row r="459" ht="24.75" hidden="1" customHeight="1">
      <c r="A459" s="54" t="s">
        <v>658</v>
      </c>
      <c r="B459" s="56" t="s">
        <v>703</v>
      </c>
      <c r="C459" s="56" t="s">
        <v>645</v>
      </c>
      <c r="D459" s="56" t="s">
        <v>675</v>
      </c>
      <c r="E459" s="56" t="s">
        <v>676</v>
      </c>
      <c r="F459" s="57" t="s">
        <v>34</v>
      </c>
      <c r="G459" s="61"/>
      <c r="H459" s="79"/>
      <c r="I459" s="62"/>
      <c r="J459" s="53"/>
    </row>
    <row r="460" ht="24.75" hidden="1" customHeight="1">
      <c r="A460" s="54" t="s">
        <v>658</v>
      </c>
      <c r="B460" s="56" t="s">
        <v>704</v>
      </c>
      <c r="C460" s="56" t="s">
        <v>645</v>
      </c>
      <c r="D460" s="56" t="s">
        <v>678</v>
      </c>
      <c r="E460" s="56" t="s">
        <v>679</v>
      </c>
      <c r="F460" s="57" t="s">
        <v>34</v>
      </c>
      <c r="G460" s="61"/>
      <c r="H460" s="61" t="s">
        <v>197</v>
      </c>
      <c r="I460" s="62"/>
      <c r="J460" s="53"/>
    </row>
    <row r="461" ht="24.75" hidden="1" customHeight="1">
      <c r="A461" s="54" t="s">
        <v>658</v>
      </c>
      <c r="B461" s="56" t="s">
        <v>704</v>
      </c>
      <c r="C461" s="56" t="s">
        <v>645</v>
      </c>
      <c r="D461" s="56" t="s">
        <v>678</v>
      </c>
      <c r="E461" s="56" t="s">
        <v>680</v>
      </c>
      <c r="F461" s="57" t="s">
        <v>34</v>
      </c>
      <c r="G461" s="61"/>
      <c r="H461" s="79"/>
      <c r="I461" s="62"/>
      <c r="J461" s="53"/>
    </row>
    <row r="462" ht="24.75" hidden="1" customHeight="1">
      <c r="A462" s="54" t="s">
        <v>658</v>
      </c>
      <c r="B462" s="56" t="s">
        <v>704</v>
      </c>
      <c r="C462" s="56" t="s">
        <v>645</v>
      </c>
      <c r="D462" s="56" t="s">
        <v>678</v>
      </c>
      <c r="E462" s="56" t="s">
        <v>682</v>
      </c>
      <c r="F462" s="57" t="s">
        <v>34</v>
      </c>
      <c r="G462" s="61"/>
      <c r="H462" s="79"/>
      <c r="I462" s="62"/>
      <c r="J462" s="53"/>
    </row>
    <row r="463" ht="24.75" hidden="1" customHeight="1">
      <c r="A463" s="54" t="s">
        <v>658</v>
      </c>
      <c r="B463" s="56" t="s">
        <v>704</v>
      </c>
      <c r="C463" s="56" t="s">
        <v>645</v>
      </c>
      <c r="D463" s="56" t="s">
        <v>678</v>
      </c>
      <c r="E463" s="56" t="s">
        <v>683</v>
      </c>
      <c r="F463" s="57" t="s">
        <v>34</v>
      </c>
      <c r="G463" s="61"/>
      <c r="H463" s="79"/>
      <c r="I463" s="62"/>
      <c r="J463" s="53"/>
    </row>
    <row r="464" ht="24.75" hidden="1" customHeight="1">
      <c r="A464" s="54" t="s">
        <v>658</v>
      </c>
      <c r="B464" s="56" t="s">
        <v>704</v>
      </c>
      <c r="C464" s="56" t="s">
        <v>645</v>
      </c>
      <c r="D464" s="56" t="s">
        <v>678</v>
      </c>
      <c r="E464" s="56" t="s">
        <v>684</v>
      </c>
      <c r="F464" s="57" t="s">
        <v>154</v>
      </c>
      <c r="G464" s="61"/>
      <c r="H464" s="61" t="s">
        <v>686</v>
      </c>
      <c r="I464" s="62" t="s">
        <v>687</v>
      </c>
      <c r="J464" s="53"/>
    </row>
    <row r="465" ht="24.75" hidden="1" customHeight="1">
      <c r="A465" s="54" t="s">
        <v>658</v>
      </c>
      <c r="B465" s="56" t="s">
        <v>704</v>
      </c>
      <c r="C465" s="56" t="s">
        <v>645</v>
      </c>
      <c r="D465" s="56" t="s">
        <v>678</v>
      </c>
      <c r="E465" s="56" t="s">
        <v>695</v>
      </c>
      <c r="F465" s="57" t="s">
        <v>154</v>
      </c>
      <c r="G465" s="61"/>
      <c r="H465" s="61" t="s">
        <v>346</v>
      </c>
      <c r="I465" s="62" t="s">
        <v>696</v>
      </c>
      <c r="J465" s="53"/>
    </row>
    <row r="466" ht="24.75" hidden="1" customHeight="1">
      <c r="A466" s="54" t="s">
        <v>658</v>
      </c>
      <c r="B466" s="56" t="s">
        <v>704</v>
      </c>
      <c r="C466" s="56" t="s">
        <v>645</v>
      </c>
      <c r="D466" s="56" t="s">
        <v>678</v>
      </c>
      <c r="E466" s="56" t="s">
        <v>685</v>
      </c>
      <c r="F466" s="57" t="s">
        <v>154</v>
      </c>
      <c r="G466" s="61"/>
      <c r="H466" s="61" t="s">
        <v>200</v>
      </c>
      <c r="I466" s="62" t="s">
        <v>689</v>
      </c>
      <c r="J466" s="53"/>
    </row>
    <row r="467" ht="24.75" hidden="1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661</v>
      </c>
      <c r="F467" s="57" t="s">
        <v>34</v>
      </c>
      <c r="G467" s="61"/>
      <c r="H467" s="79"/>
      <c r="I467" s="62"/>
      <c r="J467" s="53"/>
    </row>
    <row r="468" ht="24.75" hidden="1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662</v>
      </c>
      <c r="F468" s="57" t="s">
        <v>34</v>
      </c>
      <c r="G468" s="61"/>
      <c r="H468" s="61"/>
      <c r="I468" s="62"/>
      <c r="J468" s="53"/>
    </row>
    <row r="469" ht="24.75" hidden="1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663</v>
      </c>
      <c r="F469" s="57" t="s">
        <v>34</v>
      </c>
      <c r="G469" s="61"/>
      <c r="H469" s="61"/>
      <c r="I469" s="62"/>
      <c r="J469" s="53"/>
    </row>
    <row r="470" ht="24.75" hidden="1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664</v>
      </c>
      <c r="F470" s="57" t="s">
        <v>34</v>
      </c>
      <c r="G470" s="61"/>
      <c r="H470" s="79"/>
      <c r="I470" s="62"/>
      <c r="J470" s="53"/>
    </row>
    <row r="471" ht="24.75" hidden="1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665</v>
      </c>
      <c r="F471" s="57" t="s">
        <v>34</v>
      </c>
      <c r="G471" s="61"/>
      <c r="H471" s="79"/>
      <c r="I471" s="103"/>
      <c r="J471" s="53"/>
    </row>
    <row r="472" ht="24.75" hidden="1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614</v>
      </c>
      <c r="F472" s="57" t="s">
        <v>34</v>
      </c>
      <c r="G472" s="61"/>
      <c r="H472" s="79"/>
      <c r="I472" s="62"/>
      <c r="J472" s="53"/>
    </row>
    <row r="473" ht="24.75" hidden="1" customHeight="1">
      <c r="A473" s="54" t="s">
        <v>658</v>
      </c>
      <c r="B473" s="56" t="s">
        <v>705</v>
      </c>
      <c r="C473" s="56" t="s">
        <v>606</v>
      </c>
      <c r="D473" s="56" t="s">
        <v>660</v>
      </c>
      <c r="E473" s="56" t="s">
        <v>666</v>
      </c>
      <c r="F473" s="57" t="s">
        <v>34</v>
      </c>
      <c r="G473" s="61"/>
      <c r="H473" s="79"/>
      <c r="I473" s="62"/>
      <c r="J473" s="53"/>
    </row>
    <row r="474" ht="24.75" hidden="1" customHeight="1">
      <c r="A474" s="54" t="s">
        <v>658</v>
      </c>
      <c r="B474" s="56" t="s">
        <v>705</v>
      </c>
      <c r="C474" s="56" t="s">
        <v>606</v>
      </c>
      <c r="D474" s="56" t="s">
        <v>660</v>
      </c>
      <c r="E474" s="56" t="s">
        <v>667</v>
      </c>
      <c r="F474" s="57" t="s">
        <v>34</v>
      </c>
      <c r="G474" s="61"/>
      <c r="H474" s="61"/>
      <c r="I474" s="62"/>
      <c r="J474" s="53"/>
    </row>
    <row r="475" ht="24.75" hidden="1" customHeight="1">
      <c r="A475" s="54" t="s">
        <v>658</v>
      </c>
      <c r="B475" s="56" t="s">
        <v>705</v>
      </c>
      <c r="C475" s="56" t="s">
        <v>606</v>
      </c>
      <c r="D475" s="56" t="s">
        <v>660</v>
      </c>
      <c r="E475" s="56" t="s">
        <v>668</v>
      </c>
      <c r="F475" s="57" t="s">
        <v>154</v>
      </c>
      <c r="G475" s="61"/>
      <c r="H475" s="61"/>
      <c r="I475" s="62" t="s">
        <v>617</v>
      </c>
      <c r="J475" s="53"/>
    </row>
    <row r="476" ht="24.75" hidden="1" customHeight="1">
      <c r="A476" s="54" t="s">
        <v>658</v>
      </c>
      <c r="B476" s="56" t="s">
        <v>705</v>
      </c>
      <c r="C476" s="56" t="s">
        <v>606</v>
      </c>
      <c r="D476" s="56" t="s">
        <v>660</v>
      </c>
      <c r="E476" s="56" t="s">
        <v>669</v>
      </c>
      <c r="F476" s="57" t="s">
        <v>154</v>
      </c>
      <c r="G476" s="61"/>
      <c r="H476" s="61"/>
      <c r="I476" s="62" t="s">
        <v>617</v>
      </c>
      <c r="J476" s="53"/>
    </row>
    <row r="477" ht="24.75" hidden="1" customHeight="1">
      <c r="A477" s="54" t="s">
        <v>658</v>
      </c>
      <c r="B477" s="56" t="s">
        <v>705</v>
      </c>
      <c r="C477" s="56" t="s">
        <v>606</v>
      </c>
      <c r="D477" s="56" t="s">
        <v>660</v>
      </c>
      <c r="E477" s="56" t="s">
        <v>671</v>
      </c>
      <c r="F477" s="57" t="s">
        <v>154</v>
      </c>
      <c r="G477" s="61"/>
      <c r="H477" s="61"/>
      <c r="I477" s="62" t="s">
        <v>617</v>
      </c>
      <c r="J477" s="53"/>
    </row>
    <row r="478" ht="24.75" hidden="1" customHeight="1">
      <c r="A478" s="54" t="s">
        <v>658</v>
      </c>
      <c r="B478" s="56" t="s">
        <v>705</v>
      </c>
      <c r="C478" s="56" t="s">
        <v>606</v>
      </c>
      <c r="D478" s="56" t="s">
        <v>660</v>
      </c>
      <c r="E478" s="56" t="s">
        <v>672</v>
      </c>
      <c r="F478" s="57" t="s">
        <v>154</v>
      </c>
      <c r="G478" s="61"/>
      <c r="H478" s="61"/>
      <c r="I478" s="62" t="s">
        <v>617</v>
      </c>
      <c r="J478" s="53"/>
    </row>
    <row r="479" ht="24.75" hidden="1" customHeight="1">
      <c r="A479" s="54" t="s">
        <v>658</v>
      </c>
      <c r="B479" s="56" t="s">
        <v>705</v>
      </c>
      <c r="C479" s="56" t="s">
        <v>606</v>
      </c>
      <c r="D479" s="56" t="s">
        <v>660</v>
      </c>
      <c r="E479" s="56" t="s">
        <v>673</v>
      </c>
      <c r="F479" s="57" t="s">
        <v>154</v>
      </c>
      <c r="G479" s="61"/>
      <c r="H479" s="79"/>
      <c r="I479" s="62" t="s">
        <v>617</v>
      </c>
      <c r="J479" s="53"/>
    </row>
    <row r="480" ht="24.75" hidden="1" customHeight="1">
      <c r="A480" s="54" t="s">
        <v>658</v>
      </c>
      <c r="B480" s="56" t="s">
        <v>714</v>
      </c>
      <c r="C480" s="56" t="s">
        <v>606</v>
      </c>
      <c r="D480" s="56" t="s">
        <v>675</v>
      </c>
      <c r="E480" s="56" t="s">
        <v>676</v>
      </c>
      <c r="F480" s="57" t="s">
        <v>34</v>
      </c>
      <c r="G480" s="61"/>
      <c r="H480" s="79"/>
      <c r="I480" s="62"/>
      <c r="J480" s="53"/>
    </row>
    <row r="481" ht="24.75" hidden="1" customHeight="1">
      <c r="A481" s="54" t="s">
        <v>658</v>
      </c>
      <c r="B481" s="56" t="s">
        <v>715</v>
      </c>
      <c r="C481" s="56" t="s">
        <v>606</v>
      </c>
      <c r="D481" s="56" t="s">
        <v>716</v>
      </c>
      <c r="E481" s="56" t="s">
        <v>679</v>
      </c>
      <c r="F481" s="57" t="s">
        <v>34</v>
      </c>
      <c r="G481" s="61"/>
      <c r="H481" s="61" t="s">
        <v>197</v>
      </c>
      <c r="I481" s="62"/>
      <c r="J481" s="53"/>
    </row>
    <row r="482" ht="24.75" hidden="1" customHeight="1">
      <c r="A482" s="54" t="s">
        <v>658</v>
      </c>
      <c r="B482" s="56" t="s">
        <v>715</v>
      </c>
      <c r="C482" s="56" t="s">
        <v>606</v>
      </c>
      <c r="D482" s="56" t="s">
        <v>678</v>
      </c>
      <c r="E482" s="56" t="s">
        <v>680</v>
      </c>
      <c r="F482" s="57" t="s">
        <v>34</v>
      </c>
      <c r="G482" s="61"/>
      <c r="H482" s="79"/>
      <c r="I482" s="62"/>
      <c r="J482" s="53"/>
    </row>
    <row r="483" ht="24.75" hidden="1" customHeight="1">
      <c r="A483" s="54" t="s">
        <v>658</v>
      </c>
      <c r="B483" s="56" t="s">
        <v>715</v>
      </c>
      <c r="C483" s="56" t="s">
        <v>606</v>
      </c>
      <c r="D483" s="56" t="s">
        <v>716</v>
      </c>
      <c r="E483" s="56" t="s">
        <v>682</v>
      </c>
      <c r="F483" s="57" t="s">
        <v>34</v>
      </c>
      <c r="G483" s="61"/>
      <c r="H483" s="79"/>
      <c r="I483" s="62"/>
      <c r="J483" s="53"/>
    </row>
    <row r="484" ht="24.75" hidden="1" customHeight="1">
      <c r="A484" s="54" t="s">
        <v>658</v>
      </c>
      <c r="B484" s="56" t="s">
        <v>715</v>
      </c>
      <c r="C484" s="56" t="s">
        <v>606</v>
      </c>
      <c r="D484" s="56" t="s">
        <v>716</v>
      </c>
      <c r="E484" s="56" t="s">
        <v>683</v>
      </c>
      <c r="F484" s="57" t="s">
        <v>34</v>
      </c>
      <c r="G484" s="61"/>
      <c r="H484" s="79"/>
      <c r="I484" s="62"/>
      <c r="J484" s="53"/>
    </row>
    <row r="485" ht="24.75" hidden="1" customHeight="1">
      <c r="A485" s="54" t="s">
        <v>658</v>
      </c>
      <c r="B485" s="56" t="s">
        <v>715</v>
      </c>
      <c r="C485" s="56" t="s">
        <v>606</v>
      </c>
      <c r="D485" s="56" t="s">
        <v>716</v>
      </c>
      <c r="E485" s="56" t="s">
        <v>684</v>
      </c>
      <c r="F485" s="57" t="s">
        <v>154</v>
      </c>
      <c r="G485" s="61"/>
      <c r="H485" s="61" t="s">
        <v>686</v>
      </c>
      <c r="I485" s="62" t="s">
        <v>687</v>
      </c>
      <c r="J485" s="53"/>
    </row>
    <row r="486" ht="24.75" hidden="1" customHeight="1">
      <c r="A486" s="54" t="s">
        <v>658</v>
      </c>
      <c r="B486" s="56" t="s">
        <v>715</v>
      </c>
      <c r="C486" s="56" t="s">
        <v>606</v>
      </c>
      <c r="D486" s="56" t="s">
        <v>716</v>
      </c>
      <c r="E486" s="56" t="s">
        <v>695</v>
      </c>
      <c r="F486" s="57" t="s">
        <v>154</v>
      </c>
      <c r="G486" s="61"/>
      <c r="H486" s="61" t="s">
        <v>346</v>
      </c>
      <c r="I486" s="62" t="s">
        <v>696</v>
      </c>
      <c r="J486" s="53"/>
    </row>
    <row r="487" ht="24.75" hidden="1" customHeight="1">
      <c r="A487" s="54" t="s">
        <v>658</v>
      </c>
      <c r="B487" s="56" t="s">
        <v>715</v>
      </c>
      <c r="C487" s="56" t="s">
        <v>606</v>
      </c>
      <c r="D487" s="56" t="s">
        <v>716</v>
      </c>
      <c r="E487" s="56" t="s">
        <v>685</v>
      </c>
      <c r="F487" s="57" t="s">
        <v>154</v>
      </c>
      <c r="G487" s="61"/>
      <c r="H487" s="61" t="s">
        <v>200</v>
      </c>
      <c r="I487" s="62" t="s">
        <v>689</v>
      </c>
      <c r="J487" s="53"/>
    </row>
    <row r="488" ht="24.75" hidden="1" customHeight="1">
      <c r="A488" s="54" t="s">
        <v>658</v>
      </c>
      <c r="B488" s="56" t="s">
        <v>717</v>
      </c>
      <c r="C488" s="56" t="s">
        <v>718</v>
      </c>
      <c r="D488" s="56" t="s">
        <v>719</v>
      </c>
      <c r="E488" s="56" t="s">
        <v>239</v>
      </c>
      <c r="F488" s="57" t="s">
        <v>154</v>
      </c>
      <c r="G488" s="61"/>
      <c r="H488" s="79"/>
      <c r="I488" s="62" t="s">
        <v>207</v>
      </c>
      <c r="J488" s="53"/>
    </row>
    <row r="489" ht="24.75" hidden="1" customHeight="1">
      <c r="A489" s="54" t="s">
        <v>658</v>
      </c>
      <c r="B489" s="56" t="s">
        <v>720</v>
      </c>
      <c r="C489" s="56" t="s">
        <v>718</v>
      </c>
      <c r="D489" s="56" t="s">
        <v>721</v>
      </c>
      <c r="E489" s="56" t="s">
        <v>722</v>
      </c>
      <c r="F489" s="57" t="s">
        <v>154</v>
      </c>
      <c r="G489" s="61"/>
      <c r="H489" s="79"/>
      <c r="I489" s="62"/>
      <c r="J489" s="53"/>
    </row>
    <row r="490" ht="24.75" hidden="1" customHeight="1">
      <c r="A490" s="54" t="s">
        <v>658</v>
      </c>
      <c r="B490" s="56" t="s">
        <v>720</v>
      </c>
      <c r="C490" s="56" t="s">
        <v>718</v>
      </c>
      <c r="D490" s="56" t="s">
        <v>721</v>
      </c>
      <c r="E490" s="56" t="s">
        <v>723</v>
      </c>
      <c r="F490" s="57" t="s">
        <v>154</v>
      </c>
      <c r="G490" s="61"/>
      <c r="H490" s="79"/>
      <c r="I490" s="62"/>
      <c r="J490" s="53"/>
    </row>
    <row r="491" ht="24.75" hidden="1" customHeight="1">
      <c r="A491" s="54" t="s">
        <v>658</v>
      </c>
      <c r="B491" s="56" t="s">
        <v>724</v>
      </c>
      <c r="C491" s="56" t="s">
        <v>718</v>
      </c>
      <c r="D491" s="56" t="s">
        <v>725</v>
      </c>
      <c r="E491" s="56" t="s">
        <v>239</v>
      </c>
      <c r="F491" s="57" t="s">
        <v>154</v>
      </c>
      <c r="G491" s="61"/>
      <c r="H491" s="79"/>
      <c r="I491" s="62" t="s">
        <v>207</v>
      </c>
      <c r="J491" s="53"/>
    </row>
    <row r="492" ht="24.75" hidden="1" customHeight="1">
      <c r="A492" s="54" t="s">
        <v>658</v>
      </c>
      <c r="B492" s="56" t="s">
        <v>720</v>
      </c>
      <c r="C492" s="56" t="s">
        <v>718</v>
      </c>
      <c r="D492" s="56" t="s">
        <v>728</v>
      </c>
      <c r="E492" s="56" t="s">
        <v>722</v>
      </c>
      <c r="F492" s="57" t="s">
        <v>154</v>
      </c>
      <c r="G492" s="61"/>
      <c r="H492" s="79"/>
      <c r="I492" s="62"/>
      <c r="J492" s="53"/>
    </row>
    <row r="493" ht="24.75" hidden="1" customHeight="1">
      <c r="A493" s="54" t="s">
        <v>658</v>
      </c>
      <c r="B493" s="56" t="s">
        <v>720</v>
      </c>
      <c r="C493" s="56" t="s">
        <v>718</v>
      </c>
      <c r="D493" s="56" t="s">
        <v>728</v>
      </c>
      <c r="E493" s="56" t="s">
        <v>723</v>
      </c>
      <c r="F493" s="57" t="s">
        <v>154</v>
      </c>
      <c r="G493" s="61"/>
      <c r="H493" s="79"/>
      <c r="I493" s="62"/>
      <c r="J493" s="53"/>
    </row>
    <row r="494" ht="24.75" hidden="1" customHeight="1">
      <c r="A494" s="54" t="s">
        <v>729</v>
      </c>
      <c r="B494" s="56" t="s">
        <v>730</v>
      </c>
      <c r="C494" s="56" t="s">
        <v>731</v>
      </c>
      <c r="D494" s="56" t="s">
        <v>732</v>
      </c>
      <c r="E494" s="56" t="s">
        <v>167</v>
      </c>
      <c r="F494" s="57" t="s">
        <v>154</v>
      </c>
      <c r="G494" s="61"/>
      <c r="H494" s="61"/>
      <c r="I494" s="62"/>
      <c r="J494" s="53"/>
    </row>
    <row r="495" ht="24.75" hidden="1" customHeight="1">
      <c r="A495" s="54" t="s">
        <v>729</v>
      </c>
      <c r="B495" s="56" t="s">
        <v>730</v>
      </c>
      <c r="C495" s="56" t="s">
        <v>731</v>
      </c>
      <c r="D495" s="56" t="s">
        <v>732</v>
      </c>
      <c r="E495" s="56" t="s">
        <v>733</v>
      </c>
      <c r="F495" s="57" t="s">
        <v>154</v>
      </c>
      <c r="G495" s="61"/>
      <c r="H495" s="61"/>
      <c r="I495" s="62"/>
      <c r="J495" s="53"/>
    </row>
    <row r="496" ht="24.75" hidden="1" customHeight="1">
      <c r="A496" s="54" t="s">
        <v>729</v>
      </c>
      <c r="B496" s="56" t="s">
        <v>730</v>
      </c>
      <c r="C496" s="56" t="s">
        <v>731</v>
      </c>
      <c r="D496" s="56" t="s">
        <v>732</v>
      </c>
      <c r="E496" s="56" t="s">
        <v>176</v>
      </c>
      <c r="F496" s="57" t="s">
        <v>154</v>
      </c>
      <c r="G496" s="61"/>
      <c r="H496" s="61"/>
      <c r="I496" s="62"/>
      <c r="J496" s="53"/>
    </row>
    <row r="497" ht="24.75" hidden="1" customHeight="1">
      <c r="A497" s="54" t="s">
        <v>729</v>
      </c>
      <c r="B497" s="56" t="s">
        <v>734</v>
      </c>
      <c r="C497" s="56" t="s">
        <v>731</v>
      </c>
      <c r="D497" s="56" t="s">
        <v>735</v>
      </c>
      <c r="E497" s="56" t="s">
        <v>167</v>
      </c>
      <c r="F497" s="57" t="s">
        <v>154</v>
      </c>
      <c r="G497" s="61"/>
      <c r="H497" s="61"/>
      <c r="I497" s="62"/>
      <c r="J497" s="53"/>
    </row>
    <row r="498" ht="24.75" hidden="1" customHeight="1">
      <c r="A498" s="54" t="s">
        <v>729</v>
      </c>
      <c r="B498" s="56" t="s">
        <v>734</v>
      </c>
      <c r="C498" s="56" t="s">
        <v>731</v>
      </c>
      <c r="D498" s="56" t="s">
        <v>735</v>
      </c>
      <c r="E498" s="56" t="s">
        <v>733</v>
      </c>
      <c r="F498" s="57" t="s">
        <v>154</v>
      </c>
      <c r="G498" s="61"/>
      <c r="H498" s="61"/>
      <c r="I498" s="62"/>
      <c r="J498" s="53"/>
    </row>
    <row r="499" ht="24.75" hidden="1" customHeight="1">
      <c r="A499" s="54" t="s">
        <v>729</v>
      </c>
      <c r="B499" s="56" t="s">
        <v>734</v>
      </c>
      <c r="C499" s="56" t="s">
        <v>731</v>
      </c>
      <c r="D499" s="56" t="s">
        <v>735</v>
      </c>
      <c r="E499" s="56" t="s">
        <v>176</v>
      </c>
      <c r="F499" s="57" t="s">
        <v>154</v>
      </c>
      <c r="G499" s="61"/>
      <c r="H499" s="61"/>
      <c r="I499" s="62"/>
      <c r="J499" s="53"/>
    </row>
    <row r="500" ht="24.75" hidden="1" customHeight="1">
      <c r="A500" s="54" t="s">
        <v>729</v>
      </c>
      <c r="B500" s="56" t="s">
        <v>736</v>
      </c>
      <c r="C500" s="56" t="s">
        <v>731</v>
      </c>
      <c r="D500" s="56" t="s">
        <v>737</v>
      </c>
      <c r="E500" s="56" t="s">
        <v>167</v>
      </c>
      <c r="F500" s="57" t="s">
        <v>154</v>
      </c>
      <c r="G500" s="61"/>
      <c r="H500" s="61"/>
      <c r="I500" s="62"/>
      <c r="J500" s="53"/>
    </row>
    <row r="501" ht="24.75" hidden="1" customHeight="1">
      <c r="A501" s="54" t="s">
        <v>729</v>
      </c>
      <c r="B501" s="56" t="s">
        <v>736</v>
      </c>
      <c r="C501" s="56" t="s">
        <v>731</v>
      </c>
      <c r="D501" s="56" t="s">
        <v>737</v>
      </c>
      <c r="E501" s="56" t="s">
        <v>733</v>
      </c>
      <c r="F501" s="57" t="s">
        <v>154</v>
      </c>
      <c r="G501" s="61"/>
      <c r="H501" s="61"/>
      <c r="I501" s="62"/>
      <c r="J501" s="53"/>
    </row>
    <row r="502" ht="24.75" hidden="1" customHeight="1">
      <c r="A502" s="54" t="s">
        <v>729</v>
      </c>
      <c r="B502" s="56" t="s">
        <v>736</v>
      </c>
      <c r="C502" s="56" t="s">
        <v>731</v>
      </c>
      <c r="D502" s="56" t="s">
        <v>737</v>
      </c>
      <c r="E502" s="56" t="s">
        <v>176</v>
      </c>
      <c r="F502" s="57" t="s">
        <v>154</v>
      </c>
      <c r="G502" s="61"/>
      <c r="H502" s="61"/>
      <c r="I502" s="62"/>
      <c r="J502" s="53"/>
    </row>
    <row r="503" ht="24.75" hidden="1" customHeight="1">
      <c r="A503" s="54" t="s">
        <v>729</v>
      </c>
      <c r="B503" s="56" t="s">
        <v>738</v>
      </c>
      <c r="C503" s="56" t="s">
        <v>731</v>
      </c>
      <c r="D503" s="56" t="s">
        <v>175</v>
      </c>
      <c r="E503" s="56" t="s">
        <v>163</v>
      </c>
      <c r="F503" s="57" t="s">
        <v>154</v>
      </c>
      <c r="G503" s="61"/>
      <c r="H503" s="61"/>
      <c r="I503" s="62"/>
      <c r="J503" s="53"/>
    </row>
    <row r="504" ht="24.75" hidden="1" customHeight="1">
      <c r="A504" s="54" t="s">
        <v>729</v>
      </c>
      <c r="B504" s="56" t="s">
        <v>738</v>
      </c>
      <c r="C504" s="56" t="s">
        <v>731</v>
      </c>
      <c r="D504" s="56" t="s">
        <v>175</v>
      </c>
      <c r="E504" s="56" t="s">
        <v>176</v>
      </c>
      <c r="F504" s="57" t="s">
        <v>154</v>
      </c>
      <c r="G504" s="61"/>
      <c r="H504" s="61"/>
      <c r="I504" s="62"/>
      <c r="J504" s="53"/>
    </row>
    <row r="505" ht="24.75" hidden="1" customHeight="1">
      <c r="A505" s="54" t="s">
        <v>729</v>
      </c>
      <c r="B505" s="56" t="s">
        <v>739</v>
      </c>
      <c r="C505" s="56" t="s">
        <v>731</v>
      </c>
      <c r="D505" s="56" t="s">
        <v>186</v>
      </c>
      <c r="E505" s="56" t="s">
        <v>163</v>
      </c>
      <c r="F505" s="57" t="s">
        <v>154</v>
      </c>
      <c r="G505" s="61"/>
      <c r="H505" s="61"/>
      <c r="I505" s="62"/>
      <c r="J505" s="53"/>
    </row>
    <row r="506" ht="24.75" hidden="1" customHeight="1">
      <c r="A506" s="54" t="s">
        <v>729</v>
      </c>
      <c r="B506" s="56" t="s">
        <v>739</v>
      </c>
      <c r="C506" s="56" t="s">
        <v>731</v>
      </c>
      <c r="D506" s="56" t="s">
        <v>186</v>
      </c>
      <c r="E506" s="56" t="s">
        <v>176</v>
      </c>
      <c r="F506" s="57" t="s">
        <v>154</v>
      </c>
      <c r="G506" s="61"/>
      <c r="H506" s="61"/>
      <c r="I506" s="62"/>
      <c r="J506" s="53"/>
    </row>
    <row r="507" ht="24.75" hidden="1" customHeight="1">
      <c r="A507" s="54" t="s">
        <v>729</v>
      </c>
      <c r="B507" s="56" t="s">
        <v>740</v>
      </c>
      <c r="C507" s="56" t="s">
        <v>731</v>
      </c>
      <c r="D507" s="56" t="s">
        <v>183</v>
      </c>
      <c r="E507" s="56" t="s">
        <v>163</v>
      </c>
      <c r="F507" s="57" t="s">
        <v>154</v>
      </c>
      <c r="G507" s="61"/>
      <c r="H507" s="61"/>
      <c r="I507" s="62"/>
      <c r="J507" s="53"/>
    </row>
    <row r="508" ht="24.75" hidden="1" customHeight="1">
      <c r="A508" s="54" t="s">
        <v>729</v>
      </c>
      <c r="B508" s="56" t="s">
        <v>740</v>
      </c>
      <c r="C508" s="56" t="s">
        <v>731</v>
      </c>
      <c r="D508" s="56" t="s">
        <v>183</v>
      </c>
      <c r="E508" s="56" t="s">
        <v>176</v>
      </c>
      <c r="F508" s="57" t="s">
        <v>154</v>
      </c>
      <c r="G508" s="61"/>
      <c r="H508" s="61"/>
      <c r="I508" s="62"/>
      <c r="J508" s="53"/>
    </row>
    <row r="509" ht="24.75" hidden="1" customHeight="1">
      <c r="A509" s="54" t="s">
        <v>741</v>
      </c>
      <c r="B509" s="56" t="s">
        <v>742</v>
      </c>
      <c r="C509" s="56" t="s">
        <v>405</v>
      </c>
      <c r="D509" s="56" t="s">
        <v>743</v>
      </c>
      <c r="E509" s="56" t="s">
        <v>409</v>
      </c>
      <c r="F509" s="57" t="s">
        <v>154</v>
      </c>
      <c r="G509" s="61"/>
      <c r="H509" s="61"/>
      <c r="I509" s="62"/>
      <c r="J509" s="53"/>
    </row>
    <row r="510" ht="24.75" hidden="1" customHeight="1">
      <c r="A510" s="54" t="s">
        <v>741</v>
      </c>
      <c r="B510" s="56" t="s">
        <v>744</v>
      </c>
      <c r="C510" s="56" t="s">
        <v>745</v>
      </c>
      <c r="D510" s="56" t="s">
        <v>746</v>
      </c>
      <c r="E510" s="56" t="s">
        <v>747</v>
      </c>
      <c r="F510" s="57" t="s">
        <v>34</v>
      </c>
      <c r="G510" s="61"/>
      <c r="H510" s="61"/>
      <c r="I510" s="62"/>
      <c r="J510" s="53"/>
    </row>
    <row r="511" ht="24.75" hidden="1" customHeight="1">
      <c r="A511" s="54" t="s">
        <v>741</v>
      </c>
      <c r="B511" s="56" t="s">
        <v>744</v>
      </c>
      <c r="C511" s="56" t="s">
        <v>745</v>
      </c>
      <c r="D511" s="56" t="s">
        <v>746</v>
      </c>
      <c r="E511" s="56" t="s">
        <v>748</v>
      </c>
      <c r="F511" s="57" t="s">
        <v>154</v>
      </c>
      <c r="G511" s="61"/>
      <c r="H511" s="61"/>
      <c r="I511" s="62"/>
      <c r="J511" s="53"/>
    </row>
    <row r="512" ht="24.75" hidden="1" customHeight="1">
      <c r="A512" s="54" t="s">
        <v>741</v>
      </c>
      <c r="B512" s="56" t="s">
        <v>749</v>
      </c>
      <c r="C512" s="56" t="s">
        <v>745</v>
      </c>
      <c r="D512" s="56" t="s">
        <v>750</v>
      </c>
      <c r="E512" s="56" t="s">
        <v>747</v>
      </c>
      <c r="F512" s="57" t="s">
        <v>34</v>
      </c>
      <c r="G512" s="61"/>
      <c r="H512" s="61"/>
      <c r="I512" s="62" t="s">
        <v>617</v>
      </c>
      <c r="J512" s="53"/>
    </row>
    <row r="513" ht="24.75" hidden="1" customHeight="1">
      <c r="A513" s="54" t="s">
        <v>741</v>
      </c>
      <c r="B513" s="56" t="s">
        <v>749</v>
      </c>
      <c r="C513" s="56" t="s">
        <v>745</v>
      </c>
      <c r="D513" s="56" t="s">
        <v>750</v>
      </c>
      <c r="E513" s="56" t="s">
        <v>748</v>
      </c>
      <c r="F513" s="57" t="s">
        <v>154</v>
      </c>
      <c r="G513" s="61"/>
      <c r="H513" s="61"/>
      <c r="I513" s="62" t="s">
        <v>617</v>
      </c>
      <c r="J513" s="53"/>
    </row>
    <row r="514" ht="24.75" hidden="1" customHeight="1">
      <c r="A514" s="54" t="s">
        <v>741</v>
      </c>
      <c r="B514" s="56" t="s">
        <v>751</v>
      </c>
      <c r="C514" s="56" t="s">
        <v>610</v>
      </c>
      <c r="D514" s="56" t="s">
        <v>752</v>
      </c>
      <c r="E514" s="56" t="s">
        <v>753</v>
      </c>
      <c r="F514" s="57" t="s">
        <v>154</v>
      </c>
      <c r="G514" s="61"/>
      <c r="H514" s="61"/>
      <c r="I514" s="62" t="s">
        <v>617</v>
      </c>
      <c r="J514" s="53"/>
    </row>
    <row r="515" ht="24.75" hidden="1" customHeight="1">
      <c r="A515" s="54" t="s">
        <v>741</v>
      </c>
      <c r="B515" s="56" t="s">
        <v>751</v>
      </c>
      <c r="C515" s="56" t="s">
        <v>610</v>
      </c>
      <c r="D515" s="56" t="s">
        <v>752</v>
      </c>
      <c r="E515" s="56" t="s">
        <v>754</v>
      </c>
      <c r="F515" s="57" t="s">
        <v>154</v>
      </c>
      <c r="G515" s="61"/>
      <c r="H515" s="61"/>
      <c r="I515" s="62" t="s">
        <v>617</v>
      </c>
      <c r="J515" s="53"/>
    </row>
    <row r="516" ht="24.75" hidden="1" customHeight="1">
      <c r="A516" s="54" t="s">
        <v>741</v>
      </c>
      <c r="B516" s="56" t="s">
        <v>751</v>
      </c>
      <c r="C516" s="56" t="s">
        <v>610</v>
      </c>
      <c r="D516" s="56" t="s">
        <v>752</v>
      </c>
      <c r="E516" s="56" t="s">
        <v>755</v>
      </c>
      <c r="F516" s="57" t="s">
        <v>154</v>
      </c>
      <c r="G516" s="61"/>
      <c r="H516" s="61"/>
      <c r="I516" s="62" t="s">
        <v>617</v>
      </c>
      <c r="J516" s="53"/>
    </row>
    <row r="517" ht="24.75" hidden="1" customHeight="1">
      <c r="A517" s="54" t="s">
        <v>741</v>
      </c>
      <c r="B517" s="56" t="s">
        <v>756</v>
      </c>
      <c r="C517" s="56" t="s">
        <v>624</v>
      </c>
      <c r="D517" s="56" t="s">
        <v>752</v>
      </c>
      <c r="E517" s="56" t="s">
        <v>753</v>
      </c>
      <c r="F517" s="57" t="s">
        <v>154</v>
      </c>
      <c r="G517" s="61"/>
      <c r="H517" s="61"/>
      <c r="I517" s="62" t="s">
        <v>617</v>
      </c>
      <c r="J517" s="53"/>
    </row>
    <row r="518" ht="24.75" hidden="1" customHeight="1">
      <c r="A518" s="54" t="s">
        <v>741</v>
      </c>
      <c r="B518" s="56" t="s">
        <v>756</v>
      </c>
      <c r="C518" s="56" t="s">
        <v>624</v>
      </c>
      <c r="D518" s="56" t="s">
        <v>752</v>
      </c>
      <c r="E518" s="56" t="s">
        <v>754</v>
      </c>
      <c r="F518" s="57" t="s">
        <v>154</v>
      </c>
      <c r="G518" s="61"/>
      <c r="H518" s="61"/>
      <c r="I518" s="62" t="s">
        <v>617</v>
      </c>
      <c r="J518" s="53"/>
    </row>
    <row r="519" ht="24.75" hidden="1" customHeight="1">
      <c r="A519" s="54" t="s">
        <v>741</v>
      </c>
      <c r="B519" s="56" t="s">
        <v>756</v>
      </c>
      <c r="C519" s="56" t="s">
        <v>624</v>
      </c>
      <c r="D519" s="56" t="s">
        <v>752</v>
      </c>
      <c r="E519" s="56" t="s">
        <v>755</v>
      </c>
      <c r="F519" s="57" t="s">
        <v>154</v>
      </c>
      <c r="G519" s="61"/>
      <c r="H519" s="61"/>
      <c r="I519" s="62" t="s">
        <v>617</v>
      </c>
      <c r="J519" s="53"/>
    </row>
    <row r="520" ht="24.75" hidden="1" customHeight="1">
      <c r="A520" s="54" t="s">
        <v>741</v>
      </c>
      <c r="B520" s="56" t="s">
        <v>757</v>
      </c>
      <c r="C520" s="56" t="s">
        <v>627</v>
      </c>
      <c r="D520" s="56" t="s">
        <v>752</v>
      </c>
      <c r="E520" s="56" t="s">
        <v>753</v>
      </c>
      <c r="F520" s="57" t="s">
        <v>250</v>
      </c>
      <c r="G520" s="61"/>
      <c r="H520" s="61"/>
      <c r="I520" s="62" t="s">
        <v>617</v>
      </c>
      <c r="J520" s="53"/>
    </row>
    <row r="521" ht="24.75" hidden="1" customHeight="1">
      <c r="A521" s="54" t="s">
        <v>741</v>
      </c>
      <c r="B521" s="56" t="s">
        <v>757</v>
      </c>
      <c r="C521" s="56" t="s">
        <v>627</v>
      </c>
      <c r="D521" s="56" t="s">
        <v>752</v>
      </c>
      <c r="E521" s="56" t="s">
        <v>754</v>
      </c>
      <c r="F521" s="57" t="s">
        <v>250</v>
      </c>
      <c r="G521" s="61"/>
      <c r="H521" s="61"/>
      <c r="I521" s="62" t="s">
        <v>617</v>
      </c>
      <c r="J521" s="53"/>
    </row>
    <row r="522" ht="24.75" hidden="1" customHeight="1">
      <c r="A522" s="54" t="s">
        <v>741</v>
      </c>
      <c r="B522" s="56" t="s">
        <v>757</v>
      </c>
      <c r="C522" s="56" t="s">
        <v>627</v>
      </c>
      <c r="D522" s="56" t="s">
        <v>752</v>
      </c>
      <c r="E522" s="56" t="s">
        <v>755</v>
      </c>
      <c r="F522" s="57" t="s">
        <v>250</v>
      </c>
      <c r="G522" s="61"/>
      <c r="H522" s="61"/>
      <c r="I522" s="62" t="s">
        <v>617</v>
      </c>
      <c r="J522" s="53"/>
    </row>
    <row r="523" ht="24.75" hidden="1" customHeight="1">
      <c r="A523" s="54" t="s">
        <v>741</v>
      </c>
      <c r="B523" s="56" t="s">
        <v>758</v>
      </c>
      <c r="C523" s="56" t="s">
        <v>640</v>
      </c>
      <c r="D523" s="56" t="s">
        <v>752</v>
      </c>
      <c r="E523" s="56" t="s">
        <v>753</v>
      </c>
      <c r="F523" s="57" t="s">
        <v>250</v>
      </c>
      <c r="G523" s="61"/>
      <c r="H523" s="61"/>
      <c r="I523" s="62" t="s">
        <v>617</v>
      </c>
      <c r="J523" s="53"/>
    </row>
    <row r="524" ht="24.75" hidden="1" customHeight="1">
      <c r="A524" s="54" t="s">
        <v>741</v>
      </c>
      <c r="B524" s="56" t="s">
        <v>758</v>
      </c>
      <c r="C524" s="56" t="s">
        <v>640</v>
      </c>
      <c r="D524" s="56" t="s">
        <v>752</v>
      </c>
      <c r="E524" s="56" t="s">
        <v>754</v>
      </c>
      <c r="F524" s="57" t="s">
        <v>250</v>
      </c>
      <c r="G524" s="61"/>
      <c r="H524" s="61"/>
      <c r="I524" s="62" t="s">
        <v>617</v>
      </c>
      <c r="J524" s="53"/>
    </row>
    <row r="525" ht="24.75" hidden="1" customHeight="1">
      <c r="A525" s="54" t="s">
        <v>741</v>
      </c>
      <c r="B525" s="56" t="s">
        <v>758</v>
      </c>
      <c r="C525" s="56" t="s">
        <v>640</v>
      </c>
      <c r="D525" s="56" t="s">
        <v>752</v>
      </c>
      <c r="E525" s="56" t="s">
        <v>755</v>
      </c>
      <c r="F525" s="57" t="s">
        <v>250</v>
      </c>
      <c r="G525" s="61"/>
      <c r="H525" s="61"/>
      <c r="I525" s="62" t="s">
        <v>617</v>
      </c>
      <c r="J525" s="53"/>
    </row>
    <row r="526" ht="24.75" hidden="1" customHeight="1">
      <c r="A526" s="54" t="s">
        <v>741</v>
      </c>
      <c r="B526" s="56" t="s">
        <v>759</v>
      </c>
      <c r="C526" s="56" t="s">
        <v>645</v>
      </c>
      <c r="D526" s="56" t="s">
        <v>752</v>
      </c>
      <c r="E526" s="56" t="s">
        <v>753</v>
      </c>
      <c r="F526" s="57" t="s">
        <v>250</v>
      </c>
      <c r="G526" s="61"/>
      <c r="H526" s="61"/>
      <c r="I526" s="62" t="s">
        <v>617</v>
      </c>
      <c r="J526" s="53"/>
    </row>
    <row r="527" ht="24.75" hidden="1" customHeight="1">
      <c r="A527" s="54" t="s">
        <v>741</v>
      </c>
      <c r="B527" s="56" t="s">
        <v>759</v>
      </c>
      <c r="C527" s="56" t="s">
        <v>645</v>
      </c>
      <c r="D527" s="56" t="s">
        <v>752</v>
      </c>
      <c r="E527" s="56" t="s">
        <v>754</v>
      </c>
      <c r="F527" s="57" t="s">
        <v>250</v>
      </c>
      <c r="G527" s="61"/>
      <c r="H527" s="61"/>
      <c r="I527" s="62" t="s">
        <v>617</v>
      </c>
      <c r="J527" s="53"/>
    </row>
    <row r="528" ht="24.75" hidden="1" customHeight="1">
      <c r="A528" s="54" t="s">
        <v>741</v>
      </c>
      <c r="B528" s="56" t="s">
        <v>759</v>
      </c>
      <c r="C528" s="56" t="s">
        <v>645</v>
      </c>
      <c r="D528" s="56" t="s">
        <v>752</v>
      </c>
      <c r="E528" s="56" t="s">
        <v>755</v>
      </c>
      <c r="F528" s="57" t="s">
        <v>250</v>
      </c>
      <c r="G528" s="61"/>
      <c r="H528" s="61"/>
      <c r="I528" s="62" t="s">
        <v>617</v>
      </c>
      <c r="J528" s="53"/>
    </row>
    <row r="529" ht="24.75" hidden="1" customHeight="1">
      <c r="A529" s="54" t="s">
        <v>741</v>
      </c>
      <c r="B529" s="56" t="s">
        <v>760</v>
      </c>
      <c r="C529" s="56" t="s">
        <v>606</v>
      </c>
      <c r="D529" s="56" t="s">
        <v>752</v>
      </c>
      <c r="E529" s="56" t="s">
        <v>753</v>
      </c>
      <c r="F529" s="57" t="s">
        <v>250</v>
      </c>
      <c r="G529" s="61"/>
      <c r="H529" s="61"/>
      <c r="I529" s="62" t="s">
        <v>617</v>
      </c>
      <c r="J529" s="53"/>
    </row>
    <row r="530" ht="24.75" hidden="1" customHeight="1">
      <c r="A530" s="54" t="s">
        <v>741</v>
      </c>
      <c r="B530" s="56" t="s">
        <v>760</v>
      </c>
      <c r="C530" s="56" t="s">
        <v>606</v>
      </c>
      <c r="D530" s="56" t="s">
        <v>752</v>
      </c>
      <c r="E530" s="56" t="s">
        <v>754</v>
      </c>
      <c r="F530" s="57" t="s">
        <v>250</v>
      </c>
      <c r="G530" s="61"/>
      <c r="H530" s="61"/>
      <c r="I530" s="62" t="s">
        <v>617</v>
      </c>
      <c r="J530" s="53"/>
    </row>
    <row r="531" ht="24.75" hidden="1" customHeight="1">
      <c r="A531" s="54" t="s">
        <v>741</v>
      </c>
      <c r="B531" s="56" t="s">
        <v>760</v>
      </c>
      <c r="C531" s="56" t="s">
        <v>606</v>
      </c>
      <c r="D531" s="56" t="s">
        <v>752</v>
      </c>
      <c r="E531" s="56" t="s">
        <v>755</v>
      </c>
      <c r="F531" s="57" t="s">
        <v>250</v>
      </c>
      <c r="G531" s="61"/>
      <c r="H531" s="61"/>
      <c r="I531" s="62" t="s">
        <v>617</v>
      </c>
      <c r="J531" s="53"/>
    </row>
    <row r="532" ht="24.75" hidden="1" customHeight="1">
      <c r="A532" s="54" t="s">
        <v>761</v>
      </c>
      <c r="B532" s="56" t="s">
        <v>762</v>
      </c>
      <c r="C532" s="56" t="s">
        <v>763</v>
      </c>
      <c r="D532" s="56" t="s">
        <v>764</v>
      </c>
      <c r="E532" s="56" t="s">
        <v>195</v>
      </c>
      <c r="F532" s="57" t="s">
        <v>34</v>
      </c>
      <c r="G532" s="61"/>
      <c r="H532" s="61" t="s">
        <v>197</v>
      </c>
      <c r="I532" s="62"/>
      <c r="J532" s="53"/>
    </row>
    <row r="533" ht="24.75" hidden="1" customHeight="1">
      <c r="A533" s="54" t="s">
        <v>761</v>
      </c>
      <c r="B533" s="56" t="s">
        <v>762</v>
      </c>
      <c r="C533" s="56" t="s">
        <v>763</v>
      </c>
      <c r="D533" s="56" t="s">
        <v>764</v>
      </c>
      <c r="E533" s="56" t="s">
        <v>196</v>
      </c>
      <c r="F533" s="57" t="s">
        <v>154</v>
      </c>
      <c r="G533" s="61"/>
      <c r="H533" s="61" t="s">
        <v>200</v>
      </c>
      <c r="I533" s="62" t="s">
        <v>201</v>
      </c>
      <c r="J533" s="53"/>
    </row>
    <row r="534" ht="24.75" hidden="1" customHeight="1">
      <c r="A534" s="54" t="s">
        <v>761</v>
      </c>
      <c r="B534" s="56" t="s">
        <v>762</v>
      </c>
      <c r="C534" s="56" t="s">
        <v>763</v>
      </c>
      <c r="D534" s="56" t="s">
        <v>764</v>
      </c>
      <c r="E534" s="56" t="s">
        <v>191</v>
      </c>
      <c r="F534" s="57" t="s">
        <v>192</v>
      </c>
      <c r="G534" s="61"/>
      <c r="H534" s="61"/>
      <c r="I534" s="62"/>
      <c r="J534" s="53"/>
    </row>
    <row r="535" ht="24.75" hidden="1" customHeight="1">
      <c r="A535" s="54" t="s">
        <v>761</v>
      </c>
      <c r="B535" s="56" t="s">
        <v>762</v>
      </c>
      <c r="C535" s="56" t="s">
        <v>763</v>
      </c>
      <c r="D535" s="56" t="s">
        <v>764</v>
      </c>
      <c r="E535" s="56" t="s">
        <v>194</v>
      </c>
      <c r="F535" s="57" t="s">
        <v>192</v>
      </c>
      <c r="G535" s="61"/>
      <c r="H535" s="61"/>
      <c r="I535" s="62"/>
      <c r="J535" s="53"/>
    </row>
    <row r="536" ht="24.75" hidden="1" customHeight="1">
      <c r="A536" s="54" t="s">
        <v>761</v>
      </c>
      <c r="B536" s="56" t="s">
        <v>765</v>
      </c>
      <c r="C536" s="56" t="s">
        <v>766</v>
      </c>
      <c r="D536" s="56" t="s">
        <v>767</v>
      </c>
      <c r="E536" s="56" t="s">
        <v>768</v>
      </c>
      <c r="F536" s="57" t="s">
        <v>154</v>
      </c>
      <c r="G536" s="61"/>
      <c r="H536" s="61" t="s">
        <v>769</v>
      </c>
      <c r="I536" s="62" t="s">
        <v>770</v>
      </c>
      <c r="J536" s="53"/>
    </row>
    <row r="537" ht="24.75" hidden="1" customHeight="1">
      <c r="A537" s="54" t="s">
        <v>761</v>
      </c>
      <c r="B537" s="56" t="s">
        <v>765</v>
      </c>
      <c r="C537" s="56" t="s">
        <v>766</v>
      </c>
      <c r="D537" s="56" t="s">
        <v>767</v>
      </c>
      <c r="E537" s="56" t="s">
        <v>771</v>
      </c>
      <c r="F537" s="57" t="s">
        <v>154</v>
      </c>
      <c r="G537" s="61"/>
      <c r="H537" s="61" t="s">
        <v>769</v>
      </c>
      <c r="I537" s="62" t="s">
        <v>772</v>
      </c>
      <c r="J537" s="53"/>
    </row>
    <row r="538" ht="24.75" hidden="1" customHeight="1">
      <c r="A538" s="54" t="s">
        <v>761</v>
      </c>
      <c r="B538" s="56" t="s">
        <v>765</v>
      </c>
      <c r="C538" s="56" t="s">
        <v>766</v>
      </c>
      <c r="D538" s="56" t="s">
        <v>767</v>
      </c>
      <c r="E538" s="56" t="s">
        <v>773</v>
      </c>
      <c r="F538" s="57" t="s">
        <v>154</v>
      </c>
      <c r="G538" s="61"/>
      <c r="H538" s="61"/>
      <c r="I538" s="62"/>
      <c r="J538" s="53"/>
    </row>
    <row r="539" ht="24.75" hidden="1" customHeight="1">
      <c r="A539" s="54" t="s">
        <v>761</v>
      </c>
      <c r="B539" s="56" t="s">
        <v>765</v>
      </c>
      <c r="C539" s="56" t="s">
        <v>766</v>
      </c>
      <c r="D539" s="56" t="s">
        <v>767</v>
      </c>
      <c r="E539" s="56" t="s">
        <v>774</v>
      </c>
      <c r="F539" s="57" t="s">
        <v>154</v>
      </c>
      <c r="G539" s="61"/>
      <c r="H539" s="61"/>
      <c r="I539" s="62"/>
      <c r="J539" s="53"/>
    </row>
    <row r="540" ht="24.75" hidden="1" customHeight="1">
      <c r="A540" s="54" t="s">
        <v>761</v>
      </c>
      <c r="B540" s="56" t="s">
        <v>765</v>
      </c>
      <c r="C540" s="56" t="s">
        <v>766</v>
      </c>
      <c r="D540" s="56" t="s">
        <v>767</v>
      </c>
      <c r="E540" s="56" t="s">
        <v>775</v>
      </c>
      <c r="F540" s="57" t="s">
        <v>154</v>
      </c>
      <c r="G540" s="61"/>
      <c r="H540" s="61"/>
      <c r="I540" s="62"/>
      <c r="J540" s="53"/>
    </row>
    <row r="541" ht="24.75" hidden="1" customHeight="1">
      <c r="A541" s="54" t="s">
        <v>761</v>
      </c>
      <c r="B541" s="56" t="s">
        <v>765</v>
      </c>
      <c r="C541" s="56" t="s">
        <v>766</v>
      </c>
      <c r="D541" s="56" t="s">
        <v>776</v>
      </c>
      <c r="E541" s="56" t="s">
        <v>777</v>
      </c>
      <c r="F541" s="57" t="s">
        <v>15</v>
      </c>
      <c r="G541" s="61"/>
      <c r="H541" s="61"/>
      <c r="I541" s="60"/>
      <c r="J541" s="53"/>
    </row>
    <row r="542" ht="24.75" hidden="1" customHeight="1">
      <c r="A542" s="54" t="s">
        <v>761</v>
      </c>
      <c r="B542" s="56" t="s">
        <v>765</v>
      </c>
      <c r="C542" s="56" t="s">
        <v>766</v>
      </c>
      <c r="D542" s="56" t="s">
        <v>776</v>
      </c>
      <c r="E542" s="56" t="s">
        <v>778</v>
      </c>
      <c r="F542" s="57" t="s">
        <v>15</v>
      </c>
      <c r="G542" s="61"/>
      <c r="H542" s="61"/>
      <c r="I542" s="60"/>
      <c r="J542" s="53"/>
    </row>
    <row r="543" ht="24.75" hidden="1" customHeight="1">
      <c r="A543" s="54" t="s">
        <v>761</v>
      </c>
      <c r="B543" s="56" t="s">
        <v>779</v>
      </c>
      <c r="C543" s="56" t="s">
        <v>780</v>
      </c>
      <c r="D543" s="56" t="s">
        <v>781</v>
      </c>
      <c r="E543" s="56" t="s">
        <v>232</v>
      </c>
      <c r="F543" s="57" t="s">
        <v>154</v>
      </c>
      <c r="G543" s="61"/>
      <c r="H543" s="61" t="s">
        <v>769</v>
      </c>
      <c r="I543" s="62" t="s">
        <v>782</v>
      </c>
      <c r="J543" s="83"/>
    </row>
    <row r="544" ht="24.75" hidden="1" customHeight="1">
      <c r="A544" s="54" t="s">
        <v>761</v>
      </c>
      <c r="B544" s="56" t="s">
        <v>779</v>
      </c>
      <c r="C544" s="56" t="s">
        <v>780</v>
      </c>
      <c r="D544" s="56" t="s">
        <v>781</v>
      </c>
      <c r="E544" s="56" t="s">
        <v>783</v>
      </c>
      <c r="F544" s="57" t="s">
        <v>154</v>
      </c>
      <c r="G544" s="61"/>
      <c r="H544" s="61"/>
      <c r="I544" s="62"/>
      <c r="J544" s="53"/>
    </row>
    <row r="545" ht="24.75" hidden="1" customHeight="1">
      <c r="A545" s="54" t="s">
        <v>761</v>
      </c>
      <c r="B545" s="56" t="s">
        <v>779</v>
      </c>
      <c r="C545" s="56" t="s">
        <v>780</v>
      </c>
      <c r="D545" s="56" t="s">
        <v>781</v>
      </c>
      <c r="E545" s="56" t="s">
        <v>230</v>
      </c>
      <c r="F545" s="57" t="s">
        <v>154</v>
      </c>
      <c r="G545" s="61"/>
      <c r="H545" s="61"/>
      <c r="I545" s="62"/>
      <c r="J545" s="83"/>
    </row>
    <row r="546" ht="24.75" hidden="1" customHeight="1">
      <c r="A546" s="54" t="s">
        <v>761</v>
      </c>
      <c r="B546" s="56" t="s">
        <v>784</v>
      </c>
      <c r="C546" s="56" t="s">
        <v>763</v>
      </c>
      <c r="D546" s="56" t="s">
        <v>785</v>
      </c>
      <c r="E546" s="56" t="s">
        <v>216</v>
      </c>
      <c r="F546" s="57" t="s">
        <v>34</v>
      </c>
      <c r="G546" s="61"/>
      <c r="H546" s="61"/>
      <c r="I546" s="62"/>
      <c r="J546" s="53"/>
    </row>
    <row r="547" ht="24.75" hidden="1" customHeight="1">
      <c r="A547" s="54" t="s">
        <v>761</v>
      </c>
      <c r="B547" s="56" t="s">
        <v>784</v>
      </c>
      <c r="C547" s="56" t="s">
        <v>763</v>
      </c>
      <c r="D547" s="56" t="s">
        <v>785</v>
      </c>
      <c r="E547" s="56" t="s">
        <v>786</v>
      </c>
      <c r="F547" s="57" t="s">
        <v>34</v>
      </c>
      <c r="G547" s="61"/>
      <c r="H547" s="61"/>
      <c r="I547" s="62"/>
      <c r="J547" s="53"/>
    </row>
    <row r="548" ht="24.75" hidden="1" customHeight="1">
      <c r="A548" s="54" t="s">
        <v>761</v>
      </c>
      <c r="B548" s="56" t="s">
        <v>784</v>
      </c>
      <c r="C548" s="56" t="s">
        <v>763</v>
      </c>
      <c r="D548" s="56" t="s">
        <v>787</v>
      </c>
      <c r="E548" s="56" t="s">
        <v>163</v>
      </c>
      <c r="F548" s="57" t="s">
        <v>34</v>
      </c>
      <c r="G548" s="61"/>
      <c r="H548" s="61"/>
      <c r="I548" s="62"/>
      <c r="J548" s="53"/>
    </row>
    <row r="549" ht="24.75" hidden="1" customHeight="1">
      <c r="A549" s="54" t="s">
        <v>761</v>
      </c>
      <c r="B549" s="56" t="s">
        <v>784</v>
      </c>
      <c r="C549" s="56" t="s">
        <v>763</v>
      </c>
      <c r="D549" s="56" t="s">
        <v>787</v>
      </c>
      <c r="E549" s="56" t="s">
        <v>788</v>
      </c>
      <c r="F549" s="57" t="s">
        <v>154</v>
      </c>
      <c r="G549" s="61"/>
      <c r="H549" s="61"/>
      <c r="I549" s="62"/>
      <c r="J549" s="53"/>
    </row>
    <row r="550" ht="24.75" hidden="1" customHeight="1">
      <c r="A550" s="54" t="s">
        <v>761</v>
      </c>
      <c r="B550" s="56" t="s">
        <v>784</v>
      </c>
      <c r="C550" s="56" t="s">
        <v>763</v>
      </c>
      <c r="D550" s="56" t="s">
        <v>787</v>
      </c>
      <c r="E550" s="56" t="s">
        <v>213</v>
      </c>
      <c r="F550" s="57"/>
      <c r="G550" s="50"/>
      <c r="H550" s="50"/>
      <c r="I550" s="84"/>
      <c r="J550" s="53"/>
    </row>
    <row r="551" ht="24.75" hidden="1" customHeight="1">
      <c r="A551" s="54" t="s">
        <v>761</v>
      </c>
      <c r="B551" s="56" t="s">
        <v>784</v>
      </c>
      <c r="C551" s="56" t="s">
        <v>763</v>
      </c>
      <c r="D551" s="56" t="s">
        <v>789</v>
      </c>
      <c r="E551" s="56" t="s">
        <v>790</v>
      </c>
      <c r="F551" s="57" t="s">
        <v>154</v>
      </c>
      <c r="G551" s="61"/>
      <c r="H551" s="61"/>
      <c r="I551" s="62"/>
      <c r="J551" s="53"/>
    </row>
    <row r="552" ht="24.75" hidden="1" customHeight="1">
      <c r="A552" s="54" t="s">
        <v>761</v>
      </c>
      <c r="B552" s="56" t="s">
        <v>791</v>
      </c>
      <c r="C552" s="56" t="s">
        <v>792</v>
      </c>
      <c r="D552" s="56" t="s">
        <v>793</v>
      </c>
      <c r="E552" s="56" t="s">
        <v>794</v>
      </c>
      <c r="F552" s="57" t="s">
        <v>154</v>
      </c>
      <c r="G552" s="61"/>
      <c r="H552" s="61"/>
      <c r="I552" s="62"/>
      <c r="J552" s="53"/>
    </row>
    <row r="553" ht="24.75" hidden="1" customHeight="1">
      <c r="A553" s="54" t="s">
        <v>761</v>
      </c>
      <c r="B553" s="56" t="s">
        <v>795</v>
      </c>
      <c r="C553" s="56" t="s">
        <v>792</v>
      </c>
      <c r="D553" s="56" t="s">
        <v>796</v>
      </c>
      <c r="E553" s="56" t="s">
        <v>797</v>
      </c>
      <c r="F553" s="57" t="s">
        <v>154</v>
      </c>
      <c r="G553" s="81"/>
      <c r="H553" s="61" t="s">
        <v>769</v>
      </c>
      <c r="I553" s="62" t="s">
        <v>800</v>
      </c>
      <c r="J553" s="53"/>
    </row>
    <row r="554" ht="24.75" hidden="1" customHeight="1">
      <c r="A554" s="54" t="s">
        <v>761</v>
      </c>
      <c r="B554" s="56" t="s">
        <v>798</v>
      </c>
      <c r="C554" s="56" t="s">
        <v>792</v>
      </c>
      <c r="D554" s="56" t="s">
        <v>799</v>
      </c>
      <c r="E554" s="56" t="s">
        <v>790</v>
      </c>
      <c r="F554" s="57" t="s">
        <v>154</v>
      </c>
      <c r="G554" s="61"/>
      <c r="H554" s="61" t="s">
        <v>769</v>
      </c>
      <c r="I554" s="62" t="s">
        <v>803</v>
      </c>
      <c r="J554" s="53"/>
    </row>
    <row r="555" ht="24.75" hidden="1" customHeight="1">
      <c r="A555" s="54" t="s">
        <v>761</v>
      </c>
      <c r="B555" s="56" t="s">
        <v>801</v>
      </c>
      <c r="C555" s="56" t="s">
        <v>792</v>
      </c>
      <c r="D555" s="56" t="s">
        <v>802</v>
      </c>
      <c r="E555" s="56" t="s">
        <v>790</v>
      </c>
      <c r="F555" s="57" t="s">
        <v>154</v>
      </c>
      <c r="G555" s="61"/>
      <c r="H555" s="61" t="s">
        <v>769</v>
      </c>
      <c r="I555" s="62" t="s">
        <v>806</v>
      </c>
      <c r="J555" s="53"/>
    </row>
    <row r="556" ht="24.75" hidden="1" customHeight="1">
      <c r="A556" s="54" t="s">
        <v>761</v>
      </c>
      <c r="B556" s="56" t="s">
        <v>804</v>
      </c>
      <c r="C556" s="56" t="s">
        <v>792</v>
      </c>
      <c r="D556" s="56" t="s">
        <v>805</v>
      </c>
      <c r="E556" s="56" t="s">
        <v>790</v>
      </c>
      <c r="F556" s="57" t="s">
        <v>154</v>
      </c>
      <c r="G556" s="61"/>
      <c r="H556" s="61" t="s">
        <v>769</v>
      </c>
      <c r="I556" s="62" t="s">
        <v>810</v>
      </c>
      <c r="J556" s="53"/>
    </row>
    <row r="557" ht="24.75" hidden="1" customHeight="1">
      <c r="A557" s="54" t="s">
        <v>761</v>
      </c>
      <c r="B557" s="56" t="s">
        <v>807</v>
      </c>
      <c r="C557" s="56" t="s">
        <v>792</v>
      </c>
      <c r="D557" s="56" t="s">
        <v>808</v>
      </c>
      <c r="E557" s="56" t="s">
        <v>790</v>
      </c>
      <c r="F557" s="57" t="s">
        <v>154</v>
      </c>
      <c r="G557" s="61"/>
      <c r="H557" s="61" t="s">
        <v>769</v>
      </c>
      <c r="I557" s="62" t="s">
        <v>806</v>
      </c>
      <c r="J557" s="53"/>
    </row>
    <row r="558" ht="24.75" hidden="1" customHeight="1">
      <c r="A558" s="54" t="s">
        <v>761</v>
      </c>
      <c r="B558" s="56" t="s">
        <v>807</v>
      </c>
      <c r="C558" s="56" t="s">
        <v>792</v>
      </c>
      <c r="D558" s="56" t="s">
        <v>809</v>
      </c>
      <c r="E558" s="56" t="s">
        <v>790</v>
      </c>
      <c r="F558" s="57" t="s">
        <v>154</v>
      </c>
      <c r="G558" s="61"/>
      <c r="H558" s="61" t="s">
        <v>769</v>
      </c>
      <c r="I558" s="62" t="s">
        <v>806</v>
      </c>
      <c r="J558" s="53"/>
    </row>
    <row r="559" ht="24.75" hidden="1" customHeight="1">
      <c r="A559" s="54" t="s">
        <v>761</v>
      </c>
      <c r="B559" s="56" t="s">
        <v>811</v>
      </c>
      <c r="C559" s="56" t="s">
        <v>792</v>
      </c>
      <c r="D559" s="56" t="s">
        <v>812</v>
      </c>
      <c r="E559" s="56" t="s">
        <v>790</v>
      </c>
      <c r="F559" s="57" t="s">
        <v>154</v>
      </c>
      <c r="G559" s="61"/>
      <c r="H559" s="61" t="s">
        <v>769</v>
      </c>
      <c r="I559" s="62" t="s">
        <v>806</v>
      </c>
      <c r="J559" s="53"/>
    </row>
    <row r="560" ht="24.75" hidden="1" customHeight="1">
      <c r="A560" s="54" t="s">
        <v>761</v>
      </c>
      <c r="B560" s="56" t="s">
        <v>813</v>
      </c>
      <c r="C560" s="56" t="s">
        <v>792</v>
      </c>
      <c r="D560" s="56" t="s">
        <v>814</v>
      </c>
      <c r="E560" s="56" t="s">
        <v>790</v>
      </c>
      <c r="F560" s="57" t="s">
        <v>154</v>
      </c>
      <c r="G560" s="61"/>
      <c r="H560" s="61" t="s">
        <v>769</v>
      </c>
      <c r="I560" s="62" t="s">
        <v>810</v>
      </c>
      <c r="J560" s="53"/>
    </row>
    <row r="561" ht="24.75" hidden="1" customHeight="1">
      <c r="A561" s="54" t="s">
        <v>761</v>
      </c>
      <c r="B561" s="56" t="s">
        <v>815</v>
      </c>
      <c r="C561" s="56" t="s">
        <v>792</v>
      </c>
      <c r="D561" s="56" t="s">
        <v>816</v>
      </c>
      <c r="E561" s="56" t="s">
        <v>790</v>
      </c>
      <c r="F561" s="57" t="s">
        <v>154</v>
      </c>
      <c r="G561" s="61"/>
      <c r="H561" s="61" t="s">
        <v>769</v>
      </c>
      <c r="I561" s="62" t="s">
        <v>806</v>
      </c>
      <c r="J561" s="53"/>
    </row>
    <row r="562" ht="24.75" hidden="1" customHeight="1">
      <c r="A562" s="54" t="s">
        <v>761</v>
      </c>
      <c r="B562" s="56" t="s">
        <v>815</v>
      </c>
      <c r="C562" s="104" t="s">
        <v>792</v>
      </c>
      <c r="D562" s="56" t="s">
        <v>816</v>
      </c>
      <c r="E562" s="56" t="s">
        <v>817</v>
      </c>
      <c r="F562" s="57" t="s">
        <v>154</v>
      </c>
      <c r="G562" s="61"/>
      <c r="H562" s="61" t="s">
        <v>769</v>
      </c>
      <c r="I562" s="62" t="s">
        <v>823</v>
      </c>
      <c r="J562" s="53"/>
    </row>
    <row r="563" ht="24.75" hidden="1" customHeight="1">
      <c r="A563" s="54" t="s">
        <v>761</v>
      </c>
      <c r="B563" s="56" t="s">
        <v>818</v>
      </c>
      <c r="C563" s="104" t="s">
        <v>792</v>
      </c>
      <c r="D563" s="56" t="s">
        <v>819</v>
      </c>
      <c r="E563" s="56" t="s">
        <v>790</v>
      </c>
      <c r="F563" s="57" t="s">
        <v>154</v>
      </c>
      <c r="G563" s="61"/>
      <c r="H563" s="61" t="s">
        <v>769</v>
      </c>
      <c r="I563" s="62" t="s">
        <v>806</v>
      </c>
      <c r="J563" s="53"/>
    </row>
    <row r="564" ht="24.75" hidden="1" customHeight="1">
      <c r="A564" s="54" t="s">
        <v>761</v>
      </c>
      <c r="B564" s="56" t="s">
        <v>818</v>
      </c>
      <c r="C564" s="104" t="s">
        <v>792</v>
      </c>
      <c r="D564" s="56" t="s">
        <v>820</v>
      </c>
      <c r="E564" s="56" t="s">
        <v>817</v>
      </c>
      <c r="F564" s="57" t="s">
        <v>154</v>
      </c>
      <c r="G564" s="61"/>
      <c r="H564" s="61" t="s">
        <v>769</v>
      </c>
      <c r="I564" s="62" t="s">
        <v>823</v>
      </c>
      <c r="J564" s="53"/>
    </row>
    <row r="565" ht="24.75" hidden="1" customHeight="1">
      <c r="A565" s="54" t="s">
        <v>761</v>
      </c>
      <c r="B565" s="56" t="s">
        <v>818</v>
      </c>
      <c r="C565" s="104" t="s">
        <v>792</v>
      </c>
      <c r="D565" s="56" t="s">
        <v>821</v>
      </c>
      <c r="E565" s="56" t="s">
        <v>817</v>
      </c>
      <c r="F565" s="57" t="s">
        <v>154</v>
      </c>
      <c r="G565" s="61"/>
      <c r="H565" s="61" t="s">
        <v>769</v>
      </c>
      <c r="I565" s="62" t="s">
        <v>823</v>
      </c>
      <c r="J565" s="53"/>
    </row>
    <row r="566" ht="24.75" hidden="1" customHeight="1">
      <c r="A566" s="54" t="s">
        <v>761</v>
      </c>
      <c r="B566" s="56" t="s">
        <v>818</v>
      </c>
      <c r="C566" s="104" t="s">
        <v>792</v>
      </c>
      <c r="D566" s="56" t="s">
        <v>822</v>
      </c>
      <c r="E566" s="56" t="s">
        <v>790</v>
      </c>
      <c r="F566" s="57" t="s">
        <v>154</v>
      </c>
      <c r="G566" s="61"/>
      <c r="H566" s="61" t="s">
        <v>769</v>
      </c>
      <c r="I566" s="62" t="s">
        <v>823</v>
      </c>
      <c r="J566" s="53"/>
    </row>
    <row r="567" ht="24.75" hidden="1" customHeight="1">
      <c r="A567" s="54" t="s">
        <v>761</v>
      </c>
      <c r="B567" s="56" t="s">
        <v>791</v>
      </c>
      <c r="C567" s="104" t="s">
        <v>792</v>
      </c>
      <c r="D567" s="56" t="s">
        <v>793</v>
      </c>
      <c r="E567" s="56" t="s">
        <v>824</v>
      </c>
      <c r="F567" s="57" t="s">
        <v>192</v>
      </c>
      <c r="G567" s="61"/>
      <c r="H567" s="61"/>
      <c r="I567" s="62"/>
      <c r="J567" s="53"/>
    </row>
    <row r="568" ht="24.75" hidden="1" customHeight="1">
      <c r="A568" s="54" t="s">
        <v>761</v>
      </c>
      <c r="B568" s="56" t="s">
        <v>825</v>
      </c>
      <c r="C568" s="104" t="s">
        <v>792</v>
      </c>
      <c r="D568" s="56" t="s">
        <v>826</v>
      </c>
      <c r="E568" s="56" t="s">
        <v>232</v>
      </c>
      <c r="F568" s="76" t="s">
        <v>154</v>
      </c>
      <c r="G568" s="61"/>
      <c r="H568" s="61" t="s">
        <v>769</v>
      </c>
      <c r="I568" s="62" t="s">
        <v>823</v>
      </c>
      <c r="J568" s="53"/>
    </row>
    <row r="569" ht="24.75" hidden="1" customHeight="1">
      <c r="A569" s="54" t="s">
        <v>761</v>
      </c>
      <c r="B569" s="56" t="s">
        <v>825</v>
      </c>
      <c r="C569" s="56" t="s">
        <v>792</v>
      </c>
      <c r="D569" s="56" t="s">
        <v>826</v>
      </c>
      <c r="E569" s="56" t="s">
        <v>794</v>
      </c>
      <c r="F569" s="57" t="s">
        <v>154</v>
      </c>
      <c r="G569" s="61"/>
      <c r="H569" s="61"/>
      <c r="I569" s="62"/>
      <c r="J569" s="53"/>
    </row>
    <row r="570" ht="24.75" hidden="1" customHeight="1">
      <c r="A570" s="54" t="s">
        <v>761</v>
      </c>
      <c r="B570" s="56" t="s">
        <v>825</v>
      </c>
      <c r="C570" s="56" t="s">
        <v>792</v>
      </c>
      <c r="D570" s="56" t="s">
        <v>826</v>
      </c>
      <c r="E570" s="56" t="s">
        <v>824</v>
      </c>
      <c r="F570" s="57" t="s">
        <v>192</v>
      </c>
      <c r="G570" s="61"/>
      <c r="H570" s="61"/>
      <c r="I570" s="62"/>
      <c r="J570" s="53"/>
    </row>
    <row r="571" ht="24.75" hidden="1" customHeight="1">
      <c r="A571" s="54" t="s">
        <v>761</v>
      </c>
      <c r="B571" s="56" t="s">
        <v>827</v>
      </c>
      <c r="C571" s="56" t="s">
        <v>792</v>
      </c>
      <c r="D571" s="56" t="s">
        <v>828</v>
      </c>
      <c r="E571" s="56" t="s">
        <v>829</v>
      </c>
      <c r="F571" s="76" t="s">
        <v>154</v>
      </c>
      <c r="G571" s="61"/>
      <c r="H571" s="61" t="s">
        <v>769</v>
      </c>
      <c r="I571" s="62" t="s">
        <v>840</v>
      </c>
      <c r="J571" s="53"/>
    </row>
    <row r="572" ht="24.75" hidden="1" customHeight="1">
      <c r="A572" s="54" t="s">
        <v>761</v>
      </c>
      <c r="B572" s="56" t="s">
        <v>827</v>
      </c>
      <c r="C572" s="56" t="s">
        <v>792</v>
      </c>
      <c r="D572" s="56" t="s">
        <v>828</v>
      </c>
      <c r="E572" s="56" t="s">
        <v>830</v>
      </c>
      <c r="F572" s="57" t="s">
        <v>154</v>
      </c>
      <c r="G572" s="61"/>
      <c r="H572" s="61"/>
      <c r="I572" s="62"/>
      <c r="J572" s="53"/>
    </row>
    <row r="573" ht="24.75" hidden="1" customHeight="1">
      <c r="A573" s="54" t="s">
        <v>831</v>
      </c>
      <c r="B573" s="56" t="s">
        <v>832</v>
      </c>
      <c r="C573" s="56" t="s">
        <v>833</v>
      </c>
      <c r="D573" s="56" t="s">
        <v>834</v>
      </c>
      <c r="E573" s="56" t="s">
        <v>111</v>
      </c>
      <c r="F573" s="57" t="s">
        <v>34</v>
      </c>
      <c r="G573" s="61"/>
      <c r="H573" s="61"/>
      <c r="I573" s="62"/>
      <c r="J573" s="53"/>
    </row>
    <row r="574" ht="24.75" hidden="1" customHeight="1">
      <c r="A574" s="54" t="s">
        <v>831</v>
      </c>
      <c r="B574" s="56" t="s">
        <v>832</v>
      </c>
      <c r="C574" s="56" t="s">
        <v>833</v>
      </c>
      <c r="D574" s="56" t="s">
        <v>834</v>
      </c>
      <c r="E574" s="56" t="s">
        <v>835</v>
      </c>
      <c r="F574" s="57" t="s">
        <v>34</v>
      </c>
      <c r="G574" s="61"/>
      <c r="H574" s="61"/>
      <c r="I574" s="62"/>
      <c r="J574" s="53"/>
    </row>
    <row r="575" ht="24.75" hidden="1" customHeight="1">
      <c r="A575" s="54" t="s">
        <v>831</v>
      </c>
      <c r="B575" s="56" t="s">
        <v>832</v>
      </c>
      <c r="C575" s="56" t="s">
        <v>833</v>
      </c>
      <c r="D575" s="56" t="s">
        <v>834</v>
      </c>
      <c r="E575" s="56" t="s">
        <v>836</v>
      </c>
      <c r="F575" s="57" t="s">
        <v>154</v>
      </c>
      <c r="G575" s="61"/>
      <c r="H575" s="61" t="s">
        <v>159</v>
      </c>
      <c r="I575" s="62" t="s">
        <v>160</v>
      </c>
      <c r="J575" s="53"/>
    </row>
    <row r="576" ht="24.75" hidden="1" customHeight="1">
      <c r="A576" s="54" t="s">
        <v>831</v>
      </c>
      <c r="B576" s="56" t="s">
        <v>837</v>
      </c>
      <c r="C576" s="56" t="s">
        <v>838</v>
      </c>
      <c r="D576" s="56" t="s">
        <v>839</v>
      </c>
      <c r="E576" s="56" t="s">
        <v>771</v>
      </c>
      <c r="F576" s="57" t="s">
        <v>154</v>
      </c>
      <c r="G576" s="61"/>
      <c r="H576" s="61" t="s">
        <v>159</v>
      </c>
      <c r="I576" s="62" t="s">
        <v>772</v>
      </c>
      <c r="J576" s="53"/>
    </row>
    <row r="577" ht="24.75" hidden="1" customHeight="1">
      <c r="A577" s="54" t="s">
        <v>831</v>
      </c>
      <c r="B577" s="56" t="s">
        <v>837</v>
      </c>
      <c r="C577" s="56" t="s">
        <v>838</v>
      </c>
      <c r="D577" s="56" t="s">
        <v>839</v>
      </c>
      <c r="E577" s="56" t="s">
        <v>768</v>
      </c>
      <c r="F577" s="57" t="s">
        <v>154</v>
      </c>
      <c r="G577" s="61"/>
      <c r="H577" s="61" t="s">
        <v>592</v>
      </c>
      <c r="I577" s="62" t="s">
        <v>770</v>
      </c>
      <c r="J577" s="53"/>
    </row>
    <row r="578" ht="24.75" hidden="1" customHeight="1">
      <c r="A578" s="54" t="s">
        <v>831</v>
      </c>
      <c r="B578" s="56" t="s">
        <v>837</v>
      </c>
      <c r="C578" s="56" t="s">
        <v>838</v>
      </c>
      <c r="D578" s="56" t="s">
        <v>839</v>
      </c>
      <c r="E578" s="56" t="s">
        <v>773</v>
      </c>
      <c r="F578" s="57" t="s">
        <v>154</v>
      </c>
      <c r="G578" s="61"/>
      <c r="H578" s="61"/>
      <c r="I578" s="62"/>
      <c r="J578" s="53"/>
    </row>
    <row r="579" ht="24.75" hidden="1" customHeight="1">
      <c r="A579" s="54" t="s">
        <v>831</v>
      </c>
      <c r="B579" s="56" t="s">
        <v>837</v>
      </c>
      <c r="C579" s="56" t="s">
        <v>838</v>
      </c>
      <c r="D579" s="56" t="s">
        <v>839</v>
      </c>
      <c r="E579" s="56" t="s">
        <v>841</v>
      </c>
      <c r="F579" s="57" t="s">
        <v>154</v>
      </c>
      <c r="G579" s="61"/>
      <c r="H579" s="61"/>
      <c r="I579" s="62"/>
      <c r="J579" s="53"/>
    </row>
    <row r="580" ht="24.75" hidden="1" customHeight="1">
      <c r="A580" s="54" t="s">
        <v>831</v>
      </c>
      <c r="B580" s="56" t="s">
        <v>837</v>
      </c>
      <c r="C580" s="56" t="s">
        <v>838</v>
      </c>
      <c r="D580" s="56" t="s">
        <v>839</v>
      </c>
      <c r="E580" s="56" t="s">
        <v>777</v>
      </c>
      <c r="F580" s="57" t="s">
        <v>15</v>
      </c>
      <c r="G580" s="61"/>
      <c r="H580" s="61"/>
      <c r="I580" s="60"/>
      <c r="J580" s="53"/>
    </row>
    <row r="581" ht="24.75" hidden="1" customHeight="1">
      <c r="A581" s="54" t="s">
        <v>831</v>
      </c>
      <c r="B581" s="56" t="s">
        <v>837</v>
      </c>
      <c r="C581" s="56" t="s">
        <v>838</v>
      </c>
      <c r="D581" s="56" t="s">
        <v>839</v>
      </c>
      <c r="E581" s="56" t="s">
        <v>778</v>
      </c>
      <c r="F581" s="57" t="s">
        <v>15</v>
      </c>
      <c r="G581" s="61"/>
      <c r="H581" s="61"/>
      <c r="I581" s="60"/>
      <c r="J581" s="53"/>
    </row>
    <row r="582" ht="24.75" hidden="1" customHeight="1">
      <c r="A582" s="54" t="s">
        <v>831</v>
      </c>
      <c r="B582" s="56" t="s">
        <v>842</v>
      </c>
      <c r="C582" s="56" t="s">
        <v>838</v>
      </c>
      <c r="D582" s="56" t="s">
        <v>843</v>
      </c>
      <c r="E582" s="56" t="s">
        <v>111</v>
      </c>
      <c r="F582" s="57" t="s">
        <v>154</v>
      </c>
      <c r="G582" s="61"/>
      <c r="H582" s="61"/>
      <c r="I582" s="62"/>
      <c r="J582" s="53"/>
    </row>
    <row r="583" ht="24.75" hidden="1" customHeight="1">
      <c r="A583" s="54" t="s">
        <v>831</v>
      </c>
      <c r="B583" s="56" t="s">
        <v>842</v>
      </c>
      <c r="C583" s="56" t="s">
        <v>838</v>
      </c>
      <c r="D583" s="56" t="s">
        <v>843</v>
      </c>
      <c r="E583" s="56" t="s">
        <v>844</v>
      </c>
      <c r="F583" s="57" t="s">
        <v>154</v>
      </c>
      <c r="G583" s="61"/>
      <c r="H583" s="61"/>
      <c r="I583" s="62"/>
      <c r="J583" s="53"/>
    </row>
    <row r="584" ht="24.75" hidden="1" customHeight="1">
      <c r="A584" s="54" t="s">
        <v>831</v>
      </c>
      <c r="B584" s="56" t="s">
        <v>842</v>
      </c>
      <c r="C584" s="56" t="s">
        <v>838</v>
      </c>
      <c r="D584" s="56" t="s">
        <v>843</v>
      </c>
      <c r="E584" s="56" t="s">
        <v>797</v>
      </c>
      <c r="F584" s="57" t="s">
        <v>192</v>
      </c>
      <c r="G584" s="61"/>
      <c r="H584" s="61" t="s">
        <v>592</v>
      </c>
      <c r="I584" s="62" t="s">
        <v>855</v>
      </c>
      <c r="J584" s="53"/>
    </row>
    <row r="585" ht="24.75" hidden="1" customHeight="1">
      <c r="A585" s="54" t="s">
        <v>831</v>
      </c>
      <c r="B585" s="56" t="s">
        <v>845</v>
      </c>
      <c r="C585" s="56" t="s">
        <v>838</v>
      </c>
      <c r="D585" s="56" t="s">
        <v>846</v>
      </c>
      <c r="E585" s="56" t="s">
        <v>771</v>
      </c>
      <c r="F585" s="57" t="s">
        <v>154</v>
      </c>
      <c r="G585" s="61"/>
      <c r="H585" s="61" t="s">
        <v>159</v>
      </c>
      <c r="I585" s="62" t="s">
        <v>772</v>
      </c>
      <c r="J585" s="53"/>
    </row>
    <row r="586" ht="24.75" hidden="1" customHeight="1">
      <c r="A586" s="54" t="s">
        <v>831</v>
      </c>
      <c r="B586" s="56" t="s">
        <v>845</v>
      </c>
      <c r="C586" s="56" t="s">
        <v>838</v>
      </c>
      <c r="D586" s="56" t="s">
        <v>846</v>
      </c>
      <c r="E586" s="56" t="s">
        <v>768</v>
      </c>
      <c r="F586" s="57" t="s">
        <v>154</v>
      </c>
      <c r="G586" s="61"/>
      <c r="H586" s="61" t="s">
        <v>592</v>
      </c>
      <c r="I586" s="62" t="s">
        <v>770</v>
      </c>
      <c r="J586" s="53"/>
    </row>
    <row r="587" ht="24.75" hidden="1" customHeight="1">
      <c r="A587" s="54" t="s">
        <v>831</v>
      </c>
      <c r="B587" s="56" t="s">
        <v>845</v>
      </c>
      <c r="C587" s="56" t="s">
        <v>838</v>
      </c>
      <c r="D587" s="56" t="s">
        <v>846</v>
      </c>
      <c r="E587" s="56" t="s">
        <v>773</v>
      </c>
      <c r="F587" s="57" t="s">
        <v>154</v>
      </c>
      <c r="G587" s="61"/>
      <c r="H587" s="61"/>
      <c r="I587" s="62"/>
      <c r="J587" s="53"/>
    </row>
    <row r="588" ht="24.75" hidden="1" customHeight="1">
      <c r="A588" s="54" t="s">
        <v>831</v>
      </c>
      <c r="B588" s="56" t="s">
        <v>845</v>
      </c>
      <c r="C588" s="56" t="s">
        <v>838</v>
      </c>
      <c r="D588" s="56" t="s">
        <v>846</v>
      </c>
      <c r="E588" s="56" t="s">
        <v>841</v>
      </c>
      <c r="F588" s="57" t="s">
        <v>154</v>
      </c>
      <c r="G588" s="61"/>
      <c r="H588" s="61"/>
      <c r="I588" s="62"/>
      <c r="J588" s="53"/>
    </row>
    <row r="589" ht="24.75" hidden="1" customHeight="1">
      <c r="A589" s="54" t="s">
        <v>831</v>
      </c>
      <c r="B589" s="56" t="s">
        <v>845</v>
      </c>
      <c r="C589" s="56" t="s">
        <v>838</v>
      </c>
      <c r="D589" s="56" t="s">
        <v>846</v>
      </c>
      <c r="E589" s="56" t="s">
        <v>777</v>
      </c>
      <c r="F589" s="57" t="s">
        <v>15</v>
      </c>
      <c r="G589" s="61"/>
      <c r="H589" s="61"/>
      <c r="I589" s="60"/>
      <c r="J589" s="53"/>
    </row>
    <row r="590" ht="24.75" hidden="1" customHeight="1">
      <c r="A590" s="54" t="s">
        <v>831</v>
      </c>
      <c r="B590" s="56" t="s">
        <v>845</v>
      </c>
      <c r="C590" s="56" t="s">
        <v>838</v>
      </c>
      <c r="D590" s="56" t="s">
        <v>846</v>
      </c>
      <c r="E590" s="56" t="s">
        <v>778</v>
      </c>
      <c r="F590" s="57" t="s">
        <v>15</v>
      </c>
      <c r="G590" s="61"/>
      <c r="H590" s="61"/>
      <c r="I590" s="60"/>
      <c r="J590" s="53"/>
    </row>
    <row r="591" ht="24.75" hidden="1" customHeight="1">
      <c r="A591" s="54" t="s">
        <v>831</v>
      </c>
      <c r="B591" s="56" t="s">
        <v>847</v>
      </c>
      <c r="C591" s="56" t="s">
        <v>838</v>
      </c>
      <c r="D591" s="56" t="s">
        <v>848</v>
      </c>
      <c r="E591" s="56" t="s">
        <v>111</v>
      </c>
      <c r="F591" s="57" t="s">
        <v>154</v>
      </c>
      <c r="G591" s="61"/>
      <c r="H591" s="61"/>
      <c r="I591" s="62"/>
      <c r="J591" s="53"/>
    </row>
    <row r="592" ht="24.75" hidden="1" customHeight="1">
      <c r="A592" s="54" t="s">
        <v>831</v>
      </c>
      <c r="B592" s="56" t="s">
        <v>847</v>
      </c>
      <c r="C592" s="56" t="s">
        <v>838</v>
      </c>
      <c r="D592" s="56" t="s">
        <v>848</v>
      </c>
      <c r="E592" s="56" t="s">
        <v>844</v>
      </c>
      <c r="F592" s="57" t="s">
        <v>154</v>
      </c>
      <c r="G592" s="61"/>
      <c r="H592" s="61"/>
      <c r="I592" s="62"/>
      <c r="J592" s="53"/>
    </row>
    <row r="593" ht="24.75" hidden="1" customHeight="1">
      <c r="A593" s="54" t="s">
        <v>831</v>
      </c>
      <c r="B593" s="56" t="s">
        <v>847</v>
      </c>
      <c r="C593" s="56" t="s">
        <v>838</v>
      </c>
      <c r="D593" s="56" t="s">
        <v>848</v>
      </c>
      <c r="E593" s="56" t="s">
        <v>797</v>
      </c>
      <c r="F593" s="57" t="s">
        <v>192</v>
      </c>
      <c r="G593" s="61"/>
      <c r="H593" s="61" t="s">
        <v>592</v>
      </c>
      <c r="I593" s="62" t="s">
        <v>855</v>
      </c>
      <c r="J593" s="53"/>
    </row>
    <row r="594" ht="24.75" hidden="1" customHeight="1">
      <c r="A594" s="54" t="s">
        <v>831</v>
      </c>
      <c r="B594" s="56" t="s">
        <v>849</v>
      </c>
      <c r="C594" s="56" t="s">
        <v>833</v>
      </c>
      <c r="D594" s="56" t="s">
        <v>850</v>
      </c>
      <c r="E594" s="56" t="s">
        <v>336</v>
      </c>
      <c r="F594" s="57" t="s">
        <v>192</v>
      </c>
      <c r="G594" s="61"/>
      <c r="H594" s="61"/>
      <c r="I594" s="62"/>
      <c r="J594" s="53"/>
    </row>
    <row r="595" ht="24.75" hidden="1" customHeight="1">
      <c r="A595" s="54" t="s">
        <v>831</v>
      </c>
      <c r="B595" s="56" t="s">
        <v>851</v>
      </c>
      <c r="C595" s="56" t="s">
        <v>852</v>
      </c>
      <c r="D595" s="56" t="s">
        <v>853</v>
      </c>
      <c r="E595" s="56" t="s">
        <v>854</v>
      </c>
      <c r="F595" s="57" t="s">
        <v>154</v>
      </c>
      <c r="G595" s="61"/>
      <c r="H595" s="61" t="s">
        <v>592</v>
      </c>
      <c r="I595" s="62" t="s">
        <v>864</v>
      </c>
      <c r="J595" s="53"/>
    </row>
    <row r="596" ht="24.75" hidden="1" customHeight="1">
      <c r="A596" s="54" t="s">
        <v>831</v>
      </c>
      <c r="B596" s="56" t="s">
        <v>851</v>
      </c>
      <c r="C596" s="56" t="s">
        <v>852</v>
      </c>
      <c r="D596" s="56" t="s">
        <v>853</v>
      </c>
      <c r="E596" s="56" t="s">
        <v>824</v>
      </c>
      <c r="F596" s="57" t="s">
        <v>154</v>
      </c>
      <c r="G596" s="61"/>
      <c r="H596" s="61"/>
      <c r="I596" s="62"/>
      <c r="J596" s="53"/>
    </row>
    <row r="597" ht="24.75" hidden="1" customHeight="1">
      <c r="A597" s="54" t="s">
        <v>831</v>
      </c>
      <c r="B597" s="56" t="s">
        <v>851</v>
      </c>
      <c r="C597" s="56" t="s">
        <v>852</v>
      </c>
      <c r="D597" s="56" t="s">
        <v>853</v>
      </c>
      <c r="E597" s="56" t="s">
        <v>111</v>
      </c>
      <c r="F597" s="57" t="s">
        <v>192</v>
      </c>
      <c r="G597" s="61"/>
      <c r="H597" s="61"/>
      <c r="I597" s="62"/>
      <c r="J597" s="53"/>
    </row>
    <row r="598" ht="24.75" hidden="1" customHeight="1">
      <c r="A598" s="54" t="s">
        <v>831</v>
      </c>
      <c r="B598" s="56" t="s">
        <v>851</v>
      </c>
      <c r="C598" s="56" t="s">
        <v>852</v>
      </c>
      <c r="D598" s="56" t="s">
        <v>853</v>
      </c>
      <c r="E598" s="56" t="s">
        <v>856</v>
      </c>
      <c r="F598" s="57" t="s">
        <v>192</v>
      </c>
      <c r="G598" s="61"/>
      <c r="H598" s="61"/>
      <c r="I598" s="62"/>
      <c r="J598" s="53"/>
    </row>
    <row r="599" ht="24.75" hidden="1" customHeight="1">
      <c r="A599" s="54" t="s">
        <v>831</v>
      </c>
      <c r="B599" s="56" t="s">
        <v>851</v>
      </c>
      <c r="C599" s="56" t="s">
        <v>852</v>
      </c>
      <c r="D599" s="56" t="s">
        <v>853</v>
      </c>
      <c r="E599" s="56" t="s">
        <v>857</v>
      </c>
      <c r="F599" s="57" t="s">
        <v>192</v>
      </c>
      <c r="G599" s="61"/>
      <c r="H599" s="61"/>
      <c r="I599" s="62"/>
      <c r="J599" s="53"/>
    </row>
    <row r="600" ht="24.75" hidden="1" customHeight="1">
      <c r="A600" s="54" t="s">
        <v>831</v>
      </c>
      <c r="B600" s="56" t="s">
        <v>858</v>
      </c>
      <c r="C600" s="56" t="s">
        <v>838</v>
      </c>
      <c r="D600" s="56" t="s">
        <v>859</v>
      </c>
      <c r="E600" s="56" t="s">
        <v>111</v>
      </c>
      <c r="F600" s="57" t="s">
        <v>154</v>
      </c>
      <c r="G600" s="61"/>
      <c r="H600" s="61"/>
      <c r="I600" s="62"/>
      <c r="J600" s="53"/>
    </row>
    <row r="601" ht="24.75" hidden="1" customHeight="1">
      <c r="A601" s="54" t="s">
        <v>831</v>
      </c>
      <c r="B601" s="56" t="s">
        <v>858</v>
      </c>
      <c r="C601" s="56" t="s">
        <v>838</v>
      </c>
      <c r="D601" s="56" t="s">
        <v>859</v>
      </c>
      <c r="E601" s="56" t="s">
        <v>824</v>
      </c>
      <c r="F601" s="57" t="s">
        <v>154</v>
      </c>
      <c r="G601" s="61"/>
      <c r="H601" s="61"/>
      <c r="I601" s="62"/>
      <c r="J601" s="53"/>
    </row>
    <row r="602" ht="24.75" hidden="1" customHeight="1">
      <c r="A602" s="54" t="s">
        <v>831</v>
      </c>
      <c r="B602" s="56" t="s">
        <v>858</v>
      </c>
      <c r="C602" s="56" t="s">
        <v>838</v>
      </c>
      <c r="D602" s="56" t="s">
        <v>859</v>
      </c>
      <c r="E602" s="56" t="s">
        <v>797</v>
      </c>
      <c r="F602" s="57" t="s">
        <v>192</v>
      </c>
      <c r="G602" s="61"/>
      <c r="H602" s="61" t="s">
        <v>592</v>
      </c>
      <c r="I602" s="62" t="s">
        <v>872</v>
      </c>
      <c r="J602" s="53"/>
    </row>
    <row r="603" ht="24.75" hidden="1" customHeight="1">
      <c r="A603" s="54" t="s">
        <v>831</v>
      </c>
      <c r="B603" s="56" t="s">
        <v>860</v>
      </c>
      <c r="C603" s="56" t="s">
        <v>852</v>
      </c>
      <c r="D603" s="56" t="s">
        <v>861</v>
      </c>
      <c r="E603" s="56" t="s">
        <v>854</v>
      </c>
      <c r="F603" s="57" t="s">
        <v>154</v>
      </c>
      <c r="G603" s="61"/>
      <c r="H603" s="61" t="s">
        <v>592</v>
      </c>
      <c r="I603" s="62" t="s">
        <v>864</v>
      </c>
      <c r="J603" s="53"/>
    </row>
    <row r="604" ht="24.75" hidden="1" customHeight="1">
      <c r="A604" s="54" t="s">
        <v>831</v>
      </c>
      <c r="B604" s="56" t="s">
        <v>860</v>
      </c>
      <c r="C604" s="56" t="s">
        <v>852</v>
      </c>
      <c r="D604" s="56" t="s">
        <v>861</v>
      </c>
      <c r="E604" s="56" t="s">
        <v>824</v>
      </c>
      <c r="F604" s="57" t="s">
        <v>154</v>
      </c>
      <c r="G604" s="61"/>
      <c r="H604" s="61"/>
      <c r="I604" s="62"/>
      <c r="J604" s="53"/>
    </row>
    <row r="605" ht="24.75" hidden="1" customHeight="1">
      <c r="A605" s="54" t="s">
        <v>831</v>
      </c>
      <c r="B605" s="56" t="s">
        <v>860</v>
      </c>
      <c r="C605" s="56" t="s">
        <v>852</v>
      </c>
      <c r="D605" s="56" t="s">
        <v>861</v>
      </c>
      <c r="E605" s="56" t="s">
        <v>856</v>
      </c>
      <c r="F605" s="57" t="s">
        <v>154</v>
      </c>
      <c r="G605" s="61"/>
      <c r="H605" s="61"/>
      <c r="I605" s="62"/>
      <c r="J605" s="53"/>
    </row>
    <row r="606" ht="24.75" hidden="1" customHeight="1">
      <c r="A606" s="54" t="s">
        <v>831</v>
      </c>
      <c r="B606" s="56" t="s">
        <v>860</v>
      </c>
      <c r="C606" s="56" t="s">
        <v>852</v>
      </c>
      <c r="D606" s="56" t="s">
        <v>861</v>
      </c>
      <c r="E606" s="56" t="s">
        <v>111</v>
      </c>
      <c r="F606" s="57" t="s">
        <v>192</v>
      </c>
      <c r="G606" s="61"/>
      <c r="H606" s="61"/>
      <c r="I606" s="62"/>
      <c r="J606" s="53"/>
    </row>
    <row r="607" ht="24.75" hidden="1" customHeight="1">
      <c r="A607" s="54" t="s">
        <v>831</v>
      </c>
      <c r="B607" s="56" t="s">
        <v>860</v>
      </c>
      <c r="C607" s="56" t="s">
        <v>852</v>
      </c>
      <c r="D607" s="56" t="s">
        <v>861</v>
      </c>
      <c r="E607" s="56" t="s">
        <v>857</v>
      </c>
      <c r="F607" s="57" t="s">
        <v>192</v>
      </c>
      <c r="G607" s="61"/>
      <c r="H607" s="61"/>
      <c r="I607" s="62"/>
      <c r="J607" s="53"/>
    </row>
    <row r="608" ht="24.75" hidden="1" customHeight="1">
      <c r="A608" s="54" t="s">
        <v>831</v>
      </c>
      <c r="B608" s="56" t="s">
        <v>862</v>
      </c>
      <c r="C608" s="56" t="s">
        <v>838</v>
      </c>
      <c r="D608" s="56" t="s">
        <v>863</v>
      </c>
      <c r="E608" s="56" t="s">
        <v>111</v>
      </c>
      <c r="F608" s="57" t="s">
        <v>154</v>
      </c>
      <c r="G608" s="61"/>
      <c r="H608" s="61"/>
      <c r="I608" s="62"/>
      <c r="J608" s="53"/>
    </row>
    <row r="609" ht="24.75" hidden="1" customHeight="1">
      <c r="A609" s="54" t="s">
        <v>831</v>
      </c>
      <c r="B609" s="56" t="s">
        <v>862</v>
      </c>
      <c r="C609" s="56" t="s">
        <v>838</v>
      </c>
      <c r="D609" s="56" t="s">
        <v>863</v>
      </c>
      <c r="E609" s="56" t="s">
        <v>824</v>
      </c>
      <c r="F609" s="57" t="s">
        <v>154</v>
      </c>
      <c r="G609" s="61"/>
      <c r="H609" s="61"/>
      <c r="I609" s="62"/>
      <c r="J609" s="53"/>
    </row>
    <row r="610" ht="24.75" hidden="1" customHeight="1">
      <c r="A610" s="54" t="s">
        <v>831</v>
      </c>
      <c r="B610" s="56" t="s">
        <v>862</v>
      </c>
      <c r="C610" s="56" t="s">
        <v>838</v>
      </c>
      <c r="D610" s="56" t="s">
        <v>863</v>
      </c>
      <c r="E610" s="56" t="s">
        <v>797</v>
      </c>
      <c r="F610" s="57" t="s">
        <v>192</v>
      </c>
      <c r="G610" s="61"/>
      <c r="H610" s="61" t="s">
        <v>592</v>
      </c>
      <c r="I610" s="62" t="s">
        <v>872</v>
      </c>
      <c r="J610" s="53"/>
    </row>
    <row r="611" ht="24.75" hidden="1" customHeight="1">
      <c r="A611" s="54" t="s">
        <v>831</v>
      </c>
      <c r="B611" s="56" t="s">
        <v>865</v>
      </c>
      <c r="C611" s="56" t="s">
        <v>838</v>
      </c>
      <c r="D611" s="56" t="s">
        <v>866</v>
      </c>
      <c r="E611" s="56" t="s">
        <v>867</v>
      </c>
      <c r="F611" s="57" t="s">
        <v>154</v>
      </c>
      <c r="G611" s="61"/>
      <c r="H611" s="61"/>
      <c r="I611" s="62"/>
      <c r="J611" s="53"/>
    </row>
    <row r="612" ht="24.75" hidden="1" customHeight="1">
      <c r="A612" s="54" t="s">
        <v>831</v>
      </c>
      <c r="B612" s="56" t="s">
        <v>865</v>
      </c>
      <c r="C612" s="56" t="s">
        <v>838</v>
      </c>
      <c r="D612" s="56" t="s">
        <v>866</v>
      </c>
      <c r="E612" s="56" t="s">
        <v>868</v>
      </c>
      <c r="F612" s="57" t="s">
        <v>154</v>
      </c>
      <c r="G612" s="61"/>
      <c r="H612" s="61"/>
      <c r="I612" s="62"/>
      <c r="J612" s="53"/>
    </row>
    <row r="613" ht="24.75" hidden="1" customHeight="1">
      <c r="A613" s="54" t="s">
        <v>831</v>
      </c>
      <c r="B613" s="56" t="s">
        <v>869</v>
      </c>
      <c r="C613" s="56" t="s">
        <v>833</v>
      </c>
      <c r="D613" s="56" t="s">
        <v>850</v>
      </c>
      <c r="E613" s="56" t="s">
        <v>870</v>
      </c>
      <c r="F613" s="57" t="s">
        <v>154</v>
      </c>
      <c r="G613" s="61"/>
      <c r="H613" s="61"/>
      <c r="I613" s="62"/>
      <c r="J613" s="53"/>
    </row>
    <row r="614" ht="24.75" hidden="1" customHeight="1">
      <c r="A614" s="54" t="s">
        <v>831</v>
      </c>
      <c r="B614" s="56" t="s">
        <v>869</v>
      </c>
      <c r="C614" s="56" t="s">
        <v>833</v>
      </c>
      <c r="D614" s="56" t="s">
        <v>850</v>
      </c>
      <c r="E614" s="56" t="s">
        <v>871</v>
      </c>
      <c r="F614" s="57" t="s">
        <v>192</v>
      </c>
      <c r="G614" s="61"/>
      <c r="H614" s="61"/>
      <c r="I614" s="62"/>
      <c r="J614" s="53"/>
    </row>
    <row r="615" ht="15.75" hidden="1" customHeight="1">
      <c r="A615" s="54"/>
      <c r="B615" s="56"/>
      <c r="C615" s="56"/>
      <c r="D615" s="56"/>
      <c r="E615" s="56"/>
      <c r="F615" s="57"/>
      <c r="G615" s="61"/>
      <c r="H615" s="61"/>
      <c r="I615" s="62"/>
      <c r="J615" s="53"/>
    </row>
  </sheetData>
  <autoFilter ref="$A$4:$GF$615">
    <filterColumn colId="5">
      <filters>
        <filter val="JAN, FEV, MAR, ABR, MAI, JUN, JUL, AGO, SET, OUT, NOV, DEZ"/>
      </filters>
    </filterColumn>
    <sortState ref="A4:GF615">
      <sortCondition ref="A4:A615"/>
    </sortState>
  </autoFilter>
  <mergeCells count="2">
    <mergeCell ref="I1:J3"/>
    <mergeCell ref="H2:H3"/>
  </mergeCells>
  <printOptions/>
  <pageMargins bottom="0.7480314960629921" footer="0.0" header="0.0" left="0.2362204724409449" right="0.2362204724409449" top="0.35433070866141736"/>
  <pageSetup fitToHeight="0" paperSize="9" orientation="landscape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46.86"/>
    <col customWidth="1" min="6" max="6" width="12.0"/>
    <col customWidth="1" hidden="1" min="7" max="7" width="6.86"/>
    <col customWidth="1" min="8" max="8" width="26.57"/>
    <col customWidth="1" min="9" max="9" width="31.86"/>
    <col customWidth="1" min="10" max="10" width="15.71"/>
  </cols>
  <sheetData>
    <row r="1" ht="24.75" customHeight="1">
      <c r="I1" s="25" t="s">
        <v>4</v>
      </c>
    </row>
    <row r="2" ht="24.75" customHeight="1">
      <c r="A2" s="1"/>
      <c r="B2" s="2"/>
      <c r="C2" s="2"/>
      <c r="D2" s="2"/>
      <c r="E2" s="2"/>
      <c r="F2" s="3"/>
      <c r="G2" s="8"/>
      <c r="H2" s="10"/>
    </row>
    <row r="3" ht="24.75" customHeight="1">
      <c r="A3" s="8"/>
      <c r="B3" s="9"/>
      <c r="C3" s="9"/>
      <c r="D3" s="9"/>
      <c r="E3" s="9"/>
      <c r="F3" s="2"/>
      <c r="G3" s="8"/>
      <c r="H3" s="35"/>
      <c r="I3" s="35"/>
      <c r="J3" s="35"/>
    </row>
    <row r="4" ht="51.0" customHeight="1">
      <c r="A4" s="39" t="s">
        <v>17</v>
      </c>
      <c r="B4" s="39" t="s">
        <v>18</v>
      </c>
      <c r="C4" s="39" t="s">
        <v>19</v>
      </c>
      <c r="D4" s="39" t="s">
        <v>20</v>
      </c>
      <c r="E4" s="39" t="s">
        <v>21</v>
      </c>
      <c r="F4" s="39" t="s">
        <v>22</v>
      </c>
      <c r="G4" s="40" t="s">
        <v>23</v>
      </c>
      <c r="H4" s="39" t="s">
        <v>24</v>
      </c>
      <c r="I4" s="42" t="s">
        <v>26</v>
      </c>
      <c r="J4" s="39" t="s">
        <v>25</v>
      </c>
    </row>
    <row r="5" ht="24.75" hidden="1" customHeight="1">
      <c r="A5" s="44">
        <v>10.0</v>
      </c>
      <c r="B5" s="47" t="s">
        <v>27</v>
      </c>
      <c r="C5" s="47" t="s">
        <v>29</v>
      </c>
      <c r="D5" s="47" t="s">
        <v>29</v>
      </c>
      <c r="E5" s="47" t="s">
        <v>32</v>
      </c>
      <c r="F5" s="48" t="s">
        <v>34</v>
      </c>
      <c r="G5" s="50"/>
      <c r="H5" s="51"/>
      <c r="I5" s="52"/>
      <c r="J5" s="53"/>
    </row>
    <row r="6" ht="24.75" customHeight="1">
      <c r="A6" s="54">
        <v>20.0</v>
      </c>
      <c r="B6" s="56" t="s">
        <v>83</v>
      </c>
      <c r="C6" s="56" t="s">
        <v>84</v>
      </c>
      <c r="D6" s="56" t="s">
        <v>85</v>
      </c>
      <c r="E6" s="56" t="s">
        <v>86</v>
      </c>
      <c r="F6" s="57" t="s">
        <v>87</v>
      </c>
      <c r="G6" s="58"/>
      <c r="H6" s="58"/>
      <c r="I6" s="60" t="s">
        <v>88</v>
      </c>
      <c r="J6" s="59"/>
    </row>
    <row r="7" ht="24.75" hidden="1" customHeight="1">
      <c r="A7" s="54">
        <v>20.0</v>
      </c>
      <c r="B7" s="56" t="s">
        <v>89</v>
      </c>
      <c r="C7" s="56" t="s">
        <v>90</v>
      </c>
      <c r="D7" s="56" t="s">
        <v>91</v>
      </c>
      <c r="E7" s="56"/>
      <c r="F7" s="57" t="s">
        <v>34</v>
      </c>
      <c r="G7" s="61"/>
      <c r="H7" s="61"/>
      <c r="I7" s="62"/>
      <c r="J7" s="53"/>
    </row>
    <row r="8" ht="24.75" hidden="1" customHeight="1">
      <c r="A8" s="54">
        <v>20.0</v>
      </c>
      <c r="B8" s="56" t="s">
        <v>95</v>
      </c>
      <c r="C8" s="56" t="s">
        <v>90</v>
      </c>
      <c r="D8" s="56" t="s">
        <v>96</v>
      </c>
      <c r="E8" s="56" t="s">
        <v>97</v>
      </c>
      <c r="F8" s="57" t="s">
        <v>34</v>
      </c>
      <c r="G8" s="61"/>
      <c r="H8" s="61"/>
      <c r="I8" s="62"/>
      <c r="J8" s="53"/>
    </row>
    <row r="9" ht="24.75" hidden="1" customHeight="1">
      <c r="A9" s="54">
        <v>20.0</v>
      </c>
      <c r="B9" s="56" t="s">
        <v>98</v>
      </c>
      <c r="C9" s="56" t="s">
        <v>90</v>
      </c>
      <c r="D9" s="56" t="s">
        <v>99</v>
      </c>
      <c r="E9" s="56" t="s">
        <v>97</v>
      </c>
      <c r="F9" s="57" t="s">
        <v>34</v>
      </c>
      <c r="G9" s="61"/>
      <c r="H9" s="61"/>
      <c r="I9" s="62"/>
      <c r="J9" s="53"/>
    </row>
    <row r="10" ht="24.75" hidden="1" customHeight="1">
      <c r="A10" s="54">
        <v>20.0</v>
      </c>
      <c r="B10" s="56" t="s">
        <v>100</v>
      </c>
      <c r="C10" s="56" t="s">
        <v>101</v>
      </c>
      <c r="D10" s="56" t="s">
        <v>102</v>
      </c>
      <c r="E10" s="56" t="s">
        <v>103</v>
      </c>
      <c r="F10" s="57" t="s">
        <v>34</v>
      </c>
      <c r="G10" s="61"/>
      <c r="H10" s="61"/>
      <c r="I10" s="62"/>
      <c r="J10" s="53"/>
    </row>
    <row r="11" ht="24.75" customHeight="1">
      <c r="A11" s="54">
        <v>30.0</v>
      </c>
      <c r="B11" s="56" t="s">
        <v>108</v>
      </c>
      <c r="C11" s="56" t="s">
        <v>109</v>
      </c>
      <c r="D11" s="56" t="s">
        <v>110</v>
      </c>
      <c r="E11" s="56" t="s">
        <v>111</v>
      </c>
      <c r="F11" s="57" t="s">
        <v>87</v>
      </c>
      <c r="G11" s="61"/>
      <c r="H11" s="61"/>
      <c r="I11" s="60"/>
      <c r="J11" s="53"/>
    </row>
    <row r="12" ht="24.75" customHeight="1">
      <c r="A12" s="54">
        <v>30.0</v>
      </c>
      <c r="B12" s="56" t="s">
        <v>113</v>
      </c>
      <c r="C12" s="56" t="s">
        <v>109</v>
      </c>
      <c r="D12" s="56" t="s">
        <v>114</v>
      </c>
      <c r="E12" s="56" t="s">
        <v>111</v>
      </c>
      <c r="F12" s="57" t="s">
        <v>87</v>
      </c>
      <c r="G12" s="61"/>
      <c r="H12" s="61"/>
      <c r="I12" s="60"/>
      <c r="J12" s="53"/>
    </row>
    <row r="13" ht="24.75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118</v>
      </c>
      <c r="F13" s="57" t="s">
        <v>87</v>
      </c>
      <c r="G13" s="61"/>
      <c r="H13" s="61"/>
      <c r="I13" s="60"/>
      <c r="J13" s="53"/>
    </row>
    <row r="14" ht="24.75" hidden="1" customHeight="1">
      <c r="A14" s="54">
        <v>30.0</v>
      </c>
      <c r="B14" s="56" t="s">
        <v>116</v>
      </c>
      <c r="C14" s="56" t="s">
        <v>109</v>
      </c>
      <c r="D14" s="56" t="s">
        <v>117</v>
      </c>
      <c r="E14" s="56" t="s">
        <v>119</v>
      </c>
      <c r="F14" s="57" t="s">
        <v>34</v>
      </c>
      <c r="G14" s="61"/>
      <c r="H14" s="61"/>
      <c r="I14" s="62"/>
      <c r="J14" s="53"/>
    </row>
    <row r="15" ht="24.75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111</v>
      </c>
      <c r="F15" s="57" t="s">
        <v>87</v>
      </c>
      <c r="G15" s="61"/>
      <c r="H15" s="61"/>
      <c r="I15" s="60"/>
      <c r="J15" s="53"/>
    </row>
    <row r="16" ht="24.75" hidden="1" customHeight="1">
      <c r="A16" s="54">
        <v>30.0</v>
      </c>
      <c r="B16" s="56" t="s">
        <v>120</v>
      </c>
      <c r="C16" s="56" t="s">
        <v>109</v>
      </c>
      <c r="D16" s="56" t="s">
        <v>121</v>
      </c>
      <c r="E16" s="56" t="s">
        <v>122</v>
      </c>
      <c r="F16" s="57" t="s">
        <v>34</v>
      </c>
      <c r="G16" s="61"/>
      <c r="H16" s="61"/>
      <c r="I16" s="62"/>
      <c r="J16" s="53"/>
    </row>
    <row r="17" ht="24.75" customHeight="1">
      <c r="A17" s="54">
        <v>30.0</v>
      </c>
      <c r="B17" s="56" t="s">
        <v>123</v>
      </c>
      <c r="C17" s="56" t="s">
        <v>109</v>
      </c>
      <c r="D17" s="56" t="s">
        <v>124</v>
      </c>
      <c r="E17" s="56" t="s">
        <v>86</v>
      </c>
      <c r="F17" s="57" t="s">
        <v>87</v>
      </c>
      <c r="G17" s="61"/>
      <c r="H17" s="61"/>
      <c r="I17" s="60"/>
      <c r="J17" s="53"/>
    </row>
    <row r="18" ht="24.75" hidden="1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129</v>
      </c>
      <c r="F18" s="57" t="s">
        <v>34</v>
      </c>
      <c r="G18" s="61"/>
      <c r="H18" s="61"/>
      <c r="I18" s="62" t="s">
        <v>133</v>
      </c>
      <c r="J18" s="53"/>
    </row>
    <row r="19" ht="24.75" hidden="1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132</v>
      </c>
      <c r="F19" s="57" t="s">
        <v>34</v>
      </c>
      <c r="G19" s="61"/>
      <c r="H19" s="61"/>
      <c r="I19" s="62" t="s">
        <v>133</v>
      </c>
      <c r="J19" s="53"/>
    </row>
    <row r="20" ht="24.75" hidden="1" customHeight="1">
      <c r="A20" s="54">
        <v>31.0</v>
      </c>
      <c r="B20" s="56" t="s">
        <v>126</v>
      </c>
      <c r="C20" s="56" t="s">
        <v>127</v>
      </c>
      <c r="D20" s="56" t="s">
        <v>128</v>
      </c>
      <c r="E20" s="56" t="s">
        <v>134</v>
      </c>
      <c r="F20" s="57" t="s">
        <v>34</v>
      </c>
      <c r="G20" s="61"/>
      <c r="H20" s="61"/>
      <c r="I20" s="62" t="s">
        <v>133</v>
      </c>
      <c r="J20" s="53"/>
    </row>
    <row r="21" ht="24.75" hidden="1" customHeight="1">
      <c r="A21" s="54">
        <v>40.0</v>
      </c>
      <c r="B21" s="56" t="s">
        <v>135</v>
      </c>
      <c r="C21" s="56" t="s">
        <v>136</v>
      </c>
      <c r="D21" s="56" t="s">
        <v>137</v>
      </c>
      <c r="E21" s="56" t="s">
        <v>111</v>
      </c>
      <c r="F21" s="57" t="s">
        <v>34</v>
      </c>
      <c r="G21" s="61"/>
      <c r="H21" s="61"/>
      <c r="I21" s="62"/>
      <c r="J21" s="53"/>
    </row>
    <row r="22" ht="24.75" hidden="1" customHeight="1">
      <c r="A22" s="54">
        <v>40.0</v>
      </c>
      <c r="B22" s="56" t="s">
        <v>139</v>
      </c>
      <c r="C22" s="56" t="s">
        <v>101</v>
      </c>
      <c r="D22" s="56" t="s">
        <v>102</v>
      </c>
      <c r="E22" s="56" t="s">
        <v>111</v>
      </c>
      <c r="F22" s="57" t="s">
        <v>34</v>
      </c>
      <c r="G22" s="61"/>
      <c r="H22" s="61"/>
      <c r="I22" s="62"/>
      <c r="J22" s="53"/>
    </row>
    <row r="23" ht="24.75" hidden="1" customHeight="1">
      <c r="A23" s="54">
        <v>40.0</v>
      </c>
      <c r="B23" s="56" t="s">
        <v>140</v>
      </c>
      <c r="C23" s="56" t="s">
        <v>141</v>
      </c>
      <c r="D23" s="56" t="s">
        <v>142</v>
      </c>
      <c r="E23" s="56" t="s">
        <v>111</v>
      </c>
      <c r="F23" s="57" t="s">
        <v>34</v>
      </c>
      <c r="G23" s="61"/>
      <c r="H23" s="61"/>
      <c r="I23" s="62"/>
      <c r="J23" s="53"/>
    </row>
    <row r="24" ht="24.75" hidden="1" customHeight="1">
      <c r="A24" s="54">
        <v>40.0</v>
      </c>
      <c r="B24" s="56" t="s">
        <v>143</v>
      </c>
      <c r="C24" s="56" t="s">
        <v>144</v>
      </c>
      <c r="D24" s="56" t="s">
        <v>145</v>
      </c>
      <c r="E24" s="56" t="s">
        <v>111</v>
      </c>
      <c r="F24" s="57" t="s">
        <v>34</v>
      </c>
      <c r="G24" s="61"/>
      <c r="H24" s="61"/>
      <c r="I24" s="62"/>
      <c r="J24" s="53"/>
    </row>
    <row r="25" ht="24.75" hidden="1" customHeight="1">
      <c r="A25" s="54">
        <v>50.0</v>
      </c>
      <c r="B25" s="56" t="s">
        <v>147</v>
      </c>
      <c r="C25" s="56" t="s">
        <v>148</v>
      </c>
      <c r="D25" s="56" t="s">
        <v>149</v>
      </c>
      <c r="E25" s="56" t="s">
        <v>150</v>
      </c>
      <c r="F25" s="57" t="s">
        <v>34</v>
      </c>
      <c r="G25" s="61"/>
      <c r="H25" s="61"/>
      <c r="I25" s="62"/>
      <c r="J25" s="53"/>
    </row>
    <row r="26" ht="24.75" hidden="1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111</v>
      </c>
      <c r="F26" s="57" t="s">
        <v>34</v>
      </c>
      <c r="G26" s="61"/>
      <c r="H26" s="61"/>
      <c r="I26" s="62"/>
      <c r="J26" s="53"/>
    </row>
    <row r="27" ht="24.75" hidden="1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153</v>
      </c>
      <c r="F27" s="57" t="s">
        <v>154</v>
      </c>
      <c r="G27" s="61"/>
      <c r="H27" s="61"/>
      <c r="I27" s="62"/>
      <c r="J27" s="53"/>
    </row>
    <row r="28" ht="24.75" customHeight="1">
      <c r="A28" s="54">
        <v>50.0</v>
      </c>
      <c r="B28" s="56" t="s">
        <v>151</v>
      </c>
      <c r="C28" s="56" t="s">
        <v>152</v>
      </c>
      <c r="D28" s="56" t="s">
        <v>152</v>
      </c>
      <c r="E28" s="56" t="s">
        <v>155</v>
      </c>
      <c r="F28" s="57" t="s">
        <v>250</v>
      </c>
      <c r="G28" s="61"/>
      <c r="H28" s="61" t="s">
        <v>159</v>
      </c>
      <c r="I28" s="62" t="s">
        <v>160</v>
      </c>
      <c r="J28" s="53"/>
    </row>
    <row r="29" ht="24.75" hidden="1" customHeight="1">
      <c r="A29" s="54">
        <v>50.0</v>
      </c>
      <c r="B29" s="56" t="s">
        <v>156</v>
      </c>
      <c r="C29" s="56" t="s">
        <v>152</v>
      </c>
      <c r="D29" s="56" t="s">
        <v>157</v>
      </c>
      <c r="E29" s="56" t="s">
        <v>158</v>
      </c>
      <c r="F29" s="57" t="s">
        <v>34</v>
      </c>
      <c r="G29" s="61"/>
      <c r="H29" s="61"/>
      <c r="I29" s="62"/>
      <c r="J29" s="53"/>
    </row>
    <row r="30" ht="24.75" hidden="1" customHeight="1">
      <c r="A30" s="54">
        <v>50.0</v>
      </c>
      <c r="B30" s="56" t="s">
        <v>161</v>
      </c>
      <c r="C30" s="56" t="s">
        <v>152</v>
      </c>
      <c r="D30" s="56" t="s">
        <v>162</v>
      </c>
      <c r="E30" s="56" t="s">
        <v>163</v>
      </c>
      <c r="F30" s="57" t="s">
        <v>34</v>
      </c>
      <c r="G30" s="61"/>
      <c r="H30" s="61"/>
      <c r="I30" s="62"/>
      <c r="J30" s="53"/>
    </row>
    <row r="31" ht="24.75" hidden="1" customHeight="1">
      <c r="A31" s="54">
        <v>60.0</v>
      </c>
      <c r="B31" s="56" t="s">
        <v>164</v>
      </c>
      <c r="C31" s="56" t="s">
        <v>165</v>
      </c>
      <c r="D31" s="56" t="s">
        <v>166</v>
      </c>
      <c r="E31" s="56" t="s">
        <v>167</v>
      </c>
      <c r="F31" s="57" t="s">
        <v>154</v>
      </c>
      <c r="G31" s="61"/>
      <c r="H31" s="61"/>
      <c r="I31" s="62"/>
      <c r="J31" s="53"/>
    </row>
    <row r="32" ht="24.75" hidden="1" customHeight="1">
      <c r="A32" s="54">
        <v>60.0</v>
      </c>
      <c r="B32" s="56" t="s">
        <v>169</v>
      </c>
      <c r="C32" s="56" t="s">
        <v>165</v>
      </c>
      <c r="D32" s="56" t="s">
        <v>170</v>
      </c>
      <c r="E32" s="56" t="s">
        <v>167</v>
      </c>
      <c r="F32" s="57" t="s">
        <v>154</v>
      </c>
      <c r="G32" s="61"/>
      <c r="H32" s="61"/>
      <c r="I32" s="62"/>
      <c r="J32" s="53"/>
    </row>
    <row r="33" ht="24.75" hidden="1" customHeight="1">
      <c r="A33" s="54">
        <v>60.0</v>
      </c>
      <c r="B33" s="56" t="s">
        <v>171</v>
      </c>
      <c r="C33" s="56" t="s">
        <v>165</v>
      </c>
      <c r="D33" s="56" t="s">
        <v>172</v>
      </c>
      <c r="E33" s="56" t="s">
        <v>167</v>
      </c>
      <c r="F33" s="57" t="s">
        <v>154</v>
      </c>
      <c r="G33" s="61"/>
      <c r="H33" s="61"/>
      <c r="I33" s="62"/>
      <c r="J33" s="53"/>
    </row>
    <row r="34" ht="24.75" hidden="1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167</v>
      </c>
      <c r="F34" s="57" t="s">
        <v>154</v>
      </c>
      <c r="G34" s="61"/>
      <c r="H34" s="61"/>
      <c r="I34" s="62"/>
      <c r="J34" s="53"/>
    </row>
    <row r="35" ht="24.75" hidden="1" customHeight="1">
      <c r="A35" s="54">
        <v>60.0</v>
      </c>
      <c r="B35" s="56" t="s">
        <v>174</v>
      </c>
      <c r="C35" s="56" t="s">
        <v>165</v>
      </c>
      <c r="D35" s="56" t="s">
        <v>175</v>
      </c>
      <c r="E35" s="56" t="s">
        <v>176</v>
      </c>
      <c r="F35" s="57" t="s">
        <v>154</v>
      </c>
      <c r="G35" s="61"/>
      <c r="H35" s="61"/>
      <c r="I35" s="62"/>
      <c r="J35" s="53"/>
    </row>
    <row r="36" ht="24.75" hidden="1" customHeight="1">
      <c r="A36" s="54">
        <v>60.0</v>
      </c>
      <c r="B36" s="56" t="s">
        <v>177</v>
      </c>
      <c r="C36" s="56" t="s">
        <v>165</v>
      </c>
      <c r="D36" s="56" t="s">
        <v>178</v>
      </c>
      <c r="E36" s="56" t="s">
        <v>111</v>
      </c>
      <c r="F36" s="57" t="s">
        <v>154</v>
      </c>
      <c r="G36" s="61"/>
      <c r="H36" s="61"/>
      <c r="I36" s="62"/>
      <c r="J36" s="53"/>
    </row>
    <row r="37" ht="24.75" hidden="1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167</v>
      </c>
      <c r="F37" s="57" t="s">
        <v>154</v>
      </c>
      <c r="G37" s="61"/>
      <c r="H37" s="61"/>
      <c r="I37" s="62"/>
      <c r="J37" s="53"/>
    </row>
    <row r="38" ht="24.75" hidden="1" customHeight="1">
      <c r="A38" s="54">
        <v>60.0</v>
      </c>
      <c r="B38" s="56" t="s">
        <v>179</v>
      </c>
      <c r="C38" s="56" t="s">
        <v>165</v>
      </c>
      <c r="D38" s="56" t="s">
        <v>180</v>
      </c>
      <c r="E38" s="56" t="s">
        <v>176</v>
      </c>
      <c r="F38" s="57" t="s">
        <v>154</v>
      </c>
      <c r="G38" s="61"/>
      <c r="H38" s="61"/>
      <c r="I38" s="62"/>
      <c r="J38" s="53"/>
    </row>
    <row r="39" ht="24.75" hidden="1" customHeight="1">
      <c r="A39" s="54">
        <v>60.0</v>
      </c>
      <c r="B39" s="56" t="s">
        <v>181</v>
      </c>
      <c r="C39" s="56" t="s">
        <v>165</v>
      </c>
      <c r="D39" s="56" t="s">
        <v>178</v>
      </c>
      <c r="E39" s="56" t="s">
        <v>167</v>
      </c>
      <c r="F39" s="57" t="s">
        <v>154</v>
      </c>
      <c r="G39" s="61"/>
      <c r="H39" s="61"/>
      <c r="I39" s="62" t="s">
        <v>14</v>
      </c>
      <c r="J39" s="53"/>
    </row>
    <row r="40" ht="24.75" hidden="1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167</v>
      </c>
      <c r="F40" s="57" t="s">
        <v>154</v>
      </c>
      <c r="G40" s="61"/>
      <c r="H40" s="61"/>
      <c r="I40" s="62"/>
      <c r="J40" s="53"/>
    </row>
    <row r="41" ht="24.75" hidden="1" customHeight="1">
      <c r="A41" s="54">
        <v>60.0</v>
      </c>
      <c r="B41" s="56" t="s">
        <v>182</v>
      </c>
      <c r="C41" s="56" t="s">
        <v>165</v>
      </c>
      <c r="D41" s="56" t="s">
        <v>183</v>
      </c>
      <c r="E41" s="56" t="s">
        <v>176</v>
      </c>
      <c r="F41" s="57" t="s">
        <v>154</v>
      </c>
      <c r="G41" s="61"/>
      <c r="H41" s="61"/>
      <c r="I41" s="62"/>
      <c r="J41" s="53"/>
    </row>
    <row r="42" ht="24.75" hidden="1" customHeight="1">
      <c r="A42" s="54">
        <v>60.0</v>
      </c>
      <c r="B42" s="56" t="s">
        <v>184</v>
      </c>
      <c r="C42" s="56" t="s">
        <v>165</v>
      </c>
      <c r="D42" s="56" t="s">
        <v>178</v>
      </c>
      <c r="E42" s="56" t="s">
        <v>167</v>
      </c>
      <c r="F42" s="57" t="s">
        <v>154</v>
      </c>
      <c r="G42" s="61"/>
      <c r="H42" s="61"/>
      <c r="I42" s="62"/>
      <c r="J42" s="53"/>
    </row>
    <row r="43" ht="24.75" hidden="1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167</v>
      </c>
      <c r="F43" s="57" t="s">
        <v>154</v>
      </c>
      <c r="G43" s="61"/>
      <c r="H43" s="61"/>
      <c r="I43" s="62"/>
      <c r="J43" s="53"/>
    </row>
    <row r="44" ht="24.75" hidden="1" customHeight="1">
      <c r="A44" s="54">
        <v>60.0</v>
      </c>
      <c r="B44" s="56" t="s">
        <v>185</v>
      </c>
      <c r="C44" s="56" t="s">
        <v>165</v>
      </c>
      <c r="D44" s="56" t="s">
        <v>186</v>
      </c>
      <c r="E44" s="56" t="s">
        <v>176</v>
      </c>
      <c r="F44" s="57" t="s">
        <v>154</v>
      </c>
      <c r="G44" s="61"/>
      <c r="H44" s="61"/>
      <c r="I44" s="62"/>
      <c r="J44" s="53"/>
    </row>
    <row r="45" ht="24.75" hidden="1" customHeight="1">
      <c r="A45" s="54">
        <v>60.0</v>
      </c>
      <c r="B45" s="56" t="s">
        <v>187</v>
      </c>
      <c r="C45" s="56" t="s">
        <v>165</v>
      </c>
      <c r="D45" s="56" t="s">
        <v>178</v>
      </c>
      <c r="E45" s="56" t="s">
        <v>167</v>
      </c>
      <c r="F45" s="57" t="s">
        <v>154</v>
      </c>
      <c r="G45" s="61"/>
      <c r="H45" s="61"/>
      <c r="I45" s="62"/>
      <c r="J45" s="53"/>
    </row>
    <row r="46" ht="24.75" hidden="1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191</v>
      </c>
      <c r="F46" s="57" t="s">
        <v>192</v>
      </c>
      <c r="G46" s="61"/>
      <c r="H46" s="61"/>
      <c r="I46" s="62"/>
      <c r="J46" s="53"/>
    </row>
    <row r="47" ht="24.75" hidden="1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194</v>
      </c>
      <c r="F47" s="57" t="s">
        <v>192</v>
      </c>
      <c r="G47" s="61"/>
      <c r="H47" s="61"/>
      <c r="I47" s="62"/>
      <c r="J47" s="53"/>
    </row>
    <row r="48" ht="24.75" hidden="1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195</v>
      </c>
      <c r="F48" s="57" t="s">
        <v>34</v>
      </c>
      <c r="G48" s="61"/>
      <c r="H48" s="61" t="s">
        <v>197</v>
      </c>
      <c r="I48" s="62"/>
      <c r="J48" s="53"/>
    </row>
    <row r="49" ht="24.75" customHeight="1">
      <c r="A49" s="54">
        <v>80.0</v>
      </c>
      <c r="B49" s="56" t="s">
        <v>188</v>
      </c>
      <c r="C49" s="56" t="s">
        <v>189</v>
      </c>
      <c r="D49" s="56" t="s">
        <v>190</v>
      </c>
      <c r="E49" s="56" t="s">
        <v>196</v>
      </c>
      <c r="F49" s="57" t="s">
        <v>250</v>
      </c>
      <c r="G49" s="61"/>
      <c r="H49" s="61" t="s">
        <v>200</v>
      </c>
      <c r="I49" s="62" t="s">
        <v>201</v>
      </c>
      <c r="J49" s="53"/>
    </row>
    <row r="50" ht="24.75" hidden="1" customHeight="1">
      <c r="A50" s="54">
        <v>80.0</v>
      </c>
      <c r="B50" s="56" t="s">
        <v>198</v>
      </c>
      <c r="C50" s="56" t="s">
        <v>189</v>
      </c>
      <c r="D50" s="56" t="s">
        <v>199</v>
      </c>
      <c r="E50" s="56" t="s">
        <v>163</v>
      </c>
      <c r="F50" s="57" t="s">
        <v>154</v>
      </c>
      <c r="G50" s="61"/>
      <c r="H50" s="61"/>
      <c r="I50" s="62" t="s">
        <v>207</v>
      </c>
      <c r="J50" s="53"/>
    </row>
    <row r="51" ht="24.75" hidden="1" customHeight="1">
      <c r="A51" s="54">
        <v>80.0</v>
      </c>
      <c r="B51" s="56" t="s">
        <v>203</v>
      </c>
      <c r="C51" s="56" t="s">
        <v>204</v>
      </c>
      <c r="D51" s="56" t="s">
        <v>205</v>
      </c>
      <c r="E51" s="56" t="s">
        <v>208</v>
      </c>
      <c r="F51" s="57" t="s">
        <v>154</v>
      </c>
      <c r="G51" s="61"/>
      <c r="H51" s="61"/>
      <c r="I51" s="62" t="s">
        <v>207</v>
      </c>
      <c r="J51" s="53"/>
    </row>
    <row r="52" ht="24.75" hidden="1" customHeight="1">
      <c r="A52" s="54">
        <v>80.0</v>
      </c>
      <c r="B52" s="56" t="s">
        <v>210</v>
      </c>
      <c r="C52" s="56" t="s">
        <v>189</v>
      </c>
      <c r="D52" s="56" t="s">
        <v>212</v>
      </c>
      <c r="E52" s="56" t="s">
        <v>213</v>
      </c>
      <c r="F52" s="57"/>
      <c r="G52" s="61"/>
      <c r="H52" s="61"/>
      <c r="I52" s="62"/>
      <c r="J52" s="53"/>
    </row>
    <row r="53" ht="24.75" hidden="1" customHeight="1">
      <c r="A53" s="54">
        <v>80.0</v>
      </c>
      <c r="B53" s="56" t="s">
        <v>214</v>
      </c>
      <c r="C53" s="56" t="s">
        <v>204</v>
      </c>
      <c r="D53" s="56" t="s">
        <v>215</v>
      </c>
      <c r="E53" s="56" t="s">
        <v>216</v>
      </c>
      <c r="F53" s="57" t="s">
        <v>154</v>
      </c>
      <c r="G53" s="61"/>
      <c r="H53" s="61"/>
      <c r="I53" s="62" t="s">
        <v>207</v>
      </c>
      <c r="J53" s="53"/>
    </row>
    <row r="54" ht="24.75" hidden="1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217</v>
      </c>
      <c r="F54" s="57" t="s">
        <v>154</v>
      </c>
      <c r="G54" s="61"/>
      <c r="H54" s="61"/>
      <c r="I54" s="62" t="s">
        <v>207</v>
      </c>
      <c r="J54" s="53"/>
    </row>
    <row r="55" ht="24.75" hidden="1" customHeight="1">
      <c r="A55" s="54">
        <v>80.0</v>
      </c>
      <c r="B55" s="56" t="s">
        <v>214</v>
      </c>
      <c r="C55" s="56" t="s">
        <v>204</v>
      </c>
      <c r="D55" s="56" t="s">
        <v>215</v>
      </c>
      <c r="E55" s="56" t="s">
        <v>163</v>
      </c>
      <c r="F55" s="57" t="s">
        <v>154</v>
      </c>
      <c r="G55" s="61"/>
      <c r="H55" s="61"/>
      <c r="I55" s="62" t="s">
        <v>207</v>
      </c>
      <c r="J55" s="53"/>
    </row>
    <row r="56" ht="24.75" hidden="1" customHeight="1">
      <c r="A56" s="54">
        <v>80.0</v>
      </c>
      <c r="B56" s="56" t="s">
        <v>218</v>
      </c>
      <c r="C56" s="56" t="s">
        <v>204</v>
      </c>
      <c r="D56" s="56" t="s">
        <v>219</v>
      </c>
      <c r="E56" s="56" t="s">
        <v>191</v>
      </c>
      <c r="F56" s="57" t="s">
        <v>192</v>
      </c>
      <c r="G56" s="61"/>
      <c r="H56" s="61"/>
      <c r="I56" s="62"/>
      <c r="J56" s="53"/>
    </row>
    <row r="57" ht="24.75" hidden="1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194</v>
      </c>
      <c r="F57" s="57" t="s">
        <v>192</v>
      </c>
      <c r="G57" s="61"/>
      <c r="H57" s="61"/>
      <c r="I57" s="62"/>
      <c r="J57" s="53"/>
    </row>
    <row r="58" ht="24.75" hidden="1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195</v>
      </c>
      <c r="F58" s="57" t="s">
        <v>34</v>
      </c>
      <c r="G58" s="61"/>
      <c r="H58" s="61" t="s">
        <v>197</v>
      </c>
      <c r="I58" s="62"/>
      <c r="J58" s="53"/>
    </row>
    <row r="59" ht="24.75" customHeight="1">
      <c r="A59" s="54">
        <v>80.0</v>
      </c>
      <c r="B59" s="56" t="s">
        <v>218</v>
      </c>
      <c r="C59" s="56" t="s">
        <v>204</v>
      </c>
      <c r="D59" s="56" t="s">
        <v>219</v>
      </c>
      <c r="E59" s="56" t="s">
        <v>196</v>
      </c>
      <c r="F59" s="57" t="s">
        <v>250</v>
      </c>
      <c r="G59" s="61"/>
      <c r="H59" s="61" t="s">
        <v>200</v>
      </c>
      <c r="I59" s="62" t="s">
        <v>201</v>
      </c>
      <c r="J59" s="53"/>
    </row>
    <row r="60" ht="24.75" hidden="1" customHeight="1">
      <c r="A60" s="54">
        <v>80.0</v>
      </c>
      <c r="B60" s="56" t="s">
        <v>220</v>
      </c>
      <c r="C60" s="56" t="s">
        <v>204</v>
      </c>
      <c r="D60" s="56" t="s">
        <v>221</v>
      </c>
      <c r="E60" s="56" t="s">
        <v>222</v>
      </c>
      <c r="F60" s="57" t="s">
        <v>154</v>
      </c>
      <c r="G60" s="61"/>
      <c r="H60" s="61"/>
      <c r="I60" s="62"/>
      <c r="J60" s="53"/>
    </row>
    <row r="61" ht="24.75" hidden="1" customHeight="1">
      <c r="A61" s="54">
        <v>80.0</v>
      </c>
      <c r="B61" s="56" t="s">
        <v>223</v>
      </c>
      <c r="C61" s="56" t="s">
        <v>204</v>
      </c>
      <c r="D61" s="56" t="s">
        <v>224</v>
      </c>
      <c r="E61" s="56" t="s">
        <v>225</v>
      </c>
      <c r="F61" s="57" t="s">
        <v>34</v>
      </c>
      <c r="G61" s="61"/>
      <c r="H61" s="61"/>
      <c r="I61" s="62"/>
      <c r="J61" s="53"/>
    </row>
    <row r="62" ht="24.75" hidden="1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167</v>
      </c>
      <c r="F62" s="57" t="s">
        <v>154</v>
      </c>
      <c r="G62" s="61"/>
      <c r="H62" s="61"/>
      <c r="I62" s="62"/>
      <c r="J62" s="53"/>
    </row>
    <row r="63" ht="24.75" hidden="1" customHeight="1">
      <c r="A63" s="54">
        <v>80.0</v>
      </c>
      <c r="B63" s="56" t="s">
        <v>223</v>
      </c>
      <c r="C63" s="56" t="s">
        <v>204</v>
      </c>
      <c r="D63" s="56" t="s">
        <v>224</v>
      </c>
      <c r="E63" s="56" t="s">
        <v>226</v>
      </c>
      <c r="F63" s="57" t="s">
        <v>154</v>
      </c>
      <c r="G63" s="61"/>
      <c r="H63" s="61"/>
      <c r="I63" s="62"/>
      <c r="J63" s="53"/>
    </row>
    <row r="64" ht="24.75" hidden="1" customHeight="1">
      <c r="A64" s="54">
        <v>80.0</v>
      </c>
      <c r="B64" s="56" t="s">
        <v>227</v>
      </c>
      <c r="C64" s="56" t="s">
        <v>228</v>
      </c>
      <c r="D64" s="56" t="s">
        <v>229</v>
      </c>
      <c r="E64" s="56" t="s">
        <v>230</v>
      </c>
      <c r="F64" s="57" t="s">
        <v>154</v>
      </c>
      <c r="G64" s="61"/>
      <c r="H64" s="61"/>
      <c r="I64" s="62"/>
      <c r="J64" s="53"/>
    </row>
    <row r="65" ht="24.75" customHeight="1">
      <c r="A65" s="54">
        <v>80.0</v>
      </c>
      <c r="B65" s="56" t="s">
        <v>227</v>
      </c>
      <c r="C65" s="56" t="s">
        <v>228</v>
      </c>
      <c r="D65" s="56" t="s">
        <v>231</v>
      </c>
      <c r="E65" s="56" t="s">
        <v>232</v>
      </c>
      <c r="F65" s="57" t="s">
        <v>250</v>
      </c>
      <c r="G65" s="61"/>
      <c r="H65" s="61" t="s">
        <v>200</v>
      </c>
      <c r="I65" s="62" t="s">
        <v>240</v>
      </c>
      <c r="J65" s="53"/>
    </row>
    <row r="66" ht="24.75" customHeight="1">
      <c r="A66" s="54">
        <v>92.0</v>
      </c>
      <c r="B66" s="56" t="s">
        <v>233</v>
      </c>
      <c r="C66" s="56" t="s">
        <v>234</v>
      </c>
      <c r="D66" s="56" t="s">
        <v>235</v>
      </c>
      <c r="E66" s="56" t="s">
        <v>111</v>
      </c>
      <c r="F66" s="57" t="s">
        <v>87</v>
      </c>
      <c r="G66" s="61"/>
      <c r="H66" s="61"/>
      <c r="I66" s="60" t="s">
        <v>243</v>
      </c>
      <c r="J66" s="53"/>
    </row>
    <row r="67" ht="24.75" hidden="1" customHeight="1">
      <c r="A67" s="54">
        <v>90.0</v>
      </c>
      <c r="B67" s="56" t="s">
        <v>236</v>
      </c>
      <c r="C67" s="56" t="s">
        <v>237</v>
      </c>
      <c r="D67" s="56" t="s">
        <v>238</v>
      </c>
      <c r="E67" s="56" t="s">
        <v>239</v>
      </c>
      <c r="F67" s="57" t="s">
        <v>34</v>
      </c>
      <c r="G67" s="61"/>
      <c r="H67" s="61"/>
      <c r="I67" s="62" t="s">
        <v>245</v>
      </c>
      <c r="J67" s="53"/>
    </row>
    <row r="68" ht="24.75" hidden="1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241</v>
      </c>
      <c r="F68" s="57" t="s">
        <v>34</v>
      </c>
      <c r="G68" s="61"/>
      <c r="H68" s="61"/>
      <c r="I68" s="62" t="s">
        <v>245</v>
      </c>
      <c r="J68" s="53"/>
    </row>
    <row r="69" ht="24.75" hidden="1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242</v>
      </c>
      <c r="F69" s="57" t="s">
        <v>34</v>
      </c>
      <c r="G69" s="61"/>
      <c r="H69" s="61"/>
      <c r="I69" s="62" t="s">
        <v>245</v>
      </c>
      <c r="J69" s="53"/>
    </row>
    <row r="70" ht="24.75" hidden="1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244</v>
      </c>
      <c r="F70" s="57" t="s">
        <v>34</v>
      </c>
      <c r="G70" s="61"/>
      <c r="H70" s="61"/>
      <c r="I70" s="62" t="s">
        <v>245</v>
      </c>
      <c r="J70" s="53"/>
    </row>
    <row r="71" ht="24.75" hidden="1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247</v>
      </c>
      <c r="F71" s="57" t="s">
        <v>34</v>
      </c>
      <c r="G71" s="61"/>
      <c r="H71" s="61"/>
      <c r="I71" s="62" t="s">
        <v>245</v>
      </c>
      <c r="J71" s="53"/>
    </row>
    <row r="72" ht="24.75" hidden="1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248</v>
      </c>
      <c r="F72" s="57" t="s">
        <v>34</v>
      </c>
      <c r="G72" s="61"/>
      <c r="H72" s="61"/>
      <c r="I72" s="62"/>
      <c r="J72" s="53"/>
    </row>
    <row r="73" ht="24.75" hidden="1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252</v>
      </c>
      <c r="F73" s="57" t="s">
        <v>34</v>
      </c>
      <c r="G73" s="61"/>
      <c r="H73" s="61"/>
      <c r="I73" s="62" t="s">
        <v>245</v>
      </c>
      <c r="J73" s="53"/>
    </row>
    <row r="74" ht="24.75" customHeight="1">
      <c r="A74" s="54">
        <v>92.0</v>
      </c>
      <c r="B74" s="56" t="s">
        <v>253</v>
      </c>
      <c r="C74" s="56" t="s">
        <v>234</v>
      </c>
      <c r="D74" s="56" t="s">
        <v>254</v>
      </c>
      <c r="E74" s="56" t="s">
        <v>111</v>
      </c>
      <c r="F74" s="57" t="s">
        <v>87</v>
      </c>
      <c r="G74" s="61"/>
      <c r="H74" s="61"/>
      <c r="I74" s="60" t="s">
        <v>243</v>
      </c>
      <c r="J74" s="53"/>
    </row>
    <row r="75" ht="24.75" customHeight="1">
      <c r="A75" s="54">
        <v>92.0</v>
      </c>
      <c r="B75" s="56" t="s">
        <v>255</v>
      </c>
      <c r="C75" s="56" t="s">
        <v>234</v>
      </c>
      <c r="D75" s="56" t="s">
        <v>256</v>
      </c>
      <c r="E75" s="56" t="s">
        <v>257</v>
      </c>
      <c r="F75" s="57" t="s">
        <v>87</v>
      </c>
      <c r="G75" s="61"/>
      <c r="H75" s="61"/>
      <c r="I75" s="60"/>
      <c r="J75" s="53"/>
    </row>
    <row r="76" ht="24.75" customHeight="1">
      <c r="A76" s="54">
        <v>110.0</v>
      </c>
      <c r="B76" s="56" t="s">
        <v>258</v>
      </c>
      <c r="C76" s="56" t="s">
        <v>259</v>
      </c>
      <c r="D76" s="56" t="s">
        <v>85</v>
      </c>
      <c r="E76" s="56" t="s">
        <v>86</v>
      </c>
      <c r="F76" s="57" t="s">
        <v>87</v>
      </c>
      <c r="G76" s="61"/>
      <c r="H76" s="61"/>
      <c r="I76" s="60" t="s">
        <v>88</v>
      </c>
      <c r="J76" s="53"/>
    </row>
    <row r="77" ht="24.75" customHeight="1">
      <c r="A77" s="54">
        <v>110.0</v>
      </c>
      <c r="B77" s="56" t="s">
        <v>260</v>
      </c>
      <c r="C77" s="56" t="s">
        <v>259</v>
      </c>
      <c r="D77" s="56" t="s">
        <v>261</v>
      </c>
      <c r="E77" s="56" t="s">
        <v>86</v>
      </c>
      <c r="F77" s="57" t="s">
        <v>87</v>
      </c>
      <c r="G77" s="61"/>
      <c r="H77" s="61"/>
      <c r="I77" s="60" t="s">
        <v>88</v>
      </c>
      <c r="J77" s="53"/>
    </row>
    <row r="78" ht="24.75" customHeight="1">
      <c r="A78" s="54">
        <v>120.0</v>
      </c>
      <c r="B78" s="56" t="s">
        <v>262</v>
      </c>
      <c r="C78" s="56" t="s">
        <v>263</v>
      </c>
      <c r="D78" s="56" t="s">
        <v>263</v>
      </c>
      <c r="E78" s="56" t="s">
        <v>264</v>
      </c>
      <c r="F78" s="57" t="s">
        <v>87</v>
      </c>
      <c r="G78" s="61"/>
      <c r="H78" s="61"/>
      <c r="I78" s="60" t="s">
        <v>273</v>
      </c>
      <c r="J78" s="53"/>
    </row>
    <row r="79" ht="24.75" hidden="1" customHeight="1">
      <c r="A79" s="54">
        <v>90.0</v>
      </c>
      <c r="B79" s="56" t="s">
        <v>265</v>
      </c>
      <c r="C79" s="56" t="s">
        <v>237</v>
      </c>
      <c r="D79" s="56" t="s">
        <v>266</v>
      </c>
      <c r="E79" s="56" t="s">
        <v>267</v>
      </c>
      <c r="F79" s="57" t="s">
        <v>192</v>
      </c>
      <c r="G79" s="61"/>
      <c r="H79" s="61"/>
      <c r="I79" s="62" t="s">
        <v>245</v>
      </c>
      <c r="J79" s="53"/>
    </row>
    <row r="80" ht="24.75" hidden="1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268</v>
      </c>
      <c r="F80" s="57" t="s">
        <v>34</v>
      </c>
      <c r="G80" s="61"/>
      <c r="H80" s="61"/>
      <c r="I80" s="62" t="s">
        <v>245</v>
      </c>
      <c r="J80" s="53"/>
    </row>
    <row r="81" ht="24.75" customHeight="1">
      <c r="A81" s="54">
        <v>140.0</v>
      </c>
      <c r="B81" s="56" t="s">
        <v>269</v>
      </c>
      <c r="C81" s="56" t="s">
        <v>270</v>
      </c>
      <c r="D81" s="56" t="s">
        <v>271</v>
      </c>
      <c r="E81" s="56" t="s">
        <v>272</v>
      </c>
      <c r="F81" s="57" t="s">
        <v>87</v>
      </c>
      <c r="G81" s="61"/>
      <c r="H81" s="61"/>
      <c r="I81" s="60"/>
      <c r="J81" s="53"/>
    </row>
    <row r="82" ht="24.75" hidden="1" customHeight="1">
      <c r="A82" s="54">
        <v>90.0</v>
      </c>
      <c r="B82" s="56" t="s">
        <v>274</v>
      </c>
      <c r="C82" s="56" t="s">
        <v>237</v>
      </c>
      <c r="D82" s="56" t="s">
        <v>275</v>
      </c>
      <c r="E82" s="56" t="s">
        <v>239</v>
      </c>
      <c r="F82" s="57" t="s">
        <v>34</v>
      </c>
      <c r="G82" s="61"/>
      <c r="H82" s="61"/>
      <c r="I82" s="62" t="s">
        <v>245</v>
      </c>
      <c r="J82" s="53"/>
    </row>
    <row r="83" ht="24.75" hidden="1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248</v>
      </c>
      <c r="F83" s="57" t="s">
        <v>34</v>
      </c>
      <c r="G83" s="61"/>
      <c r="H83" s="61"/>
      <c r="I83" s="62"/>
      <c r="J83" s="53"/>
    </row>
    <row r="84" ht="24.75" customHeight="1">
      <c r="A84" s="54">
        <v>140.0</v>
      </c>
      <c r="B84" s="56" t="s">
        <v>269</v>
      </c>
      <c r="C84" s="56" t="s">
        <v>270</v>
      </c>
      <c r="D84" s="56" t="s">
        <v>271</v>
      </c>
      <c r="E84" s="56" t="s">
        <v>276</v>
      </c>
      <c r="F84" s="57" t="s">
        <v>87</v>
      </c>
      <c r="G84" s="61"/>
      <c r="H84" s="61"/>
      <c r="I84" s="60" t="s">
        <v>88</v>
      </c>
      <c r="J84" s="53"/>
    </row>
    <row r="85" ht="24.75" hidden="1" customHeight="1">
      <c r="A85" s="54">
        <v>90.0</v>
      </c>
      <c r="B85" s="56" t="s">
        <v>277</v>
      </c>
      <c r="C85" s="56" t="s">
        <v>278</v>
      </c>
      <c r="D85" s="56" t="s">
        <v>279</v>
      </c>
      <c r="E85" s="56" t="s">
        <v>239</v>
      </c>
      <c r="F85" s="57" t="s">
        <v>34</v>
      </c>
      <c r="G85" s="61"/>
      <c r="H85" s="61"/>
      <c r="I85" s="62" t="s">
        <v>283</v>
      </c>
      <c r="J85" s="53"/>
    </row>
    <row r="86" ht="24.75" hidden="1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163</v>
      </c>
      <c r="F86" s="57" t="s">
        <v>34</v>
      </c>
      <c r="G86" s="61"/>
      <c r="H86" s="61"/>
      <c r="I86" s="62" t="s">
        <v>283</v>
      </c>
      <c r="J86" s="53"/>
    </row>
    <row r="87" ht="24.75" hidden="1" customHeight="1">
      <c r="A87" s="54">
        <v>90.0</v>
      </c>
      <c r="B87" s="56" t="s">
        <v>277</v>
      </c>
      <c r="C87" s="56" t="s">
        <v>278</v>
      </c>
      <c r="D87" s="56" t="s">
        <v>279</v>
      </c>
      <c r="E87" s="56" t="s">
        <v>241</v>
      </c>
      <c r="F87" s="57" t="s">
        <v>34</v>
      </c>
      <c r="G87" s="61"/>
      <c r="H87" s="61"/>
      <c r="I87" s="62" t="s">
        <v>283</v>
      </c>
      <c r="J87" s="53"/>
    </row>
    <row r="88" ht="24.75" customHeight="1">
      <c r="A88" s="54">
        <v>90.0</v>
      </c>
      <c r="B88" s="56" t="s">
        <v>280</v>
      </c>
      <c r="C88" s="56" t="s">
        <v>278</v>
      </c>
      <c r="D88" s="56" t="s">
        <v>281</v>
      </c>
      <c r="E88" s="56" t="s">
        <v>196</v>
      </c>
      <c r="F88" s="57" t="s">
        <v>250</v>
      </c>
      <c r="G88" s="61"/>
      <c r="H88" s="61" t="s">
        <v>287</v>
      </c>
      <c r="I88" s="62" t="s">
        <v>288</v>
      </c>
      <c r="J88" s="53"/>
    </row>
    <row r="89" ht="24.75" customHeight="1">
      <c r="A89" s="54">
        <v>140.0</v>
      </c>
      <c r="B89" s="56" t="s">
        <v>284</v>
      </c>
      <c r="C89" s="56" t="s">
        <v>270</v>
      </c>
      <c r="D89" s="56" t="s">
        <v>285</v>
      </c>
      <c r="E89" s="56" t="s">
        <v>272</v>
      </c>
      <c r="F89" s="57" t="s">
        <v>87</v>
      </c>
      <c r="G89" s="61"/>
      <c r="H89" s="61"/>
      <c r="I89" s="60"/>
      <c r="J89" s="53"/>
    </row>
    <row r="90" ht="24.75" customHeight="1">
      <c r="A90" s="54">
        <v>140.0</v>
      </c>
      <c r="B90" s="56" t="s">
        <v>284</v>
      </c>
      <c r="C90" s="56" t="s">
        <v>270</v>
      </c>
      <c r="D90" s="56" t="s">
        <v>285</v>
      </c>
      <c r="E90" s="56" t="s">
        <v>276</v>
      </c>
      <c r="F90" s="57" t="s">
        <v>87</v>
      </c>
      <c r="G90" s="61"/>
      <c r="H90" s="61"/>
      <c r="I90" s="60" t="s">
        <v>88</v>
      </c>
      <c r="J90" s="53"/>
    </row>
    <row r="91" ht="24.75" hidden="1" customHeight="1">
      <c r="A91" s="54">
        <v>90.0</v>
      </c>
      <c r="B91" s="56" t="s">
        <v>286</v>
      </c>
      <c r="C91" s="56" t="s">
        <v>278</v>
      </c>
      <c r="D91" s="56" t="s">
        <v>266</v>
      </c>
      <c r="E91" s="56" t="s">
        <v>268</v>
      </c>
      <c r="F91" s="57" t="s">
        <v>34</v>
      </c>
      <c r="G91" s="61"/>
      <c r="H91" s="61"/>
      <c r="I91" s="62" t="s">
        <v>283</v>
      </c>
      <c r="J91" s="53"/>
    </row>
    <row r="92" ht="24.75" customHeight="1">
      <c r="A92" s="54" t="s">
        <v>289</v>
      </c>
      <c r="B92" s="56" t="s">
        <v>290</v>
      </c>
      <c r="C92" s="56" t="s">
        <v>291</v>
      </c>
      <c r="D92" s="56" t="s">
        <v>292</v>
      </c>
      <c r="E92" s="56" t="s">
        <v>167</v>
      </c>
      <c r="F92" s="57" t="s">
        <v>87</v>
      </c>
      <c r="G92" s="61"/>
      <c r="H92" s="79"/>
      <c r="I92" s="60"/>
      <c r="J92" s="53"/>
    </row>
    <row r="93" ht="24.75" hidden="1" customHeight="1">
      <c r="A93" s="54">
        <v>90.0</v>
      </c>
      <c r="B93" s="56" t="s">
        <v>294</v>
      </c>
      <c r="C93" s="56" t="s">
        <v>278</v>
      </c>
      <c r="D93" s="56" t="s">
        <v>275</v>
      </c>
      <c r="E93" s="56" t="s">
        <v>239</v>
      </c>
      <c r="F93" s="57" t="s">
        <v>34</v>
      </c>
      <c r="G93" s="61"/>
      <c r="H93" s="61"/>
      <c r="I93" s="62"/>
      <c r="J93" s="53"/>
    </row>
    <row r="94" ht="24.75" customHeight="1">
      <c r="A94" s="54" t="s">
        <v>289</v>
      </c>
      <c r="B94" s="56" t="s">
        <v>290</v>
      </c>
      <c r="C94" s="56" t="s">
        <v>291</v>
      </c>
      <c r="D94" s="56" t="s">
        <v>292</v>
      </c>
      <c r="E94" s="56" t="s">
        <v>295</v>
      </c>
      <c r="F94" s="57" t="s">
        <v>87</v>
      </c>
      <c r="G94" s="61"/>
      <c r="H94" s="79"/>
      <c r="I94" s="60"/>
      <c r="J94" s="53"/>
    </row>
    <row r="95" ht="24.75" hidden="1" customHeight="1">
      <c r="A95" s="54">
        <v>92.0</v>
      </c>
      <c r="B95" s="56" t="s">
        <v>233</v>
      </c>
      <c r="C95" s="56" t="s">
        <v>234</v>
      </c>
      <c r="D95" s="56" t="s">
        <v>296</v>
      </c>
      <c r="E95" s="56" t="s">
        <v>297</v>
      </c>
      <c r="F95" s="57"/>
      <c r="G95" s="61"/>
      <c r="H95" s="61"/>
      <c r="I95" s="62" t="s">
        <v>283</v>
      </c>
      <c r="J95" s="53"/>
    </row>
    <row r="96" ht="24.75" hidden="1" customHeight="1">
      <c r="A96" s="54">
        <v>90.0</v>
      </c>
      <c r="B96" s="56" t="s">
        <v>298</v>
      </c>
      <c r="C96" s="56" t="s">
        <v>278</v>
      </c>
      <c r="D96" s="56" t="s">
        <v>299</v>
      </c>
      <c r="E96" s="56" t="s">
        <v>167</v>
      </c>
      <c r="F96" s="57" t="s">
        <v>15</v>
      </c>
      <c r="G96" s="61"/>
      <c r="H96" s="61"/>
      <c r="I96" s="60"/>
      <c r="J96" s="53"/>
    </row>
    <row r="97" ht="24.75" hidden="1" customHeight="1">
      <c r="A97" s="54">
        <v>92.0</v>
      </c>
      <c r="B97" s="56" t="s">
        <v>253</v>
      </c>
      <c r="C97" s="56" t="s">
        <v>234</v>
      </c>
      <c r="D97" s="56" t="s">
        <v>300</v>
      </c>
      <c r="E97" s="56" t="s">
        <v>297</v>
      </c>
      <c r="F97" s="57"/>
      <c r="G97" s="61"/>
      <c r="H97" s="61"/>
      <c r="I97" s="62" t="s">
        <v>283</v>
      </c>
      <c r="J97" s="53"/>
    </row>
    <row r="98" ht="24.75" hidden="1" customHeight="1">
      <c r="A98" s="54">
        <v>92.0</v>
      </c>
      <c r="B98" s="56" t="s">
        <v>301</v>
      </c>
      <c r="C98" s="56" t="s">
        <v>234</v>
      </c>
      <c r="D98" s="56" t="s">
        <v>302</v>
      </c>
      <c r="E98" s="56" t="s">
        <v>163</v>
      </c>
      <c r="F98" s="57" t="s">
        <v>34</v>
      </c>
      <c r="G98" s="61"/>
      <c r="H98" s="61"/>
      <c r="I98" s="62"/>
      <c r="J98" s="53"/>
    </row>
    <row r="99" ht="24.75" hidden="1" customHeight="1">
      <c r="A99" s="54">
        <v>92.0</v>
      </c>
      <c r="B99" s="56" t="s">
        <v>301</v>
      </c>
      <c r="C99" s="56" t="s">
        <v>234</v>
      </c>
      <c r="D99" s="56" t="s">
        <v>302</v>
      </c>
      <c r="E99" s="56" t="s">
        <v>111</v>
      </c>
      <c r="F99" s="57" t="s">
        <v>154</v>
      </c>
      <c r="G99" s="61"/>
      <c r="H99" s="61"/>
      <c r="I99" s="62"/>
      <c r="J99" s="53"/>
    </row>
    <row r="100" ht="24.75" hidden="1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248</v>
      </c>
      <c r="F100" s="57" t="s">
        <v>303</v>
      </c>
      <c r="G100" s="61"/>
      <c r="H100" s="61"/>
      <c r="I100" s="62"/>
      <c r="J100" s="53"/>
    </row>
    <row r="101" ht="24.75" hidden="1" customHeight="1">
      <c r="A101" s="54">
        <v>92.0</v>
      </c>
      <c r="B101" s="56" t="s">
        <v>301</v>
      </c>
      <c r="C101" s="56" t="s">
        <v>234</v>
      </c>
      <c r="D101" s="56" t="s">
        <v>302</v>
      </c>
      <c r="E101" s="56" t="s">
        <v>247</v>
      </c>
      <c r="F101" s="57" t="s">
        <v>303</v>
      </c>
      <c r="G101" s="61"/>
      <c r="H101" s="61"/>
      <c r="I101" s="62"/>
      <c r="J101" s="53"/>
    </row>
    <row r="102" ht="24.75" hidden="1" customHeight="1">
      <c r="A102" s="54">
        <v>92.0</v>
      </c>
      <c r="B102" s="56" t="s">
        <v>304</v>
      </c>
      <c r="C102" s="56" t="s">
        <v>234</v>
      </c>
      <c r="D102" s="56" t="s">
        <v>305</v>
      </c>
      <c r="E102" s="56" t="s">
        <v>163</v>
      </c>
      <c r="F102" s="57" t="s">
        <v>34</v>
      </c>
      <c r="G102" s="61"/>
      <c r="H102" s="61"/>
      <c r="I102" s="62"/>
      <c r="J102" s="53"/>
    </row>
    <row r="103" ht="24.75" hidden="1" customHeight="1">
      <c r="A103" s="54">
        <v>92.0</v>
      </c>
      <c r="B103" s="56" t="s">
        <v>304</v>
      </c>
      <c r="C103" s="56" t="s">
        <v>234</v>
      </c>
      <c r="D103" s="56" t="s">
        <v>305</v>
      </c>
      <c r="E103" s="56" t="s">
        <v>111</v>
      </c>
      <c r="F103" s="57" t="s">
        <v>154</v>
      </c>
      <c r="G103" s="61"/>
      <c r="H103" s="61"/>
      <c r="I103" s="62"/>
      <c r="J103" s="53"/>
    </row>
    <row r="104" ht="24.75" hidden="1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248</v>
      </c>
      <c r="F104" s="57" t="s">
        <v>303</v>
      </c>
      <c r="G104" s="61"/>
      <c r="H104" s="61"/>
      <c r="I104" s="62"/>
      <c r="J104" s="53"/>
    </row>
    <row r="105" ht="24.75" hidden="1" customHeight="1">
      <c r="A105" s="54">
        <v>92.0</v>
      </c>
      <c r="B105" s="56" t="s">
        <v>304</v>
      </c>
      <c r="C105" s="56" t="s">
        <v>234</v>
      </c>
      <c r="D105" s="56" t="s">
        <v>305</v>
      </c>
      <c r="E105" s="56" t="s">
        <v>247</v>
      </c>
      <c r="F105" s="57" t="s">
        <v>303</v>
      </c>
      <c r="G105" s="61"/>
      <c r="H105" s="61"/>
      <c r="I105" s="62"/>
      <c r="J105" s="53"/>
    </row>
    <row r="106" ht="24.75" hidden="1" customHeight="1">
      <c r="A106" s="54">
        <v>92.0</v>
      </c>
      <c r="B106" s="56" t="s">
        <v>306</v>
      </c>
      <c r="C106" s="56" t="s">
        <v>234</v>
      </c>
      <c r="D106" s="56" t="s">
        <v>307</v>
      </c>
      <c r="E106" s="56" t="s">
        <v>163</v>
      </c>
      <c r="F106" s="57" t="s">
        <v>34</v>
      </c>
      <c r="G106" s="61"/>
      <c r="H106" s="61"/>
      <c r="I106" s="62"/>
      <c r="J106" s="53"/>
    </row>
    <row r="107" ht="24.75" hidden="1" customHeight="1">
      <c r="A107" s="54">
        <v>92.0</v>
      </c>
      <c r="B107" s="56" t="s">
        <v>306</v>
      </c>
      <c r="C107" s="56" t="s">
        <v>234</v>
      </c>
      <c r="D107" s="56" t="s">
        <v>307</v>
      </c>
      <c r="E107" s="56" t="s">
        <v>111</v>
      </c>
      <c r="F107" s="57" t="s">
        <v>154</v>
      </c>
      <c r="G107" s="61"/>
      <c r="H107" s="61"/>
      <c r="I107" s="62"/>
      <c r="J107" s="53"/>
    </row>
    <row r="108" ht="24.75" hidden="1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248</v>
      </c>
      <c r="F108" s="57" t="s">
        <v>303</v>
      </c>
      <c r="G108" s="61"/>
      <c r="H108" s="61"/>
      <c r="I108" s="62"/>
      <c r="J108" s="53"/>
    </row>
    <row r="109" ht="24.75" hidden="1" customHeight="1">
      <c r="A109" s="54">
        <v>92.0</v>
      </c>
      <c r="B109" s="56" t="s">
        <v>306</v>
      </c>
      <c r="C109" s="56" t="s">
        <v>234</v>
      </c>
      <c r="D109" s="56" t="s">
        <v>307</v>
      </c>
      <c r="E109" s="56" t="s">
        <v>247</v>
      </c>
      <c r="F109" s="57" t="s">
        <v>303</v>
      </c>
      <c r="G109" s="61"/>
      <c r="H109" s="61"/>
      <c r="I109" s="62"/>
      <c r="J109" s="53"/>
    </row>
    <row r="110" ht="24.75" hidden="1" customHeight="1">
      <c r="A110" s="54">
        <v>90.0</v>
      </c>
      <c r="B110" s="56" t="s">
        <v>236</v>
      </c>
      <c r="C110" s="56" t="s">
        <v>237</v>
      </c>
      <c r="D110" s="56" t="s">
        <v>238</v>
      </c>
      <c r="E110" s="56" t="s">
        <v>308</v>
      </c>
      <c r="F110" s="57" t="s">
        <v>15</v>
      </c>
      <c r="G110" s="61"/>
      <c r="H110" s="61"/>
      <c r="I110" s="60"/>
      <c r="J110" s="53"/>
    </row>
    <row r="111" ht="24.75" hidden="1" customHeight="1">
      <c r="A111" s="54">
        <v>92.0</v>
      </c>
      <c r="B111" s="56" t="s">
        <v>309</v>
      </c>
      <c r="C111" s="56" t="s">
        <v>234</v>
      </c>
      <c r="D111" s="80" t="s">
        <v>310</v>
      </c>
      <c r="E111" s="56" t="s">
        <v>297</v>
      </c>
      <c r="F111" s="57"/>
      <c r="G111" s="61"/>
      <c r="H111" s="61"/>
      <c r="I111" s="62"/>
      <c r="J111" s="53"/>
    </row>
    <row r="112" ht="24.75" hidden="1" customHeight="1">
      <c r="A112" s="54">
        <v>90.0</v>
      </c>
      <c r="B112" s="56" t="s">
        <v>236</v>
      </c>
      <c r="C112" s="56" t="s">
        <v>237</v>
      </c>
      <c r="D112" s="56" t="s">
        <v>238</v>
      </c>
      <c r="E112" s="56" t="s">
        <v>311</v>
      </c>
      <c r="F112" s="57" t="s">
        <v>15</v>
      </c>
      <c r="G112" s="61"/>
      <c r="H112" s="61"/>
      <c r="I112" s="60"/>
      <c r="J112" s="53"/>
    </row>
    <row r="113" ht="24.75" hidden="1" customHeight="1">
      <c r="A113" s="54">
        <v>90.0</v>
      </c>
      <c r="B113" s="56" t="s">
        <v>236</v>
      </c>
      <c r="C113" s="56" t="s">
        <v>237</v>
      </c>
      <c r="D113" s="56" t="s">
        <v>238</v>
      </c>
      <c r="E113" s="56" t="s">
        <v>312</v>
      </c>
      <c r="F113" s="57" t="s">
        <v>15</v>
      </c>
      <c r="G113" s="61"/>
      <c r="H113" s="61"/>
      <c r="I113" s="60"/>
      <c r="J113" s="53"/>
    </row>
    <row r="114" ht="24.75" hidden="1" customHeight="1">
      <c r="A114" s="54">
        <v>100.0</v>
      </c>
      <c r="B114" s="56" t="s">
        <v>314</v>
      </c>
      <c r="C114" s="56" t="s">
        <v>315</v>
      </c>
      <c r="D114" s="56" t="s">
        <v>316</v>
      </c>
      <c r="E114" s="56" t="s">
        <v>317</v>
      </c>
      <c r="F114" s="57" t="s">
        <v>34</v>
      </c>
      <c r="G114" s="81"/>
      <c r="H114" s="81"/>
      <c r="I114" s="57"/>
      <c r="J114" s="53"/>
    </row>
    <row r="115" ht="24.75" hidden="1" customHeight="1">
      <c r="A115" s="54">
        <v>100.0</v>
      </c>
      <c r="B115" s="56" t="s">
        <v>318</v>
      </c>
      <c r="C115" s="56" t="s">
        <v>315</v>
      </c>
      <c r="D115" s="56" t="s">
        <v>319</v>
      </c>
      <c r="E115" s="56" t="s">
        <v>320</v>
      </c>
      <c r="F115" s="57" t="s">
        <v>34</v>
      </c>
      <c r="G115" s="81"/>
      <c r="H115" s="81"/>
      <c r="I115" s="57"/>
      <c r="J115" s="5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82"/>
      <c r="EB115" s="82"/>
      <c r="EC115" s="82"/>
      <c r="ED115" s="82"/>
      <c r="EE115" s="82"/>
      <c r="EF115" s="82"/>
      <c r="EG115" s="82"/>
      <c r="EH115" s="82"/>
      <c r="EI115" s="82"/>
      <c r="EJ115" s="82"/>
      <c r="EK115" s="82"/>
      <c r="EL115" s="82"/>
      <c r="EM115" s="82"/>
      <c r="EN115" s="82"/>
      <c r="EO115" s="82"/>
      <c r="EP115" s="82"/>
      <c r="EQ115" s="82"/>
      <c r="ER115" s="82"/>
      <c r="ES115" s="82"/>
      <c r="ET115" s="82"/>
      <c r="EU115" s="82"/>
      <c r="EV115" s="82"/>
      <c r="EW115" s="82"/>
      <c r="EX115" s="82"/>
      <c r="EY115" s="82"/>
      <c r="EZ115" s="82"/>
      <c r="FA115" s="82"/>
      <c r="FB115" s="82"/>
      <c r="FC115" s="82"/>
      <c r="FD115" s="82"/>
      <c r="FE115" s="82"/>
      <c r="FF115" s="82"/>
      <c r="FG115" s="82"/>
      <c r="FH115" s="82"/>
      <c r="FI115" s="82"/>
      <c r="FJ115" s="82"/>
      <c r="FK115" s="82"/>
      <c r="FL115" s="82"/>
      <c r="FM115" s="82"/>
      <c r="FN115" s="82"/>
      <c r="FO115" s="82"/>
      <c r="FP115" s="82"/>
      <c r="FQ115" s="82"/>
      <c r="FR115" s="82"/>
      <c r="FS115" s="82"/>
      <c r="FT115" s="82"/>
      <c r="FU115" s="82"/>
      <c r="FV115" s="82"/>
      <c r="FW115" s="82"/>
      <c r="FX115" s="82"/>
      <c r="FY115" s="82"/>
      <c r="FZ115" s="82"/>
      <c r="GA115" s="82"/>
      <c r="GB115" s="82"/>
      <c r="GC115" s="82"/>
      <c r="GD115" s="82"/>
      <c r="GE115" s="82"/>
      <c r="GF115" s="82"/>
    </row>
    <row r="116" ht="24.75" hidden="1" customHeight="1">
      <c r="A116" s="54">
        <v>100.0</v>
      </c>
      <c r="B116" s="56" t="s">
        <v>318</v>
      </c>
      <c r="C116" s="56" t="s">
        <v>315</v>
      </c>
      <c r="D116" s="56" t="s">
        <v>319</v>
      </c>
      <c r="E116" s="56" t="s">
        <v>325</v>
      </c>
      <c r="F116" s="57" t="s">
        <v>34</v>
      </c>
      <c r="G116" s="53"/>
      <c r="H116" s="53"/>
      <c r="I116" s="53"/>
      <c r="J116" s="5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F116" s="82"/>
      <c r="EG116" s="82"/>
      <c r="EH116" s="82"/>
      <c r="EI116" s="82"/>
      <c r="EJ116" s="82"/>
      <c r="EK116" s="82"/>
      <c r="EL116" s="82"/>
      <c r="EM116" s="82"/>
      <c r="EN116" s="82"/>
      <c r="EO116" s="82"/>
      <c r="EP116" s="82"/>
      <c r="EQ116" s="82"/>
      <c r="ER116" s="82"/>
      <c r="ES116" s="82"/>
      <c r="ET116" s="82"/>
      <c r="EU116" s="82"/>
      <c r="EV116" s="82"/>
      <c r="EW116" s="82"/>
      <c r="EX116" s="82"/>
      <c r="EY116" s="82"/>
      <c r="EZ116" s="82"/>
      <c r="FA116" s="82"/>
      <c r="FB116" s="82"/>
      <c r="FC116" s="82"/>
      <c r="FD116" s="82"/>
      <c r="FE116" s="82"/>
      <c r="FF116" s="82"/>
      <c r="FG116" s="82"/>
      <c r="FH116" s="82"/>
      <c r="FI116" s="82"/>
      <c r="FJ116" s="82"/>
      <c r="FK116" s="82"/>
      <c r="FL116" s="82"/>
      <c r="FM116" s="82"/>
      <c r="FN116" s="82"/>
      <c r="FO116" s="82"/>
      <c r="FP116" s="82"/>
      <c r="FQ116" s="82"/>
      <c r="FR116" s="82"/>
      <c r="FS116" s="82"/>
      <c r="FT116" s="82"/>
      <c r="FU116" s="82"/>
      <c r="FV116" s="82"/>
      <c r="FW116" s="82"/>
      <c r="FX116" s="82"/>
      <c r="FY116" s="82"/>
      <c r="FZ116" s="82"/>
      <c r="GA116" s="82"/>
      <c r="GB116" s="82"/>
      <c r="GC116" s="82"/>
      <c r="GD116" s="82"/>
      <c r="GE116" s="82"/>
      <c r="GF116" s="82"/>
    </row>
    <row r="117" ht="24.75" hidden="1" customHeight="1">
      <c r="A117" s="54">
        <v>100.0</v>
      </c>
      <c r="B117" s="56" t="s">
        <v>328</v>
      </c>
      <c r="C117" s="56" t="s">
        <v>315</v>
      </c>
      <c r="D117" s="56" t="s">
        <v>329</v>
      </c>
      <c r="E117" s="56" t="s">
        <v>320</v>
      </c>
      <c r="F117" s="57" t="s">
        <v>34</v>
      </c>
      <c r="G117" s="53"/>
      <c r="H117" s="53"/>
      <c r="I117" s="53"/>
      <c r="J117" s="5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  <c r="FU117" s="82"/>
      <c r="FV117" s="82"/>
      <c r="FW117" s="82"/>
      <c r="FX117" s="82"/>
      <c r="FY117" s="82"/>
      <c r="FZ117" s="82"/>
      <c r="GA117" s="82"/>
      <c r="GB117" s="82"/>
      <c r="GC117" s="82"/>
      <c r="GD117" s="82"/>
      <c r="GE117" s="82"/>
      <c r="GF117" s="82"/>
    </row>
    <row r="118" ht="24.75" hidden="1" customHeight="1">
      <c r="A118" s="54">
        <v>100.0</v>
      </c>
      <c r="B118" s="56" t="s">
        <v>328</v>
      </c>
      <c r="C118" s="56" t="s">
        <v>315</v>
      </c>
      <c r="D118" s="56" t="s">
        <v>329</v>
      </c>
      <c r="E118" s="56" t="s">
        <v>325</v>
      </c>
      <c r="F118" s="57" t="s">
        <v>34</v>
      </c>
      <c r="G118" s="53"/>
      <c r="H118" s="53"/>
      <c r="I118" s="53"/>
      <c r="J118" s="5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  <c r="FU118" s="82"/>
      <c r="FV118" s="82"/>
      <c r="FW118" s="82"/>
      <c r="FX118" s="82"/>
      <c r="FY118" s="82"/>
      <c r="FZ118" s="82"/>
      <c r="GA118" s="82"/>
      <c r="GB118" s="82"/>
      <c r="GC118" s="82"/>
      <c r="GD118" s="82"/>
      <c r="GE118" s="82"/>
      <c r="GF118" s="82"/>
    </row>
    <row r="119" ht="24.75" customHeight="1">
      <c r="A119" s="54">
        <v>100.0</v>
      </c>
      <c r="B119" s="56" t="s">
        <v>331</v>
      </c>
      <c r="C119" s="56" t="s">
        <v>315</v>
      </c>
      <c r="D119" s="56" t="s">
        <v>332</v>
      </c>
      <c r="E119" s="56" t="s">
        <v>333</v>
      </c>
      <c r="F119" s="57" t="s">
        <v>250</v>
      </c>
      <c r="G119" s="50"/>
      <c r="H119" s="61" t="s">
        <v>346</v>
      </c>
      <c r="I119" s="84" t="s">
        <v>347</v>
      </c>
      <c r="J119" s="53"/>
    </row>
    <row r="120" ht="24.75" hidden="1" customHeight="1">
      <c r="A120" s="54">
        <v>100.0</v>
      </c>
      <c r="B120" s="56" t="s">
        <v>334</v>
      </c>
      <c r="C120" s="56" t="s">
        <v>315</v>
      </c>
      <c r="D120" s="56" t="s">
        <v>335</v>
      </c>
      <c r="E120" s="56" t="s">
        <v>336</v>
      </c>
      <c r="F120" s="57" t="s">
        <v>192</v>
      </c>
      <c r="G120" s="50"/>
      <c r="H120" s="50"/>
      <c r="I120" s="84"/>
      <c r="J120" s="53"/>
    </row>
    <row r="121" ht="24.75" hidden="1" customHeight="1">
      <c r="A121" s="54">
        <v>90.0</v>
      </c>
      <c r="B121" s="56" t="s">
        <v>337</v>
      </c>
      <c r="C121" s="56" t="s">
        <v>237</v>
      </c>
      <c r="D121" s="56" t="s">
        <v>338</v>
      </c>
      <c r="E121" s="56" t="s">
        <v>111</v>
      </c>
      <c r="F121" s="57" t="s">
        <v>15</v>
      </c>
      <c r="G121" s="61"/>
      <c r="H121" s="61"/>
      <c r="I121" s="60"/>
      <c r="J121" s="53"/>
    </row>
    <row r="122" ht="24.75" hidden="1" customHeight="1">
      <c r="A122" s="54">
        <v>101.0</v>
      </c>
      <c r="B122" s="56" t="s">
        <v>339</v>
      </c>
      <c r="C122" s="56" t="s">
        <v>315</v>
      </c>
      <c r="D122" s="56" t="s">
        <v>340</v>
      </c>
      <c r="E122" s="56" t="s">
        <v>341</v>
      </c>
      <c r="F122" s="57" t="s">
        <v>154</v>
      </c>
      <c r="G122" s="61"/>
      <c r="H122" s="61"/>
      <c r="I122" s="62"/>
      <c r="J122" s="53"/>
    </row>
    <row r="123" ht="24.75" customHeight="1">
      <c r="A123" s="54">
        <v>101.0</v>
      </c>
      <c r="B123" s="56" t="s">
        <v>342</v>
      </c>
      <c r="C123" s="56" t="s">
        <v>315</v>
      </c>
      <c r="D123" s="56" t="s">
        <v>340</v>
      </c>
      <c r="E123" s="56" t="s">
        <v>333</v>
      </c>
      <c r="F123" s="57" t="s">
        <v>250</v>
      </c>
      <c r="G123" s="61"/>
      <c r="H123" s="61" t="s">
        <v>346</v>
      </c>
      <c r="I123" s="62" t="s">
        <v>347</v>
      </c>
      <c r="J123" s="53"/>
    </row>
    <row r="124" ht="24.75" customHeight="1">
      <c r="A124" s="54">
        <v>101.0</v>
      </c>
      <c r="B124" s="56" t="s">
        <v>343</v>
      </c>
      <c r="C124" s="56" t="s">
        <v>315</v>
      </c>
      <c r="D124" s="56" t="s">
        <v>340</v>
      </c>
      <c r="E124" s="56" t="s">
        <v>333</v>
      </c>
      <c r="F124" s="57" t="s">
        <v>250</v>
      </c>
      <c r="G124" s="61"/>
      <c r="H124" s="61" t="s">
        <v>346</v>
      </c>
      <c r="I124" s="62" t="s">
        <v>347</v>
      </c>
      <c r="J124" s="53"/>
    </row>
    <row r="125" ht="24.75" hidden="1" customHeight="1">
      <c r="A125" s="54">
        <v>101.0</v>
      </c>
      <c r="B125" s="56" t="s">
        <v>344</v>
      </c>
      <c r="C125" s="56" t="s">
        <v>315</v>
      </c>
      <c r="D125" s="56" t="s">
        <v>340</v>
      </c>
      <c r="E125" s="56" t="s">
        <v>345</v>
      </c>
      <c r="F125" s="57" t="s">
        <v>154</v>
      </c>
      <c r="G125" s="61"/>
      <c r="H125" s="61"/>
      <c r="I125" s="62"/>
      <c r="J125" s="53"/>
    </row>
    <row r="126" ht="24.75" hidden="1" customHeight="1">
      <c r="A126" s="54">
        <v>90.0</v>
      </c>
      <c r="B126" s="56" t="s">
        <v>348</v>
      </c>
      <c r="C126" s="56" t="s">
        <v>237</v>
      </c>
      <c r="D126" s="56" t="s">
        <v>349</v>
      </c>
      <c r="E126" s="56" t="s">
        <v>111</v>
      </c>
      <c r="F126" s="57" t="s">
        <v>15</v>
      </c>
      <c r="G126" s="61"/>
      <c r="H126" s="61"/>
      <c r="I126" s="60"/>
      <c r="J126" s="53"/>
    </row>
    <row r="127" ht="24.75" hidden="1" customHeight="1">
      <c r="A127" s="54">
        <v>101.0</v>
      </c>
      <c r="B127" s="56" t="s">
        <v>350</v>
      </c>
      <c r="C127" s="56" t="s">
        <v>315</v>
      </c>
      <c r="D127" s="56" t="s">
        <v>351</v>
      </c>
      <c r="E127" s="56" t="s">
        <v>352</v>
      </c>
      <c r="F127" s="57" t="s">
        <v>154</v>
      </c>
      <c r="G127" s="61"/>
      <c r="H127" s="61"/>
      <c r="I127" s="62"/>
      <c r="J127" s="53"/>
    </row>
    <row r="128" ht="24.75" customHeight="1">
      <c r="A128" s="54">
        <v>102.0</v>
      </c>
      <c r="B128" s="56" t="s">
        <v>353</v>
      </c>
      <c r="C128" s="56" t="s">
        <v>315</v>
      </c>
      <c r="D128" s="56" t="s">
        <v>354</v>
      </c>
      <c r="E128" s="56" t="s">
        <v>355</v>
      </c>
      <c r="F128" s="57" t="s">
        <v>250</v>
      </c>
      <c r="G128" s="61"/>
      <c r="H128" s="61" t="s">
        <v>346</v>
      </c>
      <c r="I128" s="62" t="s">
        <v>363</v>
      </c>
      <c r="J128" s="53"/>
    </row>
    <row r="129" ht="24.75" hidden="1" customHeight="1">
      <c r="A129" s="54">
        <v>90.0</v>
      </c>
      <c r="B129" s="56" t="s">
        <v>265</v>
      </c>
      <c r="C129" s="56" t="s">
        <v>237</v>
      </c>
      <c r="D129" s="56" t="s">
        <v>266</v>
      </c>
      <c r="E129" s="56" t="s">
        <v>111</v>
      </c>
      <c r="F129" s="57" t="s">
        <v>15</v>
      </c>
      <c r="G129" s="61"/>
      <c r="H129" s="61"/>
      <c r="I129" s="60" t="s">
        <v>283</v>
      </c>
      <c r="J129" s="53"/>
    </row>
    <row r="130" ht="24.75" hidden="1" customHeight="1">
      <c r="A130" s="54">
        <v>110.0</v>
      </c>
      <c r="B130" s="56" t="s">
        <v>356</v>
      </c>
      <c r="C130" s="56" t="s">
        <v>259</v>
      </c>
      <c r="D130" s="56" t="s">
        <v>357</v>
      </c>
      <c r="E130" s="56" t="s">
        <v>358</v>
      </c>
      <c r="F130" s="57" t="s">
        <v>34</v>
      </c>
      <c r="G130" s="61"/>
      <c r="H130" s="61"/>
      <c r="I130" s="62"/>
      <c r="J130" s="53"/>
    </row>
    <row r="131" ht="24.75" hidden="1" customHeight="1">
      <c r="A131" s="54">
        <v>110.0</v>
      </c>
      <c r="B131" s="56" t="s">
        <v>359</v>
      </c>
      <c r="C131" s="56" t="s">
        <v>259</v>
      </c>
      <c r="D131" s="56" t="s">
        <v>360</v>
      </c>
      <c r="E131" s="56" t="s">
        <v>358</v>
      </c>
      <c r="F131" s="57" t="s">
        <v>34</v>
      </c>
      <c r="G131" s="61"/>
      <c r="H131" s="61"/>
      <c r="I131" s="62"/>
      <c r="J131" s="53"/>
    </row>
    <row r="132" ht="24.75" hidden="1" customHeight="1">
      <c r="A132" s="54">
        <v>90.0</v>
      </c>
      <c r="B132" s="56" t="s">
        <v>274</v>
      </c>
      <c r="C132" s="56" t="s">
        <v>237</v>
      </c>
      <c r="D132" s="56" t="s">
        <v>275</v>
      </c>
      <c r="E132" s="56" t="s">
        <v>111</v>
      </c>
      <c r="F132" s="57" t="s">
        <v>15</v>
      </c>
      <c r="G132" s="61"/>
      <c r="H132" s="61"/>
      <c r="I132" s="60"/>
      <c r="J132" s="53"/>
    </row>
    <row r="133" ht="24.75" hidden="1" customHeight="1">
      <c r="A133" s="54">
        <v>90.0</v>
      </c>
      <c r="B133" s="56" t="s">
        <v>280</v>
      </c>
      <c r="C133" s="56" t="s">
        <v>278</v>
      </c>
      <c r="D133" s="56" t="s">
        <v>281</v>
      </c>
      <c r="E133" s="56" t="s">
        <v>272</v>
      </c>
      <c r="F133" s="57" t="s">
        <v>15</v>
      </c>
      <c r="G133" s="61"/>
      <c r="H133" s="61"/>
      <c r="I133" s="60"/>
      <c r="J133" s="53"/>
    </row>
    <row r="134" ht="24.75" hidden="1" customHeight="1">
      <c r="A134" s="54">
        <v>110.0</v>
      </c>
      <c r="B134" s="56" t="s">
        <v>361</v>
      </c>
      <c r="C134" s="56" t="s">
        <v>259</v>
      </c>
      <c r="D134" s="56" t="s">
        <v>362</v>
      </c>
      <c r="E134" s="56" t="s">
        <v>358</v>
      </c>
      <c r="F134" s="57" t="s">
        <v>34</v>
      </c>
      <c r="G134" s="61"/>
      <c r="H134" s="61"/>
      <c r="I134" s="62"/>
      <c r="J134" s="53"/>
    </row>
    <row r="135" ht="24.75" hidden="1" customHeight="1">
      <c r="A135" s="54">
        <v>110.0</v>
      </c>
      <c r="B135" s="56" t="s">
        <v>364</v>
      </c>
      <c r="C135" s="56" t="s">
        <v>259</v>
      </c>
      <c r="D135" s="56" t="s">
        <v>365</v>
      </c>
      <c r="E135" s="56" t="s">
        <v>358</v>
      </c>
      <c r="F135" s="57" t="s">
        <v>34</v>
      </c>
      <c r="G135" s="61"/>
      <c r="H135" s="61"/>
      <c r="I135" s="62"/>
      <c r="J135" s="53"/>
    </row>
    <row r="136" ht="24.75" hidden="1" customHeight="1">
      <c r="A136" s="54">
        <v>110.0</v>
      </c>
      <c r="B136" s="56" t="s">
        <v>366</v>
      </c>
      <c r="C136" s="56" t="s">
        <v>259</v>
      </c>
      <c r="D136" s="56" t="s">
        <v>367</v>
      </c>
      <c r="E136" s="56" t="s">
        <v>358</v>
      </c>
      <c r="F136" s="57" t="s">
        <v>34</v>
      </c>
      <c r="G136" s="61"/>
      <c r="H136" s="61"/>
      <c r="I136" s="62"/>
      <c r="J136" s="53"/>
    </row>
    <row r="137" ht="24.75" hidden="1" customHeight="1">
      <c r="A137" s="54">
        <v>110.0</v>
      </c>
      <c r="B137" s="56" t="s">
        <v>368</v>
      </c>
      <c r="C137" s="56" t="s">
        <v>259</v>
      </c>
      <c r="D137" s="56" t="s">
        <v>369</v>
      </c>
      <c r="E137" s="56" t="s">
        <v>358</v>
      </c>
      <c r="F137" s="57" t="s">
        <v>34</v>
      </c>
      <c r="G137" s="61"/>
      <c r="H137" s="61"/>
      <c r="I137" s="62"/>
      <c r="J137" s="53"/>
    </row>
    <row r="138" ht="24.75" hidden="1" customHeight="1">
      <c r="A138" s="54">
        <v>110.0</v>
      </c>
      <c r="B138" s="56" t="s">
        <v>370</v>
      </c>
      <c r="C138" s="56" t="s">
        <v>259</v>
      </c>
      <c r="D138" s="56" t="s">
        <v>371</v>
      </c>
      <c r="E138" s="56" t="s">
        <v>336</v>
      </c>
      <c r="F138" s="57" t="s">
        <v>192</v>
      </c>
      <c r="G138" s="61"/>
      <c r="H138" s="61"/>
      <c r="I138" s="62"/>
      <c r="J138" s="53"/>
    </row>
    <row r="139" ht="24.75" hidden="1" customHeight="1">
      <c r="A139" s="54">
        <v>110.0</v>
      </c>
      <c r="B139" s="56" t="s">
        <v>370</v>
      </c>
      <c r="C139" s="56" t="s">
        <v>259</v>
      </c>
      <c r="D139" s="56" t="s">
        <v>371</v>
      </c>
      <c r="E139" s="56" t="s">
        <v>372</v>
      </c>
      <c r="F139" s="57" t="s">
        <v>34</v>
      </c>
      <c r="G139" s="61"/>
      <c r="H139" s="61"/>
      <c r="I139" s="62"/>
      <c r="J139" s="53"/>
    </row>
    <row r="140" ht="24.75" hidden="1" customHeight="1">
      <c r="A140" s="54">
        <v>110.0</v>
      </c>
      <c r="B140" s="56" t="s">
        <v>370</v>
      </c>
      <c r="C140" s="56" t="s">
        <v>259</v>
      </c>
      <c r="D140" s="56" t="s">
        <v>371</v>
      </c>
      <c r="E140" s="56" t="s">
        <v>158</v>
      </c>
      <c r="F140" s="57" t="s">
        <v>34</v>
      </c>
      <c r="G140" s="61"/>
      <c r="H140" s="61"/>
      <c r="I140" s="62"/>
      <c r="J140" s="53"/>
    </row>
    <row r="141" ht="24.75" hidden="1" customHeight="1">
      <c r="A141" s="54">
        <v>110.0</v>
      </c>
      <c r="B141" s="56" t="s">
        <v>373</v>
      </c>
      <c r="C141" s="56" t="s">
        <v>259</v>
      </c>
      <c r="D141" s="56" t="s">
        <v>374</v>
      </c>
      <c r="E141" s="56" t="s">
        <v>336</v>
      </c>
      <c r="F141" s="57" t="s">
        <v>192</v>
      </c>
      <c r="G141" s="61"/>
      <c r="H141" s="61"/>
      <c r="I141" s="62"/>
      <c r="J141" s="53"/>
    </row>
    <row r="142" ht="24.75" hidden="1" customHeight="1">
      <c r="A142" s="54">
        <v>110.0</v>
      </c>
      <c r="B142" s="56" t="s">
        <v>375</v>
      </c>
      <c r="C142" s="56" t="s">
        <v>259</v>
      </c>
      <c r="D142" s="56" t="s">
        <v>376</v>
      </c>
      <c r="E142" s="56" t="s">
        <v>336</v>
      </c>
      <c r="F142" s="57" t="s">
        <v>192</v>
      </c>
      <c r="G142" s="61"/>
      <c r="H142" s="61"/>
      <c r="I142" s="62"/>
      <c r="J142" s="53"/>
    </row>
    <row r="143" ht="24.75" hidden="1" customHeight="1">
      <c r="A143" s="54">
        <v>110.0</v>
      </c>
      <c r="B143" s="56" t="s">
        <v>375</v>
      </c>
      <c r="C143" s="56" t="s">
        <v>259</v>
      </c>
      <c r="D143" s="56" t="s">
        <v>376</v>
      </c>
      <c r="E143" s="56" t="s">
        <v>372</v>
      </c>
      <c r="F143" s="57" t="s">
        <v>34</v>
      </c>
      <c r="G143" s="61"/>
      <c r="H143" s="61"/>
      <c r="I143" s="62"/>
      <c r="J143" s="53"/>
    </row>
    <row r="144" ht="24.75" hidden="1" customHeight="1">
      <c r="A144" s="54">
        <v>110.0</v>
      </c>
      <c r="B144" s="56" t="s">
        <v>375</v>
      </c>
      <c r="C144" s="56" t="s">
        <v>259</v>
      </c>
      <c r="D144" s="56" t="s">
        <v>376</v>
      </c>
      <c r="E144" s="56" t="s">
        <v>158</v>
      </c>
      <c r="F144" s="57" t="s">
        <v>34</v>
      </c>
      <c r="G144" s="61"/>
      <c r="H144" s="61"/>
      <c r="I144" s="62"/>
      <c r="J144" s="53"/>
    </row>
    <row r="145" ht="24.75" hidden="1" customHeight="1">
      <c r="A145" s="54">
        <v>110.0</v>
      </c>
      <c r="B145" s="56" t="s">
        <v>377</v>
      </c>
      <c r="C145" s="56" t="s">
        <v>259</v>
      </c>
      <c r="D145" s="56" t="s">
        <v>378</v>
      </c>
      <c r="E145" s="56" t="s">
        <v>336</v>
      </c>
      <c r="F145" s="57" t="s">
        <v>192</v>
      </c>
      <c r="G145" s="61"/>
      <c r="H145" s="61"/>
      <c r="I145" s="62"/>
      <c r="J145" s="53"/>
    </row>
    <row r="146" ht="24.75" hidden="1" customHeight="1">
      <c r="A146" s="54">
        <v>110.0</v>
      </c>
      <c r="B146" s="56" t="s">
        <v>380</v>
      </c>
      <c r="C146" s="56" t="s">
        <v>259</v>
      </c>
      <c r="D146" s="56" t="s">
        <v>381</v>
      </c>
      <c r="E146" s="56" t="s">
        <v>336</v>
      </c>
      <c r="F146" s="57" t="s">
        <v>192</v>
      </c>
      <c r="G146" s="61"/>
      <c r="H146" s="61"/>
      <c r="I146" s="62"/>
      <c r="J146" s="53"/>
    </row>
    <row r="147" ht="24.75" hidden="1" customHeight="1">
      <c r="A147" s="54">
        <v>110.0</v>
      </c>
      <c r="B147" s="56" t="s">
        <v>382</v>
      </c>
      <c r="C147" s="56" t="s">
        <v>259</v>
      </c>
      <c r="D147" s="56" t="s">
        <v>383</v>
      </c>
      <c r="E147" s="56" t="s">
        <v>336</v>
      </c>
      <c r="F147" s="57" t="s">
        <v>192</v>
      </c>
      <c r="G147" s="61"/>
      <c r="H147" s="61"/>
      <c r="I147" s="62"/>
      <c r="J147" s="53"/>
    </row>
    <row r="148" ht="24.75" hidden="1" customHeight="1">
      <c r="A148" s="54">
        <v>110.0</v>
      </c>
      <c r="B148" s="56" t="s">
        <v>385</v>
      </c>
      <c r="C148" s="56" t="s">
        <v>259</v>
      </c>
      <c r="D148" s="56" t="s">
        <v>386</v>
      </c>
      <c r="E148" s="56" t="s">
        <v>336</v>
      </c>
      <c r="F148" s="57" t="s">
        <v>192</v>
      </c>
      <c r="G148" s="61"/>
      <c r="H148" s="61"/>
      <c r="I148" s="62"/>
      <c r="J148" s="53"/>
    </row>
    <row r="149" ht="24.75" hidden="1" customHeight="1">
      <c r="A149" s="54">
        <v>110.0</v>
      </c>
      <c r="B149" s="56" t="s">
        <v>385</v>
      </c>
      <c r="C149" s="56" t="s">
        <v>259</v>
      </c>
      <c r="D149" s="56" t="s">
        <v>386</v>
      </c>
      <c r="E149" s="56" t="s">
        <v>372</v>
      </c>
      <c r="F149" s="57" t="s">
        <v>34</v>
      </c>
      <c r="G149" s="61"/>
      <c r="H149" s="61"/>
      <c r="I149" s="62"/>
      <c r="J149" s="53"/>
    </row>
    <row r="150" ht="24.75" hidden="1" customHeight="1">
      <c r="A150" s="54">
        <v>110.0</v>
      </c>
      <c r="B150" s="56" t="s">
        <v>385</v>
      </c>
      <c r="C150" s="56" t="s">
        <v>259</v>
      </c>
      <c r="D150" s="56" t="s">
        <v>386</v>
      </c>
      <c r="E150" s="56" t="s">
        <v>158</v>
      </c>
      <c r="F150" s="57" t="s">
        <v>34</v>
      </c>
      <c r="G150" s="61"/>
      <c r="H150" s="61"/>
      <c r="I150" s="62"/>
      <c r="J150" s="53"/>
    </row>
    <row r="151" ht="24.75" hidden="1" customHeight="1">
      <c r="A151" s="54">
        <v>110.0</v>
      </c>
      <c r="B151" s="56" t="s">
        <v>388</v>
      </c>
      <c r="C151" s="56" t="s">
        <v>259</v>
      </c>
      <c r="D151" s="56" t="s">
        <v>389</v>
      </c>
      <c r="E151" s="56" t="s">
        <v>336</v>
      </c>
      <c r="F151" s="57" t="s">
        <v>192</v>
      </c>
      <c r="G151" s="61"/>
      <c r="H151" s="61"/>
      <c r="I151" s="62"/>
      <c r="J151" s="53"/>
    </row>
    <row r="152" ht="24.75" hidden="1" customHeight="1">
      <c r="A152" s="54">
        <v>110.0</v>
      </c>
      <c r="B152" s="56" t="s">
        <v>388</v>
      </c>
      <c r="C152" s="56" t="s">
        <v>259</v>
      </c>
      <c r="D152" s="56" t="s">
        <v>389</v>
      </c>
      <c r="E152" s="56" t="s">
        <v>372</v>
      </c>
      <c r="F152" s="57" t="s">
        <v>34</v>
      </c>
      <c r="G152" s="61"/>
      <c r="H152" s="61"/>
      <c r="I152" s="62"/>
      <c r="J152" s="53"/>
    </row>
    <row r="153" ht="24.75" hidden="1" customHeight="1">
      <c r="A153" s="54">
        <v>110.0</v>
      </c>
      <c r="B153" s="56" t="s">
        <v>388</v>
      </c>
      <c r="C153" s="56" t="s">
        <v>259</v>
      </c>
      <c r="D153" s="56" t="s">
        <v>389</v>
      </c>
      <c r="E153" s="56" t="s">
        <v>158</v>
      </c>
      <c r="F153" s="57" t="s">
        <v>34</v>
      </c>
      <c r="G153" s="61"/>
      <c r="H153" s="61"/>
      <c r="I153" s="62"/>
      <c r="J153" s="53"/>
    </row>
    <row r="154" ht="24.75" hidden="1" customHeight="1">
      <c r="A154" s="54">
        <v>110.0</v>
      </c>
      <c r="B154" s="56" t="s">
        <v>390</v>
      </c>
      <c r="C154" s="56" t="s">
        <v>259</v>
      </c>
      <c r="D154" s="56" t="s">
        <v>391</v>
      </c>
      <c r="E154" s="56" t="s">
        <v>372</v>
      </c>
      <c r="F154" s="57" t="s">
        <v>34</v>
      </c>
      <c r="G154" s="61"/>
      <c r="H154" s="61"/>
      <c r="I154" s="62"/>
      <c r="J154" s="53"/>
    </row>
    <row r="155" ht="24.75" hidden="1" customHeight="1">
      <c r="A155" s="54">
        <v>110.0</v>
      </c>
      <c r="B155" s="56" t="s">
        <v>390</v>
      </c>
      <c r="C155" s="56" t="s">
        <v>259</v>
      </c>
      <c r="D155" s="56" t="s">
        <v>391</v>
      </c>
      <c r="E155" s="56" t="s">
        <v>158</v>
      </c>
      <c r="F155" s="57" t="s">
        <v>34</v>
      </c>
      <c r="G155" s="61"/>
      <c r="H155" s="61"/>
      <c r="I155" s="62"/>
      <c r="J155" s="53"/>
    </row>
    <row r="156" ht="24.75" hidden="1" customHeight="1">
      <c r="A156" s="54">
        <v>110.0</v>
      </c>
      <c r="B156" s="56" t="s">
        <v>392</v>
      </c>
      <c r="C156" s="56" t="s">
        <v>101</v>
      </c>
      <c r="D156" s="56" t="s">
        <v>102</v>
      </c>
      <c r="E156" s="56" t="s">
        <v>111</v>
      </c>
      <c r="F156" s="57" t="s">
        <v>34</v>
      </c>
      <c r="G156" s="61"/>
      <c r="H156" s="61"/>
      <c r="I156" s="62"/>
      <c r="J156" s="53"/>
    </row>
    <row r="157" ht="24.75" hidden="1" customHeight="1">
      <c r="A157" s="54">
        <v>120.0</v>
      </c>
      <c r="B157" s="56" t="s">
        <v>393</v>
      </c>
      <c r="C157" s="56" t="s">
        <v>394</v>
      </c>
      <c r="D157" s="56" t="s">
        <v>299</v>
      </c>
      <c r="E157" s="56" t="s">
        <v>163</v>
      </c>
      <c r="F157" s="57" t="s">
        <v>154</v>
      </c>
      <c r="G157" s="61"/>
      <c r="H157" s="61"/>
      <c r="I157" s="62" t="s">
        <v>207</v>
      </c>
      <c r="J157" s="53"/>
    </row>
    <row r="158" ht="24.75" hidden="1" customHeight="1">
      <c r="A158" s="54">
        <v>120.0</v>
      </c>
      <c r="B158" s="56" t="s">
        <v>395</v>
      </c>
      <c r="C158" s="56" t="s">
        <v>394</v>
      </c>
      <c r="D158" s="56" t="s">
        <v>172</v>
      </c>
      <c r="E158" s="56" t="s">
        <v>163</v>
      </c>
      <c r="F158" s="57" t="s">
        <v>154</v>
      </c>
      <c r="G158" s="61"/>
      <c r="H158" s="61"/>
      <c r="I158" s="62"/>
      <c r="J158" s="53"/>
    </row>
    <row r="159" ht="24.75" hidden="1" customHeight="1">
      <c r="A159" s="54">
        <v>120.0</v>
      </c>
      <c r="B159" s="56" t="s">
        <v>396</v>
      </c>
      <c r="C159" s="56" t="s">
        <v>394</v>
      </c>
      <c r="D159" s="56" t="s">
        <v>397</v>
      </c>
      <c r="E159" s="56" t="s">
        <v>163</v>
      </c>
      <c r="F159" s="57" t="s">
        <v>154</v>
      </c>
      <c r="G159" s="61"/>
      <c r="H159" s="61"/>
      <c r="I159" s="62"/>
      <c r="J159" s="53"/>
    </row>
    <row r="160" ht="24.75" hidden="1" customHeight="1">
      <c r="A160" s="54">
        <v>120.0</v>
      </c>
      <c r="B160" s="56" t="s">
        <v>398</v>
      </c>
      <c r="C160" s="56" t="s">
        <v>394</v>
      </c>
      <c r="D160" s="56" t="s">
        <v>399</v>
      </c>
      <c r="E160" s="56" t="s">
        <v>163</v>
      </c>
      <c r="F160" s="57" t="s">
        <v>154</v>
      </c>
      <c r="G160" s="61"/>
      <c r="H160" s="61"/>
      <c r="I160" s="62"/>
      <c r="J160" s="53"/>
    </row>
    <row r="161" ht="24.75" hidden="1" customHeight="1">
      <c r="A161" s="54">
        <v>120.0</v>
      </c>
      <c r="B161" s="56" t="s">
        <v>400</v>
      </c>
      <c r="C161" s="56" t="s">
        <v>394</v>
      </c>
      <c r="D161" s="56" t="s">
        <v>401</v>
      </c>
      <c r="E161" s="56" t="s">
        <v>163</v>
      </c>
      <c r="F161" s="57" t="s">
        <v>154</v>
      </c>
      <c r="G161" s="61"/>
      <c r="H161" s="61"/>
      <c r="I161" s="62"/>
      <c r="J161" s="53"/>
    </row>
    <row r="162" ht="24.75" hidden="1" customHeight="1">
      <c r="A162" s="54">
        <v>90.0</v>
      </c>
      <c r="B162" s="56" t="s">
        <v>402</v>
      </c>
      <c r="C162" s="56" t="s">
        <v>278</v>
      </c>
      <c r="D162" s="56" t="s">
        <v>403</v>
      </c>
      <c r="E162" s="56" t="s">
        <v>111</v>
      </c>
      <c r="F162" s="57" t="s">
        <v>15</v>
      </c>
      <c r="G162" s="61"/>
      <c r="H162" s="61"/>
      <c r="I162" s="86"/>
      <c r="J162" s="53"/>
    </row>
    <row r="163" ht="24.75" customHeight="1">
      <c r="A163" s="54">
        <v>130.0</v>
      </c>
      <c r="B163" s="56" t="s">
        <v>404</v>
      </c>
      <c r="C163" s="56" t="s">
        <v>405</v>
      </c>
      <c r="D163" s="56" t="s">
        <v>406</v>
      </c>
      <c r="E163" s="56" t="s">
        <v>407</v>
      </c>
      <c r="F163" s="57" t="s">
        <v>250</v>
      </c>
      <c r="G163" s="61"/>
      <c r="H163" s="61" t="s">
        <v>346</v>
      </c>
      <c r="I163" s="62" t="s">
        <v>414</v>
      </c>
      <c r="J163" s="53"/>
    </row>
    <row r="164" ht="24.75" customHeight="1">
      <c r="A164" s="54">
        <v>130.0</v>
      </c>
      <c r="B164" s="56" t="s">
        <v>404</v>
      </c>
      <c r="C164" s="56" t="s">
        <v>405</v>
      </c>
      <c r="D164" s="56" t="s">
        <v>406</v>
      </c>
      <c r="E164" s="56" t="s">
        <v>408</v>
      </c>
      <c r="F164" s="57" t="s">
        <v>250</v>
      </c>
      <c r="G164" s="61"/>
      <c r="H164" s="61" t="s">
        <v>346</v>
      </c>
      <c r="I164" s="62" t="s">
        <v>417</v>
      </c>
      <c r="J164" s="53"/>
    </row>
    <row r="165" ht="24.75" hidden="1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111</v>
      </c>
      <c r="F165" s="57" t="s">
        <v>154</v>
      </c>
      <c r="G165" s="61"/>
      <c r="H165" s="61"/>
      <c r="I165" s="62"/>
      <c r="J165" s="53"/>
    </row>
    <row r="166" ht="24.75" hidden="1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409</v>
      </c>
      <c r="F166" s="57" t="s">
        <v>154</v>
      </c>
      <c r="G166" s="61"/>
      <c r="H166" s="61"/>
      <c r="I166" s="62"/>
      <c r="J166" s="53"/>
    </row>
    <row r="167" ht="24.75" hidden="1" customHeight="1">
      <c r="A167" s="54">
        <v>130.0</v>
      </c>
      <c r="B167" s="56" t="s">
        <v>404</v>
      </c>
      <c r="C167" s="56" t="s">
        <v>405</v>
      </c>
      <c r="D167" s="56" t="s">
        <v>406</v>
      </c>
      <c r="E167" s="56" t="s">
        <v>410</v>
      </c>
      <c r="F167" s="57" t="s">
        <v>154</v>
      </c>
      <c r="G167" s="61"/>
      <c r="H167" s="61"/>
      <c r="I167" s="62"/>
      <c r="J167" s="53"/>
    </row>
    <row r="168" ht="24.75" hidden="1" customHeight="1">
      <c r="A168" s="54">
        <v>130.0</v>
      </c>
      <c r="B168" s="56" t="s">
        <v>404</v>
      </c>
      <c r="C168" s="56" t="s">
        <v>405</v>
      </c>
      <c r="D168" s="56" t="s">
        <v>406</v>
      </c>
      <c r="E168" s="56" t="s">
        <v>411</v>
      </c>
      <c r="F168" s="57" t="s">
        <v>154</v>
      </c>
      <c r="G168" s="61"/>
      <c r="H168" s="61"/>
      <c r="I168" s="62"/>
      <c r="J168" s="53"/>
    </row>
    <row r="169" ht="24.75" hidden="1" customHeight="1">
      <c r="A169" s="54">
        <v>130.0</v>
      </c>
      <c r="B169" s="56" t="s">
        <v>412</v>
      </c>
      <c r="C169" s="56"/>
      <c r="D169" s="56" t="s">
        <v>413</v>
      </c>
      <c r="E169" s="56" t="s">
        <v>336</v>
      </c>
      <c r="F169" s="57" t="s">
        <v>192</v>
      </c>
      <c r="G169" s="61"/>
      <c r="H169" s="61"/>
      <c r="I169" s="62"/>
      <c r="J169" s="53"/>
    </row>
    <row r="170" ht="24.75" hidden="1" customHeight="1">
      <c r="A170" s="54">
        <v>130.0</v>
      </c>
      <c r="B170" s="56" t="s">
        <v>415</v>
      </c>
      <c r="C170" s="56" t="s">
        <v>148</v>
      </c>
      <c r="D170" s="56" t="s">
        <v>416</v>
      </c>
      <c r="E170" s="56" t="s">
        <v>150</v>
      </c>
      <c r="F170" s="57" t="s">
        <v>34</v>
      </c>
      <c r="G170" s="61"/>
      <c r="H170" s="61"/>
      <c r="I170" s="62"/>
      <c r="J170" s="53"/>
    </row>
    <row r="171" ht="24.75" hidden="1" customHeight="1">
      <c r="A171" s="54">
        <v>130.0</v>
      </c>
      <c r="B171" s="56" t="s">
        <v>418</v>
      </c>
      <c r="C171" s="56" t="s">
        <v>148</v>
      </c>
      <c r="D171" s="56" t="s">
        <v>419</v>
      </c>
      <c r="E171" s="56" t="s">
        <v>150</v>
      </c>
      <c r="F171" s="57" t="s">
        <v>34</v>
      </c>
      <c r="G171" s="61"/>
      <c r="H171" s="61"/>
      <c r="I171" s="62"/>
      <c r="J171" s="53"/>
    </row>
    <row r="172" ht="24.75" hidden="1" customHeight="1">
      <c r="A172" s="54">
        <v>136.0</v>
      </c>
      <c r="B172" s="56" t="s">
        <v>421</v>
      </c>
      <c r="C172" s="56" t="s">
        <v>422</v>
      </c>
      <c r="D172" s="56" t="s">
        <v>422</v>
      </c>
      <c r="E172" s="56" t="s">
        <v>423</v>
      </c>
      <c r="F172" s="57" t="s">
        <v>154</v>
      </c>
      <c r="G172" s="61"/>
      <c r="H172" s="61"/>
      <c r="I172" s="62" t="s">
        <v>207</v>
      </c>
      <c r="J172" s="53"/>
    </row>
    <row r="173" ht="24.75" hidden="1" customHeight="1">
      <c r="A173" s="54">
        <v>136.0</v>
      </c>
      <c r="B173" s="56" t="s">
        <v>421</v>
      </c>
      <c r="C173" s="56" t="s">
        <v>422</v>
      </c>
      <c r="D173" s="56" t="s">
        <v>422</v>
      </c>
      <c r="E173" s="80" t="s">
        <v>213</v>
      </c>
      <c r="F173" s="57"/>
      <c r="G173" s="61"/>
      <c r="H173" s="61"/>
      <c r="I173" s="62"/>
      <c r="J173" s="53"/>
    </row>
    <row r="174" ht="24.75" hidden="1" customHeight="1">
      <c r="A174" s="54">
        <v>136.0</v>
      </c>
      <c r="B174" s="56" t="s">
        <v>424</v>
      </c>
      <c r="C174" s="56" t="s">
        <v>422</v>
      </c>
      <c r="D174" s="56" t="s">
        <v>425</v>
      </c>
      <c r="E174" s="56" t="s">
        <v>111</v>
      </c>
      <c r="F174" s="57" t="s">
        <v>154</v>
      </c>
      <c r="G174" s="61"/>
      <c r="H174" s="61"/>
      <c r="I174" s="62"/>
      <c r="J174" s="53"/>
    </row>
    <row r="175" ht="24.75" hidden="1" customHeight="1">
      <c r="A175" s="54">
        <v>136.0</v>
      </c>
      <c r="B175" s="56" t="s">
        <v>426</v>
      </c>
      <c r="C175" s="56" t="s">
        <v>422</v>
      </c>
      <c r="D175" s="56" t="s">
        <v>427</v>
      </c>
      <c r="E175" s="56" t="s">
        <v>111</v>
      </c>
      <c r="F175" s="57" t="s">
        <v>154</v>
      </c>
      <c r="G175" s="61"/>
      <c r="H175" s="61"/>
      <c r="I175" s="62"/>
      <c r="J175" s="53"/>
    </row>
    <row r="176" ht="24.75" hidden="1" customHeight="1">
      <c r="A176" s="54">
        <v>136.0</v>
      </c>
      <c r="B176" s="56" t="s">
        <v>428</v>
      </c>
      <c r="C176" s="56" t="s">
        <v>422</v>
      </c>
      <c r="D176" s="56" t="s">
        <v>429</v>
      </c>
      <c r="E176" s="56" t="s">
        <v>111</v>
      </c>
      <c r="F176" s="57" t="s">
        <v>154</v>
      </c>
      <c r="G176" s="61"/>
      <c r="H176" s="61"/>
      <c r="I176" s="62"/>
      <c r="J176" s="53"/>
    </row>
    <row r="177" ht="24.75" hidden="1" customHeight="1">
      <c r="A177" s="54">
        <v>136.0</v>
      </c>
      <c r="B177" s="56" t="s">
        <v>430</v>
      </c>
      <c r="C177" s="56" t="s">
        <v>422</v>
      </c>
      <c r="D177" s="56" t="s">
        <v>431</v>
      </c>
      <c r="E177" s="56" t="s">
        <v>432</v>
      </c>
      <c r="F177" s="57" t="s">
        <v>154</v>
      </c>
      <c r="G177" s="61"/>
      <c r="H177" s="61"/>
      <c r="I177" s="62"/>
      <c r="J177" s="53"/>
    </row>
    <row r="178" ht="24.75" hidden="1" customHeight="1">
      <c r="A178" s="54">
        <v>140.0</v>
      </c>
      <c r="B178" s="56" t="s">
        <v>433</v>
      </c>
      <c r="C178" s="56" t="s">
        <v>434</v>
      </c>
      <c r="D178" s="56" t="s">
        <v>435</v>
      </c>
      <c r="E178" s="56" t="s">
        <v>167</v>
      </c>
      <c r="F178" s="57" t="s">
        <v>154</v>
      </c>
      <c r="G178" s="61"/>
      <c r="H178" s="61"/>
      <c r="I178" s="62"/>
      <c r="J178" s="53"/>
    </row>
    <row r="179" ht="24.75" hidden="1" customHeight="1">
      <c r="A179" s="54">
        <v>140.0</v>
      </c>
      <c r="B179" s="56" t="s">
        <v>436</v>
      </c>
      <c r="C179" s="56" t="s">
        <v>437</v>
      </c>
      <c r="D179" s="56" t="s">
        <v>438</v>
      </c>
      <c r="E179" s="56" t="s">
        <v>439</v>
      </c>
      <c r="F179" s="57" t="s">
        <v>154</v>
      </c>
      <c r="G179" s="61"/>
      <c r="H179" s="61"/>
      <c r="I179" s="62"/>
      <c r="J179" s="53"/>
    </row>
    <row r="180" ht="24.75" hidden="1" customHeight="1">
      <c r="A180" s="54">
        <v>140.0</v>
      </c>
      <c r="B180" s="56" t="s">
        <v>440</v>
      </c>
      <c r="C180" s="56" t="s">
        <v>437</v>
      </c>
      <c r="D180" s="56" t="s">
        <v>441</v>
      </c>
      <c r="E180" s="56" t="s">
        <v>439</v>
      </c>
      <c r="F180" s="57" t="s">
        <v>154</v>
      </c>
      <c r="G180" s="61"/>
      <c r="H180" s="61"/>
      <c r="I180" s="62"/>
      <c r="J180" s="53"/>
    </row>
    <row r="181" ht="24.75" hidden="1" customHeight="1">
      <c r="A181" s="54">
        <v>140.0</v>
      </c>
      <c r="B181" s="56" t="s">
        <v>442</v>
      </c>
      <c r="C181" s="56" t="s">
        <v>443</v>
      </c>
      <c r="D181" s="56" t="s">
        <v>444</v>
      </c>
      <c r="E181" s="56" t="s">
        <v>439</v>
      </c>
      <c r="F181" s="57" t="s">
        <v>154</v>
      </c>
      <c r="G181" s="61"/>
      <c r="H181" s="61"/>
      <c r="I181" s="62"/>
      <c r="J181" s="53"/>
    </row>
    <row r="182" ht="24.75" hidden="1" customHeight="1">
      <c r="A182" s="54">
        <v>140.0</v>
      </c>
      <c r="B182" s="56" t="s">
        <v>445</v>
      </c>
      <c r="C182" s="56" t="s">
        <v>446</v>
      </c>
      <c r="D182" s="56" t="s">
        <v>447</v>
      </c>
      <c r="E182" s="56" t="s">
        <v>439</v>
      </c>
      <c r="F182" s="57" t="s">
        <v>154</v>
      </c>
      <c r="G182" s="61"/>
      <c r="H182" s="61"/>
      <c r="I182" s="62"/>
      <c r="J182" s="53"/>
    </row>
    <row r="183" ht="24.75" hidden="1" customHeight="1">
      <c r="A183" s="54">
        <v>140.0</v>
      </c>
      <c r="B183" s="56" t="s">
        <v>448</v>
      </c>
      <c r="C183" s="88" t="s">
        <v>449</v>
      </c>
      <c r="D183" s="56" t="s">
        <v>450</v>
      </c>
      <c r="E183" s="56" t="s">
        <v>439</v>
      </c>
      <c r="F183" s="57" t="s">
        <v>154</v>
      </c>
      <c r="G183" s="61"/>
      <c r="H183" s="61"/>
      <c r="I183" s="62"/>
      <c r="J183" s="53"/>
    </row>
    <row r="184" ht="24.75" hidden="1" customHeight="1">
      <c r="A184" s="54">
        <v>90.0</v>
      </c>
      <c r="B184" s="56" t="s">
        <v>286</v>
      </c>
      <c r="C184" s="56" t="s">
        <v>278</v>
      </c>
      <c r="D184" s="56" t="s">
        <v>266</v>
      </c>
      <c r="E184" s="56" t="s">
        <v>111</v>
      </c>
      <c r="F184" s="57" t="s">
        <v>15</v>
      </c>
      <c r="G184" s="61"/>
      <c r="H184" s="61"/>
      <c r="I184" s="60"/>
      <c r="J184" s="53"/>
    </row>
    <row r="185" ht="24.75" hidden="1" customHeight="1">
      <c r="A185" s="54">
        <v>100.0</v>
      </c>
      <c r="B185" s="56" t="s">
        <v>451</v>
      </c>
      <c r="C185" s="56" t="s">
        <v>315</v>
      </c>
      <c r="D185" s="56" t="s">
        <v>452</v>
      </c>
      <c r="E185" s="56" t="s">
        <v>453</v>
      </c>
      <c r="F185" s="57" t="s">
        <v>15</v>
      </c>
      <c r="G185" s="61"/>
      <c r="H185" s="61"/>
      <c r="I185" s="60"/>
      <c r="J185" s="53"/>
    </row>
    <row r="186" ht="24.75" hidden="1" customHeight="1">
      <c r="A186" s="54">
        <v>100.0</v>
      </c>
      <c r="B186" s="56" t="s">
        <v>454</v>
      </c>
      <c r="C186" s="56" t="s">
        <v>315</v>
      </c>
      <c r="D186" s="56" t="s">
        <v>316</v>
      </c>
      <c r="E186" s="56" t="s">
        <v>455</v>
      </c>
      <c r="F186" s="57" t="s">
        <v>15</v>
      </c>
      <c r="G186" s="61"/>
      <c r="H186" s="61"/>
      <c r="I186" s="60"/>
      <c r="J186" s="53"/>
    </row>
    <row r="187" ht="24.75" hidden="1" customHeight="1">
      <c r="A187" s="54">
        <v>101.0</v>
      </c>
      <c r="B187" s="56" t="s">
        <v>456</v>
      </c>
      <c r="C187" s="56" t="s">
        <v>315</v>
      </c>
      <c r="D187" s="56" t="s">
        <v>340</v>
      </c>
      <c r="E187" s="56" t="s">
        <v>457</v>
      </c>
      <c r="F187" s="57" t="s">
        <v>15</v>
      </c>
      <c r="G187" s="61"/>
      <c r="H187" s="61"/>
      <c r="I187" s="60"/>
      <c r="J187" s="53"/>
    </row>
    <row r="188" ht="24.75" hidden="1" customHeight="1">
      <c r="A188" s="54">
        <v>101.0</v>
      </c>
      <c r="B188" s="56" t="s">
        <v>458</v>
      </c>
      <c r="C188" s="56" t="s">
        <v>315</v>
      </c>
      <c r="D188" s="56" t="s">
        <v>351</v>
      </c>
      <c r="E188" s="56" t="s">
        <v>459</v>
      </c>
      <c r="F188" s="57" t="s">
        <v>15</v>
      </c>
      <c r="G188" s="61"/>
      <c r="H188" s="61"/>
      <c r="I188" s="60"/>
      <c r="J188" s="53"/>
    </row>
    <row r="189" ht="24.75" hidden="1" customHeight="1">
      <c r="A189" s="54">
        <v>102.0</v>
      </c>
      <c r="B189" s="56" t="s">
        <v>353</v>
      </c>
      <c r="C189" s="56" t="s">
        <v>315</v>
      </c>
      <c r="D189" s="56" t="s">
        <v>354</v>
      </c>
      <c r="E189" s="56" t="s">
        <v>461</v>
      </c>
      <c r="F189" s="57" t="s">
        <v>15</v>
      </c>
      <c r="G189" s="61"/>
      <c r="H189" s="61"/>
      <c r="I189" s="60"/>
      <c r="J189" s="53"/>
    </row>
    <row r="190" ht="24.75" hidden="1" customHeight="1">
      <c r="A190" s="54">
        <v>140.0</v>
      </c>
      <c r="B190" s="56" t="s">
        <v>462</v>
      </c>
      <c r="C190" s="56" t="s">
        <v>434</v>
      </c>
      <c r="D190" s="56" t="s">
        <v>463</v>
      </c>
      <c r="E190" s="56" t="s">
        <v>272</v>
      </c>
      <c r="F190" s="57" t="s">
        <v>15</v>
      </c>
      <c r="G190" s="61"/>
      <c r="H190" s="61"/>
      <c r="I190" s="60"/>
      <c r="J190" s="53"/>
    </row>
    <row r="191" ht="24.75" hidden="1" customHeight="1">
      <c r="A191" s="54">
        <v>140.0</v>
      </c>
      <c r="B191" s="56" t="s">
        <v>464</v>
      </c>
      <c r="C191" s="56" t="s">
        <v>270</v>
      </c>
      <c r="D191" s="56" t="s">
        <v>465</v>
      </c>
      <c r="E191" s="56" t="s">
        <v>272</v>
      </c>
      <c r="F191" s="57" t="s">
        <v>15</v>
      </c>
      <c r="G191" s="61"/>
      <c r="H191" s="61"/>
      <c r="I191" s="60"/>
      <c r="J191" s="53"/>
    </row>
    <row r="192" ht="24.75" hidden="1" customHeight="1">
      <c r="A192" s="54">
        <v>140.0</v>
      </c>
      <c r="B192" s="56" t="s">
        <v>466</v>
      </c>
      <c r="C192" s="56" t="s">
        <v>443</v>
      </c>
      <c r="D192" s="56" t="s">
        <v>467</v>
      </c>
      <c r="E192" s="56" t="s">
        <v>272</v>
      </c>
      <c r="F192" s="57" t="s">
        <v>15</v>
      </c>
      <c r="G192" s="61"/>
      <c r="H192" s="61"/>
      <c r="I192" s="60"/>
      <c r="J192" s="53"/>
    </row>
    <row r="193" ht="24.75" hidden="1" customHeight="1">
      <c r="A193" s="54">
        <v>140.0</v>
      </c>
      <c r="B193" s="56" t="s">
        <v>468</v>
      </c>
      <c r="C193" s="56" t="s">
        <v>446</v>
      </c>
      <c r="D193" s="56" t="s">
        <v>469</v>
      </c>
      <c r="E193" s="56" t="s">
        <v>272</v>
      </c>
      <c r="F193" s="57" t="s">
        <v>15</v>
      </c>
      <c r="G193" s="61"/>
      <c r="H193" s="61"/>
      <c r="I193" s="60"/>
      <c r="J193" s="53"/>
    </row>
    <row r="194" ht="24.75" hidden="1" customHeight="1">
      <c r="A194" s="54">
        <v>140.0</v>
      </c>
      <c r="B194" s="56" t="s">
        <v>470</v>
      </c>
      <c r="C194" s="56" t="s">
        <v>443</v>
      </c>
      <c r="D194" s="56" t="s">
        <v>471</v>
      </c>
      <c r="E194" s="56" t="s">
        <v>272</v>
      </c>
      <c r="F194" s="57" t="s">
        <v>15</v>
      </c>
      <c r="G194" s="61"/>
      <c r="H194" s="61"/>
      <c r="I194" s="60"/>
      <c r="J194" s="53"/>
    </row>
    <row r="195" ht="24.75" hidden="1" customHeight="1">
      <c r="A195" s="54">
        <v>140.0</v>
      </c>
      <c r="B195" s="56" t="s">
        <v>472</v>
      </c>
      <c r="C195" s="56" t="s">
        <v>446</v>
      </c>
      <c r="D195" s="56" t="s">
        <v>473</v>
      </c>
      <c r="E195" s="56" t="s">
        <v>272</v>
      </c>
      <c r="F195" s="57" t="s">
        <v>15</v>
      </c>
      <c r="G195" s="61"/>
      <c r="H195" s="61"/>
      <c r="I195" s="60"/>
      <c r="J195" s="53"/>
    </row>
    <row r="196" ht="24.75" hidden="1" customHeight="1">
      <c r="A196" s="54">
        <v>140.0</v>
      </c>
      <c r="B196" s="56" t="s">
        <v>474</v>
      </c>
      <c r="C196" s="56" t="s">
        <v>443</v>
      </c>
      <c r="D196" s="56" t="s">
        <v>475</v>
      </c>
      <c r="E196" s="56" t="s">
        <v>272</v>
      </c>
      <c r="F196" s="57" t="s">
        <v>15</v>
      </c>
      <c r="G196" s="61"/>
      <c r="H196" s="61"/>
      <c r="I196" s="60"/>
      <c r="J196" s="53"/>
    </row>
    <row r="197" ht="24.75" hidden="1" customHeight="1">
      <c r="A197" s="54">
        <v>140.0</v>
      </c>
      <c r="B197" s="56" t="s">
        <v>476</v>
      </c>
      <c r="C197" s="56" t="s">
        <v>270</v>
      </c>
      <c r="D197" s="56" t="s">
        <v>477</v>
      </c>
      <c r="E197" s="56" t="s">
        <v>272</v>
      </c>
      <c r="F197" s="57" t="s">
        <v>15</v>
      </c>
      <c r="G197" s="61"/>
      <c r="H197" s="61"/>
      <c r="I197" s="60"/>
      <c r="J197" s="53"/>
    </row>
    <row r="198" ht="24.75" hidden="1" customHeight="1">
      <c r="A198" s="54">
        <v>140.0</v>
      </c>
      <c r="B198" s="56" t="s">
        <v>478</v>
      </c>
      <c r="C198" s="56" t="s">
        <v>270</v>
      </c>
      <c r="D198" s="56" t="s">
        <v>479</v>
      </c>
      <c r="E198" s="56" t="s">
        <v>272</v>
      </c>
      <c r="F198" s="57" t="s">
        <v>15</v>
      </c>
      <c r="G198" s="61"/>
      <c r="H198" s="61"/>
      <c r="I198" s="60"/>
      <c r="J198" s="53"/>
    </row>
    <row r="199" ht="24.75" hidden="1" customHeight="1">
      <c r="A199" s="54">
        <v>140.0</v>
      </c>
      <c r="B199" s="56" t="s">
        <v>480</v>
      </c>
      <c r="C199" s="56" t="s">
        <v>270</v>
      </c>
      <c r="D199" s="56" t="s">
        <v>481</v>
      </c>
      <c r="E199" s="56" t="s">
        <v>272</v>
      </c>
      <c r="F199" s="57" t="s">
        <v>15</v>
      </c>
      <c r="G199" s="61"/>
      <c r="H199" s="61"/>
      <c r="I199" s="60"/>
      <c r="J199" s="53"/>
    </row>
    <row r="200" ht="24.75" hidden="1" customHeight="1">
      <c r="A200" s="54">
        <v>140.0</v>
      </c>
      <c r="B200" s="56" t="s">
        <v>482</v>
      </c>
      <c r="C200" s="56" t="s">
        <v>443</v>
      </c>
      <c r="D200" s="56" t="s">
        <v>483</v>
      </c>
      <c r="E200" s="56" t="s">
        <v>272</v>
      </c>
      <c r="F200" s="57" t="s">
        <v>15</v>
      </c>
      <c r="G200" s="61"/>
      <c r="H200" s="61"/>
      <c r="I200" s="60"/>
      <c r="J200" s="53"/>
    </row>
    <row r="201" ht="24.75" hidden="1" customHeight="1">
      <c r="A201" s="54">
        <v>140.0</v>
      </c>
      <c r="B201" s="56" t="s">
        <v>484</v>
      </c>
      <c r="C201" s="56" t="s">
        <v>446</v>
      </c>
      <c r="D201" s="56" t="s">
        <v>485</v>
      </c>
      <c r="E201" s="56" t="s">
        <v>272</v>
      </c>
      <c r="F201" s="57" t="s">
        <v>15</v>
      </c>
      <c r="G201" s="61"/>
      <c r="H201" s="61"/>
      <c r="I201" s="60"/>
      <c r="J201" s="53"/>
    </row>
    <row r="202" ht="24.75" hidden="1" customHeight="1">
      <c r="A202" s="54">
        <v>140.0</v>
      </c>
      <c r="B202" s="56" t="s">
        <v>269</v>
      </c>
      <c r="C202" s="56" t="s">
        <v>270</v>
      </c>
      <c r="D202" s="56" t="s">
        <v>486</v>
      </c>
      <c r="E202" s="56" t="s">
        <v>487</v>
      </c>
      <c r="F202" s="56"/>
      <c r="G202" s="61"/>
      <c r="H202" s="61"/>
      <c r="I202" s="62"/>
      <c r="J202" s="53"/>
    </row>
    <row r="203" ht="24.75" hidden="1" customHeight="1">
      <c r="A203" s="54">
        <v>140.0</v>
      </c>
      <c r="B203" s="56" t="s">
        <v>488</v>
      </c>
      <c r="C203" s="88" t="s">
        <v>449</v>
      </c>
      <c r="D203" s="56" t="s">
        <v>489</v>
      </c>
      <c r="E203" s="56" t="s">
        <v>272</v>
      </c>
      <c r="F203" s="57" t="s">
        <v>15</v>
      </c>
      <c r="G203" s="61"/>
      <c r="H203" s="61"/>
      <c r="I203" s="60"/>
      <c r="J203" s="53"/>
    </row>
    <row r="204" ht="24.75" hidden="1" customHeight="1">
      <c r="A204" s="54">
        <v>140.0</v>
      </c>
      <c r="B204" s="56" t="s">
        <v>490</v>
      </c>
      <c r="C204" s="56" t="s">
        <v>270</v>
      </c>
      <c r="D204" s="56" t="s">
        <v>491</v>
      </c>
      <c r="E204" s="56" t="s">
        <v>272</v>
      </c>
      <c r="F204" s="57" t="s">
        <v>15</v>
      </c>
      <c r="G204" s="61"/>
      <c r="H204" s="61"/>
      <c r="I204" s="60"/>
      <c r="J204" s="53"/>
    </row>
    <row r="205" ht="24.75" hidden="1" customHeight="1">
      <c r="A205" s="54">
        <v>140.0</v>
      </c>
      <c r="B205" s="56" t="s">
        <v>284</v>
      </c>
      <c r="C205" s="56" t="s">
        <v>270</v>
      </c>
      <c r="D205" s="56" t="s">
        <v>492</v>
      </c>
      <c r="E205" s="56" t="s">
        <v>487</v>
      </c>
      <c r="F205" s="56"/>
      <c r="G205" s="61"/>
      <c r="H205" s="61"/>
      <c r="I205" s="62"/>
      <c r="J205" s="53"/>
    </row>
    <row r="206" ht="24.75" hidden="1" customHeight="1">
      <c r="A206" s="54">
        <v>140.0</v>
      </c>
      <c r="B206" s="56" t="s">
        <v>493</v>
      </c>
      <c r="C206" s="56" t="s">
        <v>270</v>
      </c>
      <c r="D206" s="56" t="s">
        <v>494</v>
      </c>
      <c r="E206" s="56" t="s">
        <v>272</v>
      </c>
      <c r="F206" s="57" t="s">
        <v>15</v>
      </c>
      <c r="G206" s="61"/>
      <c r="H206" s="61"/>
      <c r="I206" s="60"/>
      <c r="J206" s="53"/>
    </row>
    <row r="207" ht="24.75" hidden="1" customHeight="1">
      <c r="A207" s="54">
        <v>140.0</v>
      </c>
      <c r="B207" s="56" t="s">
        <v>496</v>
      </c>
      <c r="C207" s="56" t="s">
        <v>497</v>
      </c>
      <c r="D207" s="56" t="s">
        <v>498</v>
      </c>
      <c r="E207" s="56" t="s">
        <v>272</v>
      </c>
      <c r="F207" s="57" t="s">
        <v>15</v>
      </c>
      <c r="G207" s="61"/>
      <c r="H207" s="61"/>
      <c r="I207" s="60"/>
      <c r="J207" s="53"/>
    </row>
    <row r="208" ht="24.75" hidden="1" customHeight="1">
      <c r="A208" s="54">
        <v>140.0</v>
      </c>
      <c r="B208" s="56" t="s">
        <v>499</v>
      </c>
      <c r="C208" s="56" t="s">
        <v>500</v>
      </c>
      <c r="D208" s="56" t="s">
        <v>501</v>
      </c>
      <c r="E208" s="56" t="s">
        <v>225</v>
      </c>
      <c r="F208" s="57" t="s">
        <v>34</v>
      </c>
      <c r="G208" s="61"/>
      <c r="H208" s="61"/>
      <c r="I208" s="62"/>
      <c r="J208" s="53"/>
    </row>
    <row r="209" ht="24.75" hidden="1" customHeight="1">
      <c r="A209" s="54">
        <v>140.0</v>
      </c>
      <c r="B209" s="56" t="s">
        <v>499</v>
      </c>
      <c r="C209" s="56" t="s">
        <v>500</v>
      </c>
      <c r="D209" s="56" t="s">
        <v>501</v>
      </c>
      <c r="E209" s="56" t="s">
        <v>167</v>
      </c>
      <c r="F209" s="57" t="s">
        <v>154</v>
      </c>
      <c r="G209" s="61"/>
      <c r="H209" s="61"/>
      <c r="I209" s="62"/>
      <c r="J209" s="53"/>
    </row>
    <row r="210" ht="24.75" hidden="1" customHeight="1">
      <c r="A210" s="54">
        <v>140.0</v>
      </c>
      <c r="B210" s="56" t="s">
        <v>499</v>
      </c>
      <c r="C210" s="56" t="s">
        <v>500</v>
      </c>
      <c r="D210" s="56" t="s">
        <v>501</v>
      </c>
      <c r="E210" s="56" t="s">
        <v>226</v>
      </c>
      <c r="F210" s="57" t="s">
        <v>154</v>
      </c>
      <c r="G210" s="61"/>
      <c r="H210" s="61"/>
      <c r="I210" s="62"/>
      <c r="J210" s="53"/>
    </row>
    <row r="211" ht="24.75" hidden="1" customHeight="1">
      <c r="A211" s="54">
        <v>140.0</v>
      </c>
      <c r="B211" s="56" t="s">
        <v>502</v>
      </c>
      <c r="C211" s="56" t="s">
        <v>497</v>
      </c>
      <c r="D211" s="56" t="s">
        <v>503</v>
      </c>
      <c r="E211" s="56" t="s">
        <v>272</v>
      </c>
      <c r="F211" s="57" t="s">
        <v>15</v>
      </c>
      <c r="G211" s="61"/>
      <c r="H211" s="61"/>
      <c r="I211" s="60"/>
      <c r="J211" s="53"/>
    </row>
    <row r="212" ht="24.75" hidden="1" customHeight="1">
      <c r="A212" s="54">
        <v>140.0</v>
      </c>
      <c r="B212" s="56" t="s">
        <v>504</v>
      </c>
      <c r="C212" s="56" t="s">
        <v>443</v>
      </c>
      <c r="D212" s="56" t="s">
        <v>505</v>
      </c>
      <c r="E212" s="56" t="s">
        <v>439</v>
      </c>
      <c r="F212" s="57" t="s">
        <v>154</v>
      </c>
      <c r="G212" s="61"/>
      <c r="H212" s="61"/>
      <c r="I212" s="62"/>
      <c r="J212" s="53"/>
    </row>
    <row r="213" ht="24.75" hidden="1" customHeight="1">
      <c r="A213" s="54">
        <v>140.0</v>
      </c>
      <c r="B213" s="56" t="s">
        <v>506</v>
      </c>
      <c r="C213" s="56" t="s">
        <v>507</v>
      </c>
      <c r="D213" s="56" t="s">
        <v>508</v>
      </c>
      <c r="E213" s="56" t="s">
        <v>336</v>
      </c>
      <c r="F213" s="57" t="s">
        <v>192</v>
      </c>
      <c r="G213" s="61"/>
      <c r="H213" s="61"/>
      <c r="I213" s="62"/>
      <c r="J213" s="53"/>
    </row>
    <row r="214" ht="24.75" hidden="1" customHeight="1">
      <c r="A214" s="54">
        <v>140.0</v>
      </c>
      <c r="B214" s="56" t="s">
        <v>506</v>
      </c>
      <c r="C214" s="56" t="s">
        <v>507</v>
      </c>
      <c r="D214" s="56" t="s">
        <v>508</v>
      </c>
      <c r="E214" s="56" t="s">
        <v>372</v>
      </c>
      <c r="F214" s="57" t="s">
        <v>34</v>
      </c>
      <c r="G214" s="61"/>
      <c r="H214" s="61"/>
      <c r="I214" s="62"/>
      <c r="J214" s="53"/>
    </row>
    <row r="215" ht="24.75" hidden="1" customHeight="1">
      <c r="A215" s="54">
        <v>140.0</v>
      </c>
      <c r="B215" s="56" t="s">
        <v>506</v>
      </c>
      <c r="C215" s="56" t="s">
        <v>507</v>
      </c>
      <c r="D215" s="56" t="s">
        <v>508</v>
      </c>
      <c r="E215" s="56" t="s">
        <v>158</v>
      </c>
      <c r="F215" s="57" t="s">
        <v>34</v>
      </c>
      <c r="G215" s="61"/>
      <c r="H215" s="61"/>
      <c r="I215" s="62"/>
      <c r="J215" s="53"/>
    </row>
    <row r="216" ht="24.75" hidden="1" customHeight="1">
      <c r="A216" s="54">
        <v>140.0</v>
      </c>
      <c r="B216" s="56" t="s">
        <v>502</v>
      </c>
      <c r="C216" s="56" t="s">
        <v>497</v>
      </c>
      <c r="D216" s="56" t="s">
        <v>509</v>
      </c>
      <c r="E216" s="56" t="s">
        <v>272</v>
      </c>
      <c r="F216" s="57" t="s">
        <v>15</v>
      </c>
      <c r="G216" s="61"/>
      <c r="H216" s="61"/>
      <c r="I216" s="60"/>
      <c r="J216" s="53"/>
    </row>
    <row r="217" ht="24.75" hidden="1" customHeight="1">
      <c r="A217" s="54">
        <v>140.0</v>
      </c>
      <c r="B217" s="56" t="s">
        <v>499</v>
      </c>
      <c r="C217" s="56" t="s">
        <v>500</v>
      </c>
      <c r="D217" s="56" t="s">
        <v>510</v>
      </c>
      <c r="E217" s="56" t="s">
        <v>272</v>
      </c>
      <c r="F217" s="57" t="s">
        <v>15</v>
      </c>
      <c r="G217" s="61"/>
      <c r="H217" s="61"/>
      <c r="I217" s="60"/>
      <c r="J217" s="53"/>
    </row>
    <row r="218" ht="24.75" hidden="1" customHeight="1">
      <c r="A218" s="54">
        <v>140.0</v>
      </c>
      <c r="B218" s="56" t="s">
        <v>511</v>
      </c>
      <c r="C218" s="56" t="s">
        <v>497</v>
      </c>
      <c r="D218" s="56" t="s">
        <v>512</v>
      </c>
      <c r="E218" s="56" t="s">
        <v>272</v>
      </c>
      <c r="F218" s="57" t="s">
        <v>15</v>
      </c>
      <c r="G218" s="61"/>
      <c r="H218" s="61"/>
      <c r="I218" s="60"/>
      <c r="J218" s="53"/>
    </row>
    <row r="219" ht="24.75" hidden="1" customHeight="1">
      <c r="A219" s="54">
        <v>140.0</v>
      </c>
      <c r="B219" s="56" t="s">
        <v>513</v>
      </c>
      <c r="C219" s="56" t="s">
        <v>437</v>
      </c>
      <c r="D219" s="56" t="s">
        <v>514</v>
      </c>
      <c r="E219" s="56" t="s">
        <v>272</v>
      </c>
      <c r="F219" s="57" t="s">
        <v>15</v>
      </c>
      <c r="G219" s="61"/>
      <c r="H219" s="61"/>
      <c r="I219" s="60"/>
      <c r="J219" s="53"/>
    </row>
    <row r="220" ht="24.75" hidden="1" customHeight="1">
      <c r="A220" s="54">
        <v>140.0</v>
      </c>
      <c r="B220" s="56" t="s">
        <v>515</v>
      </c>
      <c r="C220" s="56" t="s">
        <v>437</v>
      </c>
      <c r="D220" s="56" t="s">
        <v>516</v>
      </c>
      <c r="E220" s="56" t="s">
        <v>272</v>
      </c>
      <c r="F220" s="57" t="s">
        <v>15</v>
      </c>
      <c r="G220" s="61"/>
      <c r="H220" s="61"/>
      <c r="I220" s="60"/>
      <c r="J220" s="53"/>
    </row>
    <row r="221" ht="24.75" hidden="1" customHeight="1">
      <c r="A221" s="54">
        <v>140.0</v>
      </c>
      <c r="B221" s="56" t="s">
        <v>517</v>
      </c>
      <c r="C221" s="56" t="s">
        <v>437</v>
      </c>
      <c r="D221" s="56" t="s">
        <v>518</v>
      </c>
      <c r="E221" s="56" t="s">
        <v>272</v>
      </c>
      <c r="F221" s="57" t="s">
        <v>15</v>
      </c>
      <c r="G221" s="81"/>
      <c r="H221" s="81"/>
      <c r="I221" s="93"/>
      <c r="J221" s="53"/>
    </row>
    <row r="222" ht="24.75" hidden="1" customHeight="1">
      <c r="A222" s="54">
        <v>140.0</v>
      </c>
      <c r="B222" s="56" t="s">
        <v>519</v>
      </c>
      <c r="C222" s="56" t="s">
        <v>437</v>
      </c>
      <c r="D222" s="56" t="s">
        <v>520</v>
      </c>
      <c r="E222" s="56" t="s">
        <v>272</v>
      </c>
      <c r="F222" s="57" t="s">
        <v>15</v>
      </c>
      <c r="G222" s="61"/>
      <c r="H222" s="61"/>
      <c r="I222" s="60"/>
      <c r="J222" s="53"/>
    </row>
    <row r="223" ht="24.75" hidden="1" customHeight="1">
      <c r="A223" s="54">
        <v>140.0</v>
      </c>
      <c r="B223" s="56" t="s">
        <v>521</v>
      </c>
      <c r="C223" s="56" t="s">
        <v>443</v>
      </c>
      <c r="D223" s="56" t="s">
        <v>522</v>
      </c>
      <c r="E223" s="56" t="s">
        <v>272</v>
      </c>
      <c r="F223" s="57" t="s">
        <v>15</v>
      </c>
      <c r="G223" s="61"/>
      <c r="H223" s="61"/>
      <c r="I223" s="60"/>
      <c r="J223" s="53"/>
    </row>
    <row r="224" ht="24.75" hidden="1" customHeight="1">
      <c r="A224" s="54">
        <v>140.0</v>
      </c>
      <c r="B224" s="56" t="s">
        <v>523</v>
      </c>
      <c r="C224" s="56" t="s">
        <v>443</v>
      </c>
      <c r="D224" s="56" t="s">
        <v>524</v>
      </c>
      <c r="E224" s="56" t="s">
        <v>272</v>
      </c>
      <c r="F224" s="57" t="s">
        <v>15</v>
      </c>
      <c r="G224" s="61"/>
      <c r="H224" s="61"/>
      <c r="I224" s="60"/>
      <c r="J224" s="53"/>
    </row>
    <row r="225" ht="24.75" hidden="1" customHeight="1">
      <c r="A225" s="54">
        <v>140.0</v>
      </c>
      <c r="B225" s="56" t="s">
        <v>525</v>
      </c>
      <c r="C225" s="56" t="s">
        <v>443</v>
      </c>
      <c r="D225" s="56" t="s">
        <v>526</v>
      </c>
      <c r="E225" s="56" t="s">
        <v>272</v>
      </c>
      <c r="F225" s="57" t="s">
        <v>15</v>
      </c>
      <c r="G225" s="61"/>
      <c r="H225" s="61"/>
      <c r="I225" s="60"/>
      <c r="J225" s="53"/>
    </row>
    <row r="226" ht="24.75" hidden="1" customHeight="1">
      <c r="A226" s="54">
        <v>140.0</v>
      </c>
      <c r="B226" s="56" t="s">
        <v>527</v>
      </c>
      <c r="C226" s="56" t="s">
        <v>446</v>
      </c>
      <c r="D226" s="56" t="s">
        <v>528</v>
      </c>
      <c r="E226" s="56" t="s">
        <v>272</v>
      </c>
      <c r="F226" s="57" t="s">
        <v>15</v>
      </c>
      <c r="G226" s="61"/>
      <c r="H226" s="61"/>
      <c r="I226" s="60"/>
      <c r="J226" s="53"/>
    </row>
    <row r="227" ht="24.75" hidden="1" customHeight="1">
      <c r="A227" s="54">
        <v>140.0</v>
      </c>
      <c r="B227" s="56" t="s">
        <v>529</v>
      </c>
      <c r="C227" s="56" t="s">
        <v>446</v>
      </c>
      <c r="D227" s="56" t="s">
        <v>530</v>
      </c>
      <c r="E227" s="56" t="s">
        <v>272</v>
      </c>
      <c r="F227" s="57" t="s">
        <v>15</v>
      </c>
      <c r="G227" s="61"/>
      <c r="H227" s="61"/>
      <c r="I227" s="60"/>
      <c r="J227" s="53"/>
    </row>
    <row r="228" ht="24.75" hidden="1" customHeight="1">
      <c r="A228" s="54">
        <v>140.0</v>
      </c>
      <c r="B228" s="56" t="s">
        <v>531</v>
      </c>
      <c r="C228" s="88" t="s">
        <v>449</v>
      </c>
      <c r="D228" s="56" t="s">
        <v>532</v>
      </c>
      <c r="E228" s="56" t="s">
        <v>272</v>
      </c>
      <c r="F228" s="57" t="s">
        <v>15</v>
      </c>
      <c r="G228" s="61"/>
      <c r="H228" s="61"/>
      <c r="I228" s="60"/>
      <c r="J228" s="53"/>
    </row>
    <row r="229" ht="24.75" hidden="1" customHeight="1">
      <c r="A229" s="54">
        <v>140.0</v>
      </c>
      <c r="B229" s="56" t="s">
        <v>533</v>
      </c>
      <c r="C229" s="56" t="s">
        <v>497</v>
      </c>
      <c r="D229" s="56" t="s">
        <v>534</v>
      </c>
      <c r="E229" s="56" t="s">
        <v>439</v>
      </c>
      <c r="F229" s="57" t="s">
        <v>154</v>
      </c>
      <c r="G229" s="61"/>
      <c r="H229" s="61"/>
      <c r="I229" s="62"/>
      <c r="J229" s="53"/>
    </row>
    <row r="230" ht="24.75" hidden="1" customHeight="1">
      <c r="A230" s="54">
        <v>140.0</v>
      </c>
      <c r="B230" s="56" t="s">
        <v>535</v>
      </c>
      <c r="C230" s="56" t="s">
        <v>443</v>
      </c>
      <c r="D230" s="56" t="s">
        <v>537</v>
      </c>
      <c r="E230" s="56" t="s">
        <v>439</v>
      </c>
      <c r="F230" s="57" t="s">
        <v>154</v>
      </c>
      <c r="G230" s="61"/>
      <c r="H230" s="61"/>
      <c r="I230" s="62"/>
      <c r="J230" s="53"/>
    </row>
    <row r="231" ht="24.75" hidden="1" customHeight="1">
      <c r="A231" s="54">
        <v>140.0</v>
      </c>
      <c r="B231" s="56" t="s">
        <v>538</v>
      </c>
      <c r="C231" s="56" t="s">
        <v>446</v>
      </c>
      <c r="D231" s="56" t="s">
        <v>539</v>
      </c>
      <c r="E231" s="56" t="s">
        <v>439</v>
      </c>
      <c r="F231" s="57" t="s">
        <v>154</v>
      </c>
      <c r="G231" s="61"/>
      <c r="H231" s="61"/>
      <c r="I231" s="62"/>
      <c r="J231" s="53"/>
    </row>
    <row r="232" ht="24.75" hidden="1" customHeight="1">
      <c r="A232" s="54">
        <v>140.0</v>
      </c>
      <c r="B232" s="56" t="s">
        <v>540</v>
      </c>
      <c r="C232" s="56" t="s">
        <v>434</v>
      </c>
      <c r="D232" s="56" t="s">
        <v>541</v>
      </c>
      <c r="E232" s="56" t="s">
        <v>167</v>
      </c>
      <c r="F232" s="57" t="s">
        <v>154</v>
      </c>
      <c r="G232" s="61"/>
      <c r="H232" s="61"/>
      <c r="I232" s="62"/>
      <c r="J232" s="53"/>
    </row>
    <row r="233" ht="24.75" hidden="1" customHeight="1">
      <c r="A233" s="54">
        <v>140.0</v>
      </c>
      <c r="B233" s="56" t="s">
        <v>540</v>
      </c>
      <c r="C233" s="56" t="s">
        <v>434</v>
      </c>
      <c r="D233" s="56" t="s">
        <v>541</v>
      </c>
      <c r="E233" s="56" t="s">
        <v>176</v>
      </c>
      <c r="F233" s="57" t="s">
        <v>154</v>
      </c>
      <c r="G233" s="61"/>
      <c r="H233" s="61"/>
      <c r="I233" s="62"/>
      <c r="J233" s="53"/>
    </row>
    <row r="234" ht="24.75" hidden="1" customHeight="1">
      <c r="A234" s="54">
        <v>140.0</v>
      </c>
      <c r="B234" s="56" t="s">
        <v>543</v>
      </c>
      <c r="C234" s="56" t="s">
        <v>437</v>
      </c>
      <c r="D234" s="56" t="s">
        <v>544</v>
      </c>
      <c r="E234" s="56" t="s">
        <v>167</v>
      </c>
      <c r="F234" s="57" t="s">
        <v>154</v>
      </c>
      <c r="G234" s="61"/>
      <c r="H234" s="61"/>
      <c r="I234" s="62"/>
      <c r="J234" s="53"/>
    </row>
    <row r="235" ht="24.75" hidden="1" customHeight="1">
      <c r="A235" s="54">
        <v>140.0</v>
      </c>
      <c r="B235" s="56" t="s">
        <v>543</v>
      </c>
      <c r="C235" s="56" t="s">
        <v>437</v>
      </c>
      <c r="D235" s="56" t="s">
        <v>544</v>
      </c>
      <c r="E235" s="56" t="s">
        <v>176</v>
      </c>
      <c r="F235" s="57" t="s">
        <v>154</v>
      </c>
      <c r="G235" s="61"/>
      <c r="H235" s="61"/>
      <c r="I235" s="62"/>
      <c r="J235" s="53"/>
    </row>
    <row r="236" ht="24.75" hidden="1" customHeight="1">
      <c r="A236" s="54">
        <v>140.0</v>
      </c>
      <c r="B236" s="56" t="s">
        <v>545</v>
      </c>
      <c r="C236" s="56" t="s">
        <v>437</v>
      </c>
      <c r="D236" s="56" t="s">
        <v>546</v>
      </c>
      <c r="E236" s="56" t="s">
        <v>167</v>
      </c>
      <c r="F236" s="57" t="s">
        <v>154</v>
      </c>
      <c r="G236" s="61"/>
      <c r="H236" s="61"/>
      <c r="I236" s="62"/>
      <c r="J236" s="53"/>
    </row>
    <row r="237" ht="24.75" hidden="1" customHeight="1">
      <c r="A237" s="54">
        <v>140.0</v>
      </c>
      <c r="B237" s="56" t="s">
        <v>545</v>
      </c>
      <c r="C237" s="56" t="s">
        <v>437</v>
      </c>
      <c r="D237" s="56" t="s">
        <v>546</v>
      </c>
      <c r="E237" s="56" t="s">
        <v>176</v>
      </c>
      <c r="F237" s="57" t="s">
        <v>154</v>
      </c>
      <c r="G237" s="61"/>
      <c r="H237" s="61"/>
      <c r="I237" s="62"/>
      <c r="J237" s="53"/>
    </row>
    <row r="238" ht="24.75" hidden="1" customHeight="1">
      <c r="A238" s="54">
        <v>140.0</v>
      </c>
      <c r="B238" s="56" t="s">
        <v>547</v>
      </c>
      <c r="C238" s="56" t="s">
        <v>437</v>
      </c>
      <c r="D238" s="56" t="s">
        <v>548</v>
      </c>
      <c r="E238" s="56" t="s">
        <v>167</v>
      </c>
      <c r="F238" s="57" t="s">
        <v>154</v>
      </c>
      <c r="G238" s="61"/>
      <c r="H238" s="61"/>
      <c r="I238" s="62"/>
      <c r="J238" s="53"/>
    </row>
    <row r="239" ht="24.75" hidden="1" customHeight="1">
      <c r="A239" s="54">
        <v>140.0</v>
      </c>
      <c r="B239" s="56" t="s">
        <v>547</v>
      </c>
      <c r="C239" s="56" t="s">
        <v>437</v>
      </c>
      <c r="D239" s="56" t="s">
        <v>548</v>
      </c>
      <c r="E239" s="56" t="s">
        <v>176</v>
      </c>
      <c r="F239" s="57" t="s">
        <v>154</v>
      </c>
      <c r="G239" s="61"/>
      <c r="H239" s="61"/>
      <c r="I239" s="62"/>
      <c r="J239" s="53"/>
    </row>
    <row r="240" ht="24.75" hidden="1" customHeight="1">
      <c r="A240" s="54">
        <v>140.0</v>
      </c>
      <c r="B240" s="56" t="s">
        <v>549</v>
      </c>
      <c r="C240" s="56" t="s">
        <v>434</v>
      </c>
      <c r="D240" s="56" t="s">
        <v>550</v>
      </c>
      <c r="E240" s="56" t="s">
        <v>167</v>
      </c>
      <c r="F240" s="57" t="s">
        <v>154</v>
      </c>
      <c r="G240" s="61"/>
      <c r="H240" s="61"/>
      <c r="I240" s="62"/>
      <c r="J240" s="53"/>
    </row>
    <row r="241" ht="24.75" hidden="1" customHeight="1">
      <c r="A241" s="54">
        <v>140.0</v>
      </c>
      <c r="B241" s="56" t="s">
        <v>549</v>
      </c>
      <c r="C241" s="56" t="s">
        <v>434</v>
      </c>
      <c r="D241" s="56" t="s">
        <v>550</v>
      </c>
      <c r="E241" s="56" t="s">
        <v>176</v>
      </c>
      <c r="F241" s="57" t="s">
        <v>154</v>
      </c>
      <c r="G241" s="61"/>
      <c r="H241" s="61"/>
      <c r="I241" s="62"/>
      <c r="J241" s="53"/>
    </row>
    <row r="242" ht="24.75" hidden="1" customHeight="1">
      <c r="A242" s="54">
        <v>140.0</v>
      </c>
      <c r="B242" s="56" t="s">
        <v>551</v>
      </c>
      <c r="C242" s="56" t="s">
        <v>497</v>
      </c>
      <c r="D242" s="56" t="s">
        <v>552</v>
      </c>
      <c r="E242" s="56" t="s">
        <v>167</v>
      </c>
      <c r="F242" s="57" t="s">
        <v>154</v>
      </c>
      <c r="G242" s="61"/>
      <c r="H242" s="61"/>
      <c r="I242" s="62"/>
      <c r="J242" s="53"/>
    </row>
    <row r="243" ht="24.75" hidden="1" customHeight="1">
      <c r="A243" s="54">
        <v>140.0</v>
      </c>
      <c r="B243" s="56" t="s">
        <v>551</v>
      </c>
      <c r="C243" s="56" t="s">
        <v>497</v>
      </c>
      <c r="D243" s="56" t="s">
        <v>552</v>
      </c>
      <c r="E243" s="56" t="s">
        <v>176</v>
      </c>
      <c r="F243" s="57" t="s">
        <v>154</v>
      </c>
      <c r="G243" s="61"/>
      <c r="H243" s="61"/>
      <c r="I243" s="62"/>
      <c r="J243" s="53"/>
    </row>
    <row r="244" ht="24.75" hidden="1" customHeight="1">
      <c r="A244" s="54">
        <v>140.0</v>
      </c>
      <c r="B244" s="56" t="s">
        <v>553</v>
      </c>
      <c r="C244" s="56" t="s">
        <v>443</v>
      </c>
      <c r="D244" s="56" t="s">
        <v>554</v>
      </c>
      <c r="E244" s="56" t="s">
        <v>167</v>
      </c>
      <c r="F244" s="57" t="s">
        <v>154</v>
      </c>
      <c r="G244" s="61"/>
      <c r="H244" s="61"/>
      <c r="I244" s="62"/>
      <c r="J244" s="53"/>
    </row>
    <row r="245" ht="24.75" hidden="1" customHeight="1">
      <c r="A245" s="54">
        <v>140.0</v>
      </c>
      <c r="B245" s="56" t="s">
        <v>553</v>
      </c>
      <c r="C245" s="56" t="s">
        <v>443</v>
      </c>
      <c r="D245" s="56" t="s">
        <v>554</v>
      </c>
      <c r="E245" s="56" t="s">
        <v>176</v>
      </c>
      <c r="F245" s="57" t="s">
        <v>154</v>
      </c>
      <c r="G245" s="61"/>
      <c r="H245" s="61"/>
      <c r="I245" s="62"/>
      <c r="J245" s="53"/>
    </row>
    <row r="246" ht="24.75" hidden="1" customHeight="1">
      <c r="A246" s="54">
        <v>140.0</v>
      </c>
      <c r="B246" s="56" t="s">
        <v>555</v>
      </c>
      <c r="C246" s="56" t="s">
        <v>434</v>
      </c>
      <c r="D246" s="56" t="s">
        <v>556</v>
      </c>
      <c r="E246" s="56" t="s">
        <v>167</v>
      </c>
      <c r="F246" s="57" t="s">
        <v>154</v>
      </c>
      <c r="G246" s="61"/>
      <c r="H246" s="61"/>
      <c r="I246" s="62"/>
      <c r="J246" s="53"/>
    </row>
    <row r="247" ht="24.75" hidden="1" customHeight="1">
      <c r="A247" s="54">
        <v>140.0</v>
      </c>
      <c r="B247" s="56" t="s">
        <v>555</v>
      </c>
      <c r="C247" s="56" t="s">
        <v>434</v>
      </c>
      <c r="D247" s="56" t="s">
        <v>556</v>
      </c>
      <c r="E247" s="56" t="s">
        <v>176</v>
      </c>
      <c r="F247" s="57" t="s">
        <v>154</v>
      </c>
      <c r="G247" s="61"/>
      <c r="H247" s="61"/>
      <c r="I247" s="62"/>
      <c r="J247" s="53"/>
    </row>
    <row r="248" ht="24.75" hidden="1" customHeight="1">
      <c r="A248" s="54">
        <v>140.0</v>
      </c>
      <c r="B248" s="56" t="s">
        <v>558</v>
      </c>
      <c r="C248" s="56" t="s">
        <v>270</v>
      </c>
      <c r="D248" s="56" t="s">
        <v>559</v>
      </c>
      <c r="E248" s="56" t="s">
        <v>167</v>
      </c>
      <c r="F248" s="57" t="s">
        <v>154</v>
      </c>
      <c r="G248" s="61"/>
      <c r="H248" s="61"/>
      <c r="I248" s="62"/>
      <c r="J248" s="53"/>
    </row>
    <row r="249" ht="24.75" hidden="1" customHeight="1">
      <c r="A249" s="54">
        <v>140.0</v>
      </c>
      <c r="B249" s="56" t="s">
        <v>558</v>
      </c>
      <c r="C249" s="56" t="s">
        <v>270</v>
      </c>
      <c r="D249" s="56" t="s">
        <v>559</v>
      </c>
      <c r="E249" s="56" t="s">
        <v>176</v>
      </c>
      <c r="F249" s="57" t="s">
        <v>154</v>
      </c>
      <c r="G249" s="61"/>
      <c r="H249" s="61"/>
      <c r="I249" s="62"/>
      <c r="J249" s="53"/>
    </row>
    <row r="250" ht="24.75" hidden="1" customHeight="1">
      <c r="A250" s="54">
        <v>140.0</v>
      </c>
      <c r="B250" s="56" t="s">
        <v>560</v>
      </c>
      <c r="C250" s="56" t="s">
        <v>446</v>
      </c>
      <c r="D250" s="56" t="s">
        <v>561</v>
      </c>
      <c r="E250" s="56" t="s">
        <v>167</v>
      </c>
      <c r="F250" s="57" t="s">
        <v>154</v>
      </c>
      <c r="G250" s="61"/>
      <c r="H250" s="61"/>
      <c r="I250" s="62"/>
      <c r="J250" s="53"/>
    </row>
    <row r="251" ht="24.75" hidden="1" customHeight="1">
      <c r="A251" s="54">
        <v>140.0</v>
      </c>
      <c r="B251" s="56" t="s">
        <v>560</v>
      </c>
      <c r="C251" s="56" t="s">
        <v>446</v>
      </c>
      <c r="D251" s="56" t="s">
        <v>561</v>
      </c>
      <c r="E251" s="56" t="s">
        <v>176</v>
      </c>
      <c r="F251" s="57" t="s">
        <v>154</v>
      </c>
      <c r="G251" s="61"/>
      <c r="H251" s="61"/>
      <c r="I251" s="62"/>
      <c r="J251" s="53"/>
    </row>
    <row r="252" ht="24.75" hidden="1" customHeight="1">
      <c r="A252" s="54">
        <v>140.0</v>
      </c>
      <c r="B252" s="56" t="s">
        <v>562</v>
      </c>
      <c r="C252" s="56" t="s">
        <v>443</v>
      </c>
      <c r="D252" s="56" t="s">
        <v>563</v>
      </c>
      <c r="E252" s="56" t="s">
        <v>167</v>
      </c>
      <c r="F252" s="57" t="s">
        <v>154</v>
      </c>
      <c r="G252" s="61"/>
      <c r="H252" s="61"/>
      <c r="I252" s="62"/>
      <c r="J252" s="53"/>
    </row>
    <row r="253" ht="24.75" hidden="1" customHeight="1">
      <c r="A253" s="54">
        <v>140.0</v>
      </c>
      <c r="B253" s="56" t="s">
        <v>562</v>
      </c>
      <c r="C253" s="56" t="s">
        <v>443</v>
      </c>
      <c r="D253" s="56" t="s">
        <v>563</v>
      </c>
      <c r="E253" s="56" t="s">
        <v>176</v>
      </c>
      <c r="F253" s="57" t="s">
        <v>154</v>
      </c>
      <c r="G253" s="61"/>
      <c r="H253" s="61"/>
      <c r="I253" s="62"/>
      <c r="J253" s="53"/>
    </row>
    <row r="254" ht="24.75" hidden="1" customHeight="1">
      <c r="A254" s="54">
        <v>140.0</v>
      </c>
      <c r="B254" s="56" t="s">
        <v>564</v>
      </c>
      <c r="C254" s="56" t="s">
        <v>446</v>
      </c>
      <c r="D254" s="56" t="s">
        <v>565</v>
      </c>
      <c r="E254" s="56" t="s">
        <v>167</v>
      </c>
      <c r="F254" s="57" t="s">
        <v>154</v>
      </c>
      <c r="G254" s="61"/>
      <c r="H254" s="61"/>
      <c r="I254" s="62"/>
      <c r="J254" s="53"/>
    </row>
    <row r="255" ht="24.75" hidden="1" customHeight="1">
      <c r="A255" s="54">
        <v>140.0</v>
      </c>
      <c r="B255" s="56" t="s">
        <v>564</v>
      </c>
      <c r="C255" s="56" t="s">
        <v>446</v>
      </c>
      <c r="D255" s="56" t="s">
        <v>565</v>
      </c>
      <c r="E255" s="56" t="s">
        <v>176</v>
      </c>
      <c r="F255" s="57" t="s">
        <v>154</v>
      </c>
      <c r="G255" s="61"/>
      <c r="H255" s="61"/>
      <c r="I255" s="62"/>
      <c r="J255" s="53"/>
    </row>
    <row r="256" ht="24.75" hidden="1" customHeight="1">
      <c r="A256" s="54">
        <v>140.0</v>
      </c>
      <c r="B256" s="56" t="s">
        <v>566</v>
      </c>
      <c r="C256" s="88" t="s">
        <v>449</v>
      </c>
      <c r="D256" s="56" t="s">
        <v>567</v>
      </c>
      <c r="E256" s="56" t="s">
        <v>167</v>
      </c>
      <c r="F256" s="57" t="s">
        <v>154</v>
      </c>
      <c r="G256" s="61"/>
      <c r="H256" s="61"/>
      <c r="I256" s="62"/>
      <c r="J256" s="53"/>
    </row>
    <row r="257" ht="24.75" hidden="1" customHeight="1">
      <c r="A257" s="54">
        <v>140.0</v>
      </c>
      <c r="B257" s="56" t="s">
        <v>566</v>
      </c>
      <c r="C257" s="88" t="s">
        <v>449</v>
      </c>
      <c r="D257" s="56" t="s">
        <v>567</v>
      </c>
      <c r="E257" s="56" t="s">
        <v>176</v>
      </c>
      <c r="F257" s="57" t="s">
        <v>154</v>
      </c>
      <c r="G257" s="61"/>
      <c r="H257" s="61"/>
      <c r="I257" s="62"/>
      <c r="J257" s="53"/>
    </row>
    <row r="258" ht="24.75" hidden="1" customHeight="1">
      <c r="A258" s="54">
        <v>140.0</v>
      </c>
      <c r="B258" s="56" t="s">
        <v>568</v>
      </c>
      <c r="C258" s="56" t="s">
        <v>446</v>
      </c>
      <c r="D258" s="56" t="s">
        <v>569</v>
      </c>
      <c r="E258" s="56" t="s">
        <v>272</v>
      </c>
      <c r="F258" s="57" t="s">
        <v>15</v>
      </c>
      <c r="G258" s="61"/>
      <c r="H258" s="61"/>
      <c r="I258" s="60"/>
      <c r="J258" s="53"/>
    </row>
    <row r="259" ht="24.75" hidden="1" customHeight="1">
      <c r="A259" s="54">
        <v>140.0</v>
      </c>
      <c r="B259" s="56" t="s">
        <v>570</v>
      </c>
      <c r="C259" s="88" t="s">
        <v>449</v>
      </c>
      <c r="D259" s="56" t="s">
        <v>571</v>
      </c>
      <c r="E259" s="56" t="s">
        <v>167</v>
      </c>
      <c r="F259" s="57" t="s">
        <v>154</v>
      </c>
      <c r="G259" s="61"/>
      <c r="H259" s="61"/>
      <c r="I259" s="62"/>
      <c r="J259" s="53"/>
    </row>
    <row r="260" ht="24.75" hidden="1" customHeight="1">
      <c r="A260" s="54">
        <v>140.0</v>
      </c>
      <c r="B260" s="56" t="s">
        <v>570</v>
      </c>
      <c r="C260" s="88" t="s">
        <v>449</v>
      </c>
      <c r="D260" s="56" t="s">
        <v>571</v>
      </c>
      <c r="E260" s="56" t="s">
        <v>176</v>
      </c>
      <c r="F260" s="57" t="s">
        <v>154</v>
      </c>
      <c r="G260" s="61"/>
      <c r="H260" s="61"/>
      <c r="I260" s="62"/>
      <c r="J260" s="53"/>
    </row>
    <row r="261" ht="24.75" hidden="1" customHeight="1">
      <c r="A261" s="54" t="s">
        <v>572</v>
      </c>
      <c r="B261" s="56" t="s">
        <v>573</v>
      </c>
      <c r="C261" s="56" t="s">
        <v>574</v>
      </c>
      <c r="D261" s="56" t="s">
        <v>575</v>
      </c>
      <c r="E261" s="56" t="s">
        <v>239</v>
      </c>
      <c r="F261" s="57" t="s">
        <v>154</v>
      </c>
      <c r="G261" s="61"/>
      <c r="H261" s="61"/>
      <c r="I261" s="62" t="s">
        <v>207</v>
      </c>
      <c r="J261" s="53"/>
    </row>
    <row r="262" ht="24.75" hidden="1" customHeight="1">
      <c r="A262" s="54" t="s">
        <v>572</v>
      </c>
      <c r="B262" s="56" t="s">
        <v>576</v>
      </c>
      <c r="C262" s="56" t="s">
        <v>574</v>
      </c>
      <c r="D262" s="56" t="s">
        <v>577</v>
      </c>
      <c r="E262" s="56" t="s">
        <v>578</v>
      </c>
      <c r="F262" s="57" t="s">
        <v>154</v>
      </c>
      <c r="G262" s="61"/>
      <c r="H262" s="61"/>
      <c r="I262" s="62"/>
      <c r="J262" s="53"/>
    </row>
    <row r="263" ht="24.75" customHeight="1">
      <c r="A263" s="54" t="s">
        <v>572</v>
      </c>
      <c r="B263" s="56" t="s">
        <v>576</v>
      </c>
      <c r="C263" s="56" t="s">
        <v>574</v>
      </c>
      <c r="D263" s="56" t="s">
        <v>577</v>
      </c>
      <c r="E263" s="56" t="s">
        <v>196</v>
      </c>
      <c r="F263" s="57" t="s">
        <v>250</v>
      </c>
      <c r="G263" s="61"/>
      <c r="H263" s="61" t="s">
        <v>197</v>
      </c>
      <c r="I263" s="62" t="s">
        <v>581</v>
      </c>
      <c r="J263" s="53"/>
    </row>
    <row r="264" ht="24.75" hidden="1" customHeight="1">
      <c r="A264" s="54" t="s">
        <v>572</v>
      </c>
      <c r="B264" s="56" t="s">
        <v>579</v>
      </c>
      <c r="C264" s="56" t="s">
        <v>574</v>
      </c>
      <c r="D264" s="56" t="s">
        <v>580</v>
      </c>
      <c r="E264" s="56" t="s">
        <v>578</v>
      </c>
      <c r="F264" s="57" t="s">
        <v>154</v>
      </c>
      <c r="G264" s="61"/>
      <c r="H264" s="61"/>
      <c r="I264" s="62"/>
      <c r="J264" s="53"/>
    </row>
    <row r="265" ht="24.75" customHeight="1">
      <c r="A265" s="54" t="s">
        <v>572</v>
      </c>
      <c r="B265" s="56" t="s">
        <v>579</v>
      </c>
      <c r="C265" s="56" t="s">
        <v>574</v>
      </c>
      <c r="D265" s="56" t="s">
        <v>580</v>
      </c>
      <c r="E265" s="56" t="s">
        <v>196</v>
      </c>
      <c r="F265" s="57" t="s">
        <v>250</v>
      </c>
      <c r="G265" s="61"/>
      <c r="H265" s="61" t="s">
        <v>197</v>
      </c>
      <c r="I265" s="62" t="s">
        <v>581</v>
      </c>
      <c r="J265" s="53"/>
    </row>
    <row r="266" ht="24.75" hidden="1" customHeight="1">
      <c r="A266" s="54" t="s">
        <v>572</v>
      </c>
      <c r="B266" s="56" t="s">
        <v>582</v>
      </c>
      <c r="C266" s="56" t="s">
        <v>583</v>
      </c>
      <c r="D266" s="56" t="s">
        <v>584</v>
      </c>
      <c r="E266" s="56" t="s">
        <v>585</v>
      </c>
      <c r="F266" s="57" t="s">
        <v>154</v>
      </c>
      <c r="G266" s="61"/>
      <c r="H266" s="61"/>
      <c r="I266" s="62" t="s">
        <v>207</v>
      </c>
      <c r="J266" s="53"/>
    </row>
    <row r="267" ht="24.75" hidden="1" customHeight="1">
      <c r="A267" s="54" t="s">
        <v>572</v>
      </c>
      <c r="B267" s="56" t="s">
        <v>586</v>
      </c>
      <c r="C267" s="56" t="s">
        <v>583</v>
      </c>
      <c r="D267" s="56" t="s">
        <v>587</v>
      </c>
      <c r="E267" s="56" t="s">
        <v>588</v>
      </c>
      <c r="F267" s="57" t="s">
        <v>154</v>
      </c>
      <c r="G267" s="61"/>
      <c r="H267" s="61"/>
      <c r="I267" s="62"/>
      <c r="J267" s="53"/>
    </row>
    <row r="268" ht="24.75" hidden="1" customHeight="1">
      <c r="A268" s="54" t="s">
        <v>572</v>
      </c>
      <c r="B268" s="56" t="s">
        <v>586</v>
      </c>
      <c r="C268" s="56" t="s">
        <v>583</v>
      </c>
      <c r="D268" s="56" t="s">
        <v>587</v>
      </c>
      <c r="E268" s="56" t="s">
        <v>589</v>
      </c>
      <c r="F268" s="57" t="s">
        <v>154</v>
      </c>
      <c r="G268" s="61"/>
      <c r="H268" s="61"/>
      <c r="I268" s="62"/>
      <c r="J268" s="53"/>
    </row>
    <row r="269" ht="24.75" customHeight="1">
      <c r="A269" s="54" t="s">
        <v>572</v>
      </c>
      <c r="B269" s="56" t="s">
        <v>586</v>
      </c>
      <c r="C269" s="56" t="s">
        <v>583</v>
      </c>
      <c r="D269" s="56" t="s">
        <v>587</v>
      </c>
      <c r="E269" s="56" t="s">
        <v>590</v>
      </c>
      <c r="F269" s="57" t="s">
        <v>250</v>
      </c>
      <c r="G269" s="61"/>
      <c r="H269" s="61" t="s">
        <v>592</v>
      </c>
      <c r="I269" s="62" t="s">
        <v>593</v>
      </c>
      <c r="J269" s="53"/>
    </row>
    <row r="270" ht="24.75" hidden="1" customHeight="1">
      <c r="A270" s="54" t="s">
        <v>572</v>
      </c>
      <c r="B270" s="56" t="s">
        <v>591</v>
      </c>
      <c r="C270" s="56" t="s">
        <v>574</v>
      </c>
      <c r="D270" s="56" t="s">
        <v>594</v>
      </c>
      <c r="E270" s="56" t="s">
        <v>239</v>
      </c>
      <c r="F270" s="57" t="s">
        <v>154</v>
      </c>
      <c r="G270" s="61"/>
      <c r="H270" s="61"/>
      <c r="I270" s="62"/>
      <c r="J270" s="53"/>
    </row>
    <row r="271" ht="24.75" hidden="1" customHeight="1">
      <c r="A271" s="54" t="s">
        <v>572</v>
      </c>
      <c r="B271" s="56" t="s">
        <v>595</v>
      </c>
      <c r="C271" s="56" t="s">
        <v>574</v>
      </c>
      <c r="D271" s="56" t="s">
        <v>577</v>
      </c>
      <c r="E271" s="56" t="s">
        <v>578</v>
      </c>
      <c r="F271" s="57" t="s">
        <v>154</v>
      </c>
      <c r="G271" s="61"/>
      <c r="H271" s="61"/>
      <c r="I271" s="62"/>
      <c r="J271" s="53"/>
    </row>
    <row r="272" ht="24.75" customHeight="1">
      <c r="A272" s="54" t="s">
        <v>572</v>
      </c>
      <c r="B272" s="56" t="s">
        <v>595</v>
      </c>
      <c r="C272" s="56" t="s">
        <v>574</v>
      </c>
      <c r="D272" s="56" t="s">
        <v>577</v>
      </c>
      <c r="E272" s="56" t="s">
        <v>196</v>
      </c>
      <c r="F272" s="57" t="s">
        <v>250</v>
      </c>
      <c r="G272" s="61"/>
      <c r="H272" s="61" t="s">
        <v>197</v>
      </c>
      <c r="I272" s="62" t="s">
        <v>581</v>
      </c>
      <c r="J272" s="53"/>
    </row>
    <row r="273" ht="24.75" hidden="1" customHeight="1">
      <c r="A273" s="54" t="s">
        <v>572</v>
      </c>
      <c r="B273" s="56" t="s">
        <v>596</v>
      </c>
      <c r="C273" s="56" t="s">
        <v>574</v>
      </c>
      <c r="D273" s="56" t="s">
        <v>597</v>
      </c>
      <c r="E273" s="56" t="s">
        <v>239</v>
      </c>
      <c r="F273" s="57" t="s">
        <v>154</v>
      </c>
      <c r="G273" s="61"/>
      <c r="H273" s="61"/>
      <c r="I273" s="62"/>
      <c r="J273" s="53"/>
    </row>
    <row r="274" ht="24.75" hidden="1" customHeight="1">
      <c r="A274" s="54" t="s">
        <v>572</v>
      </c>
      <c r="B274" s="56" t="s">
        <v>598</v>
      </c>
      <c r="C274" s="56" t="s">
        <v>574</v>
      </c>
      <c r="D274" s="56" t="s">
        <v>577</v>
      </c>
      <c r="E274" s="56" t="s">
        <v>578</v>
      </c>
      <c r="F274" s="57" t="s">
        <v>154</v>
      </c>
      <c r="G274" s="61"/>
      <c r="H274" s="61"/>
      <c r="I274" s="62"/>
      <c r="J274" s="53"/>
    </row>
    <row r="275" ht="24.75" customHeight="1">
      <c r="A275" s="54" t="s">
        <v>572</v>
      </c>
      <c r="B275" s="56" t="s">
        <v>598</v>
      </c>
      <c r="C275" s="56" t="s">
        <v>574</v>
      </c>
      <c r="D275" s="56" t="s">
        <v>577</v>
      </c>
      <c r="E275" s="56" t="s">
        <v>196</v>
      </c>
      <c r="F275" s="57" t="s">
        <v>250</v>
      </c>
      <c r="G275" s="61"/>
      <c r="H275" s="61" t="s">
        <v>197</v>
      </c>
      <c r="I275" s="62" t="s">
        <v>581</v>
      </c>
      <c r="J275" s="53"/>
    </row>
    <row r="276" ht="24.75" hidden="1" customHeight="1">
      <c r="A276" s="54" t="s">
        <v>289</v>
      </c>
      <c r="B276" s="56" t="s">
        <v>599</v>
      </c>
      <c r="C276" s="56" t="s">
        <v>291</v>
      </c>
      <c r="D276" s="56" t="s">
        <v>600</v>
      </c>
      <c r="E276" s="56" t="s">
        <v>163</v>
      </c>
      <c r="F276" s="57" t="s">
        <v>154</v>
      </c>
      <c r="G276" s="61"/>
      <c r="H276" s="79"/>
      <c r="I276" s="62"/>
      <c r="J276" s="53"/>
    </row>
    <row r="277" ht="24.75" customHeight="1">
      <c r="A277" s="54" t="s">
        <v>289</v>
      </c>
      <c r="B277" s="56" t="s">
        <v>290</v>
      </c>
      <c r="C277" s="56" t="s">
        <v>291</v>
      </c>
      <c r="D277" s="56" t="s">
        <v>292</v>
      </c>
      <c r="E277" s="56" t="s">
        <v>196</v>
      </c>
      <c r="F277" s="57" t="s">
        <v>250</v>
      </c>
      <c r="G277" s="61"/>
      <c r="H277" s="61" t="s">
        <v>287</v>
      </c>
      <c r="I277" s="62" t="s">
        <v>288</v>
      </c>
      <c r="J277" s="53"/>
    </row>
    <row r="278" ht="24.75" hidden="1" customHeight="1">
      <c r="A278" s="54" t="s">
        <v>289</v>
      </c>
      <c r="B278" s="56" t="s">
        <v>290</v>
      </c>
      <c r="C278" s="56" t="s">
        <v>291</v>
      </c>
      <c r="D278" s="56" t="s">
        <v>292</v>
      </c>
      <c r="E278" s="56" t="s">
        <v>601</v>
      </c>
      <c r="F278" s="57" t="s">
        <v>154</v>
      </c>
      <c r="G278" s="61"/>
      <c r="H278" s="79"/>
      <c r="I278" s="62"/>
      <c r="J278" s="53"/>
    </row>
    <row r="279" ht="24.75" hidden="1" customHeight="1">
      <c r="A279" s="54">
        <v>140.0</v>
      </c>
      <c r="B279" s="56" t="s">
        <v>602</v>
      </c>
      <c r="C279" s="56" t="s">
        <v>500</v>
      </c>
      <c r="D279" s="56" t="s">
        <v>603</v>
      </c>
      <c r="E279" s="56" t="s">
        <v>272</v>
      </c>
      <c r="F279" s="57" t="s">
        <v>15</v>
      </c>
      <c r="G279" s="61"/>
      <c r="H279" s="61"/>
      <c r="I279" s="60"/>
      <c r="J279" s="53"/>
    </row>
    <row r="280" ht="24.75" hidden="1" customHeight="1">
      <c r="A280" s="54">
        <v>140.0</v>
      </c>
      <c r="B280" s="56" t="s">
        <v>566</v>
      </c>
      <c r="C280" s="56" t="s">
        <v>500</v>
      </c>
      <c r="D280" s="56" t="s">
        <v>604</v>
      </c>
      <c r="E280" s="56" t="s">
        <v>272</v>
      </c>
      <c r="F280" s="57" t="s">
        <v>15</v>
      </c>
      <c r="G280" s="61"/>
      <c r="H280" s="61"/>
      <c r="I280" s="60"/>
      <c r="J280" s="53"/>
    </row>
    <row r="281" ht="24.75" hidden="1" customHeight="1">
      <c r="A281" s="54" t="s">
        <v>289</v>
      </c>
      <c r="B281" s="56" t="s">
        <v>605</v>
      </c>
      <c r="C281" s="56" t="s">
        <v>606</v>
      </c>
      <c r="D281" s="56" t="s">
        <v>607</v>
      </c>
      <c r="E281" s="56" t="s">
        <v>608</v>
      </c>
      <c r="F281" s="57" t="s">
        <v>154</v>
      </c>
      <c r="G281" s="61"/>
      <c r="H281" s="79"/>
      <c r="I281" s="62"/>
      <c r="J281" s="53"/>
    </row>
    <row r="282" ht="24.75" hidden="1" customHeight="1">
      <c r="A282" s="54" t="s">
        <v>289</v>
      </c>
      <c r="B282" s="56" t="s">
        <v>609</v>
      </c>
      <c r="C282" s="56" t="s">
        <v>610</v>
      </c>
      <c r="D282" s="56" t="s">
        <v>611</v>
      </c>
      <c r="E282" s="56" t="s">
        <v>612</v>
      </c>
      <c r="F282" s="57" t="s">
        <v>34</v>
      </c>
      <c r="G282" s="61"/>
      <c r="H282" s="79"/>
      <c r="I282" s="62"/>
      <c r="J282" s="53"/>
    </row>
    <row r="283" ht="24.75" hidden="1" customHeight="1">
      <c r="A283" s="54" t="s">
        <v>289</v>
      </c>
      <c r="B283" s="56" t="s">
        <v>609</v>
      </c>
      <c r="C283" s="56" t="s">
        <v>610</v>
      </c>
      <c r="D283" s="56" t="s">
        <v>611</v>
      </c>
      <c r="E283" s="56" t="s">
        <v>613</v>
      </c>
      <c r="F283" s="57" t="s">
        <v>34</v>
      </c>
      <c r="G283" s="61"/>
      <c r="H283" s="79"/>
      <c r="I283" s="62"/>
      <c r="J283" s="53"/>
    </row>
    <row r="284" ht="24.75" hidden="1" customHeight="1">
      <c r="A284" s="54" t="s">
        <v>289</v>
      </c>
      <c r="B284" s="56" t="s">
        <v>609</v>
      </c>
      <c r="C284" s="56" t="s">
        <v>610</v>
      </c>
      <c r="D284" s="56" t="s">
        <v>611</v>
      </c>
      <c r="E284" s="56" t="s">
        <v>614</v>
      </c>
      <c r="F284" s="57" t="s">
        <v>34</v>
      </c>
      <c r="G284" s="61"/>
      <c r="H284" s="79"/>
      <c r="I284" s="62" t="s">
        <v>615</v>
      </c>
      <c r="J284" s="53"/>
    </row>
    <row r="285" ht="24.75" hidden="1" customHeight="1">
      <c r="A285" s="54" t="s">
        <v>289</v>
      </c>
      <c r="B285" s="56" t="s">
        <v>609</v>
      </c>
      <c r="C285" s="56" t="s">
        <v>610</v>
      </c>
      <c r="D285" s="56" t="s">
        <v>611</v>
      </c>
      <c r="E285" s="56" t="s">
        <v>616</v>
      </c>
      <c r="F285" s="57" t="s">
        <v>154</v>
      </c>
      <c r="G285" s="61"/>
      <c r="H285" s="79"/>
      <c r="I285" s="62" t="s">
        <v>617</v>
      </c>
      <c r="J285" s="53"/>
    </row>
    <row r="286" ht="24.75" hidden="1" customHeight="1">
      <c r="A286" s="54" t="s">
        <v>289</v>
      </c>
      <c r="B286" s="56" t="s">
        <v>609</v>
      </c>
      <c r="C286" s="56" t="s">
        <v>610</v>
      </c>
      <c r="D286" s="56" t="s">
        <v>611</v>
      </c>
      <c r="E286" s="80" t="s">
        <v>618</v>
      </c>
      <c r="F286" s="57" t="s">
        <v>154</v>
      </c>
      <c r="G286" s="61"/>
      <c r="H286" s="79"/>
      <c r="I286" s="62" t="s">
        <v>617</v>
      </c>
      <c r="J286" s="53"/>
    </row>
    <row r="287" ht="24.75" customHeight="1">
      <c r="A287" s="54" t="s">
        <v>289</v>
      </c>
      <c r="B287" s="56" t="s">
        <v>619</v>
      </c>
      <c r="C287" s="56" t="s">
        <v>610</v>
      </c>
      <c r="D287" s="56" t="s">
        <v>620</v>
      </c>
      <c r="E287" s="56" t="s">
        <v>196</v>
      </c>
      <c r="F287" s="57" t="s">
        <v>250</v>
      </c>
      <c r="G287" s="61"/>
      <c r="H287" s="61" t="s">
        <v>287</v>
      </c>
      <c r="I287" s="62" t="s">
        <v>288</v>
      </c>
      <c r="J287" s="53"/>
    </row>
    <row r="288" ht="24.75" hidden="1" customHeight="1">
      <c r="A288" s="54" t="s">
        <v>289</v>
      </c>
      <c r="B288" s="56" t="s">
        <v>619</v>
      </c>
      <c r="C288" s="56" t="s">
        <v>610</v>
      </c>
      <c r="D288" s="56" t="s">
        <v>620</v>
      </c>
      <c r="E288" s="56" t="s">
        <v>621</v>
      </c>
      <c r="F288" s="57" t="s">
        <v>192</v>
      </c>
      <c r="G288" s="61"/>
      <c r="H288" s="79"/>
      <c r="I288" s="62"/>
      <c r="J288" s="53"/>
    </row>
    <row r="289" ht="24.75" hidden="1" customHeight="1">
      <c r="A289" s="54" t="s">
        <v>289</v>
      </c>
      <c r="B289" s="56" t="s">
        <v>619</v>
      </c>
      <c r="C289" s="56" t="s">
        <v>610</v>
      </c>
      <c r="D289" s="56" t="s">
        <v>620</v>
      </c>
      <c r="E289" s="56" t="s">
        <v>622</v>
      </c>
      <c r="F289" s="57" t="s">
        <v>154</v>
      </c>
      <c r="G289" s="61"/>
      <c r="H289" s="79"/>
      <c r="I289" s="62" t="s">
        <v>617</v>
      </c>
      <c r="J289" s="53"/>
    </row>
    <row r="290" ht="24.75" hidden="1" customHeight="1">
      <c r="A290" s="54" t="s">
        <v>289</v>
      </c>
      <c r="B290" s="56" t="s">
        <v>623</v>
      </c>
      <c r="C290" s="56" t="s">
        <v>624</v>
      </c>
      <c r="D290" s="56" t="s">
        <v>611</v>
      </c>
      <c r="E290" s="56" t="s">
        <v>612</v>
      </c>
      <c r="F290" s="57" t="s">
        <v>34</v>
      </c>
      <c r="G290" s="61"/>
      <c r="H290" s="79"/>
      <c r="I290" s="62"/>
      <c r="J290" s="53"/>
    </row>
    <row r="291" ht="24.75" hidden="1" customHeight="1">
      <c r="A291" s="54" t="s">
        <v>289</v>
      </c>
      <c r="B291" s="56" t="s">
        <v>623</v>
      </c>
      <c r="C291" s="56" t="s">
        <v>624</v>
      </c>
      <c r="D291" s="56" t="s">
        <v>611</v>
      </c>
      <c r="E291" s="56" t="s">
        <v>613</v>
      </c>
      <c r="F291" s="57" t="s">
        <v>34</v>
      </c>
      <c r="G291" s="61"/>
      <c r="H291" s="79"/>
      <c r="I291" s="62"/>
      <c r="J291" s="53"/>
    </row>
    <row r="292" ht="24.75" hidden="1" customHeight="1">
      <c r="A292" s="54" t="s">
        <v>289</v>
      </c>
      <c r="B292" s="56" t="s">
        <v>623</v>
      </c>
      <c r="C292" s="56" t="s">
        <v>624</v>
      </c>
      <c r="D292" s="56" t="s">
        <v>611</v>
      </c>
      <c r="E292" s="56" t="s">
        <v>614</v>
      </c>
      <c r="F292" s="57" t="s">
        <v>34</v>
      </c>
      <c r="G292" s="61"/>
      <c r="H292" s="79"/>
      <c r="I292" s="62" t="s">
        <v>615</v>
      </c>
      <c r="J292" s="53"/>
    </row>
    <row r="293" ht="24.75" hidden="1" customHeight="1">
      <c r="A293" s="54" t="s">
        <v>289</v>
      </c>
      <c r="B293" s="56" t="s">
        <v>623</v>
      </c>
      <c r="C293" s="56" t="s">
        <v>624</v>
      </c>
      <c r="D293" s="56" t="s">
        <v>611</v>
      </c>
      <c r="E293" s="56" t="s">
        <v>616</v>
      </c>
      <c r="F293" s="57" t="s">
        <v>154</v>
      </c>
      <c r="G293" s="61"/>
      <c r="H293" s="79"/>
      <c r="I293" s="62" t="s">
        <v>617</v>
      </c>
      <c r="J293" s="53"/>
    </row>
    <row r="294" ht="24.75" hidden="1" customHeight="1">
      <c r="A294" s="54" t="s">
        <v>289</v>
      </c>
      <c r="B294" s="56" t="s">
        <v>623</v>
      </c>
      <c r="C294" s="56" t="s">
        <v>624</v>
      </c>
      <c r="D294" s="56" t="s">
        <v>611</v>
      </c>
      <c r="E294" s="80" t="s">
        <v>618</v>
      </c>
      <c r="F294" s="57" t="s">
        <v>154</v>
      </c>
      <c r="G294" s="61"/>
      <c r="H294" s="79"/>
      <c r="I294" s="62" t="s">
        <v>617</v>
      </c>
      <c r="J294" s="53"/>
    </row>
    <row r="295" ht="24.75" customHeight="1">
      <c r="A295" s="54" t="s">
        <v>289</v>
      </c>
      <c r="B295" s="56" t="s">
        <v>625</v>
      </c>
      <c r="C295" s="56" t="s">
        <v>624</v>
      </c>
      <c r="D295" s="56" t="s">
        <v>620</v>
      </c>
      <c r="E295" s="56" t="s">
        <v>196</v>
      </c>
      <c r="F295" s="57" t="s">
        <v>250</v>
      </c>
      <c r="G295" s="61"/>
      <c r="H295" s="61" t="s">
        <v>287</v>
      </c>
      <c r="I295" s="62" t="s">
        <v>288</v>
      </c>
      <c r="J295" s="53"/>
    </row>
    <row r="296" ht="24.75" hidden="1" customHeight="1">
      <c r="A296" s="54" t="s">
        <v>289</v>
      </c>
      <c r="B296" s="56" t="s">
        <v>625</v>
      </c>
      <c r="C296" s="56" t="s">
        <v>624</v>
      </c>
      <c r="D296" s="56" t="s">
        <v>620</v>
      </c>
      <c r="E296" s="56" t="s">
        <v>621</v>
      </c>
      <c r="F296" s="57" t="s">
        <v>192</v>
      </c>
      <c r="G296" s="61"/>
      <c r="H296" s="79"/>
      <c r="I296" s="62"/>
      <c r="J296" s="53"/>
    </row>
    <row r="297" ht="24.75" hidden="1" customHeight="1">
      <c r="A297" s="54" t="s">
        <v>289</v>
      </c>
      <c r="B297" s="56" t="s">
        <v>625</v>
      </c>
      <c r="C297" s="56" t="s">
        <v>624</v>
      </c>
      <c r="D297" s="56" t="s">
        <v>620</v>
      </c>
      <c r="E297" s="56" t="s">
        <v>622</v>
      </c>
      <c r="F297" s="57" t="s">
        <v>154</v>
      </c>
      <c r="G297" s="61"/>
      <c r="H297" s="79"/>
      <c r="I297" s="62" t="s">
        <v>617</v>
      </c>
      <c r="J297" s="53"/>
    </row>
    <row r="298" ht="24.75" hidden="1" customHeight="1">
      <c r="A298" s="54" t="s">
        <v>289</v>
      </c>
      <c r="B298" s="56" t="s">
        <v>626</v>
      </c>
      <c r="C298" s="56" t="s">
        <v>627</v>
      </c>
      <c r="D298" s="56" t="s">
        <v>611</v>
      </c>
      <c r="E298" s="56" t="s">
        <v>612</v>
      </c>
      <c r="F298" s="57" t="s">
        <v>34</v>
      </c>
      <c r="G298" s="61"/>
      <c r="H298" s="79"/>
      <c r="I298" s="62"/>
      <c r="J298" s="53"/>
    </row>
    <row r="299" ht="24.75" hidden="1" customHeight="1">
      <c r="A299" s="54" t="s">
        <v>289</v>
      </c>
      <c r="B299" s="56" t="s">
        <v>626</v>
      </c>
      <c r="C299" s="56" t="s">
        <v>627</v>
      </c>
      <c r="D299" s="56" t="s">
        <v>611</v>
      </c>
      <c r="E299" s="56" t="s">
        <v>613</v>
      </c>
      <c r="F299" s="57" t="s">
        <v>34</v>
      </c>
      <c r="G299" s="61"/>
      <c r="H299" s="79"/>
      <c r="I299" s="62"/>
      <c r="J299" s="53"/>
    </row>
    <row r="300" ht="24.75" hidden="1" customHeight="1">
      <c r="A300" s="54" t="s">
        <v>289</v>
      </c>
      <c r="B300" s="56" t="s">
        <v>626</v>
      </c>
      <c r="C300" s="56" t="s">
        <v>627</v>
      </c>
      <c r="D300" s="56" t="s">
        <v>611</v>
      </c>
      <c r="E300" s="56" t="s">
        <v>614</v>
      </c>
      <c r="F300" s="57" t="s">
        <v>34</v>
      </c>
      <c r="G300" s="61"/>
      <c r="H300" s="79"/>
      <c r="I300" s="62" t="s">
        <v>615</v>
      </c>
      <c r="J300" s="53"/>
    </row>
    <row r="301" ht="24.75" hidden="1" customHeight="1">
      <c r="A301" s="54" t="s">
        <v>289</v>
      </c>
      <c r="B301" s="56" t="s">
        <v>626</v>
      </c>
      <c r="C301" s="56" t="s">
        <v>627</v>
      </c>
      <c r="D301" s="56" t="s">
        <v>611</v>
      </c>
      <c r="E301" s="56" t="s">
        <v>616</v>
      </c>
      <c r="F301" s="57" t="s">
        <v>154</v>
      </c>
      <c r="G301" s="61"/>
      <c r="H301" s="79"/>
      <c r="I301" s="62" t="s">
        <v>617</v>
      </c>
      <c r="J301" s="53"/>
    </row>
    <row r="302" ht="24.75" hidden="1" customHeight="1">
      <c r="A302" s="54" t="s">
        <v>289</v>
      </c>
      <c r="B302" s="56" t="s">
        <v>626</v>
      </c>
      <c r="C302" s="56" t="s">
        <v>627</v>
      </c>
      <c r="D302" s="56" t="s">
        <v>611</v>
      </c>
      <c r="E302" s="56" t="s">
        <v>618</v>
      </c>
      <c r="F302" s="57" t="s">
        <v>154</v>
      </c>
      <c r="G302" s="61"/>
      <c r="H302" s="79"/>
      <c r="I302" s="62" t="s">
        <v>617</v>
      </c>
      <c r="J302" s="53"/>
    </row>
    <row r="303" ht="24.75" customHeight="1">
      <c r="A303" s="54" t="s">
        <v>289</v>
      </c>
      <c r="B303" s="56" t="s">
        <v>628</v>
      </c>
      <c r="C303" s="56" t="s">
        <v>627</v>
      </c>
      <c r="D303" s="56" t="s">
        <v>620</v>
      </c>
      <c r="E303" s="56" t="s">
        <v>196</v>
      </c>
      <c r="F303" s="57" t="s">
        <v>250</v>
      </c>
      <c r="G303" s="61"/>
      <c r="H303" s="61" t="s">
        <v>287</v>
      </c>
      <c r="I303" s="62" t="s">
        <v>288</v>
      </c>
      <c r="J303" s="53"/>
    </row>
    <row r="304" ht="24.75" hidden="1" customHeight="1">
      <c r="A304" s="54" t="s">
        <v>289</v>
      </c>
      <c r="B304" s="56" t="s">
        <v>628</v>
      </c>
      <c r="C304" s="56" t="s">
        <v>627</v>
      </c>
      <c r="D304" s="56" t="s">
        <v>620</v>
      </c>
      <c r="E304" s="56" t="s">
        <v>621</v>
      </c>
      <c r="F304" s="57" t="s">
        <v>192</v>
      </c>
      <c r="G304" s="61"/>
      <c r="H304" s="79"/>
      <c r="I304" s="62"/>
      <c r="J304" s="53"/>
    </row>
    <row r="305" ht="24.75" hidden="1" customHeight="1">
      <c r="A305" s="54" t="s">
        <v>289</v>
      </c>
      <c r="B305" s="56" t="s">
        <v>628</v>
      </c>
      <c r="C305" s="56" t="s">
        <v>627</v>
      </c>
      <c r="D305" s="56" t="s">
        <v>620</v>
      </c>
      <c r="E305" s="56" t="s">
        <v>622</v>
      </c>
      <c r="F305" s="57" t="s">
        <v>154</v>
      </c>
      <c r="G305" s="61"/>
      <c r="H305" s="79"/>
      <c r="I305" s="62" t="s">
        <v>617</v>
      </c>
      <c r="J305" s="53"/>
    </row>
    <row r="306" ht="24.75" hidden="1" customHeight="1">
      <c r="A306" s="54" t="s">
        <v>289</v>
      </c>
      <c r="B306" s="56" t="s">
        <v>629</v>
      </c>
      <c r="C306" s="56" t="s">
        <v>627</v>
      </c>
      <c r="D306" s="56" t="s">
        <v>631</v>
      </c>
      <c r="E306" s="56" t="s">
        <v>191</v>
      </c>
      <c r="F306" s="57" t="s">
        <v>192</v>
      </c>
      <c r="G306" s="61"/>
      <c r="H306" s="79"/>
      <c r="I306" s="62"/>
      <c r="J306" s="53"/>
    </row>
    <row r="307" ht="24.75" hidden="1" customHeight="1">
      <c r="A307" s="54" t="s">
        <v>289</v>
      </c>
      <c r="B307" s="56" t="s">
        <v>629</v>
      </c>
      <c r="C307" s="56" t="s">
        <v>627</v>
      </c>
      <c r="D307" s="56" t="s">
        <v>631</v>
      </c>
      <c r="E307" s="56" t="s">
        <v>632</v>
      </c>
      <c r="F307" s="57" t="s">
        <v>34</v>
      </c>
      <c r="G307" s="61"/>
      <c r="H307" s="61" t="s">
        <v>197</v>
      </c>
      <c r="I307" s="62"/>
      <c r="J307" s="53"/>
    </row>
    <row r="308" ht="24.75" hidden="1" customHeight="1">
      <c r="A308" s="54" t="s">
        <v>289</v>
      </c>
      <c r="B308" s="56" t="s">
        <v>629</v>
      </c>
      <c r="C308" s="56" t="s">
        <v>627</v>
      </c>
      <c r="D308" s="56" t="s">
        <v>631</v>
      </c>
      <c r="E308" s="56" t="s">
        <v>633</v>
      </c>
      <c r="F308" s="57" t="s">
        <v>154</v>
      </c>
      <c r="G308" s="61"/>
      <c r="H308" s="79"/>
      <c r="I308" s="62"/>
      <c r="J308" s="53"/>
    </row>
    <row r="309" ht="24.75" customHeight="1">
      <c r="A309" s="54" t="s">
        <v>289</v>
      </c>
      <c r="B309" s="56" t="s">
        <v>629</v>
      </c>
      <c r="C309" s="56" t="s">
        <v>627</v>
      </c>
      <c r="D309" s="56" t="s">
        <v>631</v>
      </c>
      <c r="E309" s="56" t="s">
        <v>196</v>
      </c>
      <c r="F309" s="57" t="s">
        <v>250</v>
      </c>
      <c r="G309" s="61"/>
      <c r="H309" s="61" t="s">
        <v>200</v>
      </c>
      <c r="I309" s="62" t="s">
        <v>201</v>
      </c>
      <c r="J309" s="53"/>
    </row>
    <row r="310" ht="24.75" hidden="1" customHeight="1">
      <c r="A310" s="54" t="s">
        <v>289</v>
      </c>
      <c r="B310" s="56" t="s">
        <v>635</v>
      </c>
      <c r="C310" s="56" t="s">
        <v>627</v>
      </c>
      <c r="D310" s="56" t="s">
        <v>636</v>
      </c>
      <c r="E310" s="56" t="s">
        <v>191</v>
      </c>
      <c r="F310" s="57" t="s">
        <v>192</v>
      </c>
      <c r="G310" s="61"/>
      <c r="H310" s="79"/>
      <c r="I310" s="62"/>
      <c r="J310" s="53"/>
    </row>
    <row r="311" ht="24.75" hidden="1" customHeight="1">
      <c r="A311" s="54" t="s">
        <v>289</v>
      </c>
      <c r="B311" s="56" t="s">
        <v>635</v>
      </c>
      <c r="C311" s="56" t="s">
        <v>627</v>
      </c>
      <c r="D311" s="56" t="s">
        <v>636</v>
      </c>
      <c r="E311" s="56" t="s">
        <v>632</v>
      </c>
      <c r="F311" s="57" t="s">
        <v>34</v>
      </c>
      <c r="G311" s="61"/>
      <c r="H311" s="61" t="s">
        <v>197</v>
      </c>
      <c r="I311" s="62"/>
      <c r="J311" s="53"/>
    </row>
    <row r="312" ht="24.75" hidden="1" customHeight="1">
      <c r="A312" s="54" t="s">
        <v>289</v>
      </c>
      <c r="B312" s="56" t="s">
        <v>635</v>
      </c>
      <c r="C312" s="56" t="s">
        <v>627</v>
      </c>
      <c r="D312" s="56" t="s">
        <v>636</v>
      </c>
      <c r="E312" s="56" t="s">
        <v>633</v>
      </c>
      <c r="F312" s="57" t="s">
        <v>154</v>
      </c>
      <c r="G312" s="61"/>
      <c r="H312" s="79"/>
      <c r="I312" s="62"/>
      <c r="J312" s="53"/>
    </row>
    <row r="313" ht="24.75" customHeight="1">
      <c r="A313" s="54" t="s">
        <v>289</v>
      </c>
      <c r="B313" s="56" t="s">
        <v>635</v>
      </c>
      <c r="C313" s="56" t="s">
        <v>627</v>
      </c>
      <c r="D313" s="56" t="s">
        <v>636</v>
      </c>
      <c r="E313" s="56" t="s">
        <v>196</v>
      </c>
      <c r="F313" s="57" t="s">
        <v>250</v>
      </c>
      <c r="G313" s="61"/>
      <c r="H313" s="61" t="s">
        <v>200</v>
      </c>
      <c r="I313" s="62" t="s">
        <v>201</v>
      </c>
      <c r="J313" s="53"/>
    </row>
    <row r="314" ht="24.75" hidden="1" customHeight="1">
      <c r="A314" s="54" t="s">
        <v>289</v>
      </c>
      <c r="B314" s="56" t="s">
        <v>639</v>
      </c>
      <c r="C314" s="56" t="s">
        <v>640</v>
      </c>
      <c r="D314" s="56" t="s">
        <v>611</v>
      </c>
      <c r="E314" s="56" t="s">
        <v>612</v>
      </c>
      <c r="F314" s="57" t="s">
        <v>34</v>
      </c>
      <c r="G314" s="61"/>
      <c r="H314" s="79"/>
      <c r="I314" s="62"/>
      <c r="J314" s="53"/>
    </row>
    <row r="315" ht="24.75" hidden="1" customHeight="1">
      <c r="A315" s="54" t="s">
        <v>289</v>
      </c>
      <c r="B315" s="56" t="s">
        <v>639</v>
      </c>
      <c r="C315" s="56" t="s">
        <v>640</v>
      </c>
      <c r="D315" s="56" t="s">
        <v>611</v>
      </c>
      <c r="E315" s="56" t="s">
        <v>613</v>
      </c>
      <c r="F315" s="57" t="s">
        <v>34</v>
      </c>
      <c r="G315" s="61"/>
      <c r="H315" s="79"/>
      <c r="I315" s="62"/>
      <c r="J315" s="53"/>
    </row>
    <row r="316" ht="24.75" hidden="1" customHeight="1">
      <c r="A316" s="54" t="s">
        <v>289</v>
      </c>
      <c r="B316" s="56" t="s">
        <v>639</v>
      </c>
      <c r="C316" s="56" t="s">
        <v>640</v>
      </c>
      <c r="D316" s="56" t="s">
        <v>611</v>
      </c>
      <c r="E316" s="56" t="s">
        <v>614</v>
      </c>
      <c r="F316" s="57" t="s">
        <v>34</v>
      </c>
      <c r="G316" s="61"/>
      <c r="H316" s="79"/>
      <c r="I316" s="62" t="s">
        <v>615</v>
      </c>
      <c r="J316" s="53"/>
    </row>
    <row r="317" ht="24.75" hidden="1" customHeight="1">
      <c r="A317" s="54" t="s">
        <v>289</v>
      </c>
      <c r="B317" s="56" t="s">
        <v>639</v>
      </c>
      <c r="C317" s="56" t="s">
        <v>640</v>
      </c>
      <c r="D317" s="56" t="s">
        <v>611</v>
      </c>
      <c r="E317" s="56" t="s">
        <v>616</v>
      </c>
      <c r="F317" s="57" t="s">
        <v>154</v>
      </c>
      <c r="G317" s="61"/>
      <c r="H317" s="79"/>
      <c r="I317" s="62" t="s">
        <v>617</v>
      </c>
      <c r="J317" s="53"/>
    </row>
    <row r="318" ht="24.75" hidden="1" customHeight="1">
      <c r="A318" s="54" t="s">
        <v>289</v>
      </c>
      <c r="B318" s="56" t="s">
        <v>639</v>
      </c>
      <c r="C318" s="56" t="s">
        <v>640</v>
      </c>
      <c r="D318" s="56" t="s">
        <v>611</v>
      </c>
      <c r="E318" s="56" t="s">
        <v>618</v>
      </c>
      <c r="F318" s="57" t="s">
        <v>154</v>
      </c>
      <c r="G318" s="61"/>
      <c r="H318" s="79"/>
      <c r="I318" s="62" t="s">
        <v>617</v>
      </c>
      <c r="J318" s="53"/>
    </row>
    <row r="319" ht="24.75" customHeight="1">
      <c r="A319" s="54" t="s">
        <v>289</v>
      </c>
      <c r="B319" s="56" t="s">
        <v>641</v>
      </c>
      <c r="C319" s="56" t="s">
        <v>640</v>
      </c>
      <c r="D319" s="56" t="s">
        <v>620</v>
      </c>
      <c r="E319" s="56" t="s">
        <v>196</v>
      </c>
      <c r="F319" s="57" t="s">
        <v>250</v>
      </c>
      <c r="G319" s="61"/>
      <c r="H319" s="61" t="s">
        <v>287</v>
      </c>
      <c r="I319" s="62" t="s">
        <v>288</v>
      </c>
      <c r="J319" s="53"/>
    </row>
    <row r="320" ht="24.75" hidden="1" customHeight="1">
      <c r="A320" s="54" t="s">
        <v>289</v>
      </c>
      <c r="B320" s="56" t="s">
        <v>641</v>
      </c>
      <c r="C320" s="56" t="s">
        <v>640</v>
      </c>
      <c r="D320" s="56" t="s">
        <v>620</v>
      </c>
      <c r="E320" s="56" t="s">
        <v>621</v>
      </c>
      <c r="F320" s="57" t="s">
        <v>192</v>
      </c>
      <c r="G320" s="61"/>
      <c r="H320" s="79"/>
      <c r="I320" s="62"/>
      <c r="J320" s="53"/>
    </row>
    <row r="321" ht="24.75" hidden="1" customHeight="1">
      <c r="A321" s="54" t="s">
        <v>289</v>
      </c>
      <c r="B321" s="56" t="s">
        <v>641</v>
      </c>
      <c r="C321" s="56" t="s">
        <v>640</v>
      </c>
      <c r="D321" s="56" t="s">
        <v>620</v>
      </c>
      <c r="E321" s="56" t="s">
        <v>622</v>
      </c>
      <c r="F321" s="57" t="s">
        <v>154</v>
      </c>
      <c r="G321" s="61"/>
      <c r="H321" s="79"/>
      <c r="I321" s="62" t="s">
        <v>617</v>
      </c>
      <c r="J321" s="53"/>
    </row>
    <row r="322" ht="24.75" hidden="1" customHeight="1">
      <c r="A322" s="54" t="s">
        <v>289</v>
      </c>
      <c r="B322" s="56" t="s">
        <v>642</v>
      </c>
      <c r="C322" s="56" t="s">
        <v>640</v>
      </c>
      <c r="D322" s="56" t="s">
        <v>631</v>
      </c>
      <c r="E322" s="56" t="s">
        <v>191</v>
      </c>
      <c r="F322" s="57" t="s">
        <v>192</v>
      </c>
      <c r="G322" s="61"/>
      <c r="H322" s="79"/>
      <c r="I322" s="62"/>
      <c r="J322" s="53"/>
    </row>
    <row r="323" ht="24.75" hidden="1" customHeight="1">
      <c r="A323" s="54" t="s">
        <v>289</v>
      </c>
      <c r="B323" s="56" t="s">
        <v>642</v>
      </c>
      <c r="C323" s="56" t="s">
        <v>640</v>
      </c>
      <c r="D323" s="56" t="s">
        <v>631</v>
      </c>
      <c r="E323" s="56" t="s">
        <v>632</v>
      </c>
      <c r="F323" s="57" t="s">
        <v>34</v>
      </c>
      <c r="G323" s="61"/>
      <c r="H323" s="61" t="s">
        <v>197</v>
      </c>
      <c r="I323" s="62"/>
      <c r="J323" s="53"/>
    </row>
    <row r="324" ht="24.75" hidden="1" customHeight="1">
      <c r="A324" s="54" t="s">
        <v>289</v>
      </c>
      <c r="B324" s="56" t="s">
        <v>642</v>
      </c>
      <c r="C324" s="56" t="s">
        <v>640</v>
      </c>
      <c r="D324" s="56" t="s">
        <v>631</v>
      </c>
      <c r="E324" s="56" t="s">
        <v>633</v>
      </c>
      <c r="F324" s="57" t="s">
        <v>154</v>
      </c>
      <c r="G324" s="61"/>
      <c r="H324" s="79"/>
      <c r="I324" s="62"/>
      <c r="J324" s="53"/>
    </row>
    <row r="325" ht="24.75" customHeight="1">
      <c r="A325" s="54" t="s">
        <v>289</v>
      </c>
      <c r="B325" s="56" t="s">
        <v>642</v>
      </c>
      <c r="C325" s="56" t="s">
        <v>640</v>
      </c>
      <c r="D325" s="56" t="s">
        <v>631</v>
      </c>
      <c r="E325" s="56" t="s">
        <v>196</v>
      </c>
      <c r="F325" s="57" t="s">
        <v>250</v>
      </c>
      <c r="G325" s="61"/>
      <c r="H325" s="61" t="s">
        <v>200</v>
      </c>
      <c r="I325" s="62" t="s">
        <v>201</v>
      </c>
      <c r="J325" s="53"/>
    </row>
    <row r="326" ht="24.75" hidden="1" customHeight="1">
      <c r="A326" s="54" t="s">
        <v>289</v>
      </c>
      <c r="B326" s="56" t="s">
        <v>643</v>
      </c>
      <c r="C326" s="56" t="s">
        <v>640</v>
      </c>
      <c r="D326" s="56" t="s">
        <v>636</v>
      </c>
      <c r="E326" s="56" t="s">
        <v>191</v>
      </c>
      <c r="F326" s="57" t="s">
        <v>192</v>
      </c>
      <c r="G326" s="61"/>
      <c r="H326" s="79"/>
      <c r="I326" s="62"/>
      <c r="J326" s="53"/>
    </row>
    <row r="327" ht="24.75" hidden="1" customHeight="1">
      <c r="A327" s="54" t="s">
        <v>289</v>
      </c>
      <c r="B327" s="56" t="s">
        <v>643</v>
      </c>
      <c r="C327" s="56" t="s">
        <v>640</v>
      </c>
      <c r="D327" s="56" t="s">
        <v>636</v>
      </c>
      <c r="E327" s="56" t="s">
        <v>632</v>
      </c>
      <c r="F327" s="57" t="s">
        <v>34</v>
      </c>
      <c r="G327" s="61"/>
      <c r="H327" s="61" t="s">
        <v>197</v>
      </c>
      <c r="I327" s="62"/>
      <c r="J327" s="53"/>
    </row>
    <row r="328" ht="24.75" hidden="1" customHeight="1">
      <c r="A328" s="54" t="s">
        <v>289</v>
      </c>
      <c r="B328" s="56" t="s">
        <v>643</v>
      </c>
      <c r="C328" s="56" t="s">
        <v>640</v>
      </c>
      <c r="D328" s="56" t="s">
        <v>636</v>
      </c>
      <c r="E328" s="56" t="s">
        <v>633</v>
      </c>
      <c r="F328" s="57" t="s">
        <v>154</v>
      </c>
      <c r="G328" s="61"/>
      <c r="H328" s="79"/>
      <c r="I328" s="62"/>
      <c r="J328" s="53"/>
    </row>
    <row r="329" ht="24.75" customHeight="1">
      <c r="A329" s="54" t="s">
        <v>289</v>
      </c>
      <c r="B329" s="56" t="s">
        <v>643</v>
      </c>
      <c r="C329" s="56" t="s">
        <v>640</v>
      </c>
      <c r="D329" s="56" t="s">
        <v>636</v>
      </c>
      <c r="E329" s="56" t="s">
        <v>196</v>
      </c>
      <c r="F329" s="57" t="s">
        <v>250</v>
      </c>
      <c r="G329" s="61"/>
      <c r="H329" s="61" t="s">
        <v>200</v>
      </c>
      <c r="I329" s="62" t="s">
        <v>201</v>
      </c>
      <c r="J329" s="53"/>
    </row>
    <row r="330" ht="24.75" hidden="1" customHeight="1">
      <c r="A330" s="54" t="s">
        <v>289</v>
      </c>
      <c r="B330" s="56" t="s">
        <v>644</v>
      </c>
      <c r="C330" s="56" t="s">
        <v>645</v>
      </c>
      <c r="D330" s="56" t="s">
        <v>611</v>
      </c>
      <c r="E330" s="56" t="s">
        <v>612</v>
      </c>
      <c r="F330" s="57" t="s">
        <v>34</v>
      </c>
      <c r="G330" s="61"/>
      <c r="H330" s="79"/>
      <c r="I330" s="62"/>
      <c r="J330" s="53"/>
    </row>
    <row r="331" ht="24.75" hidden="1" customHeight="1">
      <c r="A331" s="54" t="s">
        <v>289</v>
      </c>
      <c r="B331" s="56" t="s">
        <v>644</v>
      </c>
      <c r="C331" s="56" t="s">
        <v>645</v>
      </c>
      <c r="D331" s="56" t="s">
        <v>611</v>
      </c>
      <c r="E331" s="56" t="s">
        <v>613</v>
      </c>
      <c r="F331" s="57" t="s">
        <v>34</v>
      </c>
      <c r="G331" s="61"/>
      <c r="H331" s="79"/>
      <c r="I331" s="62"/>
      <c r="J331" s="53"/>
    </row>
    <row r="332" ht="24.75" hidden="1" customHeight="1">
      <c r="A332" s="54" t="s">
        <v>289</v>
      </c>
      <c r="B332" s="56" t="s">
        <v>644</v>
      </c>
      <c r="C332" s="56" t="s">
        <v>645</v>
      </c>
      <c r="D332" s="56" t="s">
        <v>611</v>
      </c>
      <c r="E332" s="56" t="s">
        <v>614</v>
      </c>
      <c r="F332" s="57" t="s">
        <v>34</v>
      </c>
      <c r="G332" s="61"/>
      <c r="H332" s="79"/>
      <c r="I332" s="62" t="s">
        <v>615</v>
      </c>
      <c r="J332" s="53"/>
    </row>
    <row r="333" ht="24.75" hidden="1" customHeight="1">
      <c r="A333" s="54" t="s">
        <v>289</v>
      </c>
      <c r="B333" s="56" t="s">
        <v>644</v>
      </c>
      <c r="C333" s="56" t="s">
        <v>645</v>
      </c>
      <c r="D333" s="56" t="s">
        <v>611</v>
      </c>
      <c r="E333" s="56" t="s">
        <v>616</v>
      </c>
      <c r="F333" s="57" t="s">
        <v>154</v>
      </c>
      <c r="G333" s="61"/>
      <c r="H333" s="79"/>
      <c r="I333" s="62" t="s">
        <v>617</v>
      </c>
      <c r="J333" s="53"/>
    </row>
    <row r="334" ht="24.75" hidden="1" customHeight="1">
      <c r="A334" s="54" t="s">
        <v>289</v>
      </c>
      <c r="B334" s="56" t="s">
        <v>644</v>
      </c>
      <c r="C334" s="56" t="s">
        <v>645</v>
      </c>
      <c r="D334" s="56" t="s">
        <v>611</v>
      </c>
      <c r="E334" s="56" t="s">
        <v>618</v>
      </c>
      <c r="F334" s="57" t="s">
        <v>154</v>
      </c>
      <c r="G334" s="61"/>
      <c r="H334" s="79"/>
      <c r="I334" s="62" t="s">
        <v>617</v>
      </c>
      <c r="J334" s="53"/>
    </row>
    <row r="335" ht="24.75" customHeight="1">
      <c r="A335" s="54" t="s">
        <v>289</v>
      </c>
      <c r="B335" s="56" t="s">
        <v>646</v>
      </c>
      <c r="C335" s="56" t="s">
        <v>645</v>
      </c>
      <c r="D335" s="56" t="s">
        <v>620</v>
      </c>
      <c r="E335" s="56" t="s">
        <v>196</v>
      </c>
      <c r="F335" s="57" t="s">
        <v>250</v>
      </c>
      <c r="G335" s="61"/>
      <c r="H335" s="61" t="s">
        <v>287</v>
      </c>
      <c r="I335" s="62" t="s">
        <v>288</v>
      </c>
      <c r="J335" s="53"/>
    </row>
    <row r="336" ht="24.75" hidden="1" customHeight="1">
      <c r="A336" s="54" t="s">
        <v>289</v>
      </c>
      <c r="B336" s="56" t="s">
        <v>646</v>
      </c>
      <c r="C336" s="56" t="s">
        <v>645</v>
      </c>
      <c r="D336" s="56" t="s">
        <v>620</v>
      </c>
      <c r="E336" s="56" t="s">
        <v>621</v>
      </c>
      <c r="F336" s="57" t="s">
        <v>192</v>
      </c>
      <c r="G336" s="61"/>
      <c r="H336" s="79"/>
      <c r="I336" s="62"/>
      <c r="J336" s="53"/>
    </row>
    <row r="337" ht="24.75" hidden="1" customHeight="1">
      <c r="A337" s="54" t="s">
        <v>289</v>
      </c>
      <c r="B337" s="56" t="s">
        <v>646</v>
      </c>
      <c r="C337" s="56" t="s">
        <v>645</v>
      </c>
      <c r="D337" s="56" t="s">
        <v>620</v>
      </c>
      <c r="E337" s="56" t="s">
        <v>622</v>
      </c>
      <c r="F337" s="57" t="s">
        <v>154</v>
      </c>
      <c r="G337" s="61"/>
      <c r="H337" s="79"/>
      <c r="I337" s="62" t="s">
        <v>617</v>
      </c>
      <c r="J337" s="53"/>
    </row>
    <row r="338" ht="24.75" hidden="1" customHeight="1">
      <c r="A338" s="54" t="s">
        <v>289</v>
      </c>
      <c r="B338" s="56" t="s">
        <v>647</v>
      </c>
      <c r="C338" s="56" t="s">
        <v>645</v>
      </c>
      <c r="D338" s="56" t="s">
        <v>631</v>
      </c>
      <c r="E338" s="56" t="s">
        <v>191</v>
      </c>
      <c r="F338" s="57" t="s">
        <v>192</v>
      </c>
      <c r="G338" s="61"/>
      <c r="H338" s="79"/>
      <c r="I338" s="62"/>
      <c r="J338" s="53"/>
    </row>
    <row r="339" ht="24.75" hidden="1" customHeight="1">
      <c r="A339" s="54" t="s">
        <v>289</v>
      </c>
      <c r="B339" s="56" t="s">
        <v>647</v>
      </c>
      <c r="C339" s="56" t="s">
        <v>645</v>
      </c>
      <c r="D339" s="56" t="s">
        <v>631</v>
      </c>
      <c r="E339" s="56" t="s">
        <v>632</v>
      </c>
      <c r="F339" s="57" t="s">
        <v>34</v>
      </c>
      <c r="G339" s="61"/>
      <c r="H339" s="61" t="s">
        <v>197</v>
      </c>
      <c r="I339" s="62"/>
      <c r="J339" s="53"/>
    </row>
    <row r="340" ht="24.75" hidden="1" customHeight="1">
      <c r="A340" s="54" t="s">
        <v>289</v>
      </c>
      <c r="B340" s="56" t="s">
        <v>647</v>
      </c>
      <c r="C340" s="56" t="s">
        <v>645</v>
      </c>
      <c r="D340" s="56" t="s">
        <v>631</v>
      </c>
      <c r="E340" s="56" t="s">
        <v>633</v>
      </c>
      <c r="F340" s="57" t="s">
        <v>154</v>
      </c>
      <c r="G340" s="50"/>
      <c r="H340" s="79"/>
      <c r="I340" s="62"/>
      <c r="J340" s="53"/>
    </row>
    <row r="341" ht="24.75" customHeight="1">
      <c r="A341" s="54" t="s">
        <v>289</v>
      </c>
      <c r="B341" s="56" t="s">
        <v>647</v>
      </c>
      <c r="C341" s="56" t="s">
        <v>645</v>
      </c>
      <c r="D341" s="56" t="s">
        <v>631</v>
      </c>
      <c r="E341" s="56" t="s">
        <v>196</v>
      </c>
      <c r="F341" s="57" t="s">
        <v>250</v>
      </c>
      <c r="G341" s="61"/>
      <c r="H341" s="61" t="s">
        <v>200</v>
      </c>
      <c r="I341" s="62" t="s">
        <v>201</v>
      </c>
      <c r="J341" s="53"/>
    </row>
    <row r="342" ht="24.75" hidden="1" customHeight="1">
      <c r="A342" s="54" t="s">
        <v>289</v>
      </c>
      <c r="B342" s="56" t="s">
        <v>648</v>
      </c>
      <c r="C342" s="56" t="s">
        <v>645</v>
      </c>
      <c r="D342" s="56" t="s">
        <v>636</v>
      </c>
      <c r="E342" s="56" t="s">
        <v>191</v>
      </c>
      <c r="F342" s="57" t="s">
        <v>192</v>
      </c>
      <c r="G342" s="61"/>
      <c r="H342" s="79"/>
      <c r="I342" s="62"/>
      <c r="J342" s="53"/>
    </row>
    <row r="343" ht="24.75" hidden="1" customHeight="1">
      <c r="A343" s="54" t="s">
        <v>289</v>
      </c>
      <c r="B343" s="56" t="s">
        <v>648</v>
      </c>
      <c r="C343" s="56" t="s">
        <v>645</v>
      </c>
      <c r="D343" s="56" t="s">
        <v>636</v>
      </c>
      <c r="E343" s="56" t="s">
        <v>632</v>
      </c>
      <c r="F343" s="57" t="s">
        <v>34</v>
      </c>
      <c r="G343" s="61"/>
      <c r="H343" s="61" t="s">
        <v>197</v>
      </c>
      <c r="I343" s="62"/>
      <c r="J343" s="53"/>
    </row>
    <row r="344" ht="24.75" hidden="1" customHeight="1">
      <c r="A344" s="54" t="s">
        <v>289</v>
      </c>
      <c r="B344" s="56" t="s">
        <v>648</v>
      </c>
      <c r="C344" s="56" t="s">
        <v>645</v>
      </c>
      <c r="D344" s="56" t="s">
        <v>636</v>
      </c>
      <c r="E344" s="56" t="s">
        <v>633</v>
      </c>
      <c r="F344" s="57" t="s">
        <v>154</v>
      </c>
      <c r="G344" s="61"/>
      <c r="H344" s="79"/>
      <c r="I344" s="62"/>
      <c r="J344" s="53"/>
    </row>
    <row r="345" ht="24.75" customHeight="1">
      <c r="A345" s="54" t="s">
        <v>289</v>
      </c>
      <c r="B345" s="56" t="s">
        <v>648</v>
      </c>
      <c r="C345" s="56" t="s">
        <v>645</v>
      </c>
      <c r="D345" s="56" t="s">
        <v>636</v>
      </c>
      <c r="E345" s="56" t="s">
        <v>196</v>
      </c>
      <c r="F345" s="57" t="s">
        <v>250</v>
      </c>
      <c r="G345" s="61"/>
      <c r="H345" s="61" t="s">
        <v>200</v>
      </c>
      <c r="I345" s="62" t="s">
        <v>201</v>
      </c>
      <c r="J345" s="53"/>
    </row>
    <row r="346" ht="24.75" hidden="1" customHeight="1">
      <c r="A346" s="54" t="s">
        <v>289</v>
      </c>
      <c r="B346" s="56" t="s">
        <v>649</v>
      </c>
      <c r="C346" s="56" t="s">
        <v>606</v>
      </c>
      <c r="D346" s="56" t="s">
        <v>611</v>
      </c>
      <c r="E346" s="56" t="s">
        <v>612</v>
      </c>
      <c r="F346" s="57" t="s">
        <v>34</v>
      </c>
      <c r="G346" s="61"/>
      <c r="H346" s="79"/>
      <c r="I346" s="62"/>
      <c r="J346" s="53"/>
    </row>
    <row r="347" ht="24.75" hidden="1" customHeight="1">
      <c r="A347" s="54" t="s">
        <v>289</v>
      </c>
      <c r="B347" s="56" t="s">
        <v>649</v>
      </c>
      <c r="C347" s="56" t="s">
        <v>606</v>
      </c>
      <c r="D347" s="56" t="s">
        <v>611</v>
      </c>
      <c r="E347" s="56" t="s">
        <v>613</v>
      </c>
      <c r="F347" s="57" t="s">
        <v>34</v>
      </c>
      <c r="G347" s="61"/>
      <c r="H347" s="79"/>
      <c r="I347" s="62"/>
      <c r="J347" s="53"/>
    </row>
    <row r="348" ht="24.75" hidden="1" customHeight="1">
      <c r="A348" s="54" t="s">
        <v>289</v>
      </c>
      <c r="B348" s="56" t="s">
        <v>649</v>
      </c>
      <c r="C348" s="56" t="s">
        <v>606</v>
      </c>
      <c r="D348" s="56" t="s">
        <v>611</v>
      </c>
      <c r="E348" s="56" t="s">
        <v>614</v>
      </c>
      <c r="F348" s="57" t="s">
        <v>34</v>
      </c>
      <c r="G348" s="61"/>
      <c r="H348" s="79"/>
      <c r="I348" s="62" t="s">
        <v>615</v>
      </c>
      <c r="J348" s="53"/>
    </row>
    <row r="349" ht="24.75" hidden="1" customHeight="1">
      <c r="A349" s="54" t="s">
        <v>289</v>
      </c>
      <c r="B349" s="56" t="s">
        <v>649</v>
      </c>
      <c r="C349" s="56" t="s">
        <v>606</v>
      </c>
      <c r="D349" s="56" t="s">
        <v>611</v>
      </c>
      <c r="E349" s="56" t="s">
        <v>616</v>
      </c>
      <c r="F349" s="57" t="s">
        <v>154</v>
      </c>
      <c r="G349" s="61"/>
      <c r="H349" s="79"/>
      <c r="I349" s="62" t="s">
        <v>617</v>
      </c>
      <c r="J349" s="53"/>
    </row>
    <row r="350" ht="24.75" hidden="1" customHeight="1">
      <c r="A350" s="54" t="s">
        <v>289</v>
      </c>
      <c r="B350" s="56" t="s">
        <v>649</v>
      </c>
      <c r="C350" s="56" t="s">
        <v>606</v>
      </c>
      <c r="D350" s="56" t="s">
        <v>611</v>
      </c>
      <c r="E350" s="56" t="s">
        <v>618</v>
      </c>
      <c r="F350" s="57" t="s">
        <v>154</v>
      </c>
      <c r="G350" s="61"/>
      <c r="H350" s="79"/>
      <c r="I350" s="62" t="s">
        <v>617</v>
      </c>
      <c r="J350" s="53"/>
    </row>
    <row r="351" ht="24.75" customHeight="1">
      <c r="A351" s="54" t="s">
        <v>289</v>
      </c>
      <c r="B351" s="56" t="s">
        <v>650</v>
      </c>
      <c r="C351" s="56" t="s">
        <v>606</v>
      </c>
      <c r="D351" s="56" t="s">
        <v>651</v>
      </c>
      <c r="E351" s="56" t="s">
        <v>196</v>
      </c>
      <c r="F351" s="57" t="s">
        <v>250</v>
      </c>
      <c r="G351" s="61"/>
      <c r="H351" s="61" t="s">
        <v>287</v>
      </c>
      <c r="I351" s="62" t="s">
        <v>288</v>
      </c>
      <c r="J351" s="53"/>
    </row>
    <row r="352" ht="24.75" hidden="1" customHeight="1">
      <c r="A352" s="54" t="s">
        <v>289</v>
      </c>
      <c r="B352" s="56" t="s">
        <v>650</v>
      </c>
      <c r="C352" s="56" t="s">
        <v>606</v>
      </c>
      <c r="D352" s="56" t="s">
        <v>651</v>
      </c>
      <c r="E352" s="56" t="s">
        <v>621</v>
      </c>
      <c r="F352" s="57" t="s">
        <v>192</v>
      </c>
      <c r="G352" s="61"/>
      <c r="H352" s="79"/>
      <c r="I352" s="62"/>
      <c r="J352" s="53"/>
    </row>
    <row r="353" ht="24.75" hidden="1" customHeight="1">
      <c r="A353" s="54" t="s">
        <v>289</v>
      </c>
      <c r="B353" s="56" t="s">
        <v>650</v>
      </c>
      <c r="C353" s="56" t="s">
        <v>606</v>
      </c>
      <c r="D353" s="56" t="s">
        <v>651</v>
      </c>
      <c r="E353" s="56" t="s">
        <v>622</v>
      </c>
      <c r="F353" s="57" t="s">
        <v>154</v>
      </c>
      <c r="G353" s="61"/>
      <c r="H353" s="79"/>
      <c r="I353" s="62" t="s">
        <v>617</v>
      </c>
      <c r="J353" s="53"/>
    </row>
    <row r="354" ht="24.75" hidden="1" customHeight="1">
      <c r="A354" s="54" t="s">
        <v>289</v>
      </c>
      <c r="B354" s="56" t="s">
        <v>654</v>
      </c>
      <c r="C354" s="56" t="s">
        <v>606</v>
      </c>
      <c r="D354" s="56" t="s">
        <v>655</v>
      </c>
      <c r="E354" s="56" t="s">
        <v>191</v>
      </c>
      <c r="F354" s="57" t="s">
        <v>192</v>
      </c>
      <c r="G354" s="61"/>
      <c r="H354" s="79"/>
      <c r="I354" s="62"/>
      <c r="J354" s="53"/>
    </row>
    <row r="355" ht="24.75" hidden="1" customHeight="1">
      <c r="A355" s="54" t="s">
        <v>289</v>
      </c>
      <c r="B355" s="56" t="s">
        <v>654</v>
      </c>
      <c r="C355" s="56" t="s">
        <v>606</v>
      </c>
      <c r="D355" s="56" t="s">
        <v>655</v>
      </c>
      <c r="E355" s="56" t="s">
        <v>632</v>
      </c>
      <c r="F355" s="57" t="s">
        <v>34</v>
      </c>
      <c r="G355" s="61"/>
      <c r="H355" s="61" t="s">
        <v>197</v>
      </c>
      <c r="I355" s="62"/>
      <c r="J355" s="53"/>
    </row>
    <row r="356" ht="24.75" hidden="1" customHeight="1">
      <c r="A356" s="54" t="s">
        <v>289</v>
      </c>
      <c r="B356" s="56" t="s">
        <v>654</v>
      </c>
      <c r="C356" s="56" t="s">
        <v>606</v>
      </c>
      <c r="D356" s="56" t="s">
        <v>655</v>
      </c>
      <c r="E356" s="56" t="s">
        <v>633</v>
      </c>
      <c r="F356" s="57" t="s">
        <v>154</v>
      </c>
      <c r="G356" s="61"/>
      <c r="H356" s="79"/>
      <c r="I356" s="62"/>
      <c r="J356" s="53"/>
    </row>
    <row r="357" ht="24.75" customHeight="1">
      <c r="A357" s="54" t="s">
        <v>289</v>
      </c>
      <c r="B357" s="56" t="s">
        <v>654</v>
      </c>
      <c r="C357" s="56" t="s">
        <v>606</v>
      </c>
      <c r="D357" s="56" t="s">
        <v>655</v>
      </c>
      <c r="E357" s="56" t="s">
        <v>196</v>
      </c>
      <c r="F357" s="57" t="s">
        <v>250</v>
      </c>
      <c r="G357" s="61"/>
      <c r="H357" s="61" t="s">
        <v>200</v>
      </c>
      <c r="I357" s="62" t="s">
        <v>201</v>
      </c>
      <c r="J357" s="53"/>
    </row>
    <row r="358" ht="24.75" hidden="1" customHeight="1">
      <c r="A358" s="54" t="s">
        <v>289</v>
      </c>
      <c r="B358" s="56" t="s">
        <v>656</v>
      </c>
      <c r="C358" s="56" t="s">
        <v>606</v>
      </c>
      <c r="D358" s="56" t="s">
        <v>657</v>
      </c>
      <c r="E358" s="56" t="s">
        <v>191</v>
      </c>
      <c r="F358" s="57" t="s">
        <v>192</v>
      </c>
      <c r="G358" s="61"/>
      <c r="H358" s="79"/>
      <c r="I358" s="62"/>
      <c r="J358" s="53"/>
    </row>
    <row r="359" ht="24.75" hidden="1" customHeight="1">
      <c r="A359" s="54" t="s">
        <v>289</v>
      </c>
      <c r="B359" s="56" t="s">
        <v>656</v>
      </c>
      <c r="C359" s="56" t="s">
        <v>606</v>
      </c>
      <c r="D359" s="56" t="s">
        <v>657</v>
      </c>
      <c r="E359" s="56" t="s">
        <v>632</v>
      </c>
      <c r="F359" s="57" t="s">
        <v>34</v>
      </c>
      <c r="G359" s="61"/>
      <c r="H359" s="61" t="s">
        <v>197</v>
      </c>
      <c r="I359" s="62"/>
      <c r="J359" s="53"/>
    </row>
    <row r="360" ht="24.75" hidden="1" customHeight="1">
      <c r="A360" s="54" t="s">
        <v>289</v>
      </c>
      <c r="B360" s="56" t="s">
        <v>656</v>
      </c>
      <c r="C360" s="56" t="s">
        <v>606</v>
      </c>
      <c r="D360" s="56" t="s">
        <v>657</v>
      </c>
      <c r="E360" s="56" t="s">
        <v>633</v>
      </c>
      <c r="F360" s="57" t="s">
        <v>154</v>
      </c>
      <c r="G360" s="61"/>
      <c r="H360" s="79"/>
      <c r="I360" s="62"/>
      <c r="J360" s="53"/>
    </row>
    <row r="361" ht="24.75" customHeight="1">
      <c r="A361" s="54" t="s">
        <v>289</v>
      </c>
      <c r="B361" s="56" t="s">
        <v>656</v>
      </c>
      <c r="C361" s="56" t="s">
        <v>606</v>
      </c>
      <c r="D361" s="56" t="s">
        <v>657</v>
      </c>
      <c r="E361" s="56" t="s">
        <v>196</v>
      </c>
      <c r="F361" s="57" t="s">
        <v>250</v>
      </c>
      <c r="G361" s="61"/>
      <c r="H361" s="61" t="s">
        <v>200</v>
      </c>
      <c r="I361" s="62" t="s">
        <v>201</v>
      </c>
      <c r="J361" s="53"/>
    </row>
    <row r="362" ht="24.75" hidden="1" customHeight="1">
      <c r="A362" s="54" t="s">
        <v>658</v>
      </c>
      <c r="B362" s="56" t="s">
        <v>659</v>
      </c>
      <c r="C362" s="56" t="s">
        <v>610</v>
      </c>
      <c r="D362" s="56" t="s">
        <v>660</v>
      </c>
      <c r="E362" s="56" t="s">
        <v>661</v>
      </c>
      <c r="F362" s="57" t="s">
        <v>34</v>
      </c>
      <c r="G362" s="61"/>
      <c r="H362" s="79"/>
      <c r="I362" s="62"/>
      <c r="J362" s="53"/>
    </row>
    <row r="363" ht="24.75" hidden="1" customHeight="1">
      <c r="A363" s="54" t="s">
        <v>658</v>
      </c>
      <c r="B363" s="56" t="s">
        <v>659</v>
      </c>
      <c r="C363" s="56" t="s">
        <v>610</v>
      </c>
      <c r="D363" s="56" t="s">
        <v>660</v>
      </c>
      <c r="E363" s="56" t="s">
        <v>662</v>
      </c>
      <c r="F363" s="57" t="s">
        <v>34</v>
      </c>
      <c r="G363" s="61"/>
      <c r="H363" s="79"/>
      <c r="I363" s="62"/>
      <c r="J363" s="53"/>
    </row>
    <row r="364" ht="24.75" hidden="1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663</v>
      </c>
      <c r="F364" s="57" t="s">
        <v>34</v>
      </c>
      <c r="G364" s="61"/>
      <c r="H364" s="79"/>
      <c r="I364" s="62"/>
      <c r="J364" s="53"/>
    </row>
    <row r="365" ht="24.75" hidden="1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664</v>
      </c>
      <c r="F365" s="57" t="s">
        <v>34</v>
      </c>
      <c r="G365" s="61"/>
      <c r="H365" s="79"/>
      <c r="I365" s="62"/>
      <c r="J365" s="53"/>
    </row>
    <row r="366" ht="24.75" hidden="1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665</v>
      </c>
      <c r="F366" s="57" t="s">
        <v>34</v>
      </c>
      <c r="G366" s="61"/>
      <c r="H366" s="79"/>
      <c r="I366" s="62"/>
      <c r="J366" s="53"/>
    </row>
    <row r="367" ht="24.75" hidden="1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614</v>
      </c>
      <c r="F367" s="57" t="s">
        <v>34</v>
      </c>
      <c r="G367" s="61"/>
      <c r="H367" s="79"/>
      <c r="I367" s="62"/>
      <c r="J367" s="53"/>
    </row>
    <row r="368" ht="24.75" hidden="1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666</v>
      </c>
      <c r="F368" s="57" t="s">
        <v>34</v>
      </c>
      <c r="G368" s="61"/>
      <c r="H368" s="79"/>
      <c r="I368" s="62"/>
      <c r="J368" s="53"/>
    </row>
    <row r="369" ht="24.75" hidden="1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667</v>
      </c>
      <c r="F369" s="57" t="s">
        <v>34</v>
      </c>
      <c r="G369" s="61"/>
      <c r="H369" s="79"/>
      <c r="I369" s="62"/>
      <c r="J369" s="53"/>
    </row>
    <row r="370" ht="24.75" hidden="1" customHeight="1">
      <c r="A370" s="54" t="s">
        <v>658</v>
      </c>
      <c r="B370" s="56" t="s">
        <v>659</v>
      </c>
      <c r="C370" s="56" t="s">
        <v>610</v>
      </c>
      <c r="D370" s="56" t="s">
        <v>660</v>
      </c>
      <c r="E370" s="56" t="s">
        <v>668</v>
      </c>
      <c r="F370" s="57" t="s">
        <v>154</v>
      </c>
      <c r="G370" s="61"/>
      <c r="H370" s="79"/>
      <c r="I370" s="62" t="s">
        <v>617</v>
      </c>
      <c r="J370" s="53"/>
    </row>
    <row r="371" ht="24.75" hidden="1" customHeight="1">
      <c r="A371" s="54" t="s">
        <v>658</v>
      </c>
      <c r="B371" s="56" t="s">
        <v>659</v>
      </c>
      <c r="C371" s="56" t="s">
        <v>610</v>
      </c>
      <c r="D371" s="56" t="s">
        <v>660</v>
      </c>
      <c r="E371" s="56" t="s">
        <v>669</v>
      </c>
      <c r="F371" s="57" t="s">
        <v>154</v>
      </c>
      <c r="G371" s="61"/>
      <c r="H371" s="79"/>
      <c r="I371" s="62" t="s">
        <v>617</v>
      </c>
      <c r="J371" s="53"/>
    </row>
    <row r="372" ht="24.75" hidden="1" customHeight="1">
      <c r="A372" s="54" t="s">
        <v>658</v>
      </c>
      <c r="B372" s="56" t="s">
        <v>659</v>
      </c>
      <c r="C372" s="56" t="s">
        <v>610</v>
      </c>
      <c r="D372" s="56" t="s">
        <v>660</v>
      </c>
      <c r="E372" s="56" t="s">
        <v>671</v>
      </c>
      <c r="F372" s="57" t="s">
        <v>154</v>
      </c>
      <c r="G372" s="61"/>
      <c r="H372" s="79"/>
      <c r="I372" s="62" t="s">
        <v>617</v>
      </c>
      <c r="J372" s="53"/>
    </row>
    <row r="373" ht="24.75" hidden="1" customHeight="1">
      <c r="A373" s="54" t="s">
        <v>658</v>
      </c>
      <c r="B373" s="56" t="s">
        <v>659</v>
      </c>
      <c r="C373" s="56" t="s">
        <v>610</v>
      </c>
      <c r="D373" s="56" t="s">
        <v>660</v>
      </c>
      <c r="E373" s="56" t="s">
        <v>672</v>
      </c>
      <c r="F373" s="57" t="s">
        <v>154</v>
      </c>
      <c r="G373" s="61"/>
      <c r="H373" s="79"/>
      <c r="I373" s="62" t="s">
        <v>617</v>
      </c>
      <c r="J373" s="53"/>
    </row>
    <row r="374" ht="24.75" hidden="1" customHeight="1">
      <c r="A374" s="54" t="s">
        <v>658</v>
      </c>
      <c r="B374" s="56" t="s">
        <v>659</v>
      </c>
      <c r="C374" s="56" t="s">
        <v>610</v>
      </c>
      <c r="D374" s="56" t="s">
        <v>660</v>
      </c>
      <c r="E374" s="56" t="s">
        <v>673</v>
      </c>
      <c r="F374" s="57" t="s">
        <v>154</v>
      </c>
      <c r="G374" s="61"/>
      <c r="H374" s="79"/>
      <c r="I374" s="62" t="s">
        <v>617</v>
      </c>
      <c r="J374" s="53"/>
    </row>
    <row r="375" ht="24.75" hidden="1" customHeight="1">
      <c r="A375" s="54" t="s">
        <v>658</v>
      </c>
      <c r="B375" s="56" t="s">
        <v>674</v>
      </c>
      <c r="C375" s="56" t="s">
        <v>610</v>
      </c>
      <c r="D375" s="56" t="s">
        <v>675</v>
      </c>
      <c r="E375" s="56" t="s">
        <v>676</v>
      </c>
      <c r="F375" s="57" t="s">
        <v>34</v>
      </c>
      <c r="G375" s="61"/>
      <c r="H375" s="79"/>
      <c r="I375" s="62"/>
      <c r="J375" s="53"/>
    </row>
    <row r="376" ht="24.75" hidden="1" customHeight="1">
      <c r="A376" s="54" t="s">
        <v>658</v>
      </c>
      <c r="B376" s="56" t="s">
        <v>677</v>
      </c>
      <c r="C376" s="56" t="s">
        <v>610</v>
      </c>
      <c r="D376" s="56" t="s">
        <v>678</v>
      </c>
      <c r="E376" s="56" t="s">
        <v>679</v>
      </c>
      <c r="F376" s="57" t="s">
        <v>34</v>
      </c>
      <c r="G376" s="61"/>
      <c r="H376" s="61" t="s">
        <v>681</v>
      </c>
      <c r="I376" s="62"/>
      <c r="J376" s="53"/>
    </row>
    <row r="377" ht="24.75" hidden="1" customHeight="1">
      <c r="A377" s="54" t="s">
        <v>658</v>
      </c>
      <c r="B377" s="56" t="s">
        <v>677</v>
      </c>
      <c r="C377" s="56" t="s">
        <v>610</v>
      </c>
      <c r="D377" s="56" t="s">
        <v>678</v>
      </c>
      <c r="E377" s="56" t="s">
        <v>680</v>
      </c>
      <c r="F377" s="57" t="s">
        <v>34</v>
      </c>
      <c r="G377" s="61"/>
      <c r="H377" s="79"/>
      <c r="I377" s="62"/>
      <c r="J377" s="53"/>
    </row>
    <row r="378" ht="24.75" hidden="1" customHeight="1">
      <c r="A378" s="54" t="s">
        <v>658</v>
      </c>
      <c r="B378" s="56" t="s">
        <v>677</v>
      </c>
      <c r="C378" s="56" t="s">
        <v>610</v>
      </c>
      <c r="D378" s="56" t="s">
        <v>678</v>
      </c>
      <c r="E378" s="56" t="s">
        <v>682</v>
      </c>
      <c r="F378" s="57" t="s">
        <v>34</v>
      </c>
      <c r="G378" s="61"/>
      <c r="H378" s="79"/>
      <c r="I378" s="62"/>
      <c r="J378" s="53"/>
    </row>
    <row r="379" ht="24.75" hidden="1" customHeight="1">
      <c r="A379" s="54" t="s">
        <v>658</v>
      </c>
      <c r="B379" s="56" t="s">
        <v>677</v>
      </c>
      <c r="C379" s="56" t="s">
        <v>610</v>
      </c>
      <c r="D379" s="56" t="s">
        <v>678</v>
      </c>
      <c r="E379" s="56" t="s">
        <v>683</v>
      </c>
      <c r="F379" s="57" t="s">
        <v>34</v>
      </c>
      <c r="G379" s="61"/>
      <c r="H379" s="79"/>
      <c r="I379" s="62"/>
      <c r="J379" s="53"/>
    </row>
    <row r="380" ht="24.75" customHeight="1">
      <c r="A380" s="54" t="s">
        <v>658</v>
      </c>
      <c r="B380" s="56" t="s">
        <v>677</v>
      </c>
      <c r="C380" s="56" t="s">
        <v>610</v>
      </c>
      <c r="D380" s="56" t="s">
        <v>678</v>
      </c>
      <c r="E380" s="56" t="s">
        <v>684</v>
      </c>
      <c r="F380" s="57" t="s">
        <v>250</v>
      </c>
      <c r="G380" s="61"/>
      <c r="H380" s="61" t="s">
        <v>686</v>
      </c>
      <c r="I380" s="62" t="s">
        <v>687</v>
      </c>
      <c r="J380" s="53"/>
    </row>
    <row r="381" ht="24.75" customHeight="1">
      <c r="A381" s="54" t="s">
        <v>658</v>
      </c>
      <c r="B381" s="56" t="s">
        <v>677</v>
      </c>
      <c r="C381" s="56" t="s">
        <v>610</v>
      </c>
      <c r="D381" s="56" t="s">
        <v>678</v>
      </c>
      <c r="E381" s="56" t="s">
        <v>685</v>
      </c>
      <c r="F381" s="57" t="s">
        <v>250</v>
      </c>
      <c r="G381" s="61"/>
      <c r="H381" s="61" t="s">
        <v>200</v>
      </c>
      <c r="I381" s="62" t="s">
        <v>689</v>
      </c>
      <c r="J381" s="53"/>
    </row>
    <row r="382" ht="24.75" hidden="1" customHeight="1">
      <c r="A382" s="54" t="s">
        <v>658</v>
      </c>
      <c r="B382" s="56" t="s">
        <v>688</v>
      </c>
      <c r="C382" s="56" t="s">
        <v>624</v>
      </c>
      <c r="D382" s="56" t="s">
        <v>660</v>
      </c>
      <c r="E382" s="56" t="s">
        <v>661</v>
      </c>
      <c r="F382" s="57" t="s">
        <v>34</v>
      </c>
      <c r="G382" s="61"/>
      <c r="H382" s="79"/>
      <c r="I382" s="62"/>
      <c r="J382" s="53"/>
    </row>
    <row r="383" ht="24.75" hidden="1" customHeight="1">
      <c r="A383" s="54" t="s">
        <v>658</v>
      </c>
      <c r="B383" s="56" t="s">
        <v>688</v>
      </c>
      <c r="C383" s="56" t="s">
        <v>624</v>
      </c>
      <c r="D383" s="56" t="s">
        <v>660</v>
      </c>
      <c r="E383" s="56" t="s">
        <v>662</v>
      </c>
      <c r="F383" s="57" t="s">
        <v>34</v>
      </c>
      <c r="G383" s="61"/>
      <c r="H383" s="79"/>
      <c r="I383" s="62"/>
      <c r="J383" s="53"/>
    </row>
    <row r="384" ht="24.75" hidden="1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663</v>
      </c>
      <c r="F384" s="57" t="s">
        <v>34</v>
      </c>
      <c r="G384" s="61"/>
      <c r="H384" s="79"/>
      <c r="I384" s="62"/>
      <c r="J384" s="53"/>
    </row>
    <row r="385" ht="24.75" hidden="1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664</v>
      </c>
      <c r="F385" s="57" t="s">
        <v>34</v>
      </c>
      <c r="G385" s="61"/>
      <c r="H385" s="79"/>
      <c r="I385" s="62"/>
      <c r="J385" s="53"/>
    </row>
    <row r="386" ht="24.75" hidden="1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665</v>
      </c>
      <c r="F386" s="57" t="s">
        <v>34</v>
      </c>
      <c r="G386" s="61"/>
      <c r="H386" s="79"/>
      <c r="I386" s="62"/>
      <c r="J386" s="53"/>
    </row>
    <row r="387" ht="24.75" hidden="1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614</v>
      </c>
      <c r="F387" s="57" t="s">
        <v>34</v>
      </c>
      <c r="G387" s="61"/>
      <c r="H387" s="79"/>
      <c r="I387" s="62"/>
      <c r="J387" s="53"/>
    </row>
    <row r="388" ht="24.75" hidden="1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666</v>
      </c>
      <c r="F388" s="57" t="s">
        <v>34</v>
      </c>
      <c r="G388" s="61"/>
      <c r="H388" s="79"/>
      <c r="I388" s="62"/>
      <c r="J388" s="53"/>
    </row>
    <row r="389" ht="24.75" hidden="1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667</v>
      </c>
      <c r="F389" s="57" t="s">
        <v>34</v>
      </c>
      <c r="G389" s="61"/>
      <c r="H389" s="79"/>
      <c r="I389" s="62"/>
      <c r="J389" s="53"/>
    </row>
    <row r="390" ht="24.75" hidden="1" customHeight="1">
      <c r="A390" s="54" t="s">
        <v>658</v>
      </c>
      <c r="B390" s="56" t="s">
        <v>688</v>
      </c>
      <c r="C390" s="56" t="s">
        <v>624</v>
      </c>
      <c r="D390" s="56" t="s">
        <v>660</v>
      </c>
      <c r="E390" s="56" t="s">
        <v>668</v>
      </c>
      <c r="F390" s="57" t="s">
        <v>154</v>
      </c>
      <c r="G390" s="61"/>
      <c r="H390" s="79"/>
      <c r="I390" s="62" t="s">
        <v>617</v>
      </c>
      <c r="J390" s="53"/>
    </row>
    <row r="391" ht="24.75" hidden="1" customHeight="1">
      <c r="A391" s="54" t="s">
        <v>658</v>
      </c>
      <c r="B391" s="56" t="s">
        <v>688</v>
      </c>
      <c r="C391" s="56" t="s">
        <v>624</v>
      </c>
      <c r="D391" s="56" t="s">
        <v>660</v>
      </c>
      <c r="E391" s="56" t="s">
        <v>669</v>
      </c>
      <c r="F391" s="57" t="s">
        <v>154</v>
      </c>
      <c r="G391" s="61"/>
      <c r="H391" s="79"/>
      <c r="I391" s="62" t="s">
        <v>617</v>
      </c>
      <c r="J391" s="53"/>
    </row>
    <row r="392" ht="24.75" hidden="1" customHeight="1">
      <c r="A392" s="54" t="s">
        <v>658</v>
      </c>
      <c r="B392" s="56" t="s">
        <v>688</v>
      </c>
      <c r="C392" s="56" t="s">
        <v>624</v>
      </c>
      <c r="D392" s="56" t="s">
        <v>660</v>
      </c>
      <c r="E392" s="56" t="s">
        <v>671</v>
      </c>
      <c r="F392" s="57" t="s">
        <v>154</v>
      </c>
      <c r="G392" s="61"/>
      <c r="H392" s="79"/>
      <c r="I392" s="62" t="s">
        <v>617</v>
      </c>
      <c r="J392" s="53"/>
    </row>
    <row r="393" ht="24.75" hidden="1" customHeight="1">
      <c r="A393" s="54" t="s">
        <v>658</v>
      </c>
      <c r="B393" s="56" t="s">
        <v>688</v>
      </c>
      <c r="C393" s="56" t="s">
        <v>624</v>
      </c>
      <c r="D393" s="56" t="s">
        <v>660</v>
      </c>
      <c r="E393" s="56" t="s">
        <v>672</v>
      </c>
      <c r="F393" s="57" t="s">
        <v>154</v>
      </c>
      <c r="G393" s="61"/>
      <c r="H393" s="79"/>
      <c r="I393" s="62" t="s">
        <v>617</v>
      </c>
      <c r="J393" s="53"/>
    </row>
    <row r="394" ht="24.75" hidden="1" customHeight="1">
      <c r="A394" s="54" t="s">
        <v>658</v>
      </c>
      <c r="B394" s="56" t="s">
        <v>688</v>
      </c>
      <c r="C394" s="56" t="s">
        <v>624</v>
      </c>
      <c r="D394" s="56" t="s">
        <v>660</v>
      </c>
      <c r="E394" s="56" t="s">
        <v>673</v>
      </c>
      <c r="F394" s="57" t="s">
        <v>154</v>
      </c>
      <c r="G394" s="61"/>
      <c r="H394" s="79"/>
      <c r="I394" s="62" t="s">
        <v>617</v>
      </c>
      <c r="J394" s="53"/>
    </row>
    <row r="395" ht="24.75" hidden="1" customHeight="1">
      <c r="A395" s="54" t="s">
        <v>658</v>
      </c>
      <c r="B395" s="56" t="s">
        <v>690</v>
      </c>
      <c r="C395" s="56" t="s">
        <v>624</v>
      </c>
      <c r="D395" s="56" t="s">
        <v>675</v>
      </c>
      <c r="E395" s="56" t="s">
        <v>676</v>
      </c>
      <c r="F395" s="57" t="s">
        <v>34</v>
      </c>
      <c r="G395" s="61"/>
      <c r="H395" s="79"/>
      <c r="I395" s="62"/>
      <c r="J395" s="53"/>
    </row>
    <row r="396" ht="24.75" hidden="1" customHeight="1">
      <c r="A396" s="54" t="s">
        <v>658</v>
      </c>
      <c r="B396" s="56" t="s">
        <v>691</v>
      </c>
      <c r="C396" s="56" t="s">
        <v>624</v>
      </c>
      <c r="D396" s="56" t="s">
        <v>678</v>
      </c>
      <c r="E396" s="56" t="s">
        <v>679</v>
      </c>
      <c r="F396" s="57" t="s">
        <v>34</v>
      </c>
      <c r="G396" s="61"/>
      <c r="H396" s="61" t="s">
        <v>681</v>
      </c>
      <c r="I396" s="62"/>
      <c r="J396" s="53"/>
    </row>
    <row r="397" ht="24.75" hidden="1" customHeight="1">
      <c r="A397" s="54" t="s">
        <v>658</v>
      </c>
      <c r="B397" s="56" t="s">
        <v>691</v>
      </c>
      <c r="C397" s="56" t="s">
        <v>624</v>
      </c>
      <c r="D397" s="56" t="s">
        <v>678</v>
      </c>
      <c r="E397" s="56" t="s">
        <v>680</v>
      </c>
      <c r="F397" s="57" t="s">
        <v>34</v>
      </c>
      <c r="G397" s="61"/>
      <c r="H397" s="79"/>
      <c r="I397" s="62"/>
      <c r="J397" s="53"/>
    </row>
    <row r="398" ht="24.75" hidden="1" customHeight="1">
      <c r="A398" s="54" t="s">
        <v>658</v>
      </c>
      <c r="B398" s="56" t="s">
        <v>691</v>
      </c>
      <c r="C398" s="56" t="s">
        <v>624</v>
      </c>
      <c r="D398" s="56" t="s">
        <v>678</v>
      </c>
      <c r="E398" s="56" t="s">
        <v>682</v>
      </c>
      <c r="F398" s="57" t="s">
        <v>34</v>
      </c>
      <c r="G398" s="61"/>
      <c r="H398" s="79"/>
      <c r="I398" s="62"/>
      <c r="J398" s="53"/>
    </row>
    <row r="399" ht="24.75" hidden="1" customHeight="1">
      <c r="A399" s="54" t="s">
        <v>658</v>
      </c>
      <c r="B399" s="56" t="s">
        <v>691</v>
      </c>
      <c r="C399" s="56" t="s">
        <v>624</v>
      </c>
      <c r="D399" s="56" t="s">
        <v>678</v>
      </c>
      <c r="E399" s="56" t="s">
        <v>683</v>
      </c>
      <c r="F399" s="57" t="s">
        <v>34</v>
      </c>
      <c r="G399" s="61"/>
      <c r="H399" s="79"/>
      <c r="I399" s="62"/>
      <c r="J399" s="53"/>
    </row>
    <row r="400" ht="24.75" customHeight="1">
      <c r="A400" s="54" t="s">
        <v>658</v>
      </c>
      <c r="B400" s="56" t="s">
        <v>691</v>
      </c>
      <c r="C400" s="56" t="s">
        <v>624</v>
      </c>
      <c r="D400" s="56" t="s">
        <v>678</v>
      </c>
      <c r="E400" s="56" t="s">
        <v>684</v>
      </c>
      <c r="F400" s="57" t="s">
        <v>250</v>
      </c>
      <c r="G400" s="61"/>
      <c r="H400" s="61" t="s">
        <v>686</v>
      </c>
      <c r="I400" s="62" t="s">
        <v>687</v>
      </c>
      <c r="J400" s="53"/>
    </row>
    <row r="401" ht="24.75" customHeight="1">
      <c r="A401" s="54" t="s">
        <v>658</v>
      </c>
      <c r="B401" s="56" t="s">
        <v>691</v>
      </c>
      <c r="C401" s="56" t="s">
        <v>624</v>
      </c>
      <c r="D401" s="56" t="s">
        <v>678</v>
      </c>
      <c r="E401" s="56" t="s">
        <v>685</v>
      </c>
      <c r="F401" s="57" t="s">
        <v>250</v>
      </c>
      <c r="G401" s="61"/>
      <c r="H401" s="61" t="s">
        <v>200</v>
      </c>
      <c r="I401" s="62" t="s">
        <v>689</v>
      </c>
      <c r="J401" s="53"/>
    </row>
    <row r="402" ht="24.75" hidden="1" customHeight="1">
      <c r="A402" s="54" t="s">
        <v>658</v>
      </c>
      <c r="B402" s="56" t="s">
        <v>692</v>
      </c>
      <c r="C402" s="56" t="s">
        <v>627</v>
      </c>
      <c r="D402" s="56" t="s">
        <v>660</v>
      </c>
      <c r="E402" s="56" t="s">
        <v>661</v>
      </c>
      <c r="F402" s="57" t="s">
        <v>34</v>
      </c>
      <c r="G402" s="61"/>
      <c r="H402" s="79"/>
      <c r="I402" s="62"/>
      <c r="J402" s="53"/>
    </row>
    <row r="403" ht="24.75" hidden="1" customHeight="1">
      <c r="A403" s="54" t="s">
        <v>658</v>
      </c>
      <c r="B403" s="56" t="s">
        <v>692</v>
      </c>
      <c r="C403" s="56" t="s">
        <v>627</v>
      </c>
      <c r="D403" s="56" t="s">
        <v>660</v>
      </c>
      <c r="E403" s="56" t="s">
        <v>662</v>
      </c>
      <c r="F403" s="57" t="s">
        <v>34</v>
      </c>
      <c r="G403" s="61"/>
      <c r="H403" s="79"/>
      <c r="I403" s="62"/>
      <c r="J403" s="53"/>
    </row>
    <row r="404" ht="24.75" hidden="1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663</v>
      </c>
      <c r="F404" s="57" t="s">
        <v>34</v>
      </c>
      <c r="G404" s="61"/>
      <c r="H404" s="79"/>
      <c r="I404" s="62"/>
      <c r="J404" s="53"/>
    </row>
    <row r="405" ht="24.75" hidden="1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664</v>
      </c>
      <c r="F405" s="57" t="s">
        <v>34</v>
      </c>
      <c r="G405" s="61"/>
      <c r="H405" s="79"/>
      <c r="I405" s="62"/>
      <c r="J405" s="53"/>
    </row>
    <row r="406" ht="24.75" hidden="1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665</v>
      </c>
      <c r="F406" s="57" t="s">
        <v>34</v>
      </c>
      <c r="G406" s="61"/>
      <c r="H406" s="79"/>
      <c r="I406" s="62"/>
      <c r="J406" s="53"/>
    </row>
    <row r="407" ht="24.75" hidden="1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614</v>
      </c>
      <c r="F407" s="57" t="s">
        <v>34</v>
      </c>
      <c r="G407" s="61"/>
      <c r="H407" s="79"/>
      <c r="I407" s="62"/>
      <c r="J407" s="53"/>
    </row>
    <row r="408" ht="24.75" hidden="1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666</v>
      </c>
      <c r="F408" s="57" t="s">
        <v>34</v>
      </c>
      <c r="G408" s="61"/>
      <c r="H408" s="79"/>
      <c r="I408" s="62"/>
      <c r="J408" s="53"/>
    </row>
    <row r="409" ht="24.75" hidden="1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667</v>
      </c>
      <c r="F409" s="57" t="s">
        <v>34</v>
      </c>
      <c r="G409" s="61"/>
      <c r="H409" s="79"/>
      <c r="I409" s="62"/>
      <c r="J409" s="53"/>
    </row>
    <row r="410" ht="24.75" hidden="1" customHeight="1">
      <c r="A410" s="54" t="s">
        <v>658</v>
      </c>
      <c r="B410" s="56" t="s">
        <v>692</v>
      </c>
      <c r="C410" s="56" t="s">
        <v>627</v>
      </c>
      <c r="D410" s="56" t="s">
        <v>660</v>
      </c>
      <c r="E410" s="56" t="s">
        <v>668</v>
      </c>
      <c r="F410" s="57" t="s">
        <v>154</v>
      </c>
      <c r="G410" s="61"/>
      <c r="H410" s="79"/>
      <c r="I410" s="62" t="s">
        <v>617</v>
      </c>
      <c r="J410" s="53"/>
    </row>
    <row r="411" ht="24.75" hidden="1" customHeight="1">
      <c r="A411" s="54" t="s">
        <v>658</v>
      </c>
      <c r="B411" s="56" t="s">
        <v>692</v>
      </c>
      <c r="C411" s="56" t="s">
        <v>627</v>
      </c>
      <c r="D411" s="56" t="s">
        <v>660</v>
      </c>
      <c r="E411" s="56" t="s">
        <v>669</v>
      </c>
      <c r="F411" s="57" t="s">
        <v>154</v>
      </c>
      <c r="G411" s="61"/>
      <c r="H411" s="79"/>
      <c r="I411" s="62" t="s">
        <v>617</v>
      </c>
      <c r="J411" s="53"/>
    </row>
    <row r="412" ht="24.75" hidden="1" customHeight="1">
      <c r="A412" s="54" t="s">
        <v>658</v>
      </c>
      <c r="B412" s="56" t="s">
        <v>692</v>
      </c>
      <c r="C412" s="56" t="s">
        <v>627</v>
      </c>
      <c r="D412" s="56" t="s">
        <v>660</v>
      </c>
      <c r="E412" s="56" t="s">
        <v>671</v>
      </c>
      <c r="F412" s="57" t="s">
        <v>154</v>
      </c>
      <c r="G412" s="61"/>
      <c r="H412" s="79"/>
      <c r="I412" s="62" t="s">
        <v>617</v>
      </c>
      <c r="J412" s="53"/>
    </row>
    <row r="413" ht="24.75" hidden="1" customHeight="1">
      <c r="A413" s="54" t="s">
        <v>658</v>
      </c>
      <c r="B413" s="56" t="s">
        <v>692</v>
      </c>
      <c r="C413" s="56" t="s">
        <v>627</v>
      </c>
      <c r="D413" s="56" t="s">
        <v>660</v>
      </c>
      <c r="E413" s="56" t="s">
        <v>672</v>
      </c>
      <c r="F413" s="57" t="s">
        <v>154</v>
      </c>
      <c r="G413" s="61"/>
      <c r="H413" s="79"/>
      <c r="I413" s="62" t="s">
        <v>617</v>
      </c>
      <c r="J413" s="53"/>
    </row>
    <row r="414" ht="24.75" hidden="1" customHeight="1">
      <c r="A414" s="54" t="s">
        <v>658</v>
      </c>
      <c r="B414" s="56" t="s">
        <v>692</v>
      </c>
      <c r="C414" s="56" t="s">
        <v>627</v>
      </c>
      <c r="D414" s="56" t="s">
        <v>660</v>
      </c>
      <c r="E414" s="56" t="s">
        <v>673</v>
      </c>
      <c r="F414" s="57" t="s">
        <v>154</v>
      </c>
      <c r="G414" s="61"/>
      <c r="H414" s="79"/>
      <c r="I414" s="62" t="s">
        <v>617</v>
      </c>
      <c r="J414" s="53"/>
    </row>
    <row r="415" ht="24.75" hidden="1" customHeight="1">
      <c r="A415" s="54" t="s">
        <v>658</v>
      </c>
      <c r="B415" s="56" t="s">
        <v>693</v>
      </c>
      <c r="C415" s="56" t="s">
        <v>627</v>
      </c>
      <c r="D415" s="56" t="s">
        <v>675</v>
      </c>
      <c r="E415" s="56" t="s">
        <v>676</v>
      </c>
      <c r="F415" s="57" t="s">
        <v>34</v>
      </c>
      <c r="G415" s="61"/>
      <c r="H415" s="79"/>
      <c r="I415" s="62"/>
      <c r="J415" s="53"/>
    </row>
    <row r="416" ht="24.75" hidden="1" customHeight="1">
      <c r="A416" s="54" t="s">
        <v>658</v>
      </c>
      <c r="B416" s="56" t="s">
        <v>694</v>
      </c>
      <c r="C416" s="56" t="s">
        <v>627</v>
      </c>
      <c r="D416" s="56" t="s">
        <v>678</v>
      </c>
      <c r="E416" s="56" t="s">
        <v>679</v>
      </c>
      <c r="F416" s="57" t="s">
        <v>34</v>
      </c>
      <c r="G416" s="61"/>
      <c r="H416" s="61" t="s">
        <v>197</v>
      </c>
      <c r="I416" s="62"/>
      <c r="J416" s="53"/>
    </row>
    <row r="417" ht="24.75" hidden="1" customHeight="1">
      <c r="A417" s="54" t="s">
        <v>658</v>
      </c>
      <c r="B417" s="56" t="s">
        <v>694</v>
      </c>
      <c r="C417" s="56" t="s">
        <v>627</v>
      </c>
      <c r="D417" s="56" t="s">
        <v>678</v>
      </c>
      <c r="E417" s="56" t="s">
        <v>680</v>
      </c>
      <c r="F417" s="57" t="s">
        <v>34</v>
      </c>
      <c r="G417" s="61"/>
      <c r="H417" s="79"/>
      <c r="I417" s="62"/>
      <c r="J417" s="53"/>
    </row>
    <row r="418" ht="24.75" hidden="1" customHeight="1">
      <c r="A418" s="54" t="s">
        <v>658</v>
      </c>
      <c r="B418" s="56" t="s">
        <v>694</v>
      </c>
      <c r="C418" s="56" t="s">
        <v>627</v>
      </c>
      <c r="D418" s="56" t="s">
        <v>678</v>
      </c>
      <c r="E418" s="56" t="s">
        <v>683</v>
      </c>
      <c r="F418" s="57" t="s">
        <v>34</v>
      </c>
      <c r="G418" s="61"/>
      <c r="H418" s="79"/>
      <c r="I418" s="62"/>
      <c r="J418" s="53"/>
    </row>
    <row r="419" ht="24.75" customHeight="1">
      <c r="A419" s="54" t="s">
        <v>658</v>
      </c>
      <c r="B419" s="56" t="s">
        <v>694</v>
      </c>
      <c r="C419" s="56" t="s">
        <v>627</v>
      </c>
      <c r="D419" s="56" t="s">
        <v>678</v>
      </c>
      <c r="E419" s="56" t="s">
        <v>684</v>
      </c>
      <c r="F419" s="57" t="s">
        <v>250</v>
      </c>
      <c r="G419" s="61"/>
      <c r="H419" s="61" t="s">
        <v>686</v>
      </c>
      <c r="I419" s="62" t="s">
        <v>687</v>
      </c>
      <c r="J419" s="53"/>
    </row>
    <row r="420" ht="24.75" customHeight="1">
      <c r="A420" s="54" t="s">
        <v>658</v>
      </c>
      <c r="B420" s="56" t="s">
        <v>694</v>
      </c>
      <c r="C420" s="56" t="s">
        <v>627</v>
      </c>
      <c r="D420" s="56" t="s">
        <v>678</v>
      </c>
      <c r="E420" s="56" t="s">
        <v>695</v>
      </c>
      <c r="F420" s="57" t="s">
        <v>250</v>
      </c>
      <c r="G420" s="61"/>
      <c r="H420" s="61" t="s">
        <v>346</v>
      </c>
      <c r="I420" s="62" t="s">
        <v>696</v>
      </c>
      <c r="J420" s="53"/>
    </row>
    <row r="421" ht="24.75" customHeight="1">
      <c r="A421" s="54" t="s">
        <v>658</v>
      </c>
      <c r="B421" s="56" t="s">
        <v>694</v>
      </c>
      <c r="C421" s="56" t="s">
        <v>627</v>
      </c>
      <c r="D421" s="56" t="s">
        <v>678</v>
      </c>
      <c r="E421" s="56" t="s">
        <v>685</v>
      </c>
      <c r="F421" s="57" t="s">
        <v>250</v>
      </c>
      <c r="G421" s="61"/>
      <c r="H421" s="61" t="s">
        <v>200</v>
      </c>
      <c r="I421" s="62" t="s">
        <v>689</v>
      </c>
      <c r="J421" s="53"/>
    </row>
    <row r="422" ht="24.75" hidden="1" customHeight="1">
      <c r="A422" s="54" t="s">
        <v>658</v>
      </c>
      <c r="B422" s="56" t="s">
        <v>697</v>
      </c>
      <c r="C422" s="56" t="s">
        <v>640</v>
      </c>
      <c r="D422" s="56" t="s">
        <v>660</v>
      </c>
      <c r="E422" s="56" t="s">
        <v>661</v>
      </c>
      <c r="F422" s="57" t="s">
        <v>34</v>
      </c>
      <c r="G422" s="61"/>
      <c r="H422" s="79"/>
      <c r="I422" s="62"/>
      <c r="J422" s="53"/>
    </row>
    <row r="423" ht="24.75" hidden="1" customHeight="1">
      <c r="A423" s="54" t="s">
        <v>658</v>
      </c>
      <c r="B423" s="56" t="s">
        <v>697</v>
      </c>
      <c r="C423" s="56" t="s">
        <v>640</v>
      </c>
      <c r="D423" s="56" t="s">
        <v>660</v>
      </c>
      <c r="E423" s="56" t="s">
        <v>662</v>
      </c>
      <c r="F423" s="57" t="s">
        <v>34</v>
      </c>
      <c r="G423" s="61"/>
      <c r="H423" s="79"/>
      <c r="I423" s="62"/>
      <c r="J423" s="53"/>
    </row>
    <row r="424" ht="24.75" hidden="1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663</v>
      </c>
      <c r="F424" s="57" t="s">
        <v>34</v>
      </c>
      <c r="G424" s="61"/>
      <c r="H424" s="79"/>
      <c r="I424" s="62"/>
      <c r="J424" s="53"/>
    </row>
    <row r="425" ht="24.75" hidden="1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664</v>
      </c>
      <c r="F425" s="57" t="s">
        <v>34</v>
      </c>
      <c r="G425" s="61"/>
      <c r="H425" s="79"/>
      <c r="I425" s="62"/>
      <c r="J425" s="53"/>
    </row>
    <row r="426" ht="24.75" hidden="1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665</v>
      </c>
      <c r="F426" s="57" t="s">
        <v>34</v>
      </c>
      <c r="G426" s="61"/>
      <c r="H426" s="79"/>
      <c r="I426" s="62"/>
      <c r="J426" s="53"/>
    </row>
    <row r="427" ht="24.75" hidden="1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614</v>
      </c>
      <c r="F427" s="57" t="s">
        <v>34</v>
      </c>
      <c r="G427" s="61"/>
      <c r="H427" s="79"/>
      <c r="I427" s="62"/>
      <c r="J427" s="53"/>
    </row>
    <row r="428" ht="24.75" hidden="1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666</v>
      </c>
      <c r="F428" s="57" t="s">
        <v>34</v>
      </c>
      <c r="G428" s="61"/>
      <c r="H428" s="79"/>
      <c r="I428" s="62"/>
      <c r="J428" s="53"/>
    </row>
    <row r="429" ht="24.75" hidden="1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667</v>
      </c>
      <c r="F429" s="57" t="s">
        <v>34</v>
      </c>
      <c r="G429" s="61"/>
      <c r="H429" s="79"/>
      <c r="I429" s="62"/>
      <c r="J429" s="53"/>
    </row>
    <row r="430" ht="24.75" hidden="1" customHeight="1">
      <c r="A430" s="54" t="s">
        <v>658</v>
      </c>
      <c r="B430" s="56" t="s">
        <v>697</v>
      </c>
      <c r="C430" s="56" t="s">
        <v>640</v>
      </c>
      <c r="D430" s="56" t="s">
        <v>660</v>
      </c>
      <c r="E430" s="56" t="s">
        <v>668</v>
      </c>
      <c r="F430" s="57" t="s">
        <v>154</v>
      </c>
      <c r="G430" s="61"/>
      <c r="H430" s="79"/>
      <c r="I430" s="62" t="s">
        <v>617</v>
      </c>
      <c r="J430" s="53"/>
    </row>
    <row r="431" ht="24.75" hidden="1" customHeight="1">
      <c r="A431" s="54" t="s">
        <v>658</v>
      </c>
      <c r="B431" s="56" t="s">
        <v>697</v>
      </c>
      <c r="C431" s="56" t="s">
        <v>640</v>
      </c>
      <c r="D431" s="56" t="s">
        <v>660</v>
      </c>
      <c r="E431" s="56" t="s">
        <v>669</v>
      </c>
      <c r="F431" s="57" t="s">
        <v>154</v>
      </c>
      <c r="G431" s="61"/>
      <c r="H431" s="79"/>
      <c r="I431" s="62" t="s">
        <v>617</v>
      </c>
      <c r="J431" s="53"/>
    </row>
    <row r="432" ht="24.75" hidden="1" customHeight="1">
      <c r="A432" s="54" t="s">
        <v>658</v>
      </c>
      <c r="B432" s="56" t="s">
        <v>697</v>
      </c>
      <c r="C432" s="56" t="s">
        <v>640</v>
      </c>
      <c r="D432" s="56" t="s">
        <v>660</v>
      </c>
      <c r="E432" s="56" t="s">
        <v>671</v>
      </c>
      <c r="F432" s="57" t="s">
        <v>154</v>
      </c>
      <c r="G432" s="61"/>
      <c r="H432" s="79"/>
      <c r="I432" s="62" t="s">
        <v>617</v>
      </c>
      <c r="J432" s="53"/>
    </row>
    <row r="433" ht="24.75" hidden="1" customHeight="1">
      <c r="A433" s="54" t="s">
        <v>658</v>
      </c>
      <c r="B433" s="56" t="s">
        <v>697</v>
      </c>
      <c r="C433" s="56" t="s">
        <v>640</v>
      </c>
      <c r="D433" s="56" t="s">
        <v>660</v>
      </c>
      <c r="E433" s="56" t="s">
        <v>672</v>
      </c>
      <c r="F433" s="57" t="s">
        <v>154</v>
      </c>
      <c r="G433" s="61"/>
      <c r="H433" s="79"/>
      <c r="I433" s="62" t="s">
        <v>617</v>
      </c>
      <c r="J433" s="53"/>
    </row>
    <row r="434" ht="24.75" hidden="1" customHeight="1">
      <c r="A434" s="54" t="s">
        <v>658</v>
      </c>
      <c r="B434" s="56" t="s">
        <v>697</v>
      </c>
      <c r="C434" s="56" t="s">
        <v>640</v>
      </c>
      <c r="D434" s="56" t="s">
        <v>660</v>
      </c>
      <c r="E434" s="56" t="s">
        <v>673</v>
      </c>
      <c r="F434" s="57" t="s">
        <v>154</v>
      </c>
      <c r="G434" s="61"/>
      <c r="H434" s="79"/>
      <c r="I434" s="62" t="s">
        <v>617</v>
      </c>
      <c r="J434" s="53"/>
    </row>
    <row r="435" ht="24.75" hidden="1" customHeight="1">
      <c r="A435" s="54" t="s">
        <v>658</v>
      </c>
      <c r="B435" s="56" t="s">
        <v>698</v>
      </c>
      <c r="C435" s="56" t="s">
        <v>640</v>
      </c>
      <c r="D435" s="56" t="s">
        <v>675</v>
      </c>
      <c r="E435" s="56" t="s">
        <v>676</v>
      </c>
      <c r="F435" s="57" t="s">
        <v>34</v>
      </c>
      <c r="G435" s="61"/>
      <c r="H435" s="79"/>
      <c r="I435" s="62"/>
      <c r="J435" s="53"/>
    </row>
    <row r="436" ht="24.75" hidden="1" customHeight="1">
      <c r="A436" s="54" t="s">
        <v>658</v>
      </c>
      <c r="B436" s="56" t="s">
        <v>699</v>
      </c>
      <c r="C436" s="56" t="s">
        <v>640</v>
      </c>
      <c r="D436" s="56" t="s">
        <v>678</v>
      </c>
      <c r="E436" s="56" t="s">
        <v>679</v>
      </c>
      <c r="F436" s="57" t="s">
        <v>34</v>
      </c>
      <c r="G436" s="61"/>
      <c r="H436" s="61" t="s">
        <v>197</v>
      </c>
      <c r="I436" s="62"/>
      <c r="J436" s="53"/>
    </row>
    <row r="437" ht="24.75" hidden="1" customHeight="1">
      <c r="A437" s="54" t="s">
        <v>658</v>
      </c>
      <c r="B437" s="56" t="s">
        <v>699</v>
      </c>
      <c r="C437" s="56" t="s">
        <v>640</v>
      </c>
      <c r="D437" s="56" t="s">
        <v>678</v>
      </c>
      <c r="E437" s="56" t="s">
        <v>680</v>
      </c>
      <c r="F437" s="57" t="s">
        <v>34</v>
      </c>
      <c r="G437" s="61"/>
      <c r="H437" s="79"/>
      <c r="I437" s="62"/>
      <c r="J437" s="53"/>
    </row>
    <row r="438" ht="24.75" hidden="1" customHeight="1">
      <c r="A438" s="54" t="s">
        <v>658</v>
      </c>
      <c r="B438" s="56" t="s">
        <v>699</v>
      </c>
      <c r="C438" s="56" t="s">
        <v>640</v>
      </c>
      <c r="D438" s="56" t="s">
        <v>678</v>
      </c>
      <c r="E438" s="56" t="s">
        <v>682</v>
      </c>
      <c r="F438" s="57" t="s">
        <v>34</v>
      </c>
      <c r="G438" s="61"/>
      <c r="H438" s="79"/>
      <c r="I438" s="62"/>
      <c r="J438" s="53"/>
    </row>
    <row r="439" ht="24.75" hidden="1" customHeight="1">
      <c r="A439" s="54" t="s">
        <v>658</v>
      </c>
      <c r="B439" s="56" t="s">
        <v>699</v>
      </c>
      <c r="C439" s="56" t="s">
        <v>640</v>
      </c>
      <c r="D439" s="56" t="s">
        <v>678</v>
      </c>
      <c r="E439" s="56" t="s">
        <v>683</v>
      </c>
      <c r="F439" s="57" t="s">
        <v>34</v>
      </c>
      <c r="G439" s="61"/>
      <c r="H439" s="79"/>
      <c r="I439" s="62"/>
      <c r="J439" s="53"/>
    </row>
    <row r="440" ht="24.75" customHeight="1">
      <c r="A440" s="54" t="s">
        <v>658</v>
      </c>
      <c r="B440" s="56" t="s">
        <v>699</v>
      </c>
      <c r="C440" s="56" t="s">
        <v>640</v>
      </c>
      <c r="D440" s="56" t="s">
        <v>678</v>
      </c>
      <c r="E440" s="56" t="s">
        <v>684</v>
      </c>
      <c r="F440" s="57" t="s">
        <v>250</v>
      </c>
      <c r="G440" s="61"/>
      <c r="H440" s="61" t="s">
        <v>686</v>
      </c>
      <c r="I440" s="62" t="s">
        <v>687</v>
      </c>
      <c r="J440" s="53"/>
    </row>
    <row r="441" ht="24.75" customHeight="1">
      <c r="A441" s="54" t="s">
        <v>658</v>
      </c>
      <c r="B441" s="56" t="s">
        <v>699</v>
      </c>
      <c r="C441" s="56" t="s">
        <v>640</v>
      </c>
      <c r="D441" s="56" t="s">
        <v>678</v>
      </c>
      <c r="E441" s="56" t="s">
        <v>695</v>
      </c>
      <c r="F441" s="57" t="s">
        <v>250</v>
      </c>
      <c r="G441" s="61"/>
      <c r="H441" s="61" t="s">
        <v>346</v>
      </c>
      <c r="I441" s="62" t="s">
        <v>696</v>
      </c>
      <c r="J441" s="53"/>
    </row>
    <row r="442" ht="24.75" customHeight="1">
      <c r="A442" s="54" t="s">
        <v>658</v>
      </c>
      <c r="B442" s="56" t="s">
        <v>699</v>
      </c>
      <c r="C442" s="56" t="s">
        <v>640</v>
      </c>
      <c r="D442" s="56" t="s">
        <v>678</v>
      </c>
      <c r="E442" s="56" t="s">
        <v>685</v>
      </c>
      <c r="F442" s="57" t="s">
        <v>250</v>
      </c>
      <c r="G442" s="61"/>
      <c r="H442" s="61" t="s">
        <v>200</v>
      </c>
      <c r="I442" s="62" t="s">
        <v>689</v>
      </c>
      <c r="J442" s="53"/>
    </row>
    <row r="443" ht="24.75" hidden="1" customHeight="1">
      <c r="A443" s="54" t="s">
        <v>658</v>
      </c>
      <c r="B443" s="56" t="s">
        <v>700</v>
      </c>
      <c r="C443" s="56" t="s">
        <v>645</v>
      </c>
      <c r="D443" s="56" t="s">
        <v>660</v>
      </c>
      <c r="E443" s="56" t="s">
        <v>661</v>
      </c>
      <c r="F443" s="57" t="s">
        <v>34</v>
      </c>
      <c r="G443" s="61"/>
      <c r="H443" s="79"/>
      <c r="I443" s="62"/>
      <c r="J443" s="53"/>
    </row>
    <row r="444" ht="24.75" hidden="1" customHeight="1">
      <c r="A444" s="54" t="s">
        <v>658</v>
      </c>
      <c r="B444" s="56" t="s">
        <v>700</v>
      </c>
      <c r="C444" s="56" t="s">
        <v>645</v>
      </c>
      <c r="D444" s="56" t="s">
        <v>660</v>
      </c>
      <c r="E444" s="56" t="s">
        <v>662</v>
      </c>
      <c r="F444" s="57" t="s">
        <v>34</v>
      </c>
      <c r="G444" s="61"/>
      <c r="H444" s="61"/>
      <c r="I444" s="62"/>
      <c r="J444" s="53"/>
    </row>
    <row r="445" ht="24.75" hidden="1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663</v>
      </c>
      <c r="F445" s="57" t="s">
        <v>34</v>
      </c>
      <c r="G445" s="61"/>
      <c r="H445" s="61"/>
      <c r="I445" s="62"/>
      <c r="J445" s="53"/>
    </row>
    <row r="446" ht="24.75" hidden="1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664</v>
      </c>
      <c r="F446" s="57" t="s">
        <v>34</v>
      </c>
      <c r="G446" s="61"/>
      <c r="H446" s="79"/>
      <c r="I446" s="62"/>
      <c r="J446" s="53"/>
    </row>
    <row r="447" ht="24.75" hidden="1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665</v>
      </c>
      <c r="F447" s="57" t="s">
        <v>34</v>
      </c>
      <c r="G447" s="61"/>
      <c r="H447" s="79"/>
      <c r="I447" s="62"/>
      <c r="J447" s="53"/>
    </row>
    <row r="448" ht="24.75" hidden="1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614</v>
      </c>
      <c r="F448" s="57" t="s">
        <v>34</v>
      </c>
      <c r="G448" s="61"/>
      <c r="H448" s="79"/>
      <c r="I448" s="62"/>
      <c r="J448" s="53"/>
    </row>
    <row r="449" ht="24.75" hidden="1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666</v>
      </c>
      <c r="F449" s="57" t="s">
        <v>34</v>
      </c>
      <c r="G449" s="61"/>
      <c r="H449" s="79"/>
      <c r="I449" s="62"/>
      <c r="J449" s="53"/>
    </row>
    <row r="450" ht="24.75" hidden="1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667</v>
      </c>
      <c r="F450" s="57" t="s">
        <v>34</v>
      </c>
      <c r="G450" s="61"/>
      <c r="H450" s="61"/>
      <c r="I450" s="62"/>
      <c r="J450" s="53"/>
    </row>
    <row r="451" ht="24.75" hidden="1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668</v>
      </c>
      <c r="F451" s="57" t="s">
        <v>154</v>
      </c>
      <c r="G451" s="61"/>
      <c r="H451" s="61"/>
      <c r="I451" s="62" t="s">
        <v>617</v>
      </c>
      <c r="J451" s="53"/>
    </row>
    <row r="452" ht="24.75" hidden="1" customHeight="1">
      <c r="A452" s="54" t="s">
        <v>658</v>
      </c>
      <c r="B452" s="56" t="s">
        <v>700</v>
      </c>
      <c r="C452" s="56" t="s">
        <v>645</v>
      </c>
      <c r="D452" s="56" t="s">
        <v>660</v>
      </c>
      <c r="E452" s="56" t="s">
        <v>669</v>
      </c>
      <c r="F452" s="57" t="s">
        <v>154</v>
      </c>
      <c r="G452" s="61"/>
      <c r="H452" s="61"/>
      <c r="I452" s="62" t="s">
        <v>617</v>
      </c>
      <c r="J452" s="53"/>
    </row>
    <row r="453" ht="24.75" hidden="1" customHeight="1">
      <c r="A453" s="54" t="s">
        <v>658</v>
      </c>
      <c r="B453" s="56" t="s">
        <v>700</v>
      </c>
      <c r="C453" s="56" t="s">
        <v>645</v>
      </c>
      <c r="D453" s="56" t="s">
        <v>660</v>
      </c>
      <c r="E453" s="56" t="s">
        <v>680</v>
      </c>
      <c r="F453" s="57" t="s">
        <v>154</v>
      </c>
      <c r="G453" s="61"/>
      <c r="H453" s="61"/>
      <c r="I453" s="62" t="s">
        <v>617</v>
      </c>
      <c r="J453" s="53"/>
    </row>
    <row r="454" ht="24.75" hidden="1" customHeight="1">
      <c r="A454" s="54" t="s">
        <v>658</v>
      </c>
      <c r="B454" s="56" t="s">
        <v>700</v>
      </c>
      <c r="C454" s="56" t="s">
        <v>645</v>
      </c>
      <c r="D454" s="56" t="s">
        <v>660</v>
      </c>
      <c r="E454" s="56" t="s">
        <v>671</v>
      </c>
      <c r="F454" s="57" t="s">
        <v>154</v>
      </c>
      <c r="G454" s="61"/>
      <c r="H454" s="79"/>
      <c r="I454" s="62" t="s">
        <v>617</v>
      </c>
      <c r="J454" s="53"/>
    </row>
    <row r="455" ht="24.75" hidden="1" customHeight="1">
      <c r="A455" s="54" t="s">
        <v>658</v>
      </c>
      <c r="B455" s="56" t="s">
        <v>700</v>
      </c>
      <c r="C455" s="56" t="s">
        <v>645</v>
      </c>
      <c r="D455" s="56" t="s">
        <v>660</v>
      </c>
      <c r="E455" s="56" t="s">
        <v>672</v>
      </c>
      <c r="F455" s="57" t="s">
        <v>154</v>
      </c>
      <c r="G455" s="61"/>
      <c r="H455" s="79"/>
      <c r="I455" s="62" t="s">
        <v>617</v>
      </c>
      <c r="J455" s="53"/>
    </row>
    <row r="456" ht="24.75" hidden="1" customHeight="1">
      <c r="A456" s="54" t="s">
        <v>658</v>
      </c>
      <c r="B456" s="56" t="s">
        <v>700</v>
      </c>
      <c r="C456" s="56" t="s">
        <v>645</v>
      </c>
      <c r="D456" s="56" t="s">
        <v>660</v>
      </c>
      <c r="E456" s="56" t="s">
        <v>673</v>
      </c>
      <c r="F456" s="57" t="s">
        <v>154</v>
      </c>
      <c r="G456" s="61"/>
      <c r="H456" s="79"/>
      <c r="I456" s="62" t="s">
        <v>617</v>
      </c>
      <c r="J456" s="53"/>
    </row>
    <row r="457" ht="24.75" hidden="1" customHeight="1">
      <c r="A457" s="54" t="s">
        <v>658</v>
      </c>
      <c r="B457" s="56" t="s">
        <v>703</v>
      </c>
      <c r="C457" s="56" t="s">
        <v>645</v>
      </c>
      <c r="D457" s="56" t="s">
        <v>675</v>
      </c>
      <c r="E457" s="56" t="s">
        <v>676</v>
      </c>
      <c r="F457" s="57" t="s">
        <v>34</v>
      </c>
      <c r="G457" s="61"/>
      <c r="H457" s="79"/>
      <c r="I457" s="62"/>
      <c r="J457" s="53"/>
    </row>
    <row r="458" ht="24.75" hidden="1" customHeight="1">
      <c r="A458" s="54" t="s">
        <v>658</v>
      </c>
      <c r="B458" s="56" t="s">
        <v>704</v>
      </c>
      <c r="C458" s="56" t="s">
        <v>645</v>
      </c>
      <c r="D458" s="56" t="s">
        <v>678</v>
      </c>
      <c r="E458" s="56" t="s">
        <v>679</v>
      </c>
      <c r="F458" s="57" t="s">
        <v>34</v>
      </c>
      <c r="G458" s="61"/>
      <c r="H458" s="61" t="s">
        <v>197</v>
      </c>
      <c r="I458" s="62"/>
      <c r="J458" s="53"/>
    </row>
    <row r="459" ht="24.75" hidden="1" customHeight="1">
      <c r="A459" s="54" t="s">
        <v>658</v>
      </c>
      <c r="B459" s="56" t="s">
        <v>704</v>
      </c>
      <c r="C459" s="56" t="s">
        <v>645</v>
      </c>
      <c r="D459" s="56" t="s">
        <v>678</v>
      </c>
      <c r="E459" s="56" t="s">
        <v>680</v>
      </c>
      <c r="F459" s="57" t="s">
        <v>34</v>
      </c>
      <c r="G459" s="61"/>
      <c r="H459" s="79"/>
      <c r="I459" s="62"/>
      <c r="J459" s="53"/>
    </row>
    <row r="460" ht="24.75" hidden="1" customHeight="1">
      <c r="A460" s="54" t="s">
        <v>658</v>
      </c>
      <c r="B460" s="56" t="s">
        <v>704</v>
      </c>
      <c r="C460" s="56" t="s">
        <v>645</v>
      </c>
      <c r="D460" s="56" t="s">
        <v>678</v>
      </c>
      <c r="E460" s="56" t="s">
        <v>682</v>
      </c>
      <c r="F460" s="57" t="s">
        <v>34</v>
      </c>
      <c r="G460" s="61"/>
      <c r="H460" s="79"/>
      <c r="I460" s="62"/>
      <c r="J460" s="53"/>
    </row>
    <row r="461" ht="24.75" hidden="1" customHeight="1">
      <c r="A461" s="54" t="s">
        <v>658</v>
      </c>
      <c r="B461" s="56" t="s">
        <v>704</v>
      </c>
      <c r="C461" s="56" t="s">
        <v>645</v>
      </c>
      <c r="D461" s="56" t="s">
        <v>678</v>
      </c>
      <c r="E461" s="56" t="s">
        <v>683</v>
      </c>
      <c r="F461" s="57" t="s">
        <v>34</v>
      </c>
      <c r="G461" s="61"/>
      <c r="H461" s="79"/>
      <c r="I461" s="62"/>
      <c r="J461" s="53"/>
    </row>
    <row r="462" ht="24.75" customHeight="1">
      <c r="A462" s="54" t="s">
        <v>658</v>
      </c>
      <c r="B462" s="56" t="s">
        <v>704</v>
      </c>
      <c r="C462" s="56" t="s">
        <v>645</v>
      </c>
      <c r="D462" s="56" t="s">
        <v>678</v>
      </c>
      <c r="E462" s="56" t="s">
        <v>684</v>
      </c>
      <c r="F462" s="57" t="s">
        <v>250</v>
      </c>
      <c r="G462" s="61"/>
      <c r="H462" s="61" t="s">
        <v>686</v>
      </c>
      <c r="I462" s="62" t="s">
        <v>687</v>
      </c>
      <c r="J462" s="53"/>
    </row>
    <row r="463" ht="24.75" customHeight="1">
      <c r="A463" s="54" t="s">
        <v>658</v>
      </c>
      <c r="B463" s="56" t="s">
        <v>704</v>
      </c>
      <c r="C463" s="56" t="s">
        <v>645</v>
      </c>
      <c r="D463" s="56" t="s">
        <v>678</v>
      </c>
      <c r="E463" s="56" t="s">
        <v>695</v>
      </c>
      <c r="F463" s="57" t="s">
        <v>250</v>
      </c>
      <c r="G463" s="61"/>
      <c r="H463" s="61" t="s">
        <v>346</v>
      </c>
      <c r="I463" s="62" t="s">
        <v>696</v>
      </c>
      <c r="J463" s="53"/>
    </row>
    <row r="464" ht="24.75" customHeight="1">
      <c r="A464" s="54" t="s">
        <v>658</v>
      </c>
      <c r="B464" s="56" t="s">
        <v>704</v>
      </c>
      <c r="C464" s="56" t="s">
        <v>645</v>
      </c>
      <c r="D464" s="56" t="s">
        <v>678</v>
      </c>
      <c r="E464" s="56" t="s">
        <v>685</v>
      </c>
      <c r="F464" s="57" t="s">
        <v>250</v>
      </c>
      <c r="G464" s="61"/>
      <c r="H464" s="61" t="s">
        <v>200</v>
      </c>
      <c r="I464" s="62" t="s">
        <v>689</v>
      </c>
      <c r="J464" s="53"/>
    </row>
    <row r="465" ht="24.75" hidden="1" customHeight="1">
      <c r="A465" s="54" t="s">
        <v>658</v>
      </c>
      <c r="B465" s="56" t="s">
        <v>705</v>
      </c>
      <c r="C465" s="56" t="s">
        <v>606</v>
      </c>
      <c r="D465" s="56" t="s">
        <v>660</v>
      </c>
      <c r="E465" s="56" t="s">
        <v>661</v>
      </c>
      <c r="F465" s="57" t="s">
        <v>34</v>
      </c>
      <c r="G465" s="61"/>
      <c r="H465" s="79"/>
      <c r="I465" s="62"/>
      <c r="J465" s="53"/>
    </row>
    <row r="466" ht="24.75" hidden="1" customHeight="1">
      <c r="A466" s="54" t="s">
        <v>658</v>
      </c>
      <c r="B466" s="56" t="s">
        <v>705</v>
      </c>
      <c r="C466" s="56" t="s">
        <v>606</v>
      </c>
      <c r="D466" s="56" t="s">
        <v>660</v>
      </c>
      <c r="E466" s="56" t="s">
        <v>662</v>
      </c>
      <c r="F466" s="57" t="s">
        <v>34</v>
      </c>
      <c r="G466" s="61"/>
      <c r="H466" s="61"/>
      <c r="I466" s="62"/>
      <c r="J466" s="53"/>
    </row>
    <row r="467" ht="24.75" hidden="1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663</v>
      </c>
      <c r="F467" s="57" t="s">
        <v>34</v>
      </c>
      <c r="G467" s="61"/>
      <c r="H467" s="61"/>
      <c r="I467" s="62"/>
      <c r="J467" s="53"/>
    </row>
    <row r="468" ht="24.75" hidden="1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664</v>
      </c>
      <c r="F468" s="57" t="s">
        <v>34</v>
      </c>
      <c r="G468" s="61"/>
      <c r="H468" s="79"/>
      <c r="I468" s="62"/>
      <c r="J468" s="53"/>
    </row>
    <row r="469" ht="24.75" hidden="1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665</v>
      </c>
      <c r="F469" s="57" t="s">
        <v>34</v>
      </c>
      <c r="G469" s="61"/>
      <c r="H469" s="79"/>
      <c r="I469" s="103"/>
      <c r="J469" s="53"/>
    </row>
    <row r="470" ht="24.75" hidden="1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614</v>
      </c>
      <c r="F470" s="57" t="s">
        <v>34</v>
      </c>
      <c r="G470" s="61"/>
      <c r="H470" s="79"/>
      <c r="I470" s="62"/>
      <c r="J470" s="53"/>
    </row>
    <row r="471" ht="24.75" hidden="1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666</v>
      </c>
      <c r="F471" s="57" t="s">
        <v>34</v>
      </c>
      <c r="G471" s="61"/>
      <c r="H471" s="79"/>
      <c r="I471" s="62"/>
      <c r="J471" s="53"/>
    </row>
    <row r="472" ht="24.75" hidden="1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667</v>
      </c>
      <c r="F472" s="57" t="s">
        <v>34</v>
      </c>
      <c r="G472" s="61"/>
      <c r="H472" s="61"/>
      <c r="I472" s="62"/>
      <c r="J472" s="53"/>
    </row>
    <row r="473" ht="24.75" hidden="1" customHeight="1">
      <c r="A473" s="54" t="s">
        <v>658</v>
      </c>
      <c r="B473" s="56" t="s">
        <v>705</v>
      </c>
      <c r="C473" s="56" t="s">
        <v>606</v>
      </c>
      <c r="D473" s="56" t="s">
        <v>660</v>
      </c>
      <c r="E473" s="56" t="s">
        <v>668</v>
      </c>
      <c r="F473" s="57" t="s">
        <v>154</v>
      </c>
      <c r="G473" s="61"/>
      <c r="H473" s="61"/>
      <c r="I473" s="62" t="s">
        <v>617</v>
      </c>
      <c r="J473" s="53"/>
    </row>
    <row r="474" ht="24.75" hidden="1" customHeight="1">
      <c r="A474" s="54" t="s">
        <v>658</v>
      </c>
      <c r="B474" s="56" t="s">
        <v>705</v>
      </c>
      <c r="C474" s="56" t="s">
        <v>606</v>
      </c>
      <c r="D474" s="56" t="s">
        <v>660</v>
      </c>
      <c r="E474" s="56" t="s">
        <v>669</v>
      </c>
      <c r="F474" s="57" t="s">
        <v>154</v>
      </c>
      <c r="G474" s="61"/>
      <c r="H474" s="61"/>
      <c r="I474" s="62" t="s">
        <v>617</v>
      </c>
      <c r="J474" s="53"/>
    </row>
    <row r="475" ht="24.75" hidden="1" customHeight="1">
      <c r="A475" s="54" t="s">
        <v>658</v>
      </c>
      <c r="B475" s="56" t="s">
        <v>705</v>
      </c>
      <c r="C475" s="56" t="s">
        <v>606</v>
      </c>
      <c r="D475" s="56" t="s">
        <v>660</v>
      </c>
      <c r="E475" s="56" t="s">
        <v>671</v>
      </c>
      <c r="F475" s="57" t="s">
        <v>154</v>
      </c>
      <c r="G475" s="61"/>
      <c r="H475" s="61"/>
      <c r="I475" s="62" t="s">
        <v>617</v>
      </c>
      <c r="J475" s="53"/>
    </row>
    <row r="476" ht="24.75" hidden="1" customHeight="1">
      <c r="A476" s="54" t="s">
        <v>658</v>
      </c>
      <c r="B476" s="56" t="s">
        <v>705</v>
      </c>
      <c r="C476" s="56" t="s">
        <v>606</v>
      </c>
      <c r="D476" s="56" t="s">
        <v>660</v>
      </c>
      <c r="E476" s="56" t="s">
        <v>672</v>
      </c>
      <c r="F476" s="57" t="s">
        <v>154</v>
      </c>
      <c r="G476" s="61"/>
      <c r="H476" s="61"/>
      <c r="I476" s="62" t="s">
        <v>617</v>
      </c>
      <c r="J476" s="53"/>
    </row>
    <row r="477" ht="24.75" hidden="1" customHeight="1">
      <c r="A477" s="54" t="s">
        <v>658</v>
      </c>
      <c r="B477" s="56" t="s">
        <v>705</v>
      </c>
      <c r="C477" s="56" t="s">
        <v>606</v>
      </c>
      <c r="D477" s="56" t="s">
        <v>660</v>
      </c>
      <c r="E477" s="56" t="s">
        <v>673</v>
      </c>
      <c r="F477" s="57" t="s">
        <v>154</v>
      </c>
      <c r="G477" s="61"/>
      <c r="H477" s="79"/>
      <c r="I477" s="62" t="s">
        <v>617</v>
      </c>
      <c r="J477" s="53"/>
    </row>
    <row r="478" ht="24.75" hidden="1" customHeight="1">
      <c r="A478" s="54" t="s">
        <v>658</v>
      </c>
      <c r="B478" s="56" t="s">
        <v>714</v>
      </c>
      <c r="C478" s="56" t="s">
        <v>606</v>
      </c>
      <c r="D478" s="56" t="s">
        <v>675</v>
      </c>
      <c r="E478" s="56" t="s">
        <v>676</v>
      </c>
      <c r="F478" s="57" t="s">
        <v>34</v>
      </c>
      <c r="G478" s="61"/>
      <c r="H478" s="79"/>
      <c r="I478" s="62"/>
      <c r="J478" s="53"/>
    </row>
    <row r="479" ht="24.75" hidden="1" customHeight="1">
      <c r="A479" s="54" t="s">
        <v>658</v>
      </c>
      <c r="B479" s="56" t="s">
        <v>715</v>
      </c>
      <c r="C479" s="56" t="s">
        <v>606</v>
      </c>
      <c r="D479" s="56" t="s">
        <v>716</v>
      </c>
      <c r="E479" s="56" t="s">
        <v>679</v>
      </c>
      <c r="F479" s="57" t="s">
        <v>34</v>
      </c>
      <c r="G479" s="61"/>
      <c r="H479" s="61" t="s">
        <v>197</v>
      </c>
      <c r="I479" s="62"/>
      <c r="J479" s="53"/>
    </row>
    <row r="480" ht="24.75" hidden="1" customHeight="1">
      <c r="A480" s="54" t="s">
        <v>658</v>
      </c>
      <c r="B480" s="56" t="s">
        <v>715</v>
      </c>
      <c r="C480" s="56" t="s">
        <v>606</v>
      </c>
      <c r="D480" s="56" t="s">
        <v>678</v>
      </c>
      <c r="E480" s="56" t="s">
        <v>680</v>
      </c>
      <c r="F480" s="57" t="s">
        <v>34</v>
      </c>
      <c r="G480" s="61"/>
      <c r="H480" s="79"/>
      <c r="I480" s="62"/>
      <c r="J480" s="53"/>
    </row>
    <row r="481" ht="24.75" hidden="1" customHeight="1">
      <c r="A481" s="54" t="s">
        <v>658</v>
      </c>
      <c r="B481" s="56" t="s">
        <v>715</v>
      </c>
      <c r="C481" s="56" t="s">
        <v>606</v>
      </c>
      <c r="D481" s="56" t="s">
        <v>716</v>
      </c>
      <c r="E481" s="56" t="s">
        <v>682</v>
      </c>
      <c r="F481" s="57" t="s">
        <v>34</v>
      </c>
      <c r="G481" s="61"/>
      <c r="H481" s="79"/>
      <c r="I481" s="62"/>
      <c r="J481" s="53"/>
    </row>
    <row r="482" ht="24.75" hidden="1" customHeight="1">
      <c r="A482" s="54" t="s">
        <v>658</v>
      </c>
      <c r="B482" s="56" t="s">
        <v>715</v>
      </c>
      <c r="C482" s="56" t="s">
        <v>606</v>
      </c>
      <c r="D482" s="56" t="s">
        <v>716</v>
      </c>
      <c r="E482" s="56" t="s">
        <v>683</v>
      </c>
      <c r="F482" s="57" t="s">
        <v>34</v>
      </c>
      <c r="G482" s="61"/>
      <c r="H482" s="79"/>
      <c r="I482" s="62"/>
      <c r="J482" s="53"/>
    </row>
    <row r="483" ht="24.75" customHeight="1">
      <c r="A483" s="54" t="s">
        <v>658</v>
      </c>
      <c r="B483" s="56" t="s">
        <v>715</v>
      </c>
      <c r="C483" s="56" t="s">
        <v>606</v>
      </c>
      <c r="D483" s="56" t="s">
        <v>716</v>
      </c>
      <c r="E483" s="56" t="s">
        <v>684</v>
      </c>
      <c r="F483" s="57" t="s">
        <v>250</v>
      </c>
      <c r="G483" s="61"/>
      <c r="H483" s="61" t="s">
        <v>686</v>
      </c>
      <c r="I483" s="62" t="s">
        <v>687</v>
      </c>
      <c r="J483" s="53"/>
    </row>
    <row r="484" ht="24.75" customHeight="1">
      <c r="A484" s="54" t="s">
        <v>658</v>
      </c>
      <c r="B484" s="56" t="s">
        <v>715</v>
      </c>
      <c r="C484" s="56" t="s">
        <v>606</v>
      </c>
      <c r="D484" s="56" t="s">
        <v>716</v>
      </c>
      <c r="E484" s="56" t="s">
        <v>695</v>
      </c>
      <c r="F484" s="57" t="s">
        <v>250</v>
      </c>
      <c r="G484" s="61"/>
      <c r="H484" s="61" t="s">
        <v>346</v>
      </c>
      <c r="I484" s="62" t="s">
        <v>696</v>
      </c>
      <c r="J484" s="53"/>
    </row>
    <row r="485" ht="24.75" customHeight="1">
      <c r="A485" s="54" t="s">
        <v>658</v>
      </c>
      <c r="B485" s="56" t="s">
        <v>715</v>
      </c>
      <c r="C485" s="56" t="s">
        <v>606</v>
      </c>
      <c r="D485" s="56" t="s">
        <v>716</v>
      </c>
      <c r="E485" s="56" t="s">
        <v>685</v>
      </c>
      <c r="F485" s="57" t="s">
        <v>250</v>
      </c>
      <c r="G485" s="61"/>
      <c r="H485" s="61" t="s">
        <v>200</v>
      </c>
      <c r="I485" s="62" t="s">
        <v>689</v>
      </c>
      <c r="J485" s="53"/>
    </row>
    <row r="486" ht="24.75" hidden="1" customHeight="1">
      <c r="A486" s="54" t="s">
        <v>658</v>
      </c>
      <c r="B486" s="56" t="s">
        <v>717</v>
      </c>
      <c r="C486" s="56" t="s">
        <v>718</v>
      </c>
      <c r="D486" s="56" t="s">
        <v>719</v>
      </c>
      <c r="E486" s="56" t="s">
        <v>239</v>
      </c>
      <c r="F486" s="57" t="s">
        <v>154</v>
      </c>
      <c r="G486" s="61"/>
      <c r="H486" s="79"/>
      <c r="I486" s="62" t="s">
        <v>207</v>
      </c>
      <c r="J486" s="53"/>
    </row>
    <row r="487" ht="24.75" hidden="1" customHeight="1">
      <c r="A487" s="54" t="s">
        <v>658</v>
      </c>
      <c r="B487" s="56" t="s">
        <v>720</v>
      </c>
      <c r="C487" s="56" t="s">
        <v>718</v>
      </c>
      <c r="D487" s="56" t="s">
        <v>721</v>
      </c>
      <c r="E487" s="56" t="s">
        <v>722</v>
      </c>
      <c r="F487" s="57" t="s">
        <v>154</v>
      </c>
      <c r="G487" s="61"/>
      <c r="H487" s="79"/>
      <c r="I487" s="62"/>
      <c r="J487" s="53"/>
    </row>
    <row r="488" ht="24.75" hidden="1" customHeight="1">
      <c r="A488" s="54" t="s">
        <v>658</v>
      </c>
      <c r="B488" s="56" t="s">
        <v>720</v>
      </c>
      <c r="C488" s="56" t="s">
        <v>718</v>
      </c>
      <c r="D488" s="56" t="s">
        <v>721</v>
      </c>
      <c r="E488" s="56" t="s">
        <v>723</v>
      </c>
      <c r="F488" s="57" t="s">
        <v>154</v>
      </c>
      <c r="G488" s="61"/>
      <c r="H488" s="79"/>
      <c r="I488" s="62"/>
      <c r="J488" s="53"/>
    </row>
    <row r="489" ht="24.75" hidden="1" customHeight="1">
      <c r="A489" s="54" t="s">
        <v>658</v>
      </c>
      <c r="B489" s="56" t="s">
        <v>724</v>
      </c>
      <c r="C489" s="56" t="s">
        <v>718</v>
      </c>
      <c r="D489" s="56" t="s">
        <v>725</v>
      </c>
      <c r="E489" s="56" t="s">
        <v>239</v>
      </c>
      <c r="F489" s="57" t="s">
        <v>154</v>
      </c>
      <c r="G489" s="61"/>
      <c r="H489" s="79"/>
      <c r="I489" s="62" t="s">
        <v>207</v>
      </c>
      <c r="J489" s="53"/>
    </row>
    <row r="490" ht="24.75" hidden="1" customHeight="1">
      <c r="A490" s="54" t="s">
        <v>658</v>
      </c>
      <c r="B490" s="56" t="s">
        <v>720</v>
      </c>
      <c r="C490" s="56" t="s">
        <v>718</v>
      </c>
      <c r="D490" s="56" t="s">
        <v>728</v>
      </c>
      <c r="E490" s="56" t="s">
        <v>722</v>
      </c>
      <c r="F490" s="57" t="s">
        <v>154</v>
      </c>
      <c r="G490" s="61"/>
      <c r="H490" s="79"/>
      <c r="I490" s="62"/>
      <c r="J490" s="53"/>
    </row>
    <row r="491" ht="24.75" hidden="1" customHeight="1">
      <c r="A491" s="54" t="s">
        <v>658</v>
      </c>
      <c r="B491" s="56" t="s">
        <v>720</v>
      </c>
      <c r="C491" s="56" t="s">
        <v>718</v>
      </c>
      <c r="D491" s="56" t="s">
        <v>728</v>
      </c>
      <c r="E491" s="56" t="s">
        <v>723</v>
      </c>
      <c r="F491" s="57" t="s">
        <v>154</v>
      </c>
      <c r="G491" s="61"/>
      <c r="H491" s="79"/>
      <c r="I491" s="62"/>
      <c r="J491" s="53"/>
    </row>
    <row r="492" ht="24.75" hidden="1" customHeight="1">
      <c r="A492" s="54" t="s">
        <v>729</v>
      </c>
      <c r="B492" s="56" t="s">
        <v>730</v>
      </c>
      <c r="C492" s="56" t="s">
        <v>731</v>
      </c>
      <c r="D492" s="56" t="s">
        <v>732</v>
      </c>
      <c r="E492" s="56" t="s">
        <v>167</v>
      </c>
      <c r="F492" s="57" t="s">
        <v>154</v>
      </c>
      <c r="G492" s="61"/>
      <c r="H492" s="61"/>
      <c r="I492" s="62"/>
      <c r="J492" s="53"/>
    </row>
    <row r="493" ht="24.75" hidden="1" customHeight="1">
      <c r="A493" s="54" t="s">
        <v>729</v>
      </c>
      <c r="B493" s="56" t="s">
        <v>730</v>
      </c>
      <c r="C493" s="56" t="s">
        <v>731</v>
      </c>
      <c r="D493" s="56" t="s">
        <v>732</v>
      </c>
      <c r="E493" s="56" t="s">
        <v>733</v>
      </c>
      <c r="F493" s="57" t="s">
        <v>154</v>
      </c>
      <c r="G493" s="61"/>
      <c r="H493" s="61"/>
      <c r="I493" s="62"/>
      <c r="J493" s="53"/>
    </row>
    <row r="494" ht="24.75" hidden="1" customHeight="1">
      <c r="A494" s="54" t="s">
        <v>729</v>
      </c>
      <c r="B494" s="56" t="s">
        <v>730</v>
      </c>
      <c r="C494" s="56" t="s">
        <v>731</v>
      </c>
      <c r="D494" s="56" t="s">
        <v>732</v>
      </c>
      <c r="E494" s="56" t="s">
        <v>176</v>
      </c>
      <c r="F494" s="57" t="s">
        <v>154</v>
      </c>
      <c r="G494" s="61"/>
      <c r="H494" s="61"/>
      <c r="I494" s="62"/>
      <c r="J494" s="53"/>
    </row>
    <row r="495" ht="24.75" hidden="1" customHeight="1">
      <c r="A495" s="54" t="s">
        <v>729</v>
      </c>
      <c r="B495" s="56" t="s">
        <v>734</v>
      </c>
      <c r="C495" s="56" t="s">
        <v>731</v>
      </c>
      <c r="D495" s="56" t="s">
        <v>735</v>
      </c>
      <c r="E495" s="56" t="s">
        <v>167</v>
      </c>
      <c r="F495" s="57" t="s">
        <v>154</v>
      </c>
      <c r="G495" s="61"/>
      <c r="H495" s="61"/>
      <c r="I495" s="62"/>
      <c r="J495" s="53"/>
    </row>
    <row r="496" ht="24.75" hidden="1" customHeight="1">
      <c r="A496" s="54" t="s">
        <v>729</v>
      </c>
      <c r="B496" s="56" t="s">
        <v>734</v>
      </c>
      <c r="C496" s="56" t="s">
        <v>731</v>
      </c>
      <c r="D496" s="56" t="s">
        <v>735</v>
      </c>
      <c r="E496" s="56" t="s">
        <v>733</v>
      </c>
      <c r="F496" s="57" t="s">
        <v>154</v>
      </c>
      <c r="G496" s="61"/>
      <c r="H496" s="61"/>
      <c r="I496" s="62"/>
      <c r="J496" s="53"/>
    </row>
    <row r="497" ht="24.75" hidden="1" customHeight="1">
      <c r="A497" s="54" t="s">
        <v>729</v>
      </c>
      <c r="B497" s="56" t="s">
        <v>734</v>
      </c>
      <c r="C497" s="56" t="s">
        <v>731</v>
      </c>
      <c r="D497" s="56" t="s">
        <v>735</v>
      </c>
      <c r="E497" s="56" t="s">
        <v>176</v>
      </c>
      <c r="F497" s="57" t="s">
        <v>154</v>
      </c>
      <c r="G497" s="61"/>
      <c r="H497" s="61"/>
      <c r="I497" s="62"/>
      <c r="J497" s="53"/>
    </row>
    <row r="498" ht="24.75" hidden="1" customHeight="1">
      <c r="A498" s="54" t="s">
        <v>729</v>
      </c>
      <c r="B498" s="56" t="s">
        <v>736</v>
      </c>
      <c r="C498" s="56" t="s">
        <v>731</v>
      </c>
      <c r="D498" s="56" t="s">
        <v>737</v>
      </c>
      <c r="E498" s="56" t="s">
        <v>167</v>
      </c>
      <c r="F498" s="57" t="s">
        <v>154</v>
      </c>
      <c r="G498" s="61"/>
      <c r="H498" s="61"/>
      <c r="I498" s="62"/>
      <c r="J498" s="53"/>
    </row>
    <row r="499" ht="24.75" hidden="1" customHeight="1">
      <c r="A499" s="54" t="s">
        <v>729</v>
      </c>
      <c r="B499" s="56" t="s">
        <v>736</v>
      </c>
      <c r="C499" s="56" t="s">
        <v>731</v>
      </c>
      <c r="D499" s="56" t="s">
        <v>737</v>
      </c>
      <c r="E499" s="56" t="s">
        <v>733</v>
      </c>
      <c r="F499" s="57" t="s">
        <v>154</v>
      </c>
      <c r="G499" s="61"/>
      <c r="H499" s="61"/>
      <c r="I499" s="62"/>
      <c r="J499" s="53"/>
    </row>
    <row r="500" ht="24.75" hidden="1" customHeight="1">
      <c r="A500" s="54" t="s">
        <v>729</v>
      </c>
      <c r="B500" s="56" t="s">
        <v>736</v>
      </c>
      <c r="C500" s="56" t="s">
        <v>731</v>
      </c>
      <c r="D500" s="56" t="s">
        <v>737</v>
      </c>
      <c r="E500" s="56" t="s">
        <v>176</v>
      </c>
      <c r="F500" s="57" t="s">
        <v>154</v>
      </c>
      <c r="G500" s="61"/>
      <c r="H500" s="61"/>
      <c r="I500" s="62"/>
      <c r="J500" s="53"/>
    </row>
    <row r="501" ht="24.75" hidden="1" customHeight="1">
      <c r="A501" s="54" t="s">
        <v>729</v>
      </c>
      <c r="B501" s="56" t="s">
        <v>738</v>
      </c>
      <c r="C501" s="56" t="s">
        <v>731</v>
      </c>
      <c r="D501" s="56" t="s">
        <v>175</v>
      </c>
      <c r="E501" s="56" t="s">
        <v>163</v>
      </c>
      <c r="F501" s="57" t="s">
        <v>154</v>
      </c>
      <c r="G501" s="61"/>
      <c r="H501" s="61"/>
      <c r="I501" s="62"/>
      <c r="J501" s="53"/>
    </row>
    <row r="502" ht="24.75" hidden="1" customHeight="1">
      <c r="A502" s="54" t="s">
        <v>729</v>
      </c>
      <c r="B502" s="56" t="s">
        <v>738</v>
      </c>
      <c r="C502" s="56" t="s">
        <v>731</v>
      </c>
      <c r="D502" s="56" t="s">
        <v>175</v>
      </c>
      <c r="E502" s="56" t="s">
        <v>176</v>
      </c>
      <c r="F502" s="57" t="s">
        <v>154</v>
      </c>
      <c r="G502" s="61"/>
      <c r="H502" s="61"/>
      <c r="I502" s="62"/>
      <c r="J502" s="53"/>
    </row>
    <row r="503" ht="24.75" hidden="1" customHeight="1">
      <c r="A503" s="54" t="s">
        <v>729</v>
      </c>
      <c r="B503" s="56" t="s">
        <v>739</v>
      </c>
      <c r="C503" s="56" t="s">
        <v>731</v>
      </c>
      <c r="D503" s="56" t="s">
        <v>186</v>
      </c>
      <c r="E503" s="56" t="s">
        <v>163</v>
      </c>
      <c r="F503" s="57" t="s">
        <v>154</v>
      </c>
      <c r="G503" s="61"/>
      <c r="H503" s="61"/>
      <c r="I503" s="62"/>
      <c r="J503" s="53"/>
    </row>
    <row r="504" ht="24.75" hidden="1" customHeight="1">
      <c r="A504" s="54" t="s">
        <v>729</v>
      </c>
      <c r="B504" s="56" t="s">
        <v>739</v>
      </c>
      <c r="C504" s="56" t="s">
        <v>731</v>
      </c>
      <c r="D504" s="56" t="s">
        <v>186</v>
      </c>
      <c r="E504" s="56" t="s">
        <v>176</v>
      </c>
      <c r="F504" s="57" t="s">
        <v>154</v>
      </c>
      <c r="G504" s="61"/>
      <c r="H504" s="61"/>
      <c r="I504" s="62"/>
      <c r="J504" s="53"/>
    </row>
    <row r="505" ht="24.75" hidden="1" customHeight="1">
      <c r="A505" s="54" t="s">
        <v>729</v>
      </c>
      <c r="B505" s="56" t="s">
        <v>740</v>
      </c>
      <c r="C505" s="56" t="s">
        <v>731</v>
      </c>
      <c r="D505" s="56" t="s">
        <v>183</v>
      </c>
      <c r="E505" s="56" t="s">
        <v>163</v>
      </c>
      <c r="F505" s="57" t="s">
        <v>154</v>
      </c>
      <c r="G505" s="61"/>
      <c r="H505" s="61"/>
      <c r="I505" s="62"/>
      <c r="J505" s="53"/>
    </row>
    <row r="506" ht="24.75" hidden="1" customHeight="1">
      <c r="A506" s="54" t="s">
        <v>729</v>
      </c>
      <c r="B506" s="56" t="s">
        <v>740</v>
      </c>
      <c r="C506" s="56" t="s">
        <v>731</v>
      </c>
      <c r="D506" s="56" t="s">
        <v>183</v>
      </c>
      <c r="E506" s="56" t="s">
        <v>176</v>
      </c>
      <c r="F506" s="57" t="s">
        <v>154</v>
      </c>
      <c r="G506" s="61"/>
      <c r="H506" s="61"/>
      <c r="I506" s="62"/>
      <c r="J506" s="53"/>
    </row>
    <row r="507" ht="24.75" hidden="1" customHeight="1">
      <c r="A507" s="54" t="s">
        <v>741</v>
      </c>
      <c r="B507" s="56" t="s">
        <v>742</v>
      </c>
      <c r="C507" s="56" t="s">
        <v>405</v>
      </c>
      <c r="D507" s="56" t="s">
        <v>743</v>
      </c>
      <c r="E507" s="56" t="s">
        <v>409</v>
      </c>
      <c r="F507" s="57" t="s">
        <v>154</v>
      </c>
      <c r="G507" s="61"/>
      <c r="H507" s="61"/>
      <c r="I507" s="62"/>
      <c r="J507" s="53"/>
    </row>
    <row r="508" ht="24.75" hidden="1" customHeight="1">
      <c r="A508" s="54" t="s">
        <v>741</v>
      </c>
      <c r="B508" s="56" t="s">
        <v>744</v>
      </c>
      <c r="C508" s="56" t="s">
        <v>745</v>
      </c>
      <c r="D508" s="56" t="s">
        <v>746</v>
      </c>
      <c r="E508" s="56" t="s">
        <v>747</v>
      </c>
      <c r="F508" s="57" t="s">
        <v>34</v>
      </c>
      <c r="G508" s="61"/>
      <c r="H508" s="61"/>
      <c r="I508" s="62"/>
      <c r="J508" s="53"/>
    </row>
    <row r="509" ht="24.75" hidden="1" customHeight="1">
      <c r="A509" s="54" t="s">
        <v>741</v>
      </c>
      <c r="B509" s="56" t="s">
        <v>744</v>
      </c>
      <c r="C509" s="56" t="s">
        <v>745</v>
      </c>
      <c r="D509" s="56" t="s">
        <v>746</v>
      </c>
      <c r="E509" s="56" t="s">
        <v>748</v>
      </c>
      <c r="F509" s="57" t="s">
        <v>154</v>
      </c>
      <c r="G509" s="61"/>
      <c r="H509" s="61"/>
      <c r="I509" s="62"/>
      <c r="J509" s="53"/>
    </row>
    <row r="510" ht="24.75" hidden="1" customHeight="1">
      <c r="A510" s="54" t="s">
        <v>741</v>
      </c>
      <c r="B510" s="56" t="s">
        <v>749</v>
      </c>
      <c r="C510" s="56" t="s">
        <v>745</v>
      </c>
      <c r="D510" s="56" t="s">
        <v>750</v>
      </c>
      <c r="E510" s="56" t="s">
        <v>747</v>
      </c>
      <c r="F510" s="57" t="s">
        <v>34</v>
      </c>
      <c r="G510" s="61"/>
      <c r="H510" s="61"/>
      <c r="I510" s="62" t="s">
        <v>617</v>
      </c>
      <c r="J510" s="53"/>
    </row>
    <row r="511" ht="24.75" hidden="1" customHeight="1">
      <c r="A511" s="54" t="s">
        <v>741</v>
      </c>
      <c r="B511" s="56" t="s">
        <v>749</v>
      </c>
      <c r="C511" s="56" t="s">
        <v>745</v>
      </c>
      <c r="D511" s="56" t="s">
        <v>750</v>
      </c>
      <c r="E511" s="56" t="s">
        <v>748</v>
      </c>
      <c r="F511" s="57" t="s">
        <v>154</v>
      </c>
      <c r="G511" s="61"/>
      <c r="H511" s="61"/>
      <c r="I511" s="62" t="s">
        <v>617</v>
      </c>
      <c r="J511" s="53"/>
    </row>
    <row r="512" ht="24.75" hidden="1" customHeight="1">
      <c r="A512" s="54" t="s">
        <v>741</v>
      </c>
      <c r="B512" s="56" t="s">
        <v>751</v>
      </c>
      <c r="C512" s="56" t="s">
        <v>610</v>
      </c>
      <c r="D512" s="56" t="s">
        <v>752</v>
      </c>
      <c r="E512" s="56" t="s">
        <v>753</v>
      </c>
      <c r="F512" s="57" t="s">
        <v>154</v>
      </c>
      <c r="G512" s="61"/>
      <c r="H512" s="61"/>
      <c r="I512" s="62" t="s">
        <v>617</v>
      </c>
      <c r="J512" s="53"/>
    </row>
    <row r="513" ht="24.75" hidden="1" customHeight="1">
      <c r="A513" s="54" t="s">
        <v>741</v>
      </c>
      <c r="B513" s="56" t="s">
        <v>751</v>
      </c>
      <c r="C513" s="56" t="s">
        <v>610</v>
      </c>
      <c r="D513" s="56" t="s">
        <v>752</v>
      </c>
      <c r="E513" s="56" t="s">
        <v>754</v>
      </c>
      <c r="F513" s="57" t="s">
        <v>154</v>
      </c>
      <c r="G513" s="61"/>
      <c r="H513" s="61"/>
      <c r="I513" s="62" t="s">
        <v>617</v>
      </c>
      <c r="J513" s="53"/>
    </row>
    <row r="514" ht="24.75" hidden="1" customHeight="1">
      <c r="A514" s="54" t="s">
        <v>741</v>
      </c>
      <c r="B514" s="56" t="s">
        <v>751</v>
      </c>
      <c r="C514" s="56" t="s">
        <v>610</v>
      </c>
      <c r="D514" s="56" t="s">
        <v>752</v>
      </c>
      <c r="E514" s="56" t="s">
        <v>755</v>
      </c>
      <c r="F514" s="57" t="s">
        <v>154</v>
      </c>
      <c r="G514" s="61"/>
      <c r="H514" s="61"/>
      <c r="I514" s="62" t="s">
        <v>617</v>
      </c>
      <c r="J514" s="53"/>
    </row>
    <row r="515" ht="24.75" hidden="1" customHeight="1">
      <c r="A515" s="54" t="s">
        <v>741</v>
      </c>
      <c r="B515" s="56" t="s">
        <v>756</v>
      </c>
      <c r="C515" s="56" t="s">
        <v>624</v>
      </c>
      <c r="D515" s="56" t="s">
        <v>752</v>
      </c>
      <c r="E515" s="56" t="s">
        <v>753</v>
      </c>
      <c r="F515" s="57" t="s">
        <v>154</v>
      </c>
      <c r="G515" s="61"/>
      <c r="H515" s="61"/>
      <c r="I515" s="62" t="s">
        <v>617</v>
      </c>
      <c r="J515" s="53"/>
    </row>
    <row r="516" ht="24.75" hidden="1" customHeight="1">
      <c r="A516" s="54" t="s">
        <v>741</v>
      </c>
      <c r="B516" s="56" t="s">
        <v>756</v>
      </c>
      <c r="C516" s="56" t="s">
        <v>624</v>
      </c>
      <c r="D516" s="56" t="s">
        <v>752</v>
      </c>
      <c r="E516" s="56" t="s">
        <v>754</v>
      </c>
      <c r="F516" s="57" t="s">
        <v>154</v>
      </c>
      <c r="G516" s="61"/>
      <c r="H516" s="61"/>
      <c r="I516" s="62" t="s">
        <v>617</v>
      </c>
      <c r="J516" s="53"/>
    </row>
    <row r="517" ht="24.75" hidden="1" customHeight="1">
      <c r="A517" s="54" t="s">
        <v>741</v>
      </c>
      <c r="B517" s="56" t="s">
        <v>756</v>
      </c>
      <c r="C517" s="56" t="s">
        <v>624</v>
      </c>
      <c r="D517" s="56" t="s">
        <v>752</v>
      </c>
      <c r="E517" s="56" t="s">
        <v>755</v>
      </c>
      <c r="F517" s="57" t="s">
        <v>154</v>
      </c>
      <c r="G517" s="61"/>
      <c r="H517" s="61"/>
      <c r="I517" s="62" t="s">
        <v>617</v>
      </c>
      <c r="J517" s="53"/>
    </row>
    <row r="518" ht="24.75" customHeight="1">
      <c r="A518" s="54" t="s">
        <v>741</v>
      </c>
      <c r="B518" s="56" t="s">
        <v>757</v>
      </c>
      <c r="C518" s="56" t="s">
        <v>627</v>
      </c>
      <c r="D518" s="56" t="s">
        <v>752</v>
      </c>
      <c r="E518" s="56" t="s">
        <v>753</v>
      </c>
      <c r="F518" s="57" t="s">
        <v>250</v>
      </c>
      <c r="G518" s="61"/>
      <c r="H518" s="61"/>
      <c r="I518" s="60" t="s">
        <v>88</v>
      </c>
      <c r="J518" s="53"/>
    </row>
    <row r="519" ht="24.75" customHeight="1">
      <c r="A519" s="54" t="s">
        <v>741</v>
      </c>
      <c r="B519" s="56" t="s">
        <v>757</v>
      </c>
      <c r="C519" s="56" t="s">
        <v>627</v>
      </c>
      <c r="D519" s="56" t="s">
        <v>752</v>
      </c>
      <c r="E519" s="56" t="s">
        <v>754</v>
      </c>
      <c r="F519" s="57" t="s">
        <v>250</v>
      </c>
      <c r="G519" s="61"/>
      <c r="H519" s="61"/>
      <c r="I519" s="60" t="s">
        <v>88</v>
      </c>
      <c r="J519" s="53"/>
    </row>
    <row r="520" ht="24.75" customHeight="1">
      <c r="A520" s="54" t="s">
        <v>741</v>
      </c>
      <c r="B520" s="56" t="s">
        <v>757</v>
      </c>
      <c r="C520" s="56" t="s">
        <v>627</v>
      </c>
      <c r="D520" s="56" t="s">
        <v>752</v>
      </c>
      <c r="E520" s="56" t="s">
        <v>755</v>
      </c>
      <c r="F520" s="57" t="s">
        <v>250</v>
      </c>
      <c r="G520" s="61"/>
      <c r="H520" s="61"/>
      <c r="I520" s="60" t="s">
        <v>88</v>
      </c>
      <c r="J520" s="53"/>
    </row>
    <row r="521" ht="24.75" customHeight="1">
      <c r="A521" s="54" t="s">
        <v>741</v>
      </c>
      <c r="B521" s="56" t="s">
        <v>758</v>
      </c>
      <c r="C521" s="56" t="s">
        <v>640</v>
      </c>
      <c r="D521" s="56" t="s">
        <v>752</v>
      </c>
      <c r="E521" s="56" t="s">
        <v>753</v>
      </c>
      <c r="F521" s="57" t="s">
        <v>250</v>
      </c>
      <c r="G521" s="61"/>
      <c r="H521" s="61"/>
      <c r="I521" s="60" t="s">
        <v>88</v>
      </c>
      <c r="J521" s="53"/>
    </row>
    <row r="522" ht="24.75" customHeight="1">
      <c r="A522" s="54" t="s">
        <v>741</v>
      </c>
      <c r="B522" s="56" t="s">
        <v>758</v>
      </c>
      <c r="C522" s="56" t="s">
        <v>640</v>
      </c>
      <c r="D522" s="56" t="s">
        <v>752</v>
      </c>
      <c r="E522" s="56" t="s">
        <v>754</v>
      </c>
      <c r="F522" s="57" t="s">
        <v>250</v>
      </c>
      <c r="G522" s="61"/>
      <c r="H522" s="61"/>
      <c r="I522" s="60" t="s">
        <v>88</v>
      </c>
      <c r="J522" s="53"/>
    </row>
    <row r="523" ht="24.75" customHeight="1">
      <c r="A523" s="54" t="s">
        <v>741</v>
      </c>
      <c r="B523" s="56" t="s">
        <v>758</v>
      </c>
      <c r="C523" s="56" t="s">
        <v>640</v>
      </c>
      <c r="D523" s="56" t="s">
        <v>752</v>
      </c>
      <c r="E523" s="56" t="s">
        <v>755</v>
      </c>
      <c r="F523" s="57" t="s">
        <v>250</v>
      </c>
      <c r="G523" s="61"/>
      <c r="H523" s="61"/>
      <c r="I523" s="60" t="s">
        <v>88</v>
      </c>
      <c r="J523" s="53"/>
    </row>
    <row r="524" ht="24.75" customHeight="1">
      <c r="A524" s="54" t="s">
        <v>741</v>
      </c>
      <c r="B524" s="56" t="s">
        <v>759</v>
      </c>
      <c r="C524" s="56" t="s">
        <v>645</v>
      </c>
      <c r="D524" s="56" t="s">
        <v>752</v>
      </c>
      <c r="E524" s="56" t="s">
        <v>753</v>
      </c>
      <c r="F524" s="57" t="s">
        <v>250</v>
      </c>
      <c r="G524" s="61"/>
      <c r="H524" s="61"/>
      <c r="I524" s="60" t="s">
        <v>88</v>
      </c>
      <c r="J524" s="53"/>
    </row>
    <row r="525" ht="24.75" customHeight="1">
      <c r="A525" s="54" t="s">
        <v>741</v>
      </c>
      <c r="B525" s="56" t="s">
        <v>759</v>
      </c>
      <c r="C525" s="56" t="s">
        <v>645</v>
      </c>
      <c r="D525" s="56" t="s">
        <v>752</v>
      </c>
      <c r="E525" s="56" t="s">
        <v>754</v>
      </c>
      <c r="F525" s="57" t="s">
        <v>250</v>
      </c>
      <c r="G525" s="61"/>
      <c r="H525" s="61"/>
      <c r="I525" s="60" t="s">
        <v>88</v>
      </c>
      <c r="J525" s="53"/>
    </row>
    <row r="526" ht="24.75" customHeight="1">
      <c r="A526" s="54" t="s">
        <v>741</v>
      </c>
      <c r="B526" s="56" t="s">
        <v>759</v>
      </c>
      <c r="C526" s="56" t="s">
        <v>645</v>
      </c>
      <c r="D526" s="56" t="s">
        <v>752</v>
      </c>
      <c r="E526" s="56" t="s">
        <v>755</v>
      </c>
      <c r="F526" s="57" t="s">
        <v>250</v>
      </c>
      <c r="G526" s="61"/>
      <c r="H526" s="61"/>
      <c r="I526" s="60" t="s">
        <v>88</v>
      </c>
      <c r="J526" s="53"/>
    </row>
    <row r="527" ht="24.75" customHeight="1">
      <c r="A527" s="54" t="s">
        <v>741</v>
      </c>
      <c r="B527" s="56" t="s">
        <v>760</v>
      </c>
      <c r="C527" s="56" t="s">
        <v>606</v>
      </c>
      <c r="D527" s="56" t="s">
        <v>752</v>
      </c>
      <c r="E527" s="56" t="s">
        <v>753</v>
      </c>
      <c r="F527" s="57" t="s">
        <v>250</v>
      </c>
      <c r="G527" s="61"/>
      <c r="H527" s="61"/>
      <c r="I527" s="60" t="s">
        <v>88</v>
      </c>
      <c r="J527" s="53"/>
    </row>
    <row r="528" ht="24.75" customHeight="1">
      <c r="A528" s="54" t="s">
        <v>741</v>
      </c>
      <c r="B528" s="56" t="s">
        <v>760</v>
      </c>
      <c r="C528" s="56" t="s">
        <v>606</v>
      </c>
      <c r="D528" s="56" t="s">
        <v>752</v>
      </c>
      <c r="E528" s="56" t="s">
        <v>754</v>
      </c>
      <c r="F528" s="57" t="s">
        <v>250</v>
      </c>
      <c r="G528" s="61"/>
      <c r="H528" s="61"/>
      <c r="I528" s="60" t="s">
        <v>88</v>
      </c>
      <c r="J528" s="53"/>
    </row>
    <row r="529" ht="24.75" customHeight="1">
      <c r="A529" s="54" t="s">
        <v>741</v>
      </c>
      <c r="B529" s="56" t="s">
        <v>760</v>
      </c>
      <c r="C529" s="56" t="s">
        <v>606</v>
      </c>
      <c r="D529" s="56" t="s">
        <v>752</v>
      </c>
      <c r="E529" s="56" t="s">
        <v>755</v>
      </c>
      <c r="F529" s="57" t="s">
        <v>250</v>
      </c>
      <c r="G529" s="61"/>
      <c r="H529" s="61"/>
      <c r="I529" s="60" t="s">
        <v>88</v>
      </c>
      <c r="J529" s="53"/>
    </row>
    <row r="530" ht="24.75" hidden="1" customHeight="1">
      <c r="A530" s="54" t="s">
        <v>761</v>
      </c>
      <c r="B530" s="56" t="s">
        <v>762</v>
      </c>
      <c r="C530" s="56" t="s">
        <v>763</v>
      </c>
      <c r="D530" s="56" t="s">
        <v>764</v>
      </c>
      <c r="E530" s="56" t="s">
        <v>195</v>
      </c>
      <c r="F530" s="57" t="s">
        <v>34</v>
      </c>
      <c r="G530" s="61"/>
      <c r="H530" s="61" t="s">
        <v>197</v>
      </c>
      <c r="I530" s="62"/>
      <c r="J530" s="53"/>
    </row>
    <row r="531" ht="24.75" customHeight="1">
      <c r="A531" s="54" t="s">
        <v>761</v>
      </c>
      <c r="B531" s="56" t="s">
        <v>762</v>
      </c>
      <c r="C531" s="56" t="s">
        <v>763</v>
      </c>
      <c r="D531" s="56" t="s">
        <v>764</v>
      </c>
      <c r="E531" s="56" t="s">
        <v>196</v>
      </c>
      <c r="F531" s="57" t="s">
        <v>250</v>
      </c>
      <c r="G531" s="61"/>
      <c r="H531" s="61" t="s">
        <v>200</v>
      </c>
      <c r="I531" s="62" t="s">
        <v>201</v>
      </c>
      <c r="J531" s="53"/>
    </row>
    <row r="532" ht="24.75" hidden="1" customHeight="1">
      <c r="A532" s="54" t="s">
        <v>761</v>
      </c>
      <c r="B532" s="56" t="s">
        <v>762</v>
      </c>
      <c r="C532" s="56" t="s">
        <v>763</v>
      </c>
      <c r="D532" s="56" t="s">
        <v>764</v>
      </c>
      <c r="E532" s="56" t="s">
        <v>191</v>
      </c>
      <c r="F532" s="57" t="s">
        <v>192</v>
      </c>
      <c r="G532" s="61"/>
      <c r="H532" s="61"/>
      <c r="I532" s="62"/>
      <c r="J532" s="53"/>
    </row>
    <row r="533" ht="24.75" hidden="1" customHeight="1">
      <c r="A533" s="54" t="s">
        <v>761</v>
      </c>
      <c r="B533" s="56" t="s">
        <v>762</v>
      </c>
      <c r="C533" s="56" t="s">
        <v>763</v>
      </c>
      <c r="D533" s="56" t="s">
        <v>764</v>
      </c>
      <c r="E533" s="56" t="s">
        <v>194</v>
      </c>
      <c r="F533" s="57" t="s">
        <v>192</v>
      </c>
      <c r="G533" s="61"/>
      <c r="H533" s="61"/>
      <c r="I533" s="62"/>
      <c r="J533" s="53"/>
    </row>
    <row r="534" ht="24.75" customHeight="1">
      <c r="A534" s="54" t="s">
        <v>761</v>
      </c>
      <c r="B534" s="56" t="s">
        <v>765</v>
      </c>
      <c r="C534" s="56" t="s">
        <v>766</v>
      </c>
      <c r="D534" s="56" t="s">
        <v>767</v>
      </c>
      <c r="E534" s="56" t="s">
        <v>768</v>
      </c>
      <c r="F534" s="57" t="s">
        <v>250</v>
      </c>
      <c r="G534" s="61"/>
      <c r="H534" s="61" t="s">
        <v>769</v>
      </c>
      <c r="I534" s="62" t="s">
        <v>770</v>
      </c>
      <c r="J534" s="53"/>
    </row>
    <row r="535" ht="24.75" customHeight="1">
      <c r="A535" s="54" t="s">
        <v>761</v>
      </c>
      <c r="B535" s="56" t="s">
        <v>765</v>
      </c>
      <c r="C535" s="56" t="s">
        <v>766</v>
      </c>
      <c r="D535" s="56" t="s">
        <v>767</v>
      </c>
      <c r="E535" s="56" t="s">
        <v>771</v>
      </c>
      <c r="F535" s="57" t="s">
        <v>250</v>
      </c>
      <c r="G535" s="61"/>
      <c r="H535" s="61" t="s">
        <v>769</v>
      </c>
      <c r="I535" s="62" t="s">
        <v>772</v>
      </c>
      <c r="J535" s="53"/>
    </row>
    <row r="536" ht="24.75" hidden="1" customHeight="1">
      <c r="A536" s="54" t="s">
        <v>761</v>
      </c>
      <c r="B536" s="56" t="s">
        <v>765</v>
      </c>
      <c r="C536" s="56" t="s">
        <v>766</v>
      </c>
      <c r="D536" s="56" t="s">
        <v>767</v>
      </c>
      <c r="E536" s="56" t="s">
        <v>773</v>
      </c>
      <c r="F536" s="57" t="s">
        <v>154</v>
      </c>
      <c r="G536" s="61"/>
      <c r="H536" s="61"/>
      <c r="I536" s="62"/>
      <c r="J536" s="53"/>
    </row>
    <row r="537" ht="24.75" hidden="1" customHeight="1">
      <c r="A537" s="54" t="s">
        <v>761</v>
      </c>
      <c r="B537" s="56" t="s">
        <v>765</v>
      </c>
      <c r="C537" s="56" t="s">
        <v>766</v>
      </c>
      <c r="D537" s="56" t="s">
        <v>767</v>
      </c>
      <c r="E537" s="56" t="s">
        <v>774</v>
      </c>
      <c r="F537" s="57" t="s">
        <v>154</v>
      </c>
      <c r="G537" s="61"/>
      <c r="H537" s="61"/>
      <c r="I537" s="62"/>
      <c r="J537" s="53"/>
    </row>
    <row r="538" ht="24.75" hidden="1" customHeight="1">
      <c r="A538" s="54" t="s">
        <v>761</v>
      </c>
      <c r="B538" s="56" t="s">
        <v>765</v>
      </c>
      <c r="C538" s="56" t="s">
        <v>766</v>
      </c>
      <c r="D538" s="56" t="s">
        <v>767</v>
      </c>
      <c r="E538" s="56" t="s">
        <v>775</v>
      </c>
      <c r="F538" s="57" t="s">
        <v>154</v>
      </c>
      <c r="G538" s="61"/>
      <c r="H538" s="61"/>
      <c r="I538" s="62"/>
      <c r="J538" s="53"/>
    </row>
    <row r="539" ht="24.75" hidden="1" customHeight="1">
      <c r="A539" s="54" t="s">
        <v>761</v>
      </c>
      <c r="B539" s="56" t="s">
        <v>765</v>
      </c>
      <c r="C539" s="56" t="s">
        <v>766</v>
      </c>
      <c r="D539" s="56" t="s">
        <v>776</v>
      </c>
      <c r="E539" s="56" t="s">
        <v>777</v>
      </c>
      <c r="F539" s="57" t="s">
        <v>15</v>
      </c>
      <c r="G539" s="61"/>
      <c r="H539" s="61"/>
      <c r="I539" s="60"/>
      <c r="J539" s="53"/>
    </row>
    <row r="540" ht="24.75" hidden="1" customHeight="1">
      <c r="A540" s="54" t="s">
        <v>761</v>
      </c>
      <c r="B540" s="56" t="s">
        <v>765</v>
      </c>
      <c r="C540" s="56" t="s">
        <v>766</v>
      </c>
      <c r="D540" s="56" t="s">
        <v>776</v>
      </c>
      <c r="E540" s="56" t="s">
        <v>778</v>
      </c>
      <c r="F540" s="57" t="s">
        <v>15</v>
      </c>
      <c r="G540" s="61"/>
      <c r="H540" s="61"/>
      <c r="I540" s="60"/>
      <c r="J540" s="53"/>
    </row>
    <row r="541" ht="24.75" customHeight="1">
      <c r="A541" s="54" t="s">
        <v>761</v>
      </c>
      <c r="B541" s="56" t="s">
        <v>779</v>
      </c>
      <c r="C541" s="56" t="s">
        <v>780</v>
      </c>
      <c r="D541" s="56" t="s">
        <v>781</v>
      </c>
      <c r="E541" s="56" t="s">
        <v>232</v>
      </c>
      <c r="F541" s="57" t="s">
        <v>250</v>
      </c>
      <c r="G541" s="61"/>
      <c r="H541" s="61" t="s">
        <v>769</v>
      </c>
      <c r="I541" s="62" t="s">
        <v>782</v>
      </c>
      <c r="J541" s="83"/>
    </row>
    <row r="542" ht="24.75" hidden="1" customHeight="1">
      <c r="A542" s="54" t="s">
        <v>761</v>
      </c>
      <c r="B542" s="56" t="s">
        <v>779</v>
      </c>
      <c r="C542" s="56" t="s">
        <v>780</v>
      </c>
      <c r="D542" s="56" t="s">
        <v>781</v>
      </c>
      <c r="E542" s="56" t="s">
        <v>783</v>
      </c>
      <c r="F542" s="57" t="s">
        <v>154</v>
      </c>
      <c r="G542" s="61"/>
      <c r="H542" s="61"/>
      <c r="I542" s="62"/>
      <c r="J542" s="53"/>
    </row>
    <row r="543" ht="24.75" hidden="1" customHeight="1">
      <c r="A543" s="54" t="s">
        <v>761</v>
      </c>
      <c r="B543" s="56" t="s">
        <v>779</v>
      </c>
      <c r="C543" s="56" t="s">
        <v>780</v>
      </c>
      <c r="D543" s="56" t="s">
        <v>781</v>
      </c>
      <c r="E543" s="56" t="s">
        <v>230</v>
      </c>
      <c r="F543" s="57" t="s">
        <v>154</v>
      </c>
      <c r="G543" s="61"/>
      <c r="H543" s="61"/>
      <c r="I543" s="62"/>
      <c r="J543" s="83"/>
    </row>
    <row r="544" ht="24.75" hidden="1" customHeight="1">
      <c r="A544" s="54" t="s">
        <v>761</v>
      </c>
      <c r="B544" s="56" t="s">
        <v>784</v>
      </c>
      <c r="C544" s="56" t="s">
        <v>763</v>
      </c>
      <c r="D544" s="56" t="s">
        <v>785</v>
      </c>
      <c r="E544" s="56" t="s">
        <v>216</v>
      </c>
      <c r="F544" s="57" t="s">
        <v>34</v>
      </c>
      <c r="G544" s="61"/>
      <c r="H544" s="61"/>
      <c r="I544" s="62"/>
      <c r="J544" s="53"/>
    </row>
    <row r="545" ht="24.75" hidden="1" customHeight="1">
      <c r="A545" s="54" t="s">
        <v>761</v>
      </c>
      <c r="B545" s="56" t="s">
        <v>784</v>
      </c>
      <c r="C545" s="56" t="s">
        <v>763</v>
      </c>
      <c r="D545" s="56" t="s">
        <v>785</v>
      </c>
      <c r="E545" s="56" t="s">
        <v>786</v>
      </c>
      <c r="F545" s="57" t="s">
        <v>34</v>
      </c>
      <c r="G545" s="61"/>
      <c r="H545" s="61"/>
      <c r="I545" s="62"/>
      <c r="J545" s="53"/>
    </row>
    <row r="546" ht="24.75" hidden="1" customHeight="1">
      <c r="A546" s="54" t="s">
        <v>761</v>
      </c>
      <c r="B546" s="56" t="s">
        <v>784</v>
      </c>
      <c r="C546" s="56" t="s">
        <v>763</v>
      </c>
      <c r="D546" s="56" t="s">
        <v>787</v>
      </c>
      <c r="E546" s="56" t="s">
        <v>163</v>
      </c>
      <c r="F546" s="57" t="s">
        <v>34</v>
      </c>
      <c r="G546" s="61"/>
      <c r="H546" s="61"/>
      <c r="I546" s="62"/>
      <c r="J546" s="53"/>
    </row>
    <row r="547" ht="24.75" hidden="1" customHeight="1">
      <c r="A547" s="54" t="s">
        <v>761</v>
      </c>
      <c r="B547" s="56" t="s">
        <v>784</v>
      </c>
      <c r="C547" s="56" t="s">
        <v>763</v>
      </c>
      <c r="D547" s="56" t="s">
        <v>787</v>
      </c>
      <c r="E547" s="56" t="s">
        <v>788</v>
      </c>
      <c r="F547" s="57" t="s">
        <v>154</v>
      </c>
      <c r="G547" s="61"/>
      <c r="H547" s="61"/>
      <c r="I547" s="62"/>
      <c r="J547" s="53"/>
    </row>
    <row r="548" ht="24.75" hidden="1" customHeight="1">
      <c r="A548" s="54" t="s">
        <v>761</v>
      </c>
      <c r="B548" s="56" t="s">
        <v>784</v>
      </c>
      <c r="C548" s="56" t="s">
        <v>763</v>
      </c>
      <c r="D548" s="56" t="s">
        <v>787</v>
      </c>
      <c r="E548" s="56" t="s">
        <v>213</v>
      </c>
      <c r="F548" s="57"/>
      <c r="G548" s="50"/>
      <c r="H548" s="50"/>
      <c r="I548" s="84"/>
      <c r="J548" s="53"/>
    </row>
    <row r="549" ht="24.75" customHeight="1">
      <c r="A549" s="54" t="s">
        <v>761</v>
      </c>
      <c r="B549" s="56" t="s">
        <v>784</v>
      </c>
      <c r="C549" s="56" t="s">
        <v>763</v>
      </c>
      <c r="D549" s="56" t="s">
        <v>789</v>
      </c>
      <c r="E549" s="56" t="s">
        <v>790</v>
      </c>
      <c r="F549" s="57" t="s">
        <v>250</v>
      </c>
      <c r="G549" s="61"/>
      <c r="H549" s="61"/>
      <c r="I549" s="62"/>
      <c r="J549" s="53"/>
    </row>
    <row r="550" ht="24.75" hidden="1" customHeight="1">
      <c r="A550" s="54" t="s">
        <v>761</v>
      </c>
      <c r="B550" s="56" t="s">
        <v>791</v>
      </c>
      <c r="C550" s="56" t="s">
        <v>792</v>
      </c>
      <c r="D550" s="56" t="s">
        <v>793</v>
      </c>
      <c r="E550" s="56" t="s">
        <v>794</v>
      </c>
      <c r="F550" s="57" t="s">
        <v>154</v>
      </c>
      <c r="G550" s="61"/>
      <c r="H550" s="61"/>
      <c r="I550" s="62"/>
      <c r="J550" s="53"/>
    </row>
    <row r="551" ht="24.75" customHeight="1">
      <c r="A551" s="54" t="s">
        <v>761</v>
      </c>
      <c r="B551" s="56" t="s">
        <v>795</v>
      </c>
      <c r="C551" s="56" t="s">
        <v>792</v>
      </c>
      <c r="D551" s="56" t="s">
        <v>796</v>
      </c>
      <c r="E551" s="56" t="s">
        <v>797</v>
      </c>
      <c r="F551" s="57" t="s">
        <v>250</v>
      </c>
      <c r="G551" s="81"/>
      <c r="H551" s="61" t="s">
        <v>769</v>
      </c>
      <c r="I551" s="62" t="s">
        <v>800</v>
      </c>
      <c r="J551" s="53"/>
    </row>
    <row r="552" ht="24.75" customHeight="1">
      <c r="A552" s="54" t="s">
        <v>761</v>
      </c>
      <c r="B552" s="56" t="s">
        <v>798</v>
      </c>
      <c r="C552" s="56" t="s">
        <v>792</v>
      </c>
      <c r="D552" s="56" t="s">
        <v>799</v>
      </c>
      <c r="E552" s="56" t="s">
        <v>790</v>
      </c>
      <c r="F552" s="57" t="s">
        <v>250</v>
      </c>
      <c r="G552" s="61"/>
      <c r="H552" s="61" t="s">
        <v>769</v>
      </c>
      <c r="I552" s="62" t="s">
        <v>803</v>
      </c>
      <c r="J552" s="53"/>
    </row>
    <row r="553" ht="24.75" customHeight="1">
      <c r="A553" s="54" t="s">
        <v>761</v>
      </c>
      <c r="B553" s="56" t="s">
        <v>801</v>
      </c>
      <c r="C553" s="56" t="s">
        <v>792</v>
      </c>
      <c r="D553" s="56" t="s">
        <v>802</v>
      </c>
      <c r="E553" s="56" t="s">
        <v>790</v>
      </c>
      <c r="F553" s="57" t="s">
        <v>250</v>
      </c>
      <c r="G553" s="61"/>
      <c r="H553" s="61" t="s">
        <v>769</v>
      </c>
      <c r="I553" s="62" t="s">
        <v>806</v>
      </c>
      <c r="J553" s="53"/>
    </row>
    <row r="554" ht="24.75" customHeight="1">
      <c r="A554" s="54" t="s">
        <v>761</v>
      </c>
      <c r="B554" s="56" t="s">
        <v>804</v>
      </c>
      <c r="C554" s="56" t="s">
        <v>792</v>
      </c>
      <c r="D554" s="56" t="s">
        <v>805</v>
      </c>
      <c r="E554" s="56" t="s">
        <v>790</v>
      </c>
      <c r="F554" s="57" t="s">
        <v>250</v>
      </c>
      <c r="G554" s="61"/>
      <c r="H554" s="61" t="s">
        <v>769</v>
      </c>
      <c r="I554" s="62" t="s">
        <v>810</v>
      </c>
      <c r="J554" s="53"/>
    </row>
    <row r="555" ht="24.75" customHeight="1">
      <c r="A555" s="54" t="s">
        <v>761</v>
      </c>
      <c r="B555" s="56" t="s">
        <v>807</v>
      </c>
      <c r="C555" s="56" t="s">
        <v>792</v>
      </c>
      <c r="D555" s="56" t="s">
        <v>808</v>
      </c>
      <c r="E555" s="56" t="s">
        <v>790</v>
      </c>
      <c r="F555" s="57" t="s">
        <v>250</v>
      </c>
      <c r="G555" s="61"/>
      <c r="H555" s="61" t="s">
        <v>769</v>
      </c>
      <c r="I555" s="62" t="s">
        <v>806</v>
      </c>
      <c r="J555" s="53"/>
    </row>
    <row r="556" ht="24.75" customHeight="1">
      <c r="A556" s="54" t="s">
        <v>761</v>
      </c>
      <c r="B556" s="56" t="s">
        <v>807</v>
      </c>
      <c r="C556" s="56" t="s">
        <v>792</v>
      </c>
      <c r="D556" s="56" t="s">
        <v>809</v>
      </c>
      <c r="E556" s="56" t="s">
        <v>790</v>
      </c>
      <c r="F556" s="57" t="s">
        <v>250</v>
      </c>
      <c r="G556" s="61"/>
      <c r="H556" s="61" t="s">
        <v>769</v>
      </c>
      <c r="I556" s="62" t="s">
        <v>806</v>
      </c>
      <c r="J556" s="53"/>
    </row>
    <row r="557" ht="24.75" customHeight="1">
      <c r="A557" s="54" t="s">
        <v>761</v>
      </c>
      <c r="B557" s="56" t="s">
        <v>811</v>
      </c>
      <c r="C557" s="56" t="s">
        <v>792</v>
      </c>
      <c r="D557" s="56" t="s">
        <v>812</v>
      </c>
      <c r="E557" s="56" t="s">
        <v>790</v>
      </c>
      <c r="F557" s="57" t="s">
        <v>250</v>
      </c>
      <c r="G557" s="61"/>
      <c r="H557" s="61" t="s">
        <v>769</v>
      </c>
      <c r="I557" s="62" t="s">
        <v>806</v>
      </c>
      <c r="J557" s="53"/>
    </row>
    <row r="558" ht="24.75" customHeight="1">
      <c r="A558" s="54" t="s">
        <v>761</v>
      </c>
      <c r="B558" s="56" t="s">
        <v>813</v>
      </c>
      <c r="C558" s="56" t="s">
        <v>792</v>
      </c>
      <c r="D558" s="56" t="s">
        <v>814</v>
      </c>
      <c r="E558" s="56" t="s">
        <v>790</v>
      </c>
      <c r="F558" s="57" t="s">
        <v>250</v>
      </c>
      <c r="G558" s="61"/>
      <c r="H558" s="61" t="s">
        <v>769</v>
      </c>
      <c r="I558" s="62" t="s">
        <v>810</v>
      </c>
      <c r="J558" s="53"/>
    </row>
    <row r="559" ht="24.75" customHeight="1">
      <c r="A559" s="54" t="s">
        <v>761</v>
      </c>
      <c r="B559" s="56" t="s">
        <v>815</v>
      </c>
      <c r="C559" s="56" t="s">
        <v>792</v>
      </c>
      <c r="D559" s="56" t="s">
        <v>816</v>
      </c>
      <c r="E559" s="56" t="s">
        <v>790</v>
      </c>
      <c r="F559" s="57" t="s">
        <v>250</v>
      </c>
      <c r="G559" s="61"/>
      <c r="H559" s="61" t="s">
        <v>769</v>
      </c>
      <c r="I559" s="62" t="s">
        <v>806</v>
      </c>
      <c r="J559" s="53"/>
    </row>
    <row r="560" ht="24.75" customHeight="1">
      <c r="A560" s="54" t="s">
        <v>761</v>
      </c>
      <c r="B560" s="56" t="s">
        <v>815</v>
      </c>
      <c r="C560" s="104" t="s">
        <v>792</v>
      </c>
      <c r="D560" s="56" t="s">
        <v>816</v>
      </c>
      <c r="E560" s="56" t="s">
        <v>817</v>
      </c>
      <c r="F560" s="57" t="s">
        <v>250</v>
      </c>
      <c r="G560" s="61"/>
      <c r="H560" s="61" t="s">
        <v>769</v>
      </c>
      <c r="I560" s="62" t="s">
        <v>823</v>
      </c>
      <c r="J560" s="53"/>
    </row>
    <row r="561" ht="24.75" customHeight="1">
      <c r="A561" s="54" t="s">
        <v>761</v>
      </c>
      <c r="B561" s="56" t="s">
        <v>818</v>
      </c>
      <c r="C561" s="104" t="s">
        <v>792</v>
      </c>
      <c r="D561" s="56" t="s">
        <v>819</v>
      </c>
      <c r="E561" s="56" t="s">
        <v>790</v>
      </c>
      <c r="F561" s="57" t="s">
        <v>250</v>
      </c>
      <c r="G561" s="61"/>
      <c r="H561" s="61" t="s">
        <v>769</v>
      </c>
      <c r="I561" s="62" t="s">
        <v>806</v>
      </c>
      <c r="J561" s="53"/>
    </row>
    <row r="562" ht="24.75" customHeight="1">
      <c r="A562" s="54" t="s">
        <v>761</v>
      </c>
      <c r="B562" s="56" t="s">
        <v>818</v>
      </c>
      <c r="C562" s="104" t="s">
        <v>792</v>
      </c>
      <c r="D562" s="56" t="s">
        <v>820</v>
      </c>
      <c r="E562" s="56" t="s">
        <v>817</v>
      </c>
      <c r="F562" s="57" t="s">
        <v>250</v>
      </c>
      <c r="G562" s="61"/>
      <c r="H562" s="61" t="s">
        <v>769</v>
      </c>
      <c r="I562" s="62" t="s">
        <v>823</v>
      </c>
      <c r="J562" s="53"/>
    </row>
    <row r="563" ht="24.75" customHeight="1">
      <c r="A563" s="54" t="s">
        <v>761</v>
      </c>
      <c r="B563" s="56" t="s">
        <v>818</v>
      </c>
      <c r="C563" s="104" t="s">
        <v>792</v>
      </c>
      <c r="D563" s="56" t="s">
        <v>821</v>
      </c>
      <c r="E563" s="56" t="s">
        <v>817</v>
      </c>
      <c r="F563" s="57" t="s">
        <v>250</v>
      </c>
      <c r="G563" s="61"/>
      <c r="H563" s="61" t="s">
        <v>769</v>
      </c>
      <c r="I563" s="62" t="s">
        <v>823</v>
      </c>
      <c r="J563" s="53"/>
    </row>
    <row r="564" ht="24.75" customHeight="1">
      <c r="A564" s="54" t="s">
        <v>761</v>
      </c>
      <c r="B564" s="56" t="s">
        <v>818</v>
      </c>
      <c r="C564" s="104" t="s">
        <v>792</v>
      </c>
      <c r="D564" s="56" t="s">
        <v>822</v>
      </c>
      <c r="E564" s="56" t="s">
        <v>790</v>
      </c>
      <c r="F564" s="57" t="s">
        <v>250</v>
      </c>
      <c r="G564" s="61"/>
      <c r="H564" s="61" t="s">
        <v>769</v>
      </c>
      <c r="I564" s="62" t="s">
        <v>823</v>
      </c>
      <c r="J564" s="53"/>
    </row>
    <row r="565" ht="24.75" hidden="1" customHeight="1">
      <c r="A565" s="54" t="s">
        <v>761</v>
      </c>
      <c r="B565" s="56" t="s">
        <v>791</v>
      </c>
      <c r="C565" s="104" t="s">
        <v>792</v>
      </c>
      <c r="D565" s="56" t="s">
        <v>793</v>
      </c>
      <c r="E565" s="56" t="s">
        <v>824</v>
      </c>
      <c r="F565" s="57" t="s">
        <v>192</v>
      </c>
      <c r="G565" s="61"/>
      <c r="H565" s="61"/>
      <c r="I565" s="62"/>
      <c r="J565" s="53"/>
    </row>
    <row r="566" ht="24.75" hidden="1" customHeight="1">
      <c r="A566" s="54" t="s">
        <v>761</v>
      </c>
      <c r="B566" s="56" t="s">
        <v>825</v>
      </c>
      <c r="C566" s="56" t="s">
        <v>792</v>
      </c>
      <c r="D566" s="56" t="s">
        <v>826</v>
      </c>
      <c r="E566" s="56" t="s">
        <v>794</v>
      </c>
      <c r="F566" s="57" t="s">
        <v>154</v>
      </c>
      <c r="G566" s="61"/>
      <c r="H566" s="61"/>
      <c r="I566" s="62"/>
      <c r="J566" s="53"/>
    </row>
    <row r="567" ht="24.75" hidden="1" customHeight="1">
      <c r="A567" s="54" t="s">
        <v>761</v>
      </c>
      <c r="B567" s="56" t="s">
        <v>825</v>
      </c>
      <c r="C567" s="56" t="s">
        <v>792</v>
      </c>
      <c r="D567" s="56" t="s">
        <v>826</v>
      </c>
      <c r="E567" s="56" t="s">
        <v>824</v>
      </c>
      <c r="F567" s="57" t="s">
        <v>192</v>
      </c>
      <c r="G567" s="61"/>
      <c r="H567" s="61"/>
      <c r="I567" s="62"/>
      <c r="J567" s="53"/>
    </row>
    <row r="568" ht="24.75" hidden="1" customHeight="1">
      <c r="A568" s="54" t="s">
        <v>761</v>
      </c>
      <c r="B568" s="56" t="s">
        <v>827</v>
      </c>
      <c r="C568" s="56" t="s">
        <v>792</v>
      </c>
      <c r="D568" s="56" t="s">
        <v>828</v>
      </c>
      <c r="E568" s="56" t="s">
        <v>830</v>
      </c>
      <c r="F568" s="57" t="s">
        <v>154</v>
      </c>
      <c r="G568" s="61"/>
      <c r="H568" s="61"/>
      <c r="I568" s="62"/>
      <c r="J568" s="53"/>
    </row>
    <row r="569" ht="24.75" hidden="1" customHeight="1">
      <c r="A569" s="54" t="s">
        <v>831</v>
      </c>
      <c r="B569" s="56" t="s">
        <v>832</v>
      </c>
      <c r="C569" s="56" t="s">
        <v>833</v>
      </c>
      <c r="D569" s="56" t="s">
        <v>834</v>
      </c>
      <c r="E569" s="56" t="s">
        <v>111</v>
      </c>
      <c r="F569" s="57" t="s">
        <v>34</v>
      </c>
      <c r="G569" s="61"/>
      <c r="H569" s="61"/>
      <c r="I569" s="62"/>
      <c r="J569" s="53"/>
    </row>
    <row r="570" ht="24.75" hidden="1" customHeight="1">
      <c r="A570" s="54" t="s">
        <v>831</v>
      </c>
      <c r="B570" s="56" t="s">
        <v>832</v>
      </c>
      <c r="C570" s="56" t="s">
        <v>833</v>
      </c>
      <c r="D570" s="56" t="s">
        <v>834</v>
      </c>
      <c r="E570" s="56" t="s">
        <v>835</v>
      </c>
      <c r="F570" s="57" t="s">
        <v>34</v>
      </c>
      <c r="G570" s="61"/>
      <c r="H570" s="61"/>
      <c r="I570" s="62"/>
      <c r="J570" s="53"/>
    </row>
    <row r="571" ht="24.75" customHeight="1">
      <c r="A571" s="54" t="s">
        <v>831</v>
      </c>
      <c r="B571" s="56" t="s">
        <v>832</v>
      </c>
      <c r="C571" s="56" t="s">
        <v>833</v>
      </c>
      <c r="D571" s="56" t="s">
        <v>834</v>
      </c>
      <c r="E571" s="56" t="s">
        <v>836</v>
      </c>
      <c r="F571" s="57" t="s">
        <v>250</v>
      </c>
      <c r="G571" s="61"/>
      <c r="H571" s="61" t="s">
        <v>159</v>
      </c>
      <c r="I571" s="62" t="s">
        <v>160</v>
      </c>
      <c r="J571" s="53"/>
    </row>
    <row r="572" ht="24.75" customHeight="1">
      <c r="A572" s="54" t="s">
        <v>831</v>
      </c>
      <c r="B572" s="56" t="s">
        <v>837</v>
      </c>
      <c r="C572" s="56" t="s">
        <v>838</v>
      </c>
      <c r="D572" s="56" t="s">
        <v>839</v>
      </c>
      <c r="E572" s="56" t="s">
        <v>771</v>
      </c>
      <c r="F572" s="57" t="s">
        <v>250</v>
      </c>
      <c r="G572" s="61"/>
      <c r="H572" s="61" t="s">
        <v>159</v>
      </c>
      <c r="I572" s="62" t="s">
        <v>772</v>
      </c>
      <c r="J572" s="53"/>
    </row>
    <row r="573" ht="24.75" customHeight="1">
      <c r="A573" s="54" t="s">
        <v>831</v>
      </c>
      <c r="B573" s="56" t="s">
        <v>837</v>
      </c>
      <c r="C573" s="56" t="s">
        <v>838</v>
      </c>
      <c r="D573" s="56" t="s">
        <v>839</v>
      </c>
      <c r="E573" s="56" t="s">
        <v>768</v>
      </c>
      <c r="F573" s="57" t="s">
        <v>250</v>
      </c>
      <c r="G573" s="61"/>
      <c r="H573" s="61" t="s">
        <v>592</v>
      </c>
      <c r="I573" s="62" t="s">
        <v>770</v>
      </c>
      <c r="J573" s="53"/>
    </row>
    <row r="574" ht="24.75" hidden="1" customHeight="1">
      <c r="A574" s="54" t="s">
        <v>831</v>
      </c>
      <c r="B574" s="56" t="s">
        <v>837</v>
      </c>
      <c r="C574" s="56" t="s">
        <v>838</v>
      </c>
      <c r="D574" s="56" t="s">
        <v>839</v>
      </c>
      <c r="E574" s="56" t="s">
        <v>773</v>
      </c>
      <c r="F574" s="57" t="s">
        <v>154</v>
      </c>
      <c r="G574" s="61"/>
      <c r="H574" s="61"/>
      <c r="I574" s="62"/>
      <c r="J574" s="53"/>
    </row>
    <row r="575" ht="24.75" hidden="1" customHeight="1">
      <c r="A575" s="54" t="s">
        <v>831</v>
      </c>
      <c r="B575" s="56" t="s">
        <v>837</v>
      </c>
      <c r="C575" s="56" t="s">
        <v>838</v>
      </c>
      <c r="D575" s="56" t="s">
        <v>839</v>
      </c>
      <c r="E575" s="56" t="s">
        <v>841</v>
      </c>
      <c r="F575" s="57" t="s">
        <v>154</v>
      </c>
      <c r="G575" s="61"/>
      <c r="H575" s="61"/>
      <c r="I575" s="62"/>
      <c r="J575" s="53"/>
    </row>
    <row r="576" ht="24.75" hidden="1" customHeight="1">
      <c r="A576" s="54" t="s">
        <v>831</v>
      </c>
      <c r="B576" s="56" t="s">
        <v>837</v>
      </c>
      <c r="C576" s="56" t="s">
        <v>838</v>
      </c>
      <c r="D576" s="56" t="s">
        <v>839</v>
      </c>
      <c r="E576" s="56" t="s">
        <v>777</v>
      </c>
      <c r="F576" s="57" t="s">
        <v>15</v>
      </c>
      <c r="G576" s="61"/>
      <c r="H576" s="61"/>
      <c r="I576" s="60"/>
      <c r="J576" s="53"/>
    </row>
    <row r="577" ht="24.75" hidden="1" customHeight="1">
      <c r="A577" s="54" t="s">
        <v>831</v>
      </c>
      <c r="B577" s="56" t="s">
        <v>837</v>
      </c>
      <c r="C577" s="56" t="s">
        <v>838</v>
      </c>
      <c r="D577" s="56" t="s">
        <v>839</v>
      </c>
      <c r="E577" s="56" t="s">
        <v>778</v>
      </c>
      <c r="F577" s="57" t="s">
        <v>15</v>
      </c>
      <c r="G577" s="61"/>
      <c r="H577" s="61"/>
      <c r="I577" s="60"/>
      <c r="J577" s="53"/>
    </row>
    <row r="578" ht="24.75" hidden="1" customHeight="1">
      <c r="A578" s="54" t="s">
        <v>831</v>
      </c>
      <c r="B578" s="56" t="s">
        <v>842</v>
      </c>
      <c r="C578" s="56" t="s">
        <v>838</v>
      </c>
      <c r="D578" s="56" t="s">
        <v>843</v>
      </c>
      <c r="E578" s="56" t="s">
        <v>111</v>
      </c>
      <c r="F578" s="57" t="s">
        <v>154</v>
      </c>
      <c r="G578" s="61"/>
      <c r="H578" s="61"/>
      <c r="I578" s="62"/>
      <c r="J578" s="53"/>
    </row>
    <row r="579" ht="24.75" hidden="1" customHeight="1">
      <c r="A579" s="54" t="s">
        <v>831</v>
      </c>
      <c r="B579" s="56" t="s">
        <v>842</v>
      </c>
      <c r="C579" s="56" t="s">
        <v>838</v>
      </c>
      <c r="D579" s="56" t="s">
        <v>843</v>
      </c>
      <c r="E579" s="56" t="s">
        <v>844</v>
      </c>
      <c r="F579" s="57" t="s">
        <v>154</v>
      </c>
      <c r="G579" s="61"/>
      <c r="H579" s="61"/>
      <c r="I579" s="62"/>
      <c r="J579" s="53"/>
    </row>
    <row r="580" ht="24.75" customHeight="1">
      <c r="A580" s="54" t="s">
        <v>831</v>
      </c>
      <c r="B580" s="56" t="s">
        <v>842</v>
      </c>
      <c r="C580" s="56" t="s">
        <v>838</v>
      </c>
      <c r="D580" s="56" t="s">
        <v>843</v>
      </c>
      <c r="E580" s="56" t="s">
        <v>797</v>
      </c>
      <c r="F580" s="57" t="s">
        <v>250</v>
      </c>
      <c r="G580" s="61"/>
      <c r="H580" s="61" t="s">
        <v>592</v>
      </c>
      <c r="I580" s="62" t="s">
        <v>855</v>
      </c>
      <c r="J580" s="53"/>
    </row>
    <row r="581" ht="24.75" customHeight="1">
      <c r="A581" s="54" t="s">
        <v>831</v>
      </c>
      <c r="B581" s="56" t="s">
        <v>845</v>
      </c>
      <c r="C581" s="56" t="s">
        <v>838</v>
      </c>
      <c r="D581" s="56" t="s">
        <v>846</v>
      </c>
      <c r="E581" s="56" t="s">
        <v>771</v>
      </c>
      <c r="F581" s="57" t="s">
        <v>250</v>
      </c>
      <c r="G581" s="61"/>
      <c r="H581" s="61" t="s">
        <v>159</v>
      </c>
      <c r="I581" s="62" t="s">
        <v>772</v>
      </c>
      <c r="J581" s="53"/>
    </row>
    <row r="582" ht="24.75" customHeight="1">
      <c r="A582" s="54" t="s">
        <v>831</v>
      </c>
      <c r="B582" s="56" t="s">
        <v>845</v>
      </c>
      <c r="C582" s="56" t="s">
        <v>838</v>
      </c>
      <c r="D582" s="56" t="s">
        <v>846</v>
      </c>
      <c r="E582" s="56" t="s">
        <v>768</v>
      </c>
      <c r="F582" s="57" t="s">
        <v>250</v>
      </c>
      <c r="G582" s="61"/>
      <c r="H582" s="61" t="s">
        <v>592</v>
      </c>
      <c r="I582" s="62" t="s">
        <v>770</v>
      </c>
      <c r="J582" s="53"/>
    </row>
    <row r="583" ht="24.75" hidden="1" customHeight="1">
      <c r="A583" s="54" t="s">
        <v>831</v>
      </c>
      <c r="B583" s="56" t="s">
        <v>845</v>
      </c>
      <c r="C583" s="56" t="s">
        <v>838</v>
      </c>
      <c r="D583" s="56" t="s">
        <v>846</v>
      </c>
      <c r="E583" s="56" t="s">
        <v>773</v>
      </c>
      <c r="F583" s="57" t="s">
        <v>154</v>
      </c>
      <c r="G583" s="61"/>
      <c r="H583" s="61"/>
      <c r="I583" s="62"/>
      <c r="J583" s="53"/>
    </row>
    <row r="584" ht="24.75" hidden="1" customHeight="1">
      <c r="A584" s="54" t="s">
        <v>831</v>
      </c>
      <c r="B584" s="56" t="s">
        <v>845</v>
      </c>
      <c r="C584" s="56" t="s">
        <v>838</v>
      </c>
      <c r="D584" s="56" t="s">
        <v>846</v>
      </c>
      <c r="E584" s="56" t="s">
        <v>841</v>
      </c>
      <c r="F584" s="57" t="s">
        <v>154</v>
      </c>
      <c r="G584" s="61"/>
      <c r="H584" s="61"/>
      <c r="I584" s="62"/>
      <c r="J584" s="53"/>
    </row>
    <row r="585" ht="24.75" hidden="1" customHeight="1">
      <c r="A585" s="54" t="s">
        <v>831</v>
      </c>
      <c r="B585" s="56" t="s">
        <v>845</v>
      </c>
      <c r="C585" s="56" t="s">
        <v>838</v>
      </c>
      <c r="D585" s="56" t="s">
        <v>846</v>
      </c>
      <c r="E585" s="56" t="s">
        <v>777</v>
      </c>
      <c r="F585" s="57" t="s">
        <v>15</v>
      </c>
      <c r="G585" s="61"/>
      <c r="H585" s="61"/>
      <c r="I585" s="60"/>
      <c r="J585" s="53"/>
    </row>
    <row r="586" ht="24.75" hidden="1" customHeight="1">
      <c r="A586" s="54" t="s">
        <v>831</v>
      </c>
      <c r="B586" s="56" t="s">
        <v>845</v>
      </c>
      <c r="C586" s="56" t="s">
        <v>838</v>
      </c>
      <c r="D586" s="56" t="s">
        <v>846</v>
      </c>
      <c r="E586" s="56" t="s">
        <v>778</v>
      </c>
      <c r="F586" s="57" t="s">
        <v>15</v>
      </c>
      <c r="G586" s="61"/>
      <c r="H586" s="61"/>
      <c r="I586" s="60"/>
      <c r="J586" s="53"/>
    </row>
    <row r="587" ht="24.75" hidden="1" customHeight="1">
      <c r="A587" s="54" t="s">
        <v>831</v>
      </c>
      <c r="B587" s="56" t="s">
        <v>847</v>
      </c>
      <c r="C587" s="56" t="s">
        <v>838</v>
      </c>
      <c r="D587" s="56" t="s">
        <v>848</v>
      </c>
      <c r="E587" s="56" t="s">
        <v>111</v>
      </c>
      <c r="F587" s="57" t="s">
        <v>154</v>
      </c>
      <c r="G587" s="61"/>
      <c r="H587" s="61"/>
      <c r="I587" s="62"/>
      <c r="J587" s="53"/>
    </row>
    <row r="588" ht="24.75" hidden="1" customHeight="1">
      <c r="A588" s="54" t="s">
        <v>831</v>
      </c>
      <c r="B588" s="56" t="s">
        <v>847</v>
      </c>
      <c r="C588" s="56" t="s">
        <v>838</v>
      </c>
      <c r="D588" s="56" t="s">
        <v>848</v>
      </c>
      <c r="E588" s="56" t="s">
        <v>844</v>
      </c>
      <c r="F588" s="57" t="s">
        <v>154</v>
      </c>
      <c r="G588" s="61"/>
      <c r="H588" s="61"/>
      <c r="I588" s="62"/>
      <c r="J588" s="53"/>
    </row>
    <row r="589" ht="24.75" customHeight="1">
      <c r="A589" s="54" t="s">
        <v>831</v>
      </c>
      <c r="B589" s="56" t="s">
        <v>847</v>
      </c>
      <c r="C589" s="56" t="s">
        <v>838</v>
      </c>
      <c r="D589" s="56" t="s">
        <v>848</v>
      </c>
      <c r="E589" s="56" t="s">
        <v>797</v>
      </c>
      <c r="F589" s="57" t="s">
        <v>250</v>
      </c>
      <c r="G589" s="61"/>
      <c r="H589" s="61" t="s">
        <v>592</v>
      </c>
      <c r="I589" s="62" t="s">
        <v>855</v>
      </c>
      <c r="J589" s="53"/>
    </row>
    <row r="590" ht="24.75" hidden="1" customHeight="1">
      <c r="A590" s="54" t="s">
        <v>831</v>
      </c>
      <c r="B590" s="56" t="s">
        <v>849</v>
      </c>
      <c r="C590" s="56" t="s">
        <v>833</v>
      </c>
      <c r="D590" s="56" t="s">
        <v>850</v>
      </c>
      <c r="E590" s="56" t="s">
        <v>336</v>
      </c>
      <c r="F590" s="57" t="s">
        <v>192</v>
      </c>
      <c r="G590" s="61"/>
      <c r="H590" s="61"/>
      <c r="I590" s="62"/>
      <c r="J590" s="53"/>
    </row>
    <row r="591" ht="24.75" customHeight="1">
      <c r="A591" s="54" t="s">
        <v>831</v>
      </c>
      <c r="B591" s="56" t="s">
        <v>851</v>
      </c>
      <c r="C591" s="56" t="s">
        <v>852</v>
      </c>
      <c r="D591" s="56" t="s">
        <v>853</v>
      </c>
      <c r="E591" s="56" t="s">
        <v>854</v>
      </c>
      <c r="F591" s="57" t="s">
        <v>250</v>
      </c>
      <c r="G591" s="61"/>
      <c r="H591" s="61" t="s">
        <v>592</v>
      </c>
      <c r="I591" s="62" t="s">
        <v>864</v>
      </c>
      <c r="J591" s="53"/>
    </row>
    <row r="592" ht="24.75" hidden="1" customHeight="1">
      <c r="A592" s="54" t="s">
        <v>831</v>
      </c>
      <c r="B592" s="56" t="s">
        <v>851</v>
      </c>
      <c r="C592" s="56" t="s">
        <v>852</v>
      </c>
      <c r="D592" s="56" t="s">
        <v>853</v>
      </c>
      <c r="E592" s="56" t="s">
        <v>824</v>
      </c>
      <c r="F592" s="57" t="s">
        <v>154</v>
      </c>
      <c r="G592" s="61"/>
      <c r="H592" s="61"/>
      <c r="I592" s="62"/>
      <c r="J592" s="53"/>
    </row>
    <row r="593" ht="24.75" hidden="1" customHeight="1">
      <c r="A593" s="54" t="s">
        <v>831</v>
      </c>
      <c r="B593" s="56" t="s">
        <v>851</v>
      </c>
      <c r="C593" s="56" t="s">
        <v>852</v>
      </c>
      <c r="D593" s="56" t="s">
        <v>853</v>
      </c>
      <c r="E593" s="56" t="s">
        <v>111</v>
      </c>
      <c r="F593" s="57" t="s">
        <v>192</v>
      </c>
      <c r="G593" s="61"/>
      <c r="H593" s="61"/>
      <c r="I593" s="62"/>
      <c r="J593" s="53"/>
    </row>
    <row r="594" ht="24.75" hidden="1" customHeight="1">
      <c r="A594" s="54" t="s">
        <v>831</v>
      </c>
      <c r="B594" s="56" t="s">
        <v>851</v>
      </c>
      <c r="C594" s="56" t="s">
        <v>852</v>
      </c>
      <c r="D594" s="56" t="s">
        <v>853</v>
      </c>
      <c r="E594" s="56" t="s">
        <v>856</v>
      </c>
      <c r="F594" s="57" t="s">
        <v>192</v>
      </c>
      <c r="G594" s="61"/>
      <c r="H594" s="61"/>
      <c r="I594" s="62"/>
      <c r="J594" s="53"/>
    </row>
    <row r="595" ht="24.75" hidden="1" customHeight="1">
      <c r="A595" s="54" t="s">
        <v>831</v>
      </c>
      <c r="B595" s="56" t="s">
        <v>851</v>
      </c>
      <c r="C595" s="56" t="s">
        <v>852</v>
      </c>
      <c r="D595" s="56" t="s">
        <v>853</v>
      </c>
      <c r="E595" s="56" t="s">
        <v>857</v>
      </c>
      <c r="F595" s="57" t="s">
        <v>192</v>
      </c>
      <c r="G595" s="61"/>
      <c r="H595" s="61"/>
      <c r="I595" s="62"/>
      <c r="J595" s="53"/>
    </row>
    <row r="596" ht="24.75" hidden="1" customHeight="1">
      <c r="A596" s="54" t="s">
        <v>831</v>
      </c>
      <c r="B596" s="56" t="s">
        <v>858</v>
      </c>
      <c r="C596" s="56" t="s">
        <v>838</v>
      </c>
      <c r="D596" s="56" t="s">
        <v>859</v>
      </c>
      <c r="E596" s="56" t="s">
        <v>111</v>
      </c>
      <c r="F596" s="57" t="s">
        <v>154</v>
      </c>
      <c r="G596" s="61"/>
      <c r="H596" s="61"/>
      <c r="I596" s="62"/>
      <c r="J596" s="53"/>
    </row>
    <row r="597" ht="24.75" hidden="1" customHeight="1">
      <c r="A597" s="54" t="s">
        <v>831</v>
      </c>
      <c r="B597" s="56" t="s">
        <v>858</v>
      </c>
      <c r="C597" s="56" t="s">
        <v>838</v>
      </c>
      <c r="D597" s="56" t="s">
        <v>859</v>
      </c>
      <c r="E597" s="56" t="s">
        <v>824</v>
      </c>
      <c r="F597" s="57" t="s">
        <v>154</v>
      </c>
      <c r="G597" s="61"/>
      <c r="H597" s="61"/>
      <c r="I597" s="62"/>
      <c r="J597" s="53"/>
    </row>
    <row r="598" ht="24.75" customHeight="1">
      <c r="A598" s="54" t="s">
        <v>831</v>
      </c>
      <c r="B598" s="56" t="s">
        <v>858</v>
      </c>
      <c r="C598" s="56" t="s">
        <v>838</v>
      </c>
      <c r="D598" s="56" t="s">
        <v>859</v>
      </c>
      <c r="E598" s="56" t="s">
        <v>797</v>
      </c>
      <c r="F598" s="57" t="s">
        <v>250</v>
      </c>
      <c r="G598" s="61"/>
      <c r="H598" s="61" t="s">
        <v>592</v>
      </c>
      <c r="I598" s="62" t="s">
        <v>872</v>
      </c>
      <c r="J598" s="53"/>
    </row>
    <row r="599" ht="24.75" customHeight="1">
      <c r="A599" s="54" t="s">
        <v>831</v>
      </c>
      <c r="B599" s="56" t="s">
        <v>860</v>
      </c>
      <c r="C599" s="56" t="s">
        <v>852</v>
      </c>
      <c r="D599" s="56" t="s">
        <v>861</v>
      </c>
      <c r="E599" s="56" t="s">
        <v>854</v>
      </c>
      <c r="F599" s="57" t="s">
        <v>250</v>
      </c>
      <c r="G599" s="61"/>
      <c r="H599" s="61" t="s">
        <v>592</v>
      </c>
      <c r="I599" s="62" t="s">
        <v>864</v>
      </c>
      <c r="J599" s="53"/>
    </row>
    <row r="600" ht="24.75" hidden="1" customHeight="1">
      <c r="A600" s="54" t="s">
        <v>831</v>
      </c>
      <c r="B600" s="56" t="s">
        <v>860</v>
      </c>
      <c r="C600" s="56" t="s">
        <v>852</v>
      </c>
      <c r="D600" s="56" t="s">
        <v>861</v>
      </c>
      <c r="E600" s="56" t="s">
        <v>824</v>
      </c>
      <c r="F600" s="57" t="s">
        <v>154</v>
      </c>
      <c r="G600" s="61"/>
      <c r="H600" s="61"/>
      <c r="I600" s="62"/>
      <c r="J600" s="53"/>
    </row>
    <row r="601" ht="24.75" hidden="1" customHeight="1">
      <c r="A601" s="54" t="s">
        <v>831</v>
      </c>
      <c r="B601" s="56" t="s">
        <v>860</v>
      </c>
      <c r="C601" s="56" t="s">
        <v>852</v>
      </c>
      <c r="D601" s="56" t="s">
        <v>861</v>
      </c>
      <c r="E601" s="56" t="s">
        <v>856</v>
      </c>
      <c r="F601" s="57" t="s">
        <v>154</v>
      </c>
      <c r="G601" s="61"/>
      <c r="H601" s="61"/>
      <c r="I601" s="62"/>
      <c r="J601" s="53"/>
    </row>
    <row r="602" ht="24.75" hidden="1" customHeight="1">
      <c r="A602" s="54" t="s">
        <v>831</v>
      </c>
      <c r="B602" s="56" t="s">
        <v>860</v>
      </c>
      <c r="C602" s="56" t="s">
        <v>852</v>
      </c>
      <c r="D602" s="56" t="s">
        <v>861</v>
      </c>
      <c r="E602" s="56" t="s">
        <v>111</v>
      </c>
      <c r="F602" s="57" t="s">
        <v>192</v>
      </c>
      <c r="G602" s="61"/>
      <c r="H602" s="61"/>
      <c r="I602" s="62"/>
      <c r="J602" s="53"/>
    </row>
    <row r="603" ht="24.75" hidden="1" customHeight="1">
      <c r="A603" s="54" t="s">
        <v>831</v>
      </c>
      <c r="B603" s="56" t="s">
        <v>860</v>
      </c>
      <c r="C603" s="56" t="s">
        <v>852</v>
      </c>
      <c r="D603" s="56" t="s">
        <v>861</v>
      </c>
      <c r="E603" s="56" t="s">
        <v>857</v>
      </c>
      <c r="F603" s="57" t="s">
        <v>192</v>
      </c>
      <c r="G603" s="61"/>
      <c r="H603" s="61"/>
      <c r="I603" s="62"/>
      <c r="J603" s="53"/>
    </row>
    <row r="604" ht="24.75" hidden="1" customHeight="1">
      <c r="A604" s="54" t="s">
        <v>831</v>
      </c>
      <c r="B604" s="56" t="s">
        <v>862</v>
      </c>
      <c r="C604" s="56" t="s">
        <v>838</v>
      </c>
      <c r="D604" s="56" t="s">
        <v>863</v>
      </c>
      <c r="E604" s="56" t="s">
        <v>111</v>
      </c>
      <c r="F604" s="57" t="s">
        <v>154</v>
      </c>
      <c r="G604" s="61"/>
      <c r="H604" s="61"/>
      <c r="I604" s="62"/>
      <c r="J604" s="53"/>
    </row>
    <row r="605" ht="24.75" hidden="1" customHeight="1">
      <c r="A605" s="54" t="s">
        <v>831</v>
      </c>
      <c r="B605" s="56" t="s">
        <v>862</v>
      </c>
      <c r="C605" s="56" t="s">
        <v>838</v>
      </c>
      <c r="D605" s="56" t="s">
        <v>863</v>
      </c>
      <c r="E605" s="56" t="s">
        <v>824</v>
      </c>
      <c r="F605" s="57" t="s">
        <v>154</v>
      </c>
      <c r="G605" s="61"/>
      <c r="H605" s="61"/>
      <c r="I605" s="62"/>
      <c r="J605" s="53"/>
    </row>
    <row r="606" ht="24.75" customHeight="1">
      <c r="A606" s="54" t="s">
        <v>831</v>
      </c>
      <c r="B606" s="56" t="s">
        <v>862</v>
      </c>
      <c r="C606" s="56" t="s">
        <v>838</v>
      </c>
      <c r="D606" s="56" t="s">
        <v>863</v>
      </c>
      <c r="E606" s="56" t="s">
        <v>797</v>
      </c>
      <c r="F606" s="57" t="s">
        <v>250</v>
      </c>
      <c r="G606" s="61"/>
      <c r="H606" s="61" t="s">
        <v>592</v>
      </c>
      <c r="I606" s="62" t="s">
        <v>872</v>
      </c>
      <c r="J606" s="53"/>
    </row>
    <row r="607" ht="24.75" hidden="1" customHeight="1">
      <c r="A607" s="54" t="s">
        <v>831</v>
      </c>
      <c r="B607" s="56" t="s">
        <v>865</v>
      </c>
      <c r="C607" s="56" t="s">
        <v>838</v>
      </c>
      <c r="D607" s="56" t="s">
        <v>866</v>
      </c>
      <c r="E607" s="56" t="s">
        <v>867</v>
      </c>
      <c r="F607" s="57" t="s">
        <v>154</v>
      </c>
      <c r="G607" s="61"/>
      <c r="H607" s="61"/>
      <c r="I607" s="62"/>
      <c r="J607" s="53"/>
    </row>
    <row r="608" ht="24.75" hidden="1" customHeight="1">
      <c r="A608" s="54" t="s">
        <v>831</v>
      </c>
      <c r="B608" s="56" t="s">
        <v>865</v>
      </c>
      <c r="C608" s="56" t="s">
        <v>838</v>
      </c>
      <c r="D608" s="56" t="s">
        <v>866</v>
      </c>
      <c r="E608" s="56" t="s">
        <v>868</v>
      </c>
      <c r="F608" s="57" t="s">
        <v>154</v>
      </c>
      <c r="G608" s="61"/>
      <c r="H608" s="61"/>
      <c r="I608" s="62"/>
      <c r="J608" s="53"/>
    </row>
    <row r="609" ht="24.75" hidden="1" customHeight="1">
      <c r="A609" s="54" t="s">
        <v>831</v>
      </c>
      <c r="B609" s="56" t="s">
        <v>869</v>
      </c>
      <c r="C609" s="56" t="s">
        <v>833</v>
      </c>
      <c r="D609" s="56" t="s">
        <v>850</v>
      </c>
      <c r="E609" s="56" t="s">
        <v>870</v>
      </c>
      <c r="F609" s="57" t="s">
        <v>154</v>
      </c>
      <c r="G609" s="61"/>
      <c r="H609" s="61"/>
      <c r="I609" s="62"/>
      <c r="J609" s="53"/>
    </row>
    <row r="610" ht="24.75" hidden="1" customHeight="1">
      <c r="A610" s="54" t="s">
        <v>831</v>
      </c>
      <c r="B610" s="56" t="s">
        <v>869</v>
      </c>
      <c r="C610" s="56" t="s">
        <v>833</v>
      </c>
      <c r="D610" s="56" t="s">
        <v>850</v>
      </c>
      <c r="E610" s="56" t="s">
        <v>871</v>
      </c>
      <c r="F610" s="57" t="s">
        <v>192</v>
      </c>
      <c r="G610" s="61"/>
      <c r="H610" s="61"/>
      <c r="I610" s="62"/>
      <c r="J610" s="53"/>
    </row>
    <row r="611" ht="15.75" hidden="1" customHeight="1">
      <c r="A611" s="54"/>
      <c r="B611" s="56"/>
      <c r="C611" s="56"/>
      <c r="D611" s="56"/>
      <c r="E611" s="56"/>
      <c r="F611" s="57"/>
      <c r="G611" s="61"/>
      <c r="H611" s="61"/>
      <c r="I611" s="62"/>
      <c r="J611" s="53"/>
    </row>
  </sheetData>
  <autoFilter ref="$A$4:$GF$611">
    <filterColumn colId="5">
      <filters>
        <filter val="JAN, FEV, MAR, ABR, MAI, JUN, JUL, AGO, SET, OUT, NOV, DEZ"/>
        <filter val="MAR, JUN, SET, DEZ"/>
      </filters>
    </filterColumn>
    <sortState ref="A4:GF611">
      <sortCondition ref="A4:A611"/>
    </sortState>
  </autoFilter>
  <mergeCells count="2">
    <mergeCell ref="I1:J3"/>
    <mergeCell ref="H2:H3"/>
  </mergeCells>
  <printOptions/>
  <pageMargins bottom="0.7480314960629921" footer="0.0" header="0.0" left="0.2362204724409449" right="0.2362204724409449" top="0.35433070866141736"/>
  <pageSetup fitToHeight="0" paperSize="9" orientation="landscape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46.86"/>
    <col customWidth="1" min="6" max="6" width="12.0"/>
    <col customWidth="1" hidden="1" min="7" max="7" width="6.86"/>
    <col customWidth="1" min="8" max="8" width="26.57"/>
    <col customWidth="1" min="9" max="9" width="31.86"/>
    <col customWidth="1" min="10" max="10" width="15.71"/>
  </cols>
  <sheetData>
    <row r="1" ht="24.75" customHeight="1">
      <c r="I1" s="25" t="s">
        <v>5</v>
      </c>
    </row>
    <row r="2" ht="24.75" customHeight="1">
      <c r="A2" s="1"/>
      <c r="B2" s="2"/>
      <c r="C2" s="2"/>
      <c r="D2" s="2"/>
      <c r="E2" s="2"/>
      <c r="F2" s="3"/>
      <c r="G2" s="8"/>
      <c r="H2" s="10"/>
    </row>
    <row r="3" ht="24.75" customHeight="1">
      <c r="A3" s="8"/>
      <c r="B3" s="9"/>
      <c r="C3" s="9"/>
      <c r="D3" s="9"/>
      <c r="E3" s="9"/>
      <c r="F3" s="2"/>
      <c r="G3" s="8"/>
      <c r="H3" s="35"/>
      <c r="I3" s="35"/>
      <c r="J3" s="35"/>
    </row>
    <row r="4" ht="51.0" customHeight="1">
      <c r="A4" s="39" t="s">
        <v>17</v>
      </c>
      <c r="B4" s="39" t="s">
        <v>18</v>
      </c>
      <c r="C4" s="39" t="s">
        <v>19</v>
      </c>
      <c r="D4" s="39" t="s">
        <v>20</v>
      </c>
      <c r="E4" s="39" t="s">
        <v>21</v>
      </c>
      <c r="F4" s="39" t="s">
        <v>22</v>
      </c>
      <c r="G4" s="40" t="s">
        <v>23</v>
      </c>
      <c r="H4" s="39" t="s">
        <v>24</v>
      </c>
      <c r="I4" s="42" t="s">
        <v>26</v>
      </c>
      <c r="J4" s="39" t="s">
        <v>25</v>
      </c>
    </row>
    <row r="5" ht="24.75" hidden="1" customHeight="1">
      <c r="A5" s="44">
        <v>10.0</v>
      </c>
      <c r="B5" s="47" t="s">
        <v>27</v>
      </c>
      <c r="C5" s="47" t="s">
        <v>29</v>
      </c>
      <c r="D5" s="47" t="s">
        <v>29</v>
      </c>
      <c r="E5" s="47" t="s">
        <v>32</v>
      </c>
      <c r="F5" s="48" t="s">
        <v>34</v>
      </c>
      <c r="G5" s="50"/>
      <c r="H5" s="51"/>
      <c r="I5" s="52"/>
      <c r="J5" s="53"/>
    </row>
    <row r="6" ht="24.75" customHeight="1">
      <c r="A6" s="54">
        <v>20.0</v>
      </c>
      <c r="B6" s="56" t="s">
        <v>83</v>
      </c>
      <c r="C6" s="56" t="s">
        <v>84</v>
      </c>
      <c r="D6" s="56" t="s">
        <v>85</v>
      </c>
      <c r="E6" s="56" t="s">
        <v>86</v>
      </c>
      <c r="F6" s="57" t="s">
        <v>87</v>
      </c>
      <c r="G6" s="58"/>
      <c r="H6" s="58"/>
      <c r="I6" s="60" t="s">
        <v>88</v>
      </c>
      <c r="J6" s="59"/>
    </row>
    <row r="7" ht="24.75" hidden="1" customHeight="1">
      <c r="A7" s="54">
        <v>20.0</v>
      </c>
      <c r="B7" s="56" t="s">
        <v>89</v>
      </c>
      <c r="C7" s="56" t="s">
        <v>90</v>
      </c>
      <c r="D7" s="56" t="s">
        <v>91</v>
      </c>
      <c r="E7" s="56"/>
      <c r="F7" s="57" t="s">
        <v>34</v>
      </c>
      <c r="G7" s="61"/>
      <c r="H7" s="61"/>
      <c r="I7" s="62"/>
      <c r="J7" s="53"/>
    </row>
    <row r="8" ht="24.75" hidden="1" customHeight="1">
      <c r="A8" s="54">
        <v>20.0</v>
      </c>
      <c r="B8" s="56" t="s">
        <v>95</v>
      </c>
      <c r="C8" s="56" t="s">
        <v>90</v>
      </c>
      <c r="D8" s="56" t="s">
        <v>96</v>
      </c>
      <c r="E8" s="56" t="s">
        <v>97</v>
      </c>
      <c r="F8" s="57" t="s">
        <v>34</v>
      </c>
      <c r="G8" s="61"/>
      <c r="H8" s="61"/>
      <c r="I8" s="62"/>
      <c r="J8" s="53"/>
    </row>
    <row r="9" ht="24.75" hidden="1" customHeight="1">
      <c r="A9" s="54">
        <v>20.0</v>
      </c>
      <c r="B9" s="56" t="s">
        <v>98</v>
      </c>
      <c r="C9" s="56" t="s">
        <v>90</v>
      </c>
      <c r="D9" s="56" t="s">
        <v>99</v>
      </c>
      <c r="E9" s="56" t="s">
        <v>97</v>
      </c>
      <c r="F9" s="57" t="s">
        <v>34</v>
      </c>
      <c r="G9" s="61"/>
      <c r="H9" s="61"/>
      <c r="I9" s="62"/>
      <c r="J9" s="53"/>
    </row>
    <row r="10" ht="24.75" hidden="1" customHeight="1">
      <c r="A10" s="54">
        <v>20.0</v>
      </c>
      <c r="B10" s="56" t="s">
        <v>100</v>
      </c>
      <c r="C10" s="56" t="s">
        <v>101</v>
      </c>
      <c r="D10" s="56" t="s">
        <v>102</v>
      </c>
      <c r="E10" s="56" t="s">
        <v>103</v>
      </c>
      <c r="F10" s="57" t="s">
        <v>34</v>
      </c>
      <c r="G10" s="61"/>
      <c r="H10" s="61"/>
      <c r="I10" s="62"/>
      <c r="J10" s="53"/>
    </row>
    <row r="11" ht="24.75" customHeight="1">
      <c r="A11" s="54">
        <v>30.0</v>
      </c>
      <c r="B11" s="56" t="s">
        <v>108</v>
      </c>
      <c r="C11" s="56" t="s">
        <v>109</v>
      </c>
      <c r="D11" s="56" t="s">
        <v>110</v>
      </c>
      <c r="E11" s="56" t="s">
        <v>111</v>
      </c>
      <c r="F11" s="57" t="s">
        <v>87</v>
      </c>
      <c r="G11" s="61"/>
      <c r="H11" s="61"/>
      <c r="I11" s="60"/>
      <c r="J11" s="53"/>
    </row>
    <row r="12" ht="24.75" customHeight="1">
      <c r="A12" s="54">
        <v>30.0</v>
      </c>
      <c r="B12" s="56" t="s">
        <v>113</v>
      </c>
      <c r="C12" s="56" t="s">
        <v>109</v>
      </c>
      <c r="D12" s="56" t="s">
        <v>114</v>
      </c>
      <c r="E12" s="56" t="s">
        <v>111</v>
      </c>
      <c r="F12" s="57" t="s">
        <v>87</v>
      </c>
      <c r="G12" s="61"/>
      <c r="H12" s="61"/>
      <c r="I12" s="60"/>
      <c r="J12" s="53"/>
    </row>
    <row r="13" ht="24.75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118</v>
      </c>
      <c r="F13" s="57" t="s">
        <v>87</v>
      </c>
      <c r="G13" s="61"/>
      <c r="H13" s="61"/>
      <c r="I13" s="60"/>
      <c r="J13" s="53"/>
    </row>
    <row r="14" ht="24.75" hidden="1" customHeight="1">
      <c r="A14" s="54">
        <v>30.0</v>
      </c>
      <c r="B14" s="56" t="s">
        <v>116</v>
      </c>
      <c r="C14" s="56" t="s">
        <v>109</v>
      </c>
      <c r="D14" s="56" t="s">
        <v>117</v>
      </c>
      <c r="E14" s="56" t="s">
        <v>119</v>
      </c>
      <c r="F14" s="57" t="s">
        <v>34</v>
      </c>
      <c r="G14" s="61"/>
      <c r="H14" s="61"/>
      <c r="I14" s="62"/>
      <c r="J14" s="53"/>
    </row>
    <row r="15" ht="24.75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111</v>
      </c>
      <c r="F15" s="57" t="s">
        <v>87</v>
      </c>
      <c r="G15" s="61"/>
      <c r="H15" s="61"/>
      <c r="I15" s="60"/>
      <c r="J15" s="53"/>
    </row>
    <row r="16" ht="24.75" hidden="1" customHeight="1">
      <c r="A16" s="54">
        <v>30.0</v>
      </c>
      <c r="B16" s="56" t="s">
        <v>120</v>
      </c>
      <c r="C16" s="56" t="s">
        <v>109</v>
      </c>
      <c r="D16" s="56" t="s">
        <v>121</v>
      </c>
      <c r="E16" s="56" t="s">
        <v>122</v>
      </c>
      <c r="F16" s="57" t="s">
        <v>34</v>
      </c>
      <c r="G16" s="61"/>
      <c r="H16" s="61"/>
      <c r="I16" s="62"/>
      <c r="J16" s="53"/>
    </row>
    <row r="17" ht="24.75" customHeight="1">
      <c r="A17" s="54">
        <v>30.0</v>
      </c>
      <c r="B17" s="56" t="s">
        <v>123</v>
      </c>
      <c r="C17" s="56" t="s">
        <v>109</v>
      </c>
      <c r="D17" s="56" t="s">
        <v>124</v>
      </c>
      <c r="E17" s="56" t="s">
        <v>86</v>
      </c>
      <c r="F17" s="57" t="s">
        <v>87</v>
      </c>
      <c r="G17" s="61"/>
      <c r="H17" s="61"/>
      <c r="I17" s="60"/>
      <c r="J17" s="53"/>
    </row>
    <row r="18" ht="24.75" hidden="1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129</v>
      </c>
      <c r="F18" s="57" t="s">
        <v>34</v>
      </c>
      <c r="G18" s="61"/>
      <c r="H18" s="61"/>
      <c r="I18" s="62" t="s">
        <v>133</v>
      </c>
      <c r="J18" s="53"/>
    </row>
    <row r="19" ht="24.75" hidden="1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132</v>
      </c>
      <c r="F19" s="57" t="s">
        <v>34</v>
      </c>
      <c r="G19" s="61"/>
      <c r="H19" s="61"/>
      <c r="I19" s="62" t="s">
        <v>133</v>
      </c>
      <c r="J19" s="53"/>
    </row>
    <row r="20" ht="24.75" hidden="1" customHeight="1">
      <c r="A20" s="54">
        <v>31.0</v>
      </c>
      <c r="B20" s="56" t="s">
        <v>126</v>
      </c>
      <c r="C20" s="56" t="s">
        <v>127</v>
      </c>
      <c r="D20" s="56" t="s">
        <v>128</v>
      </c>
      <c r="E20" s="56" t="s">
        <v>134</v>
      </c>
      <c r="F20" s="57" t="s">
        <v>34</v>
      </c>
      <c r="G20" s="61"/>
      <c r="H20" s="61"/>
      <c r="I20" s="62" t="s">
        <v>133</v>
      </c>
      <c r="J20" s="53"/>
    </row>
    <row r="21" ht="24.75" hidden="1" customHeight="1">
      <c r="A21" s="54">
        <v>40.0</v>
      </c>
      <c r="B21" s="56" t="s">
        <v>135</v>
      </c>
      <c r="C21" s="56" t="s">
        <v>136</v>
      </c>
      <c r="D21" s="56" t="s">
        <v>137</v>
      </c>
      <c r="E21" s="56" t="s">
        <v>111</v>
      </c>
      <c r="F21" s="57" t="s">
        <v>34</v>
      </c>
      <c r="G21" s="61"/>
      <c r="H21" s="61"/>
      <c r="I21" s="62"/>
      <c r="J21" s="53"/>
    </row>
    <row r="22" ht="24.75" hidden="1" customHeight="1">
      <c r="A22" s="54">
        <v>40.0</v>
      </c>
      <c r="B22" s="56" t="s">
        <v>139</v>
      </c>
      <c r="C22" s="56" t="s">
        <v>101</v>
      </c>
      <c r="D22" s="56" t="s">
        <v>102</v>
      </c>
      <c r="E22" s="56" t="s">
        <v>111</v>
      </c>
      <c r="F22" s="57" t="s">
        <v>34</v>
      </c>
      <c r="G22" s="61"/>
      <c r="H22" s="61"/>
      <c r="I22" s="62"/>
      <c r="J22" s="53"/>
    </row>
    <row r="23" ht="24.75" hidden="1" customHeight="1">
      <c r="A23" s="54">
        <v>40.0</v>
      </c>
      <c r="B23" s="56" t="s">
        <v>140</v>
      </c>
      <c r="C23" s="56" t="s">
        <v>141</v>
      </c>
      <c r="D23" s="56" t="s">
        <v>142</v>
      </c>
      <c r="E23" s="56" t="s">
        <v>111</v>
      </c>
      <c r="F23" s="57" t="s">
        <v>34</v>
      </c>
      <c r="G23" s="61"/>
      <c r="H23" s="61"/>
      <c r="I23" s="62"/>
      <c r="J23" s="53"/>
    </row>
    <row r="24" ht="24.75" hidden="1" customHeight="1">
      <c r="A24" s="54">
        <v>40.0</v>
      </c>
      <c r="B24" s="56" t="s">
        <v>143</v>
      </c>
      <c r="C24" s="56" t="s">
        <v>144</v>
      </c>
      <c r="D24" s="56" t="s">
        <v>145</v>
      </c>
      <c r="E24" s="56" t="s">
        <v>111</v>
      </c>
      <c r="F24" s="57" t="s">
        <v>34</v>
      </c>
      <c r="G24" s="61"/>
      <c r="H24" s="61"/>
      <c r="I24" s="62"/>
      <c r="J24" s="53"/>
    </row>
    <row r="25" ht="24.75" hidden="1" customHeight="1">
      <c r="A25" s="54">
        <v>50.0</v>
      </c>
      <c r="B25" s="56" t="s">
        <v>147</v>
      </c>
      <c r="C25" s="56" t="s">
        <v>148</v>
      </c>
      <c r="D25" s="56" t="s">
        <v>149</v>
      </c>
      <c r="E25" s="56" t="s">
        <v>150</v>
      </c>
      <c r="F25" s="57" t="s">
        <v>34</v>
      </c>
      <c r="G25" s="61"/>
      <c r="H25" s="61"/>
      <c r="I25" s="62"/>
      <c r="J25" s="53"/>
    </row>
    <row r="26" ht="24.75" hidden="1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111</v>
      </c>
      <c r="F26" s="57" t="s">
        <v>34</v>
      </c>
      <c r="G26" s="61"/>
      <c r="H26" s="61"/>
      <c r="I26" s="62"/>
      <c r="J26" s="53"/>
    </row>
    <row r="27" ht="24.75" hidden="1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153</v>
      </c>
      <c r="F27" s="57" t="s">
        <v>154</v>
      </c>
      <c r="G27" s="61"/>
      <c r="H27" s="61"/>
      <c r="I27" s="62"/>
      <c r="J27" s="53"/>
    </row>
    <row r="28" ht="24.75" hidden="1" customHeight="1">
      <c r="A28" s="54">
        <v>50.0</v>
      </c>
      <c r="B28" s="56" t="s">
        <v>151</v>
      </c>
      <c r="C28" s="56" t="s">
        <v>152</v>
      </c>
      <c r="D28" s="56" t="s">
        <v>152</v>
      </c>
      <c r="E28" s="56" t="s">
        <v>155</v>
      </c>
      <c r="F28" s="57" t="s">
        <v>250</v>
      </c>
      <c r="G28" s="61"/>
      <c r="H28" s="61" t="s">
        <v>159</v>
      </c>
      <c r="I28" s="62" t="s">
        <v>160</v>
      </c>
      <c r="J28" s="53"/>
    </row>
    <row r="29" ht="24.75" hidden="1" customHeight="1">
      <c r="A29" s="54">
        <v>50.0</v>
      </c>
      <c r="B29" s="56" t="s">
        <v>156</v>
      </c>
      <c r="C29" s="56" t="s">
        <v>152</v>
      </c>
      <c r="D29" s="56" t="s">
        <v>157</v>
      </c>
      <c r="E29" s="56" t="s">
        <v>158</v>
      </c>
      <c r="F29" s="57" t="s">
        <v>34</v>
      </c>
      <c r="G29" s="61"/>
      <c r="H29" s="61"/>
      <c r="I29" s="62"/>
      <c r="J29" s="53"/>
    </row>
    <row r="30" ht="24.75" hidden="1" customHeight="1">
      <c r="A30" s="54">
        <v>50.0</v>
      </c>
      <c r="B30" s="56" t="s">
        <v>161</v>
      </c>
      <c r="C30" s="56" t="s">
        <v>152</v>
      </c>
      <c r="D30" s="56" t="s">
        <v>162</v>
      </c>
      <c r="E30" s="56" t="s">
        <v>163</v>
      </c>
      <c r="F30" s="57" t="s">
        <v>34</v>
      </c>
      <c r="G30" s="61"/>
      <c r="H30" s="61"/>
      <c r="I30" s="62"/>
      <c r="J30" s="53"/>
    </row>
    <row r="31" ht="24.75" hidden="1" customHeight="1">
      <c r="A31" s="54">
        <v>60.0</v>
      </c>
      <c r="B31" s="56" t="s">
        <v>164</v>
      </c>
      <c r="C31" s="56" t="s">
        <v>165</v>
      </c>
      <c r="D31" s="56" t="s">
        <v>166</v>
      </c>
      <c r="E31" s="56" t="s">
        <v>167</v>
      </c>
      <c r="F31" s="57" t="s">
        <v>154</v>
      </c>
      <c r="G31" s="61"/>
      <c r="H31" s="61"/>
      <c r="I31" s="62"/>
      <c r="J31" s="53"/>
    </row>
    <row r="32" ht="24.75" hidden="1" customHeight="1">
      <c r="A32" s="54">
        <v>60.0</v>
      </c>
      <c r="B32" s="56" t="s">
        <v>169</v>
      </c>
      <c r="C32" s="56" t="s">
        <v>165</v>
      </c>
      <c r="D32" s="56" t="s">
        <v>170</v>
      </c>
      <c r="E32" s="56" t="s">
        <v>167</v>
      </c>
      <c r="F32" s="57" t="s">
        <v>154</v>
      </c>
      <c r="G32" s="61"/>
      <c r="H32" s="61"/>
      <c r="I32" s="62"/>
      <c r="J32" s="53"/>
    </row>
    <row r="33" ht="24.75" hidden="1" customHeight="1">
      <c r="A33" s="54">
        <v>60.0</v>
      </c>
      <c r="B33" s="56" t="s">
        <v>171</v>
      </c>
      <c r="C33" s="56" t="s">
        <v>165</v>
      </c>
      <c r="D33" s="56" t="s">
        <v>172</v>
      </c>
      <c r="E33" s="56" t="s">
        <v>167</v>
      </c>
      <c r="F33" s="57" t="s">
        <v>154</v>
      </c>
      <c r="G33" s="61"/>
      <c r="H33" s="61"/>
      <c r="I33" s="62"/>
      <c r="J33" s="53"/>
    </row>
    <row r="34" ht="24.75" hidden="1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167</v>
      </c>
      <c r="F34" s="57" t="s">
        <v>154</v>
      </c>
      <c r="G34" s="61"/>
      <c r="H34" s="61"/>
      <c r="I34" s="62"/>
      <c r="J34" s="53"/>
    </row>
    <row r="35" ht="24.75" hidden="1" customHeight="1">
      <c r="A35" s="54">
        <v>60.0</v>
      </c>
      <c r="B35" s="56" t="s">
        <v>174</v>
      </c>
      <c r="C35" s="56" t="s">
        <v>165</v>
      </c>
      <c r="D35" s="56" t="s">
        <v>175</v>
      </c>
      <c r="E35" s="56" t="s">
        <v>176</v>
      </c>
      <c r="F35" s="57" t="s">
        <v>154</v>
      </c>
      <c r="G35" s="61"/>
      <c r="H35" s="61"/>
      <c r="I35" s="62"/>
      <c r="J35" s="53"/>
    </row>
    <row r="36" ht="24.75" hidden="1" customHeight="1">
      <c r="A36" s="54">
        <v>60.0</v>
      </c>
      <c r="B36" s="56" t="s">
        <v>177</v>
      </c>
      <c r="C36" s="56" t="s">
        <v>165</v>
      </c>
      <c r="D36" s="56" t="s">
        <v>178</v>
      </c>
      <c r="E36" s="56" t="s">
        <v>111</v>
      </c>
      <c r="F36" s="57" t="s">
        <v>154</v>
      </c>
      <c r="G36" s="61"/>
      <c r="H36" s="61"/>
      <c r="I36" s="62"/>
      <c r="J36" s="53"/>
    </row>
    <row r="37" ht="24.75" hidden="1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167</v>
      </c>
      <c r="F37" s="57" t="s">
        <v>154</v>
      </c>
      <c r="G37" s="61"/>
      <c r="H37" s="61"/>
      <c r="I37" s="62"/>
      <c r="J37" s="53"/>
    </row>
    <row r="38" ht="24.75" hidden="1" customHeight="1">
      <c r="A38" s="54">
        <v>60.0</v>
      </c>
      <c r="B38" s="56" t="s">
        <v>179</v>
      </c>
      <c r="C38" s="56" t="s">
        <v>165</v>
      </c>
      <c r="D38" s="56" t="s">
        <v>180</v>
      </c>
      <c r="E38" s="56" t="s">
        <v>176</v>
      </c>
      <c r="F38" s="57" t="s">
        <v>154</v>
      </c>
      <c r="G38" s="61"/>
      <c r="H38" s="61"/>
      <c r="I38" s="62"/>
      <c r="J38" s="53"/>
    </row>
    <row r="39" ht="24.75" hidden="1" customHeight="1">
      <c r="A39" s="54">
        <v>60.0</v>
      </c>
      <c r="B39" s="56" t="s">
        <v>181</v>
      </c>
      <c r="C39" s="56" t="s">
        <v>165</v>
      </c>
      <c r="D39" s="56" t="s">
        <v>178</v>
      </c>
      <c r="E39" s="56" t="s">
        <v>167</v>
      </c>
      <c r="F39" s="57" t="s">
        <v>154</v>
      </c>
      <c r="G39" s="61"/>
      <c r="H39" s="61"/>
      <c r="I39" s="62" t="s">
        <v>14</v>
      </c>
      <c r="J39" s="53"/>
    </row>
    <row r="40" ht="24.75" hidden="1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167</v>
      </c>
      <c r="F40" s="57" t="s">
        <v>154</v>
      </c>
      <c r="G40" s="61"/>
      <c r="H40" s="61"/>
      <c r="I40" s="62"/>
      <c r="J40" s="53"/>
    </row>
    <row r="41" ht="24.75" hidden="1" customHeight="1">
      <c r="A41" s="54">
        <v>60.0</v>
      </c>
      <c r="B41" s="56" t="s">
        <v>182</v>
      </c>
      <c r="C41" s="56" t="s">
        <v>165</v>
      </c>
      <c r="D41" s="56" t="s">
        <v>183</v>
      </c>
      <c r="E41" s="56" t="s">
        <v>176</v>
      </c>
      <c r="F41" s="57" t="s">
        <v>154</v>
      </c>
      <c r="G41" s="61"/>
      <c r="H41" s="61"/>
      <c r="I41" s="62"/>
      <c r="J41" s="53"/>
    </row>
    <row r="42" ht="24.75" hidden="1" customHeight="1">
      <c r="A42" s="54">
        <v>60.0</v>
      </c>
      <c r="B42" s="56" t="s">
        <v>184</v>
      </c>
      <c r="C42" s="56" t="s">
        <v>165</v>
      </c>
      <c r="D42" s="56" t="s">
        <v>178</v>
      </c>
      <c r="E42" s="56" t="s">
        <v>167</v>
      </c>
      <c r="F42" s="57" t="s">
        <v>154</v>
      </c>
      <c r="G42" s="61"/>
      <c r="H42" s="61"/>
      <c r="I42" s="62"/>
      <c r="J42" s="53"/>
    </row>
    <row r="43" ht="24.75" hidden="1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167</v>
      </c>
      <c r="F43" s="57" t="s">
        <v>154</v>
      </c>
      <c r="G43" s="61"/>
      <c r="H43" s="61"/>
      <c r="I43" s="62"/>
      <c r="J43" s="53"/>
    </row>
    <row r="44" ht="24.75" hidden="1" customHeight="1">
      <c r="A44" s="54">
        <v>60.0</v>
      </c>
      <c r="B44" s="56" t="s">
        <v>185</v>
      </c>
      <c r="C44" s="56" t="s">
        <v>165</v>
      </c>
      <c r="D44" s="56" t="s">
        <v>186</v>
      </c>
      <c r="E44" s="56" t="s">
        <v>176</v>
      </c>
      <c r="F44" s="57" t="s">
        <v>154</v>
      </c>
      <c r="G44" s="61"/>
      <c r="H44" s="61"/>
      <c r="I44" s="62"/>
      <c r="J44" s="53"/>
    </row>
    <row r="45" ht="24.75" hidden="1" customHeight="1">
      <c r="A45" s="54">
        <v>60.0</v>
      </c>
      <c r="B45" s="56" t="s">
        <v>187</v>
      </c>
      <c r="C45" s="56" t="s">
        <v>165</v>
      </c>
      <c r="D45" s="56" t="s">
        <v>178</v>
      </c>
      <c r="E45" s="56" t="s">
        <v>167</v>
      </c>
      <c r="F45" s="57" t="s">
        <v>154</v>
      </c>
      <c r="G45" s="61"/>
      <c r="H45" s="61"/>
      <c r="I45" s="62"/>
      <c r="J45" s="53"/>
    </row>
    <row r="46" ht="24.75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191</v>
      </c>
      <c r="F46" s="57" t="s">
        <v>192</v>
      </c>
      <c r="G46" s="61"/>
      <c r="H46" s="61"/>
      <c r="I46" s="62"/>
      <c r="J46" s="53"/>
    </row>
    <row r="47" ht="24.75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194</v>
      </c>
      <c r="F47" s="57" t="s">
        <v>192</v>
      </c>
      <c r="G47" s="61"/>
      <c r="H47" s="61"/>
      <c r="I47" s="62"/>
      <c r="J47" s="53"/>
    </row>
    <row r="48" ht="24.75" hidden="1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195</v>
      </c>
      <c r="F48" s="57" t="s">
        <v>34</v>
      </c>
      <c r="G48" s="61"/>
      <c r="H48" s="61" t="s">
        <v>197</v>
      </c>
      <c r="I48" s="62"/>
      <c r="J48" s="53"/>
    </row>
    <row r="49" ht="24.75" hidden="1" customHeight="1">
      <c r="A49" s="54">
        <v>80.0</v>
      </c>
      <c r="B49" s="56" t="s">
        <v>188</v>
      </c>
      <c r="C49" s="56" t="s">
        <v>189</v>
      </c>
      <c r="D49" s="56" t="s">
        <v>190</v>
      </c>
      <c r="E49" s="56" t="s">
        <v>196</v>
      </c>
      <c r="F49" s="57" t="s">
        <v>250</v>
      </c>
      <c r="G49" s="61"/>
      <c r="H49" s="61" t="s">
        <v>200</v>
      </c>
      <c r="I49" s="62" t="s">
        <v>201</v>
      </c>
      <c r="J49" s="53"/>
    </row>
    <row r="50" ht="24.75" hidden="1" customHeight="1">
      <c r="A50" s="54">
        <v>80.0</v>
      </c>
      <c r="B50" s="56" t="s">
        <v>198</v>
      </c>
      <c r="C50" s="56" t="s">
        <v>189</v>
      </c>
      <c r="D50" s="56" t="s">
        <v>199</v>
      </c>
      <c r="E50" s="56" t="s">
        <v>163</v>
      </c>
      <c r="F50" s="57" t="s">
        <v>154</v>
      </c>
      <c r="G50" s="61"/>
      <c r="H50" s="61"/>
      <c r="I50" s="62" t="s">
        <v>207</v>
      </c>
      <c r="J50" s="53"/>
    </row>
    <row r="51" ht="24.75" hidden="1" customHeight="1">
      <c r="A51" s="54">
        <v>80.0</v>
      </c>
      <c r="B51" s="56" t="s">
        <v>203</v>
      </c>
      <c r="C51" s="56" t="s">
        <v>204</v>
      </c>
      <c r="D51" s="56" t="s">
        <v>205</v>
      </c>
      <c r="E51" s="56" t="s">
        <v>208</v>
      </c>
      <c r="F51" s="57" t="s">
        <v>154</v>
      </c>
      <c r="G51" s="61"/>
      <c r="H51" s="61"/>
      <c r="I51" s="62" t="s">
        <v>207</v>
      </c>
      <c r="J51" s="53"/>
    </row>
    <row r="52" ht="24.75" hidden="1" customHeight="1">
      <c r="A52" s="54">
        <v>80.0</v>
      </c>
      <c r="B52" s="56" t="s">
        <v>210</v>
      </c>
      <c r="C52" s="56" t="s">
        <v>189</v>
      </c>
      <c r="D52" s="56" t="s">
        <v>212</v>
      </c>
      <c r="E52" s="56" t="s">
        <v>213</v>
      </c>
      <c r="F52" s="57"/>
      <c r="G52" s="61"/>
      <c r="H52" s="61"/>
      <c r="I52" s="62"/>
      <c r="J52" s="53"/>
    </row>
    <row r="53" ht="24.75" hidden="1" customHeight="1">
      <c r="A53" s="54">
        <v>80.0</v>
      </c>
      <c r="B53" s="56" t="s">
        <v>214</v>
      </c>
      <c r="C53" s="56" t="s">
        <v>204</v>
      </c>
      <c r="D53" s="56" t="s">
        <v>215</v>
      </c>
      <c r="E53" s="56" t="s">
        <v>216</v>
      </c>
      <c r="F53" s="57" t="s">
        <v>154</v>
      </c>
      <c r="G53" s="61"/>
      <c r="H53" s="61"/>
      <c r="I53" s="62" t="s">
        <v>207</v>
      </c>
      <c r="J53" s="53"/>
    </row>
    <row r="54" ht="24.75" hidden="1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217</v>
      </c>
      <c r="F54" s="57" t="s">
        <v>154</v>
      </c>
      <c r="G54" s="61"/>
      <c r="H54" s="61"/>
      <c r="I54" s="62" t="s">
        <v>207</v>
      </c>
      <c r="J54" s="53"/>
    </row>
    <row r="55" ht="24.75" hidden="1" customHeight="1">
      <c r="A55" s="54">
        <v>80.0</v>
      </c>
      <c r="B55" s="56" t="s">
        <v>214</v>
      </c>
      <c r="C55" s="56" t="s">
        <v>204</v>
      </c>
      <c r="D55" s="56" t="s">
        <v>215</v>
      </c>
      <c r="E55" s="56" t="s">
        <v>163</v>
      </c>
      <c r="F55" s="57" t="s">
        <v>154</v>
      </c>
      <c r="G55" s="61"/>
      <c r="H55" s="61"/>
      <c r="I55" s="62" t="s">
        <v>207</v>
      </c>
      <c r="J55" s="53"/>
    </row>
    <row r="56" ht="24.75" customHeight="1">
      <c r="A56" s="54">
        <v>80.0</v>
      </c>
      <c r="B56" s="56" t="s">
        <v>218</v>
      </c>
      <c r="C56" s="56" t="s">
        <v>204</v>
      </c>
      <c r="D56" s="56" t="s">
        <v>219</v>
      </c>
      <c r="E56" s="56" t="s">
        <v>191</v>
      </c>
      <c r="F56" s="57" t="s">
        <v>192</v>
      </c>
      <c r="G56" s="61"/>
      <c r="H56" s="61"/>
      <c r="I56" s="62"/>
      <c r="J56" s="53"/>
    </row>
    <row r="57" ht="24.75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194</v>
      </c>
      <c r="F57" s="57" t="s">
        <v>192</v>
      </c>
      <c r="G57" s="61"/>
      <c r="H57" s="61"/>
      <c r="I57" s="62"/>
      <c r="J57" s="53"/>
    </row>
    <row r="58" ht="24.75" hidden="1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195</v>
      </c>
      <c r="F58" s="57" t="s">
        <v>34</v>
      </c>
      <c r="G58" s="61"/>
      <c r="H58" s="61" t="s">
        <v>197</v>
      </c>
      <c r="I58" s="62"/>
      <c r="J58" s="53"/>
    </row>
    <row r="59" ht="24.75" hidden="1" customHeight="1">
      <c r="A59" s="54">
        <v>80.0</v>
      </c>
      <c r="B59" s="56" t="s">
        <v>218</v>
      </c>
      <c r="C59" s="56" t="s">
        <v>204</v>
      </c>
      <c r="D59" s="56" t="s">
        <v>219</v>
      </c>
      <c r="E59" s="56" t="s">
        <v>196</v>
      </c>
      <c r="F59" s="57" t="s">
        <v>250</v>
      </c>
      <c r="G59" s="61"/>
      <c r="H59" s="61" t="s">
        <v>200</v>
      </c>
      <c r="I59" s="62" t="s">
        <v>201</v>
      </c>
      <c r="J59" s="53"/>
    </row>
    <row r="60" ht="24.75" hidden="1" customHeight="1">
      <c r="A60" s="54">
        <v>80.0</v>
      </c>
      <c r="B60" s="56" t="s">
        <v>220</v>
      </c>
      <c r="C60" s="56" t="s">
        <v>204</v>
      </c>
      <c r="D60" s="56" t="s">
        <v>221</v>
      </c>
      <c r="E60" s="56" t="s">
        <v>222</v>
      </c>
      <c r="F60" s="57" t="s">
        <v>154</v>
      </c>
      <c r="G60" s="61"/>
      <c r="H60" s="61"/>
      <c r="I60" s="62"/>
      <c r="J60" s="53"/>
    </row>
    <row r="61" ht="24.75" hidden="1" customHeight="1">
      <c r="A61" s="54">
        <v>80.0</v>
      </c>
      <c r="B61" s="56" t="s">
        <v>223</v>
      </c>
      <c r="C61" s="56" t="s">
        <v>204</v>
      </c>
      <c r="D61" s="56" t="s">
        <v>224</v>
      </c>
      <c r="E61" s="56" t="s">
        <v>225</v>
      </c>
      <c r="F61" s="57" t="s">
        <v>34</v>
      </c>
      <c r="G61" s="61"/>
      <c r="H61" s="61"/>
      <c r="I61" s="62"/>
      <c r="J61" s="53"/>
    </row>
    <row r="62" ht="24.75" hidden="1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167</v>
      </c>
      <c r="F62" s="57" t="s">
        <v>154</v>
      </c>
      <c r="G62" s="61"/>
      <c r="H62" s="61"/>
      <c r="I62" s="62"/>
      <c r="J62" s="53"/>
    </row>
    <row r="63" ht="24.75" hidden="1" customHeight="1">
      <c r="A63" s="54">
        <v>80.0</v>
      </c>
      <c r="B63" s="56" t="s">
        <v>223</v>
      </c>
      <c r="C63" s="56" t="s">
        <v>204</v>
      </c>
      <c r="D63" s="56" t="s">
        <v>224</v>
      </c>
      <c r="E63" s="56" t="s">
        <v>226</v>
      </c>
      <c r="F63" s="57" t="s">
        <v>154</v>
      </c>
      <c r="G63" s="61"/>
      <c r="H63" s="61"/>
      <c r="I63" s="62"/>
      <c r="J63" s="53"/>
    </row>
    <row r="64" ht="24.75" hidden="1" customHeight="1">
      <c r="A64" s="54">
        <v>80.0</v>
      </c>
      <c r="B64" s="56" t="s">
        <v>227</v>
      </c>
      <c r="C64" s="56" t="s">
        <v>228</v>
      </c>
      <c r="D64" s="56" t="s">
        <v>229</v>
      </c>
      <c r="E64" s="56" t="s">
        <v>230</v>
      </c>
      <c r="F64" s="57" t="s">
        <v>154</v>
      </c>
      <c r="G64" s="61"/>
      <c r="H64" s="61"/>
      <c r="I64" s="62"/>
      <c r="J64" s="53"/>
    </row>
    <row r="65" ht="24.75" hidden="1" customHeight="1">
      <c r="A65" s="54">
        <v>80.0</v>
      </c>
      <c r="B65" s="56" t="s">
        <v>227</v>
      </c>
      <c r="C65" s="56" t="s">
        <v>228</v>
      </c>
      <c r="D65" s="56" t="s">
        <v>231</v>
      </c>
      <c r="E65" s="56" t="s">
        <v>232</v>
      </c>
      <c r="F65" s="57" t="s">
        <v>250</v>
      </c>
      <c r="G65" s="61"/>
      <c r="H65" s="61" t="s">
        <v>200</v>
      </c>
      <c r="I65" s="62" t="s">
        <v>240</v>
      </c>
      <c r="J65" s="53"/>
    </row>
    <row r="66" ht="24.75" customHeight="1">
      <c r="A66" s="54">
        <v>92.0</v>
      </c>
      <c r="B66" s="56" t="s">
        <v>233</v>
      </c>
      <c r="C66" s="56" t="s">
        <v>234</v>
      </c>
      <c r="D66" s="56" t="s">
        <v>235</v>
      </c>
      <c r="E66" s="56" t="s">
        <v>111</v>
      </c>
      <c r="F66" s="57" t="s">
        <v>87</v>
      </c>
      <c r="G66" s="61"/>
      <c r="H66" s="61"/>
      <c r="I66" s="60" t="s">
        <v>243</v>
      </c>
      <c r="J66" s="53"/>
    </row>
    <row r="67" ht="24.75" hidden="1" customHeight="1">
      <c r="A67" s="54">
        <v>90.0</v>
      </c>
      <c r="B67" s="56" t="s">
        <v>236</v>
      </c>
      <c r="C67" s="56" t="s">
        <v>237</v>
      </c>
      <c r="D67" s="56" t="s">
        <v>238</v>
      </c>
      <c r="E67" s="56" t="s">
        <v>239</v>
      </c>
      <c r="F67" s="57" t="s">
        <v>34</v>
      </c>
      <c r="G67" s="61"/>
      <c r="H67" s="61"/>
      <c r="I67" s="62" t="s">
        <v>245</v>
      </c>
      <c r="J67" s="53"/>
    </row>
    <row r="68" ht="24.75" hidden="1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241</v>
      </c>
      <c r="F68" s="57" t="s">
        <v>34</v>
      </c>
      <c r="G68" s="61"/>
      <c r="H68" s="61"/>
      <c r="I68" s="62" t="s">
        <v>245</v>
      </c>
      <c r="J68" s="53"/>
    </row>
    <row r="69" ht="24.75" hidden="1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242</v>
      </c>
      <c r="F69" s="57" t="s">
        <v>34</v>
      </c>
      <c r="G69" s="61"/>
      <c r="H69" s="61"/>
      <c r="I69" s="62" t="s">
        <v>245</v>
      </c>
      <c r="J69" s="53"/>
    </row>
    <row r="70" ht="24.75" hidden="1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244</v>
      </c>
      <c r="F70" s="57" t="s">
        <v>34</v>
      </c>
      <c r="G70" s="61"/>
      <c r="H70" s="61"/>
      <c r="I70" s="62" t="s">
        <v>245</v>
      </c>
      <c r="J70" s="53"/>
    </row>
    <row r="71" ht="24.75" hidden="1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247</v>
      </c>
      <c r="F71" s="57" t="s">
        <v>34</v>
      </c>
      <c r="G71" s="61"/>
      <c r="H71" s="61"/>
      <c r="I71" s="62" t="s">
        <v>245</v>
      </c>
      <c r="J71" s="53"/>
    </row>
    <row r="72" ht="24.75" hidden="1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248</v>
      </c>
      <c r="F72" s="57" t="s">
        <v>34</v>
      </c>
      <c r="G72" s="61"/>
      <c r="H72" s="61"/>
      <c r="I72" s="62"/>
      <c r="J72" s="53"/>
    </row>
    <row r="73" ht="24.75" hidden="1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252</v>
      </c>
      <c r="F73" s="57" t="s">
        <v>34</v>
      </c>
      <c r="G73" s="61"/>
      <c r="H73" s="61"/>
      <c r="I73" s="62" t="s">
        <v>245</v>
      </c>
      <c r="J73" s="53"/>
    </row>
    <row r="74" ht="24.75" customHeight="1">
      <c r="A74" s="54">
        <v>92.0</v>
      </c>
      <c r="B74" s="56" t="s">
        <v>253</v>
      </c>
      <c r="C74" s="56" t="s">
        <v>234</v>
      </c>
      <c r="D74" s="56" t="s">
        <v>254</v>
      </c>
      <c r="E74" s="56" t="s">
        <v>111</v>
      </c>
      <c r="F74" s="57" t="s">
        <v>87</v>
      </c>
      <c r="G74" s="61"/>
      <c r="H74" s="61"/>
      <c r="I74" s="60" t="s">
        <v>243</v>
      </c>
      <c r="J74" s="53"/>
    </row>
    <row r="75" ht="24.75" customHeight="1">
      <c r="A75" s="54">
        <v>92.0</v>
      </c>
      <c r="B75" s="56" t="s">
        <v>255</v>
      </c>
      <c r="C75" s="56" t="s">
        <v>234</v>
      </c>
      <c r="D75" s="56" t="s">
        <v>256</v>
      </c>
      <c r="E75" s="56" t="s">
        <v>257</v>
      </c>
      <c r="F75" s="57" t="s">
        <v>87</v>
      </c>
      <c r="G75" s="61"/>
      <c r="H75" s="61"/>
      <c r="I75" s="60"/>
      <c r="J75" s="53"/>
    </row>
    <row r="76" ht="24.75" customHeight="1">
      <c r="A76" s="54">
        <v>110.0</v>
      </c>
      <c r="B76" s="56" t="s">
        <v>258</v>
      </c>
      <c r="C76" s="56" t="s">
        <v>259</v>
      </c>
      <c r="D76" s="56" t="s">
        <v>85</v>
      </c>
      <c r="E76" s="56" t="s">
        <v>86</v>
      </c>
      <c r="F76" s="57" t="s">
        <v>87</v>
      </c>
      <c r="G76" s="61"/>
      <c r="H76" s="61"/>
      <c r="I76" s="60" t="s">
        <v>88</v>
      </c>
      <c r="J76" s="53"/>
    </row>
    <row r="77" ht="24.75" customHeight="1">
      <c r="A77" s="54">
        <v>110.0</v>
      </c>
      <c r="B77" s="56" t="s">
        <v>260</v>
      </c>
      <c r="C77" s="56" t="s">
        <v>259</v>
      </c>
      <c r="D77" s="56" t="s">
        <v>261</v>
      </c>
      <c r="E77" s="56" t="s">
        <v>86</v>
      </c>
      <c r="F77" s="57" t="s">
        <v>87</v>
      </c>
      <c r="G77" s="61"/>
      <c r="H77" s="61"/>
      <c r="I77" s="60" t="s">
        <v>88</v>
      </c>
      <c r="J77" s="53"/>
    </row>
    <row r="78" ht="24.75" customHeight="1">
      <c r="A78" s="54">
        <v>120.0</v>
      </c>
      <c r="B78" s="56" t="s">
        <v>262</v>
      </c>
      <c r="C78" s="56" t="s">
        <v>263</v>
      </c>
      <c r="D78" s="56" t="s">
        <v>263</v>
      </c>
      <c r="E78" s="56" t="s">
        <v>264</v>
      </c>
      <c r="F78" s="57" t="s">
        <v>87</v>
      </c>
      <c r="G78" s="61"/>
      <c r="H78" s="61"/>
      <c r="I78" s="60" t="s">
        <v>273</v>
      </c>
      <c r="J78" s="53"/>
    </row>
    <row r="79" ht="24.75" customHeight="1">
      <c r="A79" s="54">
        <v>90.0</v>
      </c>
      <c r="B79" s="56" t="s">
        <v>265</v>
      </c>
      <c r="C79" s="56" t="s">
        <v>237</v>
      </c>
      <c r="D79" s="56" t="s">
        <v>266</v>
      </c>
      <c r="E79" s="56" t="s">
        <v>267</v>
      </c>
      <c r="F79" s="57" t="s">
        <v>192</v>
      </c>
      <c r="G79" s="61"/>
      <c r="H79" s="61"/>
      <c r="I79" s="62" t="s">
        <v>245</v>
      </c>
      <c r="J79" s="53"/>
    </row>
    <row r="80" ht="24.75" hidden="1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268</v>
      </c>
      <c r="F80" s="57" t="s">
        <v>34</v>
      </c>
      <c r="G80" s="61"/>
      <c r="H80" s="61"/>
      <c r="I80" s="62" t="s">
        <v>245</v>
      </c>
      <c r="J80" s="53"/>
    </row>
    <row r="81" ht="24.75" customHeight="1">
      <c r="A81" s="54">
        <v>140.0</v>
      </c>
      <c r="B81" s="56" t="s">
        <v>269</v>
      </c>
      <c r="C81" s="56" t="s">
        <v>270</v>
      </c>
      <c r="D81" s="56" t="s">
        <v>271</v>
      </c>
      <c r="E81" s="56" t="s">
        <v>272</v>
      </c>
      <c r="F81" s="57" t="s">
        <v>87</v>
      </c>
      <c r="G81" s="61"/>
      <c r="H81" s="61"/>
      <c r="I81" s="60"/>
      <c r="J81" s="53"/>
    </row>
    <row r="82" ht="24.75" hidden="1" customHeight="1">
      <c r="A82" s="54">
        <v>90.0</v>
      </c>
      <c r="B82" s="56" t="s">
        <v>274</v>
      </c>
      <c r="C82" s="56" t="s">
        <v>237</v>
      </c>
      <c r="D82" s="56" t="s">
        <v>275</v>
      </c>
      <c r="E82" s="56" t="s">
        <v>239</v>
      </c>
      <c r="F82" s="57" t="s">
        <v>34</v>
      </c>
      <c r="G82" s="61"/>
      <c r="H82" s="61"/>
      <c r="I82" s="62" t="s">
        <v>245</v>
      </c>
      <c r="J82" s="53"/>
    </row>
    <row r="83" ht="24.75" hidden="1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248</v>
      </c>
      <c r="F83" s="57" t="s">
        <v>34</v>
      </c>
      <c r="G83" s="61"/>
      <c r="H83" s="61"/>
      <c r="I83" s="62"/>
      <c r="J83" s="53"/>
    </row>
    <row r="84" ht="24.75" customHeight="1">
      <c r="A84" s="54">
        <v>140.0</v>
      </c>
      <c r="B84" s="56" t="s">
        <v>269</v>
      </c>
      <c r="C84" s="56" t="s">
        <v>270</v>
      </c>
      <c r="D84" s="56" t="s">
        <v>271</v>
      </c>
      <c r="E84" s="56" t="s">
        <v>276</v>
      </c>
      <c r="F84" s="57" t="s">
        <v>87</v>
      </c>
      <c r="G84" s="61"/>
      <c r="H84" s="61"/>
      <c r="I84" s="60" t="s">
        <v>88</v>
      </c>
      <c r="J84" s="53"/>
    </row>
    <row r="85" ht="24.75" hidden="1" customHeight="1">
      <c r="A85" s="54">
        <v>90.0</v>
      </c>
      <c r="B85" s="56" t="s">
        <v>277</v>
      </c>
      <c r="C85" s="56" t="s">
        <v>278</v>
      </c>
      <c r="D85" s="56" t="s">
        <v>279</v>
      </c>
      <c r="E85" s="56" t="s">
        <v>239</v>
      </c>
      <c r="F85" s="57" t="s">
        <v>34</v>
      </c>
      <c r="G85" s="61"/>
      <c r="H85" s="61"/>
      <c r="I85" s="62" t="s">
        <v>283</v>
      </c>
      <c r="J85" s="53"/>
    </row>
    <row r="86" ht="24.75" hidden="1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163</v>
      </c>
      <c r="F86" s="57" t="s">
        <v>34</v>
      </c>
      <c r="G86" s="61"/>
      <c r="H86" s="61"/>
      <c r="I86" s="62" t="s">
        <v>283</v>
      </c>
      <c r="J86" s="53"/>
    </row>
    <row r="87" ht="24.75" hidden="1" customHeight="1">
      <c r="A87" s="54">
        <v>90.0</v>
      </c>
      <c r="B87" s="56" t="s">
        <v>277</v>
      </c>
      <c r="C87" s="56" t="s">
        <v>278</v>
      </c>
      <c r="D87" s="56" t="s">
        <v>279</v>
      </c>
      <c r="E87" s="56" t="s">
        <v>241</v>
      </c>
      <c r="F87" s="57" t="s">
        <v>34</v>
      </c>
      <c r="G87" s="61"/>
      <c r="H87" s="61"/>
      <c r="I87" s="62" t="s">
        <v>283</v>
      </c>
      <c r="J87" s="53"/>
    </row>
    <row r="88" ht="24.75" hidden="1" customHeight="1">
      <c r="A88" s="54">
        <v>90.0</v>
      </c>
      <c r="B88" s="56" t="s">
        <v>280</v>
      </c>
      <c r="C88" s="56" t="s">
        <v>278</v>
      </c>
      <c r="D88" s="56" t="s">
        <v>281</v>
      </c>
      <c r="E88" s="56" t="s">
        <v>196</v>
      </c>
      <c r="F88" s="57" t="s">
        <v>250</v>
      </c>
      <c r="G88" s="61"/>
      <c r="H88" s="61" t="s">
        <v>287</v>
      </c>
      <c r="I88" s="62" t="s">
        <v>288</v>
      </c>
      <c r="J88" s="53"/>
    </row>
    <row r="89" ht="24.75" customHeight="1">
      <c r="A89" s="54">
        <v>140.0</v>
      </c>
      <c r="B89" s="56" t="s">
        <v>284</v>
      </c>
      <c r="C89" s="56" t="s">
        <v>270</v>
      </c>
      <c r="D89" s="56" t="s">
        <v>285</v>
      </c>
      <c r="E89" s="56" t="s">
        <v>272</v>
      </c>
      <c r="F89" s="57" t="s">
        <v>87</v>
      </c>
      <c r="G89" s="61"/>
      <c r="H89" s="61"/>
      <c r="I89" s="60"/>
      <c r="J89" s="53"/>
    </row>
    <row r="90" ht="24.75" customHeight="1">
      <c r="A90" s="54">
        <v>140.0</v>
      </c>
      <c r="B90" s="56" t="s">
        <v>284</v>
      </c>
      <c r="C90" s="56" t="s">
        <v>270</v>
      </c>
      <c r="D90" s="56" t="s">
        <v>285</v>
      </c>
      <c r="E90" s="56" t="s">
        <v>276</v>
      </c>
      <c r="F90" s="57" t="s">
        <v>87</v>
      </c>
      <c r="G90" s="61"/>
      <c r="H90" s="61"/>
      <c r="I90" s="60" t="s">
        <v>88</v>
      </c>
      <c r="J90" s="53"/>
    </row>
    <row r="91" ht="24.75" hidden="1" customHeight="1">
      <c r="A91" s="54">
        <v>90.0</v>
      </c>
      <c r="B91" s="56" t="s">
        <v>286</v>
      </c>
      <c r="C91" s="56" t="s">
        <v>278</v>
      </c>
      <c r="D91" s="56" t="s">
        <v>266</v>
      </c>
      <c r="E91" s="56" t="s">
        <v>268</v>
      </c>
      <c r="F91" s="57" t="s">
        <v>34</v>
      </c>
      <c r="G91" s="61"/>
      <c r="H91" s="61"/>
      <c r="I91" s="62" t="s">
        <v>283</v>
      </c>
      <c r="J91" s="53"/>
    </row>
    <row r="92" ht="24.75" customHeight="1">
      <c r="A92" s="54" t="s">
        <v>289</v>
      </c>
      <c r="B92" s="56" t="s">
        <v>290</v>
      </c>
      <c r="C92" s="56" t="s">
        <v>291</v>
      </c>
      <c r="D92" s="56" t="s">
        <v>292</v>
      </c>
      <c r="E92" s="56" t="s">
        <v>167</v>
      </c>
      <c r="F92" s="57" t="s">
        <v>87</v>
      </c>
      <c r="G92" s="61"/>
      <c r="H92" s="79"/>
      <c r="I92" s="60"/>
      <c r="J92" s="53"/>
    </row>
    <row r="93" ht="24.75" hidden="1" customHeight="1">
      <c r="A93" s="54">
        <v>90.0</v>
      </c>
      <c r="B93" s="56" t="s">
        <v>294</v>
      </c>
      <c r="C93" s="56" t="s">
        <v>278</v>
      </c>
      <c r="D93" s="56" t="s">
        <v>275</v>
      </c>
      <c r="E93" s="56" t="s">
        <v>239</v>
      </c>
      <c r="F93" s="57" t="s">
        <v>34</v>
      </c>
      <c r="G93" s="61"/>
      <c r="H93" s="61"/>
      <c r="I93" s="62"/>
      <c r="J93" s="53"/>
    </row>
    <row r="94" ht="24.75" customHeight="1">
      <c r="A94" s="54" t="s">
        <v>289</v>
      </c>
      <c r="B94" s="56" t="s">
        <v>290</v>
      </c>
      <c r="C94" s="56" t="s">
        <v>291</v>
      </c>
      <c r="D94" s="56" t="s">
        <v>292</v>
      </c>
      <c r="E94" s="56" t="s">
        <v>295</v>
      </c>
      <c r="F94" s="57" t="s">
        <v>87</v>
      </c>
      <c r="G94" s="61"/>
      <c r="H94" s="79"/>
      <c r="I94" s="60"/>
      <c r="J94" s="53"/>
    </row>
    <row r="95" ht="24.75" hidden="1" customHeight="1">
      <c r="A95" s="54">
        <v>92.0</v>
      </c>
      <c r="B95" s="56" t="s">
        <v>233</v>
      </c>
      <c r="C95" s="56" t="s">
        <v>234</v>
      </c>
      <c r="D95" s="56" t="s">
        <v>296</v>
      </c>
      <c r="E95" s="56" t="s">
        <v>297</v>
      </c>
      <c r="F95" s="57"/>
      <c r="G95" s="61"/>
      <c r="H95" s="61"/>
      <c r="I95" s="62" t="s">
        <v>283</v>
      </c>
      <c r="J95" s="53"/>
    </row>
    <row r="96" ht="24.75" hidden="1" customHeight="1">
      <c r="A96" s="54">
        <v>90.0</v>
      </c>
      <c r="B96" s="56" t="s">
        <v>298</v>
      </c>
      <c r="C96" s="56" t="s">
        <v>278</v>
      </c>
      <c r="D96" s="56" t="s">
        <v>299</v>
      </c>
      <c r="E96" s="56" t="s">
        <v>167</v>
      </c>
      <c r="F96" s="57" t="s">
        <v>15</v>
      </c>
      <c r="G96" s="61"/>
      <c r="H96" s="61"/>
      <c r="I96" s="60"/>
      <c r="J96" s="53"/>
    </row>
    <row r="97" ht="24.75" hidden="1" customHeight="1">
      <c r="A97" s="54">
        <v>92.0</v>
      </c>
      <c r="B97" s="56" t="s">
        <v>253</v>
      </c>
      <c r="C97" s="56" t="s">
        <v>234</v>
      </c>
      <c r="D97" s="56" t="s">
        <v>300</v>
      </c>
      <c r="E97" s="56" t="s">
        <v>297</v>
      </c>
      <c r="F97" s="57"/>
      <c r="G97" s="61"/>
      <c r="H97" s="61"/>
      <c r="I97" s="62" t="s">
        <v>283</v>
      </c>
      <c r="J97" s="53"/>
    </row>
    <row r="98" ht="24.75" hidden="1" customHeight="1">
      <c r="A98" s="54">
        <v>92.0</v>
      </c>
      <c r="B98" s="56" t="s">
        <v>301</v>
      </c>
      <c r="C98" s="56" t="s">
        <v>234</v>
      </c>
      <c r="D98" s="56" t="s">
        <v>302</v>
      </c>
      <c r="E98" s="56" t="s">
        <v>163</v>
      </c>
      <c r="F98" s="57" t="s">
        <v>34</v>
      </c>
      <c r="G98" s="61"/>
      <c r="H98" s="61"/>
      <c r="I98" s="62"/>
      <c r="J98" s="53"/>
    </row>
    <row r="99" ht="24.75" hidden="1" customHeight="1">
      <c r="A99" s="54">
        <v>92.0</v>
      </c>
      <c r="B99" s="56" t="s">
        <v>301</v>
      </c>
      <c r="C99" s="56" t="s">
        <v>234</v>
      </c>
      <c r="D99" s="56" t="s">
        <v>302</v>
      </c>
      <c r="E99" s="56" t="s">
        <v>111</v>
      </c>
      <c r="F99" s="57" t="s">
        <v>154</v>
      </c>
      <c r="G99" s="61"/>
      <c r="H99" s="61"/>
      <c r="I99" s="62"/>
      <c r="J99" s="53"/>
    </row>
    <row r="100" ht="24.75" hidden="1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248</v>
      </c>
      <c r="F100" s="57" t="s">
        <v>303</v>
      </c>
      <c r="G100" s="61"/>
      <c r="H100" s="61"/>
      <c r="I100" s="62"/>
      <c r="J100" s="53"/>
    </row>
    <row r="101" ht="24.75" hidden="1" customHeight="1">
      <c r="A101" s="54">
        <v>92.0</v>
      </c>
      <c r="B101" s="56" t="s">
        <v>301</v>
      </c>
      <c r="C101" s="56" t="s">
        <v>234</v>
      </c>
      <c r="D101" s="56" t="s">
        <v>302</v>
      </c>
      <c r="E101" s="56" t="s">
        <v>247</v>
      </c>
      <c r="F101" s="57" t="s">
        <v>303</v>
      </c>
      <c r="G101" s="61"/>
      <c r="H101" s="61"/>
      <c r="I101" s="62"/>
      <c r="J101" s="53"/>
    </row>
    <row r="102" ht="24.75" hidden="1" customHeight="1">
      <c r="A102" s="54">
        <v>92.0</v>
      </c>
      <c r="B102" s="56" t="s">
        <v>304</v>
      </c>
      <c r="C102" s="56" t="s">
        <v>234</v>
      </c>
      <c r="D102" s="56" t="s">
        <v>305</v>
      </c>
      <c r="E102" s="56" t="s">
        <v>163</v>
      </c>
      <c r="F102" s="57" t="s">
        <v>34</v>
      </c>
      <c r="G102" s="61"/>
      <c r="H102" s="61"/>
      <c r="I102" s="62"/>
      <c r="J102" s="53"/>
    </row>
    <row r="103" ht="24.75" hidden="1" customHeight="1">
      <c r="A103" s="54">
        <v>92.0</v>
      </c>
      <c r="B103" s="56" t="s">
        <v>304</v>
      </c>
      <c r="C103" s="56" t="s">
        <v>234</v>
      </c>
      <c r="D103" s="56" t="s">
        <v>305</v>
      </c>
      <c r="E103" s="56" t="s">
        <v>111</v>
      </c>
      <c r="F103" s="57" t="s">
        <v>154</v>
      </c>
      <c r="G103" s="61"/>
      <c r="H103" s="61"/>
      <c r="I103" s="62"/>
      <c r="J103" s="53"/>
    </row>
    <row r="104" ht="24.75" hidden="1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248</v>
      </c>
      <c r="F104" s="57" t="s">
        <v>303</v>
      </c>
      <c r="G104" s="61"/>
      <c r="H104" s="61"/>
      <c r="I104" s="62"/>
      <c r="J104" s="53"/>
    </row>
    <row r="105" ht="24.75" hidden="1" customHeight="1">
      <c r="A105" s="54">
        <v>92.0</v>
      </c>
      <c r="B105" s="56" t="s">
        <v>304</v>
      </c>
      <c r="C105" s="56" t="s">
        <v>234</v>
      </c>
      <c r="D105" s="56" t="s">
        <v>305</v>
      </c>
      <c r="E105" s="56" t="s">
        <v>247</v>
      </c>
      <c r="F105" s="57" t="s">
        <v>303</v>
      </c>
      <c r="G105" s="61"/>
      <c r="H105" s="61"/>
      <c r="I105" s="62"/>
      <c r="J105" s="53"/>
    </row>
    <row r="106" ht="24.75" hidden="1" customHeight="1">
      <c r="A106" s="54">
        <v>92.0</v>
      </c>
      <c r="B106" s="56" t="s">
        <v>306</v>
      </c>
      <c r="C106" s="56" t="s">
        <v>234</v>
      </c>
      <c r="D106" s="56" t="s">
        <v>307</v>
      </c>
      <c r="E106" s="56" t="s">
        <v>163</v>
      </c>
      <c r="F106" s="57" t="s">
        <v>34</v>
      </c>
      <c r="G106" s="61"/>
      <c r="H106" s="61"/>
      <c r="I106" s="62"/>
      <c r="J106" s="53"/>
    </row>
    <row r="107" ht="24.75" hidden="1" customHeight="1">
      <c r="A107" s="54">
        <v>92.0</v>
      </c>
      <c r="B107" s="56" t="s">
        <v>306</v>
      </c>
      <c r="C107" s="56" t="s">
        <v>234</v>
      </c>
      <c r="D107" s="56" t="s">
        <v>307</v>
      </c>
      <c r="E107" s="56" t="s">
        <v>111</v>
      </c>
      <c r="F107" s="57" t="s">
        <v>154</v>
      </c>
      <c r="G107" s="61"/>
      <c r="H107" s="61"/>
      <c r="I107" s="62"/>
      <c r="J107" s="53"/>
    </row>
    <row r="108" ht="24.75" hidden="1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248</v>
      </c>
      <c r="F108" s="57" t="s">
        <v>303</v>
      </c>
      <c r="G108" s="61"/>
      <c r="H108" s="61"/>
      <c r="I108" s="62"/>
      <c r="J108" s="53"/>
    </row>
    <row r="109" ht="24.75" hidden="1" customHeight="1">
      <c r="A109" s="54">
        <v>92.0</v>
      </c>
      <c r="B109" s="56" t="s">
        <v>306</v>
      </c>
      <c r="C109" s="56" t="s">
        <v>234</v>
      </c>
      <c r="D109" s="56" t="s">
        <v>307</v>
      </c>
      <c r="E109" s="56" t="s">
        <v>247</v>
      </c>
      <c r="F109" s="57" t="s">
        <v>303</v>
      </c>
      <c r="G109" s="61"/>
      <c r="H109" s="61"/>
      <c r="I109" s="62"/>
      <c r="J109" s="53"/>
    </row>
    <row r="110" ht="24.75" hidden="1" customHeight="1">
      <c r="A110" s="54">
        <v>90.0</v>
      </c>
      <c r="B110" s="56" t="s">
        <v>236</v>
      </c>
      <c r="C110" s="56" t="s">
        <v>237</v>
      </c>
      <c r="D110" s="56" t="s">
        <v>238</v>
      </c>
      <c r="E110" s="56" t="s">
        <v>308</v>
      </c>
      <c r="F110" s="57" t="s">
        <v>15</v>
      </c>
      <c r="G110" s="61"/>
      <c r="H110" s="61"/>
      <c r="I110" s="60"/>
      <c r="J110" s="53"/>
    </row>
    <row r="111" ht="24.75" hidden="1" customHeight="1">
      <c r="A111" s="54">
        <v>92.0</v>
      </c>
      <c r="B111" s="56" t="s">
        <v>309</v>
      </c>
      <c r="C111" s="56" t="s">
        <v>234</v>
      </c>
      <c r="D111" s="80" t="s">
        <v>310</v>
      </c>
      <c r="E111" s="56" t="s">
        <v>297</v>
      </c>
      <c r="F111" s="57"/>
      <c r="G111" s="61"/>
      <c r="H111" s="61"/>
      <c r="I111" s="62"/>
      <c r="J111" s="53"/>
    </row>
    <row r="112" ht="24.75" hidden="1" customHeight="1">
      <c r="A112" s="54">
        <v>90.0</v>
      </c>
      <c r="B112" s="56" t="s">
        <v>236</v>
      </c>
      <c r="C112" s="56" t="s">
        <v>237</v>
      </c>
      <c r="D112" s="56" t="s">
        <v>238</v>
      </c>
      <c r="E112" s="56" t="s">
        <v>311</v>
      </c>
      <c r="F112" s="57" t="s">
        <v>15</v>
      </c>
      <c r="G112" s="61"/>
      <c r="H112" s="61"/>
      <c r="I112" s="60"/>
      <c r="J112" s="53"/>
    </row>
    <row r="113" ht="24.75" hidden="1" customHeight="1">
      <c r="A113" s="54">
        <v>90.0</v>
      </c>
      <c r="B113" s="56" t="s">
        <v>236</v>
      </c>
      <c r="C113" s="56" t="s">
        <v>237</v>
      </c>
      <c r="D113" s="56" t="s">
        <v>238</v>
      </c>
      <c r="E113" s="56" t="s">
        <v>312</v>
      </c>
      <c r="F113" s="57" t="s">
        <v>15</v>
      </c>
      <c r="G113" s="61"/>
      <c r="H113" s="61"/>
      <c r="I113" s="60"/>
      <c r="J113" s="53"/>
    </row>
    <row r="114" ht="24.75" hidden="1" customHeight="1">
      <c r="A114" s="54">
        <v>100.0</v>
      </c>
      <c r="B114" s="56" t="s">
        <v>314</v>
      </c>
      <c r="C114" s="56" t="s">
        <v>315</v>
      </c>
      <c r="D114" s="56" t="s">
        <v>316</v>
      </c>
      <c r="E114" s="56" t="s">
        <v>317</v>
      </c>
      <c r="F114" s="57" t="s">
        <v>34</v>
      </c>
      <c r="G114" s="81"/>
      <c r="H114" s="81"/>
      <c r="I114" s="57"/>
      <c r="J114" s="53"/>
    </row>
    <row r="115" ht="24.75" hidden="1" customHeight="1">
      <c r="A115" s="54">
        <v>100.0</v>
      </c>
      <c r="B115" s="56" t="s">
        <v>318</v>
      </c>
      <c r="C115" s="56" t="s">
        <v>315</v>
      </c>
      <c r="D115" s="56" t="s">
        <v>319</v>
      </c>
      <c r="E115" s="56" t="s">
        <v>320</v>
      </c>
      <c r="F115" s="57" t="s">
        <v>34</v>
      </c>
      <c r="G115" s="81"/>
      <c r="H115" s="81"/>
      <c r="I115" s="57"/>
      <c r="J115" s="5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82"/>
      <c r="EB115" s="82"/>
      <c r="EC115" s="82"/>
      <c r="ED115" s="82"/>
      <c r="EE115" s="82"/>
      <c r="EF115" s="82"/>
      <c r="EG115" s="82"/>
      <c r="EH115" s="82"/>
      <c r="EI115" s="82"/>
      <c r="EJ115" s="82"/>
      <c r="EK115" s="82"/>
      <c r="EL115" s="82"/>
      <c r="EM115" s="82"/>
      <c r="EN115" s="82"/>
      <c r="EO115" s="82"/>
      <c r="EP115" s="82"/>
      <c r="EQ115" s="82"/>
      <c r="ER115" s="82"/>
      <c r="ES115" s="82"/>
      <c r="ET115" s="82"/>
      <c r="EU115" s="82"/>
      <c r="EV115" s="82"/>
      <c r="EW115" s="82"/>
      <c r="EX115" s="82"/>
      <c r="EY115" s="82"/>
      <c r="EZ115" s="82"/>
      <c r="FA115" s="82"/>
      <c r="FB115" s="82"/>
      <c r="FC115" s="82"/>
      <c r="FD115" s="82"/>
      <c r="FE115" s="82"/>
      <c r="FF115" s="82"/>
      <c r="FG115" s="82"/>
      <c r="FH115" s="82"/>
      <c r="FI115" s="82"/>
      <c r="FJ115" s="82"/>
      <c r="FK115" s="82"/>
      <c r="FL115" s="82"/>
      <c r="FM115" s="82"/>
      <c r="FN115" s="82"/>
      <c r="FO115" s="82"/>
      <c r="FP115" s="82"/>
      <c r="FQ115" s="82"/>
      <c r="FR115" s="82"/>
      <c r="FS115" s="82"/>
      <c r="FT115" s="82"/>
      <c r="FU115" s="82"/>
      <c r="FV115" s="82"/>
      <c r="FW115" s="82"/>
      <c r="FX115" s="82"/>
      <c r="FY115" s="82"/>
      <c r="FZ115" s="82"/>
      <c r="GA115" s="82"/>
      <c r="GB115" s="82"/>
      <c r="GC115" s="82"/>
      <c r="GD115" s="82"/>
      <c r="GE115" s="82"/>
      <c r="GF115" s="82"/>
    </row>
    <row r="116" ht="24.75" hidden="1" customHeight="1">
      <c r="A116" s="54">
        <v>100.0</v>
      </c>
      <c r="B116" s="56" t="s">
        <v>318</v>
      </c>
      <c r="C116" s="56" t="s">
        <v>315</v>
      </c>
      <c r="D116" s="56" t="s">
        <v>319</v>
      </c>
      <c r="E116" s="56" t="s">
        <v>325</v>
      </c>
      <c r="F116" s="57" t="s">
        <v>34</v>
      </c>
      <c r="G116" s="53"/>
      <c r="H116" s="53"/>
      <c r="I116" s="53"/>
      <c r="J116" s="5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F116" s="82"/>
      <c r="EG116" s="82"/>
      <c r="EH116" s="82"/>
      <c r="EI116" s="82"/>
      <c r="EJ116" s="82"/>
      <c r="EK116" s="82"/>
      <c r="EL116" s="82"/>
      <c r="EM116" s="82"/>
      <c r="EN116" s="82"/>
      <c r="EO116" s="82"/>
      <c r="EP116" s="82"/>
      <c r="EQ116" s="82"/>
      <c r="ER116" s="82"/>
      <c r="ES116" s="82"/>
      <c r="ET116" s="82"/>
      <c r="EU116" s="82"/>
      <c r="EV116" s="82"/>
      <c r="EW116" s="82"/>
      <c r="EX116" s="82"/>
      <c r="EY116" s="82"/>
      <c r="EZ116" s="82"/>
      <c r="FA116" s="82"/>
      <c r="FB116" s="82"/>
      <c r="FC116" s="82"/>
      <c r="FD116" s="82"/>
      <c r="FE116" s="82"/>
      <c r="FF116" s="82"/>
      <c r="FG116" s="82"/>
      <c r="FH116" s="82"/>
      <c r="FI116" s="82"/>
      <c r="FJ116" s="82"/>
      <c r="FK116" s="82"/>
      <c r="FL116" s="82"/>
      <c r="FM116" s="82"/>
      <c r="FN116" s="82"/>
      <c r="FO116" s="82"/>
      <c r="FP116" s="82"/>
      <c r="FQ116" s="82"/>
      <c r="FR116" s="82"/>
      <c r="FS116" s="82"/>
      <c r="FT116" s="82"/>
      <c r="FU116" s="82"/>
      <c r="FV116" s="82"/>
      <c r="FW116" s="82"/>
      <c r="FX116" s="82"/>
      <c r="FY116" s="82"/>
      <c r="FZ116" s="82"/>
      <c r="GA116" s="82"/>
      <c r="GB116" s="82"/>
      <c r="GC116" s="82"/>
      <c r="GD116" s="82"/>
      <c r="GE116" s="82"/>
      <c r="GF116" s="82"/>
    </row>
    <row r="117" ht="24.75" hidden="1" customHeight="1">
      <c r="A117" s="54">
        <v>100.0</v>
      </c>
      <c r="B117" s="56" t="s">
        <v>328</v>
      </c>
      <c r="C117" s="56" t="s">
        <v>315</v>
      </c>
      <c r="D117" s="56" t="s">
        <v>329</v>
      </c>
      <c r="E117" s="56" t="s">
        <v>320</v>
      </c>
      <c r="F117" s="57" t="s">
        <v>34</v>
      </c>
      <c r="G117" s="53"/>
      <c r="H117" s="53"/>
      <c r="I117" s="53"/>
      <c r="J117" s="5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  <c r="FU117" s="82"/>
      <c r="FV117" s="82"/>
      <c r="FW117" s="82"/>
      <c r="FX117" s="82"/>
      <c r="FY117" s="82"/>
      <c r="FZ117" s="82"/>
      <c r="GA117" s="82"/>
      <c r="GB117" s="82"/>
      <c r="GC117" s="82"/>
      <c r="GD117" s="82"/>
      <c r="GE117" s="82"/>
      <c r="GF117" s="82"/>
    </row>
    <row r="118" ht="24.75" hidden="1" customHeight="1">
      <c r="A118" s="54">
        <v>100.0</v>
      </c>
      <c r="B118" s="56" t="s">
        <v>328</v>
      </c>
      <c r="C118" s="56" t="s">
        <v>315</v>
      </c>
      <c r="D118" s="56" t="s">
        <v>329</v>
      </c>
      <c r="E118" s="56" t="s">
        <v>325</v>
      </c>
      <c r="F118" s="57" t="s">
        <v>34</v>
      </c>
      <c r="G118" s="53"/>
      <c r="H118" s="53"/>
      <c r="I118" s="53"/>
      <c r="J118" s="5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  <c r="FU118" s="82"/>
      <c r="FV118" s="82"/>
      <c r="FW118" s="82"/>
      <c r="FX118" s="82"/>
      <c r="FY118" s="82"/>
      <c r="FZ118" s="82"/>
      <c r="GA118" s="82"/>
      <c r="GB118" s="82"/>
      <c r="GC118" s="82"/>
      <c r="GD118" s="82"/>
      <c r="GE118" s="82"/>
      <c r="GF118" s="82"/>
    </row>
    <row r="119" ht="24.75" hidden="1" customHeight="1">
      <c r="A119" s="54">
        <v>100.0</v>
      </c>
      <c r="B119" s="56" t="s">
        <v>331</v>
      </c>
      <c r="C119" s="56" t="s">
        <v>315</v>
      </c>
      <c r="D119" s="56" t="s">
        <v>332</v>
      </c>
      <c r="E119" s="56" t="s">
        <v>333</v>
      </c>
      <c r="F119" s="57" t="s">
        <v>250</v>
      </c>
      <c r="G119" s="50"/>
      <c r="H119" s="61" t="s">
        <v>346</v>
      </c>
      <c r="I119" s="84" t="s">
        <v>347</v>
      </c>
      <c r="J119" s="53"/>
    </row>
    <row r="120" ht="24.75" customHeight="1">
      <c r="A120" s="54">
        <v>100.0</v>
      </c>
      <c r="B120" s="56" t="s">
        <v>334</v>
      </c>
      <c r="C120" s="56" t="s">
        <v>315</v>
      </c>
      <c r="D120" s="56" t="s">
        <v>335</v>
      </c>
      <c r="E120" s="56" t="s">
        <v>336</v>
      </c>
      <c r="F120" s="57" t="s">
        <v>192</v>
      </c>
      <c r="G120" s="50"/>
      <c r="H120" s="50"/>
      <c r="I120" s="84"/>
      <c r="J120" s="53"/>
    </row>
    <row r="121" ht="24.75" hidden="1" customHeight="1">
      <c r="A121" s="54">
        <v>90.0</v>
      </c>
      <c r="B121" s="56" t="s">
        <v>337</v>
      </c>
      <c r="C121" s="56" t="s">
        <v>237</v>
      </c>
      <c r="D121" s="56" t="s">
        <v>338</v>
      </c>
      <c r="E121" s="56" t="s">
        <v>111</v>
      </c>
      <c r="F121" s="57" t="s">
        <v>15</v>
      </c>
      <c r="G121" s="61"/>
      <c r="H121" s="61"/>
      <c r="I121" s="60"/>
      <c r="J121" s="53"/>
    </row>
    <row r="122" ht="24.75" hidden="1" customHeight="1">
      <c r="A122" s="54">
        <v>101.0</v>
      </c>
      <c r="B122" s="56" t="s">
        <v>339</v>
      </c>
      <c r="C122" s="56" t="s">
        <v>315</v>
      </c>
      <c r="D122" s="56" t="s">
        <v>340</v>
      </c>
      <c r="E122" s="56" t="s">
        <v>341</v>
      </c>
      <c r="F122" s="57" t="s">
        <v>154</v>
      </c>
      <c r="G122" s="61"/>
      <c r="H122" s="61"/>
      <c r="I122" s="62"/>
      <c r="J122" s="53"/>
    </row>
    <row r="123" ht="24.75" hidden="1" customHeight="1">
      <c r="A123" s="54">
        <v>101.0</v>
      </c>
      <c r="B123" s="56" t="s">
        <v>342</v>
      </c>
      <c r="C123" s="56" t="s">
        <v>315</v>
      </c>
      <c r="D123" s="56" t="s">
        <v>340</v>
      </c>
      <c r="E123" s="56" t="s">
        <v>333</v>
      </c>
      <c r="F123" s="57" t="s">
        <v>250</v>
      </c>
      <c r="G123" s="61"/>
      <c r="H123" s="61" t="s">
        <v>346</v>
      </c>
      <c r="I123" s="62" t="s">
        <v>347</v>
      </c>
      <c r="J123" s="53"/>
    </row>
    <row r="124" ht="24.75" hidden="1" customHeight="1">
      <c r="A124" s="54">
        <v>101.0</v>
      </c>
      <c r="B124" s="56" t="s">
        <v>343</v>
      </c>
      <c r="C124" s="56" t="s">
        <v>315</v>
      </c>
      <c r="D124" s="56" t="s">
        <v>340</v>
      </c>
      <c r="E124" s="56" t="s">
        <v>333</v>
      </c>
      <c r="F124" s="57" t="s">
        <v>250</v>
      </c>
      <c r="G124" s="61"/>
      <c r="H124" s="61" t="s">
        <v>346</v>
      </c>
      <c r="I124" s="62" t="s">
        <v>347</v>
      </c>
      <c r="J124" s="53"/>
    </row>
    <row r="125" ht="24.75" hidden="1" customHeight="1">
      <c r="A125" s="54">
        <v>101.0</v>
      </c>
      <c r="B125" s="56" t="s">
        <v>344</v>
      </c>
      <c r="C125" s="56" t="s">
        <v>315</v>
      </c>
      <c r="D125" s="56" t="s">
        <v>340</v>
      </c>
      <c r="E125" s="56" t="s">
        <v>345</v>
      </c>
      <c r="F125" s="57" t="s">
        <v>154</v>
      </c>
      <c r="G125" s="61"/>
      <c r="H125" s="61"/>
      <c r="I125" s="62"/>
      <c r="J125" s="53"/>
    </row>
    <row r="126" ht="24.75" hidden="1" customHeight="1">
      <c r="A126" s="54">
        <v>90.0</v>
      </c>
      <c r="B126" s="56" t="s">
        <v>348</v>
      </c>
      <c r="C126" s="56" t="s">
        <v>237</v>
      </c>
      <c r="D126" s="56" t="s">
        <v>349</v>
      </c>
      <c r="E126" s="56" t="s">
        <v>111</v>
      </c>
      <c r="F126" s="57" t="s">
        <v>15</v>
      </c>
      <c r="G126" s="61"/>
      <c r="H126" s="61"/>
      <c r="I126" s="60"/>
      <c r="J126" s="53"/>
    </row>
    <row r="127" ht="24.75" hidden="1" customHeight="1">
      <c r="A127" s="54">
        <v>101.0</v>
      </c>
      <c r="B127" s="56" t="s">
        <v>350</v>
      </c>
      <c r="C127" s="56" t="s">
        <v>315</v>
      </c>
      <c r="D127" s="56" t="s">
        <v>351</v>
      </c>
      <c r="E127" s="56" t="s">
        <v>352</v>
      </c>
      <c r="F127" s="57" t="s">
        <v>154</v>
      </c>
      <c r="G127" s="61"/>
      <c r="H127" s="61"/>
      <c r="I127" s="62"/>
      <c r="J127" s="53"/>
    </row>
    <row r="128" ht="24.75" hidden="1" customHeight="1">
      <c r="A128" s="54">
        <v>102.0</v>
      </c>
      <c r="B128" s="56" t="s">
        <v>353</v>
      </c>
      <c r="C128" s="56" t="s">
        <v>315</v>
      </c>
      <c r="D128" s="56" t="s">
        <v>354</v>
      </c>
      <c r="E128" s="56" t="s">
        <v>355</v>
      </c>
      <c r="F128" s="57" t="s">
        <v>250</v>
      </c>
      <c r="G128" s="61"/>
      <c r="H128" s="61" t="s">
        <v>346</v>
      </c>
      <c r="I128" s="62" t="s">
        <v>363</v>
      </c>
      <c r="J128" s="53"/>
    </row>
    <row r="129" ht="24.75" hidden="1" customHeight="1">
      <c r="A129" s="54">
        <v>90.0</v>
      </c>
      <c r="B129" s="56" t="s">
        <v>265</v>
      </c>
      <c r="C129" s="56" t="s">
        <v>237</v>
      </c>
      <c r="D129" s="56" t="s">
        <v>266</v>
      </c>
      <c r="E129" s="56" t="s">
        <v>111</v>
      </c>
      <c r="F129" s="57" t="s">
        <v>15</v>
      </c>
      <c r="G129" s="61"/>
      <c r="H129" s="61"/>
      <c r="I129" s="60" t="s">
        <v>283</v>
      </c>
      <c r="J129" s="53"/>
    </row>
    <row r="130" ht="24.75" hidden="1" customHeight="1">
      <c r="A130" s="54">
        <v>110.0</v>
      </c>
      <c r="B130" s="56" t="s">
        <v>356</v>
      </c>
      <c r="C130" s="56" t="s">
        <v>259</v>
      </c>
      <c r="D130" s="56" t="s">
        <v>357</v>
      </c>
      <c r="E130" s="56" t="s">
        <v>358</v>
      </c>
      <c r="F130" s="57" t="s">
        <v>34</v>
      </c>
      <c r="G130" s="61"/>
      <c r="H130" s="61"/>
      <c r="I130" s="62"/>
      <c r="J130" s="53"/>
    </row>
    <row r="131" ht="24.75" hidden="1" customHeight="1">
      <c r="A131" s="54">
        <v>110.0</v>
      </c>
      <c r="B131" s="56" t="s">
        <v>359</v>
      </c>
      <c r="C131" s="56" t="s">
        <v>259</v>
      </c>
      <c r="D131" s="56" t="s">
        <v>360</v>
      </c>
      <c r="E131" s="56" t="s">
        <v>358</v>
      </c>
      <c r="F131" s="57" t="s">
        <v>34</v>
      </c>
      <c r="G131" s="61"/>
      <c r="H131" s="61"/>
      <c r="I131" s="62"/>
      <c r="J131" s="53"/>
    </row>
    <row r="132" ht="24.75" hidden="1" customHeight="1">
      <c r="A132" s="54">
        <v>90.0</v>
      </c>
      <c r="B132" s="56" t="s">
        <v>274</v>
      </c>
      <c r="C132" s="56" t="s">
        <v>237</v>
      </c>
      <c r="D132" s="56" t="s">
        <v>275</v>
      </c>
      <c r="E132" s="56" t="s">
        <v>111</v>
      </c>
      <c r="F132" s="57" t="s">
        <v>15</v>
      </c>
      <c r="G132" s="61"/>
      <c r="H132" s="61"/>
      <c r="I132" s="60"/>
      <c r="J132" s="53"/>
    </row>
    <row r="133" ht="24.75" hidden="1" customHeight="1">
      <c r="A133" s="54">
        <v>90.0</v>
      </c>
      <c r="B133" s="56" t="s">
        <v>280</v>
      </c>
      <c r="C133" s="56" t="s">
        <v>278</v>
      </c>
      <c r="D133" s="56" t="s">
        <v>281</v>
      </c>
      <c r="E133" s="56" t="s">
        <v>272</v>
      </c>
      <c r="F133" s="57" t="s">
        <v>15</v>
      </c>
      <c r="G133" s="61"/>
      <c r="H133" s="61"/>
      <c r="I133" s="60"/>
      <c r="J133" s="53"/>
    </row>
    <row r="134" ht="24.75" hidden="1" customHeight="1">
      <c r="A134" s="54">
        <v>110.0</v>
      </c>
      <c r="B134" s="56" t="s">
        <v>361</v>
      </c>
      <c r="C134" s="56" t="s">
        <v>259</v>
      </c>
      <c r="D134" s="56" t="s">
        <v>362</v>
      </c>
      <c r="E134" s="56" t="s">
        <v>358</v>
      </c>
      <c r="F134" s="57" t="s">
        <v>34</v>
      </c>
      <c r="G134" s="61"/>
      <c r="H134" s="61"/>
      <c r="I134" s="62"/>
      <c r="J134" s="53"/>
    </row>
    <row r="135" ht="24.75" hidden="1" customHeight="1">
      <c r="A135" s="54">
        <v>110.0</v>
      </c>
      <c r="B135" s="56" t="s">
        <v>364</v>
      </c>
      <c r="C135" s="56" t="s">
        <v>259</v>
      </c>
      <c r="D135" s="56" t="s">
        <v>365</v>
      </c>
      <c r="E135" s="56" t="s">
        <v>358</v>
      </c>
      <c r="F135" s="57" t="s">
        <v>34</v>
      </c>
      <c r="G135" s="61"/>
      <c r="H135" s="61"/>
      <c r="I135" s="62"/>
      <c r="J135" s="53"/>
    </row>
    <row r="136" ht="24.75" hidden="1" customHeight="1">
      <c r="A136" s="54">
        <v>110.0</v>
      </c>
      <c r="B136" s="56" t="s">
        <v>366</v>
      </c>
      <c r="C136" s="56" t="s">
        <v>259</v>
      </c>
      <c r="D136" s="56" t="s">
        <v>367</v>
      </c>
      <c r="E136" s="56" t="s">
        <v>358</v>
      </c>
      <c r="F136" s="57" t="s">
        <v>34</v>
      </c>
      <c r="G136" s="61"/>
      <c r="H136" s="61"/>
      <c r="I136" s="62"/>
      <c r="J136" s="53"/>
    </row>
    <row r="137" ht="24.75" hidden="1" customHeight="1">
      <c r="A137" s="54">
        <v>110.0</v>
      </c>
      <c r="B137" s="56" t="s">
        <v>368</v>
      </c>
      <c r="C137" s="56" t="s">
        <v>259</v>
      </c>
      <c r="D137" s="56" t="s">
        <v>369</v>
      </c>
      <c r="E137" s="56" t="s">
        <v>358</v>
      </c>
      <c r="F137" s="57" t="s">
        <v>34</v>
      </c>
      <c r="G137" s="61"/>
      <c r="H137" s="61"/>
      <c r="I137" s="62"/>
      <c r="J137" s="53"/>
    </row>
    <row r="138" ht="24.75" customHeight="1">
      <c r="A138" s="54">
        <v>110.0</v>
      </c>
      <c r="B138" s="56" t="s">
        <v>370</v>
      </c>
      <c r="C138" s="56" t="s">
        <v>259</v>
      </c>
      <c r="D138" s="56" t="s">
        <v>371</v>
      </c>
      <c r="E138" s="56" t="s">
        <v>336</v>
      </c>
      <c r="F138" s="57" t="s">
        <v>192</v>
      </c>
      <c r="G138" s="61"/>
      <c r="H138" s="61"/>
      <c r="I138" s="62"/>
      <c r="J138" s="53"/>
    </row>
    <row r="139" ht="24.75" hidden="1" customHeight="1">
      <c r="A139" s="54">
        <v>110.0</v>
      </c>
      <c r="B139" s="56" t="s">
        <v>370</v>
      </c>
      <c r="C139" s="56" t="s">
        <v>259</v>
      </c>
      <c r="D139" s="56" t="s">
        <v>371</v>
      </c>
      <c r="E139" s="56" t="s">
        <v>372</v>
      </c>
      <c r="F139" s="57" t="s">
        <v>34</v>
      </c>
      <c r="G139" s="61"/>
      <c r="H139" s="61"/>
      <c r="I139" s="62"/>
      <c r="J139" s="53"/>
    </row>
    <row r="140" ht="24.75" hidden="1" customHeight="1">
      <c r="A140" s="54">
        <v>110.0</v>
      </c>
      <c r="B140" s="56" t="s">
        <v>370</v>
      </c>
      <c r="C140" s="56" t="s">
        <v>259</v>
      </c>
      <c r="D140" s="56" t="s">
        <v>371</v>
      </c>
      <c r="E140" s="56" t="s">
        <v>158</v>
      </c>
      <c r="F140" s="57" t="s">
        <v>34</v>
      </c>
      <c r="G140" s="61"/>
      <c r="H140" s="61"/>
      <c r="I140" s="62"/>
      <c r="J140" s="53"/>
    </row>
    <row r="141" ht="24.75" customHeight="1">
      <c r="A141" s="54">
        <v>110.0</v>
      </c>
      <c r="B141" s="56" t="s">
        <v>373</v>
      </c>
      <c r="C141" s="56" t="s">
        <v>259</v>
      </c>
      <c r="D141" s="56" t="s">
        <v>374</v>
      </c>
      <c r="E141" s="56" t="s">
        <v>336</v>
      </c>
      <c r="F141" s="57" t="s">
        <v>192</v>
      </c>
      <c r="G141" s="61"/>
      <c r="H141" s="61"/>
      <c r="I141" s="62"/>
      <c r="J141" s="53"/>
    </row>
    <row r="142" ht="24.75" customHeight="1">
      <c r="A142" s="54">
        <v>110.0</v>
      </c>
      <c r="B142" s="56" t="s">
        <v>375</v>
      </c>
      <c r="C142" s="56" t="s">
        <v>259</v>
      </c>
      <c r="D142" s="56" t="s">
        <v>376</v>
      </c>
      <c r="E142" s="56" t="s">
        <v>336</v>
      </c>
      <c r="F142" s="57" t="s">
        <v>192</v>
      </c>
      <c r="G142" s="61"/>
      <c r="H142" s="61"/>
      <c r="I142" s="62"/>
      <c r="J142" s="53"/>
    </row>
    <row r="143" ht="24.75" hidden="1" customHeight="1">
      <c r="A143" s="54">
        <v>110.0</v>
      </c>
      <c r="B143" s="56" t="s">
        <v>375</v>
      </c>
      <c r="C143" s="56" t="s">
        <v>259</v>
      </c>
      <c r="D143" s="56" t="s">
        <v>376</v>
      </c>
      <c r="E143" s="56" t="s">
        <v>372</v>
      </c>
      <c r="F143" s="57" t="s">
        <v>34</v>
      </c>
      <c r="G143" s="61"/>
      <c r="H143" s="61"/>
      <c r="I143" s="62"/>
      <c r="J143" s="53"/>
    </row>
    <row r="144" ht="24.75" hidden="1" customHeight="1">
      <c r="A144" s="54">
        <v>110.0</v>
      </c>
      <c r="B144" s="56" t="s">
        <v>375</v>
      </c>
      <c r="C144" s="56" t="s">
        <v>259</v>
      </c>
      <c r="D144" s="56" t="s">
        <v>376</v>
      </c>
      <c r="E144" s="56" t="s">
        <v>158</v>
      </c>
      <c r="F144" s="57" t="s">
        <v>34</v>
      </c>
      <c r="G144" s="61"/>
      <c r="H144" s="61"/>
      <c r="I144" s="62"/>
      <c r="J144" s="53"/>
    </row>
    <row r="145" ht="24.75" customHeight="1">
      <c r="A145" s="54">
        <v>110.0</v>
      </c>
      <c r="B145" s="56" t="s">
        <v>377</v>
      </c>
      <c r="C145" s="56" t="s">
        <v>259</v>
      </c>
      <c r="D145" s="56" t="s">
        <v>378</v>
      </c>
      <c r="E145" s="56" t="s">
        <v>336</v>
      </c>
      <c r="F145" s="57" t="s">
        <v>192</v>
      </c>
      <c r="G145" s="61"/>
      <c r="H145" s="61"/>
      <c r="I145" s="62"/>
      <c r="J145" s="53"/>
    </row>
    <row r="146" ht="24.75" customHeight="1">
      <c r="A146" s="54">
        <v>110.0</v>
      </c>
      <c r="B146" s="56" t="s">
        <v>380</v>
      </c>
      <c r="C146" s="56" t="s">
        <v>259</v>
      </c>
      <c r="D146" s="56" t="s">
        <v>381</v>
      </c>
      <c r="E146" s="56" t="s">
        <v>336</v>
      </c>
      <c r="F146" s="57" t="s">
        <v>192</v>
      </c>
      <c r="G146" s="61"/>
      <c r="H146" s="61"/>
      <c r="I146" s="62"/>
      <c r="J146" s="53"/>
    </row>
    <row r="147" ht="24.75" customHeight="1">
      <c r="A147" s="54">
        <v>110.0</v>
      </c>
      <c r="B147" s="56" t="s">
        <v>382</v>
      </c>
      <c r="C147" s="56" t="s">
        <v>259</v>
      </c>
      <c r="D147" s="56" t="s">
        <v>383</v>
      </c>
      <c r="E147" s="56" t="s">
        <v>336</v>
      </c>
      <c r="F147" s="57" t="s">
        <v>192</v>
      </c>
      <c r="G147" s="61"/>
      <c r="H147" s="61"/>
      <c r="I147" s="62"/>
      <c r="J147" s="53"/>
    </row>
    <row r="148" ht="24.75" customHeight="1">
      <c r="A148" s="54">
        <v>110.0</v>
      </c>
      <c r="B148" s="56" t="s">
        <v>385</v>
      </c>
      <c r="C148" s="56" t="s">
        <v>259</v>
      </c>
      <c r="D148" s="56" t="s">
        <v>386</v>
      </c>
      <c r="E148" s="56" t="s">
        <v>336</v>
      </c>
      <c r="F148" s="57" t="s">
        <v>192</v>
      </c>
      <c r="G148" s="61"/>
      <c r="H148" s="61"/>
      <c r="I148" s="62"/>
      <c r="J148" s="53"/>
    </row>
    <row r="149" ht="24.75" hidden="1" customHeight="1">
      <c r="A149" s="54">
        <v>110.0</v>
      </c>
      <c r="B149" s="56" t="s">
        <v>385</v>
      </c>
      <c r="C149" s="56" t="s">
        <v>259</v>
      </c>
      <c r="D149" s="56" t="s">
        <v>386</v>
      </c>
      <c r="E149" s="56" t="s">
        <v>372</v>
      </c>
      <c r="F149" s="57" t="s">
        <v>34</v>
      </c>
      <c r="G149" s="61"/>
      <c r="H149" s="61"/>
      <c r="I149" s="62"/>
      <c r="J149" s="53"/>
    </row>
    <row r="150" ht="24.75" hidden="1" customHeight="1">
      <c r="A150" s="54">
        <v>110.0</v>
      </c>
      <c r="B150" s="56" t="s">
        <v>385</v>
      </c>
      <c r="C150" s="56" t="s">
        <v>259</v>
      </c>
      <c r="D150" s="56" t="s">
        <v>386</v>
      </c>
      <c r="E150" s="56" t="s">
        <v>158</v>
      </c>
      <c r="F150" s="57" t="s">
        <v>34</v>
      </c>
      <c r="G150" s="61"/>
      <c r="H150" s="61"/>
      <c r="I150" s="62"/>
      <c r="J150" s="53"/>
    </row>
    <row r="151" ht="24.75" customHeight="1">
      <c r="A151" s="54">
        <v>110.0</v>
      </c>
      <c r="B151" s="56" t="s">
        <v>388</v>
      </c>
      <c r="C151" s="56" t="s">
        <v>259</v>
      </c>
      <c r="D151" s="56" t="s">
        <v>389</v>
      </c>
      <c r="E151" s="56" t="s">
        <v>336</v>
      </c>
      <c r="F151" s="57" t="s">
        <v>192</v>
      </c>
      <c r="G151" s="61"/>
      <c r="H151" s="61"/>
      <c r="I151" s="62"/>
      <c r="J151" s="53"/>
    </row>
    <row r="152" ht="24.75" hidden="1" customHeight="1">
      <c r="A152" s="54">
        <v>110.0</v>
      </c>
      <c r="B152" s="56" t="s">
        <v>388</v>
      </c>
      <c r="C152" s="56" t="s">
        <v>259</v>
      </c>
      <c r="D152" s="56" t="s">
        <v>389</v>
      </c>
      <c r="E152" s="56" t="s">
        <v>372</v>
      </c>
      <c r="F152" s="57" t="s">
        <v>34</v>
      </c>
      <c r="G152" s="61"/>
      <c r="H152" s="61"/>
      <c r="I152" s="62"/>
      <c r="J152" s="53"/>
    </row>
    <row r="153" ht="24.75" hidden="1" customHeight="1">
      <c r="A153" s="54">
        <v>110.0</v>
      </c>
      <c r="B153" s="56" t="s">
        <v>388</v>
      </c>
      <c r="C153" s="56" t="s">
        <v>259</v>
      </c>
      <c r="D153" s="56" t="s">
        <v>389</v>
      </c>
      <c r="E153" s="56" t="s">
        <v>158</v>
      </c>
      <c r="F153" s="57" t="s">
        <v>34</v>
      </c>
      <c r="G153" s="61"/>
      <c r="H153" s="61"/>
      <c r="I153" s="62"/>
      <c r="J153" s="53"/>
    </row>
    <row r="154" ht="24.75" hidden="1" customHeight="1">
      <c r="A154" s="54">
        <v>110.0</v>
      </c>
      <c r="B154" s="56" t="s">
        <v>390</v>
      </c>
      <c r="C154" s="56" t="s">
        <v>259</v>
      </c>
      <c r="D154" s="56" t="s">
        <v>391</v>
      </c>
      <c r="E154" s="56" t="s">
        <v>372</v>
      </c>
      <c r="F154" s="57" t="s">
        <v>34</v>
      </c>
      <c r="G154" s="61"/>
      <c r="H154" s="61"/>
      <c r="I154" s="62"/>
      <c r="J154" s="53"/>
    </row>
    <row r="155" ht="24.75" hidden="1" customHeight="1">
      <c r="A155" s="54">
        <v>110.0</v>
      </c>
      <c r="B155" s="56" t="s">
        <v>390</v>
      </c>
      <c r="C155" s="56" t="s">
        <v>259</v>
      </c>
      <c r="D155" s="56" t="s">
        <v>391</v>
      </c>
      <c r="E155" s="56" t="s">
        <v>158</v>
      </c>
      <c r="F155" s="57" t="s">
        <v>34</v>
      </c>
      <c r="G155" s="61"/>
      <c r="H155" s="61"/>
      <c r="I155" s="62"/>
      <c r="J155" s="53"/>
    </row>
    <row r="156" ht="24.75" hidden="1" customHeight="1">
      <c r="A156" s="54">
        <v>110.0</v>
      </c>
      <c r="B156" s="56" t="s">
        <v>392</v>
      </c>
      <c r="C156" s="56" t="s">
        <v>101</v>
      </c>
      <c r="D156" s="56" t="s">
        <v>102</v>
      </c>
      <c r="E156" s="56" t="s">
        <v>111</v>
      </c>
      <c r="F156" s="57" t="s">
        <v>34</v>
      </c>
      <c r="G156" s="61"/>
      <c r="H156" s="61"/>
      <c r="I156" s="62"/>
      <c r="J156" s="53"/>
    </row>
    <row r="157" ht="24.75" hidden="1" customHeight="1">
      <c r="A157" s="54">
        <v>120.0</v>
      </c>
      <c r="B157" s="56" t="s">
        <v>393</v>
      </c>
      <c r="C157" s="56" t="s">
        <v>394</v>
      </c>
      <c r="D157" s="56" t="s">
        <v>299</v>
      </c>
      <c r="E157" s="56" t="s">
        <v>163</v>
      </c>
      <c r="F157" s="57" t="s">
        <v>154</v>
      </c>
      <c r="G157" s="61"/>
      <c r="H157" s="61"/>
      <c r="I157" s="62" t="s">
        <v>207</v>
      </c>
      <c r="J157" s="53"/>
    </row>
    <row r="158" ht="24.75" hidden="1" customHeight="1">
      <c r="A158" s="54">
        <v>120.0</v>
      </c>
      <c r="B158" s="56" t="s">
        <v>395</v>
      </c>
      <c r="C158" s="56" t="s">
        <v>394</v>
      </c>
      <c r="D158" s="56" t="s">
        <v>172</v>
      </c>
      <c r="E158" s="56" t="s">
        <v>163</v>
      </c>
      <c r="F158" s="57" t="s">
        <v>154</v>
      </c>
      <c r="G158" s="61"/>
      <c r="H158" s="61"/>
      <c r="I158" s="62"/>
      <c r="J158" s="53"/>
    </row>
    <row r="159" ht="24.75" hidden="1" customHeight="1">
      <c r="A159" s="54">
        <v>120.0</v>
      </c>
      <c r="B159" s="56" t="s">
        <v>396</v>
      </c>
      <c r="C159" s="56" t="s">
        <v>394</v>
      </c>
      <c r="D159" s="56" t="s">
        <v>397</v>
      </c>
      <c r="E159" s="56" t="s">
        <v>163</v>
      </c>
      <c r="F159" s="57" t="s">
        <v>154</v>
      </c>
      <c r="G159" s="61"/>
      <c r="H159" s="61"/>
      <c r="I159" s="62"/>
      <c r="J159" s="53"/>
    </row>
    <row r="160" ht="24.75" hidden="1" customHeight="1">
      <c r="A160" s="54">
        <v>120.0</v>
      </c>
      <c r="B160" s="56" t="s">
        <v>398</v>
      </c>
      <c r="C160" s="56" t="s">
        <v>394</v>
      </c>
      <c r="D160" s="56" t="s">
        <v>399</v>
      </c>
      <c r="E160" s="56" t="s">
        <v>163</v>
      </c>
      <c r="F160" s="57" t="s">
        <v>154</v>
      </c>
      <c r="G160" s="61"/>
      <c r="H160" s="61"/>
      <c r="I160" s="62"/>
      <c r="J160" s="53"/>
    </row>
    <row r="161" ht="24.75" hidden="1" customHeight="1">
      <c r="A161" s="54">
        <v>120.0</v>
      </c>
      <c r="B161" s="56" t="s">
        <v>400</v>
      </c>
      <c r="C161" s="56" t="s">
        <v>394</v>
      </c>
      <c r="D161" s="56" t="s">
        <v>401</v>
      </c>
      <c r="E161" s="56" t="s">
        <v>163</v>
      </c>
      <c r="F161" s="57" t="s">
        <v>154</v>
      </c>
      <c r="G161" s="61"/>
      <c r="H161" s="61"/>
      <c r="I161" s="62"/>
      <c r="J161" s="53"/>
    </row>
    <row r="162" ht="24.75" hidden="1" customHeight="1">
      <c r="A162" s="54">
        <v>90.0</v>
      </c>
      <c r="B162" s="56" t="s">
        <v>402</v>
      </c>
      <c r="C162" s="56" t="s">
        <v>278</v>
      </c>
      <c r="D162" s="56" t="s">
        <v>403</v>
      </c>
      <c r="E162" s="56" t="s">
        <v>111</v>
      </c>
      <c r="F162" s="57" t="s">
        <v>15</v>
      </c>
      <c r="G162" s="61"/>
      <c r="H162" s="61"/>
      <c r="I162" s="86"/>
      <c r="J162" s="53"/>
    </row>
    <row r="163" ht="24.75" hidden="1" customHeight="1">
      <c r="A163" s="54">
        <v>130.0</v>
      </c>
      <c r="B163" s="56" t="s">
        <v>404</v>
      </c>
      <c r="C163" s="56" t="s">
        <v>405</v>
      </c>
      <c r="D163" s="56" t="s">
        <v>406</v>
      </c>
      <c r="E163" s="56" t="s">
        <v>407</v>
      </c>
      <c r="F163" s="57" t="s">
        <v>250</v>
      </c>
      <c r="G163" s="61"/>
      <c r="H163" s="61" t="s">
        <v>346</v>
      </c>
      <c r="I163" s="62" t="s">
        <v>414</v>
      </c>
      <c r="J163" s="53"/>
    </row>
    <row r="164" ht="24.75" hidden="1" customHeight="1">
      <c r="A164" s="54">
        <v>130.0</v>
      </c>
      <c r="B164" s="56" t="s">
        <v>404</v>
      </c>
      <c r="C164" s="56" t="s">
        <v>405</v>
      </c>
      <c r="D164" s="56" t="s">
        <v>406</v>
      </c>
      <c r="E164" s="56" t="s">
        <v>408</v>
      </c>
      <c r="F164" s="57" t="s">
        <v>250</v>
      </c>
      <c r="G164" s="61"/>
      <c r="H164" s="61" t="s">
        <v>346</v>
      </c>
      <c r="I164" s="62" t="s">
        <v>417</v>
      </c>
      <c r="J164" s="53"/>
    </row>
    <row r="165" ht="24.75" hidden="1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111</v>
      </c>
      <c r="F165" s="57" t="s">
        <v>154</v>
      </c>
      <c r="G165" s="61"/>
      <c r="H165" s="61"/>
      <c r="I165" s="62"/>
      <c r="J165" s="53"/>
    </row>
    <row r="166" ht="24.75" hidden="1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409</v>
      </c>
      <c r="F166" s="57" t="s">
        <v>154</v>
      </c>
      <c r="G166" s="61"/>
      <c r="H166" s="61"/>
      <c r="I166" s="62"/>
      <c r="J166" s="53"/>
    </row>
    <row r="167" ht="24.75" hidden="1" customHeight="1">
      <c r="A167" s="54">
        <v>130.0</v>
      </c>
      <c r="B167" s="56" t="s">
        <v>404</v>
      </c>
      <c r="C167" s="56" t="s">
        <v>405</v>
      </c>
      <c r="D167" s="56" t="s">
        <v>406</v>
      </c>
      <c r="E167" s="56" t="s">
        <v>410</v>
      </c>
      <c r="F167" s="57" t="s">
        <v>154</v>
      </c>
      <c r="G167" s="61"/>
      <c r="H167" s="61"/>
      <c r="I167" s="62"/>
      <c r="J167" s="53"/>
    </row>
    <row r="168" ht="24.75" hidden="1" customHeight="1">
      <c r="A168" s="54">
        <v>130.0</v>
      </c>
      <c r="B168" s="56" t="s">
        <v>404</v>
      </c>
      <c r="C168" s="56" t="s">
        <v>405</v>
      </c>
      <c r="D168" s="56" t="s">
        <v>406</v>
      </c>
      <c r="E168" s="56" t="s">
        <v>411</v>
      </c>
      <c r="F168" s="57" t="s">
        <v>154</v>
      </c>
      <c r="G168" s="61"/>
      <c r="H168" s="61"/>
      <c r="I168" s="62"/>
      <c r="J168" s="53"/>
    </row>
    <row r="169" ht="24.75" customHeight="1">
      <c r="A169" s="54">
        <v>130.0</v>
      </c>
      <c r="B169" s="56" t="s">
        <v>412</v>
      </c>
      <c r="C169" s="56"/>
      <c r="D169" s="56" t="s">
        <v>413</v>
      </c>
      <c r="E169" s="56" t="s">
        <v>336</v>
      </c>
      <c r="F169" s="57" t="s">
        <v>192</v>
      </c>
      <c r="G169" s="61"/>
      <c r="H169" s="61"/>
      <c r="I169" s="62"/>
      <c r="J169" s="53"/>
    </row>
    <row r="170" ht="24.75" hidden="1" customHeight="1">
      <c r="A170" s="54">
        <v>130.0</v>
      </c>
      <c r="B170" s="56" t="s">
        <v>415</v>
      </c>
      <c r="C170" s="56" t="s">
        <v>148</v>
      </c>
      <c r="D170" s="56" t="s">
        <v>416</v>
      </c>
      <c r="E170" s="56" t="s">
        <v>150</v>
      </c>
      <c r="F170" s="57" t="s">
        <v>34</v>
      </c>
      <c r="G170" s="61"/>
      <c r="H170" s="61"/>
      <c r="I170" s="62"/>
      <c r="J170" s="53"/>
    </row>
    <row r="171" ht="24.75" hidden="1" customHeight="1">
      <c r="A171" s="54">
        <v>130.0</v>
      </c>
      <c r="B171" s="56" t="s">
        <v>418</v>
      </c>
      <c r="C171" s="56" t="s">
        <v>148</v>
      </c>
      <c r="D171" s="56" t="s">
        <v>419</v>
      </c>
      <c r="E171" s="56" t="s">
        <v>150</v>
      </c>
      <c r="F171" s="57" t="s">
        <v>34</v>
      </c>
      <c r="G171" s="61"/>
      <c r="H171" s="61"/>
      <c r="I171" s="62"/>
      <c r="J171" s="53"/>
    </row>
    <row r="172" ht="24.75" hidden="1" customHeight="1">
      <c r="A172" s="54">
        <v>136.0</v>
      </c>
      <c r="B172" s="56" t="s">
        <v>421</v>
      </c>
      <c r="C172" s="56" t="s">
        <v>422</v>
      </c>
      <c r="D172" s="56" t="s">
        <v>422</v>
      </c>
      <c r="E172" s="56" t="s">
        <v>423</v>
      </c>
      <c r="F172" s="57" t="s">
        <v>154</v>
      </c>
      <c r="G172" s="61"/>
      <c r="H172" s="61"/>
      <c r="I172" s="62" t="s">
        <v>207</v>
      </c>
      <c r="J172" s="53"/>
    </row>
    <row r="173" ht="24.75" hidden="1" customHeight="1">
      <c r="A173" s="54">
        <v>136.0</v>
      </c>
      <c r="B173" s="56" t="s">
        <v>421</v>
      </c>
      <c r="C173" s="56" t="s">
        <v>422</v>
      </c>
      <c r="D173" s="56" t="s">
        <v>422</v>
      </c>
      <c r="E173" s="80" t="s">
        <v>213</v>
      </c>
      <c r="F173" s="57"/>
      <c r="G173" s="61"/>
      <c r="H173" s="61"/>
      <c r="I173" s="62"/>
      <c r="J173" s="53"/>
    </row>
    <row r="174" ht="24.75" hidden="1" customHeight="1">
      <c r="A174" s="54">
        <v>136.0</v>
      </c>
      <c r="B174" s="56" t="s">
        <v>424</v>
      </c>
      <c r="C174" s="56" t="s">
        <v>422</v>
      </c>
      <c r="D174" s="56" t="s">
        <v>425</v>
      </c>
      <c r="E174" s="56" t="s">
        <v>111</v>
      </c>
      <c r="F174" s="57" t="s">
        <v>154</v>
      </c>
      <c r="G174" s="61"/>
      <c r="H174" s="61"/>
      <c r="I174" s="62"/>
      <c r="J174" s="53"/>
    </row>
    <row r="175" ht="24.75" hidden="1" customHeight="1">
      <c r="A175" s="54">
        <v>136.0</v>
      </c>
      <c r="B175" s="56" t="s">
        <v>426</v>
      </c>
      <c r="C175" s="56" t="s">
        <v>422</v>
      </c>
      <c r="D175" s="56" t="s">
        <v>427</v>
      </c>
      <c r="E175" s="56" t="s">
        <v>111</v>
      </c>
      <c r="F175" s="57" t="s">
        <v>154</v>
      </c>
      <c r="G175" s="61"/>
      <c r="H175" s="61"/>
      <c r="I175" s="62"/>
      <c r="J175" s="53"/>
    </row>
    <row r="176" ht="24.75" hidden="1" customHeight="1">
      <c r="A176" s="54">
        <v>136.0</v>
      </c>
      <c r="B176" s="56" t="s">
        <v>428</v>
      </c>
      <c r="C176" s="56" t="s">
        <v>422</v>
      </c>
      <c r="D176" s="56" t="s">
        <v>429</v>
      </c>
      <c r="E176" s="56" t="s">
        <v>111</v>
      </c>
      <c r="F176" s="57" t="s">
        <v>154</v>
      </c>
      <c r="G176" s="61"/>
      <c r="H176" s="61"/>
      <c r="I176" s="62"/>
      <c r="J176" s="53"/>
    </row>
    <row r="177" ht="24.75" hidden="1" customHeight="1">
      <c r="A177" s="54">
        <v>136.0</v>
      </c>
      <c r="B177" s="56" t="s">
        <v>430</v>
      </c>
      <c r="C177" s="56" t="s">
        <v>422</v>
      </c>
      <c r="D177" s="56" t="s">
        <v>431</v>
      </c>
      <c r="E177" s="56" t="s">
        <v>432</v>
      </c>
      <c r="F177" s="57" t="s">
        <v>154</v>
      </c>
      <c r="G177" s="61"/>
      <c r="H177" s="61"/>
      <c r="I177" s="62"/>
      <c r="J177" s="53"/>
    </row>
    <row r="178" ht="24.75" hidden="1" customHeight="1">
      <c r="A178" s="54">
        <v>140.0</v>
      </c>
      <c r="B178" s="56" t="s">
        <v>433</v>
      </c>
      <c r="C178" s="56" t="s">
        <v>434</v>
      </c>
      <c r="D178" s="56" t="s">
        <v>435</v>
      </c>
      <c r="E178" s="56" t="s">
        <v>167</v>
      </c>
      <c r="F178" s="57" t="s">
        <v>154</v>
      </c>
      <c r="G178" s="61"/>
      <c r="H178" s="61"/>
      <c r="I178" s="62"/>
      <c r="J178" s="53"/>
    </row>
    <row r="179" ht="24.75" hidden="1" customHeight="1">
      <c r="A179" s="54">
        <v>140.0</v>
      </c>
      <c r="B179" s="56" t="s">
        <v>436</v>
      </c>
      <c r="C179" s="56" t="s">
        <v>437</v>
      </c>
      <c r="D179" s="56" t="s">
        <v>438</v>
      </c>
      <c r="E179" s="56" t="s">
        <v>439</v>
      </c>
      <c r="F179" s="57" t="s">
        <v>154</v>
      </c>
      <c r="G179" s="61"/>
      <c r="H179" s="61"/>
      <c r="I179" s="62"/>
      <c r="J179" s="53"/>
    </row>
    <row r="180" ht="24.75" hidden="1" customHeight="1">
      <c r="A180" s="54">
        <v>140.0</v>
      </c>
      <c r="B180" s="56" t="s">
        <v>440</v>
      </c>
      <c r="C180" s="56" t="s">
        <v>437</v>
      </c>
      <c r="D180" s="56" t="s">
        <v>441</v>
      </c>
      <c r="E180" s="56" t="s">
        <v>439</v>
      </c>
      <c r="F180" s="57" t="s">
        <v>154</v>
      </c>
      <c r="G180" s="61"/>
      <c r="H180" s="61"/>
      <c r="I180" s="62"/>
      <c r="J180" s="53"/>
    </row>
    <row r="181" ht="24.75" hidden="1" customHeight="1">
      <c r="A181" s="54">
        <v>140.0</v>
      </c>
      <c r="B181" s="56" t="s">
        <v>442</v>
      </c>
      <c r="C181" s="56" t="s">
        <v>443</v>
      </c>
      <c r="D181" s="56" t="s">
        <v>444</v>
      </c>
      <c r="E181" s="56" t="s">
        <v>439</v>
      </c>
      <c r="F181" s="57" t="s">
        <v>154</v>
      </c>
      <c r="G181" s="61"/>
      <c r="H181" s="61"/>
      <c r="I181" s="62"/>
      <c r="J181" s="53"/>
    </row>
    <row r="182" ht="24.75" hidden="1" customHeight="1">
      <c r="A182" s="54">
        <v>140.0</v>
      </c>
      <c r="B182" s="56" t="s">
        <v>445</v>
      </c>
      <c r="C182" s="56" t="s">
        <v>446</v>
      </c>
      <c r="D182" s="56" t="s">
        <v>447</v>
      </c>
      <c r="E182" s="56" t="s">
        <v>439</v>
      </c>
      <c r="F182" s="57" t="s">
        <v>154</v>
      </c>
      <c r="G182" s="61"/>
      <c r="H182" s="61"/>
      <c r="I182" s="62"/>
      <c r="J182" s="53"/>
    </row>
    <row r="183" ht="24.75" hidden="1" customHeight="1">
      <c r="A183" s="54">
        <v>140.0</v>
      </c>
      <c r="B183" s="56" t="s">
        <v>448</v>
      </c>
      <c r="C183" s="88" t="s">
        <v>449</v>
      </c>
      <c r="D183" s="56" t="s">
        <v>450</v>
      </c>
      <c r="E183" s="56" t="s">
        <v>439</v>
      </c>
      <c r="F183" s="57" t="s">
        <v>154</v>
      </c>
      <c r="G183" s="61"/>
      <c r="H183" s="61"/>
      <c r="I183" s="62"/>
      <c r="J183" s="53"/>
    </row>
    <row r="184" ht="24.75" hidden="1" customHeight="1">
      <c r="A184" s="54">
        <v>90.0</v>
      </c>
      <c r="B184" s="56" t="s">
        <v>286</v>
      </c>
      <c r="C184" s="56" t="s">
        <v>278</v>
      </c>
      <c r="D184" s="56" t="s">
        <v>266</v>
      </c>
      <c r="E184" s="56" t="s">
        <v>111</v>
      </c>
      <c r="F184" s="57" t="s">
        <v>15</v>
      </c>
      <c r="G184" s="61"/>
      <c r="H184" s="61"/>
      <c r="I184" s="60"/>
      <c r="J184" s="53"/>
    </row>
    <row r="185" ht="24.75" hidden="1" customHeight="1">
      <c r="A185" s="54">
        <v>100.0</v>
      </c>
      <c r="B185" s="56" t="s">
        <v>451</v>
      </c>
      <c r="C185" s="56" t="s">
        <v>315</v>
      </c>
      <c r="D185" s="56" t="s">
        <v>452</v>
      </c>
      <c r="E185" s="56" t="s">
        <v>453</v>
      </c>
      <c r="F185" s="57" t="s">
        <v>15</v>
      </c>
      <c r="G185" s="61"/>
      <c r="H185" s="61"/>
      <c r="I185" s="60"/>
      <c r="J185" s="53"/>
    </row>
    <row r="186" ht="24.75" hidden="1" customHeight="1">
      <c r="A186" s="54">
        <v>100.0</v>
      </c>
      <c r="B186" s="56" t="s">
        <v>454</v>
      </c>
      <c r="C186" s="56" t="s">
        <v>315</v>
      </c>
      <c r="D186" s="56" t="s">
        <v>316</v>
      </c>
      <c r="E186" s="56" t="s">
        <v>455</v>
      </c>
      <c r="F186" s="57" t="s">
        <v>15</v>
      </c>
      <c r="G186" s="61"/>
      <c r="H186" s="61"/>
      <c r="I186" s="60"/>
      <c r="J186" s="53"/>
    </row>
    <row r="187" ht="24.75" hidden="1" customHeight="1">
      <c r="A187" s="54">
        <v>101.0</v>
      </c>
      <c r="B187" s="56" t="s">
        <v>456</v>
      </c>
      <c r="C187" s="56" t="s">
        <v>315</v>
      </c>
      <c r="D187" s="56" t="s">
        <v>340</v>
      </c>
      <c r="E187" s="56" t="s">
        <v>457</v>
      </c>
      <c r="F187" s="57" t="s">
        <v>15</v>
      </c>
      <c r="G187" s="61"/>
      <c r="H187" s="61"/>
      <c r="I187" s="60"/>
      <c r="J187" s="53"/>
    </row>
    <row r="188" ht="24.75" hidden="1" customHeight="1">
      <c r="A188" s="54">
        <v>101.0</v>
      </c>
      <c r="B188" s="56" t="s">
        <v>458</v>
      </c>
      <c r="C188" s="56" t="s">
        <v>315</v>
      </c>
      <c r="D188" s="56" t="s">
        <v>351</v>
      </c>
      <c r="E188" s="56" t="s">
        <v>459</v>
      </c>
      <c r="F188" s="57" t="s">
        <v>15</v>
      </c>
      <c r="G188" s="61"/>
      <c r="H188" s="61"/>
      <c r="I188" s="60"/>
      <c r="J188" s="53"/>
    </row>
    <row r="189" ht="24.75" hidden="1" customHeight="1">
      <c r="A189" s="54">
        <v>102.0</v>
      </c>
      <c r="B189" s="56" t="s">
        <v>353</v>
      </c>
      <c r="C189" s="56" t="s">
        <v>315</v>
      </c>
      <c r="D189" s="56" t="s">
        <v>354</v>
      </c>
      <c r="E189" s="56" t="s">
        <v>461</v>
      </c>
      <c r="F189" s="57" t="s">
        <v>15</v>
      </c>
      <c r="G189" s="61"/>
      <c r="H189" s="61"/>
      <c r="I189" s="60"/>
      <c r="J189" s="53"/>
    </row>
    <row r="190" ht="24.75" hidden="1" customHeight="1">
      <c r="A190" s="54">
        <v>140.0</v>
      </c>
      <c r="B190" s="56" t="s">
        <v>462</v>
      </c>
      <c r="C190" s="56" t="s">
        <v>434</v>
      </c>
      <c r="D190" s="56" t="s">
        <v>463</v>
      </c>
      <c r="E190" s="56" t="s">
        <v>272</v>
      </c>
      <c r="F190" s="57" t="s">
        <v>15</v>
      </c>
      <c r="G190" s="61"/>
      <c r="H190" s="61"/>
      <c r="I190" s="60"/>
      <c r="J190" s="53"/>
    </row>
    <row r="191" ht="24.75" hidden="1" customHeight="1">
      <c r="A191" s="54">
        <v>140.0</v>
      </c>
      <c r="B191" s="56" t="s">
        <v>464</v>
      </c>
      <c r="C191" s="56" t="s">
        <v>270</v>
      </c>
      <c r="D191" s="56" t="s">
        <v>465</v>
      </c>
      <c r="E191" s="56" t="s">
        <v>272</v>
      </c>
      <c r="F191" s="57" t="s">
        <v>15</v>
      </c>
      <c r="G191" s="61"/>
      <c r="H191" s="61"/>
      <c r="I191" s="60"/>
      <c r="J191" s="53"/>
    </row>
    <row r="192" ht="24.75" hidden="1" customHeight="1">
      <c r="A192" s="54">
        <v>140.0</v>
      </c>
      <c r="B192" s="56" t="s">
        <v>466</v>
      </c>
      <c r="C192" s="56" t="s">
        <v>443</v>
      </c>
      <c r="D192" s="56" t="s">
        <v>467</v>
      </c>
      <c r="E192" s="56" t="s">
        <v>272</v>
      </c>
      <c r="F192" s="57" t="s">
        <v>15</v>
      </c>
      <c r="G192" s="61"/>
      <c r="H192" s="61"/>
      <c r="I192" s="60"/>
      <c r="J192" s="53"/>
    </row>
    <row r="193" ht="24.75" hidden="1" customHeight="1">
      <c r="A193" s="54">
        <v>140.0</v>
      </c>
      <c r="B193" s="56" t="s">
        <v>468</v>
      </c>
      <c r="C193" s="56" t="s">
        <v>446</v>
      </c>
      <c r="D193" s="56" t="s">
        <v>469</v>
      </c>
      <c r="E193" s="56" t="s">
        <v>272</v>
      </c>
      <c r="F193" s="57" t="s">
        <v>15</v>
      </c>
      <c r="G193" s="61"/>
      <c r="H193" s="61"/>
      <c r="I193" s="60"/>
      <c r="J193" s="53"/>
    </row>
    <row r="194" ht="24.75" hidden="1" customHeight="1">
      <c r="A194" s="54">
        <v>140.0</v>
      </c>
      <c r="B194" s="56" t="s">
        <v>470</v>
      </c>
      <c r="C194" s="56" t="s">
        <v>443</v>
      </c>
      <c r="D194" s="56" t="s">
        <v>471</v>
      </c>
      <c r="E194" s="56" t="s">
        <v>272</v>
      </c>
      <c r="F194" s="57" t="s">
        <v>15</v>
      </c>
      <c r="G194" s="61"/>
      <c r="H194" s="61"/>
      <c r="I194" s="60"/>
      <c r="J194" s="53"/>
    </row>
    <row r="195" ht="24.75" hidden="1" customHeight="1">
      <c r="A195" s="54">
        <v>140.0</v>
      </c>
      <c r="B195" s="56" t="s">
        <v>472</v>
      </c>
      <c r="C195" s="56" t="s">
        <v>446</v>
      </c>
      <c r="D195" s="56" t="s">
        <v>473</v>
      </c>
      <c r="E195" s="56" t="s">
        <v>272</v>
      </c>
      <c r="F195" s="57" t="s">
        <v>15</v>
      </c>
      <c r="G195" s="61"/>
      <c r="H195" s="61"/>
      <c r="I195" s="60"/>
      <c r="J195" s="53"/>
    </row>
    <row r="196" ht="24.75" hidden="1" customHeight="1">
      <c r="A196" s="54">
        <v>140.0</v>
      </c>
      <c r="B196" s="56" t="s">
        <v>474</v>
      </c>
      <c r="C196" s="56" t="s">
        <v>443</v>
      </c>
      <c r="D196" s="56" t="s">
        <v>475</v>
      </c>
      <c r="E196" s="56" t="s">
        <v>272</v>
      </c>
      <c r="F196" s="57" t="s">
        <v>15</v>
      </c>
      <c r="G196" s="61"/>
      <c r="H196" s="61"/>
      <c r="I196" s="60"/>
      <c r="J196" s="53"/>
    </row>
    <row r="197" ht="24.75" hidden="1" customHeight="1">
      <c r="A197" s="54">
        <v>140.0</v>
      </c>
      <c r="B197" s="56" t="s">
        <v>476</v>
      </c>
      <c r="C197" s="56" t="s">
        <v>270</v>
      </c>
      <c r="D197" s="56" t="s">
        <v>477</v>
      </c>
      <c r="E197" s="56" t="s">
        <v>272</v>
      </c>
      <c r="F197" s="57" t="s">
        <v>15</v>
      </c>
      <c r="G197" s="61"/>
      <c r="H197" s="61"/>
      <c r="I197" s="60"/>
      <c r="J197" s="53"/>
    </row>
    <row r="198" ht="24.75" hidden="1" customHeight="1">
      <c r="A198" s="54">
        <v>140.0</v>
      </c>
      <c r="B198" s="56" t="s">
        <v>478</v>
      </c>
      <c r="C198" s="56" t="s">
        <v>270</v>
      </c>
      <c r="D198" s="56" t="s">
        <v>479</v>
      </c>
      <c r="E198" s="56" t="s">
        <v>272</v>
      </c>
      <c r="F198" s="57" t="s">
        <v>15</v>
      </c>
      <c r="G198" s="61"/>
      <c r="H198" s="61"/>
      <c r="I198" s="60"/>
      <c r="J198" s="53"/>
    </row>
    <row r="199" ht="24.75" hidden="1" customHeight="1">
      <c r="A199" s="54">
        <v>140.0</v>
      </c>
      <c r="B199" s="56" t="s">
        <v>480</v>
      </c>
      <c r="C199" s="56" t="s">
        <v>270</v>
      </c>
      <c r="D199" s="56" t="s">
        <v>481</v>
      </c>
      <c r="E199" s="56" t="s">
        <v>272</v>
      </c>
      <c r="F199" s="57" t="s">
        <v>15</v>
      </c>
      <c r="G199" s="61"/>
      <c r="H199" s="61"/>
      <c r="I199" s="60"/>
      <c r="J199" s="53"/>
    </row>
    <row r="200" ht="24.75" hidden="1" customHeight="1">
      <c r="A200" s="54">
        <v>140.0</v>
      </c>
      <c r="B200" s="56" t="s">
        <v>482</v>
      </c>
      <c r="C200" s="56" t="s">
        <v>443</v>
      </c>
      <c r="D200" s="56" t="s">
        <v>483</v>
      </c>
      <c r="E200" s="56" t="s">
        <v>272</v>
      </c>
      <c r="F200" s="57" t="s">
        <v>15</v>
      </c>
      <c r="G200" s="61"/>
      <c r="H200" s="61"/>
      <c r="I200" s="60"/>
      <c r="J200" s="53"/>
    </row>
    <row r="201" ht="24.75" hidden="1" customHeight="1">
      <c r="A201" s="54">
        <v>140.0</v>
      </c>
      <c r="B201" s="56" t="s">
        <v>484</v>
      </c>
      <c r="C201" s="56" t="s">
        <v>446</v>
      </c>
      <c r="D201" s="56" t="s">
        <v>485</v>
      </c>
      <c r="E201" s="56" t="s">
        <v>272</v>
      </c>
      <c r="F201" s="57" t="s">
        <v>15</v>
      </c>
      <c r="G201" s="61"/>
      <c r="H201" s="61"/>
      <c r="I201" s="60"/>
      <c r="J201" s="53"/>
    </row>
    <row r="202" ht="24.75" hidden="1" customHeight="1">
      <c r="A202" s="54">
        <v>140.0</v>
      </c>
      <c r="B202" s="56" t="s">
        <v>269</v>
      </c>
      <c r="C202" s="56" t="s">
        <v>270</v>
      </c>
      <c r="D202" s="56" t="s">
        <v>486</v>
      </c>
      <c r="E202" s="56" t="s">
        <v>487</v>
      </c>
      <c r="F202" s="56"/>
      <c r="G202" s="61"/>
      <c r="H202" s="61"/>
      <c r="I202" s="62"/>
      <c r="J202" s="53"/>
    </row>
    <row r="203" ht="24.75" hidden="1" customHeight="1">
      <c r="A203" s="54">
        <v>140.0</v>
      </c>
      <c r="B203" s="56" t="s">
        <v>488</v>
      </c>
      <c r="C203" s="88" t="s">
        <v>449</v>
      </c>
      <c r="D203" s="56" t="s">
        <v>489</v>
      </c>
      <c r="E203" s="56" t="s">
        <v>272</v>
      </c>
      <c r="F203" s="57" t="s">
        <v>15</v>
      </c>
      <c r="G203" s="61"/>
      <c r="H203" s="61"/>
      <c r="I203" s="60"/>
      <c r="J203" s="53"/>
    </row>
    <row r="204" ht="24.75" hidden="1" customHeight="1">
      <c r="A204" s="54">
        <v>140.0</v>
      </c>
      <c r="B204" s="56" t="s">
        <v>490</v>
      </c>
      <c r="C204" s="56" t="s">
        <v>270</v>
      </c>
      <c r="D204" s="56" t="s">
        <v>491</v>
      </c>
      <c r="E204" s="56" t="s">
        <v>272</v>
      </c>
      <c r="F204" s="57" t="s">
        <v>15</v>
      </c>
      <c r="G204" s="61"/>
      <c r="H204" s="61"/>
      <c r="I204" s="60"/>
      <c r="J204" s="53"/>
    </row>
    <row r="205" ht="24.75" hidden="1" customHeight="1">
      <c r="A205" s="54">
        <v>140.0</v>
      </c>
      <c r="B205" s="56" t="s">
        <v>284</v>
      </c>
      <c r="C205" s="56" t="s">
        <v>270</v>
      </c>
      <c r="D205" s="56" t="s">
        <v>492</v>
      </c>
      <c r="E205" s="56" t="s">
        <v>487</v>
      </c>
      <c r="F205" s="56"/>
      <c r="G205" s="61"/>
      <c r="H205" s="61"/>
      <c r="I205" s="62"/>
      <c r="J205" s="53"/>
    </row>
    <row r="206" ht="24.75" hidden="1" customHeight="1">
      <c r="A206" s="54">
        <v>140.0</v>
      </c>
      <c r="B206" s="56" t="s">
        <v>493</v>
      </c>
      <c r="C206" s="56" t="s">
        <v>270</v>
      </c>
      <c r="D206" s="56" t="s">
        <v>494</v>
      </c>
      <c r="E206" s="56" t="s">
        <v>272</v>
      </c>
      <c r="F206" s="57" t="s">
        <v>15</v>
      </c>
      <c r="G206" s="61"/>
      <c r="H206" s="61"/>
      <c r="I206" s="60"/>
      <c r="J206" s="53"/>
    </row>
    <row r="207" ht="24.75" hidden="1" customHeight="1">
      <c r="A207" s="54">
        <v>140.0</v>
      </c>
      <c r="B207" s="56" t="s">
        <v>496</v>
      </c>
      <c r="C207" s="56" t="s">
        <v>497</v>
      </c>
      <c r="D207" s="56" t="s">
        <v>498</v>
      </c>
      <c r="E207" s="56" t="s">
        <v>272</v>
      </c>
      <c r="F207" s="57" t="s">
        <v>15</v>
      </c>
      <c r="G207" s="61"/>
      <c r="H207" s="61"/>
      <c r="I207" s="60"/>
      <c r="J207" s="53"/>
    </row>
    <row r="208" ht="24.75" hidden="1" customHeight="1">
      <c r="A208" s="54">
        <v>140.0</v>
      </c>
      <c r="B208" s="56" t="s">
        <v>499</v>
      </c>
      <c r="C208" s="56" t="s">
        <v>500</v>
      </c>
      <c r="D208" s="56" t="s">
        <v>501</v>
      </c>
      <c r="E208" s="56" t="s">
        <v>225</v>
      </c>
      <c r="F208" s="57" t="s">
        <v>34</v>
      </c>
      <c r="G208" s="61"/>
      <c r="H208" s="61"/>
      <c r="I208" s="62"/>
      <c r="J208" s="53"/>
    </row>
    <row r="209" ht="24.75" hidden="1" customHeight="1">
      <c r="A209" s="54">
        <v>140.0</v>
      </c>
      <c r="B209" s="56" t="s">
        <v>499</v>
      </c>
      <c r="C209" s="56" t="s">
        <v>500</v>
      </c>
      <c r="D209" s="56" t="s">
        <v>501</v>
      </c>
      <c r="E209" s="56" t="s">
        <v>167</v>
      </c>
      <c r="F209" s="57" t="s">
        <v>154</v>
      </c>
      <c r="G209" s="61"/>
      <c r="H209" s="61"/>
      <c r="I209" s="62"/>
      <c r="J209" s="53"/>
    </row>
    <row r="210" ht="24.75" hidden="1" customHeight="1">
      <c r="A210" s="54">
        <v>140.0</v>
      </c>
      <c r="B210" s="56" t="s">
        <v>499</v>
      </c>
      <c r="C210" s="56" t="s">
        <v>500</v>
      </c>
      <c r="D210" s="56" t="s">
        <v>501</v>
      </c>
      <c r="E210" s="56" t="s">
        <v>226</v>
      </c>
      <c r="F210" s="57" t="s">
        <v>154</v>
      </c>
      <c r="G210" s="61"/>
      <c r="H210" s="61"/>
      <c r="I210" s="62"/>
      <c r="J210" s="53"/>
    </row>
    <row r="211" ht="24.75" hidden="1" customHeight="1">
      <c r="A211" s="54">
        <v>140.0</v>
      </c>
      <c r="B211" s="56" t="s">
        <v>502</v>
      </c>
      <c r="C211" s="56" t="s">
        <v>497</v>
      </c>
      <c r="D211" s="56" t="s">
        <v>503</v>
      </c>
      <c r="E211" s="56" t="s">
        <v>272</v>
      </c>
      <c r="F211" s="57" t="s">
        <v>15</v>
      </c>
      <c r="G211" s="61"/>
      <c r="H211" s="61"/>
      <c r="I211" s="60"/>
      <c r="J211" s="53"/>
    </row>
    <row r="212" ht="24.75" hidden="1" customHeight="1">
      <c r="A212" s="54">
        <v>140.0</v>
      </c>
      <c r="B212" s="56" t="s">
        <v>504</v>
      </c>
      <c r="C212" s="56" t="s">
        <v>443</v>
      </c>
      <c r="D212" s="56" t="s">
        <v>505</v>
      </c>
      <c r="E212" s="56" t="s">
        <v>439</v>
      </c>
      <c r="F212" s="57" t="s">
        <v>154</v>
      </c>
      <c r="G212" s="61"/>
      <c r="H212" s="61"/>
      <c r="I212" s="62"/>
      <c r="J212" s="53"/>
    </row>
    <row r="213" ht="24.75" customHeight="1">
      <c r="A213" s="54">
        <v>140.0</v>
      </c>
      <c r="B213" s="56" t="s">
        <v>506</v>
      </c>
      <c r="C213" s="56" t="s">
        <v>507</v>
      </c>
      <c r="D213" s="56" t="s">
        <v>508</v>
      </c>
      <c r="E213" s="56" t="s">
        <v>336</v>
      </c>
      <c r="F213" s="57" t="s">
        <v>192</v>
      </c>
      <c r="G213" s="61"/>
      <c r="H213" s="61"/>
      <c r="I213" s="62"/>
      <c r="J213" s="53"/>
    </row>
    <row r="214" ht="24.75" hidden="1" customHeight="1">
      <c r="A214" s="54">
        <v>140.0</v>
      </c>
      <c r="B214" s="56" t="s">
        <v>506</v>
      </c>
      <c r="C214" s="56" t="s">
        <v>507</v>
      </c>
      <c r="D214" s="56" t="s">
        <v>508</v>
      </c>
      <c r="E214" s="56" t="s">
        <v>372</v>
      </c>
      <c r="F214" s="57" t="s">
        <v>34</v>
      </c>
      <c r="G214" s="61"/>
      <c r="H214" s="61"/>
      <c r="I214" s="62"/>
      <c r="J214" s="53"/>
    </row>
    <row r="215" ht="24.75" hidden="1" customHeight="1">
      <c r="A215" s="54">
        <v>140.0</v>
      </c>
      <c r="B215" s="56" t="s">
        <v>506</v>
      </c>
      <c r="C215" s="56" t="s">
        <v>507</v>
      </c>
      <c r="D215" s="56" t="s">
        <v>508</v>
      </c>
      <c r="E215" s="56" t="s">
        <v>158</v>
      </c>
      <c r="F215" s="57" t="s">
        <v>34</v>
      </c>
      <c r="G215" s="61"/>
      <c r="H215" s="61"/>
      <c r="I215" s="62"/>
      <c r="J215" s="53"/>
    </row>
    <row r="216" ht="24.75" hidden="1" customHeight="1">
      <c r="A216" s="54">
        <v>140.0</v>
      </c>
      <c r="B216" s="56" t="s">
        <v>502</v>
      </c>
      <c r="C216" s="56" t="s">
        <v>497</v>
      </c>
      <c r="D216" s="56" t="s">
        <v>509</v>
      </c>
      <c r="E216" s="56" t="s">
        <v>272</v>
      </c>
      <c r="F216" s="57" t="s">
        <v>15</v>
      </c>
      <c r="G216" s="61"/>
      <c r="H216" s="61"/>
      <c r="I216" s="60"/>
      <c r="J216" s="53"/>
    </row>
    <row r="217" ht="24.75" hidden="1" customHeight="1">
      <c r="A217" s="54">
        <v>140.0</v>
      </c>
      <c r="B217" s="56" t="s">
        <v>499</v>
      </c>
      <c r="C217" s="56" t="s">
        <v>500</v>
      </c>
      <c r="D217" s="56" t="s">
        <v>510</v>
      </c>
      <c r="E217" s="56" t="s">
        <v>272</v>
      </c>
      <c r="F217" s="57" t="s">
        <v>15</v>
      </c>
      <c r="G217" s="61"/>
      <c r="H217" s="61"/>
      <c r="I217" s="60"/>
      <c r="J217" s="53"/>
    </row>
    <row r="218" ht="24.75" hidden="1" customHeight="1">
      <c r="A218" s="54">
        <v>140.0</v>
      </c>
      <c r="B218" s="56" t="s">
        <v>511</v>
      </c>
      <c r="C218" s="56" t="s">
        <v>497</v>
      </c>
      <c r="D218" s="56" t="s">
        <v>512</v>
      </c>
      <c r="E218" s="56" t="s">
        <v>272</v>
      </c>
      <c r="F218" s="57" t="s">
        <v>15</v>
      </c>
      <c r="G218" s="61"/>
      <c r="H218" s="61"/>
      <c r="I218" s="60"/>
      <c r="J218" s="53"/>
    </row>
    <row r="219" ht="24.75" hidden="1" customHeight="1">
      <c r="A219" s="54">
        <v>140.0</v>
      </c>
      <c r="B219" s="56" t="s">
        <v>513</v>
      </c>
      <c r="C219" s="56" t="s">
        <v>437</v>
      </c>
      <c r="D219" s="56" t="s">
        <v>514</v>
      </c>
      <c r="E219" s="56" t="s">
        <v>272</v>
      </c>
      <c r="F219" s="57" t="s">
        <v>15</v>
      </c>
      <c r="G219" s="61"/>
      <c r="H219" s="61"/>
      <c r="I219" s="60"/>
      <c r="J219" s="53"/>
    </row>
    <row r="220" ht="24.75" hidden="1" customHeight="1">
      <c r="A220" s="54">
        <v>140.0</v>
      </c>
      <c r="B220" s="56" t="s">
        <v>515</v>
      </c>
      <c r="C220" s="56" t="s">
        <v>437</v>
      </c>
      <c r="D220" s="56" t="s">
        <v>516</v>
      </c>
      <c r="E220" s="56" t="s">
        <v>272</v>
      </c>
      <c r="F220" s="57" t="s">
        <v>15</v>
      </c>
      <c r="G220" s="61"/>
      <c r="H220" s="61"/>
      <c r="I220" s="60"/>
      <c r="J220" s="53"/>
    </row>
    <row r="221" ht="24.75" hidden="1" customHeight="1">
      <c r="A221" s="54">
        <v>140.0</v>
      </c>
      <c r="B221" s="56" t="s">
        <v>517</v>
      </c>
      <c r="C221" s="56" t="s">
        <v>437</v>
      </c>
      <c r="D221" s="56" t="s">
        <v>518</v>
      </c>
      <c r="E221" s="56" t="s">
        <v>272</v>
      </c>
      <c r="F221" s="57" t="s">
        <v>15</v>
      </c>
      <c r="G221" s="81"/>
      <c r="H221" s="81"/>
      <c r="I221" s="93"/>
      <c r="J221" s="53"/>
    </row>
    <row r="222" ht="24.75" hidden="1" customHeight="1">
      <c r="A222" s="54">
        <v>140.0</v>
      </c>
      <c r="B222" s="56" t="s">
        <v>519</v>
      </c>
      <c r="C222" s="56" t="s">
        <v>437</v>
      </c>
      <c r="D222" s="56" t="s">
        <v>520</v>
      </c>
      <c r="E222" s="56" t="s">
        <v>272</v>
      </c>
      <c r="F222" s="57" t="s">
        <v>15</v>
      </c>
      <c r="G222" s="61"/>
      <c r="H222" s="61"/>
      <c r="I222" s="60"/>
      <c r="J222" s="53"/>
    </row>
    <row r="223" ht="24.75" hidden="1" customHeight="1">
      <c r="A223" s="54">
        <v>140.0</v>
      </c>
      <c r="B223" s="56" t="s">
        <v>521</v>
      </c>
      <c r="C223" s="56" t="s">
        <v>443</v>
      </c>
      <c r="D223" s="56" t="s">
        <v>522</v>
      </c>
      <c r="E223" s="56" t="s">
        <v>272</v>
      </c>
      <c r="F223" s="57" t="s">
        <v>15</v>
      </c>
      <c r="G223" s="61"/>
      <c r="H223" s="61"/>
      <c r="I223" s="60"/>
      <c r="J223" s="53"/>
    </row>
    <row r="224" ht="24.75" hidden="1" customHeight="1">
      <c r="A224" s="54">
        <v>140.0</v>
      </c>
      <c r="B224" s="56" t="s">
        <v>523</v>
      </c>
      <c r="C224" s="56" t="s">
        <v>443</v>
      </c>
      <c r="D224" s="56" t="s">
        <v>524</v>
      </c>
      <c r="E224" s="56" t="s">
        <v>272</v>
      </c>
      <c r="F224" s="57" t="s">
        <v>15</v>
      </c>
      <c r="G224" s="61"/>
      <c r="H224" s="61"/>
      <c r="I224" s="60"/>
      <c r="J224" s="53"/>
    </row>
    <row r="225" ht="24.75" hidden="1" customHeight="1">
      <c r="A225" s="54">
        <v>140.0</v>
      </c>
      <c r="B225" s="56" t="s">
        <v>525</v>
      </c>
      <c r="C225" s="56" t="s">
        <v>443</v>
      </c>
      <c r="D225" s="56" t="s">
        <v>526</v>
      </c>
      <c r="E225" s="56" t="s">
        <v>272</v>
      </c>
      <c r="F225" s="57" t="s">
        <v>15</v>
      </c>
      <c r="G225" s="61"/>
      <c r="H225" s="61"/>
      <c r="I225" s="60"/>
      <c r="J225" s="53"/>
    </row>
    <row r="226" ht="24.75" hidden="1" customHeight="1">
      <c r="A226" s="54">
        <v>140.0</v>
      </c>
      <c r="B226" s="56" t="s">
        <v>527</v>
      </c>
      <c r="C226" s="56" t="s">
        <v>446</v>
      </c>
      <c r="D226" s="56" t="s">
        <v>528</v>
      </c>
      <c r="E226" s="56" t="s">
        <v>272</v>
      </c>
      <c r="F226" s="57" t="s">
        <v>15</v>
      </c>
      <c r="G226" s="61"/>
      <c r="H226" s="61"/>
      <c r="I226" s="60"/>
      <c r="J226" s="53"/>
    </row>
    <row r="227" ht="24.75" hidden="1" customHeight="1">
      <c r="A227" s="54">
        <v>140.0</v>
      </c>
      <c r="B227" s="56" t="s">
        <v>529</v>
      </c>
      <c r="C227" s="56" t="s">
        <v>446</v>
      </c>
      <c r="D227" s="56" t="s">
        <v>530</v>
      </c>
      <c r="E227" s="56" t="s">
        <v>272</v>
      </c>
      <c r="F227" s="57" t="s">
        <v>15</v>
      </c>
      <c r="G227" s="61"/>
      <c r="H227" s="61"/>
      <c r="I227" s="60"/>
      <c r="J227" s="53"/>
    </row>
    <row r="228" ht="24.75" hidden="1" customHeight="1">
      <c r="A228" s="54">
        <v>140.0</v>
      </c>
      <c r="B228" s="56" t="s">
        <v>531</v>
      </c>
      <c r="C228" s="88" t="s">
        <v>449</v>
      </c>
      <c r="D228" s="56" t="s">
        <v>532</v>
      </c>
      <c r="E228" s="56" t="s">
        <v>272</v>
      </c>
      <c r="F228" s="57" t="s">
        <v>15</v>
      </c>
      <c r="G228" s="61"/>
      <c r="H228" s="61"/>
      <c r="I228" s="60"/>
      <c r="J228" s="53"/>
    </row>
    <row r="229" ht="24.75" hidden="1" customHeight="1">
      <c r="A229" s="54">
        <v>140.0</v>
      </c>
      <c r="B229" s="56" t="s">
        <v>533</v>
      </c>
      <c r="C229" s="56" t="s">
        <v>497</v>
      </c>
      <c r="D229" s="56" t="s">
        <v>534</v>
      </c>
      <c r="E229" s="56" t="s">
        <v>439</v>
      </c>
      <c r="F229" s="57" t="s">
        <v>154</v>
      </c>
      <c r="G229" s="61"/>
      <c r="H229" s="61"/>
      <c r="I229" s="62"/>
      <c r="J229" s="53"/>
    </row>
    <row r="230" ht="24.75" hidden="1" customHeight="1">
      <c r="A230" s="54">
        <v>140.0</v>
      </c>
      <c r="B230" s="56" t="s">
        <v>535</v>
      </c>
      <c r="C230" s="56" t="s">
        <v>443</v>
      </c>
      <c r="D230" s="56" t="s">
        <v>537</v>
      </c>
      <c r="E230" s="56" t="s">
        <v>439</v>
      </c>
      <c r="F230" s="57" t="s">
        <v>154</v>
      </c>
      <c r="G230" s="61"/>
      <c r="H230" s="61"/>
      <c r="I230" s="62"/>
      <c r="J230" s="53"/>
    </row>
    <row r="231" ht="24.75" hidden="1" customHeight="1">
      <c r="A231" s="54">
        <v>140.0</v>
      </c>
      <c r="B231" s="56" t="s">
        <v>538</v>
      </c>
      <c r="C231" s="56" t="s">
        <v>446</v>
      </c>
      <c r="D231" s="56" t="s">
        <v>539</v>
      </c>
      <c r="E231" s="56" t="s">
        <v>439</v>
      </c>
      <c r="F231" s="57" t="s">
        <v>154</v>
      </c>
      <c r="G231" s="61"/>
      <c r="H231" s="61"/>
      <c r="I231" s="62"/>
      <c r="J231" s="53"/>
    </row>
    <row r="232" ht="24.75" hidden="1" customHeight="1">
      <c r="A232" s="54">
        <v>140.0</v>
      </c>
      <c r="B232" s="56" t="s">
        <v>540</v>
      </c>
      <c r="C232" s="56" t="s">
        <v>434</v>
      </c>
      <c r="D232" s="56" t="s">
        <v>541</v>
      </c>
      <c r="E232" s="56" t="s">
        <v>167</v>
      </c>
      <c r="F232" s="57" t="s">
        <v>154</v>
      </c>
      <c r="G232" s="61"/>
      <c r="H232" s="61"/>
      <c r="I232" s="62"/>
      <c r="J232" s="53"/>
    </row>
    <row r="233" ht="24.75" hidden="1" customHeight="1">
      <c r="A233" s="54">
        <v>140.0</v>
      </c>
      <c r="B233" s="56" t="s">
        <v>540</v>
      </c>
      <c r="C233" s="56" t="s">
        <v>434</v>
      </c>
      <c r="D233" s="56" t="s">
        <v>541</v>
      </c>
      <c r="E233" s="56" t="s">
        <v>176</v>
      </c>
      <c r="F233" s="57" t="s">
        <v>154</v>
      </c>
      <c r="G233" s="61"/>
      <c r="H233" s="61"/>
      <c r="I233" s="62"/>
      <c r="J233" s="53"/>
    </row>
    <row r="234" ht="24.75" hidden="1" customHeight="1">
      <c r="A234" s="54">
        <v>140.0</v>
      </c>
      <c r="B234" s="56" t="s">
        <v>543</v>
      </c>
      <c r="C234" s="56" t="s">
        <v>437</v>
      </c>
      <c r="D234" s="56" t="s">
        <v>544</v>
      </c>
      <c r="E234" s="56" t="s">
        <v>167</v>
      </c>
      <c r="F234" s="57" t="s">
        <v>154</v>
      </c>
      <c r="G234" s="61"/>
      <c r="H234" s="61"/>
      <c r="I234" s="62"/>
      <c r="J234" s="53"/>
    </row>
    <row r="235" ht="24.75" hidden="1" customHeight="1">
      <c r="A235" s="54">
        <v>140.0</v>
      </c>
      <c r="B235" s="56" t="s">
        <v>543</v>
      </c>
      <c r="C235" s="56" t="s">
        <v>437</v>
      </c>
      <c r="D235" s="56" t="s">
        <v>544</v>
      </c>
      <c r="E235" s="56" t="s">
        <v>176</v>
      </c>
      <c r="F235" s="57" t="s">
        <v>154</v>
      </c>
      <c r="G235" s="61"/>
      <c r="H235" s="61"/>
      <c r="I235" s="62"/>
      <c r="J235" s="53"/>
    </row>
    <row r="236" ht="24.75" hidden="1" customHeight="1">
      <c r="A236" s="54">
        <v>140.0</v>
      </c>
      <c r="B236" s="56" t="s">
        <v>545</v>
      </c>
      <c r="C236" s="56" t="s">
        <v>437</v>
      </c>
      <c r="D236" s="56" t="s">
        <v>546</v>
      </c>
      <c r="E236" s="56" t="s">
        <v>167</v>
      </c>
      <c r="F236" s="57" t="s">
        <v>154</v>
      </c>
      <c r="G236" s="61"/>
      <c r="H236" s="61"/>
      <c r="I236" s="62"/>
      <c r="J236" s="53"/>
    </row>
    <row r="237" ht="24.75" hidden="1" customHeight="1">
      <c r="A237" s="54">
        <v>140.0</v>
      </c>
      <c r="B237" s="56" t="s">
        <v>545</v>
      </c>
      <c r="C237" s="56" t="s">
        <v>437</v>
      </c>
      <c r="D237" s="56" t="s">
        <v>546</v>
      </c>
      <c r="E237" s="56" t="s">
        <v>176</v>
      </c>
      <c r="F237" s="57" t="s">
        <v>154</v>
      </c>
      <c r="G237" s="61"/>
      <c r="H237" s="61"/>
      <c r="I237" s="62"/>
      <c r="J237" s="53"/>
    </row>
    <row r="238" ht="24.75" hidden="1" customHeight="1">
      <c r="A238" s="54">
        <v>140.0</v>
      </c>
      <c r="B238" s="56" t="s">
        <v>547</v>
      </c>
      <c r="C238" s="56" t="s">
        <v>437</v>
      </c>
      <c r="D238" s="56" t="s">
        <v>548</v>
      </c>
      <c r="E238" s="56" t="s">
        <v>167</v>
      </c>
      <c r="F238" s="57" t="s">
        <v>154</v>
      </c>
      <c r="G238" s="61"/>
      <c r="H238" s="61"/>
      <c r="I238" s="62"/>
      <c r="J238" s="53"/>
    </row>
    <row r="239" ht="24.75" hidden="1" customHeight="1">
      <c r="A239" s="54">
        <v>140.0</v>
      </c>
      <c r="B239" s="56" t="s">
        <v>547</v>
      </c>
      <c r="C239" s="56" t="s">
        <v>437</v>
      </c>
      <c r="D239" s="56" t="s">
        <v>548</v>
      </c>
      <c r="E239" s="56" t="s">
        <v>176</v>
      </c>
      <c r="F239" s="57" t="s">
        <v>154</v>
      </c>
      <c r="G239" s="61"/>
      <c r="H239" s="61"/>
      <c r="I239" s="62"/>
      <c r="J239" s="53"/>
    </row>
    <row r="240" ht="24.75" hidden="1" customHeight="1">
      <c r="A240" s="54">
        <v>140.0</v>
      </c>
      <c r="B240" s="56" t="s">
        <v>549</v>
      </c>
      <c r="C240" s="56" t="s">
        <v>434</v>
      </c>
      <c r="D240" s="56" t="s">
        <v>550</v>
      </c>
      <c r="E240" s="56" t="s">
        <v>167</v>
      </c>
      <c r="F240" s="57" t="s">
        <v>154</v>
      </c>
      <c r="G240" s="61"/>
      <c r="H240" s="61"/>
      <c r="I240" s="62"/>
      <c r="J240" s="53"/>
    </row>
    <row r="241" ht="24.75" hidden="1" customHeight="1">
      <c r="A241" s="54">
        <v>140.0</v>
      </c>
      <c r="B241" s="56" t="s">
        <v>549</v>
      </c>
      <c r="C241" s="56" t="s">
        <v>434</v>
      </c>
      <c r="D241" s="56" t="s">
        <v>550</v>
      </c>
      <c r="E241" s="56" t="s">
        <v>176</v>
      </c>
      <c r="F241" s="57" t="s">
        <v>154</v>
      </c>
      <c r="G241" s="61"/>
      <c r="H241" s="61"/>
      <c r="I241" s="62"/>
      <c r="J241" s="53"/>
    </row>
    <row r="242" ht="24.75" hidden="1" customHeight="1">
      <c r="A242" s="54">
        <v>140.0</v>
      </c>
      <c r="B242" s="56" t="s">
        <v>551</v>
      </c>
      <c r="C242" s="56" t="s">
        <v>497</v>
      </c>
      <c r="D242" s="56" t="s">
        <v>552</v>
      </c>
      <c r="E242" s="56" t="s">
        <v>167</v>
      </c>
      <c r="F242" s="57" t="s">
        <v>154</v>
      </c>
      <c r="G242" s="61"/>
      <c r="H242" s="61"/>
      <c r="I242" s="62"/>
      <c r="J242" s="53"/>
    </row>
    <row r="243" ht="24.75" hidden="1" customHeight="1">
      <c r="A243" s="54">
        <v>140.0</v>
      </c>
      <c r="B243" s="56" t="s">
        <v>551</v>
      </c>
      <c r="C243" s="56" t="s">
        <v>497</v>
      </c>
      <c r="D243" s="56" t="s">
        <v>552</v>
      </c>
      <c r="E243" s="56" t="s">
        <v>176</v>
      </c>
      <c r="F243" s="57" t="s">
        <v>154</v>
      </c>
      <c r="G243" s="61"/>
      <c r="H243" s="61"/>
      <c r="I243" s="62"/>
      <c r="J243" s="53"/>
    </row>
    <row r="244" ht="24.75" hidden="1" customHeight="1">
      <c r="A244" s="54">
        <v>140.0</v>
      </c>
      <c r="B244" s="56" t="s">
        <v>553</v>
      </c>
      <c r="C244" s="56" t="s">
        <v>443</v>
      </c>
      <c r="D244" s="56" t="s">
        <v>554</v>
      </c>
      <c r="E244" s="56" t="s">
        <v>167</v>
      </c>
      <c r="F244" s="57" t="s">
        <v>154</v>
      </c>
      <c r="G244" s="61"/>
      <c r="H244" s="61"/>
      <c r="I244" s="62"/>
      <c r="J244" s="53"/>
    </row>
    <row r="245" ht="24.75" hidden="1" customHeight="1">
      <c r="A245" s="54">
        <v>140.0</v>
      </c>
      <c r="B245" s="56" t="s">
        <v>553</v>
      </c>
      <c r="C245" s="56" t="s">
        <v>443</v>
      </c>
      <c r="D245" s="56" t="s">
        <v>554</v>
      </c>
      <c r="E245" s="56" t="s">
        <v>176</v>
      </c>
      <c r="F245" s="57" t="s">
        <v>154</v>
      </c>
      <c r="G245" s="61"/>
      <c r="H245" s="61"/>
      <c r="I245" s="62"/>
      <c r="J245" s="53"/>
    </row>
    <row r="246" ht="24.75" hidden="1" customHeight="1">
      <c r="A246" s="54">
        <v>140.0</v>
      </c>
      <c r="B246" s="56" t="s">
        <v>555</v>
      </c>
      <c r="C246" s="56" t="s">
        <v>434</v>
      </c>
      <c r="D246" s="56" t="s">
        <v>556</v>
      </c>
      <c r="E246" s="56" t="s">
        <v>167</v>
      </c>
      <c r="F246" s="57" t="s">
        <v>154</v>
      </c>
      <c r="G246" s="61"/>
      <c r="H246" s="61"/>
      <c r="I246" s="62"/>
      <c r="J246" s="53"/>
    </row>
    <row r="247" ht="24.75" hidden="1" customHeight="1">
      <c r="A247" s="54">
        <v>140.0</v>
      </c>
      <c r="B247" s="56" t="s">
        <v>555</v>
      </c>
      <c r="C247" s="56" t="s">
        <v>434</v>
      </c>
      <c r="D247" s="56" t="s">
        <v>556</v>
      </c>
      <c r="E247" s="56" t="s">
        <v>176</v>
      </c>
      <c r="F247" s="57" t="s">
        <v>154</v>
      </c>
      <c r="G247" s="61"/>
      <c r="H247" s="61"/>
      <c r="I247" s="62"/>
      <c r="J247" s="53"/>
    </row>
    <row r="248" ht="24.75" hidden="1" customHeight="1">
      <c r="A248" s="54">
        <v>140.0</v>
      </c>
      <c r="B248" s="56" t="s">
        <v>558</v>
      </c>
      <c r="C248" s="56" t="s">
        <v>270</v>
      </c>
      <c r="D248" s="56" t="s">
        <v>559</v>
      </c>
      <c r="E248" s="56" t="s">
        <v>167</v>
      </c>
      <c r="F248" s="57" t="s">
        <v>154</v>
      </c>
      <c r="G248" s="61"/>
      <c r="H248" s="61"/>
      <c r="I248" s="62"/>
      <c r="J248" s="53"/>
    </row>
    <row r="249" ht="24.75" hidden="1" customHeight="1">
      <c r="A249" s="54">
        <v>140.0</v>
      </c>
      <c r="B249" s="56" t="s">
        <v>558</v>
      </c>
      <c r="C249" s="56" t="s">
        <v>270</v>
      </c>
      <c r="D249" s="56" t="s">
        <v>559</v>
      </c>
      <c r="E249" s="56" t="s">
        <v>176</v>
      </c>
      <c r="F249" s="57" t="s">
        <v>154</v>
      </c>
      <c r="G249" s="61"/>
      <c r="H249" s="61"/>
      <c r="I249" s="62"/>
      <c r="J249" s="53"/>
    </row>
    <row r="250" ht="24.75" hidden="1" customHeight="1">
      <c r="A250" s="54">
        <v>140.0</v>
      </c>
      <c r="B250" s="56" t="s">
        <v>560</v>
      </c>
      <c r="C250" s="56" t="s">
        <v>446</v>
      </c>
      <c r="D250" s="56" t="s">
        <v>561</v>
      </c>
      <c r="E250" s="56" t="s">
        <v>167</v>
      </c>
      <c r="F250" s="57" t="s">
        <v>154</v>
      </c>
      <c r="G250" s="61"/>
      <c r="H250" s="61"/>
      <c r="I250" s="62"/>
      <c r="J250" s="53"/>
    </row>
    <row r="251" ht="24.75" hidden="1" customHeight="1">
      <c r="A251" s="54">
        <v>140.0</v>
      </c>
      <c r="B251" s="56" t="s">
        <v>560</v>
      </c>
      <c r="C251" s="56" t="s">
        <v>446</v>
      </c>
      <c r="D251" s="56" t="s">
        <v>561</v>
      </c>
      <c r="E251" s="56" t="s">
        <v>176</v>
      </c>
      <c r="F251" s="57" t="s">
        <v>154</v>
      </c>
      <c r="G251" s="61"/>
      <c r="H251" s="61"/>
      <c r="I251" s="62"/>
      <c r="J251" s="53"/>
    </row>
    <row r="252" ht="24.75" hidden="1" customHeight="1">
      <c r="A252" s="54">
        <v>140.0</v>
      </c>
      <c r="B252" s="56" t="s">
        <v>562</v>
      </c>
      <c r="C252" s="56" t="s">
        <v>443</v>
      </c>
      <c r="D252" s="56" t="s">
        <v>563</v>
      </c>
      <c r="E252" s="56" t="s">
        <v>167</v>
      </c>
      <c r="F252" s="57" t="s">
        <v>154</v>
      </c>
      <c r="G252" s="61"/>
      <c r="H252" s="61"/>
      <c r="I252" s="62"/>
      <c r="J252" s="53"/>
    </row>
    <row r="253" ht="24.75" hidden="1" customHeight="1">
      <c r="A253" s="54">
        <v>140.0</v>
      </c>
      <c r="B253" s="56" t="s">
        <v>562</v>
      </c>
      <c r="C253" s="56" t="s">
        <v>443</v>
      </c>
      <c r="D253" s="56" t="s">
        <v>563</v>
      </c>
      <c r="E253" s="56" t="s">
        <v>176</v>
      </c>
      <c r="F253" s="57" t="s">
        <v>154</v>
      </c>
      <c r="G253" s="61"/>
      <c r="H253" s="61"/>
      <c r="I253" s="62"/>
      <c r="J253" s="53"/>
    </row>
    <row r="254" ht="24.75" hidden="1" customHeight="1">
      <c r="A254" s="54">
        <v>140.0</v>
      </c>
      <c r="B254" s="56" t="s">
        <v>564</v>
      </c>
      <c r="C254" s="56" t="s">
        <v>446</v>
      </c>
      <c r="D254" s="56" t="s">
        <v>565</v>
      </c>
      <c r="E254" s="56" t="s">
        <v>167</v>
      </c>
      <c r="F254" s="57" t="s">
        <v>154</v>
      </c>
      <c r="G254" s="61"/>
      <c r="H254" s="61"/>
      <c r="I254" s="62"/>
      <c r="J254" s="53"/>
    </row>
    <row r="255" ht="24.75" hidden="1" customHeight="1">
      <c r="A255" s="54">
        <v>140.0</v>
      </c>
      <c r="B255" s="56" t="s">
        <v>564</v>
      </c>
      <c r="C255" s="56" t="s">
        <v>446</v>
      </c>
      <c r="D255" s="56" t="s">
        <v>565</v>
      </c>
      <c r="E255" s="56" t="s">
        <v>176</v>
      </c>
      <c r="F255" s="57" t="s">
        <v>154</v>
      </c>
      <c r="G255" s="61"/>
      <c r="H255" s="61"/>
      <c r="I255" s="62"/>
      <c r="J255" s="53"/>
    </row>
    <row r="256" ht="24.75" hidden="1" customHeight="1">
      <c r="A256" s="54">
        <v>140.0</v>
      </c>
      <c r="B256" s="56" t="s">
        <v>566</v>
      </c>
      <c r="C256" s="88" t="s">
        <v>449</v>
      </c>
      <c r="D256" s="56" t="s">
        <v>567</v>
      </c>
      <c r="E256" s="56" t="s">
        <v>167</v>
      </c>
      <c r="F256" s="57" t="s">
        <v>154</v>
      </c>
      <c r="G256" s="61"/>
      <c r="H256" s="61"/>
      <c r="I256" s="62"/>
      <c r="J256" s="53"/>
    </row>
    <row r="257" ht="24.75" hidden="1" customHeight="1">
      <c r="A257" s="54">
        <v>140.0</v>
      </c>
      <c r="B257" s="56" t="s">
        <v>566</v>
      </c>
      <c r="C257" s="88" t="s">
        <v>449</v>
      </c>
      <c r="D257" s="56" t="s">
        <v>567</v>
      </c>
      <c r="E257" s="56" t="s">
        <v>176</v>
      </c>
      <c r="F257" s="57" t="s">
        <v>154</v>
      </c>
      <c r="G257" s="61"/>
      <c r="H257" s="61"/>
      <c r="I257" s="62"/>
      <c r="J257" s="53"/>
    </row>
    <row r="258" ht="24.75" hidden="1" customHeight="1">
      <c r="A258" s="54">
        <v>140.0</v>
      </c>
      <c r="B258" s="56" t="s">
        <v>568</v>
      </c>
      <c r="C258" s="56" t="s">
        <v>446</v>
      </c>
      <c r="D258" s="56" t="s">
        <v>569</v>
      </c>
      <c r="E258" s="56" t="s">
        <v>272</v>
      </c>
      <c r="F258" s="57" t="s">
        <v>15</v>
      </c>
      <c r="G258" s="61"/>
      <c r="H258" s="61"/>
      <c r="I258" s="60"/>
      <c r="J258" s="53"/>
    </row>
    <row r="259" ht="24.75" hidden="1" customHeight="1">
      <c r="A259" s="54">
        <v>140.0</v>
      </c>
      <c r="B259" s="56" t="s">
        <v>570</v>
      </c>
      <c r="C259" s="88" t="s">
        <v>449</v>
      </c>
      <c r="D259" s="56" t="s">
        <v>571</v>
      </c>
      <c r="E259" s="56" t="s">
        <v>167</v>
      </c>
      <c r="F259" s="57" t="s">
        <v>154</v>
      </c>
      <c r="G259" s="61"/>
      <c r="H259" s="61"/>
      <c r="I259" s="62"/>
      <c r="J259" s="53"/>
    </row>
    <row r="260" ht="24.75" hidden="1" customHeight="1">
      <c r="A260" s="54">
        <v>140.0</v>
      </c>
      <c r="B260" s="56" t="s">
        <v>570</v>
      </c>
      <c r="C260" s="88" t="s">
        <v>449</v>
      </c>
      <c r="D260" s="56" t="s">
        <v>571</v>
      </c>
      <c r="E260" s="56" t="s">
        <v>176</v>
      </c>
      <c r="F260" s="57" t="s">
        <v>154</v>
      </c>
      <c r="G260" s="61"/>
      <c r="H260" s="61"/>
      <c r="I260" s="62"/>
      <c r="J260" s="53"/>
    </row>
    <row r="261" ht="24.75" hidden="1" customHeight="1">
      <c r="A261" s="54" t="s">
        <v>572</v>
      </c>
      <c r="B261" s="56" t="s">
        <v>573</v>
      </c>
      <c r="C261" s="56" t="s">
        <v>574</v>
      </c>
      <c r="D261" s="56" t="s">
        <v>575</v>
      </c>
      <c r="E261" s="56" t="s">
        <v>239</v>
      </c>
      <c r="F261" s="57" t="s">
        <v>154</v>
      </c>
      <c r="G261" s="61"/>
      <c r="H261" s="61"/>
      <c r="I261" s="62" t="s">
        <v>207</v>
      </c>
      <c r="J261" s="53"/>
    </row>
    <row r="262" ht="24.75" hidden="1" customHeight="1">
      <c r="A262" s="54" t="s">
        <v>572</v>
      </c>
      <c r="B262" s="56" t="s">
        <v>576</v>
      </c>
      <c r="C262" s="56" t="s">
        <v>574</v>
      </c>
      <c r="D262" s="56" t="s">
        <v>577</v>
      </c>
      <c r="E262" s="56" t="s">
        <v>578</v>
      </c>
      <c r="F262" s="57" t="s">
        <v>154</v>
      </c>
      <c r="G262" s="61"/>
      <c r="H262" s="61"/>
      <c r="I262" s="62"/>
      <c r="J262" s="53"/>
    </row>
    <row r="263" ht="24.75" hidden="1" customHeight="1">
      <c r="A263" s="54" t="s">
        <v>572</v>
      </c>
      <c r="B263" s="56" t="s">
        <v>576</v>
      </c>
      <c r="C263" s="56" t="s">
        <v>574</v>
      </c>
      <c r="D263" s="56" t="s">
        <v>577</v>
      </c>
      <c r="E263" s="56" t="s">
        <v>196</v>
      </c>
      <c r="F263" s="57" t="s">
        <v>250</v>
      </c>
      <c r="G263" s="61"/>
      <c r="H263" s="61" t="s">
        <v>197</v>
      </c>
      <c r="I263" s="62" t="s">
        <v>581</v>
      </c>
      <c r="J263" s="53"/>
    </row>
    <row r="264" ht="24.75" hidden="1" customHeight="1">
      <c r="A264" s="54" t="s">
        <v>572</v>
      </c>
      <c r="B264" s="56" t="s">
        <v>579</v>
      </c>
      <c r="C264" s="56" t="s">
        <v>574</v>
      </c>
      <c r="D264" s="56" t="s">
        <v>580</v>
      </c>
      <c r="E264" s="56" t="s">
        <v>578</v>
      </c>
      <c r="F264" s="57" t="s">
        <v>154</v>
      </c>
      <c r="G264" s="61"/>
      <c r="H264" s="61"/>
      <c r="I264" s="62"/>
      <c r="J264" s="53"/>
    </row>
    <row r="265" ht="24.75" hidden="1" customHeight="1">
      <c r="A265" s="54" t="s">
        <v>572</v>
      </c>
      <c r="B265" s="56" t="s">
        <v>579</v>
      </c>
      <c r="C265" s="56" t="s">
        <v>574</v>
      </c>
      <c r="D265" s="56" t="s">
        <v>580</v>
      </c>
      <c r="E265" s="56" t="s">
        <v>196</v>
      </c>
      <c r="F265" s="57" t="s">
        <v>250</v>
      </c>
      <c r="G265" s="61"/>
      <c r="H265" s="61" t="s">
        <v>197</v>
      </c>
      <c r="I265" s="62" t="s">
        <v>581</v>
      </c>
      <c r="J265" s="53"/>
    </row>
    <row r="266" ht="24.75" hidden="1" customHeight="1">
      <c r="A266" s="54" t="s">
        <v>572</v>
      </c>
      <c r="B266" s="56" t="s">
        <v>582</v>
      </c>
      <c r="C266" s="56" t="s">
        <v>583</v>
      </c>
      <c r="D266" s="56" t="s">
        <v>584</v>
      </c>
      <c r="E266" s="56" t="s">
        <v>585</v>
      </c>
      <c r="F266" s="57" t="s">
        <v>154</v>
      </c>
      <c r="G266" s="61"/>
      <c r="H266" s="61"/>
      <c r="I266" s="62" t="s">
        <v>207</v>
      </c>
      <c r="J266" s="53"/>
    </row>
    <row r="267" ht="24.75" hidden="1" customHeight="1">
      <c r="A267" s="54" t="s">
        <v>572</v>
      </c>
      <c r="B267" s="56" t="s">
        <v>586</v>
      </c>
      <c r="C267" s="56" t="s">
        <v>583</v>
      </c>
      <c r="D267" s="56" t="s">
        <v>587</v>
      </c>
      <c r="E267" s="56" t="s">
        <v>588</v>
      </c>
      <c r="F267" s="57" t="s">
        <v>154</v>
      </c>
      <c r="G267" s="61"/>
      <c r="H267" s="61"/>
      <c r="I267" s="62"/>
      <c r="J267" s="53"/>
    </row>
    <row r="268" ht="24.75" hidden="1" customHeight="1">
      <c r="A268" s="54" t="s">
        <v>572</v>
      </c>
      <c r="B268" s="56" t="s">
        <v>586</v>
      </c>
      <c r="C268" s="56" t="s">
        <v>583</v>
      </c>
      <c r="D268" s="56" t="s">
        <v>587</v>
      </c>
      <c r="E268" s="56" t="s">
        <v>589</v>
      </c>
      <c r="F268" s="57" t="s">
        <v>154</v>
      </c>
      <c r="G268" s="61"/>
      <c r="H268" s="61"/>
      <c r="I268" s="62"/>
      <c r="J268" s="53"/>
    </row>
    <row r="269" ht="24.75" hidden="1" customHeight="1">
      <c r="A269" s="54" t="s">
        <v>572</v>
      </c>
      <c r="B269" s="56" t="s">
        <v>586</v>
      </c>
      <c r="C269" s="56" t="s">
        <v>583</v>
      </c>
      <c r="D269" s="56" t="s">
        <v>587</v>
      </c>
      <c r="E269" s="56" t="s">
        <v>590</v>
      </c>
      <c r="F269" s="57" t="s">
        <v>250</v>
      </c>
      <c r="G269" s="61"/>
      <c r="H269" s="61" t="s">
        <v>592</v>
      </c>
      <c r="I269" s="62" t="s">
        <v>593</v>
      </c>
      <c r="J269" s="53"/>
    </row>
    <row r="270" ht="24.75" hidden="1" customHeight="1">
      <c r="A270" s="54" t="s">
        <v>572</v>
      </c>
      <c r="B270" s="56" t="s">
        <v>591</v>
      </c>
      <c r="C270" s="56" t="s">
        <v>574</v>
      </c>
      <c r="D270" s="56" t="s">
        <v>594</v>
      </c>
      <c r="E270" s="56" t="s">
        <v>239</v>
      </c>
      <c r="F270" s="57" t="s">
        <v>154</v>
      </c>
      <c r="G270" s="61"/>
      <c r="H270" s="61"/>
      <c r="I270" s="62"/>
      <c r="J270" s="53"/>
    </row>
    <row r="271" ht="24.75" hidden="1" customHeight="1">
      <c r="A271" s="54" t="s">
        <v>572</v>
      </c>
      <c r="B271" s="56" t="s">
        <v>595</v>
      </c>
      <c r="C271" s="56" t="s">
        <v>574</v>
      </c>
      <c r="D271" s="56" t="s">
        <v>577</v>
      </c>
      <c r="E271" s="56" t="s">
        <v>578</v>
      </c>
      <c r="F271" s="57" t="s">
        <v>154</v>
      </c>
      <c r="G271" s="61"/>
      <c r="H271" s="61"/>
      <c r="I271" s="62"/>
      <c r="J271" s="53"/>
    </row>
    <row r="272" ht="24.75" hidden="1" customHeight="1">
      <c r="A272" s="54" t="s">
        <v>572</v>
      </c>
      <c r="B272" s="56" t="s">
        <v>595</v>
      </c>
      <c r="C272" s="56" t="s">
        <v>574</v>
      </c>
      <c r="D272" s="56" t="s">
        <v>577</v>
      </c>
      <c r="E272" s="56" t="s">
        <v>196</v>
      </c>
      <c r="F272" s="57" t="s">
        <v>250</v>
      </c>
      <c r="G272" s="61"/>
      <c r="H272" s="61" t="s">
        <v>197</v>
      </c>
      <c r="I272" s="62" t="s">
        <v>581</v>
      </c>
      <c r="J272" s="53"/>
    </row>
    <row r="273" ht="24.75" hidden="1" customHeight="1">
      <c r="A273" s="54" t="s">
        <v>572</v>
      </c>
      <c r="B273" s="56" t="s">
        <v>596</v>
      </c>
      <c r="C273" s="56" t="s">
        <v>574</v>
      </c>
      <c r="D273" s="56" t="s">
        <v>597</v>
      </c>
      <c r="E273" s="56" t="s">
        <v>239</v>
      </c>
      <c r="F273" s="57" t="s">
        <v>154</v>
      </c>
      <c r="G273" s="61"/>
      <c r="H273" s="61"/>
      <c r="I273" s="62"/>
      <c r="J273" s="53"/>
    </row>
    <row r="274" ht="24.75" hidden="1" customHeight="1">
      <c r="A274" s="54" t="s">
        <v>572</v>
      </c>
      <c r="B274" s="56" t="s">
        <v>598</v>
      </c>
      <c r="C274" s="56" t="s">
        <v>574</v>
      </c>
      <c r="D274" s="56" t="s">
        <v>577</v>
      </c>
      <c r="E274" s="56" t="s">
        <v>578</v>
      </c>
      <c r="F274" s="57" t="s">
        <v>154</v>
      </c>
      <c r="G274" s="61"/>
      <c r="H274" s="61"/>
      <c r="I274" s="62"/>
      <c r="J274" s="53"/>
    </row>
    <row r="275" ht="24.75" hidden="1" customHeight="1">
      <c r="A275" s="54" t="s">
        <v>572</v>
      </c>
      <c r="B275" s="56" t="s">
        <v>598</v>
      </c>
      <c r="C275" s="56" t="s">
        <v>574</v>
      </c>
      <c r="D275" s="56" t="s">
        <v>577</v>
      </c>
      <c r="E275" s="56" t="s">
        <v>196</v>
      </c>
      <c r="F275" s="57" t="s">
        <v>250</v>
      </c>
      <c r="G275" s="61"/>
      <c r="H275" s="61" t="s">
        <v>197</v>
      </c>
      <c r="I275" s="62" t="s">
        <v>581</v>
      </c>
      <c r="J275" s="53"/>
    </row>
    <row r="276" ht="24.75" hidden="1" customHeight="1">
      <c r="A276" s="54" t="s">
        <v>289</v>
      </c>
      <c r="B276" s="56" t="s">
        <v>599</v>
      </c>
      <c r="C276" s="56" t="s">
        <v>291</v>
      </c>
      <c r="D276" s="56" t="s">
        <v>600</v>
      </c>
      <c r="E276" s="56" t="s">
        <v>163</v>
      </c>
      <c r="F276" s="57" t="s">
        <v>154</v>
      </c>
      <c r="G276" s="61"/>
      <c r="H276" s="79"/>
      <c r="I276" s="62"/>
      <c r="J276" s="53"/>
    </row>
    <row r="277" ht="24.75" hidden="1" customHeight="1">
      <c r="A277" s="54" t="s">
        <v>289</v>
      </c>
      <c r="B277" s="56" t="s">
        <v>290</v>
      </c>
      <c r="C277" s="56" t="s">
        <v>291</v>
      </c>
      <c r="D277" s="56" t="s">
        <v>292</v>
      </c>
      <c r="E277" s="56" t="s">
        <v>196</v>
      </c>
      <c r="F277" s="57" t="s">
        <v>250</v>
      </c>
      <c r="G277" s="61"/>
      <c r="H277" s="61" t="s">
        <v>287</v>
      </c>
      <c r="I277" s="62" t="s">
        <v>288</v>
      </c>
      <c r="J277" s="53"/>
    </row>
    <row r="278" ht="24.75" hidden="1" customHeight="1">
      <c r="A278" s="54" t="s">
        <v>289</v>
      </c>
      <c r="B278" s="56" t="s">
        <v>290</v>
      </c>
      <c r="C278" s="56" t="s">
        <v>291</v>
      </c>
      <c r="D278" s="56" t="s">
        <v>292</v>
      </c>
      <c r="E278" s="56" t="s">
        <v>601</v>
      </c>
      <c r="F278" s="57" t="s">
        <v>154</v>
      </c>
      <c r="G278" s="61"/>
      <c r="H278" s="79"/>
      <c r="I278" s="62"/>
      <c r="J278" s="53"/>
    </row>
    <row r="279" ht="24.75" hidden="1" customHeight="1">
      <c r="A279" s="54">
        <v>140.0</v>
      </c>
      <c r="B279" s="56" t="s">
        <v>602</v>
      </c>
      <c r="C279" s="56" t="s">
        <v>500</v>
      </c>
      <c r="D279" s="56" t="s">
        <v>603</v>
      </c>
      <c r="E279" s="56" t="s">
        <v>272</v>
      </c>
      <c r="F279" s="57" t="s">
        <v>15</v>
      </c>
      <c r="G279" s="61"/>
      <c r="H279" s="61"/>
      <c r="I279" s="60"/>
      <c r="J279" s="53"/>
    </row>
    <row r="280" ht="24.75" hidden="1" customHeight="1">
      <c r="A280" s="54">
        <v>140.0</v>
      </c>
      <c r="B280" s="56" t="s">
        <v>566</v>
      </c>
      <c r="C280" s="56" t="s">
        <v>500</v>
      </c>
      <c r="D280" s="56" t="s">
        <v>604</v>
      </c>
      <c r="E280" s="56" t="s">
        <v>272</v>
      </c>
      <c r="F280" s="57" t="s">
        <v>15</v>
      </c>
      <c r="G280" s="61"/>
      <c r="H280" s="61"/>
      <c r="I280" s="60"/>
      <c r="J280" s="53"/>
    </row>
    <row r="281" ht="24.75" hidden="1" customHeight="1">
      <c r="A281" s="54" t="s">
        <v>289</v>
      </c>
      <c r="B281" s="56" t="s">
        <v>605</v>
      </c>
      <c r="C281" s="56" t="s">
        <v>606</v>
      </c>
      <c r="D281" s="56" t="s">
        <v>607</v>
      </c>
      <c r="E281" s="56" t="s">
        <v>608</v>
      </c>
      <c r="F281" s="57" t="s">
        <v>154</v>
      </c>
      <c r="G281" s="61"/>
      <c r="H281" s="79"/>
      <c r="I281" s="62"/>
      <c r="J281" s="53"/>
    </row>
    <row r="282" ht="24.75" hidden="1" customHeight="1">
      <c r="A282" s="54" t="s">
        <v>289</v>
      </c>
      <c r="B282" s="56" t="s">
        <v>609</v>
      </c>
      <c r="C282" s="56" t="s">
        <v>610</v>
      </c>
      <c r="D282" s="56" t="s">
        <v>611</v>
      </c>
      <c r="E282" s="56" t="s">
        <v>612</v>
      </c>
      <c r="F282" s="57" t="s">
        <v>34</v>
      </c>
      <c r="G282" s="61"/>
      <c r="H282" s="79"/>
      <c r="I282" s="62"/>
      <c r="J282" s="53"/>
    </row>
    <row r="283" ht="24.75" hidden="1" customHeight="1">
      <c r="A283" s="54" t="s">
        <v>289</v>
      </c>
      <c r="B283" s="56" t="s">
        <v>609</v>
      </c>
      <c r="C283" s="56" t="s">
        <v>610</v>
      </c>
      <c r="D283" s="56" t="s">
        <v>611</v>
      </c>
      <c r="E283" s="56" t="s">
        <v>613</v>
      </c>
      <c r="F283" s="57" t="s">
        <v>34</v>
      </c>
      <c r="G283" s="61"/>
      <c r="H283" s="79"/>
      <c r="I283" s="62"/>
      <c r="J283" s="53"/>
    </row>
    <row r="284" ht="24.75" hidden="1" customHeight="1">
      <c r="A284" s="54" t="s">
        <v>289</v>
      </c>
      <c r="B284" s="56" t="s">
        <v>609</v>
      </c>
      <c r="C284" s="56" t="s">
        <v>610</v>
      </c>
      <c r="D284" s="56" t="s">
        <v>611</v>
      </c>
      <c r="E284" s="56" t="s">
        <v>614</v>
      </c>
      <c r="F284" s="57" t="s">
        <v>34</v>
      </c>
      <c r="G284" s="61"/>
      <c r="H284" s="79"/>
      <c r="I284" s="62" t="s">
        <v>615</v>
      </c>
      <c r="J284" s="53"/>
    </row>
    <row r="285" ht="24.75" hidden="1" customHeight="1">
      <c r="A285" s="54" t="s">
        <v>289</v>
      </c>
      <c r="B285" s="56" t="s">
        <v>609</v>
      </c>
      <c r="C285" s="56" t="s">
        <v>610</v>
      </c>
      <c r="D285" s="56" t="s">
        <v>611</v>
      </c>
      <c r="E285" s="56" t="s">
        <v>616</v>
      </c>
      <c r="F285" s="57" t="s">
        <v>154</v>
      </c>
      <c r="G285" s="61"/>
      <c r="H285" s="79"/>
      <c r="I285" s="62" t="s">
        <v>617</v>
      </c>
      <c r="J285" s="53"/>
    </row>
    <row r="286" ht="24.75" hidden="1" customHeight="1">
      <c r="A286" s="54" t="s">
        <v>289</v>
      </c>
      <c r="B286" s="56" t="s">
        <v>609</v>
      </c>
      <c r="C286" s="56" t="s">
        <v>610</v>
      </c>
      <c r="D286" s="56" t="s">
        <v>611</v>
      </c>
      <c r="E286" s="80" t="s">
        <v>618</v>
      </c>
      <c r="F286" s="57" t="s">
        <v>154</v>
      </c>
      <c r="G286" s="61"/>
      <c r="H286" s="79"/>
      <c r="I286" s="62" t="s">
        <v>617</v>
      </c>
      <c r="J286" s="53"/>
    </row>
    <row r="287" ht="24.75" hidden="1" customHeight="1">
      <c r="A287" s="54" t="s">
        <v>289</v>
      </c>
      <c r="B287" s="56" t="s">
        <v>619</v>
      </c>
      <c r="C287" s="56" t="s">
        <v>610</v>
      </c>
      <c r="D287" s="56" t="s">
        <v>620</v>
      </c>
      <c r="E287" s="56" t="s">
        <v>196</v>
      </c>
      <c r="F287" s="57" t="s">
        <v>250</v>
      </c>
      <c r="G287" s="61"/>
      <c r="H287" s="61" t="s">
        <v>287</v>
      </c>
      <c r="I287" s="62" t="s">
        <v>288</v>
      </c>
      <c r="J287" s="53"/>
    </row>
    <row r="288" ht="24.75" customHeight="1">
      <c r="A288" s="54" t="s">
        <v>289</v>
      </c>
      <c r="B288" s="56" t="s">
        <v>619</v>
      </c>
      <c r="C288" s="56" t="s">
        <v>610</v>
      </c>
      <c r="D288" s="56" t="s">
        <v>620</v>
      </c>
      <c r="E288" s="56" t="s">
        <v>621</v>
      </c>
      <c r="F288" s="57" t="s">
        <v>192</v>
      </c>
      <c r="G288" s="61"/>
      <c r="H288" s="79"/>
      <c r="I288" s="62"/>
      <c r="J288" s="53"/>
    </row>
    <row r="289" ht="24.75" hidden="1" customHeight="1">
      <c r="A289" s="54" t="s">
        <v>289</v>
      </c>
      <c r="B289" s="56" t="s">
        <v>619</v>
      </c>
      <c r="C289" s="56" t="s">
        <v>610</v>
      </c>
      <c r="D289" s="56" t="s">
        <v>620</v>
      </c>
      <c r="E289" s="56" t="s">
        <v>622</v>
      </c>
      <c r="F289" s="57" t="s">
        <v>154</v>
      </c>
      <c r="G289" s="61"/>
      <c r="H289" s="79"/>
      <c r="I289" s="62" t="s">
        <v>617</v>
      </c>
      <c r="J289" s="53"/>
    </row>
    <row r="290" ht="24.75" hidden="1" customHeight="1">
      <c r="A290" s="54" t="s">
        <v>289</v>
      </c>
      <c r="B290" s="56" t="s">
        <v>623</v>
      </c>
      <c r="C290" s="56" t="s">
        <v>624</v>
      </c>
      <c r="D290" s="56" t="s">
        <v>611</v>
      </c>
      <c r="E290" s="56" t="s">
        <v>612</v>
      </c>
      <c r="F290" s="57" t="s">
        <v>34</v>
      </c>
      <c r="G290" s="61"/>
      <c r="H290" s="79"/>
      <c r="I290" s="62"/>
      <c r="J290" s="53"/>
    </row>
    <row r="291" ht="24.75" hidden="1" customHeight="1">
      <c r="A291" s="54" t="s">
        <v>289</v>
      </c>
      <c r="B291" s="56" t="s">
        <v>623</v>
      </c>
      <c r="C291" s="56" t="s">
        <v>624</v>
      </c>
      <c r="D291" s="56" t="s">
        <v>611</v>
      </c>
      <c r="E291" s="56" t="s">
        <v>613</v>
      </c>
      <c r="F291" s="57" t="s">
        <v>34</v>
      </c>
      <c r="G291" s="61"/>
      <c r="H291" s="79"/>
      <c r="I291" s="62"/>
      <c r="J291" s="53"/>
    </row>
    <row r="292" ht="24.75" hidden="1" customHeight="1">
      <c r="A292" s="54" t="s">
        <v>289</v>
      </c>
      <c r="B292" s="56" t="s">
        <v>623</v>
      </c>
      <c r="C292" s="56" t="s">
        <v>624</v>
      </c>
      <c r="D292" s="56" t="s">
        <v>611</v>
      </c>
      <c r="E292" s="56" t="s">
        <v>614</v>
      </c>
      <c r="F292" s="57" t="s">
        <v>34</v>
      </c>
      <c r="G292" s="61"/>
      <c r="H292" s="79"/>
      <c r="I292" s="62" t="s">
        <v>615</v>
      </c>
      <c r="J292" s="53"/>
    </row>
    <row r="293" ht="24.75" hidden="1" customHeight="1">
      <c r="A293" s="54" t="s">
        <v>289</v>
      </c>
      <c r="B293" s="56" t="s">
        <v>623</v>
      </c>
      <c r="C293" s="56" t="s">
        <v>624</v>
      </c>
      <c r="D293" s="56" t="s">
        <v>611</v>
      </c>
      <c r="E293" s="56" t="s">
        <v>616</v>
      </c>
      <c r="F293" s="57" t="s">
        <v>154</v>
      </c>
      <c r="G293" s="61"/>
      <c r="H293" s="79"/>
      <c r="I293" s="62" t="s">
        <v>617</v>
      </c>
      <c r="J293" s="53"/>
    </row>
    <row r="294" ht="24.75" hidden="1" customHeight="1">
      <c r="A294" s="54" t="s">
        <v>289</v>
      </c>
      <c r="B294" s="56" t="s">
        <v>623</v>
      </c>
      <c r="C294" s="56" t="s">
        <v>624</v>
      </c>
      <c r="D294" s="56" t="s">
        <v>611</v>
      </c>
      <c r="E294" s="80" t="s">
        <v>618</v>
      </c>
      <c r="F294" s="57" t="s">
        <v>154</v>
      </c>
      <c r="G294" s="61"/>
      <c r="H294" s="79"/>
      <c r="I294" s="62" t="s">
        <v>617</v>
      </c>
      <c r="J294" s="53"/>
    </row>
    <row r="295" ht="24.75" hidden="1" customHeight="1">
      <c r="A295" s="54" t="s">
        <v>289</v>
      </c>
      <c r="B295" s="56" t="s">
        <v>625</v>
      </c>
      <c r="C295" s="56" t="s">
        <v>624</v>
      </c>
      <c r="D295" s="56" t="s">
        <v>620</v>
      </c>
      <c r="E295" s="56" t="s">
        <v>196</v>
      </c>
      <c r="F295" s="57" t="s">
        <v>250</v>
      </c>
      <c r="G295" s="61"/>
      <c r="H295" s="61" t="s">
        <v>287</v>
      </c>
      <c r="I295" s="62" t="s">
        <v>288</v>
      </c>
      <c r="J295" s="53"/>
    </row>
    <row r="296" ht="24.75" customHeight="1">
      <c r="A296" s="54" t="s">
        <v>289</v>
      </c>
      <c r="B296" s="56" t="s">
        <v>625</v>
      </c>
      <c r="C296" s="56" t="s">
        <v>624</v>
      </c>
      <c r="D296" s="56" t="s">
        <v>620</v>
      </c>
      <c r="E296" s="56" t="s">
        <v>621</v>
      </c>
      <c r="F296" s="57" t="s">
        <v>192</v>
      </c>
      <c r="G296" s="61"/>
      <c r="H296" s="79"/>
      <c r="I296" s="62"/>
      <c r="J296" s="53"/>
    </row>
    <row r="297" ht="24.75" hidden="1" customHeight="1">
      <c r="A297" s="54" t="s">
        <v>289</v>
      </c>
      <c r="B297" s="56" t="s">
        <v>625</v>
      </c>
      <c r="C297" s="56" t="s">
        <v>624</v>
      </c>
      <c r="D297" s="56" t="s">
        <v>620</v>
      </c>
      <c r="E297" s="56" t="s">
        <v>622</v>
      </c>
      <c r="F297" s="57" t="s">
        <v>154</v>
      </c>
      <c r="G297" s="61"/>
      <c r="H297" s="79"/>
      <c r="I297" s="62" t="s">
        <v>617</v>
      </c>
      <c r="J297" s="53"/>
    </row>
    <row r="298" ht="24.75" hidden="1" customHeight="1">
      <c r="A298" s="54" t="s">
        <v>289</v>
      </c>
      <c r="B298" s="56" t="s">
        <v>626</v>
      </c>
      <c r="C298" s="56" t="s">
        <v>627</v>
      </c>
      <c r="D298" s="56" t="s">
        <v>611</v>
      </c>
      <c r="E298" s="56" t="s">
        <v>612</v>
      </c>
      <c r="F298" s="57" t="s">
        <v>34</v>
      </c>
      <c r="G298" s="61"/>
      <c r="H298" s="79"/>
      <c r="I298" s="62"/>
      <c r="J298" s="53"/>
    </row>
    <row r="299" ht="24.75" hidden="1" customHeight="1">
      <c r="A299" s="54" t="s">
        <v>289</v>
      </c>
      <c r="B299" s="56" t="s">
        <v>626</v>
      </c>
      <c r="C299" s="56" t="s">
        <v>627</v>
      </c>
      <c r="D299" s="56" t="s">
        <v>611</v>
      </c>
      <c r="E299" s="56" t="s">
        <v>613</v>
      </c>
      <c r="F299" s="57" t="s">
        <v>34</v>
      </c>
      <c r="G299" s="61"/>
      <c r="H299" s="79"/>
      <c r="I299" s="62"/>
      <c r="J299" s="53"/>
    </row>
    <row r="300" ht="24.75" hidden="1" customHeight="1">
      <c r="A300" s="54" t="s">
        <v>289</v>
      </c>
      <c r="B300" s="56" t="s">
        <v>626</v>
      </c>
      <c r="C300" s="56" t="s">
        <v>627</v>
      </c>
      <c r="D300" s="56" t="s">
        <v>611</v>
      </c>
      <c r="E300" s="56" t="s">
        <v>614</v>
      </c>
      <c r="F300" s="57" t="s">
        <v>34</v>
      </c>
      <c r="G300" s="61"/>
      <c r="H300" s="79"/>
      <c r="I300" s="62" t="s">
        <v>615</v>
      </c>
      <c r="J300" s="53"/>
    </row>
    <row r="301" ht="24.75" hidden="1" customHeight="1">
      <c r="A301" s="54" t="s">
        <v>289</v>
      </c>
      <c r="B301" s="56" t="s">
        <v>626</v>
      </c>
      <c r="C301" s="56" t="s">
        <v>627</v>
      </c>
      <c r="D301" s="56" t="s">
        <v>611</v>
      </c>
      <c r="E301" s="56" t="s">
        <v>616</v>
      </c>
      <c r="F301" s="57" t="s">
        <v>154</v>
      </c>
      <c r="G301" s="61"/>
      <c r="H301" s="79"/>
      <c r="I301" s="62" t="s">
        <v>617</v>
      </c>
      <c r="J301" s="53"/>
    </row>
    <row r="302" ht="24.75" hidden="1" customHeight="1">
      <c r="A302" s="54" t="s">
        <v>289</v>
      </c>
      <c r="B302" s="56" t="s">
        <v>626</v>
      </c>
      <c r="C302" s="56" t="s">
        <v>627</v>
      </c>
      <c r="D302" s="56" t="s">
        <v>611</v>
      </c>
      <c r="E302" s="56" t="s">
        <v>618</v>
      </c>
      <c r="F302" s="57" t="s">
        <v>154</v>
      </c>
      <c r="G302" s="61"/>
      <c r="H302" s="79"/>
      <c r="I302" s="62" t="s">
        <v>617</v>
      </c>
      <c r="J302" s="53"/>
    </row>
    <row r="303" ht="24.75" hidden="1" customHeight="1">
      <c r="A303" s="54" t="s">
        <v>289</v>
      </c>
      <c r="B303" s="56" t="s">
        <v>628</v>
      </c>
      <c r="C303" s="56" t="s">
        <v>627</v>
      </c>
      <c r="D303" s="56" t="s">
        <v>620</v>
      </c>
      <c r="E303" s="56" t="s">
        <v>196</v>
      </c>
      <c r="F303" s="57" t="s">
        <v>250</v>
      </c>
      <c r="G303" s="61"/>
      <c r="H303" s="61" t="s">
        <v>287</v>
      </c>
      <c r="I303" s="62" t="s">
        <v>288</v>
      </c>
      <c r="J303" s="53"/>
    </row>
    <row r="304" ht="24.75" customHeight="1">
      <c r="A304" s="54" t="s">
        <v>289</v>
      </c>
      <c r="B304" s="56" t="s">
        <v>628</v>
      </c>
      <c r="C304" s="56" t="s">
        <v>627</v>
      </c>
      <c r="D304" s="56" t="s">
        <v>620</v>
      </c>
      <c r="E304" s="56" t="s">
        <v>621</v>
      </c>
      <c r="F304" s="57" t="s">
        <v>192</v>
      </c>
      <c r="G304" s="61"/>
      <c r="H304" s="79"/>
      <c r="I304" s="62"/>
      <c r="J304" s="53"/>
    </row>
    <row r="305" ht="24.75" hidden="1" customHeight="1">
      <c r="A305" s="54" t="s">
        <v>289</v>
      </c>
      <c r="B305" s="56" t="s">
        <v>628</v>
      </c>
      <c r="C305" s="56" t="s">
        <v>627</v>
      </c>
      <c r="D305" s="56" t="s">
        <v>620</v>
      </c>
      <c r="E305" s="56" t="s">
        <v>622</v>
      </c>
      <c r="F305" s="57" t="s">
        <v>154</v>
      </c>
      <c r="G305" s="61"/>
      <c r="H305" s="79"/>
      <c r="I305" s="62" t="s">
        <v>617</v>
      </c>
      <c r="J305" s="53"/>
    </row>
    <row r="306" ht="24.75" customHeight="1">
      <c r="A306" s="54" t="s">
        <v>289</v>
      </c>
      <c r="B306" s="56" t="s">
        <v>629</v>
      </c>
      <c r="C306" s="56" t="s">
        <v>627</v>
      </c>
      <c r="D306" s="56" t="s">
        <v>631</v>
      </c>
      <c r="E306" s="56" t="s">
        <v>191</v>
      </c>
      <c r="F306" s="57" t="s">
        <v>192</v>
      </c>
      <c r="G306" s="61"/>
      <c r="H306" s="79"/>
      <c r="I306" s="62"/>
      <c r="J306" s="53"/>
    </row>
    <row r="307" ht="24.75" hidden="1" customHeight="1">
      <c r="A307" s="54" t="s">
        <v>289</v>
      </c>
      <c r="B307" s="56" t="s">
        <v>629</v>
      </c>
      <c r="C307" s="56" t="s">
        <v>627</v>
      </c>
      <c r="D307" s="56" t="s">
        <v>631</v>
      </c>
      <c r="E307" s="56" t="s">
        <v>632</v>
      </c>
      <c r="F307" s="57" t="s">
        <v>34</v>
      </c>
      <c r="G307" s="61"/>
      <c r="H307" s="61" t="s">
        <v>197</v>
      </c>
      <c r="I307" s="62"/>
      <c r="J307" s="53"/>
    </row>
    <row r="308" ht="24.75" hidden="1" customHeight="1">
      <c r="A308" s="54" t="s">
        <v>289</v>
      </c>
      <c r="B308" s="56" t="s">
        <v>629</v>
      </c>
      <c r="C308" s="56" t="s">
        <v>627</v>
      </c>
      <c r="D308" s="56" t="s">
        <v>631</v>
      </c>
      <c r="E308" s="56" t="s">
        <v>633</v>
      </c>
      <c r="F308" s="57" t="s">
        <v>154</v>
      </c>
      <c r="G308" s="61"/>
      <c r="H308" s="79"/>
      <c r="I308" s="62"/>
      <c r="J308" s="53"/>
    </row>
    <row r="309" ht="24.75" hidden="1" customHeight="1">
      <c r="A309" s="54" t="s">
        <v>289</v>
      </c>
      <c r="B309" s="56" t="s">
        <v>629</v>
      </c>
      <c r="C309" s="56" t="s">
        <v>627</v>
      </c>
      <c r="D309" s="56" t="s">
        <v>631</v>
      </c>
      <c r="E309" s="56" t="s">
        <v>196</v>
      </c>
      <c r="F309" s="57" t="s">
        <v>250</v>
      </c>
      <c r="G309" s="61"/>
      <c r="H309" s="61" t="s">
        <v>200</v>
      </c>
      <c r="I309" s="62" t="s">
        <v>201</v>
      </c>
      <c r="J309" s="53"/>
    </row>
    <row r="310" ht="24.75" customHeight="1">
      <c r="A310" s="54" t="s">
        <v>289</v>
      </c>
      <c r="B310" s="56" t="s">
        <v>635</v>
      </c>
      <c r="C310" s="56" t="s">
        <v>627</v>
      </c>
      <c r="D310" s="56" t="s">
        <v>636</v>
      </c>
      <c r="E310" s="56" t="s">
        <v>191</v>
      </c>
      <c r="F310" s="57" t="s">
        <v>192</v>
      </c>
      <c r="G310" s="61"/>
      <c r="H310" s="79"/>
      <c r="I310" s="62"/>
      <c r="J310" s="53"/>
    </row>
    <row r="311" ht="24.75" hidden="1" customHeight="1">
      <c r="A311" s="54" t="s">
        <v>289</v>
      </c>
      <c r="B311" s="56" t="s">
        <v>635</v>
      </c>
      <c r="C311" s="56" t="s">
        <v>627</v>
      </c>
      <c r="D311" s="56" t="s">
        <v>636</v>
      </c>
      <c r="E311" s="56" t="s">
        <v>632</v>
      </c>
      <c r="F311" s="57" t="s">
        <v>34</v>
      </c>
      <c r="G311" s="61"/>
      <c r="H311" s="61" t="s">
        <v>197</v>
      </c>
      <c r="I311" s="62"/>
      <c r="J311" s="53"/>
    </row>
    <row r="312" ht="24.75" hidden="1" customHeight="1">
      <c r="A312" s="54" t="s">
        <v>289</v>
      </c>
      <c r="B312" s="56" t="s">
        <v>635</v>
      </c>
      <c r="C312" s="56" t="s">
        <v>627</v>
      </c>
      <c r="D312" s="56" t="s">
        <v>636</v>
      </c>
      <c r="E312" s="56" t="s">
        <v>633</v>
      </c>
      <c r="F312" s="57" t="s">
        <v>154</v>
      </c>
      <c r="G312" s="61"/>
      <c r="H312" s="79"/>
      <c r="I312" s="62"/>
      <c r="J312" s="53"/>
    </row>
    <row r="313" ht="24.75" hidden="1" customHeight="1">
      <c r="A313" s="54" t="s">
        <v>289</v>
      </c>
      <c r="B313" s="56" t="s">
        <v>635</v>
      </c>
      <c r="C313" s="56" t="s">
        <v>627</v>
      </c>
      <c r="D313" s="56" t="s">
        <v>636</v>
      </c>
      <c r="E313" s="56" t="s">
        <v>196</v>
      </c>
      <c r="F313" s="57" t="s">
        <v>250</v>
      </c>
      <c r="G313" s="61"/>
      <c r="H313" s="61" t="s">
        <v>200</v>
      </c>
      <c r="I313" s="62" t="s">
        <v>201</v>
      </c>
      <c r="J313" s="53"/>
    </row>
    <row r="314" ht="24.75" hidden="1" customHeight="1">
      <c r="A314" s="54" t="s">
        <v>289</v>
      </c>
      <c r="B314" s="56" t="s">
        <v>639</v>
      </c>
      <c r="C314" s="56" t="s">
        <v>640</v>
      </c>
      <c r="D314" s="56" t="s">
        <v>611</v>
      </c>
      <c r="E314" s="56" t="s">
        <v>612</v>
      </c>
      <c r="F314" s="57" t="s">
        <v>34</v>
      </c>
      <c r="G314" s="61"/>
      <c r="H314" s="79"/>
      <c r="I314" s="62"/>
      <c r="J314" s="53"/>
    </row>
    <row r="315" ht="24.75" hidden="1" customHeight="1">
      <c r="A315" s="54" t="s">
        <v>289</v>
      </c>
      <c r="B315" s="56" t="s">
        <v>639</v>
      </c>
      <c r="C315" s="56" t="s">
        <v>640</v>
      </c>
      <c r="D315" s="56" t="s">
        <v>611</v>
      </c>
      <c r="E315" s="56" t="s">
        <v>613</v>
      </c>
      <c r="F315" s="57" t="s">
        <v>34</v>
      </c>
      <c r="G315" s="61"/>
      <c r="H315" s="79"/>
      <c r="I315" s="62"/>
      <c r="J315" s="53"/>
    </row>
    <row r="316" ht="24.75" hidden="1" customHeight="1">
      <c r="A316" s="54" t="s">
        <v>289</v>
      </c>
      <c r="B316" s="56" t="s">
        <v>639</v>
      </c>
      <c r="C316" s="56" t="s">
        <v>640</v>
      </c>
      <c r="D316" s="56" t="s">
        <v>611</v>
      </c>
      <c r="E316" s="56" t="s">
        <v>614</v>
      </c>
      <c r="F316" s="57" t="s">
        <v>34</v>
      </c>
      <c r="G316" s="61"/>
      <c r="H316" s="79"/>
      <c r="I316" s="62" t="s">
        <v>615</v>
      </c>
      <c r="J316" s="53"/>
    </row>
    <row r="317" ht="24.75" hidden="1" customHeight="1">
      <c r="A317" s="54" t="s">
        <v>289</v>
      </c>
      <c r="B317" s="56" t="s">
        <v>639</v>
      </c>
      <c r="C317" s="56" t="s">
        <v>640</v>
      </c>
      <c r="D317" s="56" t="s">
        <v>611</v>
      </c>
      <c r="E317" s="56" t="s">
        <v>616</v>
      </c>
      <c r="F317" s="57" t="s">
        <v>154</v>
      </c>
      <c r="G317" s="61"/>
      <c r="H317" s="79"/>
      <c r="I317" s="62" t="s">
        <v>617</v>
      </c>
      <c r="J317" s="53"/>
    </row>
    <row r="318" ht="24.75" hidden="1" customHeight="1">
      <c r="A318" s="54" t="s">
        <v>289</v>
      </c>
      <c r="B318" s="56" t="s">
        <v>639</v>
      </c>
      <c r="C318" s="56" t="s">
        <v>640</v>
      </c>
      <c r="D318" s="56" t="s">
        <v>611</v>
      </c>
      <c r="E318" s="56" t="s">
        <v>618</v>
      </c>
      <c r="F318" s="57" t="s">
        <v>154</v>
      </c>
      <c r="G318" s="61"/>
      <c r="H318" s="79"/>
      <c r="I318" s="62" t="s">
        <v>617</v>
      </c>
      <c r="J318" s="53"/>
    </row>
    <row r="319" ht="24.75" hidden="1" customHeight="1">
      <c r="A319" s="54" t="s">
        <v>289</v>
      </c>
      <c r="B319" s="56" t="s">
        <v>641</v>
      </c>
      <c r="C319" s="56" t="s">
        <v>640</v>
      </c>
      <c r="D319" s="56" t="s">
        <v>620</v>
      </c>
      <c r="E319" s="56" t="s">
        <v>196</v>
      </c>
      <c r="F319" s="57" t="s">
        <v>250</v>
      </c>
      <c r="G319" s="61"/>
      <c r="H319" s="61" t="s">
        <v>287</v>
      </c>
      <c r="I319" s="62" t="s">
        <v>288</v>
      </c>
      <c r="J319" s="53"/>
    </row>
    <row r="320" ht="24.75" customHeight="1">
      <c r="A320" s="54" t="s">
        <v>289</v>
      </c>
      <c r="B320" s="56" t="s">
        <v>641</v>
      </c>
      <c r="C320" s="56" t="s">
        <v>640</v>
      </c>
      <c r="D320" s="56" t="s">
        <v>620</v>
      </c>
      <c r="E320" s="56" t="s">
        <v>621</v>
      </c>
      <c r="F320" s="57" t="s">
        <v>192</v>
      </c>
      <c r="G320" s="61"/>
      <c r="H320" s="79"/>
      <c r="I320" s="62"/>
      <c r="J320" s="53"/>
    </row>
    <row r="321" ht="24.75" hidden="1" customHeight="1">
      <c r="A321" s="54" t="s">
        <v>289</v>
      </c>
      <c r="B321" s="56" t="s">
        <v>641</v>
      </c>
      <c r="C321" s="56" t="s">
        <v>640</v>
      </c>
      <c r="D321" s="56" t="s">
        <v>620</v>
      </c>
      <c r="E321" s="56" t="s">
        <v>622</v>
      </c>
      <c r="F321" s="57" t="s">
        <v>154</v>
      </c>
      <c r="G321" s="61"/>
      <c r="H321" s="79"/>
      <c r="I321" s="62" t="s">
        <v>617</v>
      </c>
      <c r="J321" s="53"/>
    </row>
    <row r="322" ht="24.75" customHeight="1">
      <c r="A322" s="54" t="s">
        <v>289</v>
      </c>
      <c r="B322" s="56" t="s">
        <v>642</v>
      </c>
      <c r="C322" s="56" t="s">
        <v>640</v>
      </c>
      <c r="D322" s="56" t="s">
        <v>631</v>
      </c>
      <c r="E322" s="56" t="s">
        <v>191</v>
      </c>
      <c r="F322" s="57" t="s">
        <v>192</v>
      </c>
      <c r="G322" s="61"/>
      <c r="H322" s="79"/>
      <c r="I322" s="62"/>
      <c r="J322" s="53"/>
    </row>
    <row r="323" ht="24.75" hidden="1" customHeight="1">
      <c r="A323" s="54" t="s">
        <v>289</v>
      </c>
      <c r="B323" s="56" t="s">
        <v>642</v>
      </c>
      <c r="C323" s="56" t="s">
        <v>640</v>
      </c>
      <c r="D323" s="56" t="s">
        <v>631</v>
      </c>
      <c r="E323" s="56" t="s">
        <v>632</v>
      </c>
      <c r="F323" s="57" t="s">
        <v>34</v>
      </c>
      <c r="G323" s="61"/>
      <c r="H323" s="61" t="s">
        <v>197</v>
      </c>
      <c r="I323" s="62"/>
      <c r="J323" s="53"/>
    </row>
    <row r="324" ht="24.75" hidden="1" customHeight="1">
      <c r="A324" s="54" t="s">
        <v>289</v>
      </c>
      <c r="B324" s="56" t="s">
        <v>642</v>
      </c>
      <c r="C324" s="56" t="s">
        <v>640</v>
      </c>
      <c r="D324" s="56" t="s">
        <v>631</v>
      </c>
      <c r="E324" s="56" t="s">
        <v>633</v>
      </c>
      <c r="F324" s="57" t="s">
        <v>154</v>
      </c>
      <c r="G324" s="61"/>
      <c r="H324" s="79"/>
      <c r="I324" s="62"/>
      <c r="J324" s="53"/>
    </row>
    <row r="325" ht="24.75" hidden="1" customHeight="1">
      <c r="A325" s="54" t="s">
        <v>289</v>
      </c>
      <c r="B325" s="56" t="s">
        <v>642</v>
      </c>
      <c r="C325" s="56" t="s">
        <v>640</v>
      </c>
      <c r="D325" s="56" t="s">
        <v>631</v>
      </c>
      <c r="E325" s="56" t="s">
        <v>196</v>
      </c>
      <c r="F325" s="57" t="s">
        <v>250</v>
      </c>
      <c r="G325" s="61"/>
      <c r="H325" s="61" t="s">
        <v>200</v>
      </c>
      <c r="I325" s="62" t="s">
        <v>201</v>
      </c>
      <c r="J325" s="53"/>
    </row>
    <row r="326" ht="24.75" customHeight="1">
      <c r="A326" s="54" t="s">
        <v>289</v>
      </c>
      <c r="B326" s="56" t="s">
        <v>643</v>
      </c>
      <c r="C326" s="56" t="s">
        <v>640</v>
      </c>
      <c r="D326" s="56" t="s">
        <v>636</v>
      </c>
      <c r="E326" s="56" t="s">
        <v>191</v>
      </c>
      <c r="F326" s="57" t="s">
        <v>192</v>
      </c>
      <c r="G326" s="61"/>
      <c r="H326" s="79"/>
      <c r="I326" s="62"/>
      <c r="J326" s="53"/>
    </row>
    <row r="327" ht="24.75" hidden="1" customHeight="1">
      <c r="A327" s="54" t="s">
        <v>289</v>
      </c>
      <c r="B327" s="56" t="s">
        <v>643</v>
      </c>
      <c r="C327" s="56" t="s">
        <v>640</v>
      </c>
      <c r="D327" s="56" t="s">
        <v>636</v>
      </c>
      <c r="E327" s="56" t="s">
        <v>632</v>
      </c>
      <c r="F327" s="57" t="s">
        <v>34</v>
      </c>
      <c r="G327" s="61"/>
      <c r="H327" s="61" t="s">
        <v>197</v>
      </c>
      <c r="I327" s="62"/>
      <c r="J327" s="53"/>
    </row>
    <row r="328" ht="24.75" hidden="1" customHeight="1">
      <c r="A328" s="54" t="s">
        <v>289</v>
      </c>
      <c r="B328" s="56" t="s">
        <v>643</v>
      </c>
      <c r="C328" s="56" t="s">
        <v>640</v>
      </c>
      <c r="D328" s="56" t="s">
        <v>636</v>
      </c>
      <c r="E328" s="56" t="s">
        <v>633</v>
      </c>
      <c r="F328" s="57" t="s">
        <v>154</v>
      </c>
      <c r="G328" s="61"/>
      <c r="H328" s="79"/>
      <c r="I328" s="62"/>
      <c r="J328" s="53"/>
    </row>
    <row r="329" ht="24.75" hidden="1" customHeight="1">
      <c r="A329" s="54" t="s">
        <v>289</v>
      </c>
      <c r="B329" s="56" t="s">
        <v>643</v>
      </c>
      <c r="C329" s="56" t="s">
        <v>640</v>
      </c>
      <c r="D329" s="56" t="s">
        <v>636</v>
      </c>
      <c r="E329" s="56" t="s">
        <v>196</v>
      </c>
      <c r="F329" s="57" t="s">
        <v>250</v>
      </c>
      <c r="G329" s="61"/>
      <c r="H329" s="61" t="s">
        <v>200</v>
      </c>
      <c r="I329" s="62" t="s">
        <v>201</v>
      </c>
      <c r="J329" s="53"/>
    </row>
    <row r="330" ht="24.75" hidden="1" customHeight="1">
      <c r="A330" s="54" t="s">
        <v>289</v>
      </c>
      <c r="B330" s="56" t="s">
        <v>644</v>
      </c>
      <c r="C330" s="56" t="s">
        <v>645</v>
      </c>
      <c r="D330" s="56" t="s">
        <v>611</v>
      </c>
      <c r="E330" s="56" t="s">
        <v>612</v>
      </c>
      <c r="F330" s="57" t="s">
        <v>34</v>
      </c>
      <c r="G330" s="61"/>
      <c r="H330" s="79"/>
      <c r="I330" s="62"/>
      <c r="J330" s="53"/>
    </row>
    <row r="331" ht="24.75" hidden="1" customHeight="1">
      <c r="A331" s="54" t="s">
        <v>289</v>
      </c>
      <c r="B331" s="56" t="s">
        <v>644</v>
      </c>
      <c r="C331" s="56" t="s">
        <v>645</v>
      </c>
      <c r="D331" s="56" t="s">
        <v>611</v>
      </c>
      <c r="E331" s="56" t="s">
        <v>613</v>
      </c>
      <c r="F331" s="57" t="s">
        <v>34</v>
      </c>
      <c r="G331" s="61"/>
      <c r="H331" s="79"/>
      <c r="I331" s="62"/>
      <c r="J331" s="53"/>
    </row>
    <row r="332" ht="24.75" hidden="1" customHeight="1">
      <c r="A332" s="54" t="s">
        <v>289</v>
      </c>
      <c r="B332" s="56" t="s">
        <v>644</v>
      </c>
      <c r="C332" s="56" t="s">
        <v>645</v>
      </c>
      <c r="D332" s="56" t="s">
        <v>611</v>
      </c>
      <c r="E332" s="56" t="s">
        <v>614</v>
      </c>
      <c r="F332" s="57" t="s">
        <v>34</v>
      </c>
      <c r="G332" s="61"/>
      <c r="H332" s="79"/>
      <c r="I332" s="62" t="s">
        <v>615</v>
      </c>
      <c r="J332" s="53"/>
    </row>
    <row r="333" ht="24.75" hidden="1" customHeight="1">
      <c r="A333" s="54" t="s">
        <v>289</v>
      </c>
      <c r="B333" s="56" t="s">
        <v>644</v>
      </c>
      <c r="C333" s="56" t="s">
        <v>645</v>
      </c>
      <c r="D333" s="56" t="s">
        <v>611</v>
      </c>
      <c r="E333" s="56" t="s">
        <v>616</v>
      </c>
      <c r="F333" s="57" t="s">
        <v>154</v>
      </c>
      <c r="G333" s="61"/>
      <c r="H333" s="79"/>
      <c r="I333" s="62" t="s">
        <v>617</v>
      </c>
      <c r="J333" s="53"/>
    </row>
    <row r="334" ht="24.75" hidden="1" customHeight="1">
      <c r="A334" s="54" t="s">
        <v>289</v>
      </c>
      <c r="B334" s="56" t="s">
        <v>644</v>
      </c>
      <c r="C334" s="56" t="s">
        <v>645</v>
      </c>
      <c r="D334" s="56" t="s">
        <v>611</v>
      </c>
      <c r="E334" s="56" t="s">
        <v>618</v>
      </c>
      <c r="F334" s="57" t="s">
        <v>154</v>
      </c>
      <c r="G334" s="61"/>
      <c r="H334" s="79"/>
      <c r="I334" s="62" t="s">
        <v>617</v>
      </c>
      <c r="J334" s="53"/>
    </row>
    <row r="335" ht="24.75" hidden="1" customHeight="1">
      <c r="A335" s="54" t="s">
        <v>289</v>
      </c>
      <c r="B335" s="56" t="s">
        <v>646</v>
      </c>
      <c r="C335" s="56" t="s">
        <v>645</v>
      </c>
      <c r="D335" s="56" t="s">
        <v>620</v>
      </c>
      <c r="E335" s="56" t="s">
        <v>196</v>
      </c>
      <c r="F335" s="57" t="s">
        <v>250</v>
      </c>
      <c r="G335" s="61"/>
      <c r="H335" s="61" t="s">
        <v>287</v>
      </c>
      <c r="I335" s="62" t="s">
        <v>288</v>
      </c>
      <c r="J335" s="53"/>
    </row>
    <row r="336" ht="24.75" customHeight="1">
      <c r="A336" s="54" t="s">
        <v>289</v>
      </c>
      <c r="B336" s="56" t="s">
        <v>646</v>
      </c>
      <c r="C336" s="56" t="s">
        <v>645</v>
      </c>
      <c r="D336" s="56" t="s">
        <v>620</v>
      </c>
      <c r="E336" s="56" t="s">
        <v>621</v>
      </c>
      <c r="F336" s="57" t="s">
        <v>192</v>
      </c>
      <c r="G336" s="61"/>
      <c r="H336" s="79"/>
      <c r="I336" s="62"/>
      <c r="J336" s="53"/>
    </row>
    <row r="337" ht="24.75" hidden="1" customHeight="1">
      <c r="A337" s="54" t="s">
        <v>289</v>
      </c>
      <c r="B337" s="56" t="s">
        <v>646</v>
      </c>
      <c r="C337" s="56" t="s">
        <v>645</v>
      </c>
      <c r="D337" s="56" t="s">
        <v>620</v>
      </c>
      <c r="E337" s="56" t="s">
        <v>622</v>
      </c>
      <c r="F337" s="57" t="s">
        <v>154</v>
      </c>
      <c r="G337" s="61"/>
      <c r="H337" s="79"/>
      <c r="I337" s="62" t="s">
        <v>617</v>
      </c>
      <c r="J337" s="53"/>
    </row>
    <row r="338" ht="24.75" customHeight="1">
      <c r="A338" s="54" t="s">
        <v>289</v>
      </c>
      <c r="B338" s="56" t="s">
        <v>647</v>
      </c>
      <c r="C338" s="56" t="s">
        <v>645</v>
      </c>
      <c r="D338" s="56" t="s">
        <v>631</v>
      </c>
      <c r="E338" s="56" t="s">
        <v>191</v>
      </c>
      <c r="F338" s="57" t="s">
        <v>192</v>
      </c>
      <c r="G338" s="61"/>
      <c r="H338" s="79"/>
      <c r="I338" s="62"/>
      <c r="J338" s="53"/>
    </row>
    <row r="339" ht="24.75" hidden="1" customHeight="1">
      <c r="A339" s="54" t="s">
        <v>289</v>
      </c>
      <c r="B339" s="56" t="s">
        <v>647</v>
      </c>
      <c r="C339" s="56" t="s">
        <v>645</v>
      </c>
      <c r="D339" s="56" t="s">
        <v>631</v>
      </c>
      <c r="E339" s="56" t="s">
        <v>632</v>
      </c>
      <c r="F339" s="57" t="s">
        <v>34</v>
      </c>
      <c r="G339" s="61"/>
      <c r="H339" s="61" t="s">
        <v>197</v>
      </c>
      <c r="I339" s="62"/>
      <c r="J339" s="53"/>
    </row>
    <row r="340" ht="24.75" hidden="1" customHeight="1">
      <c r="A340" s="54" t="s">
        <v>289</v>
      </c>
      <c r="B340" s="56" t="s">
        <v>647</v>
      </c>
      <c r="C340" s="56" t="s">
        <v>645</v>
      </c>
      <c r="D340" s="56" t="s">
        <v>631</v>
      </c>
      <c r="E340" s="56" t="s">
        <v>633</v>
      </c>
      <c r="F340" s="57" t="s">
        <v>154</v>
      </c>
      <c r="G340" s="50"/>
      <c r="H340" s="79"/>
      <c r="I340" s="62"/>
      <c r="J340" s="53"/>
    </row>
    <row r="341" ht="24.75" hidden="1" customHeight="1">
      <c r="A341" s="54" t="s">
        <v>289</v>
      </c>
      <c r="B341" s="56" t="s">
        <v>647</v>
      </c>
      <c r="C341" s="56" t="s">
        <v>645</v>
      </c>
      <c r="D341" s="56" t="s">
        <v>631</v>
      </c>
      <c r="E341" s="56" t="s">
        <v>196</v>
      </c>
      <c r="F341" s="57" t="s">
        <v>250</v>
      </c>
      <c r="G341" s="61"/>
      <c r="H341" s="61" t="s">
        <v>200</v>
      </c>
      <c r="I341" s="62" t="s">
        <v>201</v>
      </c>
      <c r="J341" s="53"/>
    </row>
    <row r="342" ht="24.75" customHeight="1">
      <c r="A342" s="54" t="s">
        <v>289</v>
      </c>
      <c r="B342" s="56" t="s">
        <v>648</v>
      </c>
      <c r="C342" s="56" t="s">
        <v>645</v>
      </c>
      <c r="D342" s="56" t="s">
        <v>636</v>
      </c>
      <c r="E342" s="56" t="s">
        <v>191</v>
      </c>
      <c r="F342" s="57" t="s">
        <v>192</v>
      </c>
      <c r="G342" s="61"/>
      <c r="H342" s="79"/>
      <c r="I342" s="62"/>
      <c r="J342" s="53"/>
    </row>
    <row r="343" ht="24.75" hidden="1" customHeight="1">
      <c r="A343" s="54" t="s">
        <v>289</v>
      </c>
      <c r="B343" s="56" t="s">
        <v>648</v>
      </c>
      <c r="C343" s="56" t="s">
        <v>645</v>
      </c>
      <c r="D343" s="56" t="s">
        <v>636</v>
      </c>
      <c r="E343" s="56" t="s">
        <v>632</v>
      </c>
      <c r="F343" s="57" t="s">
        <v>34</v>
      </c>
      <c r="G343" s="61"/>
      <c r="H343" s="61" t="s">
        <v>197</v>
      </c>
      <c r="I343" s="62"/>
      <c r="J343" s="53"/>
    </row>
    <row r="344" ht="24.75" hidden="1" customHeight="1">
      <c r="A344" s="54" t="s">
        <v>289</v>
      </c>
      <c r="B344" s="56" t="s">
        <v>648</v>
      </c>
      <c r="C344" s="56" t="s">
        <v>645</v>
      </c>
      <c r="D344" s="56" t="s">
        <v>636</v>
      </c>
      <c r="E344" s="56" t="s">
        <v>633</v>
      </c>
      <c r="F344" s="57" t="s">
        <v>154</v>
      </c>
      <c r="G344" s="61"/>
      <c r="H344" s="79"/>
      <c r="I344" s="62"/>
      <c r="J344" s="53"/>
    </row>
    <row r="345" ht="24.75" hidden="1" customHeight="1">
      <c r="A345" s="54" t="s">
        <v>289</v>
      </c>
      <c r="B345" s="56" t="s">
        <v>648</v>
      </c>
      <c r="C345" s="56" t="s">
        <v>645</v>
      </c>
      <c r="D345" s="56" t="s">
        <v>636</v>
      </c>
      <c r="E345" s="56" t="s">
        <v>196</v>
      </c>
      <c r="F345" s="57" t="s">
        <v>250</v>
      </c>
      <c r="G345" s="61"/>
      <c r="H345" s="61" t="s">
        <v>200</v>
      </c>
      <c r="I345" s="62" t="s">
        <v>201</v>
      </c>
      <c r="J345" s="53"/>
    </row>
    <row r="346" ht="24.75" hidden="1" customHeight="1">
      <c r="A346" s="54" t="s">
        <v>289</v>
      </c>
      <c r="B346" s="56" t="s">
        <v>649</v>
      </c>
      <c r="C346" s="56" t="s">
        <v>606</v>
      </c>
      <c r="D346" s="56" t="s">
        <v>611</v>
      </c>
      <c r="E346" s="56" t="s">
        <v>612</v>
      </c>
      <c r="F346" s="57" t="s">
        <v>34</v>
      </c>
      <c r="G346" s="61"/>
      <c r="H346" s="79"/>
      <c r="I346" s="62"/>
      <c r="J346" s="53"/>
    </row>
    <row r="347" ht="24.75" hidden="1" customHeight="1">
      <c r="A347" s="54" t="s">
        <v>289</v>
      </c>
      <c r="B347" s="56" t="s">
        <v>649</v>
      </c>
      <c r="C347" s="56" t="s">
        <v>606</v>
      </c>
      <c r="D347" s="56" t="s">
        <v>611</v>
      </c>
      <c r="E347" s="56" t="s">
        <v>613</v>
      </c>
      <c r="F347" s="57" t="s">
        <v>34</v>
      </c>
      <c r="G347" s="61"/>
      <c r="H347" s="79"/>
      <c r="I347" s="62"/>
      <c r="J347" s="53"/>
    </row>
    <row r="348" ht="24.75" hidden="1" customHeight="1">
      <c r="A348" s="54" t="s">
        <v>289</v>
      </c>
      <c r="B348" s="56" t="s">
        <v>649</v>
      </c>
      <c r="C348" s="56" t="s">
        <v>606</v>
      </c>
      <c r="D348" s="56" t="s">
        <v>611</v>
      </c>
      <c r="E348" s="56" t="s">
        <v>614</v>
      </c>
      <c r="F348" s="57" t="s">
        <v>34</v>
      </c>
      <c r="G348" s="61"/>
      <c r="H348" s="79"/>
      <c r="I348" s="62" t="s">
        <v>615</v>
      </c>
      <c r="J348" s="53"/>
    </row>
    <row r="349" ht="24.75" hidden="1" customHeight="1">
      <c r="A349" s="54" t="s">
        <v>289</v>
      </c>
      <c r="B349" s="56" t="s">
        <v>649</v>
      </c>
      <c r="C349" s="56" t="s">
        <v>606</v>
      </c>
      <c r="D349" s="56" t="s">
        <v>611</v>
      </c>
      <c r="E349" s="56" t="s">
        <v>616</v>
      </c>
      <c r="F349" s="57" t="s">
        <v>154</v>
      </c>
      <c r="G349" s="61"/>
      <c r="H349" s="79"/>
      <c r="I349" s="62" t="s">
        <v>617</v>
      </c>
      <c r="J349" s="53"/>
    </row>
    <row r="350" ht="24.75" hidden="1" customHeight="1">
      <c r="A350" s="54" t="s">
        <v>289</v>
      </c>
      <c r="B350" s="56" t="s">
        <v>649</v>
      </c>
      <c r="C350" s="56" t="s">
        <v>606</v>
      </c>
      <c r="D350" s="56" t="s">
        <v>611</v>
      </c>
      <c r="E350" s="56" t="s">
        <v>618</v>
      </c>
      <c r="F350" s="57" t="s">
        <v>154</v>
      </c>
      <c r="G350" s="61"/>
      <c r="H350" s="79"/>
      <c r="I350" s="62" t="s">
        <v>617</v>
      </c>
      <c r="J350" s="53"/>
    </row>
    <row r="351" ht="24.75" hidden="1" customHeight="1">
      <c r="A351" s="54" t="s">
        <v>289</v>
      </c>
      <c r="B351" s="56" t="s">
        <v>650</v>
      </c>
      <c r="C351" s="56" t="s">
        <v>606</v>
      </c>
      <c r="D351" s="56" t="s">
        <v>651</v>
      </c>
      <c r="E351" s="56" t="s">
        <v>196</v>
      </c>
      <c r="F351" s="57" t="s">
        <v>250</v>
      </c>
      <c r="G351" s="61"/>
      <c r="H351" s="61" t="s">
        <v>287</v>
      </c>
      <c r="I351" s="62" t="s">
        <v>288</v>
      </c>
      <c r="J351" s="53"/>
    </row>
    <row r="352" ht="24.75" customHeight="1">
      <c r="A352" s="54" t="s">
        <v>289</v>
      </c>
      <c r="B352" s="56" t="s">
        <v>650</v>
      </c>
      <c r="C352" s="56" t="s">
        <v>606</v>
      </c>
      <c r="D352" s="56" t="s">
        <v>651</v>
      </c>
      <c r="E352" s="56" t="s">
        <v>621</v>
      </c>
      <c r="F352" s="57" t="s">
        <v>192</v>
      </c>
      <c r="G352" s="61"/>
      <c r="H352" s="79"/>
      <c r="I352" s="62"/>
      <c r="J352" s="53"/>
    </row>
    <row r="353" ht="24.75" hidden="1" customHeight="1">
      <c r="A353" s="54" t="s">
        <v>289</v>
      </c>
      <c r="B353" s="56" t="s">
        <v>650</v>
      </c>
      <c r="C353" s="56" t="s">
        <v>606</v>
      </c>
      <c r="D353" s="56" t="s">
        <v>651</v>
      </c>
      <c r="E353" s="56" t="s">
        <v>622</v>
      </c>
      <c r="F353" s="57" t="s">
        <v>154</v>
      </c>
      <c r="G353" s="61"/>
      <c r="H353" s="79"/>
      <c r="I353" s="62" t="s">
        <v>617</v>
      </c>
      <c r="J353" s="53"/>
    </row>
    <row r="354" ht="24.75" customHeight="1">
      <c r="A354" s="54" t="s">
        <v>289</v>
      </c>
      <c r="B354" s="56" t="s">
        <v>654</v>
      </c>
      <c r="C354" s="56" t="s">
        <v>606</v>
      </c>
      <c r="D354" s="56" t="s">
        <v>655</v>
      </c>
      <c r="E354" s="56" t="s">
        <v>191</v>
      </c>
      <c r="F354" s="57" t="s">
        <v>192</v>
      </c>
      <c r="G354" s="61"/>
      <c r="H354" s="79"/>
      <c r="I354" s="62"/>
      <c r="J354" s="53"/>
    </row>
    <row r="355" ht="24.75" hidden="1" customHeight="1">
      <c r="A355" s="54" t="s">
        <v>289</v>
      </c>
      <c r="B355" s="56" t="s">
        <v>654</v>
      </c>
      <c r="C355" s="56" t="s">
        <v>606</v>
      </c>
      <c r="D355" s="56" t="s">
        <v>655</v>
      </c>
      <c r="E355" s="56" t="s">
        <v>632</v>
      </c>
      <c r="F355" s="57" t="s">
        <v>34</v>
      </c>
      <c r="G355" s="61"/>
      <c r="H355" s="61" t="s">
        <v>197</v>
      </c>
      <c r="I355" s="62"/>
      <c r="J355" s="53"/>
    </row>
    <row r="356" ht="24.75" hidden="1" customHeight="1">
      <c r="A356" s="54" t="s">
        <v>289</v>
      </c>
      <c r="B356" s="56" t="s">
        <v>654</v>
      </c>
      <c r="C356" s="56" t="s">
        <v>606</v>
      </c>
      <c r="D356" s="56" t="s">
        <v>655</v>
      </c>
      <c r="E356" s="56" t="s">
        <v>633</v>
      </c>
      <c r="F356" s="57" t="s">
        <v>154</v>
      </c>
      <c r="G356" s="61"/>
      <c r="H356" s="79"/>
      <c r="I356" s="62"/>
      <c r="J356" s="53"/>
    </row>
    <row r="357" ht="24.75" hidden="1" customHeight="1">
      <c r="A357" s="54" t="s">
        <v>289</v>
      </c>
      <c r="B357" s="56" t="s">
        <v>654</v>
      </c>
      <c r="C357" s="56" t="s">
        <v>606</v>
      </c>
      <c r="D357" s="56" t="s">
        <v>655</v>
      </c>
      <c r="E357" s="56" t="s">
        <v>196</v>
      </c>
      <c r="F357" s="57" t="s">
        <v>250</v>
      </c>
      <c r="G357" s="61"/>
      <c r="H357" s="61" t="s">
        <v>200</v>
      </c>
      <c r="I357" s="62" t="s">
        <v>201</v>
      </c>
      <c r="J357" s="53"/>
    </row>
    <row r="358" ht="24.75" customHeight="1">
      <c r="A358" s="54" t="s">
        <v>289</v>
      </c>
      <c r="B358" s="56" t="s">
        <v>656</v>
      </c>
      <c r="C358" s="56" t="s">
        <v>606</v>
      </c>
      <c r="D358" s="56" t="s">
        <v>657</v>
      </c>
      <c r="E358" s="56" t="s">
        <v>191</v>
      </c>
      <c r="F358" s="57" t="s">
        <v>192</v>
      </c>
      <c r="G358" s="61"/>
      <c r="H358" s="79"/>
      <c r="I358" s="62"/>
      <c r="J358" s="53"/>
    </row>
    <row r="359" ht="24.75" hidden="1" customHeight="1">
      <c r="A359" s="54" t="s">
        <v>289</v>
      </c>
      <c r="B359" s="56" t="s">
        <v>656</v>
      </c>
      <c r="C359" s="56" t="s">
        <v>606</v>
      </c>
      <c r="D359" s="56" t="s">
        <v>657</v>
      </c>
      <c r="E359" s="56" t="s">
        <v>632</v>
      </c>
      <c r="F359" s="57" t="s">
        <v>34</v>
      </c>
      <c r="G359" s="61"/>
      <c r="H359" s="61" t="s">
        <v>197</v>
      </c>
      <c r="I359" s="62"/>
      <c r="J359" s="53"/>
    </row>
    <row r="360" ht="24.75" hidden="1" customHeight="1">
      <c r="A360" s="54" t="s">
        <v>289</v>
      </c>
      <c r="B360" s="56" t="s">
        <v>656</v>
      </c>
      <c r="C360" s="56" t="s">
        <v>606</v>
      </c>
      <c r="D360" s="56" t="s">
        <v>657</v>
      </c>
      <c r="E360" s="56" t="s">
        <v>633</v>
      </c>
      <c r="F360" s="57" t="s">
        <v>154</v>
      </c>
      <c r="G360" s="61"/>
      <c r="H360" s="79"/>
      <c r="I360" s="62"/>
      <c r="J360" s="53"/>
    </row>
    <row r="361" ht="24.75" hidden="1" customHeight="1">
      <c r="A361" s="54" t="s">
        <v>289</v>
      </c>
      <c r="B361" s="56" t="s">
        <v>656</v>
      </c>
      <c r="C361" s="56" t="s">
        <v>606</v>
      </c>
      <c r="D361" s="56" t="s">
        <v>657</v>
      </c>
      <c r="E361" s="56" t="s">
        <v>196</v>
      </c>
      <c r="F361" s="57" t="s">
        <v>250</v>
      </c>
      <c r="G361" s="61"/>
      <c r="H361" s="61" t="s">
        <v>200</v>
      </c>
      <c r="I361" s="62" t="s">
        <v>201</v>
      </c>
      <c r="J361" s="53"/>
    </row>
    <row r="362" ht="24.75" hidden="1" customHeight="1">
      <c r="A362" s="54" t="s">
        <v>658</v>
      </c>
      <c r="B362" s="56" t="s">
        <v>659</v>
      </c>
      <c r="C362" s="56" t="s">
        <v>610</v>
      </c>
      <c r="D362" s="56" t="s">
        <v>660</v>
      </c>
      <c r="E362" s="56" t="s">
        <v>661</v>
      </c>
      <c r="F362" s="57" t="s">
        <v>34</v>
      </c>
      <c r="G362" s="61"/>
      <c r="H362" s="79"/>
      <c r="I362" s="62"/>
      <c r="J362" s="53"/>
    </row>
    <row r="363" ht="24.75" hidden="1" customHeight="1">
      <c r="A363" s="54" t="s">
        <v>658</v>
      </c>
      <c r="B363" s="56" t="s">
        <v>659</v>
      </c>
      <c r="C363" s="56" t="s">
        <v>610</v>
      </c>
      <c r="D363" s="56" t="s">
        <v>660</v>
      </c>
      <c r="E363" s="56" t="s">
        <v>662</v>
      </c>
      <c r="F363" s="57" t="s">
        <v>34</v>
      </c>
      <c r="G363" s="61"/>
      <c r="H363" s="79"/>
      <c r="I363" s="62"/>
      <c r="J363" s="53"/>
    </row>
    <row r="364" ht="24.75" hidden="1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663</v>
      </c>
      <c r="F364" s="57" t="s">
        <v>34</v>
      </c>
      <c r="G364" s="61"/>
      <c r="H364" s="79"/>
      <c r="I364" s="62"/>
      <c r="J364" s="53"/>
    </row>
    <row r="365" ht="24.75" hidden="1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664</v>
      </c>
      <c r="F365" s="57" t="s">
        <v>34</v>
      </c>
      <c r="G365" s="61"/>
      <c r="H365" s="79"/>
      <c r="I365" s="62"/>
      <c r="J365" s="53"/>
    </row>
    <row r="366" ht="24.75" hidden="1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665</v>
      </c>
      <c r="F366" s="57" t="s">
        <v>34</v>
      </c>
      <c r="G366" s="61"/>
      <c r="H366" s="79"/>
      <c r="I366" s="62"/>
      <c r="J366" s="53"/>
    </row>
    <row r="367" ht="24.75" hidden="1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614</v>
      </c>
      <c r="F367" s="57" t="s">
        <v>34</v>
      </c>
      <c r="G367" s="61"/>
      <c r="H367" s="79"/>
      <c r="I367" s="62"/>
      <c r="J367" s="53"/>
    </row>
    <row r="368" ht="24.75" hidden="1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666</v>
      </c>
      <c r="F368" s="57" t="s">
        <v>34</v>
      </c>
      <c r="G368" s="61"/>
      <c r="H368" s="79"/>
      <c r="I368" s="62"/>
      <c r="J368" s="53"/>
    </row>
    <row r="369" ht="24.75" hidden="1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667</v>
      </c>
      <c r="F369" s="57" t="s">
        <v>34</v>
      </c>
      <c r="G369" s="61"/>
      <c r="H369" s="79"/>
      <c r="I369" s="62"/>
      <c r="J369" s="53"/>
    </row>
    <row r="370" ht="24.75" hidden="1" customHeight="1">
      <c r="A370" s="54" t="s">
        <v>658</v>
      </c>
      <c r="B370" s="56" t="s">
        <v>659</v>
      </c>
      <c r="C370" s="56" t="s">
        <v>610</v>
      </c>
      <c r="D370" s="56" t="s">
        <v>660</v>
      </c>
      <c r="E370" s="56" t="s">
        <v>668</v>
      </c>
      <c r="F370" s="57" t="s">
        <v>154</v>
      </c>
      <c r="G370" s="61"/>
      <c r="H370" s="79"/>
      <c r="I370" s="62" t="s">
        <v>617</v>
      </c>
      <c r="J370" s="53"/>
    </row>
    <row r="371" ht="24.75" hidden="1" customHeight="1">
      <c r="A371" s="54" t="s">
        <v>658</v>
      </c>
      <c r="B371" s="56" t="s">
        <v>659</v>
      </c>
      <c r="C371" s="56" t="s">
        <v>610</v>
      </c>
      <c r="D371" s="56" t="s">
        <v>660</v>
      </c>
      <c r="E371" s="56" t="s">
        <v>669</v>
      </c>
      <c r="F371" s="57" t="s">
        <v>154</v>
      </c>
      <c r="G371" s="61"/>
      <c r="H371" s="79"/>
      <c r="I371" s="62" t="s">
        <v>617</v>
      </c>
      <c r="J371" s="53"/>
    </row>
    <row r="372" ht="24.75" hidden="1" customHeight="1">
      <c r="A372" s="54" t="s">
        <v>658</v>
      </c>
      <c r="B372" s="56" t="s">
        <v>659</v>
      </c>
      <c r="C372" s="56" t="s">
        <v>610</v>
      </c>
      <c r="D372" s="56" t="s">
        <v>660</v>
      </c>
      <c r="E372" s="56" t="s">
        <v>671</v>
      </c>
      <c r="F372" s="57" t="s">
        <v>154</v>
      </c>
      <c r="G372" s="61"/>
      <c r="H372" s="79"/>
      <c r="I372" s="62" t="s">
        <v>617</v>
      </c>
      <c r="J372" s="53"/>
    </row>
    <row r="373" ht="24.75" hidden="1" customHeight="1">
      <c r="A373" s="54" t="s">
        <v>658</v>
      </c>
      <c r="B373" s="56" t="s">
        <v>659</v>
      </c>
      <c r="C373" s="56" t="s">
        <v>610</v>
      </c>
      <c r="D373" s="56" t="s">
        <v>660</v>
      </c>
      <c r="E373" s="56" t="s">
        <v>672</v>
      </c>
      <c r="F373" s="57" t="s">
        <v>154</v>
      </c>
      <c r="G373" s="61"/>
      <c r="H373" s="79"/>
      <c r="I373" s="62" t="s">
        <v>617</v>
      </c>
      <c r="J373" s="53"/>
    </row>
    <row r="374" ht="24.75" hidden="1" customHeight="1">
      <c r="A374" s="54" t="s">
        <v>658</v>
      </c>
      <c r="B374" s="56" t="s">
        <v>659</v>
      </c>
      <c r="C374" s="56" t="s">
        <v>610</v>
      </c>
      <c r="D374" s="56" t="s">
        <v>660</v>
      </c>
      <c r="E374" s="56" t="s">
        <v>673</v>
      </c>
      <c r="F374" s="57" t="s">
        <v>154</v>
      </c>
      <c r="G374" s="61"/>
      <c r="H374" s="79"/>
      <c r="I374" s="62" t="s">
        <v>617</v>
      </c>
      <c r="J374" s="53"/>
    </row>
    <row r="375" ht="24.75" hidden="1" customHeight="1">
      <c r="A375" s="54" t="s">
        <v>658</v>
      </c>
      <c r="B375" s="56" t="s">
        <v>674</v>
      </c>
      <c r="C375" s="56" t="s">
        <v>610</v>
      </c>
      <c r="D375" s="56" t="s">
        <v>675</v>
      </c>
      <c r="E375" s="56" t="s">
        <v>676</v>
      </c>
      <c r="F375" s="57" t="s">
        <v>34</v>
      </c>
      <c r="G375" s="61"/>
      <c r="H375" s="79"/>
      <c r="I375" s="62"/>
      <c r="J375" s="53"/>
    </row>
    <row r="376" ht="24.75" hidden="1" customHeight="1">
      <c r="A376" s="54" t="s">
        <v>658</v>
      </c>
      <c r="B376" s="56" t="s">
        <v>677</v>
      </c>
      <c r="C376" s="56" t="s">
        <v>610</v>
      </c>
      <c r="D376" s="56" t="s">
        <v>678</v>
      </c>
      <c r="E376" s="56" t="s">
        <v>679</v>
      </c>
      <c r="F376" s="57" t="s">
        <v>34</v>
      </c>
      <c r="G376" s="61"/>
      <c r="H376" s="61" t="s">
        <v>681</v>
      </c>
      <c r="I376" s="62"/>
      <c r="J376" s="53"/>
    </row>
    <row r="377" ht="24.75" hidden="1" customHeight="1">
      <c r="A377" s="54" t="s">
        <v>658</v>
      </c>
      <c r="B377" s="56" t="s">
        <v>677</v>
      </c>
      <c r="C377" s="56" t="s">
        <v>610</v>
      </c>
      <c r="D377" s="56" t="s">
        <v>678</v>
      </c>
      <c r="E377" s="56" t="s">
        <v>680</v>
      </c>
      <c r="F377" s="57" t="s">
        <v>34</v>
      </c>
      <c r="G377" s="61"/>
      <c r="H377" s="79"/>
      <c r="I377" s="62"/>
      <c r="J377" s="53"/>
    </row>
    <row r="378" ht="24.75" hidden="1" customHeight="1">
      <c r="A378" s="54" t="s">
        <v>658</v>
      </c>
      <c r="B378" s="56" t="s">
        <v>677</v>
      </c>
      <c r="C378" s="56" t="s">
        <v>610</v>
      </c>
      <c r="D378" s="56" t="s">
        <v>678</v>
      </c>
      <c r="E378" s="56" t="s">
        <v>682</v>
      </c>
      <c r="F378" s="57" t="s">
        <v>34</v>
      </c>
      <c r="G378" s="61"/>
      <c r="H378" s="79"/>
      <c r="I378" s="62"/>
      <c r="J378" s="53"/>
    </row>
    <row r="379" ht="24.75" hidden="1" customHeight="1">
      <c r="A379" s="54" t="s">
        <v>658</v>
      </c>
      <c r="B379" s="56" t="s">
        <v>677</v>
      </c>
      <c r="C379" s="56" t="s">
        <v>610</v>
      </c>
      <c r="D379" s="56" t="s">
        <v>678</v>
      </c>
      <c r="E379" s="56" t="s">
        <v>683</v>
      </c>
      <c r="F379" s="57" t="s">
        <v>34</v>
      </c>
      <c r="G379" s="61"/>
      <c r="H379" s="79"/>
      <c r="I379" s="62"/>
      <c r="J379" s="53"/>
    </row>
    <row r="380" ht="24.75" hidden="1" customHeight="1">
      <c r="A380" s="54" t="s">
        <v>658</v>
      </c>
      <c r="B380" s="56" t="s">
        <v>677</v>
      </c>
      <c r="C380" s="56" t="s">
        <v>610</v>
      </c>
      <c r="D380" s="56" t="s">
        <v>678</v>
      </c>
      <c r="E380" s="56" t="s">
        <v>684</v>
      </c>
      <c r="F380" s="57" t="s">
        <v>250</v>
      </c>
      <c r="G380" s="61"/>
      <c r="H380" s="61" t="s">
        <v>686</v>
      </c>
      <c r="I380" s="62" t="s">
        <v>687</v>
      </c>
      <c r="J380" s="53"/>
    </row>
    <row r="381" ht="24.75" hidden="1" customHeight="1">
      <c r="A381" s="54" t="s">
        <v>658</v>
      </c>
      <c r="B381" s="56" t="s">
        <v>677</v>
      </c>
      <c r="C381" s="56" t="s">
        <v>610</v>
      </c>
      <c r="D381" s="56" t="s">
        <v>678</v>
      </c>
      <c r="E381" s="56" t="s">
        <v>685</v>
      </c>
      <c r="F381" s="57" t="s">
        <v>250</v>
      </c>
      <c r="G381" s="61"/>
      <c r="H381" s="61" t="s">
        <v>200</v>
      </c>
      <c r="I381" s="62" t="s">
        <v>689</v>
      </c>
      <c r="J381" s="53"/>
    </row>
    <row r="382" ht="24.75" hidden="1" customHeight="1">
      <c r="A382" s="54" t="s">
        <v>658</v>
      </c>
      <c r="B382" s="56" t="s">
        <v>688</v>
      </c>
      <c r="C382" s="56" t="s">
        <v>624</v>
      </c>
      <c r="D382" s="56" t="s">
        <v>660</v>
      </c>
      <c r="E382" s="56" t="s">
        <v>661</v>
      </c>
      <c r="F382" s="57" t="s">
        <v>34</v>
      </c>
      <c r="G382" s="61"/>
      <c r="H382" s="79"/>
      <c r="I382" s="62"/>
      <c r="J382" s="53"/>
    </row>
    <row r="383" ht="24.75" hidden="1" customHeight="1">
      <c r="A383" s="54" t="s">
        <v>658</v>
      </c>
      <c r="B383" s="56" t="s">
        <v>688</v>
      </c>
      <c r="C383" s="56" t="s">
        <v>624</v>
      </c>
      <c r="D383" s="56" t="s">
        <v>660</v>
      </c>
      <c r="E383" s="56" t="s">
        <v>662</v>
      </c>
      <c r="F383" s="57" t="s">
        <v>34</v>
      </c>
      <c r="G383" s="61"/>
      <c r="H383" s="79"/>
      <c r="I383" s="62"/>
      <c r="J383" s="53"/>
    </row>
    <row r="384" ht="24.75" hidden="1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663</v>
      </c>
      <c r="F384" s="57" t="s">
        <v>34</v>
      </c>
      <c r="G384" s="61"/>
      <c r="H384" s="79"/>
      <c r="I384" s="62"/>
      <c r="J384" s="53"/>
    </row>
    <row r="385" ht="24.75" hidden="1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664</v>
      </c>
      <c r="F385" s="57" t="s">
        <v>34</v>
      </c>
      <c r="G385" s="61"/>
      <c r="H385" s="79"/>
      <c r="I385" s="62"/>
      <c r="J385" s="53"/>
    </row>
    <row r="386" ht="24.75" hidden="1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665</v>
      </c>
      <c r="F386" s="57" t="s">
        <v>34</v>
      </c>
      <c r="G386" s="61"/>
      <c r="H386" s="79"/>
      <c r="I386" s="62"/>
      <c r="J386" s="53"/>
    </row>
    <row r="387" ht="24.75" hidden="1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614</v>
      </c>
      <c r="F387" s="57" t="s">
        <v>34</v>
      </c>
      <c r="G387" s="61"/>
      <c r="H387" s="79"/>
      <c r="I387" s="62"/>
      <c r="J387" s="53"/>
    </row>
    <row r="388" ht="24.75" hidden="1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666</v>
      </c>
      <c r="F388" s="57" t="s">
        <v>34</v>
      </c>
      <c r="G388" s="61"/>
      <c r="H388" s="79"/>
      <c r="I388" s="62"/>
      <c r="J388" s="53"/>
    </row>
    <row r="389" ht="24.75" hidden="1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667</v>
      </c>
      <c r="F389" s="57" t="s">
        <v>34</v>
      </c>
      <c r="G389" s="61"/>
      <c r="H389" s="79"/>
      <c r="I389" s="62"/>
      <c r="J389" s="53"/>
    </row>
    <row r="390" ht="24.75" hidden="1" customHeight="1">
      <c r="A390" s="54" t="s">
        <v>658</v>
      </c>
      <c r="B390" s="56" t="s">
        <v>688</v>
      </c>
      <c r="C390" s="56" t="s">
        <v>624</v>
      </c>
      <c r="D390" s="56" t="s">
        <v>660</v>
      </c>
      <c r="E390" s="56" t="s">
        <v>668</v>
      </c>
      <c r="F390" s="57" t="s">
        <v>154</v>
      </c>
      <c r="G390" s="61"/>
      <c r="H390" s="79"/>
      <c r="I390" s="62" t="s">
        <v>617</v>
      </c>
      <c r="J390" s="53"/>
    </row>
    <row r="391" ht="24.75" hidden="1" customHeight="1">
      <c r="A391" s="54" t="s">
        <v>658</v>
      </c>
      <c r="B391" s="56" t="s">
        <v>688</v>
      </c>
      <c r="C391" s="56" t="s">
        <v>624</v>
      </c>
      <c r="D391" s="56" t="s">
        <v>660</v>
      </c>
      <c r="E391" s="56" t="s">
        <v>669</v>
      </c>
      <c r="F391" s="57" t="s">
        <v>154</v>
      </c>
      <c r="G391" s="61"/>
      <c r="H391" s="79"/>
      <c r="I391" s="62" t="s">
        <v>617</v>
      </c>
      <c r="J391" s="53"/>
    </row>
    <row r="392" ht="24.75" hidden="1" customHeight="1">
      <c r="A392" s="54" t="s">
        <v>658</v>
      </c>
      <c r="B392" s="56" t="s">
        <v>688</v>
      </c>
      <c r="C392" s="56" t="s">
        <v>624</v>
      </c>
      <c r="D392" s="56" t="s">
        <v>660</v>
      </c>
      <c r="E392" s="56" t="s">
        <v>671</v>
      </c>
      <c r="F392" s="57" t="s">
        <v>154</v>
      </c>
      <c r="G392" s="61"/>
      <c r="H392" s="79"/>
      <c r="I392" s="62" t="s">
        <v>617</v>
      </c>
      <c r="J392" s="53"/>
    </row>
    <row r="393" ht="24.75" hidden="1" customHeight="1">
      <c r="A393" s="54" t="s">
        <v>658</v>
      </c>
      <c r="B393" s="56" t="s">
        <v>688</v>
      </c>
      <c r="C393" s="56" t="s">
        <v>624</v>
      </c>
      <c r="D393" s="56" t="s">
        <v>660</v>
      </c>
      <c r="E393" s="56" t="s">
        <v>672</v>
      </c>
      <c r="F393" s="57" t="s">
        <v>154</v>
      </c>
      <c r="G393" s="61"/>
      <c r="H393" s="79"/>
      <c r="I393" s="62" t="s">
        <v>617</v>
      </c>
      <c r="J393" s="53"/>
    </row>
    <row r="394" ht="24.75" hidden="1" customHeight="1">
      <c r="A394" s="54" t="s">
        <v>658</v>
      </c>
      <c r="B394" s="56" t="s">
        <v>688</v>
      </c>
      <c r="C394" s="56" t="s">
        <v>624</v>
      </c>
      <c r="D394" s="56" t="s">
        <v>660</v>
      </c>
      <c r="E394" s="56" t="s">
        <v>673</v>
      </c>
      <c r="F394" s="57" t="s">
        <v>154</v>
      </c>
      <c r="G394" s="61"/>
      <c r="H394" s="79"/>
      <c r="I394" s="62" t="s">
        <v>617</v>
      </c>
      <c r="J394" s="53"/>
    </row>
    <row r="395" ht="24.75" hidden="1" customHeight="1">
      <c r="A395" s="54" t="s">
        <v>658</v>
      </c>
      <c r="B395" s="56" t="s">
        <v>690</v>
      </c>
      <c r="C395" s="56" t="s">
        <v>624</v>
      </c>
      <c r="D395" s="56" t="s">
        <v>675</v>
      </c>
      <c r="E395" s="56" t="s">
        <v>676</v>
      </c>
      <c r="F395" s="57" t="s">
        <v>34</v>
      </c>
      <c r="G395" s="61"/>
      <c r="H395" s="79"/>
      <c r="I395" s="62"/>
      <c r="J395" s="53"/>
    </row>
    <row r="396" ht="24.75" hidden="1" customHeight="1">
      <c r="A396" s="54" t="s">
        <v>658</v>
      </c>
      <c r="B396" s="56" t="s">
        <v>691</v>
      </c>
      <c r="C396" s="56" t="s">
        <v>624</v>
      </c>
      <c r="D396" s="56" t="s">
        <v>678</v>
      </c>
      <c r="E396" s="56" t="s">
        <v>679</v>
      </c>
      <c r="F396" s="57" t="s">
        <v>34</v>
      </c>
      <c r="G396" s="61"/>
      <c r="H396" s="61" t="s">
        <v>681</v>
      </c>
      <c r="I396" s="62"/>
      <c r="J396" s="53"/>
    </row>
    <row r="397" ht="24.75" hidden="1" customHeight="1">
      <c r="A397" s="54" t="s">
        <v>658</v>
      </c>
      <c r="B397" s="56" t="s">
        <v>691</v>
      </c>
      <c r="C397" s="56" t="s">
        <v>624</v>
      </c>
      <c r="D397" s="56" t="s">
        <v>678</v>
      </c>
      <c r="E397" s="56" t="s">
        <v>680</v>
      </c>
      <c r="F397" s="57" t="s">
        <v>34</v>
      </c>
      <c r="G397" s="61"/>
      <c r="H397" s="79"/>
      <c r="I397" s="62"/>
      <c r="J397" s="53"/>
    </row>
    <row r="398" ht="24.75" hidden="1" customHeight="1">
      <c r="A398" s="54" t="s">
        <v>658</v>
      </c>
      <c r="B398" s="56" t="s">
        <v>691</v>
      </c>
      <c r="C398" s="56" t="s">
        <v>624</v>
      </c>
      <c r="D398" s="56" t="s">
        <v>678</v>
      </c>
      <c r="E398" s="56" t="s">
        <v>682</v>
      </c>
      <c r="F398" s="57" t="s">
        <v>34</v>
      </c>
      <c r="G398" s="61"/>
      <c r="H398" s="79"/>
      <c r="I398" s="62"/>
      <c r="J398" s="53"/>
    </row>
    <row r="399" ht="24.75" hidden="1" customHeight="1">
      <c r="A399" s="54" t="s">
        <v>658</v>
      </c>
      <c r="B399" s="56" t="s">
        <v>691</v>
      </c>
      <c r="C399" s="56" t="s">
        <v>624</v>
      </c>
      <c r="D399" s="56" t="s">
        <v>678</v>
      </c>
      <c r="E399" s="56" t="s">
        <v>683</v>
      </c>
      <c r="F399" s="57" t="s">
        <v>34</v>
      </c>
      <c r="G399" s="61"/>
      <c r="H399" s="79"/>
      <c r="I399" s="62"/>
      <c r="J399" s="53"/>
    </row>
    <row r="400" ht="24.75" hidden="1" customHeight="1">
      <c r="A400" s="54" t="s">
        <v>658</v>
      </c>
      <c r="B400" s="56" t="s">
        <v>691</v>
      </c>
      <c r="C400" s="56" t="s">
        <v>624</v>
      </c>
      <c r="D400" s="56" t="s">
        <v>678</v>
      </c>
      <c r="E400" s="56" t="s">
        <v>684</v>
      </c>
      <c r="F400" s="57" t="s">
        <v>250</v>
      </c>
      <c r="G400" s="61"/>
      <c r="H400" s="61" t="s">
        <v>686</v>
      </c>
      <c r="I400" s="62" t="s">
        <v>687</v>
      </c>
      <c r="J400" s="53"/>
    </row>
    <row r="401" ht="24.75" hidden="1" customHeight="1">
      <c r="A401" s="54" t="s">
        <v>658</v>
      </c>
      <c r="B401" s="56" t="s">
        <v>691</v>
      </c>
      <c r="C401" s="56" t="s">
        <v>624</v>
      </c>
      <c r="D401" s="56" t="s">
        <v>678</v>
      </c>
      <c r="E401" s="56" t="s">
        <v>685</v>
      </c>
      <c r="F401" s="57" t="s">
        <v>250</v>
      </c>
      <c r="G401" s="61"/>
      <c r="H401" s="61" t="s">
        <v>200</v>
      </c>
      <c r="I401" s="62" t="s">
        <v>689</v>
      </c>
      <c r="J401" s="53"/>
    </row>
    <row r="402" ht="24.75" hidden="1" customHeight="1">
      <c r="A402" s="54" t="s">
        <v>658</v>
      </c>
      <c r="B402" s="56" t="s">
        <v>692</v>
      </c>
      <c r="C402" s="56" t="s">
        <v>627</v>
      </c>
      <c r="D402" s="56" t="s">
        <v>660</v>
      </c>
      <c r="E402" s="56" t="s">
        <v>661</v>
      </c>
      <c r="F402" s="57" t="s">
        <v>34</v>
      </c>
      <c r="G402" s="61"/>
      <c r="H402" s="79"/>
      <c r="I402" s="62"/>
      <c r="J402" s="53"/>
    </row>
    <row r="403" ht="24.75" hidden="1" customHeight="1">
      <c r="A403" s="54" t="s">
        <v>658</v>
      </c>
      <c r="B403" s="56" t="s">
        <v>692</v>
      </c>
      <c r="C403" s="56" t="s">
        <v>627</v>
      </c>
      <c r="D403" s="56" t="s">
        <v>660</v>
      </c>
      <c r="E403" s="56" t="s">
        <v>662</v>
      </c>
      <c r="F403" s="57" t="s">
        <v>34</v>
      </c>
      <c r="G403" s="61"/>
      <c r="H403" s="79"/>
      <c r="I403" s="62"/>
      <c r="J403" s="53"/>
    </row>
    <row r="404" ht="24.75" hidden="1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663</v>
      </c>
      <c r="F404" s="57" t="s">
        <v>34</v>
      </c>
      <c r="G404" s="61"/>
      <c r="H404" s="79"/>
      <c r="I404" s="62"/>
      <c r="J404" s="53"/>
    </row>
    <row r="405" ht="24.75" hidden="1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664</v>
      </c>
      <c r="F405" s="57" t="s">
        <v>34</v>
      </c>
      <c r="G405" s="61"/>
      <c r="H405" s="79"/>
      <c r="I405" s="62"/>
      <c r="J405" s="53"/>
    </row>
    <row r="406" ht="24.75" hidden="1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665</v>
      </c>
      <c r="F406" s="57" t="s">
        <v>34</v>
      </c>
      <c r="G406" s="61"/>
      <c r="H406" s="79"/>
      <c r="I406" s="62"/>
      <c r="J406" s="53"/>
    </row>
    <row r="407" ht="24.75" hidden="1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614</v>
      </c>
      <c r="F407" s="57" t="s">
        <v>34</v>
      </c>
      <c r="G407" s="61"/>
      <c r="H407" s="79"/>
      <c r="I407" s="62"/>
      <c r="J407" s="53"/>
    </row>
    <row r="408" ht="24.75" hidden="1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666</v>
      </c>
      <c r="F408" s="57" t="s">
        <v>34</v>
      </c>
      <c r="G408" s="61"/>
      <c r="H408" s="79"/>
      <c r="I408" s="62"/>
      <c r="J408" s="53"/>
    </row>
    <row r="409" ht="24.75" hidden="1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667</v>
      </c>
      <c r="F409" s="57" t="s">
        <v>34</v>
      </c>
      <c r="G409" s="61"/>
      <c r="H409" s="79"/>
      <c r="I409" s="62"/>
      <c r="J409" s="53"/>
    </row>
    <row r="410" ht="24.75" hidden="1" customHeight="1">
      <c r="A410" s="54" t="s">
        <v>658</v>
      </c>
      <c r="B410" s="56" t="s">
        <v>692</v>
      </c>
      <c r="C410" s="56" t="s">
        <v>627</v>
      </c>
      <c r="D410" s="56" t="s">
        <v>660</v>
      </c>
      <c r="E410" s="56" t="s">
        <v>668</v>
      </c>
      <c r="F410" s="57" t="s">
        <v>154</v>
      </c>
      <c r="G410" s="61"/>
      <c r="H410" s="79"/>
      <c r="I410" s="62" t="s">
        <v>617</v>
      </c>
      <c r="J410" s="53"/>
    </row>
    <row r="411" ht="24.75" hidden="1" customHeight="1">
      <c r="A411" s="54" t="s">
        <v>658</v>
      </c>
      <c r="B411" s="56" t="s">
        <v>692</v>
      </c>
      <c r="C411" s="56" t="s">
        <v>627</v>
      </c>
      <c r="D411" s="56" t="s">
        <v>660</v>
      </c>
      <c r="E411" s="56" t="s">
        <v>669</v>
      </c>
      <c r="F411" s="57" t="s">
        <v>154</v>
      </c>
      <c r="G411" s="61"/>
      <c r="H411" s="79"/>
      <c r="I411" s="62" t="s">
        <v>617</v>
      </c>
      <c r="J411" s="53"/>
    </row>
    <row r="412" ht="24.75" hidden="1" customHeight="1">
      <c r="A412" s="54" t="s">
        <v>658</v>
      </c>
      <c r="B412" s="56" t="s">
        <v>692</v>
      </c>
      <c r="C412" s="56" t="s">
        <v>627</v>
      </c>
      <c r="D412" s="56" t="s">
        <v>660</v>
      </c>
      <c r="E412" s="56" t="s">
        <v>671</v>
      </c>
      <c r="F412" s="57" t="s">
        <v>154</v>
      </c>
      <c r="G412" s="61"/>
      <c r="H412" s="79"/>
      <c r="I412" s="62" t="s">
        <v>617</v>
      </c>
      <c r="J412" s="53"/>
    </row>
    <row r="413" ht="24.75" hidden="1" customHeight="1">
      <c r="A413" s="54" t="s">
        <v>658</v>
      </c>
      <c r="B413" s="56" t="s">
        <v>692</v>
      </c>
      <c r="C413" s="56" t="s">
        <v>627</v>
      </c>
      <c r="D413" s="56" t="s">
        <v>660</v>
      </c>
      <c r="E413" s="56" t="s">
        <v>672</v>
      </c>
      <c r="F413" s="57" t="s">
        <v>154</v>
      </c>
      <c r="G413" s="61"/>
      <c r="H413" s="79"/>
      <c r="I413" s="62" t="s">
        <v>617</v>
      </c>
      <c r="J413" s="53"/>
    </row>
    <row r="414" ht="24.75" hidden="1" customHeight="1">
      <c r="A414" s="54" t="s">
        <v>658</v>
      </c>
      <c r="B414" s="56" t="s">
        <v>692</v>
      </c>
      <c r="C414" s="56" t="s">
        <v>627</v>
      </c>
      <c r="D414" s="56" t="s">
        <v>660</v>
      </c>
      <c r="E414" s="56" t="s">
        <v>673</v>
      </c>
      <c r="F414" s="57" t="s">
        <v>154</v>
      </c>
      <c r="G414" s="61"/>
      <c r="H414" s="79"/>
      <c r="I414" s="62" t="s">
        <v>617</v>
      </c>
      <c r="J414" s="53"/>
    </row>
    <row r="415" ht="24.75" hidden="1" customHeight="1">
      <c r="A415" s="54" t="s">
        <v>658</v>
      </c>
      <c r="B415" s="56" t="s">
        <v>693</v>
      </c>
      <c r="C415" s="56" t="s">
        <v>627</v>
      </c>
      <c r="D415" s="56" t="s">
        <v>675</v>
      </c>
      <c r="E415" s="56" t="s">
        <v>676</v>
      </c>
      <c r="F415" s="57" t="s">
        <v>34</v>
      </c>
      <c r="G415" s="61"/>
      <c r="H415" s="79"/>
      <c r="I415" s="62"/>
      <c r="J415" s="53"/>
    </row>
    <row r="416" ht="24.75" hidden="1" customHeight="1">
      <c r="A416" s="54" t="s">
        <v>658</v>
      </c>
      <c r="B416" s="56" t="s">
        <v>694</v>
      </c>
      <c r="C416" s="56" t="s">
        <v>627</v>
      </c>
      <c r="D416" s="56" t="s">
        <v>678</v>
      </c>
      <c r="E416" s="56" t="s">
        <v>679</v>
      </c>
      <c r="F416" s="57" t="s">
        <v>34</v>
      </c>
      <c r="G416" s="61"/>
      <c r="H416" s="61" t="s">
        <v>197</v>
      </c>
      <c r="I416" s="62"/>
      <c r="J416" s="53"/>
    </row>
    <row r="417" ht="24.75" hidden="1" customHeight="1">
      <c r="A417" s="54" t="s">
        <v>658</v>
      </c>
      <c r="B417" s="56" t="s">
        <v>694</v>
      </c>
      <c r="C417" s="56" t="s">
        <v>627</v>
      </c>
      <c r="D417" s="56" t="s">
        <v>678</v>
      </c>
      <c r="E417" s="56" t="s">
        <v>680</v>
      </c>
      <c r="F417" s="57" t="s">
        <v>34</v>
      </c>
      <c r="G417" s="61"/>
      <c r="H417" s="79"/>
      <c r="I417" s="62"/>
      <c r="J417" s="53"/>
    </row>
    <row r="418" ht="24.75" hidden="1" customHeight="1">
      <c r="A418" s="54" t="s">
        <v>658</v>
      </c>
      <c r="B418" s="56" t="s">
        <v>694</v>
      </c>
      <c r="C418" s="56" t="s">
        <v>627</v>
      </c>
      <c r="D418" s="56" t="s">
        <v>678</v>
      </c>
      <c r="E418" s="56" t="s">
        <v>683</v>
      </c>
      <c r="F418" s="57" t="s">
        <v>34</v>
      </c>
      <c r="G418" s="61"/>
      <c r="H418" s="79"/>
      <c r="I418" s="62"/>
      <c r="J418" s="53"/>
    </row>
    <row r="419" ht="24.75" hidden="1" customHeight="1">
      <c r="A419" s="54" t="s">
        <v>658</v>
      </c>
      <c r="B419" s="56" t="s">
        <v>694</v>
      </c>
      <c r="C419" s="56" t="s">
        <v>627</v>
      </c>
      <c r="D419" s="56" t="s">
        <v>678</v>
      </c>
      <c r="E419" s="56" t="s">
        <v>684</v>
      </c>
      <c r="F419" s="57" t="s">
        <v>250</v>
      </c>
      <c r="G419" s="61"/>
      <c r="H419" s="61" t="s">
        <v>686</v>
      </c>
      <c r="I419" s="62" t="s">
        <v>687</v>
      </c>
      <c r="J419" s="53"/>
    </row>
    <row r="420" ht="24.75" hidden="1" customHeight="1">
      <c r="A420" s="54" t="s">
        <v>658</v>
      </c>
      <c r="B420" s="56" t="s">
        <v>694</v>
      </c>
      <c r="C420" s="56" t="s">
        <v>627</v>
      </c>
      <c r="D420" s="56" t="s">
        <v>678</v>
      </c>
      <c r="E420" s="56" t="s">
        <v>695</v>
      </c>
      <c r="F420" s="57" t="s">
        <v>250</v>
      </c>
      <c r="G420" s="61"/>
      <c r="H420" s="61" t="s">
        <v>346</v>
      </c>
      <c r="I420" s="62" t="s">
        <v>696</v>
      </c>
      <c r="J420" s="53"/>
    </row>
    <row r="421" ht="24.75" hidden="1" customHeight="1">
      <c r="A421" s="54" t="s">
        <v>658</v>
      </c>
      <c r="B421" s="56" t="s">
        <v>694</v>
      </c>
      <c r="C421" s="56" t="s">
        <v>627</v>
      </c>
      <c r="D421" s="56" t="s">
        <v>678</v>
      </c>
      <c r="E421" s="56" t="s">
        <v>685</v>
      </c>
      <c r="F421" s="57" t="s">
        <v>250</v>
      </c>
      <c r="G421" s="61"/>
      <c r="H421" s="61" t="s">
        <v>200</v>
      </c>
      <c r="I421" s="62" t="s">
        <v>689</v>
      </c>
      <c r="J421" s="53"/>
    </row>
    <row r="422" ht="24.75" hidden="1" customHeight="1">
      <c r="A422" s="54" t="s">
        <v>658</v>
      </c>
      <c r="B422" s="56" t="s">
        <v>697</v>
      </c>
      <c r="C422" s="56" t="s">
        <v>640</v>
      </c>
      <c r="D422" s="56" t="s">
        <v>660</v>
      </c>
      <c r="E422" s="56" t="s">
        <v>661</v>
      </c>
      <c r="F422" s="57" t="s">
        <v>34</v>
      </c>
      <c r="G422" s="61"/>
      <c r="H422" s="79"/>
      <c r="I422" s="62"/>
      <c r="J422" s="53"/>
    </row>
    <row r="423" ht="24.75" hidden="1" customHeight="1">
      <c r="A423" s="54" t="s">
        <v>658</v>
      </c>
      <c r="B423" s="56" t="s">
        <v>697</v>
      </c>
      <c r="C423" s="56" t="s">
        <v>640</v>
      </c>
      <c r="D423" s="56" t="s">
        <v>660</v>
      </c>
      <c r="E423" s="56" t="s">
        <v>662</v>
      </c>
      <c r="F423" s="57" t="s">
        <v>34</v>
      </c>
      <c r="G423" s="61"/>
      <c r="H423" s="79"/>
      <c r="I423" s="62"/>
      <c r="J423" s="53"/>
    </row>
    <row r="424" ht="24.75" hidden="1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663</v>
      </c>
      <c r="F424" s="57" t="s">
        <v>34</v>
      </c>
      <c r="G424" s="61"/>
      <c r="H424" s="79"/>
      <c r="I424" s="62"/>
      <c r="J424" s="53"/>
    </row>
    <row r="425" ht="24.75" hidden="1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664</v>
      </c>
      <c r="F425" s="57" t="s">
        <v>34</v>
      </c>
      <c r="G425" s="61"/>
      <c r="H425" s="79"/>
      <c r="I425" s="62"/>
      <c r="J425" s="53"/>
    </row>
    <row r="426" ht="24.75" hidden="1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665</v>
      </c>
      <c r="F426" s="57" t="s">
        <v>34</v>
      </c>
      <c r="G426" s="61"/>
      <c r="H426" s="79"/>
      <c r="I426" s="62"/>
      <c r="J426" s="53"/>
    </row>
    <row r="427" ht="24.75" hidden="1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614</v>
      </c>
      <c r="F427" s="57" t="s">
        <v>34</v>
      </c>
      <c r="G427" s="61"/>
      <c r="H427" s="79"/>
      <c r="I427" s="62"/>
      <c r="J427" s="53"/>
    </row>
    <row r="428" ht="24.75" hidden="1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666</v>
      </c>
      <c r="F428" s="57" t="s">
        <v>34</v>
      </c>
      <c r="G428" s="61"/>
      <c r="H428" s="79"/>
      <c r="I428" s="62"/>
      <c r="J428" s="53"/>
    </row>
    <row r="429" ht="24.75" hidden="1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667</v>
      </c>
      <c r="F429" s="57" t="s">
        <v>34</v>
      </c>
      <c r="G429" s="61"/>
      <c r="H429" s="79"/>
      <c r="I429" s="62"/>
      <c r="J429" s="53"/>
    </row>
    <row r="430" ht="24.75" hidden="1" customHeight="1">
      <c r="A430" s="54" t="s">
        <v>658</v>
      </c>
      <c r="B430" s="56" t="s">
        <v>697</v>
      </c>
      <c r="C430" s="56" t="s">
        <v>640</v>
      </c>
      <c r="D430" s="56" t="s">
        <v>660</v>
      </c>
      <c r="E430" s="56" t="s">
        <v>668</v>
      </c>
      <c r="F430" s="57" t="s">
        <v>154</v>
      </c>
      <c r="G430" s="61"/>
      <c r="H430" s="79"/>
      <c r="I430" s="62" t="s">
        <v>617</v>
      </c>
      <c r="J430" s="53"/>
    </row>
    <row r="431" ht="24.75" hidden="1" customHeight="1">
      <c r="A431" s="54" t="s">
        <v>658</v>
      </c>
      <c r="B431" s="56" t="s">
        <v>697</v>
      </c>
      <c r="C431" s="56" t="s">
        <v>640</v>
      </c>
      <c r="D431" s="56" t="s">
        <v>660</v>
      </c>
      <c r="E431" s="56" t="s">
        <v>669</v>
      </c>
      <c r="F431" s="57" t="s">
        <v>154</v>
      </c>
      <c r="G431" s="61"/>
      <c r="H431" s="79"/>
      <c r="I431" s="62" t="s">
        <v>617</v>
      </c>
      <c r="J431" s="53"/>
    </row>
    <row r="432" ht="24.75" hidden="1" customHeight="1">
      <c r="A432" s="54" t="s">
        <v>658</v>
      </c>
      <c r="B432" s="56" t="s">
        <v>697</v>
      </c>
      <c r="C432" s="56" t="s">
        <v>640</v>
      </c>
      <c r="D432" s="56" t="s">
        <v>660</v>
      </c>
      <c r="E432" s="56" t="s">
        <v>671</v>
      </c>
      <c r="F432" s="57" t="s">
        <v>154</v>
      </c>
      <c r="G432" s="61"/>
      <c r="H432" s="79"/>
      <c r="I432" s="62" t="s">
        <v>617</v>
      </c>
      <c r="J432" s="53"/>
    </row>
    <row r="433" ht="24.75" hidden="1" customHeight="1">
      <c r="A433" s="54" t="s">
        <v>658</v>
      </c>
      <c r="B433" s="56" t="s">
        <v>697</v>
      </c>
      <c r="C433" s="56" t="s">
        <v>640</v>
      </c>
      <c r="D433" s="56" t="s">
        <v>660</v>
      </c>
      <c r="E433" s="56" t="s">
        <v>672</v>
      </c>
      <c r="F433" s="57" t="s">
        <v>154</v>
      </c>
      <c r="G433" s="61"/>
      <c r="H433" s="79"/>
      <c r="I433" s="62" t="s">
        <v>617</v>
      </c>
      <c r="J433" s="53"/>
    </row>
    <row r="434" ht="24.75" hidden="1" customHeight="1">
      <c r="A434" s="54" t="s">
        <v>658</v>
      </c>
      <c r="B434" s="56" t="s">
        <v>697</v>
      </c>
      <c r="C434" s="56" t="s">
        <v>640</v>
      </c>
      <c r="D434" s="56" t="s">
        <v>660</v>
      </c>
      <c r="E434" s="56" t="s">
        <v>673</v>
      </c>
      <c r="F434" s="57" t="s">
        <v>154</v>
      </c>
      <c r="G434" s="61"/>
      <c r="H434" s="79"/>
      <c r="I434" s="62" t="s">
        <v>617</v>
      </c>
      <c r="J434" s="53"/>
    </row>
    <row r="435" ht="24.75" hidden="1" customHeight="1">
      <c r="A435" s="54" t="s">
        <v>658</v>
      </c>
      <c r="B435" s="56" t="s">
        <v>698</v>
      </c>
      <c r="C435" s="56" t="s">
        <v>640</v>
      </c>
      <c r="D435" s="56" t="s">
        <v>675</v>
      </c>
      <c r="E435" s="56" t="s">
        <v>676</v>
      </c>
      <c r="F435" s="57" t="s">
        <v>34</v>
      </c>
      <c r="G435" s="61"/>
      <c r="H435" s="79"/>
      <c r="I435" s="62"/>
      <c r="J435" s="53"/>
    </row>
    <row r="436" ht="24.75" hidden="1" customHeight="1">
      <c r="A436" s="54" t="s">
        <v>658</v>
      </c>
      <c r="B436" s="56" t="s">
        <v>699</v>
      </c>
      <c r="C436" s="56" t="s">
        <v>640</v>
      </c>
      <c r="D436" s="56" t="s">
        <v>678</v>
      </c>
      <c r="E436" s="56" t="s">
        <v>679</v>
      </c>
      <c r="F436" s="57" t="s">
        <v>34</v>
      </c>
      <c r="G436" s="61"/>
      <c r="H436" s="61" t="s">
        <v>197</v>
      </c>
      <c r="I436" s="62"/>
      <c r="J436" s="53"/>
    </row>
    <row r="437" ht="24.75" hidden="1" customHeight="1">
      <c r="A437" s="54" t="s">
        <v>658</v>
      </c>
      <c r="B437" s="56" t="s">
        <v>699</v>
      </c>
      <c r="C437" s="56" t="s">
        <v>640</v>
      </c>
      <c r="D437" s="56" t="s">
        <v>678</v>
      </c>
      <c r="E437" s="56" t="s">
        <v>680</v>
      </c>
      <c r="F437" s="57" t="s">
        <v>34</v>
      </c>
      <c r="G437" s="61"/>
      <c r="H437" s="79"/>
      <c r="I437" s="62"/>
      <c r="J437" s="53"/>
    </row>
    <row r="438" ht="24.75" hidden="1" customHeight="1">
      <c r="A438" s="54" t="s">
        <v>658</v>
      </c>
      <c r="B438" s="56" t="s">
        <v>699</v>
      </c>
      <c r="C438" s="56" t="s">
        <v>640</v>
      </c>
      <c r="D438" s="56" t="s">
        <v>678</v>
      </c>
      <c r="E438" s="56" t="s">
        <v>682</v>
      </c>
      <c r="F438" s="57" t="s">
        <v>34</v>
      </c>
      <c r="G438" s="61"/>
      <c r="H438" s="79"/>
      <c r="I438" s="62"/>
      <c r="J438" s="53"/>
    </row>
    <row r="439" ht="24.75" hidden="1" customHeight="1">
      <c r="A439" s="54" t="s">
        <v>658</v>
      </c>
      <c r="B439" s="56" t="s">
        <v>699</v>
      </c>
      <c r="C439" s="56" t="s">
        <v>640</v>
      </c>
      <c r="D439" s="56" t="s">
        <v>678</v>
      </c>
      <c r="E439" s="56" t="s">
        <v>683</v>
      </c>
      <c r="F439" s="57" t="s">
        <v>34</v>
      </c>
      <c r="G439" s="61"/>
      <c r="H439" s="79"/>
      <c r="I439" s="62"/>
      <c r="J439" s="53"/>
    </row>
    <row r="440" ht="24.75" hidden="1" customHeight="1">
      <c r="A440" s="54" t="s">
        <v>658</v>
      </c>
      <c r="B440" s="56" t="s">
        <v>699</v>
      </c>
      <c r="C440" s="56" t="s">
        <v>640</v>
      </c>
      <c r="D440" s="56" t="s">
        <v>678</v>
      </c>
      <c r="E440" s="56" t="s">
        <v>684</v>
      </c>
      <c r="F440" s="57" t="s">
        <v>250</v>
      </c>
      <c r="G440" s="61"/>
      <c r="H440" s="61" t="s">
        <v>686</v>
      </c>
      <c r="I440" s="62" t="s">
        <v>687</v>
      </c>
      <c r="J440" s="53"/>
    </row>
    <row r="441" ht="24.75" hidden="1" customHeight="1">
      <c r="A441" s="54" t="s">
        <v>658</v>
      </c>
      <c r="B441" s="56" t="s">
        <v>699</v>
      </c>
      <c r="C441" s="56" t="s">
        <v>640</v>
      </c>
      <c r="D441" s="56" t="s">
        <v>678</v>
      </c>
      <c r="E441" s="56" t="s">
        <v>695</v>
      </c>
      <c r="F441" s="57" t="s">
        <v>250</v>
      </c>
      <c r="G441" s="61"/>
      <c r="H441" s="61" t="s">
        <v>346</v>
      </c>
      <c r="I441" s="62" t="s">
        <v>696</v>
      </c>
      <c r="J441" s="53"/>
    </row>
    <row r="442" ht="24.75" hidden="1" customHeight="1">
      <c r="A442" s="54" t="s">
        <v>658</v>
      </c>
      <c r="B442" s="56" t="s">
        <v>699</v>
      </c>
      <c r="C442" s="56" t="s">
        <v>640</v>
      </c>
      <c r="D442" s="56" t="s">
        <v>678</v>
      </c>
      <c r="E442" s="56" t="s">
        <v>685</v>
      </c>
      <c r="F442" s="57" t="s">
        <v>250</v>
      </c>
      <c r="G442" s="61"/>
      <c r="H442" s="61" t="s">
        <v>200</v>
      </c>
      <c r="I442" s="62" t="s">
        <v>689</v>
      </c>
      <c r="J442" s="53"/>
    </row>
    <row r="443" ht="24.75" hidden="1" customHeight="1">
      <c r="A443" s="54" t="s">
        <v>658</v>
      </c>
      <c r="B443" s="56" t="s">
        <v>700</v>
      </c>
      <c r="C443" s="56" t="s">
        <v>645</v>
      </c>
      <c r="D443" s="56" t="s">
        <v>660</v>
      </c>
      <c r="E443" s="56" t="s">
        <v>661</v>
      </c>
      <c r="F443" s="57" t="s">
        <v>34</v>
      </c>
      <c r="G443" s="61"/>
      <c r="H443" s="79"/>
      <c r="I443" s="62"/>
      <c r="J443" s="53"/>
    </row>
    <row r="444" ht="24.75" hidden="1" customHeight="1">
      <c r="A444" s="54" t="s">
        <v>658</v>
      </c>
      <c r="B444" s="56" t="s">
        <v>700</v>
      </c>
      <c r="C444" s="56" t="s">
        <v>645</v>
      </c>
      <c r="D444" s="56" t="s">
        <v>660</v>
      </c>
      <c r="E444" s="56" t="s">
        <v>662</v>
      </c>
      <c r="F444" s="57" t="s">
        <v>34</v>
      </c>
      <c r="G444" s="61"/>
      <c r="H444" s="61"/>
      <c r="I444" s="62"/>
      <c r="J444" s="53"/>
    </row>
    <row r="445" ht="24.75" hidden="1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663</v>
      </c>
      <c r="F445" s="57" t="s">
        <v>34</v>
      </c>
      <c r="G445" s="61"/>
      <c r="H445" s="61"/>
      <c r="I445" s="62"/>
      <c r="J445" s="53"/>
    </row>
    <row r="446" ht="24.75" hidden="1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664</v>
      </c>
      <c r="F446" s="57" t="s">
        <v>34</v>
      </c>
      <c r="G446" s="61"/>
      <c r="H446" s="79"/>
      <c r="I446" s="62"/>
      <c r="J446" s="53"/>
    </row>
    <row r="447" ht="24.75" hidden="1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665</v>
      </c>
      <c r="F447" s="57" t="s">
        <v>34</v>
      </c>
      <c r="G447" s="61"/>
      <c r="H447" s="79"/>
      <c r="I447" s="62"/>
      <c r="J447" s="53"/>
    </row>
    <row r="448" ht="24.75" hidden="1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614</v>
      </c>
      <c r="F448" s="57" t="s">
        <v>34</v>
      </c>
      <c r="G448" s="61"/>
      <c r="H448" s="79"/>
      <c r="I448" s="62"/>
      <c r="J448" s="53"/>
    </row>
    <row r="449" ht="24.75" hidden="1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666</v>
      </c>
      <c r="F449" s="57" t="s">
        <v>34</v>
      </c>
      <c r="G449" s="61"/>
      <c r="H449" s="79"/>
      <c r="I449" s="62"/>
      <c r="J449" s="53"/>
    </row>
    <row r="450" ht="24.75" hidden="1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667</v>
      </c>
      <c r="F450" s="57" t="s">
        <v>34</v>
      </c>
      <c r="G450" s="61"/>
      <c r="H450" s="61"/>
      <c r="I450" s="62"/>
      <c r="J450" s="53"/>
    </row>
    <row r="451" ht="24.75" hidden="1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668</v>
      </c>
      <c r="F451" s="57" t="s">
        <v>154</v>
      </c>
      <c r="G451" s="61"/>
      <c r="H451" s="61"/>
      <c r="I451" s="62" t="s">
        <v>617</v>
      </c>
      <c r="J451" s="53"/>
    </row>
    <row r="452" ht="24.75" hidden="1" customHeight="1">
      <c r="A452" s="54" t="s">
        <v>658</v>
      </c>
      <c r="B452" s="56" t="s">
        <v>700</v>
      </c>
      <c r="C452" s="56" t="s">
        <v>645</v>
      </c>
      <c r="D452" s="56" t="s">
        <v>660</v>
      </c>
      <c r="E452" s="56" t="s">
        <v>669</v>
      </c>
      <c r="F452" s="57" t="s">
        <v>154</v>
      </c>
      <c r="G452" s="61"/>
      <c r="H452" s="61"/>
      <c r="I452" s="62" t="s">
        <v>617</v>
      </c>
      <c r="J452" s="53"/>
    </row>
    <row r="453" ht="24.75" hidden="1" customHeight="1">
      <c r="A453" s="54" t="s">
        <v>658</v>
      </c>
      <c r="B453" s="56" t="s">
        <v>700</v>
      </c>
      <c r="C453" s="56" t="s">
        <v>645</v>
      </c>
      <c r="D453" s="56" t="s">
        <v>660</v>
      </c>
      <c r="E453" s="56" t="s">
        <v>680</v>
      </c>
      <c r="F453" s="57" t="s">
        <v>154</v>
      </c>
      <c r="G453" s="61"/>
      <c r="H453" s="61"/>
      <c r="I453" s="62" t="s">
        <v>617</v>
      </c>
      <c r="J453" s="53"/>
    </row>
    <row r="454" ht="24.75" hidden="1" customHeight="1">
      <c r="A454" s="54" t="s">
        <v>658</v>
      </c>
      <c r="B454" s="56" t="s">
        <v>700</v>
      </c>
      <c r="C454" s="56" t="s">
        <v>645</v>
      </c>
      <c r="D454" s="56" t="s">
        <v>660</v>
      </c>
      <c r="E454" s="56" t="s">
        <v>671</v>
      </c>
      <c r="F454" s="57" t="s">
        <v>154</v>
      </c>
      <c r="G454" s="61"/>
      <c r="H454" s="79"/>
      <c r="I454" s="62" t="s">
        <v>617</v>
      </c>
      <c r="J454" s="53"/>
    </row>
    <row r="455" ht="24.75" hidden="1" customHeight="1">
      <c r="A455" s="54" t="s">
        <v>658</v>
      </c>
      <c r="B455" s="56" t="s">
        <v>700</v>
      </c>
      <c r="C455" s="56" t="s">
        <v>645</v>
      </c>
      <c r="D455" s="56" t="s">
        <v>660</v>
      </c>
      <c r="E455" s="56" t="s">
        <v>672</v>
      </c>
      <c r="F455" s="57" t="s">
        <v>154</v>
      </c>
      <c r="G455" s="61"/>
      <c r="H455" s="79"/>
      <c r="I455" s="62" t="s">
        <v>617</v>
      </c>
      <c r="J455" s="53"/>
    </row>
    <row r="456" ht="24.75" hidden="1" customHeight="1">
      <c r="A456" s="54" t="s">
        <v>658</v>
      </c>
      <c r="B456" s="56" t="s">
        <v>700</v>
      </c>
      <c r="C456" s="56" t="s">
        <v>645</v>
      </c>
      <c r="D456" s="56" t="s">
        <v>660</v>
      </c>
      <c r="E456" s="56" t="s">
        <v>673</v>
      </c>
      <c r="F456" s="57" t="s">
        <v>154</v>
      </c>
      <c r="G456" s="61"/>
      <c r="H456" s="79"/>
      <c r="I456" s="62" t="s">
        <v>617</v>
      </c>
      <c r="J456" s="53"/>
    </row>
    <row r="457" ht="24.75" hidden="1" customHeight="1">
      <c r="A457" s="54" t="s">
        <v>658</v>
      </c>
      <c r="B457" s="56" t="s">
        <v>703</v>
      </c>
      <c r="C457" s="56" t="s">
        <v>645</v>
      </c>
      <c r="D457" s="56" t="s">
        <v>675</v>
      </c>
      <c r="E457" s="56" t="s">
        <v>676</v>
      </c>
      <c r="F457" s="57" t="s">
        <v>34</v>
      </c>
      <c r="G457" s="61"/>
      <c r="H457" s="79"/>
      <c r="I457" s="62"/>
      <c r="J457" s="53"/>
    </row>
    <row r="458" ht="24.75" hidden="1" customHeight="1">
      <c r="A458" s="54" t="s">
        <v>658</v>
      </c>
      <c r="B458" s="56" t="s">
        <v>704</v>
      </c>
      <c r="C458" s="56" t="s">
        <v>645</v>
      </c>
      <c r="D458" s="56" t="s">
        <v>678</v>
      </c>
      <c r="E458" s="56" t="s">
        <v>679</v>
      </c>
      <c r="F458" s="57" t="s">
        <v>34</v>
      </c>
      <c r="G458" s="61"/>
      <c r="H458" s="61" t="s">
        <v>197</v>
      </c>
      <c r="I458" s="62"/>
      <c r="J458" s="53"/>
    </row>
    <row r="459" ht="24.75" hidden="1" customHeight="1">
      <c r="A459" s="54" t="s">
        <v>658</v>
      </c>
      <c r="B459" s="56" t="s">
        <v>704</v>
      </c>
      <c r="C459" s="56" t="s">
        <v>645</v>
      </c>
      <c r="D459" s="56" t="s">
        <v>678</v>
      </c>
      <c r="E459" s="56" t="s">
        <v>680</v>
      </c>
      <c r="F459" s="57" t="s">
        <v>34</v>
      </c>
      <c r="G459" s="61"/>
      <c r="H459" s="79"/>
      <c r="I459" s="62"/>
      <c r="J459" s="53"/>
    </row>
    <row r="460" ht="24.75" hidden="1" customHeight="1">
      <c r="A460" s="54" t="s">
        <v>658</v>
      </c>
      <c r="B460" s="56" t="s">
        <v>704</v>
      </c>
      <c r="C460" s="56" t="s">
        <v>645</v>
      </c>
      <c r="D460" s="56" t="s">
        <v>678</v>
      </c>
      <c r="E460" s="56" t="s">
        <v>682</v>
      </c>
      <c r="F460" s="57" t="s">
        <v>34</v>
      </c>
      <c r="G460" s="61"/>
      <c r="H460" s="79"/>
      <c r="I460" s="62"/>
      <c r="J460" s="53"/>
    </row>
    <row r="461" ht="24.75" hidden="1" customHeight="1">
      <c r="A461" s="54" t="s">
        <v>658</v>
      </c>
      <c r="B461" s="56" t="s">
        <v>704</v>
      </c>
      <c r="C461" s="56" t="s">
        <v>645</v>
      </c>
      <c r="D461" s="56" t="s">
        <v>678</v>
      </c>
      <c r="E461" s="56" t="s">
        <v>683</v>
      </c>
      <c r="F461" s="57" t="s">
        <v>34</v>
      </c>
      <c r="G461" s="61"/>
      <c r="H461" s="79"/>
      <c r="I461" s="62"/>
      <c r="J461" s="53"/>
    </row>
    <row r="462" ht="24.75" hidden="1" customHeight="1">
      <c r="A462" s="54" t="s">
        <v>658</v>
      </c>
      <c r="B462" s="56" t="s">
        <v>704</v>
      </c>
      <c r="C462" s="56" t="s">
        <v>645</v>
      </c>
      <c r="D462" s="56" t="s">
        <v>678</v>
      </c>
      <c r="E462" s="56" t="s">
        <v>684</v>
      </c>
      <c r="F462" s="57" t="s">
        <v>250</v>
      </c>
      <c r="G462" s="61"/>
      <c r="H462" s="61" t="s">
        <v>686</v>
      </c>
      <c r="I462" s="62" t="s">
        <v>687</v>
      </c>
      <c r="J462" s="53"/>
    </row>
    <row r="463" ht="24.75" hidden="1" customHeight="1">
      <c r="A463" s="54" t="s">
        <v>658</v>
      </c>
      <c r="B463" s="56" t="s">
        <v>704</v>
      </c>
      <c r="C463" s="56" t="s">
        <v>645</v>
      </c>
      <c r="D463" s="56" t="s">
        <v>678</v>
      </c>
      <c r="E463" s="56" t="s">
        <v>695</v>
      </c>
      <c r="F463" s="57" t="s">
        <v>250</v>
      </c>
      <c r="G463" s="61"/>
      <c r="H463" s="61" t="s">
        <v>346</v>
      </c>
      <c r="I463" s="62" t="s">
        <v>696</v>
      </c>
      <c r="J463" s="53"/>
    </row>
    <row r="464" ht="24.75" hidden="1" customHeight="1">
      <c r="A464" s="54" t="s">
        <v>658</v>
      </c>
      <c r="B464" s="56" t="s">
        <v>704</v>
      </c>
      <c r="C464" s="56" t="s">
        <v>645</v>
      </c>
      <c r="D464" s="56" t="s">
        <v>678</v>
      </c>
      <c r="E464" s="56" t="s">
        <v>685</v>
      </c>
      <c r="F464" s="57" t="s">
        <v>250</v>
      </c>
      <c r="G464" s="61"/>
      <c r="H464" s="61" t="s">
        <v>200</v>
      </c>
      <c r="I464" s="62" t="s">
        <v>689</v>
      </c>
      <c r="J464" s="53"/>
    </row>
    <row r="465" ht="24.75" hidden="1" customHeight="1">
      <c r="A465" s="54" t="s">
        <v>658</v>
      </c>
      <c r="B465" s="56" t="s">
        <v>705</v>
      </c>
      <c r="C465" s="56" t="s">
        <v>606</v>
      </c>
      <c r="D465" s="56" t="s">
        <v>660</v>
      </c>
      <c r="E465" s="56" t="s">
        <v>661</v>
      </c>
      <c r="F465" s="57" t="s">
        <v>34</v>
      </c>
      <c r="G465" s="61"/>
      <c r="H465" s="79"/>
      <c r="I465" s="62"/>
      <c r="J465" s="53"/>
    </row>
    <row r="466" ht="24.75" hidden="1" customHeight="1">
      <c r="A466" s="54" t="s">
        <v>658</v>
      </c>
      <c r="B466" s="56" t="s">
        <v>705</v>
      </c>
      <c r="C466" s="56" t="s">
        <v>606</v>
      </c>
      <c r="D466" s="56" t="s">
        <v>660</v>
      </c>
      <c r="E466" s="56" t="s">
        <v>662</v>
      </c>
      <c r="F466" s="57" t="s">
        <v>34</v>
      </c>
      <c r="G466" s="61"/>
      <c r="H466" s="61"/>
      <c r="I466" s="62"/>
      <c r="J466" s="53"/>
    </row>
    <row r="467" ht="24.75" hidden="1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663</v>
      </c>
      <c r="F467" s="57" t="s">
        <v>34</v>
      </c>
      <c r="G467" s="61"/>
      <c r="H467" s="61"/>
      <c r="I467" s="62"/>
      <c r="J467" s="53"/>
    </row>
    <row r="468" ht="24.75" hidden="1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664</v>
      </c>
      <c r="F468" s="57" t="s">
        <v>34</v>
      </c>
      <c r="G468" s="61"/>
      <c r="H468" s="79"/>
      <c r="I468" s="62"/>
      <c r="J468" s="53"/>
    </row>
    <row r="469" ht="24.75" hidden="1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665</v>
      </c>
      <c r="F469" s="57" t="s">
        <v>34</v>
      </c>
      <c r="G469" s="61"/>
      <c r="H469" s="79"/>
      <c r="I469" s="103"/>
      <c r="J469" s="53"/>
    </row>
    <row r="470" ht="24.75" hidden="1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614</v>
      </c>
      <c r="F470" s="57" t="s">
        <v>34</v>
      </c>
      <c r="G470" s="61"/>
      <c r="H470" s="79"/>
      <c r="I470" s="62"/>
      <c r="J470" s="53"/>
    </row>
    <row r="471" ht="24.75" hidden="1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666</v>
      </c>
      <c r="F471" s="57" t="s">
        <v>34</v>
      </c>
      <c r="G471" s="61"/>
      <c r="H471" s="79"/>
      <c r="I471" s="62"/>
      <c r="J471" s="53"/>
    </row>
    <row r="472" ht="24.75" hidden="1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667</v>
      </c>
      <c r="F472" s="57" t="s">
        <v>34</v>
      </c>
      <c r="G472" s="61"/>
      <c r="H472" s="61"/>
      <c r="I472" s="62"/>
      <c r="J472" s="53"/>
    </row>
    <row r="473" ht="24.75" hidden="1" customHeight="1">
      <c r="A473" s="54" t="s">
        <v>658</v>
      </c>
      <c r="B473" s="56" t="s">
        <v>705</v>
      </c>
      <c r="C473" s="56" t="s">
        <v>606</v>
      </c>
      <c r="D473" s="56" t="s">
        <v>660</v>
      </c>
      <c r="E473" s="56" t="s">
        <v>668</v>
      </c>
      <c r="F473" s="57" t="s">
        <v>154</v>
      </c>
      <c r="G473" s="61"/>
      <c r="H473" s="61"/>
      <c r="I473" s="62" t="s">
        <v>617</v>
      </c>
      <c r="J473" s="53"/>
    </row>
    <row r="474" ht="24.75" hidden="1" customHeight="1">
      <c r="A474" s="54" t="s">
        <v>658</v>
      </c>
      <c r="B474" s="56" t="s">
        <v>705</v>
      </c>
      <c r="C474" s="56" t="s">
        <v>606</v>
      </c>
      <c r="D474" s="56" t="s">
        <v>660</v>
      </c>
      <c r="E474" s="56" t="s">
        <v>669</v>
      </c>
      <c r="F474" s="57" t="s">
        <v>154</v>
      </c>
      <c r="G474" s="61"/>
      <c r="H474" s="61"/>
      <c r="I474" s="62" t="s">
        <v>617</v>
      </c>
      <c r="J474" s="53"/>
    </row>
    <row r="475" ht="24.75" hidden="1" customHeight="1">
      <c r="A475" s="54" t="s">
        <v>658</v>
      </c>
      <c r="B475" s="56" t="s">
        <v>705</v>
      </c>
      <c r="C475" s="56" t="s">
        <v>606</v>
      </c>
      <c r="D475" s="56" t="s">
        <v>660</v>
      </c>
      <c r="E475" s="56" t="s">
        <v>671</v>
      </c>
      <c r="F475" s="57" t="s">
        <v>154</v>
      </c>
      <c r="G475" s="61"/>
      <c r="H475" s="61"/>
      <c r="I475" s="62" t="s">
        <v>617</v>
      </c>
      <c r="J475" s="53"/>
    </row>
    <row r="476" ht="24.75" hidden="1" customHeight="1">
      <c r="A476" s="54" t="s">
        <v>658</v>
      </c>
      <c r="B476" s="56" t="s">
        <v>705</v>
      </c>
      <c r="C476" s="56" t="s">
        <v>606</v>
      </c>
      <c r="D476" s="56" t="s">
        <v>660</v>
      </c>
      <c r="E476" s="56" t="s">
        <v>672</v>
      </c>
      <c r="F476" s="57" t="s">
        <v>154</v>
      </c>
      <c r="G476" s="61"/>
      <c r="H476" s="61"/>
      <c r="I476" s="62" t="s">
        <v>617</v>
      </c>
      <c r="J476" s="53"/>
    </row>
    <row r="477" ht="24.75" hidden="1" customHeight="1">
      <c r="A477" s="54" t="s">
        <v>658</v>
      </c>
      <c r="B477" s="56" t="s">
        <v>705</v>
      </c>
      <c r="C477" s="56" t="s">
        <v>606</v>
      </c>
      <c r="D477" s="56" t="s">
        <v>660</v>
      </c>
      <c r="E477" s="56" t="s">
        <v>673</v>
      </c>
      <c r="F477" s="57" t="s">
        <v>154</v>
      </c>
      <c r="G477" s="61"/>
      <c r="H477" s="79"/>
      <c r="I477" s="62" t="s">
        <v>617</v>
      </c>
      <c r="J477" s="53"/>
    </row>
    <row r="478" ht="24.75" hidden="1" customHeight="1">
      <c r="A478" s="54" t="s">
        <v>658</v>
      </c>
      <c r="B478" s="56" t="s">
        <v>714</v>
      </c>
      <c r="C478" s="56" t="s">
        <v>606</v>
      </c>
      <c r="D478" s="56" t="s">
        <v>675</v>
      </c>
      <c r="E478" s="56" t="s">
        <v>676</v>
      </c>
      <c r="F478" s="57" t="s">
        <v>34</v>
      </c>
      <c r="G478" s="61"/>
      <c r="H478" s="79"/>
      <c r="I478" s="62"/>
      <c r="J478" s="53"/>
    </row>
    <row r="479" ht="24.75" hidden="1" customHeight="1">
      <c r="A479" s="54" t="s">
        <v>658</v>
      </c>
      <c r="B479" s="56" t="s">
        <v>715</v>
      </c>
      <c r="C479" s="56" t="s">
        <v>606</v>
      </c>
      <c r="D479" s="56" t="s">
        <v>716</v>
      </c>
      <c r="E479" s="56" t="s">
        <v>679</v>
      </c>
      <c r="F479" s="57" t="s">
        <v>34</v>
      </c>
      <c r="G479" s="61"/>
      <c r="H479" s="61" t="s">
        <v>197</v>
      </c>
      <c r="I479" s="62"/>
      <c r="J479" s="53"/>
    </row>
    <row r="480" ht="24.75" hidden="1" customHeight="1">
      <c r="A480" s="54" t="s">
        <v>658</v>
      </c>
      <c r="B480" s="56" t="s">
        <v>715</v>
      </c>
      <c r="C480" s="56" t="s">
        <v>606</v>
      </c>
      <c r="D480" s="56" t="s">
        <v>678</v>
      </c>
      <c r="E480" s="56" t="s">
        <v>680</v>
      </c>
      <c r="F480" s="57" t="s">
        <v>34</v>
      </c>
      <c r="G480" s="61"/>
      <c r="H480" s="79"/>
      <c r="I480" s="62"/>
      <c r="J480" s="53"/>
    </row>
    <row r="481" ht="24.75" hidden="1" customHeight="1">
      <c r="A481" s="54" t="s">
        <v>658</v>
      </c>
      <c r="B481" s="56" t="s">
        <v>715</v>
      </c>
      <c r="C481" s="56" t="s">
        <v>606</v>
      </c>
      <c r="D481" s="56" t="s">
        <v>716</v>
      </c>
      <c r="E481" s="56" t="s">
        <v>682</v>
      </c>
      <c r="F481" s="57" t="s">
        <v>34</v>
      </c>
      <c r="G481" s="61"/>
      <c r="H481" s="79"/>
      <c r="I481" s="62"/>
      <c r="J481" s="53"/>
    </row>
    <row r="482" ht="24.75" hidden="1" customHeight="1">
      <c r="A482" s="54" t="s">
        <v>658</v>
      </c>
      <c r="B482" s="56" t="s">
        <v>715</v>
      </c>
      <c r="C482" s="56" t="s">
        <v>606</v>
      </c>
      <c r="D482" s="56" t="s">
        <v>716</v>
      </c>
      <c r="E482" s="56" t="s">
        <v>683</v>
      </c>
      <c r="F482" s="57" t="s">
        <v>34</v>
      </c>
      <c r="G482" s="61"/>
      <c r="H482" s="79"/>
      <c r="I482" s="62"/>
      <c r="J482" s="53"/>
    </row>
    <row r="483" ht="24.75" hidden="1" customHeight="1">
      <c r="A483" s="54" t="s">
        <v>658</v>
      </c>
      <c r="B483" s="56" t="s">
        <v>715</v>
      </c>
      <c r="C483" s="56" t="s">
        <v>606</v>
      </c>
      <c r="D483" s="56" t="s">
        <v>716</v>
      </c>
      <c r="E483" s="56" t="s">
        <v>684</v>
      </c>
      <c r="F483" s="57" t="s">
        <v>250</v>
      </c>
      <c r="G483" s="61"/>
      <c r="H483" s="61" t="s">
        <v>686</v>
      </c>
      <c r="I483" s="62" t="s">
        <v>687</v>
      </c>
      <c r="J483" s="53"/>
    </row>
    <row r="484" ht="24.75" hidden="1" customHeight="1">
      <c r="A484" s="54" t="s">
        <v>658</v>
      </c>
      <c r="B484" s="56" t="s">
        <v>715</v>
      </c>
      <c r="C484" s="56" t="s">
        <v>606</v>
      </c>
      <c r="D484" s="56" t="s">
        <v>716</v>
      </c>
      <c r="E484" s="56" t="s">
        <v>695</v>
      </c>
      <c r="F484" s="57" t="s">
        <v>250</v>
      </c>
      <c r="G484" s="61"/>
      <c r="H484" s="61" t="s">
        <v>346</v>
      </c>
      <c r="I484" s="62" t="s">
        <v>696</v>
      </c>
      <c r="J484" s="53"/>
    </row>
    <row r="485" ht="24.75" hidden="1" customHeight="1">
      <c r="A485" s="54" t="s">
        <v>658</v>
      </c>
      <c r="B485" s="56" t="s">
        <v>715</v>
      </c>
      <c r="C485" s="56" t="s">
        <v>606</v>
      </c>
      <c r="D485" s="56" t="s">
        <v>716</v>
      </c>
      <c r="E485" s="56" t="s">
        <v>685</v>
      </c>
      <c r="F485" s="57" t="s">
        <v>250</v>
      </c>
      <c r="G485" s="61"/>
      <c r="H485" s="61" t="s">
        <v>200</v>
      </c>
      <c r="I485" s="62" t="s">
        <v>689</v>
      </c>
      <c r="J485" s="53"/>
    </row>
    <row r="486" ht="24.75" hidden="1" customHeight="1">
      <c r="A486" s="54" t="s">
        <v>658</v>
      </c>
      <c r="B486" s="56" t="s">
        <v>717</v>
      </c>
      <c r="C486" s="56" t="s">
        <v>718</v>
      </c>
      <c r="D486" s="56" t="s">
        <v>719</v>
      </c>
      <c r="E486" s="56" t="s">
        <v>239</v>
      </c>
      <c r="F486" s="57" t="s">
        <v>154</v>
      </c>
      <c r="G486" s="61"/>
      <c r="H486" s="79"/>
      <c r="I486" s="62" t="s">
        <v>207</v>
      </c>
      <c r="J486" s="53"/>
    </row>
    <row r="487" ht="24.75" hidden="1" customHeight="1">
      <c r="A487" s="54" t="s">
        <v>658</v>
      </c>
      <c r="B487" s="56" t="s">
        <v>720</v>
      </c>
      <c r="C487" s="56" t="s">
        <v>718</v>
      </c>
      <c r="D487" s="56" t="s">
        <v>721</v>
      </c>
      <c r="E487" s="56" t="s">
        <v>722</v>
      </c>
      <c r="F487" s="57" t="s">
        <v>154</v>
      </c>
      <c r="G487" s="61"/>
      <c r="H487" s="79"/>
      <c r="I487" s="62"/>
      <c r="J487" s="53"/>
    </row>
    <row r="488" ht="24.75" hidden="1" customHeight="1">
      <c r="A488" s="54" t="s">
        <v>658</v>
      </c>
      <c r="B488" s="56" t="s">
        <v>720</v>
      </c>
      <c r="C488" s="56" t="s">
        <v>718</v>
      </c>
      <c r="D488" s="56" t="s">
        <v>721</v>
      </c>
      <c r="E488" s="56" t="s">
        <v>723</v>
      </c>
      <c r="F488" s="57" t="s">
        <v>154</v>
      </c>
      <c r="G488" s="61"/>
      <c r="H488" s="79"/>
      <c r="I488" s="62"/>
      <c r="J488" s="53"/>
    </row>
    <row r="489" ht="24.75" hidden="1" customHeight="1">
      <c r="A489" s="54" t="s">
        <v>658</v>
      </c>
      <c r="B489" s="56" t="s">
        <v>724</v>
      </c>
      <c r="C489" s="56" t="s">
        <v>718</v>
      </c>
      <c r="D489" s="56" t="s">
        <v>725</v>
      </c>
      <c r="E489" s="56" t="s">
        <v>239</v>
      </c>
      <c r="F489" s="57" t="s">
        <v>154</v>
      </c>
      <c r="G489" s="61"/>
      <c r="H489" s="79"/>
      <c r="I489" s="62" t="s">
        <v>207</v>
      </c>
      <c r="J489" s="53"/>
    </row>
    <row r="490" ht="24.75" hidden="1" customHeight="1">
      <c r="A490" s="54" t="s">
        <v>658</v>
      </c>
      <c r="B490" s="56" t="s">
        <v>720</v>
      </c>
      <c r="C490" s="56" t="s">
        <v>718</v>
      </c>
      <c r="D490" s="56" t="s">
        <v>728</v>
      </c>
      <c r="E490" s="56" t="s">
        <v>722</v>
      </c>
      <c r="F490" s="57" t="s">
        <v>154</v>
      </c>
      <c r="G490" s="61"/>
      <c r="H490" s="79"/>
      <c r="I490" s="62"/>
      <c r="J490" s="53"/>
    </row>
    <row r="491" ht="24.75" hidden="1" customHeight="1">
      <c r="A491" s="54" t="s">
        <v>658</v>
      </c>
      <c r="B491" s="56" t="s">
        <v>720</v>
      </c>
      <c r="C491" s="56" t="s">
        <v>718</v>
      </c>
      <c r="D491" s="56" t="s">
        <v>728</v>
      </c>
      <c r="E491" s="56" t="s">
        <v>723</v>
      </c>
      <c r="F491" s="57" t="s">
        <v>154</v>
      </c>
      <c r="G491" s="61"/>
      <c r="H491" s="79"/>
      <c r="I491" s="62"/>
      <c r="J491" s="53"/>
    </row>
    <row r="492" ht="24.75" hidden="1" customHeight="1">
      <c r="A492" s="54" t="s">
        <v>729</v>
      </c>
      <c r="B492" s="56" t="s">
        <v>730</v>
      </c>
      <c r="C492" s="56" t="s">
        <v>731</v>
      </c>
      <c r="D492" s="56" t="s">
        <v>732</v>
      </c>
      <c r="E492" s="56" t="s">
        <v>167</v>
      </c>
      <c r="F492" s="57" t="s">
        <v>154</v>
      </c>
      <c r="G492" s="61"/>
      <c r="H492" s="61"/>
      <c r="I492" s="62"/>
      <c r="J492" s="53"/>
    </row>
    <row r="493" ht="24.75" hidden="1" customHeight="1">
      <c r="A493" s="54" t="s">
        <v>729</v>
      </c>
      <c r="B493" s="56" t="s">
        <v>730</v>
      </c>
      <c r="C493" s="56" t="s">
        <v>731</v>
      </c>
      <c r="D493" s="56" t="s">
        <v>732</v>
      </c>
      <c r="E493" s="56" t="s">
        <v>733</v>
      </c>
      <c r="F493" s="57" t="s">
        <v>154</v>
      </c>
      <c r="G493" s="61"/>
      <c r="H493" s="61"/>
      <c r="I493" s="62"/>
      <c r="J493" s="53"/>
    </row>
    <row r="494" ht="24.75" hidden="1" customHeight="1">
      <c r="A494" s="54" t="s">
        <v>729</v>
      </c>
      <c r="B494" s="56" t="s">
        <v>730</v>
      </c>
      <c r="C494" s="56" t="s">
        <v>731</v>
      </c>
      <c r="D494" s="56" t="s">
        <v>732</v>
      </c>
      <c r="E494" s="56" t="s">
        <v>176</v>
      </c>
      <c r="F494" s="57" t="s">
        <v>154</v>
      </c>
      <c r="G494" s="61"/>
      <c r="H494" s="61"/>
      <c r="I494" s="62"/>
      <c r="J494" s="53"/>
    </row>
    <row r="495" ht="24.75" hidden="1" customHeight="1">
      <c r="A495" s="54" t="s">
        <v>729</v>
      </c>
      <c r="B495" s="56" t="s">
        <v>734</v>
      </c>
      <c r="C495" s="56" t="s">
        <v>731</v>
      </c>
      <c r="D495" s="56" t="s">
        <v>735</v>
      </c>
      <c r="E495" s="56" t="s">
        <v>167</v>
      </c>
      <c r="F495" s="57" t="s">
        <v>154</v>
      </c>
      <c r="G495" s="61"/>
      <c r="H495" s="61"/>
      <c r="I495" s="62"/>
      <c r="J495" s="53"/>
    </row>
    <row r="496" ht="24.75" hidden="1" customHeight="1">
      <c r="A496" s="54" t="s">
        <v>729</v>
      </c>
      <c r="B496" s="56" t="s">
        <v>734</v>
      </c>
      <c r="C496" s="56" t="s">
        <v>731</v>
      </c>
      <c r="D496" s="56" t="s">
        <v>735</v>
      </c>
      <c r="E496" s="56" t="s">
        <v>733</v>
      </c>
      <c r="F496" s="57" t="s">
        <v>154</v>
      </c>
      <c r="G496" s="61"/>
      <c r="H496" s="61"/>
      <c r="I496" s="62"/>
      <c r="J496" s="53"/>
    </row>
    <row r="497" ht="24.75" hidden="1" customHeight="1">
      <c r="A497" s="54" t="s">
        <v>729</v>
      </c>
      <c r="B497" s="56" t="s">
        <v>734</v>
      </c>
      <c r="C497" s="56" t="s">
        <v>731</v>
      </c>
      <c r="D497" s="56" t="s">
        <v>735</v>
      </c>
      <c r="E497" s="56" t="s">
        <v>176</v>
      </c>
      <c r="F497" s="57" t="s">
        <v>154</v>
      </c>
      <c r="G497" s="61"/>
      <c r="H497" s="61"/>
      <c r="I497" s="62"/>
      <c r="J497" s="53"/>
    </row>
    <row r="498" ht="24.75" hidden="1" customHeight="1">
      <c r="A498" s="54" t="s">
        <v>729</v>
      </c>
      <c r="B498" s="56" t="s">
        <v>736</v>
      </c>
      <c r="C498" s="56" t="s">
        <v>731</v>
      </c>
      <c r="D498" s="56" t="s">
        <v>737</v>
      </c>
      <c r="E498" s="56" t="s">
        <v>167</v>
      </c>
      <c r="F498" s="57" t="s">
        <v>154</v>
      </c>
      <c r="G498" s="61"/>
      <c r="H498" s="61"/>
      <c r="I498" s="62"/>
      <c r="J498" s="53"/>
    </row>
    <row r="499" ht="24.75" hidden="1" customHeight="1">
      <c r="A499" s="54" t="s">
        <v>729</v>
      </c>
      <c r="B499" s="56" t="s">
        <v>736</v>
      </c>
      <c r="C499" s="56" t="s">
        <v>731</v>
      </c>
      <c r="D499" s="56" t="s">
        <v>737</v>
      </c>
      <c r="E499" s="56" t="s">
        <v>733</v>
      </c>
      <c r="F499" s="57" t="s">
        <v>154</v>
      </c>
      <c r="G499" s="61"/>
      <c r="H499" s="61"/>
      <c r="I499" s="62"/>
      <c r="J499" s="53"/>
    </row>
    <row r="500" ht="24.75" hidden="1" customHeight="1">
      <c r="A500" s="54" t="s">
        <v>729</v>
      </c>
      <c r="B500" s="56" t="s">
        <v>736</v>
      </c>
      <c r="C500" s="56" t="s">
        <v>731</v>
      </c>
      <c r="D500" s="56" t="s">
        <v>737</v>
      </c>
      <c r="E500" s="56" t="s">
        <v>176</v>
      </c>
      <c r="F500" s="57" t="s">
        <v>154</v>
      </c>
      <c r="G500" s="61"/>
      <c r="H500" s="61"/>
      <c r="I500" s="62"/>
      <c r="J500" s="53"/>
    </row>
    <row r="501" ht="24.75" hidden="1" customHeight="1">
      <c r="A501" s="54" t="s">
        <v>729</v>
      </c>
      <c r="B501" s="56" t="s">
        <v>738</v>
      </c>
      <c r="C501" s="56" t="s">
        <v>731</v>
      </c>
      <c r="D501" s="56" t="s">
        <v>175</v>
      </c>
      <c r="E501" s="56" t="s">
        <v>163</v>
      </c>
      <c r="F501" s="57" t="s">
        <v>154</v>
      </c>
      <c r="G501" s="61"/>
      <c r="H501" s="61"/>
      <c r="I501" s="62"/>
      <c r="J501" s="53"/>
    </row>
    <row r="502" ht="24.75" hidden="1" customHeight="1">
      <c r="A502" s="54" t="s">
        <v>729</v>
      </c>
      <c r="B502" s="56" t="s">
        <v>738</v>
      </c>
      <c r="C502" s="56" t="s">
        <v>731</v>
      </c>
      <c r="D502" s="56" t="s">
        <v>175</v>
      </c>
      <c r="E502" s="56" t="s">
        <v>176</v>
      </c>
      <c r="F502" s="57" t="s">
        <v>154</v>
      </c>
      <c r="G502" s="61"/>
      <c r="H502" s="61"/>
      <c r="I502" s="62"/>
      <c r="J502" s="53"/>
    </row>
    <row r="503" ht="24.75" hidden="1" customHeight="1">
      <c r="A503" s="54" t="s">
        <v>729</v>
      </c>
      <c r="B503" s="56" t="s">
        <v>739</v>
      </c>
      <c r="C503" s="56" t="s">
        <v>731</v>
      </c>
      <c r="D503" s="56" t="s">
        <v>186</v>
      </c>
      <c r="E503" s="56" t="s">
        <v>163</v>
      </c>
      <c r="F503" s="57" t="s">
        <v>154</v>
      </c>
      <c r="G503" s="61"/>
      <c r="H503" s="61"/>
      <c r="I503" s="62"/>
      <c r="J503" s="53"/>
    </row>
    <row r="504" ht="24.75" hidden="1" customHeight="1">
      <c r="A504" s="54" t="s">
        <v>729</v>
      </c>
      <c r="B504" s="56" t="s">
        <v>739</v>
      </c>
      <c r="C504" s="56" t="s">
        <v>731</v>
      </c>
      <c r="D504" s="56" t="s">
        <v>186</v>
      </c>
      <c r="E504" s="56" t="s">
        <v>176</v>
      </c>
      <c r="F504" s="57" t="s">
        <v>154</v>
      </c>
      <c r="G504" s="61"/>
      <c r="H504" s="61"/>
      <c r="I504" s="62"/>
      <c r="J504" s="53"/>
    </row>
    <row r="505" ht="24.75" hidden="1" customHeight="1">
      <c r="A505" s="54" t="s">
        <v>729</v>
      </c>
      <c r="B505" s="56" t="s">
        <v>740</v>
      </c>
      <c r="C505" s="56" t="s">
        <v>731</v>
      </c>
      <c r="D505" s="56" t="s">
        <v>183</v>
      </c>
      <c r="E505" s="56" t="s">
        <v>163</v>
      </c>
      <c r="F505" s="57" t="s">
        <v>154</v>
      </c>
      <c r="G505" s="61"/>
      <c r="H505" s="61"/>
      <c r="I505" s="62"/>
      <c r="J505" s="53"/>
    </row>
    <row r="506" ht="24.75" hidden="1" customHeight="1">
      <c r="A506" s="54" t="s">
        <v>729</v>
      </c>
      <c r="B506" s="56" t="s">
        <v>740</v>
      </c>
      <c r="C506" s="56" t="s">
        <v>731</v>
      </c>
      <c r="D506" s="56" t="s">
        <v>183</v>
      </c>
      <c r="E506" s="56" t="s">
        <v>176</v>
      </c>
      <c r="F506" s="57" t="s">
        <v>154</v>
      </c>
      <c r="G506" s="61"/>
      <c r="H506" s="61"/>
      <c r="I506" s="62"/>
      <c r="J506" s="53"/>
    </row>
    <row r="507" ht="24.75" hidden="1" customHeight="1">
      <c r="A507" s="54" t="s">
        <v>741</v>
      </c>
      <c r="B507" s="56" t="s">
        <v>742</v>
      </c>
      <c r="C507" s="56" t="s">
        <v>405</v>
      </c>
      <c r="D507" s="56" t="s">
        <v>743</v>
      </c>
      <c r="E507" s="56" t="s">
        <v>409</v>
      </c>
      <c r="F507" s="57" t="s">
        <v>154</v>
      </c>
      <c r="G507" s="61"/>
      <c r="H507" s="61"/>
      <c r="I507" s="62"/>
      <c r="J507" s="53"/>
    </row>
    <row r="508" ht="24.75" hidden="1" customHeight="1">
      <c r="A508" s="54" t="s">
        <v>741</v>
      </c>
      <c r="B508" s="56" t="s">
        <v>744</v>
      </c>
      <c r="C508" s="56" t="s">
        <v>745</v>
      </c>
      <c r="D508" s="56" t="s">
        <v>746</v>
      </c>
      <c r="E508" s="56" t="s">
        <v>747</v>
      </c>
      <c r="F508" s="57" t="s">
        <v>34</v>
      </c>
      <c r="G508" s="61"/>
      <c r="H508" s="61"/>
      <c r="I508" s="62"/>
      <c r="J508" s="53"/>
    </row>
    <row r="509" ht="24.75" hidden="1" customHeight="1">
      <c r="A509" s="54" t="s">
        <v>741</v>
      </c>
      <c r="B509" s="56" t="s">
        <v>744</v>
      </c>
      <c r="C509" s="56" t="s">
        <v>745</v>
      </c>
      <c r="D509" s="56" t="s">
        <v>746</v>
      </c>
      <c r="E509" s="56" t="s">
        <v>748</v>
      </c>
      <c r="F509" s="57" t="s">
        <v>154</v>
      </c>
      <c r="G509" s="61"/>
      <c r="H509" s="61"/>
      <c r="I509" s="62"/>
      <c r="J509" s="53"/>
    </row>
    <row r="510" ht="24.75" hidden="1" customHeight="1">
      <c r="A510" s="54" t="s">
        <v>741</v>
      </c>
      <c r="B510" s="56" t="s">
        <v>749</v>
      </c>
      <c r="C510" s="56" t="s">
        <v>745</v>
      </c>
      <c r="D510" s="56" t="s">
        <v>750</v>
      </c>
      <c r="E510" s="56" t="s">
        <v>747</v>
      </c>
      <c r="F510" s="57" t="s">
        <v>34</v>
      </c>
      <c r="G510" s="61"/>
      <c r="H510" s="61"/>
      <c r="I510" s="62" t="s">
        <v>617</v>
      </c>
      <c r="J510" s="53"/>
    </row>
    <row r="511" ht="24.75" hidden="1" customHeight="1">
      <c r="A511" s="54" t="s">
        <v>741</v>
      </c>
      <c r="B511" s="56" t="s">
        <v>749</v>
      </c>
      <c r="C511" s="56" t="s">
        <v>745</v>
      </c>
      <c r="D511" s="56" t="s">
        <v>750</v>
      </c>
      <c r="E511" s="56" t="s">
        <v>748</v>
      </c>
      <c r="F511" s="57" t="s">
        <v>154</v>
      </c>
      <c r="G511" s="61"/>
      <c r="H511" s="61"/>
      <c r="I511" s="62" t="s">
        <v>617</v>
      </c>
      <c r="J511" s="53"/>
    </row>
    <row r="512" ht="24.75" hidden="1" customHeight="1">
      <c r="A512" s="54" t="s">
        <v>741</v>
      </c>
      <c r="B512" s="56" t="s">
        <v>751</v>
      </c>
      <c r="C512" s="56" t="s">
        <v>610</v>
      </c>
      <c r="D512" s="56" t="s">
        <v>752</v>
      </c>
      <c r="E512" s="56" t="s">
        <v>753</v>
      </c>
      <c r="F512" s="57" t="s">
        <v>154</v>
      </c>
      <c r="G512" s="61"/>
      <c r="H512" s="61"/>
      <c r="I512" s="62" t="s">
        <v>617</v>
      </c>
      <c r="J512" s="53"/>
    </row>
    <row r="513" ht="24.75" hidden="1" customHeight="1">
      <c r="A513" s="54" t="s">
        <v>741</v>
      </c>
      <c r="B513" s="56" t="s">
        <v>751</v>
      </c>
      <c r="C513" s="56" t="s">
        <v>610</v>
      </c>
      <c r="D513" s="56" t="s">
        <v>752</v>
      </c>
      <c r="E513" s="56" t="s">
        <v>754</v>
      </c>
      <c r="F513" s="57" t="s">
        <v>154</v>
      </c>
      <c r="G513" s="61"/>
      <c r="H513" s="61"/>
      <c r="I513" s="62" t="s">
        <v>617</v>
      </c>
      <c r="J513" s="53"/>
    </row>
    <row r="514" ht="24.75" hidden="1" customHeight="1">
      <c r="A514" s="54" t="s">
        <v>741</v>
      </c>
      <c r="B514" s="56" t="s">
        <v>751</v>
      </c>
      <c r="C514" s="56" t="s">
        <v>610</v>
      </c>
      <c r="D514" s="56" t="s">
        <v>752</v>
      </c>
      <c r="E514" s="56" t="s">
        <v>755</v>
      </c>
      <c r="F514" s="57" t="s">
        <v>154</v>
      </c>
      <c r="G514" s="61"/>
      <c r="H514" s="61"/>
      <c r="I514" s="62" t="s">
        <v>617</v>
      </c>
      <c r="J514" s="53"/>
    </row>
    <row r="515" ht="24.75" hidden="1" customHeight="1">
      <c r="A515" s="54" t="s">
        <v>741</v>
      </c>
      <c r="B515" s="56" t="s">
        <v>756</v>
      </c>
      <c r="C515" s="56" t="s">
        <v>624</v>
      </c>
      <c r="D515" s="56" t="s">
        <v>752</v>
      </c>
      <c r="E515" s="56" t="s">
        <v>753</v>
      </c>
      <c r="F515" s="57" t="s">
        <v>154</v>
      </c>
      <c r="G515" s="61"/>
      <c r="H515" s="61"/>
      <c r="I515" s="62" t="s">
        <v>617</v>
      </c>
      <c r="J515" s="53"/>
    </row>
    <row r="516" ht="24.75" hidden="1" customHeight="1">
      <c r="A516" s="54" t="s">
        <v>741</v>
      </c>
      <c r="B516" s="56" t="s">
        <v>756</v>
      </c>
      <c r="C516" s="56" t="s">
        <v>624</v>
      </c>
      <c r="D516" s="56" t="s">
        <v>752</v>
      </c>
      <c r="E516" s="56" t="s">
        <v>754</v>
      </c>
      <c r="F516" s="57" t="s">
        <v>154</v>
      </c>
      <c r="G516" s="61"/>
      <c r="H516" s="61"/>
      <c r="I516" s="62" t="s">
        <v>617</v>
      </c>
      <c r="J516" s="53"/>
    </row>
    <row r="517" ht="24.75" hidden="1" customHeight="1">
      <c r="A517" s="54" t="s">
        <v>741</v>
      </c>
      <c r="B517" s="56" t="s">
        <v>756</v>
      </c>
      <c r="C517" s="56" t="s">
        <v>624</v>
      </c>
      <c r="D517" s="56" t="s">
        <v>752</v>
      </c>
      <c r="E517" s="56" t="s">
        <v>755</v>
      </c>
      <c r="F517" s="57" t="s">
        <v>154</v>
      </c>
      <c r="G517" s="61"/>
      <c r="H517" s="61"/>
      <c r="I517" s="62" t="s">
        <v>617</v>
      </c>
      <c r="J517" s="53"/>
    </row>
    <row r="518" ht="24.75" hidden="1" customHeight="1">
      <c r="A518" s="54" t="s">
        <v>741</v>
      </c>
      <c r="B518" s="56" t="s">
        <v>757</v>
      </c>
      <c r="C518" s="56" t="s">
        <v>627</v>
      </c>
      <c r="D518" s="56" t="s">
        <v>752</v>
      </c>
      <c r="E518" s="56" t="s">
        <v>753</v>
      </c>
      <c r="F518" s="57" t="s">
        <v>250</v>
      </c>
      <c r="G518" s="61"/>
      <c r="H518" s="61"/>
      <c r="I518" s="60" t="s">
        <v>88</v>
      </c>
      <c r="J518" s="53"/>
    </row>
    <row r="519" ht="24.75" hidden="1" customHeight="1">
      <c r="A519" s="54" t="s">
        <v>741</v>
      </c>
      <c r="B519" s="56" t="s">
        <v>757</v>
      </c>
      <c r="C519" s="56" t="s">
        <v>627</v>
      </c>
      <c r="D519" s="56" t="s">
        <v>752</v>
      </c>
      <c r="E519" s="56" t="s">
        <v>754</v>
      </c>
      <c r="F519" s="57" t="s">
        <v>250</v>
      </c>
      <c r="G519" s="61"/>
      <c r="H519" s="61"/>
      <c r="I519" s="60" t="s">
        <v>88</v>
      </c>
      <c r="J519" s="53"/>
    </row>
    <row r="520" ht="24.75" hidden="1" customHeight="1">
      <c r="A520" s="54" t="s">
        <v>741</v>
      </c>
      <c r="B520" s="56" t="s">
        <v>757</v>
      </c>
      <c r="C520" s="56" t="s">
        <v>627</v>
      </c>
      <c r="D520" s="56" t="s">
        <v>752</v>
      </c>
      <c r="E520" s="56" t="s">
        <v>755</v>
      </c>
      <c r="F520" s="57" t="s">
        <v>250</v>
      </c>
      <c r="G520" s="61"/>
      <c r="H520" s="61"/>
      <c r="I520" s="60" t="s">
        <v>88</v>
      </c>
      <c r="J520" s="53"/>
    </row>
    <row r="521" ht="24.75" hidden="1" customHeight="1">
      <c r="A521" s="54" t="s">
        <v>741</v>
      </c>
      <c r="B521" s="56" t="s">
        <v>758</v>
      </c>
      <c r="C521" s="56" t="s">
        <v>640</v>
      </c>
      <c r="D521" s="56" t="s">
        <v>752</v>
      </c>
      <c r="E521" s="56" t="s">
        <v>753</v>
      </c>
      <c r="F521" s="57" t="s">
        <v>250</v>
      </c>
      <c r="G521" s="61"/>
      <c r="H521" s="61"/>
      <c r="I521" s="60" t="s">
        <v>88</v>
      </c>
      <c r="J521" s="53"/>
    </row>
    <row r="522" ht="24.75" hidden="1" customHeight="1">
      <c r="A522" s="54" t="s">
        <v>741</v>
      </c>
      <c r="B522" s="56" t="s">
        <v>758</v>
      </c>
      <c r="C522" s="56" t="s">
        <v>640</v>
      </c>
      <c r="D522" s="56" t="s">
        <v>752</v>
      </c>
      <c r="E522" s="56" t="s">
        <v>754</v>
      </c>
      <c r="F522" s="57" t="s">
        <v>250</v>
      </c>
      <c r="G522" s="61"/>
      <c r="H522" s="61"/>
      <c r="I522" s="60" t="s">
        <v>88</v>
      </c>
      <c r="J522" s="53"/>
    </row>
    <row r="523" ht="24.75" hidden="1" customHeight="1">
      <c r="A523" s="54" t="s">
        <v>741</v>
      </c>
      <c r="B523" s="56" t="s">
        <v>758</v>
      </c>
      <c r="C523" s="56" t="s">
        <v>640</v>
      </c>
      <c r="D523" s="56" t="s">
        <v>752</v>
      </c>
      <c r="E523" s="56" t="s">
        <v>755</v>
      </c>
      <c r="F523" s="57" t="s">
        <v>250</v>
      </c>
      <c r="G523" s="61"/>
      <c r="H523" s="61"/>
      <c r="I523" s="60" t="s">
        <v>88</v>
      </c>
      <c r="J523" s="53"/>
    </row>
    <row r="524" ht="24.75" hidden="1" customHeight="1">
      <c r="A524" s="54" t="s">
        <v>741</v>
      </c>
      <c r="B524" s="56" t="s">
        <v>759</v>
      </c>
      <c r="C524" s="56" t="s">
        <v>645</v>
      </c>
      <c r="D524" s="56" t="s">
        <v>752</v>
      </c>
      <c r="E524" s="56" t="s">
        <v>753</v>
      </c>
      <c r="F524" s="57" t="s">
        <v>250</v>
      </c>
      <c r="G524" s="61"/>
      <c r="H524" s="61"/>
      <c r="I524" s="60" t="s">
        <v>88</v>
      </c>
      <c r="J524" s="53"/>
    </row>
    <row r="525" ht="24.75" hidden="1" customHeight="1">
      <c r="A525" s="54" t="s">
        <v>741</v>
      </c>
      <c r="B525" s="56" t="s">
        <v>759</v>
      </c>
      <c r="C525" s="56" t="s">
        <v>645</v>
      </c>
      <c r="D525" s="56" t="s">
        <v>752</v>
      </c>
      <c r="E525" s="56" t="s">
        <v>754</v>
      </c>
      <c r="F525" s="57" t="s">
        <v>250</v>
      </c>
      <c r="G525" s="61"/>
      <c r="H525" s="61"/>
      <c r="I525" s="60" t="s">
        <v>88</v>
      </c>
      <c r="J525" s="53"/>
    </row>
    <row r="526" ht="24.75" hidden="1" customHeight="1">
      <c r="A526" s="54" t="s">
        <v>741</v>
      </c>
      <c r="B526" s="56" t="s">
        <v>759</v>
      </c>
      <c r="C526" s="56" t="s">
        <v>645</v>
      </c>
      <c r="D526" s="56" t="s">
        <v>752</v>
      </c>
      <c r="E526" s="56" t="s">
        <v>755</v>
      </c>
      <c r="F526" s="57" t="s">
        <v>250</v>
      </c>
      <c r="G526" s="61"/>
      <c r="H526" s="61"/>
      <c r="I526" s="60" t="s">
        <v>88</v>
      </c>
      <c r="J526" s="53"/>
    </row>
    <row r="527" ht="24.75" hidden="1" customHeight="1">
      <c r="A527" s="54" t="s">
        <v>741</v>
      </c>
      <c r="B527" s="56" t="s">
        <v>760</v>
      </c>
      <c r="C527" s="56" t="s">
        <v>606</v>
      </c>
      <c r="D527" s="56" t="s">
        <v>752</v>
      </c>
      <c r="E527" s="56" t="s">
        <v>753</v>
      </c>
      <c r="F527" s="57" t="s">
        <v>250</v>
      </c>
      <c r="G527" s="61"/>
      <c r="H527" s="61"/>
      <c r="I527" s="60" t="s">
        <v>88</v>
      </c>
      <c r="J527" s="53"/>
    </row>
    <row r="528" ht="24.75" hidden="1" customHeight="1">
      <c r="A528" s="54" t="s">
        <v>741</v>
      </c>
      <c r="B528" s="56" t="s">
        <v>760</v>
      </c>
      <c r="C528" s="56" t="s">
        <v>606</v>
      </c>
      <c r="D528" s="56" t="s">
        <v>752</v>
      </c>
      <c r="E528" s="56" t="s">
        <v>754</v>
      </c>
      <c r="F528" s="57" t="s">
        <v>250</v>
      </c>
      <c r="G528" s="61"/>
      <c r="H528" s="61"/>
      <c r="I528" s="60" t="s">
        <v>88</v>
      </c>
      <c r="J528" s="53"/>
    </row>
    <row r="529" ht="24.75" hidden="1" customHeight="1">
      <c r="A529" s="54" t="s">
        <v>741</v>
      </c>
      <c r="B529" s="56" t="s">
        <v>760</v>
      </c>
      <c r="C529" s="56" t="s">
        <v>606</v>
      </c>
      <c r="D529" s="56" t="s">
        <v>752</v>
      </c>
      <c r="E529" s="56" t="s">
        <v>755</v>
      </c>
      <c r="F529" s="57" t="s">
        <v>250</v>
      </c>
      <c r="G529" s="61"/>
      <c r="H529" s="61"/>
      <c r="I529" s="60" t="s">
        <v>88</v>
      </c>
      <c r="J529" s="53"/>
    </row>
    <row r="530" ht="24.75" hidden="1" customHeight="1">
      <c r="A530" s="54" t="s">
        <v>761</v>
      </c>
      <c r="B530" s="56" t="s">
        <v>762</v>
      </c>
      <c r="C530" s="56" t="s">
        <v>763</v>
      </c>
      <c r="D530" s="56" t="s">
        <v>764</v>
      </c>
      <c r="E530" s="56" t="s">
        <v>195</v>
      </c>
      <c r="F530" s="57" t="s">
        <v>34</v>
      </c>
      <c r="G530" s="61"/>
      <c r="H530" s="61" t="s">
        <v>197</v>
      </c>
      <c r="I530" s="62"/>
      <c r="J530" s="53"/>
    </row>
    <row r="531" ht="24.75" hidden="1" customHeight="1">
      <c r="A531" s="54" t="s">
        <v>761</v>
      </c>
      <c r="B531" s="56" t="s">
        <v>762</v>
      </c>
      <c r="C531" s="56" t="s">
        <v>763</v>
      </c>
      <c r="D531" s="56" t="s">
        <v>764</v>
      </c>
      <c r="E531" s="56" t="s">
        <v>196</v>
      </c>
      <c r="F531" s="57" t="s">
        <v>250</v>
      </c>
      <c r="G531" s="61"/>
      <c r="H531" s="61" t="s">
        <v>200</v>
      </c>
      <c r="I531" s="62" t="s">
        <v>201</v>
      </c>
      <c r="J531" s="53"/>
    </row>
    <row r="532" ht="24.75" customHeight="1">
      <c r="A532" s="54" t="s">
        <v>761</v>
      </c>
      <c r="B532" s="56" t="s">
        <v>762</v>
      </c>
      <c r="C532" s="56" t="s">
        <v>763</v>
      </c>
      <c r="D532" s="56" t="s">
        <v>764</v>
      </c>
      <c r="E532" s="56" t="s">
        <v>191</v>
      </c>
      <c r="F532" s="57" t="s">
        <v>192</v>
      </c>
      <c r="G532" s="61"/>
      <c r="H532" s="61"/>
      <c r="I532" s="62"/>
      <c r="J532" s="53"/>
    </row>
    <row r="533" ht="24.75" customHeight="1">
      <c r="A533" s="54" t="s">
        <v>761</v>
      </c>
      <c r="B533" s="56" t="s">
        <v>762</v>
      </c>
      <c r="C533" s="56" t="s">
        <v>763</v>
      </c>
      <c r="D533" s="56" t="s">
        <v>764</v>
      </c>
      <c r="E533" s="56" t="s">
        <v>194</v>
      </c>
      <c r="F533" s="57" t="s">
        <v>192</v>
      </c>
      <c r="G533" s="61"/>
      <c r="H533" s="61"/>
      <c r="I533" s="62"/>
      <c r="J533" s="53"/>
    </row>
    <row r="534" ht="24.75" hidden="1" customHeight="1">
      <c r="A534" s="54" t="s">
        <v>761</v>
      </c>
      <c r="B534" s="56" t="s">
        <v>765</v>
      </c>
      <c r="C534" s="56" t="s">
        <v>766</v>
      </c>
      <c r="D534" s="56" t="s">
        <v>767</v>
      </c>
      <c r="E534" s="56" t="s">
        <v>768</v>
      </c>
      <c r="F534" s="57" t="s">
        <v>250</v>
      </c>
      <c r="G534" s="61"/>
      <c r="H534" s="61" t="s">
        <v>769</v>
      </c>
      <c r="I534" s="62" t="s">
        <v>770</v>
      </c>
      <c r="J534" s="53"/>
    </row>
    <row r="535" ht="24.75" hidden="1" customHeight="1">
      <c r="A535" s="54" t="s">
        <v>761</v>
      </c>
      <c r="B535" s="56" t="s">
        <v>765</v>
      </c>
      <c r="C535" s="56" t="s">
        <v>766</v>
      </c>
      <c r="D535" s="56" t="s">
        <v>767</v>
      </c>
      <c r="E535" s="56" t="s">
        <v>771</v>
      </c>
      <c r="F535" s="57" t="s">
        <v>250</v>
      </c>
      <c r="G535" s="61"/>
      <c r="H535" s="61" t="s">
        <v>769</v>
      </c>
      <c r="I535" s="62" t="s">
        <v>772</v>
      </c>
      <c r="J535" s="53"/>
    </row>
    <row r="536" ht="24.75" hidden="1" customHeight="1">
      <c r="A536" s="54" t="s">
        <v>761</v>
      </c>
      <c r="B536" s="56" t="s">
        <v>765</v>
      </c>
      <c r="C536" s="56" t="s">
        <v>766</v>
      </c>
      <c r="D536" s="56" t="s">
        <v>767</v>
      </c>
      <c r="E536" s="56" t="s">
        <v>773</v>
      </c>
      <c r="F536" s="57" t="s">
        <v>154</v>
      </c>
      <c r="G536" s="61"/>
      <c r="H536" s="61"/>
      <c r="I536" s="62"/>
      <c r="J536" s="53"/>
    </row>
    <row r="537" ht="24.75" hidden="1" customHeight="1">
      <c r="A537" s="54" t="s">
        <v>761</v>
      </c>
      <c r="B537" s="56" t="s">
        <v>765</v>
      </c>
      <c r="C537" s="56" t="s">
        <v>766</v>
      </c>
      <c r="D537" s="56" t="s">
        <v>767</v>
      </c>
      <c r="E537" s="56" t="s">
        <v>774</v>
      </c>
      <c r="F537" s="57" t="s">
        <v>154</v>
      </c>
      <c r="G537" s="61"/>
      <c r="H537" s="61"/>
      <c r="I537" s="62"/>
      <c r="J537" s="53"/>
    </row>
    <row r="538" ht="24.75" hidden="1" customHeight="1">
      <c r="A538" s="54" t="s">
        <v>761</v>
      </c>
      <c r="B538" s="56" t="s">
        <v>765</v>
      </c>
      <c r="C538" s="56" t="s">
        <v>766</v>
      </c>
      <c r="D538" s="56" t="s">
        <v>767</v>
      </c>
      <c r="E538" s="56" t="s">
        <v>775</v>
      </c>
      <c r="F538" s="57" t="s">
        <v>154</v>
      </c>
      <c r="G538" s="61"/>
      <c r="H538" s="61"/>
      <c r="I538" s="62"/>
      <c r="J538" s="53"/>
    </row>
    <row r="539" ht="24.75" hidden="1" customHeight="1">
      <c r="A539" s="54" t="s">
        <v>761</v>
      </c>
      <c r="B539" s="56" t="s">
        <v>765</v>
      </c>
      <c r="C539" s="56" t="s">
        <v>766</v>
      </c>
      <c r="D539" s="56" t="s">
        <v>776</v>
      </c>
      <c r="E539" s="56" t="s">
        <v>777</v>
      </c>
      <c r="F539" s="57" t="s">
        <v>15</v>
      </c>
      <c r="G539" s="61"/>
      <c r="H539" s="61"/>
      <c r="I539" s="60"/>
      <c r="J539" s="53"/>
    </row>
    <row r="540" ht="24.75" hidden="1" customHeight="1">
      <c r="A540" s="54" t="s">
        <v>761</v>
      </c>
      <c r="B540" s="56" t="s">
        <v>765</v>
      </c>
      <c r="C540" s="56" t="s">
        <v>766</v>
      </c>
      <c r="D540" s="56" t="s">
        <v>776</v>
      </c>
      <c r="E540" s="56" t="s">
        <v>778</v>
      </c>
      <c r="F540" s="57" t="s">
        <v>15</v>
      </c>
      <c r="G540" s="61"/>
      <c r="H540" s="61"/>
      <c r="I540" s="60"/>
      <c r="J540" s="53"/>
    </row>
    <row r="541" ht="24.75" hidden="1" customHeight="1">
      <c r="A541" s="54" t="s">
        <v>761</v>
      </c>
      <c r="B541" s="56" t="s">
        <v>779</v>
      </c>
      <c r="C541" s="56" t="s">
        <v>780</v>
      </c>
      <c r="D541" s="56" t="s">
        <v>781</v>
      </c>
      <c r="E541" s="56" t="s">
        <v>232</v>
      </c>
      <c r="F541" s="57" t="s">
        <v>250</v>
      </c>
      <c r="G541" s="61"/>
      <c r="H541" s="61" t="s">
        <v>769</v>
      </c>
      <c r="I541" s="62" t="s">
        <v>782</v>
      </c>
      <c r="J541" s="83"/>
    </row>
    <row r="542" ht="24.75" hidden="1" customHeight="1">
      <c r="A542" s="54" t="s">
        <v>761</v>
      </c>
      <c r="B542" s="56" t="s">
        <v>779</v>
      </c>
      <c r="C542" s="56" t="s">
        <v>780</v>
      </c>
      <c r="D542" s="56" t="s">
        <v>781</v>
      </c>
      <c r="E542" s="56" t="s">
        <v>783</v>
      </c>
      <c r="F542" s="57" t="s">
        <v>154</v>
      </c>
      <c r="G542" s="61"/>
      <c r="H542" s="61"/>
      <c r="I542" s="62"/>
      <c r="J542" s="53"/>
    </row>
    <row r="543" ht="24.75" hidden="1" customHeight="1">
      <c r="A543" s="54" t="s">
        <v>761</v>
      </c>
      <c r="B543" s="56" t="s">
        <v>779</v>
      </c>
      <c r="C543" s="56" t="s">
        <v>780</v>
      </c>
      <c r="D543" s="56" t="s">
        <v>781</v>
      </c>
      <c r="E543" s="56" t="s">
        <v>230</v>
      </c>
      <c r="F543" s="57" t="s">
        <v>154</v>
      </c>
      <c r="G543" s="61"/>
      <c r="H543" s="61"/>
      <c r="I543" s="62"/>
      <c r="J543" s="83"/>
    </row>
    <row r="544" ht="24.75" hidden="1" customHeight="1">
      <c r="A544" s="54" t="s">
        <v>761</v>
      </c>
      <c r="B544" s="56" t="s">
        <v>784</v>
      </c>
      <c r="C544" s="56" t="s">
        <v>763</v>
      </c>
      <c r="D544" s="56" t="s">
        <v>785</v>
      </c>
      <c r="E544" s="56" t="s">
        <v>216</v>
      </c>
      <c r="F544" s="57" t="s">
        <v>34</v>
      </c>
      <c r="G544" s="61"/>
      <c r="H544" s="61"/>
      <c r="I544" s="62"/>
      <c r="J544" s="53"/>
    </row>
    <row r="545" ht="24.75" hidden="1" customHeight="1">
      <c r="A545" s="54" t="s">
        <v>761</v>
      </c>
      <c r="B545" s="56" t="s">
        <v>784</v>
      </c>
      <c r="C545" s="56" t="s">
        <v>763</v>
      </c>
      <c r="D545" s="56" t="s">
        <v>785</v>
      </c>
      <c r="E545" s="56" t="s">
        <v>786</v>
      </c>
      <c r="F545" s="57" t="s">
        <v>34</v>
      </c>
      <c r="G545" s="61"/>
      <c r="H545" s="61"/>
      <c r="I545" s="62"/>
      <c r="J545" s="53"/>
    </row>
    <row r="546" ht="24.75" hidden="1" customHeight="1">
      <c r="A546" s="54" t="s">
        <v>761</v>
      </c>
      <c r="B546" s="56" t="s">
        <v>784</v>
      </c>
      <c r="C546" s="56" t="s">
        <v>763</v>
      </c>
      <c r="D546" s="56" t="s">
        <v>787</v>
      </c>
      <c r="E546" s="56" t="s">
        <v>163</v>
      </c>
      <c r="F546" s="57" t="s">
        <v>34</v>
      </c>
      <c r="G546" s="61"/>
      <c r="H546" s="61"/>
      <c r="I546" s="62"/>
      <c r="J546" s="53"/>
    </row>
    <row r="547" ht="24.75" hidden="1" customHeight="1">
      <c r="A547" s="54" t="s">
        <v>761</v>
      </c>
      <c r="B547" s="56" t="s">
        <v>784</v>
      </c>
      <c r="C547" s="56" t="s">
        <v>763</v>
      </c>
      <c r="D547" s="56" t="s">
        <v>787</v>
      </c>
      <c r="E547" s="56" t="s">
        <v>788</v>
      </c>
      <c r="F547" s="57" t="s">
        <v>154</v>
      </c>
      <c r="G547" s="61"/>
      <c r="H547" s="61"/>
      <c r="I547" s="62"/>
      <c r="J547" s="53"/>
    </row>
    <row r="548" ht="24.75" hidden="1" customHeight="1">
      <c r="A548" s="54" t="s">
        <v>761</v>
      </c>
      <c r="B548" s="56" t="s">
        <v>784</v>
      </c>
      <c r="C548" s="56" t="s">
        <v>763</v>
      </c>
      <c r="D548" s="56" t="s">
        <v>787</v>
      </c>
      <c r="E548" s="56" t="s">
        <v>213</v>
      </c>
      <c r="F548" s="57"/>
      <c r="G548" s="50"/>
      <c r="H548" s="50"/>
      <c r="I548" s="84"/>
      <c r="J548" s="53"/>
    </row>
    <row r="549" ht="24.75" hidden="1" customHeight="1">
      <c r="A549" s="54" t="s">
        <v>761</v>
      </c>
      <c r="B549" s="56" t="s">
        <v>784</v>
      </c>
      <c r="C549" s="56" t="s">
        <v>763</v>
      </c>
      <c r="D549" s="56" t="s">
        <v>789</v>
      </c>
      <c r="E549" s="56" t="s">
        <v>790</v>
      </c>
      <c r="F549" s="57" t="s">
        <v>250</v>
      </c>
      <c r="G549" s="61"/>
      <c r="H549" s="61"/>
      <c r="I549" s="62"/>
      <c r="J549" s="53"/>
    </row>
    <row r="550" ht="24.75" hidden="1" customHeight="1">
      <c r="A550" s="54" t="s">
        <v>761</v>
      </c>
      <c r="B550" s="56" t="s">
        <v>791</v>
      </c>
      <c r="C550" s="56" t="s">
        <v>792</v>
      </c>
      <c r="D550" s="56" t="s">
        <v>793</v>
      </c>
      <c r="E550" s="56" t="s">
        <v>794</v>
      </c>
      <c r="F550" s="57" t="s">
        <v>154</v>
      </c>
      <c r="G550" s="61"/>
      <c r="H550" s="61"/>
      <c r="I550" s="62"/>
      <c r="J550" s="53"/>
    </row>
    <row r="551" ht="24.75" hidden="1" customHeight="1">
      <c r="A551" s="54" t="s">
        <v>761</v>
      </c>
      <c r="B551" s="56" t="s">
        <v>795</v>
      </c>
      <c r="C551" s="56" t="s">
        <v>792</v>
      </c>
      <c r="D551" s="56" t="s">
        <v>796</v>
      </c>
      <c r="E551" s="56" t="s">
        <v>797</v>
      </c>
      <c r="F551" s="57" t="s">
        <v>250</v>
      </c>
      <c r="G551" s="81"/>
      <c r="H551" s="61" t="s">
        <v>769</v>
      </c>
      <c r="I551" s="62" t="s">
        <v>800</v>
      </c>
      <c r="J551" s="53"/>
    </row>
    <row r="552" ht="24.75" hidden="1" customHeight="1">
      <c r="A552" s="54" t="s">
        <v>761</v>
      </c>
      <c r="B552" s="56" t="s">
        <v>798</v>
      </c>
      <c r="C552" s="56" t="s">
        <v>792</v>
      </c>
      <c r="D552" s="56" t="s">
        <v>799</v>
      </c>
      <c r="E552" s="56" t="s">
        <v>790</v>
      </c>
      <c r="F552" s="57" t="s">
        <v>250</v>
      </c>
      <c r="G552" s="61"/>
      <c r="H552" s="61" t="s">
        <v>769</v>
      </c>
      <c r="I552" s="62" t="s">
        <v>803</v>
      </c>
      <c r="J552" s="53"/>
    </row>
    <row r="553" ht="24.75" hidden="1" customHeight="1">
      <c r="A553" s="54" t="s">
        <v>761</v>
      </c>
      <c r="B553" s="56" t="s">
        <v>801</v>
      </c>
      <c r="C553" s="56" t="s">
        <v>792</v>
      </c>
      <c r="D553" s="56" t="s">
        <v>802</v>
      </c>
      <c r="E553" s="56" t="s">
        <v>790</v>
      </c>
      <c r="F553" s="57" t="s">
        <v>250</v>
      </c>
      <c r="G553" s="61"/>
      <c r="H553" s="61" t="s">
        <v>769</v>
      </c>
      <c r="I553" s="62" t="s">
        <v>806</v>
      </c>
      <c r="J553" s="53"/>
    </row>
    <row r="554" ht="24.75" hidden="1" customHeight="1">
      <c r="A554" s="54" t="s">
        <v>761</v>
      </c>
      <c r="B554" s="56" t="s">
        <v>804</v>
      </c>
      <c r="C554" s="56" t="s">
        <v>792</v>
      </c>
      <c r="D554" s="56" t="s">
        <v>805</v>
      </c>
      <c r="E554" s="56" t="s">
        <v>790</v>
      </c>
      <c r="F554" s="57" t="s">
        <v>250</v>
      </c>
      <c r="G554" s="61"/>
      <c r="H554" s="61" t="s">
        <v>769</v>
      </c>
      <c r="I554" s="62" t="s">
        <v>810</v>
      </c>
      <c r="J554" s="53"/>
    </row>
    <row r="555" ht="24.75" hidden="1" customHeight="1">
      <c r="A555" s="54" t="s">
        <v>761</v>
      </c>
      <c r="B555" s="56" t="s">
        <v>807</v>
      </c>
      <c r="C555" s="56" t="s">
        <v>792</v>
      </c>
      <c r="D555" s="56" t="s">
        <v>808</v>
      </c>
      <c r="E555" s="56" t="s">
        <v>790</v>
      </c>
      <c r="F555" s="57" t="s">
        <v>250</v>
      </c>
      <c r="G555" s="61"/>
      <c r="H555" s="61" t="s">
        <v>769</v>
      </c>
      <c r="I555" s="62" t="s">
        <v>806</v>
      </c>
      <c r="J555" s="53"/>
    </row>
    <row r="556" ht="24.75" hidden="1" customHeight="1">
      <c r="A556" s="54" t="s">
        <v>761</v>
      </c>
      <c r="B556" s="56" t="s">
        <v>807</v>
      </c>
      <c r="C556" s="56" t="s">
        <v>792</v>
      </c>
      <c r="D556" s="56" t="s">
        <v>809</v>
      </c>
      <c r="E556" s="56" t="s">
        <v>790</v>
      </c>
      <c r="F556" s="57" t="s">
        <v>250</v>
      </c>
      <c r="G556" s="61"/>
      <c r="H556" s="61" t="s">
        <v>769</v>
      </c>
      <c r="I556" s="62" t="s">
        <v>806</v>
      </c>
      <c r="J556" s="53"/>
    </row>
    <row r="557" ht="24.75" hidden="1" customHeight="1">
      <c r="A557" s="54" t="s">
        <v>761</v>
      </c>
      <c r="B557" s="56" t="s">
        <v>811</v>
      </c>
      <c r="C557" s="56" t="s">
        <v>792</v>
      </c>
      <c r="D557" s="56" t="s">
        <v>812</v>
      </c>
      <c r="E557" s="56" t="s">
        <v>790</v>
      </c>
      <c r="F557" s="57" t="s">
        <v>250</v>
      </c>
      <c r="G557" s="61"/>
      <c r="H557" s="61" t="s">
        <v>769</v>
      </c>
      <c r="I557" s="62" t="s">
        <v>806</v>
      </c>
      <c r="J557" s="53"/>
    </row>
    <row r="558" ht="24.75" hidden="1" customHeight="1">
      <c r="A558" s="54" t="s">
        <v>761</v>
      </c>
      <c r="B558" s="56" t="s">
        <v>813</v>
      </c>
      <c r="C558" s="56" t="s">
        <v>792</v>
      </c>
      <c r="D558" s="56" t="s">
        <v>814</v>
      </c>
      <c r="E558" s="56" t="s">
        <v>790</v>
      </c>
      <c r="F558" s="57" t="s">
        <v>250</v>
      </c>
      <c r="G558" s="61"/>
      <c r="H558" s="61" t="s">
        <v>769</v>
      </c>
      <c r="I558" s="62" t="s">
        <v>810</v>
      </c>
      <c r="J558" s="53"/>
    </row>
    <row r="559" ht="24.75" hidden="1" customHeight="1">
      <c r="A559" s="54" t="s">
        <v>761</v>
      </c>
      <c r="B559" s="56" t="s">
        <v>815</v>
      </c>
      <c r="C559" s="56" t="s">
        <v>792</v>
      </c>
      <c r="D559" s="56" t="s">
        <v>816</v>
      </c>
      <c r="E559" s="56" t="s">
        <v>790</v>
      </c>
      <c r="F559" s="57" t="s">
        <v>250</v>
      </c>
      <c r="G559" s="61"/>
      <c r="H559" s="61" t="s">
        <v>769</v>
      </c>
      <c r="I559" s="62" t="s">
        <v>806</v>
      </c>
      <c r="J559" s="53"/>
    </row>
    <row r="560" ht="24.75" hidden="1" customHeight="1">
      <c r="A560" s="54" t="s">
        <v>761</v>
      </c>
      <c r="B560" s="56" t="s">
        <v>815</v>
      </c>
      <c r="C560" s="104" t="s">
        <v>792</v>
      </c>
      <c r="D560" s="56" t="s">
        <v>816</v>
      </c>
      <c r="E560" s="56" t="s">
        <v>817</v>
      </c>
      <c r="F560" s="57" t="s">
        <v>250</v>
      </c>
      <c r="G560" s="61"/>
      <c r="H560" s="61" t="s">
        <v>769</v>
      </c>
      <c r="I560" s="62" t="s">
        <v>823</v>
      </c>
      <c r="J560" s="53"/>
    </row>
    <row r="561" ht="24.75" hidden="1" customHeight="1">
      <c r="A561" s="54" t="s">
        <v>761</v>
      </c>
      <c r="B561" s="56" t="s">
        <v>818</v>
      </c>
      <c r="C561" s="104" t="s">
        <v>792</v>
      </c>
      <c r="D561" s="56" t="s">
        <v>819</v>
      </c>
      <c r="E561" s="56" t="s">
        <v>790</v>
      </c>
      <c r="F561" s="57" t="s">
        <v>250</v>
      </c>
      <c r="G561" s="61"/>
      <c r="H561" s="61" t="s">
        <v>769</v>
      </c>
      <c r="I561" s="62" t="s">
        <v>806</v>
      </c>
      <c r="J561" s="53"/>
    </row>
    <row r="562" ht="24.75" hidden="1" customHeight="1">
      <c r="A562" s="54" t="s">
        <v>761</v>
      </c>
      <c r="B562" s="56" t="s">
        <v>818</v>
      </c>
      <c r="C562" s="104" t="s">
        <v>792</v>
      </c>
      <c r="D562" s="56" t="s">
        <v>820</v>
      </c>
      <c r="E562" s="56" t="s">
        <v>817</v>
      </c>
      <c r="F562" s="57" t="s">
        <v>250</v>
      </c>
      <c r="G562" s="61"/>
      <c r="H562" s="61" t="s">
        <v>769</v>
      </c>
      <c r="I562" s="62" t="s">
        <v>823</v>
      </c>
      <c r="J562" s="53"/>
    </row>
    <row r="563" ht="24.75" hidden="1" customHeight="1">
      <c r="A563" s="54" t="s">
        <v>761</v>
      </c>
      <c r="B563" s="56" t="s">
        <v>818</v>
      </c>
      <c r="C563" s="104" t="s">
        <v>792</v>
      </c>
      <c r="D563" s="56" t="s">
        <v>821</v>
      </c>
      <c r="E563" s="56" t="s">
        <v>817</v>
      </c>
      <c r="F563" s="57" t="s">
        <v>250</v>
      </c>
      <c r="G563" s="61"/>
      <c r="H563" s="61" t="s">
        <v>769</v>
      </c>
      <c r="I563" s="62" t="s">
        <v>823</v>
      </c>
      <c r="J563" s="53"/>
    </row>
    <row r="564" ht="24.75" hidden="1" customHeight="1">
      <c r="A564" s="54" t="s">
        <v>761</v>
      </c>
      <c r="B564" s="56" t="s">
        <v>818</v>
      </c>
      <c r="C564" s="104" t="s">
        <v>792</v>
      </c>
      <c r="D564" s="56" t="s">
        <v>822</v>
      </c>
      <c r="E564" s="56" t="s">
        <v>790</v>
      </c>
      <c r="F564" s="57" t="s">
        <v>250</v>
      </c>
      <c r="G564" s="61"/>
      <c r="H564" s="61" t="s">
        <v>769</v>
      </c>
      <c r="I564" s="62" t="s">
        <v>823</v>
      </c>
      <c r="J564" s="53"/>
    </row>
    <row r="565" ht="24.75" customHeight="1">
      <c r="A565" s="54" t="s">
        <v>761</v>
      </c>
      <c r="B565" s="56" t="s">
        <v>791</v>
      </c>
      <c r="C565" s="104" t="s">
        <v>792</v>
      </c>
      <c r="D565" s="56" t="s">
        <v>793</v>
      </c>
      <c r="E565" s="56" t="s">
        <v>824</v>
      </c>
      <c r="F565" s="57" t="s">
        <v>192</v>
      </c>
      <c r="G565" s="61"/>
      <c r="H565" s="61"/>
      <c r="I565" s="62"/>
      <c r="J565" s="53"/>
    </row>
    <row r="566" ht="24.75" hidden="1" customHeight="1">
      <c r="A566" s="54" t="s">
        <v>761</v>
      </c>
      <c r="B566" s="56" t="s">
        <v>825</v>
      </c>
      <c r="C566" s="56" t="s">
        <v>792</v>
      </c>
      <c r="D566" s="56" t="s">
        <v>826</v>
      </c>
      <c r="E566" s="56" t="s">
        <v>794</v>
      </c>
      <c r="F566" s="57" t="s">
        <v>154</v>
      </c>
      <c r="G566" s="61"/>
      <c r="H566" s="61"/>
      <c r="I566" s="62"/>
      <c r="J566" s="53"/>
    </row>
    <row r="567" ht="24.75" customHeight="1">
      <c r="A567" s="54" t="s">
        <v>761</v>
      </c>
      <c r="B567" s="56" t="s">
        <v>825</v>
      </c>
      <c r="C567" s="56" t="s">
        <v>792</v>
      </c>
      <c r="D567" s="56" t="s">
        <v>826</v>
      </c>
      <c r="E567" s="56" t="s">
        <v>824</v>
      </c>
      <c r="F567" s="57" t="s">
        <v>192</v>
      </c>
      <c r="G567" s="61"/>
      <c r="H567" s="61"/>
      <c r="I567" s="62"/>
      <c r="J567" s="53"/>
    </row>
    <row r="568" ht="24.75" hidden="1" customHeight="1">
      <c r="A568" s="54" t="s">
        <v>761</v>
      </c>
      <c r="B568" s="56" t="s">
        <v>827</v>
      </c>
      <c r="C568" s="56" t="s">
        <v>792</v>
      </c>
      <c r="D568" s="56" t="s">
        <v>828</v>
      </c>
      <c r="E568" s="56" t="s">
        <v>830</v>
      </c>
      <c r="F568" s="57" t="s">
        <v>154</v>
      </c>
      <c r="G568" s="61"/>
      <c r="H568" s="61"/>
      <c r="I568" s="62"/>
      <c r="J568" s="53"/>
    </row>
    <row r="569" ht="24.75" hidden="1" customHeight="1">
      <c r="A569" s="54" t="s">
        <v>831</v>
      </c>
      <c r="B569" s="56" t="s">
        <v>832</v>
      </c>
      <c r="C569" s="56" t="s">
        <v>833</v>
      </c>
      <c r="D569" s="56" t="s">
        <v>834</v>
      </c>
      <c r="E569" s="56" t="s">
        <v>111</v>
      </c>
      <c r="F569" s="57" t="s">
        <v>34</v>
      </c>
      <c r="G569" s="61"/>
      <c r="H569" s="61"/>
      <c r="I569" s="62"/>
      <c r="J569" s="53"/>
    </row>
    <row r="570" ht="24.75" hidden="1" customHeight="1">
      <c r="A570" s="54" t="s">
        <v>831</v>
      </c>
      <c r="B570" s="56" t="s">
        <v>832</v>
      </c>
      <c r="C570" s="56" t="s">
        <v>833</v>
      </c>
      <c r="D570" s="56" t="s">
        <v>834</v>
      </c>
      <c r="E570" s="56" t="s">
        <v>835</v>
      </c>
      <c r="F570" s="57" t="s">
        <v>34</v>
      </c>
      <c r="G570" s="61"/>
      <c r="H570" s="61"/>
      <c r="I570" s="62"/>
      <c r="J570" s="53"/>
    </row>
    <row r="571" ht="24.75" hidden="1" customHeight="1">
      <c r="A571" s="54" t="s">
        <v>831</v>
      </c>
      <c r="B571" s="56" t="s">
        <v>832</v>
      </c>
      <c r="C571" s="56" t="s">
        <v>833</v>
      </c>
      <c r="D571" s="56" t="s">
        <v>834</v>
      </c>
      <c r="E571" s="56" t="s">
        <v>836</v>
      </c>
      <c r="F571" s="57" t="s">
        <v>250</v>
      </c>
      <c r="G571" s="61"/>
      <c r="H571" s="61" t="s">
        <v>159</v>
      </c>
      <c r="I571" s="62" t="s">
        <v>160</v>
      </c>
      <c r="J571" s="53"/>
    </row>
    <row r="572" ht="24.75" hidden="1" customHeight="1">
      <c r="A572" s="54" t="s">
        <v>831</v>
      </c>
      <c r="B572" s="56" t="s">
        <v>837</v>
      </c>
      <c r="C572" s="56" t="s">
        <v>838</v>
      </c>
      <c r="D572" s="56" t="s">
        <v>839</v>
      </c>
      <c r="E572" s="56" t="s">
        <v>771</v>
      </c>
      <c r="F572" s="57" t="s">
        <v>250</v>
      </c>
      <c r="G572" s="61"/>
      <c r="H572" s="61" t="s">
        <v>159</v>
      </c>
      <c r="I572" s="62" t="s">
        <v>772</v>
      </c>
      <c r="J572" s="53"/>
    </row>
    <row r="573" ht="24.75" hidden="1" customHeight="1">
      <c r="A573" s="54" t="s">
        <v>831</v>
      </c>
      <c r="B573" s="56" t="s">
        <v>837</v>
      </c>
      <c r="C573" s="56" t="s">
        <v>838</v>
      </c>
      <c r="D573" s="56" t="s">
        <v>839</v>
      </c>
      <c r="E573" s="56" t="s">
        <v>768</v>
      </c>
      <c r="F573" s="57" t="s">
        <v>250</v>
      </c>
      <c r="G573" s="61"/>
      <c r="H573" s="61" t="s">
        <v>592</v>
      </c>
      <c r="I573" s="62" t="s">
        <v>770</v>
      </c>
      <c r="J573" s="53"/>
    </row>
    <row r="574" ht="24.75" hidden="1" customHeight="1">
      <c r="A574" s="54" t="s">
        <v>831</v>
      </c>
      <c r="B574" s="56" t="s">
        <v>837</v>
      </c>
      <c r="C574" s="56" t="s">
        <v>838</v>
      </c>
      <c r="D574" s="56" t="s">
        <v>839</v>
      </c>
      <c r="E574" s="56" t="s">
        <v>773</v>
      </c>
      <c r="F574" s="57" t="s">
        <v>154</v>
      </c>
      <c r="G574" s="61"/>
      <c r="H574" s="61"/>
      <c r="I574" s="62"/>
      <c r="J574" s="53"/>
    </row>
    <row r="575" ht="24.75" hidden="1" customHeight="1">
      <c r="A575" s="54" t="s">
        <v>831</v>
      </c>
      <c r="B575" s="56" t="s">
        <v>837</v>
      </c>
      <c r="C575" s="56" t="s">
        <v>838</v>
      </c>
      <c r="D575" s="56" t="s">
        <v>839</v>
      </c>
      <c r="E575" s="56" t="s">
        <v>841</v>
      </c>
      <c r="F575" s="57" t="s">
        <v>154</v>
      </c>
      <c r="G575" s="61"/>
      <c r="H575" s="61"/>
      <c r="I575" s="62"/>
      <c r="J575" s="53"/>
    </row>
    <row r="576" ht="24.75" hidden="1" customHeight="1">
      <c r="A576" s="54" t="s">
        <v>831</v>
      </c>
      <c r="B576" s="56" t="s">
        <v>837</v>
      </c>
      <c r="C576" s="56" t="s">
        <v>838</v>
      </c>
      <c r="D576" s="56" t="s">
        <v>839</v>
      </c>
      <c r="E576" s="56" t="s">
        <v>777</v>
      </c>
      <c r="F576" s="57" t="s">
        <v>15</v>
      </c>
      <c r="G576" s="61"/>
      <c r="H576" s="61"/>
      <c r="I576" s="60"/>
      <c r="J576" s="53"/>
    </row>
    <row r="577" ht="24.75" hidden="1" customHeight="1">
      <c r="A577" s="54" t="s">
        <v>831</v>
      </c>
      <c r="B577" s="56" t="s">
        <v>837</v>
      </c>
      <c r="C577" s="56" t="s">
        <v>838</v>
      </c>
      <c r="D577" s="56" t="s">
        <v>839</v>
      </c>
      <c r="E577" s="56" t="s">
        <v>778</v>
      </c>
      <c r="F577" s="57" t="s">
        <v>15</v>
      </c>
      <c r="G577" s="61"/>
      <c r="H577" s="61"/>
      <c r="I577" s="60"/>
      <c r="J577" s="53"/>
    </row>
    <row r="578" ht="24.75" hidden="1" customHeight="1">
      <c r="A578" s="54" t="s">
        <v>831</v>
      </c>
      <c r="B578" s="56" t="s">
        <v>842</v>
      </c>
      <c r="C578" s="56" t="s">
        <v>838</v>
      </c>
      <c r="D578" s="56" t="s">
        <v>843</v>
      </c>
      <c r="E578" s="56" t="s">
        <v>111</v>
      </c>
      <c r="F578" s="57" t="s">
        <v>154</v>
      </c>
      <c r="G578" s="61"/>
      <c r="H578" s="61"/>
      <c r="I578" s="62"/>
      <c r="J578" s="53"/>
    </row>
    <row r="579" ht="24.75" hidden="1" customHeight="1">
      <c r="A579" s="54" t="s">
        <v>831</v>
      </c>
      <c r="B579" s="56" t="s">
        <v>842</v>
      </c>
      <c r="C579" s="56" t="s">
        <v>838</v>
      </c>
      <c r="D579" s="56" t="s">
        <v>843</v>
      </c>
      <c r="E579" s="56" t="s">
        <v>844</v>
      </c>
      <c r="F579" s="57" t="s">
        <v>154</v>
      </c>
      <c r="G579" s="61"/>
      <c r="H579" s="61"/>
      <c r="I579" s="62"/>
      <c r="J579" s="53"/>
    </row>
    <row r="580" ht="24.75" hidden="1" customHeight="1">
      <c r="A580" s="54" t="s">
        <v>831</v>
      </c>
      <c r="B580" s="56" t="s">
        <v>842</v>
      </c>
      <c r="C580" s="56" t="s">
        <v>838</v>
      </c>
      <c r="D580" s="56" t="s">
        <v>843</v>
      </c>
      <c r="E580" s="56" t="s">
        <v>797</v>
      </c>
      <c r="F580" s="57" t="s">
        <v>250</v>
      </c>
      <c r="G580" s="61"/>
      <c r="H580" s="61" t="s">
        <v>592</v>
      </c>
      <c r="I580" s="62" t="s">
        <v>855</v>
      </c>
      <c r="J580" s="53"/>
    </row>
    <row r="581" ht="24.75" hidden="1" customHeight="1">
      <c r="A581" s="54" t="s">
        <v>831</v>
      </c>
      <c r="B581" s="56" t="s">
        <v>845</v>
      </c>
      <c r="C581" s="56" t="s">
        <v>838</v>
      </c>
      <c r="D581" s="56" t="s">
        <v>846</v>
      </c>
      <c r="E581" s="56" t="s">
        <v>771</v>
      </c>
      <c r="F581" s="57" t="s">
        <v>250</v>
      </c>
      <c r="G581" s="61"/>
      <c r="H581" s="61" t="s">
        <v>159</v>
      </c>
      <c r="I581" s="62" t="s">
        <v>772</v>
      </c>
      <c r="J581" s="53"/>
    </row>
    <row r="582" ht="24.75" hidden="1" customHeight="1">
      <c r="A582" s="54" t="s">
        <v>831</v>
      </c>
      <c r="B582" s="56" t="s">
        <v>845</v>
      </c>
      <c r="C582" s="56" t="s">
        <v>838</v>
      </c>
      <c r="D582" s="56" t="s">
        <v>846</v>
      </c>
      <c r="E582" s="56" t="s">
        <v>768</v>
      </c>
      <c r="F582" s="57" t="s">
        <v>250</v>
      </c>
      <c r="G582" s="61"/>
      <c r="H582" s="61" t="s">
        <v>592</v>
      </c>
      <c r="I582" s="62" t="s">
        <v>770</v>
      </c>
      <c r="J582" s="53"/>
    </row>
    <row r="583" ht="24.75" hidden="1" customHeight="1">
      <c r="A583" s="54" t="s">
        <v>831</v>
      </c>
      <c r="B583" s="56" t="s">
        <v>845</v>
      </c>
      <c r="C583" s="56" t="s">
        <v>838</v>
      </c>
      <c r="D583" s="56" t="s">
        <v>846</v>
      </c>
      <c r="E583" s="56" t="s">
        <v>773</v>
      </c>
      <c r="F583" s="57" t="s">
        <v>154</v>
      </c>
      <c r="G583" s="61"/>
      <c r="H583" s="61"/>
      <c r="I583" s="62"/>
      <c r="J583" s="53"/>
    </row>
    <row r="584" ht="24.75" hidden="1" customHeight="1">
      <c r="A584" s="54" t="s">
        <v>831</v>
      </c>
      <c r="B584" s="56" t="s">
        <v>845</v>
      </c>
      <c r="C584" s="56" t="s">
        <v>838</v>
      </c>
      <c r="D584" s="56" t="s">
        <v>846</v>
      </c>
      <c r="E584" s="56" t="s">
        <v>841</v>
      </c>
      <c r="F584" s="57" t="s">
        <v>154</v>
      </c>
      <c r="G584" s="61"/>
      <c r="H584" s="61"/>
      <c r="I584" s="62"/>
      <c r="J584" s="53"/>
    </row>
    <row r="585" ht="24.75" hidden="1" customHeight="1">
      <c r="A585" s="54" t="s">
        <v>831</v>
      </c>
      <c r="B585" s="56" t="s">
        <v>845</v>
      </c>
      <c r="C585" s="56" t="s">
        <v>838</v>
      </c>
      <c r="D585" s="56" t="s">
        <v>846</v>
      </c>
      <c r="E585" s="56" t="s">
        <v>777</v>
      </c>
      <c r="F585" s="57" t="s">
        <v>15</v>
      </c>
      <c r="G585" s="61"/>
      <c r="H585" s="61"/>
      <c r="I585" s="60"/>
      <c r="J585" s="53"/>
    </row>
    <row r="586" ht="24.75" hidden="1" customHeight="1">
      <c r="A586" s="54" t="s">
        <v>831</v>
      </c>
      <c r="B586" s="56" t="s">
        <v>845</v>
      </c>
      <c r="C586" s="56" t="s">
        <v>838</v>
      </c>
      <c r="D586" s="56" t="s">
        <v>846</v>
      </c>
      <c r="E586" s="56" t="s">
        <v>778</v>
      </c>
      <c r="F586" s="57" t="s">
        <v>15</v>
      </c>
      <c r="G586" s="61"/>
      <c r="H586" s="61"/>
      <c r="I586" s="60"/>
      <c r="J586" s="53"/>
    </row>
    <row r="587" ht="24.75" hidden="1" customHeight="1">
      <c r="A587" s="54" t="s">
        <v>831</v>
      </c>
      <c r="B587" s="56" t="s">
        <v>847</v>
      </c>
      <c r="C587" s="56" t="s">
        <v>838</v>
      </c>
      <c r="D587" s="56" t="s">
        <v>848</v>
      </c>
      <c r="E587" s="56" t="s">
        <v>111</v>
      </c>
      <c r="F587" s="57" t="s">
        <v>154</v>
      </c>
      <c r="G587" s="61"/>
      <c r="H587" s="61"/>
      <c r="I587" s="62"/>
      <c r="J587" s="53"/>
    </row>
    <row r="588" ht="24.75" hidden="1" customHeight="1">
      <c r="A588" s="54" t="s">
        <v>831</v>
      </c>
      <c r="B588" s="56" t="s">
        <v>847</v>
      </c>
      <c r="C588" s="56" t="s">
        <v>838</v>
      </c>
      <c r="D588" s="56" t="s">
        <v>848</v>
      </c>
      <c r="E588" s="56" t="s">
        <v>844</v>
      </c>
      <c r="F588" s="57" t="s">
        <v>154</v>
      </c>
      <c r="G588" s="61"/>
      <c r="H588" s="61"/>
      <c r="I588" s="62"/>
      <c r="J588" s="53"/>
    </row>
    <row r="589" ht="24.75" hidden="1" customHeight="1">
      <c r="A589" s="54" t="s">
        <v>831</v>
      </c>
      <c r="B589" s="56" t="s">
        <v>847</v>
      </c>
      <c r="C589" s="56" t="s">
        <v>838</v>
      </c>
      <c r="D589" s="56" t="s">
        <v>848</v>
      </c>
      <c r="E589" s="56" t="s">
        <v>797</v>
      </c>
      <c r="F589" s="57" t="s">
        <v>250</v>
      </c>
      <c r="G589" s="61"/>
      <c r="H589" s="61" t="s">
        <v>592</v>
      </c>
      <c r="I589" s="62" t="s">
        <v>855</v>
      </c>
      <c r="J589" s="53"/>
    </row>
    <row r="590" ht="24.75" customHeight="1">
      <c r="A590" s="54" t="s">
        <v>831</v>
      </c>
      <c r="B590" s="56" t="s">
        <v>849</v>
      </c>
      <c r="C590" s="56" t="s">
        <v>833</v>
      </c>
      <c r="D590" s="56" t="s">
        <v>850</v>
      </c>
      <c r="E590" s="56" t="s">
        <v>336</v>
      </c>
      <c r="F590" s="57" t="s">
        <v>192</v>
      </c>
      <c r="G590" s="61"/>
      <c r="H590" s="61"/>
      <c r="I590" s="62"/>
      <c r="J590" s="53"/>
    </row>
    <row r="591" ht="24.75" hidden="1" customHeight="1">
      <c r="A591" s="54" t="s">
        <v>831</v>
      </c>
      <c r="B591" s="56" t="s">
        <v>851</v>
      </c>
      <c r="C591" s="56" t="s">
        <v>852</v>
      </c>
      <c r="D591" s="56" t="s">
        <v>853</v>
      </c>
      <c r="E591" s="56" t="s">
        <v>854</v>
      </c>
      <c r="F591" s="57" t="s">
        <v>250</v>
      </c>
      <c r="G591" s="61"/>
      <c r="H591" s="61" t="s">
        <v>592</v>
      </c>
      <c r="I591" s="62" t="s">
        <v>864</v>
      </c>
      <c r="J591" s="53"/>
    </row>
    <row r="592" ht="24.75" hidden="1" customHeight="1">
      <c r="A592" s="54" t="s">
        <v>831</v>
      </c>
      <c r="B592" s="56" t="s">
        <v>851</v>
      </c>
      <c r="C592" s="56" t="s">
        <v>852</v>
      </c>
      <c r="D592" s="56" t="s">
        <v>853</v>
      </c>
      <c r="E592" s="56" t="s">
        <v>824</v>
      </c>
      <c r="F592" s="57" t="s">
        <v>154</v>
      </c>
      <c r="G592" s="61"/>
      <c r="H592" s="61"/>
      <c r="I592" s="62"/>
      <c r="J592" s="53"/>
    </row>
    <row r="593" ht="24.75" customHeight="1">
      <c r="A593" s="54" t="s">
        <v>831</v>
      </c>
      <c r="B593" s="56" t="s">
        <v>851</v>
      </c>
      <c r="C593" s="56" t="s">
        <v>852</v>
      </c>
      <c r="D593" s="56" t="s">
        <v>853</v>
      </c>
      <c r="E593" s="56" t="s">
        <v>111</v>
      </c>
      <c r="F593" s="57" t="s">
        <v>192</v>
      </c>
      <c r="G593" s="61"/>
      <c r="H593" s="61"/>
      <c r="I593" s="62"/>
      <c r="J593" s="53"/>
    </row>
    <row r="594" ht="24.75" customHeight="1">
      <c r="A594" s="54" t="s">
        <v>831</v>
      </c>
      <c r="B594" s="56" t="s">
        <v>851</v>
      </c>
      <c r="C594" s="56" t="s">
        <v>852</v>
      </c>
      <c r="D594" s="56" t="s">
        <v>853</v>
      </c>
      <c r="E594" s="56" t="s">
        <v>856</v>
      </c>
      <c r="F594" s="57" t="s">
        <v>192</v>
      </c>
      <c r="G594" s="61"/>
      <c r="H594" s="61"/>
      <c r="I594" s="62"/>
      <c r="J594" s="53"/>
    </row>
    <row r="595" ht="24.75" customHeight="1">
      <c r="A595" s="54" t="s">
        <v>831</v>
      </c>
      <c r="B595" s="56" t="s">
        <v>851</v>
      </c>
      <c r="C595" s="56" t="s">
        <v>852</v>
      </c>
      <c r="D595" s="56" t="s">
        <v>853</v>
      </c>
      <c r="E595" s="56" t="s">
        <v>857</v>
      </c>
      <c r="F595" s="57" t="s">
        <v>192</v>
      </c>
      <c r="G595" s="61"/>
      <c r="H595" s="61"/>
      <c r="I595" s="62"/>
      <c r="J595" s="53"/>
    </row>
    <row r="596" ht="24.75" hidden="1" customHeight="1">
      <c r="A596" s="54" t="s">
        <v>831</v>
      </c>
      <c r="B596" s="56" t="s">
        <v>858</v>
      </c>
      <c r="C596" s="56" t="s">
        <v>838</v>
      </c>
      <c r="D596" s="56" t="s">
        <v>859</v>
      </c>
      <c r="E596" s="56" t="s">
        <v>111</v>
      </c>
      <c r="F596" s="57" t="s">
        <v>154</v>
      </c>
      <c r="G596" s="61"/>
      <c r="H596" s="61"/>
      <c r="I596" s="62"/>
      <c r="J596" s="53"/>
    </row>
    <row r="597" ht="24.75" hidden="1" customHeight="1">
      <c r="A597" s="54" t="s">
        <v>831</v>
      </c>
      <c r="B597" s="56" t="s">
        <v>858</v>
      </c>
      <c r="C597" s="56" t="s">
        <v>838</v>
      </c>
      <c r="D597" s="56" t="s">
        <v>859</v>
      </c>
      <c r="E597" s="56" t="s">
        <v>824</v>
      </c>
      <c r="F597" s="57" t="s">
        <v>154</v>
      </c>
      <c r="G597" s="61"/>
      <c r="H597" s="61"/>
      <c r="I597" s="62"/>
      <c r="J597" s="53"/>
    </row>
    <row r="598" ht="24.75" hidden="1" customHeight="1">
      <c r="A598" s="54" t="s">
        <v>831</v>
      </c>
      <c r="B598" s="56" t="s">
        <v>858</v>
      </c>
      <c r="C598" s="56" t="s">
        <v>838</v>
      </c>
      <c r="D598" s="56" t="s">
        <v>859</v>
      </c>
      <c r="E598" s="56" t="s">
        <v>797</v>
      </c>
      <c r="F598" s="57" t="s">
        <v>250</v>
      </c>
      <c r="G598" s="61"/>
      <c r="H598" s="61" t="s">
        <v>592</v>
      </c>
      <c r="I598" s="62" t="s">
        <v>872</v>
      </c>
      <c r="J598" s="53"/>
    </row>
    <row r="599" ht="24.75" hidden="1" customHeight="1">
      <c r="A599" s="54" t="s">
        <v>831</v>
      </c>
      <c r="B599" s="56" t="s">
        <v>860</v>
      </c>
      <c r="C599" s="56" t="s">
        <v>852</v>
      </c>
      <c r="D599" s="56" t="s">
        <v>861</v>
      </c>
      <c r="E599" s="56" t="s">
        <v>854</v>
      </c>
      <c r="F599" s="57" t="s">
        <v>250</v>
      </c>
      <c r="G599" s="61"/>
      <c r="H599" s="61" t="s">
        <v>592</v>
      </c>
      <c r="I599" s="62" t="s">
        <v>864</v>
      </c>
      <c r="J599" s="53"/>
    </row>
    <row r="600" ht="24.75" hidden="1" customHeight="1">
      <c r="A600" s="54" t="s">
        <v>831</v>
      </c>
      <c r="B600" s="56" t="s">
        <v>860</v>
      </c>
      <c r="C600" s="56" t="s">
        <v>852</v>
      </c>
      <c r="D600" s="56" t="s">
        <v>861</v>
      </c>
      <c r="E600" s="56" t="s">
        <v>824</v>
      </c>
      <c r="F600" s="57" t="s">
        <v>154</v>
      </c>
      <c r="G600" s="61"/>
      <c r="H600" s="61"/>
      <c r="I600" s="62"/>
      <c r="J600" s="53"/>
    </row>
    <row r="601" ht="24.75" hidden="1" customHeight="1">
      <c r="A601" s="54" t="s">
        <v>831</v>
      </c>
      <c r="B601" s="56" t="s">
        <v>860</v>
      </c>
      <c r="C601" s="56" t="s">
        <v>852</v>
      </c>
      <c r="D601" s="56" t="s">
        <v>861</v>
      </c>
      <c r="E601" s="56" t="s">
        <v>856</v>
      </c>
      <c r="F601" s="57" t="s">
        <v>154</v>
      </c>
      <c r="G601" s="61"/>
      <c r="H601" s="61"/>
      <c r="I601" s="62"/>
      <c r="J601" s="53"/>
    </row>
    <row r="602" ht="24.75" customHeight="1">
      <c r="A602" s="54" t="s">
        <v>831</v>
      </c>
      <c r="B602" s="56" t="s">
        <v>860</v>
      </c>
      <c r="C602" s="56" t="s">
        <v>852</v>
      </c>
      <c r="D602" s="56" t="s">
        <v>861</v>
      </c>
      <c r="E602" s="56" t="s">
        <v>111</v>
      </c>
      <c r="F602" s="57" t="s">
        <v>192</v>
      </c>
      <c r="G602" s="61"/>
      <c r="H602" s="61"/>
      <c r="I602" s="62"/>
      <c r="J602" s="53"/>
    </row>
    <row r="603" ht="24.75" customHeight="1">
      <c r="A603" s="54" t="s">
        <v>831</v>
      </c>
      <c r="B603" s="56" t="s">
        <v>860</v>
      </c>
      <c r="C603" s="56" t="s">
        <v>852</v>
      </c>
      <c r="D603" s="56" t="s">
        <v>861</v>
      </c>
      <c r="E603" s="56" t="s">
        <v>857</v>
      </c>
      <c r="F603" s="57" t="s">
        <v>192</v>
      </c>
      <c r="G603" s="61"/>
      <c r="H603" s="61"/>
      <c r="I603" s="62"/>
      <c r="J603" s="53"/>
    </row>
    <row r="604" ht="24.75" hidden="1" customHeight="1">
      <c r="A604" s="54" t="s">
        <v>831</v>
      </c>
      <c r="B604" s="56" t="s">
        <v>862</v>
      </c>
      <c r="C604" s="56" t="s">
        <v>838</v>
      </c>
      <c r="D604" s="56" t="s">
        <v>863</v>
      </c>
      <c r="E604" s="56" t="s">
        <v>111</v>
      </c>
      <c r="F604" s="57" t="s">
        <v>154</v>
      </c>
      <c r="G604" s="61"/>
      <c r="H604" s="61"/>
      <c r="I604" s="62"/>
      <c r="J604" s="53"/>
    </row>
    <row r="605" ht="24.75" hidden="1" customHeight="1">
      <c r="A605" s="54" t="s">
        <v>831</v>
      </c>
      <c r="B605" s="56" t="s">
        <v>862</v>
      </c>
      <c r="C605" s="56" t="s">
        <v>838</v>
      </c>
      <c r="D605" s="56" t="s">
        <v>863</v>
      </c>
      <c r="E605" s="56" t="s">
        <v>824</v>
      </c>
      <c r="F605" s="57" t="s">
        <v>154</v>
      </c>
      <c r="G605" s="61"/>
      <c r="H605" s="61"/>
      <c r="I605" s="62"/>
      <c r="J605" s="53"/>
    </row>
    <row r="606" ht="24.75" hidden="1" customHeight="1">
      <c r="A606" s="54" t="s">
        <v>831</v>
      </c>
      <c r="B606" s="56" t="s">
        <v>862</v>
      </c>
      <c r="C606" s="56" t="s">
        <v>838</v>
      </c>
      <c r="D606" s="56" t="s">
        <v>863</v>
      </c>
      <c r="E606" s="56" t="s">
        <v>797</v>
      </c>
      <c r="F606" s="57" t="s">
        <v>250</v>
      </c>
      <c r="G606" s="61"/>
      <c r="H606" s="61" t="s">
        <v>592</v>
      </c>
      <c r="I606" s="62" t="s">
        <v>872</v>
      </c>
      <c r="J606" s="53"/>
    </row>
    <row r="607" ht="24.75" hidden="1" customHeight="1">
      <c r="A607" s="54" t="s">
        <v>831</v>
      </c>
      <c r="B607" s="56" t="s">
        <v>865</v>
      </c>
      <c r="C607" s="56" t="s">
        <v>838</v>
      </c>
      <c r="D607" s="56" t="s">
        <v>866</v>
      </c>
      <c r="E607" s="56" t="s">
        <v>867</v>
      </c>
      <c r="F607" s="57" t="s">
        <v>154</v>
      </c>
      <c r="G607" s="61"/>
      <c r="H607" s="61"/>
      <c r="I607" s="62"/>
      <c r="J607" s="53"/>
    </row>
    <row r="608" ht="24.75" hidden="1" customHeight="1">
      <c r="A608" s="54" t="s">
        <v>831</v>
      </c>
      <c r="B608" s="56" t="s">
        <v>865</v>
      </c>
      <c r="C608" s="56" t="s">
        <v>838</v>
      </c>
      <c r="D608" s="56" t="s">
        <v>866</v>
      </c>
      <c r="E608" s="56" t="s">
        <v>868</v>
      </c>
      <c r="F608" s="57" t="s">
        <v>154</v>
      </c>
      <c r="G608" s="61"/>
      <c r="H608" s="61"/>
      <c r="I608" s="62"/>
      <c r="J608" s="53"/>
    </row>
    <row r="609" ht="24.75" hidden="1" customHeight="1">
      <c r="A609" s="54" t="s">
        <v>831</v>
      </c>
      <c r="B609" s="56" t="s">
        <v>869</v>
      </c>
      <c r="C609" s="56" t="s">
        <v>833</v>
      </c>
      <c r="D609" s="56" t="s">
        <v>850</v>
      </c>
      <c r="E609" s="56" t="s">
        <v>870</v>
      </c>
      <c r="F609" s="57" t="s">
        <v>154</v>
      </c>
      <c r="G609" s="61"/>
      <c r="H609" s="61"/>
      <c r="I609" s="62"/>
      <c r="J609" s="53"/>
    </row>
    <row r="610" ht="24.75" customHeight="1">
      <c r="A610" s="54" t="s">
        <v>831</v>
      </c>
      <c r="B610" s="56" t="s">
        <v>869</v>
      </c>
      <c r="C610" s="56" t="s">
        <v>833</v>
      </c>
      <c r="D610" s="56" t="s">
        <v>850</v>
      </c>
      <c r="E610" s="56" t="s">
        <v>871</v>
      </c>
      <c r="F610" s="57" t="s">
        <v>192</v>
      </c>
      <c r="G610" s="61"/>
      <c r="H610" s="61"/>
      <c r="I610" s="62"/>
      <c r="J610" s="53"/>
    </row>
    <row r="611" ht="15.75" hidden="1" customHeight="1">
      <c r="A611" s="54"/>
      <c r="B611" s="56"/>
      <c r="C611" s="56"/>
      <c r="D611" s="56"/>
      <c r="E611" s="56"/>
      <c r="F611" s="57"/>
      <c r="G611" s="61"/>
      <c r="H611" s="61"/>
      <c r="I611" s="62"/>
      <c r="J611" s="53"/>
    </row>
  </sheetData>
  <autoFilter ref="$A$4:$GF$611">
    <filterColumn colId="5">
      <filters>
        <filter val="ABR, AGO, DEZ"/>
        <filter val="JAN, FEV, MAR, ABR, MAI, JUN, JUL, AGO, SET, OUT, NOV, DEZ"/>
      </filters>
    </filterColumn>
    <sortState ref="A4:GF611">
      <sortCondition ref="A4:A611"/>
    </sortState>
  </autoFilter>
  <mergeCells count="2">
    <mergeCell ref="I1:J3"/>
    <mergeCell ref="H2:H3"/>
  </mergeCells>
  <printOptions/>
  <pageMargins bottom="0.7480314960629921" footer="0.0" header="0.0" left="0.2362204724409449" right="0.2362204724409449" top="0.35433070866141736"/>
  <pageSetup fitToHeight="0" paperSize="9" orientation="landscape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46.86"/>
    <col customWidth="1" min="6" max="6" width="12.0"/>
    <col customWidth="1" hidden="1" min="7" max="7" width="6.86"/>
    <col customWidth="1" min="8" max="8" width="26.57"/>
    <col customWidth="1" min="9" max="9" width="31.86"/>
    <col customWidth="1" min="10" max="10" width="15.71"/>
  </cols>
  <sheetData>
    <row r="1" ht="24.75" customHeight="1">
      <c r="I1" s="25" t="s">
        <v>6</v>
      </c>
    </row>
    <row r="2" ht="24.75" customHeight="1">
      <c r="A2" s="1"/>
      <c r="B2" s="2"/>
      <c r="C2" s="2"/>
      <c r="D2" s="2"/>
      <c r="E2" s="2"/>
      <c r="F2" s="3"/>
      <c r="G2" s="8"/>
      <c r="H2" s="10"/>
    </row>
    <row r="3" ht="24.75" customHeight="1">
      <c r="A3" s="8"/>
      <c r="B3" s="9"/>
      <c r="C3" s="9"/>
      <c r="D3" s="9"/>
      <c r="E3" s="9"/>
      <c r="F3" s="2"/>
      <c r="G3" s="8"/>
      <c r="H3" s="35"/>
      <c r="I3" s="35"/>
      <c r="J3" s="35"/>
    </row>
    <row r="4" ht="51.0" customHeight="1">
      <c r="A4" s="39" t="s">
        <v>17</v>
      </c>
      <c r="B4" s="39" t="s">
        <v>18</v>
      </c>
      <c r="C4" s="39" t="s">
        <v>19</v>
      </c>
      <c r="D4" s="39" t="s">
        <v>20</v>
      </c>
      <c r="E4" s="39" t="s">
        <v>21</v>
      </c>
      <c r="F4" s="39" t="s">
        <v>22</v>
      </c>
      <c r="G4" s="40" t="s">
        <v>23</v>
      </c>
      <c r="H4" s="39" t="s">
        <v>24</v>
      </c>
      <c r="I4" s="42" t="s">
        <v>26</v>
      </c>
      <c r="J4" s="39" t="s">
        <v>25</v>
      </c>
    </row>
    <row r="5" ht="24.75" hidden="1" customHeight="1">
      <c r="A5" s="44">
        <v>10.0</v>
      </c>
      <c r="B5" s="47" t="s">
        <v>27</v>
      </c>
      <c r="C5" s="47" t="s">
        <v>29</v>
      </c>
      <c r="D5" s="47" t="s">
        <v>29</v>
      </c>
      <c r="E5" s="47" t="s">
        <v>32</v>
      </c>
      <c r="F5" s="48" t="s">
        <v>34</v>
      </c>
      <c r="G5" s="50"/>
      <c r="H5" s="51"/>
      <c r="I5" s="52"/>
      <c r="J5" s="53"/>
    </row>
    <row r="6" ht="24.75" customHeight="1">
      <c r="A6" s="54">
        <v>20.0</v>
      </c>
      <c r="B6" s="56" t="s">
        <v>83</v>
      </c>
      <c r="C6" s="56" t="s">
        <v>84</v>
      </c>
      <c r="D6" s="56" t="s">
        <v>85</v>
      </c>
      <c r="E6" s="56" t="s">
        <v>86</v>
      </c>
      <c r="F6" s="57" t="s">
        <v>87</v>
      </c>
      <c r="G6" s="58"/>
      <c r="H6" s="58"/>
      <c r="I6" s="60" t="s">
        <v>88</v>
      </c>
      <c r="J6" s="59"/>
    </row>
    <row r="7" ht="24.75" hidden="1" customHeight="1">
      <c r="A7" s="54">
        <v>20.0</v>
      </c>
      <c r="B7" s="56" t="s">
        <v>89</v>
      </c>
      <c r="C7" s="56" t="s">
        <v>90</v>
      </c>
      <c r="D7" s="56" t="s">
        <v>91</v>
      </c>
      <c r="E7" s="56"/>
      <c r="F7" s="57" t="s">
        <v>34</v>
      </c>
      <c r="G7" s="61"/>
      <c r="H7" s="61"/>
      <c r="I7" s="62"/>
      <c r="J7" s="53"/>
    </row>
    <row r="8" ht="24.75" hidden="1" customHeight="1">
      <c r="A8" s="54">
        <v>20.0</v>
      </c>
      <c r="B8" s="56" t="s">
        <v>95</v>
      </c>
      <c r="C8" s="56" t="s">
        <v>90</v>
      </c>
      <c r="D8" s="56" t="s">
        <v>96</v>
      </c>
      <c r="E8" s="56" t="s">
        <v>97</v>
      </c>
      <c r="F8" s="57" t="s">
        <v>34</v>
      </c>
      <c r="G8" s="61"/>
      <c r="H8" s="61"/>
      <c r="I8" s="62"/>
      <c r="J8" s="53"/>
    </row>
    <row r="9" ht="24.75" hidden="1" customHeight="1">
      <c r="A9" s="54">
        <v>20.0</v>
      </c>
      <c r="B9" s="56" t="s">
        <v>98</v>
      </c>
      <c r="C9" s="56" t="s">
        <v>90</v>
      </c>
      <c r="D9" s="56" t="s">
        <v>99</v>
      </c>
      <c r="E9" s="56" t="s">
        <v>97</v>
      </c>
      <c r="F9" s="57" t="s">
        <v>34</v>
      </c>
      <c r="G9" s="61"/>
      <c r="H9" s="61"/>
      <c r="I9" s="62"/>
      <c r="J9" s="53"/>
    </row>
    <row r="10" ht="24.75" hidden="1" customHeight="1">
      <c r="A10" s="54">
        <v>20.0</v>
      </c>
      <c r="B10" s="56" t="s">
        <v>100</v>
      </c>
      <c r="C10" s="56" t="s">
        <v>101</v>
      </c>
      <c r="D10" s="56" t="s">
        <v>102</v>
      </c>
      <c r="E10" s="56" t="s">
        <v>103</v>
      </c>
      <c r="F10" s="57" t="s">
        <v>34</v>
      </c>
      <c r="G10" s="61"/>
      <c r="H10" s="61"/>
      <c r="I10" s="62"/>
      <c r="J10" s="53"/>
    </row>
    <row r="11" ht="24.75" customHeight="1">
      <c r="A11" s="54">
        <v>30.0</v>
      </c>
      <c r="B11" s="56" t="s">
        <v>108</v>
      </c>
      <c r="C11" s="56" t="s">
        <v>109</v>
      </c>
      <c r="D11" s="56" t="s">
        <v>110</v>
      </c>
      <c r="E11" s="56" t="s">
        <v>111</v>
      </c>
      <c r="F11" s="57" t="s">
        <v>87</v>
      </c>
      <c r="G11" s="61"/>
      <c r="H11" s="61"/>
      <c r="I11" s="60"/>
      <c r="J11" s="53"/>
    </row>
    <row r="12" ht="24.75" customHeight="1">
      <c r="A12" s="54">
        <v>30.0</v>
      </c>
      <c r="B12" s="56" t="s">
        <v>113</v>
      </c>
      <c r="C12" s="56" t="s">
        <v>109</v>
      </c>
      <c r="D12" s="56" t="s">
        <v>114</v>
      </c>
      <c r="E12" s="56" t="s">
        <v>111</v>
      </c>
      <c r="F12" s="57" t="s">
        <v>87</v>
      </c>
      <c r="G12" s="61"/>
      <c r="H12" s="61"/>
      <c r="I12" s="60"/>
      <c r="J12" s="53"/>
    </row>
    <row r="13" ht="24.75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118</v>
      </c>
      <c r="F13" s="57" t="s">
        <v>87</v>
      </c>
      <c r="G13" s="61"/>
      <c r="H13" s="61"/>
      <c r="I13" s="60"/>
      <c r="J13" s="53"/>
    </row>
    <row r="14" ht="24.75" hidden="1" customHeight="1">
      <c r="A14" s="54">
        <v>30.0</v>
      </c>
      <c r="B14" s="56" t="s">
        <v>116</v>
      </c>
      <c r="C14" s="56" t="s">
        <v>109</v>
      </c>
      <c r="D14" s="56" t="s">
        <v>117</v>
      </c>
      <c r="E14" s="56" t="s">
        <v>119</v>
      </c>
      <c r="F14" s="57" t="s">
        <v>34</v>
      </c>
      <c r="G14" s="61"/>
      <c r="H14" s="61"/>
      <c r="I14" s="62"/>
      <c r="J14" s="53"/>
    </row>
    <row r="15" ht="24.75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111</v>
      </c>
      <c r="F15" s="57" t="s">
        <v>87</v>
      </c>
      <c r="G15" s="61"/>
      <c r="H15" s="61"/>
      <c r="I15" s="60"/>
      <c r="J15" s="53"/>
    </row>
    <row r="16" ht="24.75" hidden="1" customHeight="1">
      <c r="A16" s="54">
        <v>30.0</v>
      </c>
      <c r="B16" s="56" t="s">
        <v>120</v>
      </c>
      <c r="C16" s="56" t="s">
        <v>109</v>
      </c>
      <c r="D16" s="56" t="s">
        <v>121</v>
      </c>
      <c r="E16" s="56" t="s">
        <v>122</v>
      </c>
      <c r="F16" s="57" t="s">
        <v>34</v>
      </c>
      <c r="G16" s="61"/>
      <c r="H16" s="61"/>
      <c r="I16" s="62"/>
      <c r="J16" s="53"/>
    </row>
    <row r="17" ht="24.75" customHeight="1">
      <c r="A17" s="54">
        <v>30.0</v>
      </c>
      <c r="B17" s="56" t="s">
        <v>123</v>
      </c>
      <c r="C17" s="56" t="s">
        <v>109</v>
      </c>
      <c r="D17" s="56" t="s">
        <v>124</v>
      </c>
      <c r="E17" s="56" t="s">
        <v>86</v>
      </c>
      <c r="F17" s="57" t="s">
        <v>87</v>
      </c>
      <c r="G17" s="61"/>
      <c r="H17" s="61"/>
      <c r="I17" s="60"/>
      <c r="J17" s="53"/>
    </row>
    <row r="18" ht="24.75" hidden="1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129</v>
      </c>
      <c r="F18" s="57" t="s">
        <v>34</v>
      </c>
      <c r="G18" s="61"/>
      <c r="H18" s="61"/>
      <c r="I18" s="62" t="s">
        <v>133</v>
      </c>
      <c r="J18" s="53"/>
    </row>
    <row r="19" ht="24.75" hidden="1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132</v>
      </c>
      <c r="F19" s="57" t="s">
        <v>34</v>
      </c>
      <c r="G19" s="61"/>
      <c r="H19" s="61"/>
      <c r="I19" s="62" t="s">
        <v>133</v>
      </c>
      <c r="J19" s="53"/>
    </row>
    <row r="20" ht="24.75" hidden="1" customHeight="1">
      <c r="A20" s="54">
        <v>31.0</v>
      </c>
      <c r="B20" s="56" t="s">
        <v>126</v>
      </c>
      <c r="C20" s="56" t="s">
        <v>127</v>
      </c>
      <c r="D20" s="56" t="s">
        <v>128</v>
      </c>
      <c r="E20" s="56" t="s">
        <v>134</v>
      </c>
      <c r="F20" s="57" t="s">
        <v>34</v>
      </c>
      <c r="G20" s="61"/>
      <c r="H20" s="61"/>
      <c r="I20" s="62" t="s">
        <v>133</v>
      </c>
      <c r="J20" s="53"/>
    </row>
    <row r="21" ht="24.75" hidden="1" customHeight="1">
      <c r="A21" s="54">
        <v>40.0</v>
      </c>
      <c r="B21" s="56" t="s">
        <v>135</v>
      </c>
      <c r="C21" s="56" t="s">
        <v>136</v>
      </c>
      <c r="D21" s="56" t="s">
        <v>137</v>
      </c>
      <c r="E21" s="56" t="s">
        <v>111</v>
      </c>
      <c r="F21" s="57" t="s">
        <v>34</v>
      </c>
      <c r="G21" s="61"/>
      <c r="H21" s="61"/>
      <c r="I21" s="62"/>
      <c r="J21" s="53"/>
    </row>
    <row r="22" ht="24.75" hidden="1" customHeight="1">
      <c r="A22" s="54">
        <v>40.0</v>
      </c>
      <c r="B22" s="56" t="s">
        <v>139</v>
      </c>
      <c r="C22" s="56" t="s">
        <v>101</v>
      </c>
      <c r="D22" s="56" t="s">
        <v>102</v>
      </c>
      <c r="E22" s="56" t="s">
        <v>111</v>
      </c>
      <c r="F22" s="57" t="s">
        <v>34</v>
      </c>
      <c r="G22" s="61"/>
      <c r="H22" s="61"/>
      <c r="I22" s="62"/>
      <c r="J22" s="53"/>
    </row>
    <row r="23" ht="24.75" hidden="1" customHeight="1">
      <c r="A23" s="54">
        <v>40.0</v>
      </c>
      <c r="B23" s="56" t="s">
        <v>140</v>
      </c>
      <c r="C23" s="56" t="s">
        <v>141</v>
      </c>
      <c r="D23" s="56" t="s">
        <v>142</v>
      </c>
      <c r="E23" s="56" t="s">
        <v>111</v>
      </c>
      <c r="F23" s="57" t="s">
        <v>34</v>
      </c>
      <c r="G23" s="61"/>
      <c r="H23" s="61"/>
      <c r="I23" s="62"/>
      <c r="J23" s="53"/>
    </row>
    <row r="24" ht="24.75" hidden="1" customHeight="1">
      <c r="A24" s="54">
        <v>40.0</v>
      </c>
      <c r="B24" s="56" t="s">
        <v>143</v>
      </c>
      <c r="C24" s="56" t="s">
        <v>144</v>
      </c>
      <c r="D24" s="56" t="s">
        <v>145</v>
      </c>
      <c r="E24" s="56" t="s">
        <v>111</v>
      </c>
      <c r="F24" s="57" t="s">
        <v>34</v>
      </c>
      <c r="G24" s="61"/>
      <c r="H24" s="61"/>
      <c r="I24" s="62"/>
      <c r="J24" s="53"/>
    </row>
    <row r="25" ht="24.75" hidden="1" customHeight="1">
      <c r="A25" s="54">
        <v>50.0</v>
      </c>
      <c r="B25" s="56" t="s">
        <v>147</v>
      </c>
      <c r="C25" s="56" t="s">
        <v>148</v>
      </c>
      <c r="D25" s="56" t="s">
        <v>149</v>
      </c>
      <c r="E25" s="56" t="s">
        <v>150</v>
      </c>
      <c r="F25" s="57" t="s">
        <v>34</v>
      </c>
      <c r="G25" s="61"/>
      <c r="H25" s="61"/>
      <c r="I25" s="62"/>
      <c r="J25" s="53"/>
    </row>
    <row r="26" ht="24.75" hidden="1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111</v>
      </c>
      <c r="F26" s="57" t="s">
        <v>34</v>
      </c>
      <c r="G26" s="61"/>
      <c r="H26" s="61"/>
      <c r="I26" s="62"/>
      <c r="J26" s="53"/>
    </row>
    <row r="27" ht="24.75" hidden="1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153</v>
      </c>
      <c r="F27" s="57" t="s">
        <v>154</v>
      </c>
      <c r="G27" s="61"/>
      <c r="H27" s="61"/>
      <c r="I27" s="62"/>
      <c r="J27" s="53"/>
    </row>
    <row r="28" ht="24.75" hidden="1" customHeight="1">
      <c r="A28" s="54">
        <v>50.0</v>
      </c>
      <c r="B28" s="56" t="s">
        <v>151</v>
      </c>
      <c r="C28" s="56" t="s">
        <v>152</v>
      </c>
      <c r="D28" s="56" t="s">
        <v>152</v>
      </c>
      <c r="E28" s="56" t="s">
        <v>155</v>
      </c>
      <c r="F28" s="57" t="s">
        <v>250</v>
      </c>
      <c r="G28" s="61"/>
      <c r="H28" s="61" t="s">
        <v>159</v>
      </c>
      <c r="I28" s="62" t="s">
        <v>160</v>
      </c>
      <c r="J28" s="53"/>
    </row>
    <row r="29" ht="24.75" hidden="1" customHeight="1">
      <c r="A29" s="54">
        <v>50.0</v>
      </c>
      <c r="B29" s="56" t="s">
        <v>156</v>
      </c>
      <c r="C29" s="56" t="s">
        <v>152</v>
      </c>
      <c r="D29" s="56" t="s">
        <v>157</v>
      </c>
      <c r="E29" s="56" t="s">
        <v>158</v>
      </c>
      <c r="F29" s="57" t="s">
        <v>34</v>
      </c>
      <c r="G29" s="61"/>
      <c r="H29" s="61"/>
      <c r="I29" s="62"/>
      <c r="J29" s="53"/>
    </row>
    <row r="30" ht="24.75" hidden="1" customHeight="1">
      <c r="A30" s="54">
        <v>50.0</v>
      </c>
      <c r="B30" s="56" t="s">
        <v>161</v>
      </c>
      <c r="C30" s="56" t="s">
        <v>152</v>
      </c>
      <c r="D30" s="56" t="s">
        <v>162</v>
      </c>
      <c r="E30" s="56" t="s">
        <v>163</v>
      </c>
      <c r="F30" s="57" t="s">
        <v>34</v>
      </c>
      <c r="G30" s="61"/>
      <c r="H30" s="61"/>
      <c r="I30" s="62"/>
      <c r="J30" s="53"/>
    </row>
    <row r="31" ht="24.75" hidden="1" customHeight="1">
      <c r="A31" s="54">
        <v>60.0</v>
      </c>
      <c r="B31" s="56" t="s">
        <v>164</v>
      </c>
      <c r="C31" s="56" t="s">
        <v>165</v>
      </c>
      <c r="D31" s="56" t="s">
        <v>166</v>
      </c>
      <c r="E31" s="56" t="s">
        <v>167</v>
      </c>
      <c r="F31" s="57" t="s">
        <v>154</v>
      </c>
      <c r="G31" s="61"/>
      <c r="H31" s="61"/>
      <c r="I31" s="62"/>
      <c r="J31" s="53"/>
    </row>
    <row r="32" ht="24.75" hidden="1" customHeight="1">
      <c r="A32" s="54">
        <v>60.0</v>
      </c>
      <c r="B32" s="56" t="s">
        <v>169</v>
      </c>
      <c r="C32" s="56" t="s">
        <v>165</v>
      </c>
      <c r="D32" s="56" t="s">
        <v>170</v>
      </c>
      <c r="E32" s="56" t="s">
        <v>167</v>
      </c>
      <c r="F32" s="57" t="s">
        <v>154</v>
      </c>
      <c r="G32" s="61"/>
      <c r="H32" s="61"/>
      <c r="I32" s="62"/>
      <c r="J32" s="53"/>
    </row>
    <row r="33" ht="24.75" hidden="1" customHeight="1">
      <c r="A33" s="54">
        <v>60.0</v>
      </c>
      <c r="B33" s="56" t="s">
        <v>171</v>
      </c>
      <c r="C33" s="56" t="s">
        <v>165</v>
      </c>
      <c r="D33" s="56" t="s">
        <v>172</v>
      </c>
      <c r="E33" s="56" t="s">
        <v>167</v>
      </c>
      <c r="F33" s="57" t="s">
        <v>154</v>
      </c>
      <c r="G33" s="61"/>
      <c r="H33" s="61"/>
      <c r="I33" s="62"/>
      <c r="J33" s="53"/>
    </row>
    <row r="34" ht="24.75" hidden="1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167</v>
      </c>
      <c r="F34" s="57" t="s">
        <v>154</v>
      </c>
      <c r="G34" s="61"/>
      <c r="H34" s="61"/>
      <c r="I34" s="62"/>
      <c r="J34" s="53"/>
    </row>
    <row r="35" ht="24.75" hidden="1" customHeight="1">
      <c r="A35" s="54">
        <v>60.0</v>
      </c>
      <c r="B35" s="56" t="s">
        <v>174</v>
      </c>
      <c r="C35" s="56" t="s">
        <v>165</v>
      </c>
      <c r="D35" s="56" t="s">
        <v>175</v>
      </c>
      <c r="E35" s="56" t="s">
        <v>176</v>
      </c>
      <c r="F35" s="57" t="s">
        <v>154</v>
      </c>
      <c r="G35" s="61"/>
      <c r="H35" s="61"/>
      <c r="I35" s="62"/>
      <c r="J35" s="53"/>
    </row>
    <row r="36" ht="24.75" hidden="1" customHeight="1">
      <c r="A36" s="54">
        <v>60.0</v>
      </c>
      <c r="B36" s="56" t="s">
        <v>177</v>
      </c>
      <c r="C36" s="56" t="s">
        <v>165</v>
      </c>
      <c r="D36" s="56" t="s">
        <v>178</v>
      </c>
      <c r="E36" s="56" t="s">
        <v>111</v>
      </c>
      <c r="F36" s="57" t="s">
        <v>154</v>
      </c>
      <c r="G36" s="61"/>
      <c r="H36" s="61"/>
      <c r="I36" s="62"/>
      <c r="J36" s="53"/>
    </row>
    <row r="37" ht="24.75" hidden="1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167</v>
      </c>
      <c r="F37" s="57" t="s">
        <v>154</v>
      </c>
      <c r="G37" s="61"/>
      <c r="H37" s="61"/>
      <c r="I37" s="62"/>
      <c r="J37" s="53"/>
    </row>
    <row r="38" ht="24.75" hidden="1" customHeight="1">
      <c r="A38" s="54">
        <v>60.0</v>
      </c>
      <c r="B38" s="56" t="s">
        <v>179</v>
      </c>
      <c r="C38" s="56" t="s">
        <v>165</v>
      </c>
      <c r="D38" s="56" t="s">
        <v>180</v>
      </c>
      <c r="E38" s="56" t="s">
        <v>176</v>
      </c>
      <c r="F38" s="57" t="s">
        <v>154</v>
      </c>
      <c r="G38" s="61"/>
      <c r="H38" s="61"/>
      <c r="I38" s="62"/>
      <c r="J38" s="53"/>
    </row>
    <row r="39" ht="24.75" hidden="1" customHeight="1">
      <c r="A39" s="54">
        <v>60.0</v>
      </c>
      <c r="B39" s="56" t="s">
        <v>181</v>
      </c>
      <c r="C39" s="56" t="s">
        <v>165</v>
      </c>
      <c r="D39" s="56" t="s">
        <v>178</v>
      </c>
      <c r="E39" s="56" t="s">
        <v>167</v>
      </c>
      <c r="F39" s="57" t="s">
        <v>154</v>
      </c>
      <c r="G39" s="61"/>
      <c r="H39" s="61"/>
      <c r="I39" s="62" t="s">
        <v>14</v>
      </c>
      <c r="J39" s="53"/>
    </row>
    <row r="40" ht="24.75" hidden="1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167</v>
      </c>
      <c r="F40" s="57" t="s">
        <v>154</v>
      </c>
      <c r="G40" s="61"/>
      <c r="H40" s="61"/>
      <c r="I40" s="62"/>
      <c r="J40" s="53"/>
    </row>
    <row r="41" ht="24.75" hidden="1" customHeight="1">
      <c r="A41" s="54">
        <v>60.0</v>
      </c>
      <c r="B41" s="56" t="s">
        <v>182</v>
      </c>
      <c r="C41" s="56" t="s">
        <v>165</v>
      </c>
      <c r="D41" s="56" t="s">
        <v>183</v>
      </c>
      <c r="E41" s="56" t="s">
        <v>176</v>
      </c>
      <c r="F41" s="57" t="s">
        <v>154</v>
      </c>
      <c r="G41" s="61"/>
      <c r="H41" s="61"/>
      <c r="I41" s="62"/>
      <c r="J41" s="53"/>
    </row>
    <row r="42" ht="24.75" hidden="1" customHeight="1">
      <c r="A42" s="54">
        <v>60.0</v>
      </c>
      <c r="B42" s="56" t="s">
        <v>184</v>
      </c>
      <c r="C42" s="56" t="s">
        <v>165</v>
      </c>
      <c r="D42" s="56" t="s">
        <v>178</v>
      </c>
      <c r="E42" s="56" t="s">
        <v>167</v>
      </c>
      <c r="F42" s="57" t="s">
        <v>154</v>
      </c>
      <c r="G42" s="61"/>
      <c r="H42" s="61"/>
      <c r="I42" s="62"/>
      <c r="J42" s="53"/>
    </row>
    <row r="43" ht="24.75" hidden="1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167</v>
      </c>
      <c r="F43" s="57" t="s">
        <v>154</v>
      </c>
      <c r="G43" s="61"/>
      <c r="H43" s="61"/>
      <c r="I43" s="62"/>
      <c r="J43" s="53"/>
    </row>
    <row r="44" ht="24.75" hidden="1" customHeight="1">
      <c r="A44" s="54">
        <v>60.0</v>
      </c>
      <c r="B44" s="56" t="s">
        <v>185</v>
      </c>
      <c r="C44" s="56" t="s">
        <v>165</v>
      </c>
      <c r="D44" s="56" t="s">
        <v>186</v>
      </c>
      <c r="E44" s="56" t="s">
        <v>176</v>
      </c>
      <c r="F44" s="57" t="s">
        <v>154</v>
      </c>
      <c r="G44" s="61"/>
      <c r="H44" s="61"/>
      <c r="I44" s="62"/>
      <c r="J44" s="53"/>
    </row>
    <row r="45" ht="24.75" hidden="1" customHeight="1">
      <c r="A45" s="54">
        <v>60.0</v>
      </c>
      <c r="B45" s="56" t="s">
        <v>187</v>
      </c>
      <c r="C45" s="56" t="s">
        <v>165</v>
      </c>
      <c r="D45" s="56" t="s">
        <v>178</v>
      </c>
      <c r="E45" s="56" t="s">
        <v>167</v>
      </c>
      <c r="F45" s="57" t="s">
        <v>154</v>
      </c>
      <c r="G45" s="61"/>
      <c r="H45" s="61"/>
      <c r="I45" s="62"/>
      <c r="J45" s="53"/>
    </row>
    <row r="46" ht="24.75" hidden="1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191</v>
      </c>
      <c r="F46" s="57" t="s">
        <v>192</v>
      </c>
      <c r="G46" s="61"/>
      <c r="H46" s="61"/>
      <c r="I46" s="62"/>
      <c r="J46" s="53"/>
    </row>
    <row r="47" ht="24.75" hidden="1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194</v>
      </c>
      <c r="F47" s="57" t="s">
        <v>192</v>
      </c>
      <c r="G47" s="61"/>
      <c r="H47" s="61"/>
      <c r="I47" s="62"/>
      <c r="J47" s="53"/>
    </row>
    <row r="48" ht="24.75" hidden="1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195</v>
      </c>
      <c r="F48" s="57" t="s">
        <v>34</v>
      </c>
      <c r="G48" s="61"/>
      <c r="H48" s="61" t="s">
        <v>197</v>
      </c>
      <c r="I48" s="62"/>
      <c r="J48" s="53"/>
    </row>
    <row r="49" ht="24.75" hidden="1" customHeight="1">
      <c r="A49" s="54">
        <v>80.0</v>
      </c>
      <c r="B49" s="56" t="s">
        <v>188</v>
      </c>
      <c r="C49" s="56" t="s">
        <v>189</v>
      </c>
      <c r="D49" s="56" t="s">
        <v>190</v>
      </c>
      <c r="E49" s="56" t="s">
        <v>196</v>
      </c>
      <c r="F49" s="57" t="s">
        <v>250</v>
      </c>
      <c r="G49" s="61"/>
      <c r="H49" s="61" t="s">
        <v>200</v>
      </c>
      <c r="I49" s="62" t="s">
        <v>201</v>
      </c>
      <c r="J49" s="53"/>
    </row>
    <row r="50" ht="24.75" hidden="1" customHeight="1">
      <c r="A50" s="54">
        <v>80.0</v>
      </c>
      <c r="B50" s="56" t="s">
        <v>198</v>
      </c>
      <c r="C50" s="56" t="s">
        <v>189</v>
      </c>
      <c r="D50" s="56" t="s">
        <v>199</v>
      </c>
      <c r="E50" s="56" t="s">
        <v>163</v>
      </c>
      <c r="F50" s="57" t="s">
        <v>154</v>
      </c>
      <c r="G50" s="61"/>
      <c r="H50" s="61"/>
      <c r="I50" s="62" t="s">
        <v>207</v>
      </c>
      <c r="J50" s="53"/>
    </row>
    <row r="51" ht="24.75" hidden="1" customHeight="1">
      <c r="A51" s="54">
        <v>80.0</v>
      </c>
      <c r="B51" s="56" t="s">
        <v>203</v>
      </c>
      <c r="C51" s="56" t="s">
        <v>204</v>
      </c>
      <c r="D51" s="56" t="s">
        <v>205</v>
      </c>
      <c r="E51" s="56" t="s">
        <v>208</v>
      </c>
      <c r="F51" s="57" t="s">
        <v>154</v>
      </c>
      <c r="G51" s="61"/>
      <c r="H51" s="61"/>
      <c r="I51" s="62" t="s">
        <v>207</v>
      </c>
      <c r="J51" s="53"/>
    </row>
    <row r="52" ht="24.75" hidden="1" customHeight="1">
      <c r="A52" s="54">
        <v>80.0</v>
      </c>
      <c r="B52" s="56" t="s">
        <v>210</v>
      </c>
      <c r="C52" s="56" t="s">
        <v>189</v>
      </c>
      <c r="D52" s="56" t="s">
        <v>212</v>
      </c>
      <c r="E52" s="56" t="s">
        <v>213</v>
      </c>
      <c r="F52" s="57"/>
      <c r="G52" s="61"/>
      <c r="H52" s="61"/>
      <c r="I52" s="62"/>
      <c r="J52" s="53"/>
    </row>
    <row r="53" ht="24.75" hidden="1" customHeight="1">
      <c r="A53" s="54">
        <v>80.0</v>
      </c>
      <c r="B53" s="56" t="s">
        <v>214</v>
      </c>
      <c r="C53" s="56" t="s">
        <v>204</v>
      </c>
      <c r="D53" s="56" t="s">
        <v>215</v>
      </c>
      <c r="E53" s="56" t="s">
        <v>216</v>
      </c>
      <c r="F53" s="57" t="s">
        <v>154</v>
      </c>
      <c r="G53" s="61"/>
      <c r="H53" s="61"/>
      <c r="I53" s="62" t="s">
        <v>207</v>
      </c>
      <c r="J53" s="53"/>
    </row>
    <row r="54" ht="24.75" hidden="1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217</v>
      </c>
      <c r="F54" s="57" t="s">
        <v>154</v>
      </c>
      <c r="G54" s="61"/>
      <c r="H54" s="61"/>
      <c r="I54" s="62" t="s">
        <v>207</v>
      </c>
      <c r="J54" s="53"/>
    </row>
    <row r="55" ht="24.75" hidden="1" customHeight="1">
      <c r="A55" s="54">
        <v>80.0</v>
      </c>
      <c r="B55" s="56" t="s">
        <v>214</v>
      </c>
      <c r="C55" s="56" t="s">
        <v>204</v>
      </c>
      <c r="D55" s="56" t="s">
        <v>215</v>
      </c>
      <c r="E55" s="56" t="s">
        <v>163</v>
      </c>
      <c r="F55" s="57" t="s">
        <v>154</v>
      </c>
      <c r="G55" s="61"/>
      <c r="H55" s="61"/>
      <c r="I55" s="62" t="s">
        <v>207</v>
      </c>
      <c r="J55" s="53"/>
    </row>
    <row r="56" ht="24.75" hidden="1" customHeight="1">
      <c r="A56" s="54">
        <v>80.0</v>
      </c>
      <c r="B56" s="56" t="s">
        <v>218</v>
      </c>
      <c r="C56" s="56" t="s">
        <v>204</v>
      </c>
      <c r="D56" s="56" t="s">
        <v>219</v>
      </c>
      <c r="E56" s="56" t="s">
        <v>191</v>
      </c>
      <c r="F56" s="57" t="s">
        <v>192</v>
      </c>
      <c r="G56" s="61"/>
      <c r="H56" s="61"/>
      <c r="I56" s="62"/>
      <c r="J56" s="53"/>
    </row>
    <row r="57" ht="24.75" hidden="1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194</v>
      </c>
      <c r="F57" s="57" t="s">
        <v>192</v>
      </c>
      <c r="G57" s="61"/>
      <c r="H57" s="61"/>
      <c r="I57" s="62"/>
      <c r="J57" s="53"/>
    </row>
    <row r="58" ht="24.75" hidden="1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195</v>
      </c>
      <c r="F58" s="57" t="s">
        <v>34</v>
      </c>
      <c r="G58" s="61"/>
      <c r="H58" s="61" t="s">
        <v>197</v>
      </c>
      <c r="I58" s="62"/>
      <c r="J58" s="53"/>
    </row>
    <row r="59" ht="24.75" hidden="1" customHeight="1">
      <c r="A59" s="54">
        <v>80.0</v>
      </c>
      <c r="B59" s="56" t="s">
        <v>218</v>
      </c>
      <c r="C59" s="56" t="s">
        <v>204</v>
      </c>
      <c r="D59" s="56" t="s">
        <v>219</v>
      </c>
      <c r="E59" s="56" t="s">
        <v>196</v>
      </c>
      <c r="F59" s="57" t="s">
        <v>250</v>
      </c>
      <c r="G59" s="61"/>
      <c r="H59" s="61" t="s">
        <v>200</v>
      </c>
      <c r="I59" s="62" t="s">
        <v>201</v>
      </c>
      <c r="J59" s="53"/>
    </row>
    <row r="60" ht="24.75" hidden="1" customHeight="1">
      <c r="A60" s="54">
        <v>80.0</v>
      </c>
      <c r="B60" s="56" t="s">
        <v>220</v>
      </c>
      <c r="C60" s="56" t="s">
        <v>204</v>
      </c>
      <c r="D60" s="56" t="s">
        <v>221</v>
      </c>
      <c r="E60" s="56" t="s">
        <v>222</v>
      </c>
      <c r="F60" s="57" t="s">
        <v>154</v>
      </c>
      <c r="G60" s="61"/>
      <c r="H60" s="61"/>
      <c r="I60" s="62"/>
      <c r="J60" s="53"/>
    </row>
    <row r="61" ht="24.75" hidden="1" customHeight="1">
      <c r="A61" s="54">
        <v>80.0</v>
      </c>
      <c r="B61" s="56" t="s">
        <v>223</v>
      </c>
      <c r="C61" s="56" t="s">
        <v>204</v>
      </c>
      <c r="D61" s="56" t="s">
        <v>224</v>
      </c>
      <c r="E61" s="56" t="s">
        <v>225</v>
      </c>
      <c r="F61" s="57" t="s">
        <v>34</v>
      </c>
      <c r="G61" s="61"/>
      <c r="H61" s="61"/>
      <c r="I61" s="62"/>
      <c r="J61" s="53"/>
    </row>
    <row r="62" ht="24.75" hidden="1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167</v>
      </c>
      <c r="F62" s="57" t="s">
        <v>154</v>
      </c>
      <c r="G62" s="61"/>
      <c r="H62" s="61"/>
      <c r="I62" s="62"/>
      <c r="J62" s="53"/>
    </row>
    <row r="63" ht="24.75" hidden="1" customHeight="1">
      <c r="A63" s="54">
        <v>80.0</v>
      </c>
      <c r="B63" s="56" t="s">
        <v>223</v>
      </c>
      <c r="C63" s="56" t="s">
        <v>204</v>
      </c>
      <c r="D63" s="56" t="s">
        <v>224</v>
      </c>
      <c r="E63" s="56" t="s">
        <v>226</v>
      </c>
      <c r="F63" s="57" t="s">
        <v>154</v>
      </c>
      <c r="G63" s="61"/>
      <c r="H63" s="61"/>
      <c r="I63" s="62"/>
      <c r="J63" s="53"/>
    </row>
    <row r="64" ht="24.75" hidden="1" customHeight="1">
      <c r="A64" s="54">
        <v>80.0</v>
      </c>
      <c r="B64" s="56" t="s">
        <v>227</v>
      </c>
      <c r="C64" s="56" t="s">
        <v>228</v>
      </c>
      <c r="D64" s="56" t="s">
        <v>229</v>
      </c>
      <c r="E64" s="56" t="s">
        <v>230</v>
      </c>
      <c r="F64" s="57" t="s">
        <v>154</v>
      </c>
      <c r="G64" s="61"/>
      <c r="H64" s="61"/>
      <c r="I64" s="62"/>
      <c r="J64" s="53"/>
    </row>
    <row r="65" ht="24.75" hidden="1" customHeight="1">
      <c r="A65" s="54">
        <v>80.0</v>
      </c>
      <c r="B65" s="56" t="s">
        <v>227</v>
      </c>
      <c r="C65" s="56" t="s">
        <v>228</v>
      </c>
      <c r="D65" s="56" t="s">
        <v>231</v>
      </c>
      <c r="E65" s="56" t="s">
        <v>232</v>
      </c>
      <c r="F65" s="57" t="s">
        <v>250</v>
      </c>
      <c r="G65" s="61"/>
      <c r="H65" s="61" t="s">
        <v>200</v>
      </c>
      <c r="I65" s="62" t="s">
        <v>240</v>
      </c>
      <c r="J65" s="53"/>
    </row>
    <row r="66" ht="24.75" customHeight="1">
      <c r="A66" s="54">
        <v>92.0</v>
      </c>
      <c r="B66" s="56" t="s">
        <v>233</v>
      </c>
      <c r="C66" s="56" t="s">
        <v>234</v>
      </c>
      <c r="D66" s="56" t="s">
        <v>235</v>
      </c>
      <c r="E66" s="56" t="s">
        <v>111</v>
      </c>
      <c r="F66" s="57" t="s">
        <v>87</v>
      </c>
      <c r="G66" s="61"/>
      <c r="H66" s="61"/>
      <c r="I66" s="60" t="s">
        <v>243</v>
      </c>
      <c r="J66" s="53"/>
    </row>
    <row r="67" ht="24.75" hidden="1" customHeight="1">
      <c r="A67" s="54">
        <v>90.0</v>
      </c>
      <c r="B67" s="56" t="s">
        <v>236</v>
      </c>
      <c r="C67" s="56" t="s">
        <v>237</v>
      </c>
      <c r="D67" s="56" t="s">
        <v>238</v>
      </c>
      <c r="E67" s="56" t="s">
        <v>239</v>
      </c>
      <c r="F67" s="57" t="s">
        <v>34</v>
      </c>
      <c r="G67" s="61"/>
      <c r="H67" s="61"/>
      <c r="I67" s="62" t="s">
        <v>245</v>
      </c>
      <c r="J67" s="53"/>
    </row>
    <row r="68" ht="24.75" hidden="1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241</v>
      </c>
      <c r="F68" s="57" t="s">
        <v>34</v>
      </c>
      <c r="G68" s="61"/>
      <c r="H68" s="61"/>
      <c r="I68" s="62" t="s">
        <v>245</v>
      </c>
      <c r="J68" s="53"/>
    </row>
    <row r="69" ht="24.75" hidden="1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242</v>
      </c>
      <c r="F69" s="57" t="s">
        <v>34</v>
      </c>
      <c r="G69" s="61"/>
      <c r="H69" s="61"/>
      <c r="I69" s="62" t="s">
        <v>245</v>
      </c>
      <c r="J69" s="53"/>
    </row>
    <row r="70" ht="24.75" hidden="1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244</v>
      </c>
      <c r="F70" s="57" t="s">
        <v>34</v>
      </c>
      <c r="G70" s="61"/>
      <c r="H70" s="61"/>
      <c r="I70" s="62" t="s">
        <v>245</v>
      </c>
      <c r="J70" s="53"/>
    </row>
    <row r="71" ht="24.75" hidden="1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247</v>
      </c>
      <c r="F71" s="57" t="s">
        <v>34</v>
      </c>
      <c r="G71" s="61"/>
      <c r="H71" s="61"/>
      <c r="I71" s="62" t="s">
        <v>245</v>
      </c>
      <c r="J71" s="53"/>
    </row>
    <row r="72" ht="24.75" hidden="1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248</v>
      </c>
      <c r="F72" s="57" t="s">
        <v>34</v>
      </c>
      <c r="G72" s="61"/>
      <c r="H72" s="61"/>
      <c r="I72" s="62"/>
      <c r="J72" s="53"/>
    </row>
    <row r="73" ht="24.75" hidden="1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252</v>
      </c>
      <c r="F73" s="57" t="s">
        <v>34</v>
      </c>
      <c r="G73" s="61"/>
      <c r="H73" s="61"/>
      <c r="I73" s="62" t="s">
        <v>245</v>
      </c>
      <c r="J73" s="53"/>
    </row>
    <row r="74" ht="24.75" customHeight="1">
      <c r="A74" s="54">
        <v>92.0</v>
      </c>
      <c r="B74" s="56" t="s">
        <v>253</v>
      </c>
      <c r="C74" s="56" t="s">
        <v>234</v>
      </c>
      <c r="D74" s="56" t="s">
        <v>254</v>
      </c>
      <c r="E74" s="56" t="s">
        <v>111</v>
      </c>
      <c r="F74" s="57" t="s">
        <v>87</v>
      </c>
      <c r="G74" s="61"/>
      <c r="H74" s="61"/>
      <c r="I74" s="60" t="s">
        <v>243</v>
      </c>
      <c r="J74" s="53"/>
    </row>
    <row r="75" ht="24.75" customHeight="1">
      <c r="A75" s="54">
        <v>92.0</v>
      </c>
      <c r="B75" s="56" t="s">
        <v>255</v>
      </c>
      <c r="C75" s="56" t="s">
        <v>234</v>
      </c>
      <c r="D75" s="56" t="s">
        <v>256</v>
      </c>
      <c r="E75" s="56" t="s">
        <v>257</v>
      </c>
      <c r="F75" s="57" t="s">
        <v>87</v>
      </c>
      <c r="G75" s="61"/>
      <c r="H75" s="61"/>
      <c r="I75" s="60"/>
      <c r="J75" s="53"/>
    </row>
    <row r="76" ht="24.75" customHeight="1">
      <c r="A76" s="54">
        <v>110.0</v>
      </c>
      <c r="B76" s="56" t="s">
        <v>258</v>
      </c>
      <c r="C76" s="56" t="s">
        <v>259</v>
      </c>
      <c r="D76" s="56" t="s">
        <v>85</v>
      </c>
      <c r="E76" s="56" t="s">
        <v>86</v>
      </c>
      <c r="F76" s="57" t="s">
        <v>87</v>
      </c>
      <c r="G76" s="61"/>
      <c r="H76" s="61"/>
      <c r="I76" s="60" t="s">
        <v>88</v>
      </c>
      <c r="J76" s="53"/>
    </row>
    <row r="77" ht="24.75" customHeight="1">
      <c r="A77" s="54">
        <v>110.0</v>
      </c>
      <c r="B77" s="56" t="s">
        <v>260</v>
      </c>
      <c r="C77" s="56" t="s">
        <v>259</v>
      </c>
      <c r="D77" s="56" t="s">
        <v>261</v>
      </c>
      <c r="E77" s="56" t="s">
        <v>86</v>
      </c>
      <c r="F77" s="57" t="s">
        <v>87</v>
      </c>
      <c r="G77" s="61"/>
      <c r="H77" s="61"/>
      <c r="I77" s="60" t="s">
        <v>88</v>
      </c>
      <c r="J77" s="53"/>
    </row>
    <row r="78" ht="24.75" customHeight="1">
      <c r="A78" s="54">
        <v>120.0</v>
      </c>
      <c r="B78" s="56" t="s">
        <v>262</v>
      </c>
      <c r="C78" s="56" t="s">
        <v>263</v>
      </c>
      <c r="D78" s="56" t="s">
        <v>263</v>
      </c>
      <c r="E78" s="56" t="s">
        <v>264</v>
      </c>
      <c r="F78" s="57" t="s">
        <v>87</v>
      </c>
      <c r="G78" s="61"/>
      <c r="H78" s="61"/>
      <c r="I78" s="60" t="s">
        <v>273</v>
      </c>
      <c r="J78" s="53"/>
    </row>
    <row r="79" ht="24.75" hidden="1" customHeight="1">
      <c r="A79" s="54">
        <v>90.0</v>
      </c>
      <c r="B79" s="56" t="s">
        <v>265</v>
      </c>
      <c r="C79" s="56" t="s">
        <v>237</v>
      </c>
      <c r="D79" s="56" t="s">
        <v>266</v>
      </c>
      <c r="E79" s="56" t="s">
        <v>267</v>
      </c>
      <c r="F79" s="57" t="s">
        <v>192</v>
      </c>
      <c r="G79" s="61"/>
      <c r="H79" s="61"/>
      <c r="I79" s="62" t="s">
        <v>245</v>
      </c>
      <c r="J79" s="53"/>
    </row>
    <row r="80" ht="24.75" hidden="1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268</v>
      </c>
      <c r="F80" s="57" t="s">
        <v>34</v>
      </c>
      <c r="G80" s="61"/>
      <c r="H80" s="61"/>
      <c r="I80" s="62" t="s">
        <v>245</v>
      </c>
      <c r="J80" s="53"/>
    </row>
    <row r="81" ht="24.75" customHeight="1">
      <c r="A81" s="54">
        <v>140.0</v>
      </c>
      <c r="B81" s="56" t="s">
        <v>269</v>
      </c>
      <c r="C81" s="56" t="s">
        <v>270</v>
      </c>
      <c r="D81" s="56" t="s">
        <v>271</v>
      </c>
      <c r="E81" s="56" t="s">
        <v>272</v>
      </c>
      <c r="F81" s="57" t="s">
        <v>87</v>
      </c>
      <c r="G81" s="61"/>
      <c r="H81" s="61"/>
      <c r="I81" s="60"/>
      <c r="J81" s="53"/>
    </row>
    <row r="82" ht="24.75" hidden="1" customHeight="1">
      <c r="A82" s="54">
        <v>90.0</v>
      </c>
      <c r="B82" s="56" t="s">
        <v>274</v>
      </c>
      <c r="C82" s="56" t="s">
        <v>237</v>
      </c>
      <c r="D82" s="56" t="s">
        <v>275</v>
      </c>
      <c r="E82" s="56" t="s">
        <v>239</v>
      </c>
      <c r="F82" s="57" t="s">
        <v>34</v>
      </c>
      <c r="G82" s="61"/>
      <c r="H82" s="61"/>
      <c r="I82" s="62" t="s">
        <v>245</v>
      </c>
      <c r="J82" s="53"/>
    </row>
    <row r="83" ht="24.75" hidden="1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248</v>
      </c>
      <c r="F83" s="57" t="s">
        <v>34</v>
      </c>
      <c r="G83" s="61"/>
      <c r="H83" s="61"/>
      <c r="I83" s="62"/>
      <c r="J83" s="53"/>
    </row>
    <row r="84" ht="24.75" customHeight="1">
      <c r="A84" s="54">
        <v>140.0</v>
      </c>
      <c r="B84" s="56" t="s">
        <v>269</v>
      </c>
      <c r="C84" s="56" t="s">
        <v>270</v>
      </c>
      <c r="D84" s="56" t="s">
        <v>271</v>
      </c>
      <c r="E84" s="56" t="s">
        <v>276</v>
      </c>
      <c r="F84" s="57" t="s">
        <v>87</v>
      </c>
      <c r="G84" s="61"/>
      <c r="H84" s="61"/>
      <c r="I84" s="60" t="s">
        <v>88</v>
      </c>
      <c r="J84" s="53"/>
    </row>
    <row r="85" ht="24.75" hidden="1" customHeight="1">
      <c r="A85" s="54">
        <v>90.0</v>
      </c>
      <c r="B85" s="56" t="s">
        <v>277</v>
      </c>
      <c r="C85" s="56" t="s">
        <v>278</v>
      </c>
      <c r="D85" s="56" t="s">
        <v>279</v>
      </c>
      <c r="E85" s="56" t="s">
        <v>239</v>
      </c>
      <c r="F85" s="57" t="s">
        <v>34</v>
      </c>
      <c r="G85" s="61"/>
      <c r="H85" s="61"/>
      <c r="I85" s="62" t="s">
        <v>283</v>
      </c>
      <c r="J85" s="53"/>
    </row>
    <row r="86" ht="24.75" hidden="1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163</v>
      </c>
      <c r="F86" s="57" t="s">
        <v>34</v>
      </c>
      <c r="G86" s="61"/>
      <c r="H86" s="61"/>
      <c r="I86" s="62" t="s">
        <v>283</v>
      </c>
      <c r="J86" s="53"/>
    </row>
    <row r="87" ht="24.75" hidden="1" customHeight="1">
      <c r="A87" s="54">
        <v>90.0</v>
      </c>
      <c r="B87" s="56" t="s">
        <v>277</v>
      </c>
      <c r="C87" s="56" t="s">
        <v>278</v>
      </c>
      <c r="D87" s="56" t="s">
        <v>279</v>
      </c>
      <c r="E87" s="56" t="s">
        <v>241</v>
      </c>
      <c r="F87" s="57" t="s">
        <v>34</v>
      </c>
      <c r="G87" s="61"/>
      <c r="H87" s="61"/>
      <c r="I87" s="62" t="s">
        <v>283</v>
      </c>
      <c r="J87" s="53"/>
    </row>
    <row r="88" ht="24.75" hidden="1" customHeight="1">
      <c r="A88" s="54">
        <v>90.0</v>
      </c>
      <c r="B88" s="56" t="s">
        <v>280</v>
      </c>
      <c r="C88" s="56" t="s">
        <v>278</v>
      </c>
      <c r="D88" s="56" t="s">
        <v>281</v>
      </c>
      <c r="E88" s="56" t="s">
        <v>196</v>
      </c>
      <c r="F88" s="57" t="s">
        <v>250</v>
      </c>
      <c r="G88" s="61"/>
      <c r="H88" s="61" t="s">
        <v>287</v>
      </c>
      <c r="I88" s="62" t="s">
        <v>288</v>
      </c>
      <c r="J88" s="53"/>
    </row>
    <row r="89" ht="24.75" customHeight="1">
      <c r="A89" s="54">
        <v>140.0</v>
      </c>
      <c r="B89" s="56" t="s">
        <v>284</v>
      </c>
      <c r="C89" s="56" t="s">
        <v>270</v>
      </c>
      <c r="D89" s="56" t="s">
        <v>285</v>
      </c>
      <c r="E89" s="56" t="s">
        <v>272</v>
      </c>
      <c r="F89" s="57" t="s">
        <v>87</v>
      </c>
      <c r="G89" s="61"/>
      <c r="H89" s="61"/>
      <c r="I89" s="60"/>
      <c r="J89" s="53"/>
    </row>
    <row r="90" ht="24.75" customHeight="1">
      <c r="A90" s="54">
        <v>140.0</v>
      </c>
      <c r="B90" s="56" t="s">
        <v>284</v>
      </c>
      <c r="C90" s="56" t="s">
        <v>270</v>
      </c>
      <c r="D90" s="56" t="s">
        <v>285</v>
      </c>
      <c r="E90" s="56" t="s">
        <v>276</v>
      </c>
      <c r="F90" s="57" t="s">
        <v>87</v>
      </c>
      <c r="G90" s="61"/>
      <c r="H90" s="61"/>
      <c r="I90" s="60" t="s">
        <v>88</v>
      </c>
      <c r="J90" s="53"/>
    </row>
    <row r="91" ht="24.75" hidden="1" customHeight="1">
      <c r="A91" s="54">
        <v>90.0</v>
      </c>
      <c r="B91" s="56" t="s">
        <v>286</v>
      </c>
      <c r="C91" s="56" t="s">
        <v>278</v>
      </c>
      <c r="D91" s="56" t="s">
        <v>266</v>
      </c>
      <c r="E91" s="56" t="s">
        <v>268</v>
      </c>
      <c r="F91" s="57" t="s">
        <v>34</v>
      </c>
      <c r="G91" s="61"/>
      <c r="H91" s="61"/>
      <c r="I91" s="62" t="s">
        <v>283</v>
      </c>
      <c r="J91" s="53"/>
    </row>
    <row r="92" ht="24.75" customHeight="1">
      <c r="A92" s="54" t="s">
        <v>289</v>
      </c>
      <c r="B92" s="56" t="s">
        <v>290</v>
      </c>
      <c r="C92" s="56" t="s">
        <v>291</v>
      </c>
      <c r="D92" s="56" t="s">
        <v>292</v>
      </c>
      <c r="E92" s="56" t="s">
        <v>167</v>
      </c>
      <c r="F92" s="57" t="s">
        <v>87</v>
      </c>
      <c r="G92" s="61"/>
      <c r="H92" s="79"/>
      <c r="I92" s="60"/>
      <c r="J92" s="53"/>
    </row>
    <row r="93" ht="24.75" hidden="1" customHeight="1">
      <c r="A93" s="54">
        <v>90.0</v>
      </c>
      <c r="B93" s="56" t="s">
        <v>294</v>
      </c>
      <c r="C93" s="56" t="s">
        <v>278</v>
      </c>
      <c r="D93" s="56" t="s">
        <v>275</v>
      </c>
      <c r="E93" s="56" t="s">
        <v>239</v>
      </c>
      <c r="F93" s="57" t="s">
        <v>34</v>
      </c>
      <c r="G93" s="61"/>
      <c r="H93" s="61"/>
      <c r="I93" s="62"/>
      <c r="J93" s="53"/>
    </row>
    <row r="94" ht="24.75" customHeight="1">
      <c r="A94" s="54" t="s">
        <v>289</v>
      </c>
      <c r="B94" s="56" t="s">
        <v>290</v>
      </c>
      <c r="C94" s="56" t="s">
        <v>291</v>
      </c>
      <c r="D94" s="56" t="s">
        <v>292</v>
      </c>
      <c r="E94" s="56" t="s">
        <v>295</v>
      </c>
      <c r="F94" s="57" t="s">
        <v>87</v>
      </c>
      <c r="G94" s="61"/>
      <c r="H94" s="79"/>
      <c r="I94" s="60"/>
      <c r="J94" s="53"/>
    </row>
    <row r="95" ht="24.75" hidden="1" customHeight="1">
      <c r="A95" s="54">
        <v>92.0</v>
      </c>
      <c r="B95" s="56" t="s">
        <v>233</v>
      </c>
      <c r="C95" s="56" t="s">
        <v>234</v>
      </c>
      <c r="D95" s="56" t="s">
        <v>296</v>
      </c>
      <c r="E95" s="56" t="s">
        <v>297</v>
      </c>
      <c r="F95" s="57"/>
      <c r="G95" s="61"/>
      <c r="H95" s="61"/>
      <c r="I95" s="62" t="s">
        <v>283</v>
      </c>
      <c r="J95" s="53"/>
    </row>
    <row r="96" ht="24.75" hidden="1" customHeight="1">
      <c r="A96" s="54">
        <v>90.0</v>
      </c>
      <c r="B96" s="56" t="s">
        <v>298</v>
      </c>
      <c r="C96" s="56" t="s">
        <v>278</v>
      </c>
      <c r="D96" s="56" t="s">
        <v>299</v>
      </c>
      <c r="E96" s="56" t="s">
        <v>167</v>
      </c>
      <c r="F96" s="57" t="s">
        <v>15</v>
      </c>
      <c r="G96" s="61"/>
      <c r="H96" s="61"/>
      <c r="I96" s="60"/>
      <c r="J96" s="53"/>
    </row>
    <row r="97" ht="24.75" hidden="1" customHeight="1">
      <c r="A97" s="54">
        <v>92.0</v>
      </c>
      <c r="B97" s="56" t="s">
        <v>253</v>
      </c>
      <c r="C97" s="56" t="s">
        <v>234</v>
      </c>
      <c r="D97" s="56" t="s">
        <v>300</v>
      </c>
      <c r="E97" s="56" t="s">
        <v>297</v>
      </c>
      <c r="F97" s="57"/>
      <c r="G97" s="61"/>
      <c r="H97" s="61"/>
      <c r="I97" s="62" t="s">
        <v>283</v>
      </c>
      <c r="J97" s="53"/>
    </row>
    <row r="98" ht="24.75" hidden="1" customHeight="1">
      <c r="A98" s="54">
        <v>92.0</v>
      </c>
      <c r="B98" s="56" t="s">
        <v>301</v>
      </c>
      <c r="C98" s="56" t="s">
        <v>234</v>
      </c>
      <c r="D98" s="56" t="s">
        <v>302</v>
      </c>
      <c r="E98" s="56" t="s">
        <v>163</v>
      </c>
      <c r="F98" s="57" t="s">
        <v>34</v>
      </c>
      <c r="G98" s="61"/>
      <c r="H98" s="61"/>
      <c r="I98" s="62"/>
      <c r="J98" s="53"/>
    </row>
    <row r="99" ht="24.75" hidden="1" customHeight="1">
      <c r="A99" s="54">
        <v>92.0</v>
      </c>
      <c r="B99" s="56" t="s">
        <v>301</v>
      </c>
      <c r="C99" s="56" t="s">
        <v>234</v>
      </c>
      <c r="D99" s="56" t="s">
        <v>302</v>
      </c>
      <c r="E99" s="56" t="s">
        <v>111</v>
      </c>
      <c r="F99" s="57" t="s">
        <v>154</v>
      </c>
      <c r="G99" s="61"/>
      <c r="H99" s="61"/>
      <c r="I99" s="62"/>
      <c r="J99" s="53"/>
    </row>
    <row r="100" ht="24.75" hidden="1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248</v>
      </c>
      <c r="F100" s="57" t="s">
        <v>303</v>
      </c>
      <c r="G100" s="61"/>
      <c r="H100" s="61"/>
      <c r="I100" s="62"/>
      <c r="J100" s="53"/>
    </row>
    <row r="101" ht="24.75" hidden="1" customHeight="1">
      <c r="A101" s="54">
        <v>92.0</v>
      </c>
      <c r="B101" s="56" t="s">
        <v>301</v>
      </c>
      <c r="C101" s="56" t="s">
        <v>234</v>
      </c>
      <c r="D101" s="56" t="s">
        <v>302</v>
      </c>
      <c r="E101" s="56" t="s">
        <v>247</v>
      </c>
      <c r="F101" s="57" t="s">
        <v>303</v>
      </c>
      <c r="G101" s="61"/>
      <c r="H101" s="61"/>
      <c r="I101" s="62"/>
      <c r="J101" s="53"/>
    </row>
    <row r="102" ht="24.75" hidden="1" customHeight="1">
      <c r="A102" s="54">
        <v>92.0</v>
      </c>
      <c r="B102" s="56" t="s">
        <v>304</v>
      </c>
      <c r="C102" s="56" t="s">
        <v>234</v>
      </c>
      <c r="D102" s="56" t="s">
        <v>305</v>
      </c>
      <c r="E102" s="56" t="s">
        <v>163</v>
      </c>
      <c r="F102" s="57" t="s">
        <v>34</v>
      </c>
      <c r="G102" s="61"/>
      <c r="H102" s="61"/>
      <c r="I102" s="62"/>
      <c r="J102" s="53"/>
    </row>
    <row r="103" ht="24.75" hidden="1" customHeight="1">
      <c r="A103" s="54">
        <v>92.0</v>
      </c>
      <c r="B103" s="56" t="s">
        <v>304</v>
      </c>
      <c r="C103" s="56" t="s">
        <v>234</v>
      </c>
      <c r="D103" s="56" t="s">
        <v>305</v>
      </c>
      <c r="E103" s="56" t="s">
        <v>111</v>
      </c>
      <c r="F103" s="57" t="s">
        <v>154</v>
      </c>
      <c r="G103" s="61"/>
      <c r="H103" s="61"/>
      <c r="I103" s="62"/>
      <c r="J103" s="53"/>
    </row>
    <row r="104" ht="24.75" hidden="1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248</v>
      </c>
      <c r="F104" s="57" t="s">
        <v>303</v>
      </c>
      <c r="G104" s="61"/>
      <c r="H104" s="61"/>
      <c r="I104" s="62"/>
      <c r="J104" s="53"/>
    </row>
    <row r="105" ht="24.75" hidden="1" customHeight="1">
      <c r="A105" s="54">
        <v>92.0</v>
      </c>
      <c r="B105" s="56" t="s">
        <v>304</v>
      </c>
      <c r="C105" s="56" t="s">
        <v>234</v>
      </c>
      <c r="D105" s="56" t="s">
        <v>305</v>
      </c>
      <c r="E105" s="56" t="s">
        <v>247</v>
      </c>
      <c r="F105" s="57" t="s">
        <v>303</v>
      </c>
      <c r="G105" s="61"/>
      <c r="H105" s="61"/>
      <c r="I105" s="62"/>
      <c r="J105" s="53"/>
    </row>
    <row r="106" ht="24.75" hidden="1" customHeight="1">
      <c r="A106" s="54">
        <v>92.0</v>
      </c>
      <c r="B106" s="56" t="s">
        <v>306</v>
      </c>
      <c r="C106" s="56" t="s">
        <v>234</v>
      </c>
      <c r="D106" s="56" t="s">
        <v>307</v>
      </c>
      <c r="E106" s="56" t="s">
        <v>163</v>
      </c>
      <c r="F106" s="57" t="s">
        <v>34</v>
      </c>
      <c r="G106" s="61"/>
      <c r="H106" s="61"/>
      <c r="I106" s="62"/>
      <c r="J106" s="53"/>
    </row>
    <row r="107" ht="24.75" hidden="1" customHeight="1">
      <c r="A107" s="54">
        <v>92.0</v>
      </c>
      <c r="B107" s="56" t="s">
        <v>306</v>
      </c>
      <c r="C107" s="56" t="s">
        <v>234</v>
      </c>
      <c r="D107" s="56" t="s">
        <v>307</v>
      </c>
      <c r="E107" s="56" t="s">
        <v>111</v>
      </c>
      <c r="F107" s="57" t="s">
        <v>154</v>
      </c>
      <c r="G107" s="61"/>
      <c r="H107" s="61"/>
      <c r="I107" s="62"/>
      <c r="J107" s="53"/>
    </row>
    <row r="108" ht="24.75" hidden="1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248</v>
      </c>
      <c r="F108" s="57" t="s">
        <v>303</v>
      </c>
      <c r="G108" s="61"/>
      <c r="H108" s="61"/>
      <c r="I108" s="62"/>
      <c r="J108" s="53"/>
    </row>
    <row r="109" ht="24.75" hidden="1" customHeight="1">
      <c r="A109" s="54">
        <v>92.0</v>
      </c>
      <c r="B109" s="56" t="s">
        <v>306</v>
      </c>
      <c r="C109" s="56" t="s">
        <v>234</v>
      </c>
      <c r="D109" s="56" t="s">
        <v>307</v>
      </c>
      <c r="E109" s="56" t="s">
        <v>247</v>
      </c>
      <c r="F109" s="57" t="s">
        <v>303</v>
      </c>
      <c r="G109" s="61"/>
      <c r="H109" s="61"/>
      <c r="I109" s="62"/>
      <c r="J109" s="53"/>
    </row>
    <row r="110" ht="24.75" hidden="1" customHeight="1">
      <c r="A110" s="54">
        <v>90.0</v>
      </c>
      <c r="B110" s="56" t="s">
        <v>236</v>
      </c>
      <c r="C110" s="56" t="s">
        <v>237</v>
      </c>
      <c r="D110" s="56" t="s">
        <v>238</v>
      </c>
      <c r="E110" s="56" t="s">
        <v>308</v>
      </c>
      <c r="F110" s="57" t="s">
        <v>15</v>
      </c>
      <c r="G110" s="61"/>
      <c r="H110" s="61"/>
      <c r="I110" s="60"/>
      <c r="J110" s="53"/>
    </row>
    <row r="111" ht="24.75" hidden="1" customHeight="1">
      <c r="A111" s="54">
        <v>92.0</v>
      </c>
      <c r="B111" s="56" t="s">
        <v>309</v>
      </c>
      <c r="C111" s="56" t="s">
        <v>234</v>
      </c>
      <c r="D111" s="80" t="s">
        <v>310</v>
      </c>
      <c r="E111" s="56" t="s">
        <v>297</v>
      </c>
      <c r="F111" s="57"/>
      <c r="G111" s="61"/>
      <c r="H111" s="61"/>
      <c r="I111" s="62"/>
      <c r="J111" s="53"/>
    </row>
    <row r="112" ht="24.75" hidden="1" customHeight="1">
      <c r="A112" s="54">
        <v>90.0</v>
      </c>
      <c r="B112" s="56" t="s">
        <v>236</v>
      </c>
      <c r="C112" s="56" t="s">
        <v>237</v>
      </c>
      <c r="D112" s="56" t="s">
        <v>238</v>
      </c>
      <c r="E112" s="56" t="s">
        <v>311</v>
      </c>
      <c r="F112" s="57" t="s">
        <v>15</v>
      </c>
      <c r="G112" s="61"/>
      <c r="H112" s="61"/>
      <c r="I112" s="60"/>
      <c r="J112" s="53"/>
    </row>
    <row r="113" ht="24.75" hidden="1" customHeight="1">
      <c r="A113" s="54">
        <v>90.0</v>
      </c>
      <c r="B113" s="56" t="s">
        <v>236</v>
      </c>
      <c r="C113" s="56" t="s">
        <v>237</v>
      </c>
      <c r="D113" s="56" t="s">
        <v>238</v>
      </c>
      <c r="E113" s="56" t="s">
        <v>312</v>
      </c>
      <c r="F113" s="57" t="s">
        <v>15</v>
      </c>
      <c r="G113" s="61"/>
      <c r="H113" s="61"/>
      <c r="I113" s="60"/>
      <c r="J113" s="53"/>
    </row>
    <row r="114" ht="24.75" hidden="1" customHeight="1">
      <c r="A114" s="54">
        <v>100.0</v>
      </c>
      <c r="B114" s="56" t="s">
        <v>314</v>
      </c>
      <c r="C114" s="56" t="s">
        <v>315</v>
      </c>
      <c r="D114" s="56" t="s">
        <v>316</v>
      </c>
      <c r="E114" s="56" t="s">
        <v>317</v>
      </c>
      <c r="F114" s="57" t="s">
        <v>34</v>
      </c>
      <c r="G114" s="81"/>
      <c r="H114" s="81"/>
      <c r="I114" s="57"/>
      <c r="J114" s="53"/>
    </row>
    <row r="115" ht="24.75" hidden="1" customHeight="1">
      <c r="A115" s="54">
        <v>100.0</v>
      </c>
      <c r="B115" s="56" t="s">
        <v>318</v>
      </c>
      <c r="C115" s="56" t="s">
        <v>315</v>
      </c>
      <c r="D115" s="56" t="s">
        <v>319</v>
      </c>
      <c r="E115" s="56" t="s">
        <v>320</v>
      </c>
      <c r="F115" s="57" t="s">
        <v>34</v>
      </c>
      <c r="G115" s="81"/>
      <c r="H115" s="81"/>
      <c r="I115" s="57"/>
      <c r="J115" s="5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82"/>
      <c r="EB115" s="82"/>
      <c r="EC115" s="82"/>
      <c r="ED115" s="82"/>
      <c r="EE115" s="82"/>
      <c r="EF115" s="82"/>
      <c r="EG115" s="82"/>
      <c r="EH115" s="82"/>
      <c r="EI115" s="82"/>
      <c r="EJ115" s="82"/>
      <c r="EK115" s="82"/>
      <c r="EL115" s="82"/>
      <c r="EM115" s="82"/>
      <c r="EN115" s="82"/>
      <c r="EO115" s="82"/>
      <c r="EP115" s="82"/>
      <c r="EQ115" s="82"/>
      <c r="ER115" s="82"/>
      <c r="ES115" s="82"/>
      <c r="ET115" s="82"/>
      <c r="EU115" s="82"/>
      <c r="EV115" s="82"/>
      <c r="EW115" s="82"/>
      <c r="EX115" s="82"/>
      <c r="EY115" s="82"/>
      <c r="EZ115" s="82"/>
      <c r="FA115" s="82"/>
      <c r="FB115" s="82"/>
      <c r="FC115" s="82"/>
      <c r="FD115" s="82"/>
      <c r="FE115" s="82"/>
      <c r="FF115" s="82"/>
      <c r="FG115" s="82"/>
      <c r="FH115" s="82"/>
      <c r="FI115" s="82"/>
      <c r="FJ115" s="82"/>
      <c r="FK115" s="82"/>
      <c r="FL115" s="82"/>
      <c r="FM115" s="82"/>
      <c r="FN115" s="82"/>
      <c r="FO115" s="82"/>
      <c r="FP115" s="82"/>
      <c r="FQ115" s="82"/>
      <c r="FR115" s="82"/>
      <c r="FS115" s="82"/>
      <c r="FT115" s="82"/>
      <c r="FU115" s="82"/>
      <c r="FV115" s="82"/>
      <c r="FW115" s="82"/>
      <c r="FX115" s="82"/>
      <c r="FY115" s="82"/>
      <c r="FZ115" s="82"/>
      <c r="GA115" s="82"/>
      <c r="GB115" s="82"/>
      <c r="GC115" s="82"/>
      <c r="GD115" s="82"/>
      <c r="GE115" s="82"/>
      <c r="GF115" s="82"/>
    </row>
    <row r="116" ht="24.75" hidden="1" customHeight="1">
      <c r="A116" s="54">
        <v>100.0</v>
      </c>
      <c r="B116" s="56" t="s">
        <v>318</v>
      </c>
      <c r="C116" s="56" t="s">
        <v>315</v>
      </c>
      <c r="D116" s="56" t="s">
        <v>319</v>
      </c>
      <c r="E116" s="56" t="s">
        <v>325</v>
      </c>
      <c r="F116" s="57" t="s">
        <v>34</v>
      </c>
      <c r="G116" s="53"/>
      <c r="H116" s="53"/>
      <c r="I116" s="53"/>
      <c r="J116" s="5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F116" s="82"/>
      <c r="EG116" s="82"/>
      <c r="EH116" s="82"/>
      <c r="EI116" s="82"/>
      <c r="EJ116" s="82"/>
      <c r="EK116" s="82"/>
      <c r="EL116" s="82"/>
      <c r="EM116" s="82"/>
      <c r="EN116" s="82"/>
      <c r="EO116" s="82"/>
      <c r="EP116" s="82"/>
      <c r="EQ116" s="82"/>
      <c r="ER116" s="82"/>
      <c r="ES116" s="82"/>
      <c r="ET116" s="82"/>
      <c r="EU116" s="82"/>
      <c r="EV116" s="82"/>
      <c r="EW116" s="82"/>
      <c r="EX116" s="82"/>
      <c r="EY116" s="82"/>
      <c r="EZ116" s="82"/>
      <c r="FA116" s="82"/>
      <c r="FB116" s="82"/>
      <c r="FC116" s="82"/>
      <c r="FD116" s="82"/>
      <c r="FE116" s="82"/>
      <c r="FF116" s="82"/>
      <c r="FG116" s="82"/>
      <c r="FH116" s="82"/>
      <c r="FI116" s="82"/>
      <c r="FJ116" s="82"/>
      <c r="FK116" s="82"/>
      <c r="FL116" s="82"/>
      <c r="FM116" s="82"/>
      <c r="FN116" s="82"/>
      <c r="FO116" s="82"/>
      <c r="FP116" s="82"/>
      <c r="FQ116" s="82"/>
      <c r="FR116" s="82"/>
      <c r="FS116" s="82"/>
      <c r="FT116" s="82"/>
      <c r="FU116" s="82"/>
      <c r="FV116" s="82"/>
      <c r="FW116" s="82"/>
      <c r="FX116" s="82"/>
      <c r="FY116" s="82"/>
      <c r="FZ116" s="82"/>
      <c r="GA116" s="82"/>
      <c r="GB116" s="82"/>
      <c r="GC116" s="82"/>
      <c r="GD116" s="82"/>
      <c r="GE116" s="82"/>
      <c r="GF116" s="82"/>
    </row>
    <row r="117" ht="24.75" hidden="1" customHeight="1">
      <c r="A117" s="54">
        <v>100.0</v>
      </c>
      <c r="B117" s="56" t="s">
        <v>328</v>
      </c>
      <c r="C117" s="56" t="s">
        <v>315</v>
      </c>
      <c r="D117" s="56" t="s">
        <v>329</v>
      </c>
      <c r="E117" s="56" t="s">
        <v>320</v>
      </c>
      <c r="F117" s="57" t="s">
        <v>34</v>
      </c>
      <c r="G117" s="53"/>
      <c r="H117" s="53"/>
      <c r="I117" s="53"/>
      <c r="J117" s="5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  <c r="FU117" s="82"/>
      <c r="FV117" s="82"/>
      <c r="FW117" s="82"/>
      <c r="FX117" s="82"/>
      <c r="FY117" s="82"/>
      <c r="FZ117" s="82"/>
      <c r="GA117" s="82"/>
      <c r="GB117" s="82"/>
      <c r="GC117" s="82"/>
      <c r="GD117" s="82"/>
      <c r="GE117" s="82"/>
      <c r="GF117" s="82"/>
    </row>
    <row r="118" ht="24.75" hidden="1" customHeight="1">
      <c r="A118" s="54">
        <v>100.0</v>
      </c>
      <c r="B118" s="56" t="s">
        <v>328</v>
      </c>
      <c r="C118" s="56" t="s">
        <v>315</v>
      </c>
      <c r="D118" s="56" t="s">
        <v>329</v>
      </c>
      <c r="E118" s="56" t="s">
        <v>325</v>
      </c>
      <c r="F118" s="57" t="s">
        <v>34</v>
      </c>
      <c r="G118" s="53"/>
      <c r="H118" s="53"/>
      <c r="I118" s="53"/>
      <c r="J118" s="5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  <c r="FU118" s="82"/>
      <c r="FV118" s="82"/>
      <c r="FW118" s="82"/>
      <c r="FX118" s="82"/>
      <c r="FY118" s="82"/>
      <c r="FZ118" s="82"/>
      <c r="GA118" s="82"/>
      <c r="GB118" s="82"/>
      <c r="GC118" s="82"/>
      <c r="GD118" s="82"/>
      <c r="GE118" s="82"/>
      <c r="GF118" s="82"/>
    </row>
    <row r="119" ht="24.75" hidden="1" customHeight="1">
      <c r="A119" s="54">
        <v>100.0</v>
      </c>
      <c r="B119" s="56" t="s">
        <v>331</v>
      </c>
      <c r="C119" s="56" t="s">
        <v>315</v>
      </c>
      <c r="D119" s="56" t="s">
        <v>332</v>
      </c>
      <c r="E119" s="56" t="s">
        <v>333</v>
      </c>
      <c r="F119" s="57" t="s">
        <v>250</v>
      </c>
      <c r="G119" s="50"/>
      <c r="H119" s="61" t="s">
        <v>346</v>
      </c>
      <c r="I119" s="84" t="s">
        <v>347</v>
      </c>
      <c r="J119" s="53"/>
    </row>
    <row r="120" ht="24.75" hidden="1" customHeight="1">
      <c r="A120" s="54">
        <v>100.0</v>
      </c>
      <c r="B120" s="56" t="s">
        <v>334</v>
      </c>
      <c r="C120" s="56" t="s">
        <v>315</v>
      </c>
      <c r="D120" s="56" t="s">
        <v>335</v>
      </c>
      <c r="E120" s="56" t="s">
        <v>336</v>
      </c>
      <c r="F120" s="57" t="s">
        <v>192</v>
      </c>
      <c r="G120" s="50"/>
      <c r="H120" s="50"/>
      <c r="I120" s="84"/>
      <c r="J120" s="53"/>
    </row>
    <row r="121" ht="24.75" hidden="1" customHeight="1">
      <c r="A121" s="54">
        <v>90.0</v>
      </c>
      <c r="B121" s="56" t="s">
        <v>337</v>
      </c>
      <c r="C121" s="56" t="s">
        <v>237</v>
      </c>
      <c r="D121" s="56" t="s">
        <v>338</v>
      </c>
      <c r="E121" s="56" t="s">
        <v>111</v>
      </c>
      <c r="F121" s="57" t="s">
        <v>15</v>
      </c>
      <c r="G121" s="61"/>
      <c r="H121" s="61"/>
      <c r="I121" s="60"/>
      <c r="J121" s="53"/>
    </row>
    <row r="122" ht="24.75" hidden="1" customHeight="1">
      <c r="A122" s="54">
        <v>101.0</v>
      </c>
      <c r="B122" s="56" t="s">
        <v>339</v>
      </c>
      <c r="C122" s="56" t="s">
        <v>315</v>
      </c>
      <c r="D122" s="56" t="s">
        <v>340</v>
      </c>
      <c r="E122" s="56" t="s">
        <v>341</v>
      </c>
      <c r="F122" s="57" t="s">
        <v>154</v>
      </c>
      <c r="G122" s="61"/>
      <c r="H122" s="61"/>
      <c r="I122" s="62"/>
      <c r="J122" s="53"/>
    </row>
    <row r="123" ht="24.75" hidden="1" customHeight="1">
      <c r="A123" s="54">
        <v>101.0</v>
      </c>
      <c r="B123" s="56" t="s">
        <v>342</v>
      </c>
      <c r="C123" s="56" t="s">
        <v>315</v>
      </c>
      <c r="D123" s="56" t="s">
        <v>340</v>
      </c>
      <c r="E123" s="56" t="s">
        <v>333</v>
      </c>
      <c r="F123" s="57" t="s">
        <v>250</v>
      </c>
      <c r="G123" s="61"/>
      <c r="H123" s="61" t="s">
        <v>346</v>
      </c>
      <c r="I123" s="62" t="s">
        <v>347</v>
      </c>
      <c r="J123" s="53"/>
    </row>
    <row r="124" ht="24.75" hidden="1" customHeight="1">
      <c r="A124" s="54">
        <v>101.0</v>
      </c>
      <c r="B124" s="56" t="s">
        <v>343</v>
      </c>
      <c r="C124" s="56" t="s">
        <v>315</v>
      </c>
      <c r="D124" s="56" t="s">
        <v>340</v>
      </c>
      <c r="E124" s="56" t="s">
        <v>333</v>
      </c>
      <c r="F124" s="57" t="s">
        <v>250</v>
      </c>
      <c r="G124" s="61"/>
      <c r="H124" s="61" t="s">
        <v>346</v>
      </c>
      <c r="I124" s="62" t="s">
        <v>347</v>
      </c>
      <c r="J124" s="53"/>
    </row>
    <row r="125" ht="24.75" hidden="1" customHeight="1">
      <c r="A125" s="54">
        <v>101.0</v>
      </c>
      <c r="B125" s="56" t="s">
        <v>344</v>
      </c>
      <c r="C125" s="56" t="s">
        <v>315</v>
      </c>
      <c r="D125" s="56" t="s">
        <v>340</v>
      </c>
      <c r="E125" s="56" t="s">
        <v>345</v>
      </c>
      <c r="F125" s="57" t="s">
        <v>154</v>
      </c>
      <c r="G125" s="61"/>
      <c r="H125" s="61"/>
      <c r="I125" s="62"/>
      <c r="J125" s="53"/>
    </row>
    <row r="126" ht="24.75" hidden="1" customHeight="1">
      <c r="A126" s="54">
        <v>90.0</v>
      </c>
      <c r="B126" s="56" t="s">
        <v>348</v>
      </c>
      <c r="C126" s="56" t="s">
        <v>237</v>
      </c>
      <c r="D126" s="56" t="s">
        <v>349</v>
      </c>
      <c r="E126" s="56" t="s">
        <v>111</v>
      </c>
      <c r="F126" s="57" t="s">
        <v>15</v>
      </c>
      <c r="G126" s="61"/>
      <c r="H126" s="61"/>
      <c r="I126" s="60"/>
      <c r="J126" s="53"/>
    </row>
    <row r="127" ht="24.75" hidden="1" customHeight="1">
      <c r="A127" s="54">
        <v>101.0</v>
      </c>
      <c r="B127" s="56" t="s">
        <v>350</v>
      </c>
      <c r="C127" s="56" t="s">
        <v>315</v>
      </c>
      <c r="D127" s="56" t="s">
        <v>351</v>
      </c>
      <c r="E127" s="56" t="s">
        <v>352</v>
      </c>
      <c r="F127" s="57" t="s">
        <v>154</v>
      </c>
      <c r="G127" s="61"/>
      <c r="H127" s="61"/>
      <c r="I127" s="62"/>
      <c r="J127" s="53"/>
    </row>
    <row r="128" ht="24.75" hidden="1" customHeight="1">
      <c r="A128" s="54">
        <v>102.0</v>
      </c>
      <c r="B128" s="56" t="s">
        <v>353</v>
      </c>
      <c r="C128" s="56" t="s">
        <v>315</v>
      </c>
      <c r="D128" s="56" t="s">
        <v>354</v>
      </c>
      <c r="E128" s="56" t="s">
        <v>355</v>
      </c>
      <c r="F128" s="57" t="s">
        <v>250</v>
      </c>
      <c r="G128" s="61"/>
      <c r="H128" s="61" t="s">
        <v>346</v>
      </c>
      <c r="I128" s="62" t="s">
        <v>363</v>
      </c>
      <c r="J128" s="53"/>
    </row>
    <row r="129" ht="24.75" hidden="1" customHeight="1">
      <c r="A129" s="54">
        <v>90.0</v>
      </c>
      <c r="B129" s="56" t="s">
        <v>265</v>
      </c>
      <c r="C129" s="56" t="s">
        <v>237</v>
      </c>
      <c r="D129" s="56" t="s">
        <v>266</v>
      </c>
      <c r="E129" s="56" t="s">
        <v>111</v>
      </c>
      <c r="F129" s="57" t="s">
        <v>15</v>
      </c>
      <c r="G129" s="61"/>
      <c r="H129" s="61"/>
      <c r="I129" s="60" t="s">
        <v>283</v>
      </c>
      <c r="J129" s="53"/>
    </row>
    <row r="130" ht="24.75" hidden="1" customHeight="1">
      <c r="A130" s="54">
        <v>110.0</v>
      </c>
      <c r="B130" s="56" t="s">
        <v>356</v>
      </c>
      <c r="C130" s="56" t="s">
        <v>259</v>
      </c>
      <c r="D130" s="56" t="s">
        <v>357</v>
      </c>
      <c r="E130" s="56" t="s">
        <v>358</v>
      </c>
      <c r="F130" s="57" t="s">
        <v>34</v>
      </c>
      <c r="G130" s="61"/>
      <c r="H130" s="61"/>
      <c r="I130" s="62"/>
      <c r="J130" s="53"/>
    </row>
    <row r="131" ht="24.75" hidden="1" customHeight="1">
      <c r="A131" s="54">
        <v>110.0</v>
      </c>
      <c r="B131" s="56" t="s">
        <v>359</v>
      </c>
      <c r="C131" s="56" t="s">
        <v>259</v>
      </c>
      <c r="D131" s="56" t="s">
        <v>360</v>
      </c>
      <c r="E131" s="56" t="s">
        <v>358</v>
      </c>
      <c r="F131" s="57" t="s">
        <v>34</v>
      </c>
      <c r="G131" s="61"/>
      <c r="H131" s="61"/>
      <c r="I131" s="62"/>
      <c r="J131" s="53"/>
    </row>
    <row r="132" ht="24.75" hidden="1" customHeight="1">
      <c r="A132" s="54">
        <v>90.0</v>
      </c>
      <c r="B132" s="56" t="s">
        <v>274</v>
      </c>
      <c r="C132" s="56" t="s">
        <v>237</v>
      </c>
      <c r="D132" s="56" t="s">
        <v>275</v>
      </c>
      <c r="E132" s="56" t="s">
        <v>111</v>
      </c>
      <c r="F132" s="57" t="s">
        <v>15</v>
      </c>
      <c r="G132" s="61"/>
      <c r="H132" s="61"/>
      <c r="I132" s="60"/>
      <c r="J132" s="53"/>
    </row>
    <row r="133" ht="24.75" hidden="1" customHeight="1">
      <c r="A133" s="54">
        <v>90.0</v>
      </c>
      <c r="B133" s="56" t="s">
        <v>280</v>
      </c>
      <c r="C133" s="56" t="s">
        <v>278</v>
      </c>
      <c r="D133" s="56" t="s">
        <v>281</v>
      </c>
      <c r="E133" s="56" t="s">
        <v>272</v>
      </c>
      <c r="F133" s="57" t="s">
        <v>15</v>
      </c>
      <c r="G133" s="61"/>
      <c r="H133" s="61"/>
      <c r="I133" s="60"/>
      <c r="J133" s="53"/>
    </row>
    <row r="134" ht="24.75" hidden="1" customHeight="1">
      <c r="A134" s="54">
        <v>110.0</v>
      </c>
      <c r="B134" s="56" t="s">
        <v>361</v>
      </c>
      <c r="C134" s="56" t="s">
        <v>259</v>
      </c>
      <c r="D134" s="56" t="s">
        <v>362</v>
      </c>
      <c r="E134" s="56" t="s">
        <v>358</v>
      </c>
      <c r="F134" s="57" t="s">
        <v>34</v>
      </c>
      <c r="G134" s="61"/>
      <c r="H134" s="61"/>
      <c r="I134" s="62"/>
      <c r="J134" s="53"/>
    </row>
    <row r="135" ht="24.75" hidden="1" customHeight="1">
      <c r="A135" s="54">
        <v>110.0</v>
      </c>
      <c r="B135" s="56" t="s">
        <v>364</v>
      </c>
      <c r="C135" s="56" t="s">
        <v>259</v>
      </c>
      <c r="D135" s="56" t="s">
        <v>365</v>
      </c>
      <c r="E135" s="56" t="s">
        <v>358</v>
      </c>
      <c r="F135" s="57" t="s">
        <v>34</v>
      </c>
      <c r="G135" s="61"/>
      <c r="H135" s="61"/>
      <c r="I135" s="62"/>
      <c r="J135" s="53"/>
    </row>
    <row r="136" ht="24.75" hidden="1" customHeight="1">
      <c r="A136" s="54">
        <v>110.0</v>
      </c>
      <c r="B136" s="56" t="s">
        <v>366</v>
      </c>
      <c r="C136" s="56" t="s">
        <v>259</v>
      </c>
      <c r="D136" s="56" t="s">
        <v>367</v>
      </c>
      <c r="E136" s="56" t="s">
        <v>358</v>
      </c>
      <c r="F136" s="57" t="s">
        <v>34</v>
      </c>
      <c r="G136" s="61"/>
      <c r="H136" s="61"/>
      <c r="I136" s="62"/>
      <c r="J136" s="53"/>
    </row>
    <row r="137" ht="24.75" hidden="1" customHeight="1">
      <c r="A137" s="54">
        <v>110.0</v>
      </c>
      <c r="B137" s="56" t="s">
        <v>368</v>
      </c>
      <c r="C137" s="56" t="s">
        <v>259</v>
      </c>
      <c r="D137" s="56" t="s">
        <v>369</v>
      </c>
      <c r="E137" s="56" t="s">
        <v>358</v>
      </c>
      <c r="F137" s="57" t="s">
        <v>34</v>
      </c>
      <c r="G137" s="61"/>
      <c r="H137" s="61"/>
      <c r="I137" s="62"/>
      <c r="J137" s="53"/>
    </row>
    <row r="138" ht="24.75" hidden="1" customHeight="1">
      <c r="A138" s="54">
        <v>110.0</v>
      </c>
      <c r="B138" s="56" t="s">
        <v>370</v>
      </c>
      <c r="C138" s="56" t="s">
        <v>259</v>
      </c>
      <c r="D138" s="56" t="s">
        <v>371</v>
      </c>
      <c r="E138" s="56" t="s">
        <v>336</v>
      </c>
      <c r="F138" s="57" t="s">
        <v>192</v>
      </c>
      <c r="G138" s="61"/>
      <c r="H138" s="61"/>
      <c r="I138" s="62"/>
      <c r="J138" s="53"/>
    </row>
    <row r="139" ht="24.75" hidden="1" customHeight="1">
      <c r="A139" s="54">
        <v>110.0</v>
      </c>
      <c r="B139" s="56" t="s">
        <v>370</v>
      </c>
      <c r="C139" s="56" t="s">
        <v>259</v>
      </c>
      <c r="D139" s="56" t="s">
        <v>371</v>
      </c>
      <c r="E139" s="56" t="s">
        <v>372</v>
      </c>
      <c r="F139" s="57" t="s">
        <v>34</v>
      </c>
      <c r="G139" s="61"/>
      <c r="H139" s="61"/>
      <c r="I139" s="62"/>
      <c r="J139" s="53"/>
    </row>
    <row r="140" ht="24.75" hidden="1" customHeight="1">
      <c r="A140" s="54">
        <v>110.0</v>
      </c>
      <c r="B140" s="56" t="s">
        <v>370</v>
      </c>
      <c r="C140" s="56" t="s">
        <v>259</v>
      </c>
      <c r="D140" s="56" t="s">
        <v>371</v>
      </c>
      <c r="E140" s="56" t="s">
        <v>158</v>
      </c>
      <c r="F140" s="57" t="s">
        <v>34</v>
      </c>
      <c r="G140" s="61"/>
      <c r="H140" s="61"/>
      <c r="I140" s="62"/>
      <c r="J140" s="53"/>
    </row>
    <row r="141" ht="24.75" hidden="1" customHeight="1">
      <c r="A141" s="54">
        <v>110.0</v>
      </c>
      <c r="B141" s="56" t="s">
        <v>373</v>
      </c>
      <c r="C141" s="56" t="s">
        <v>259</v>
      </c>
      <c r="D141" s="56" t="s">
        <v>374</v>
      </c>
      <c r="E141" s="56" t="s">
        <v>336</v>
      </c>
      <c r="F141" s="57" t="s">
        <v>192</v>
      </c>
      <c r="G141" s="61"/>
      <c r="H141" s="61"/>
      <c r="I141" s="62"/>
      <c r="J141" s="53"/>
    </row>
    <row r="142" ht="24.75" hidden="1" customHeight="1">
      <c r="A142" s="54">
        <v>110.0</v>
      </c>
      <c r="B142" s="56" t="s">
        <v>375</v>
      </c>
      <c r="C142" s="56" t="s">
        <v>259</v>
      </c>
      <c r="D142" s="56" t="s">
        <v>376</v>
      </c>
      <c r="E142" s="56" t="s">
        <v>336</v>
      </c>
      <c r="F142" s="57" t="s">
        <v>192</v>
      </c>
      <c r="G142" s="61"/>
      <c r="H142" s="61"/>
      <c r="I142" s="62"/>
      <c r="J142" s="53"/>
    </row>
    <row r="143" ht="24.75" hidden="1" customHeight="1">
      <c r="A143" s="54">
        <v>110.0</v>
      </c>
      <c r="B143" s="56" t="s">
        <v>375</v>
      </c>
      <c r="C143" s="56" t="s">
        <v>259</v>
      </c>
      <c r="D143" s="56" t="s">
        <v>376</v>
      </c>
      <c r="E143" s="56" t="s">
        <v>372</v>
      </c>
      <c r="F143" s="57" t="s">
        <v>34</v>
      </c>
      <c r="G143" s="61"/>
      <c r="H143" s="61"/>
      <c r="I143" s="62"/>
      <c r="J143" s="53"/>
    </row>
    <row r="144" ht="24.75" hidden="1" customHeight="1">
      <c r="A144" s="54">
        <v>110.0</v>
      </c>
      <c r="B144" s="56" t="s">
        <v>375</v>
      </c>
      <c r="C144" s="56" t="s">
        <v>259</v>
      </c>
      <c r="D144" s="56" t="s">
        <v>376</v>
      </c>
      <c r="E144" s="56" t="s">
        <v>158</v>
      </c>
      <c r="F144" s="57" t="s">
        <v>34</v>
      </c>
      <c r="G144" s="61"/>
      <c r="H144" s="61"/>
      <c r="I144" s="62"/>
      <c r="J144" s="53"/>
    </row>
    <row r="145" ht="24.75" hidden="1" customHeight="1">
      <c r="A145" s="54">
        <v>110.0</v>
      </c>
      <c r="B145" s="56" t="s">
        <v>377</v>
      </c>
      <c r="C145" s="56" t="s">
        <v>259</v>
      </c>
      <c r="D145" s="56" t="s">
        <v>378</v>
      </c>
      <c r="E145" s="56" t="s">
        <v>336</v>
      </c>
      <c r="F145" s="57" t="s">
        <v>192</v>
      </c>
      <c r="G145" s="61"/>
      <c r="H145" s="61"/>
      <c r="I145" s="62"/>
      <c r="J145" s="53"/>
    </row>
    <row r="146" ht="24.75" hidden="1" customHeight="1">
      <c r="A146" s="54">
        <v>110.0</v>
      </c>
      <c r="B146" s="56" t="s">
        <v>380</v>
      </c>
      <c r="C146" s="56" t="s">
        <v>259</v>
      </c>
      <c r="D146" s="56" t="s">
        <v>381</v>
      </c>
      <c r="E146" s="56" t="s">
        <v>336</v>
      </c>
      <c r="F146" s="57" t="s">
        <v>192</v>
      </c>
      <c r="G146" s="61"/>
      <c r="H146" s="61"/>
      <c r="I146" s="62"/>
      <c r="J146" s="53"/>
    </row>
    <row r="147" ht="24.75" hidden="1" customHeight="1">
      <c r="A147" s="54">
        <v>110.0</v>
      </c>
      <c r="B147" s="56" t="s">
        <v>382</v>
      </c>
      <c r="C147" s="56" t="s">
        <v>259</v>
      </c>
      <c r="D147" s="56" t="s">
        <v>383</v>
      </c>
      <c r="E147" s="56" t="s">
        <v>336</v>
      </c>
      <c r="F147" s="57" t="s">
        <v>192</v>
      </c>
      <c r="G147" s="61"/>
      <c r="H147" s="61"/>
      <c r="I147" s="62"/>
      <c r="J147" s="53"/>
    </row>
    <row r="148" ht="24.75" hidden="1" customHeight="1">
      <c r="A148" s="54">
        <v>110.0</v>
      </c>
      <c r="B148" s="56" t="s">
        <v>385</v>
      </c>
      <c r="C148" s="56" t="s">
        <v>259</v>
      </c>
      <c r="D148" s="56" t="s">
        <v>386</v>
      </c>
      <c r="E148" s="56" t="s">
        <v>336</v>
      </c>
      <c r="F148" s="57" t="s">
        <v>192</v>
      </c>
      <c r="G148" s="61"/>
      <c r="H148" s="61"/>
      <c r="I148" s="62"/>
      <c r="J148" s="53"/>
    </row>
    <row r="149" ht="24.75" hidden="1" customHeight="1">
      <c r="A149" s="54">
        <v>110.0</v>
      </c>
      <c r="B149" s="56" t="s">
        <v>385</v>
      </c>
      <c r="C149" s="56" t="s">
        <v>259</v>
      </c>
      <c r="D149" s="56" t="s">
        <v>386</v>
      </c>
      <c r="E149" s="56" t="s">
        <v>372</v>
      </c>
      <c r="F149" s="57" t="s">
        <v>34</v>
      </c>
      <c r="G149" s="61"/>
      <c r="H149" s="61"/>
      <c r="I149" s="62"/>
      <c r="J149" s="53"/>
    </row>
    <row r="150" ht="24.75" hidden="1" customHeight="1">
      <c r="A150" s="54">
        <v>110.0</v>
      </c>
      <c r="B150" s="56" t="s">
        <v>385</v>
      </c>
      <c r="C150" s="56" t="s">
        <v>259</v>
      </c>
      <c r="D150" s="56" t="s">
        <v>386</v>
      </c>
      <c r="E150" s="56" t="s">
        <v>158</v>
      </c>
      <c r="F150" s="57" t="s">
        <v>34</v>
      </c>
      <c r="G150" s="61"/>
      <c r="H150" s="61"/>
      <c r="I150" s="62"/>
      <c r="J150" s="53"/>
    </row>
    <row r="151" ht="24.75" hidden="1" customHeight="1">
      <c r="A151" s="54">
        <v>110.0</v>
      </c>
      <c r="B151" s="56" t="s">
        <v>388</v>
      </c>
      <c r="C151" s="56" t="s">
        <v>259</v>
      </c>
      <c r="D151" s="56" t="s">
        <v>389</v>
      </c>
      <c r="E151" s="56" t="s">
        <v>336</v>
      </c>
      <c r="F151" s="57" t="s">
        <v>192</v>
      </c>
      <c r="G151" s="61"/>
      <c r="H151" s="61"/>
      <c r="I151" s="62"/>
      <c r="J151" s="53"/>
    </row>
    <row r="152" ht="24.75" hidden="1" customHeight="1">
      <c r="A152" s="54">
        <v>110.0</v>
      </c>
      <c r="B152" s="56" t="s">
        <v>388</v>
      </c>
      <c r="C152" s="56" t="s">
        <v>259</v>
      </c>
      <c r="D152" s="56" t="s">
        <v>389</v>
      </c>
      <c r="E152" s="56" t="s">
        <v>372</v>
      </c>
      <c r="F152" s="57" t="s">
        <v>34</v>
      </c>
      <c r="G152" s="61"/>
      <c r="H152" s="61"/>
      <c r="I152" s="62"/>
      <c r="J152" s="53"/>
    </row>
    <row r="153" ht="24.75" hidden="1" customHeight="1">
      <c r="A153" s="54">
        <v>110.0</v>
      </c>
      <c r="B153" s="56" t="s">
        <v>388</v>
      </c>
      <c r="C153" s="56" t="s">
        <v>259</v>
      </c>
      <c r="D153" s="56" t="s">
        <v>389</v>
      </c>
      <c r="E153" s="56" t="s">
        <v>158</v>
      </c>
      <c r="F153" s="57" t="s">
        <v>34</v>
      </c>
      <c r="G153" s="61"/>
      <c r="H153" s="61"/>
      <c r="I153" s="62"/>
      <c r="J153" s="53"/>
    </row>
    <row r="154" ht="24.75" hidden="1" customHeight="1">
      <c r="A154" s="54">
        <v>110.0</v>
      </c>
      <c r="B154" s="56" t="s">
        <v>390</v>
      </c>
      <c r="C154" s="56" t="s">
        <v>259</v>
      </c>
      <c r="D154" s="56" t="s">
        <v>391</v>
      </c>
      <c r="E154" s="56" t="s">
        <v>372</v>
      </c>
      <c r="F154" s="57" t="s">
        <v>34</v>
      </c>
      <c r="G154" s="61"/>
      <c r="H154" s="61"/>
      <c r="I154" s="62"/>
      <c r="J154" s="53"/>
    </row>
    <row r="155" ht="24.75" hidden="1" customHeight="1">
      <c r="A155" s="54">
        <v>110.0</v>
      </c>
      <c r="B155" s="56" t="s">
        <v>390</v>
      </c>
      <c r="C155" s="56" t="s">
        <v>259</v>
      </c>
      <c r="D155" s="56" t="s">
        <v>391</v>
      </c>
      <c r="E155" s="56" t="s">
        <v>158</v>
      </c>
      <c r="F155" s="57" t="s">
        <v>34</v>
      </c>
      <c r="G155" s="61"/>
      <c r="H155" s="61"/>
      <c r="I155" s="62"/>
      <c r="J155" s="53"/>
    </row>
    <row r="156" ht="24.75" hidden="1" customHeight="1">
      <c r="A156" s="54">
        <v>110.0</v>
      </c>
      <c r="B156" s="56" t="s">
        <v>392</v>
      </c>
      <c r="C156" s="56" t="s">
        <v>101</v>
      </c>
      <c r="D156" s="56" t="s">
        <v>102</v>
      </c>
      <c r="E156" s="56" t="s">
        <v>111</v>
      </c>
      <c r="F156" s="57" t="s">
        <v>34</v>
      </c>
      <c r="G156" s="61"/>
      <c r="H156" s="61"/>
      <c r="I156" s="62"/>
      <c r="J156" s="53"/>
    </row>
    <row r="157" ht="24.75" hidden="1" customHeight="1">
      <c r="A157" s="54">
        <v>120.0</v>
      </c>
      <c r="B157" s="56" t="s">
        <v>393</v>
      </c>
      <c r="C157" s="56" t="s">
        <v>394</v>
      </c>
      <c r="D157" s="56" t="s">
        <v>299</v>
      </c>
      <c r="E157" s="56" t="s">
        <v>163</v>
      </c>
      <c r="F157" s="57" t="s">
        <v>154</v>
      </c>
      <c r="G157" s="61"/>
      <c r="H157" s="61"/>
      <c r="I157" s="62" t="s">
        <v>207</v>
      </c>
      <c r="J157" s="53"/>
    </row>
    <row r="158" ht="24.75" hidden="1" customHeight="1">
      <c r="A158" s="54">
        <v>120.0</v>
      </c>
      <c r="B158" s="56" t="s">
        <v>395</v>
      </c>
      <c r="C158" s="56" t="s">
        <v>394</v>
      </c>
      <c r="D158" s="56" t="s">
        <v>172</v>
      </c>
      <c r="E158" s="56" t="s">
        <v>163</v>
      </c>
      <c r="F158" s="57" t="s">
        <v>154</v>
      </c>
      <c r="G158" s="61"/>
      <c r="H158" s="61"/>
      <c r="I158" s="62"/>
      <c r="J158" s="53"/>
    </row>
    <row r="159" ht="24.75" hidden="1" customHeight="1">
      <c r="A159" s="54">
        <v>120.0</v>
      </c>
      <c r="B159" s="56" t="s">
        <v>396</v>
      </c>
      <c r="C159" s="56" t="s">
        <v>394</v>
      </c>
      <c r="D159" s="56" t="s">
        <v>397</v>
      </c>
      <c r="E159" s="56" t="s">
        <v>163</v>
      </c>
      <c r="F159" s="57" t="s">
        <v>154</v>
      </c>
      <c r="G159" s="61"/>
      <c r="H159" s="61"/>
      <c r="I159" s="62"/>
      <c r="J159" s="53"/>
    </row>
    <row r="160" ht="24.75" hidden="1" customHeight="1">
      <c r="A160" s="54">
        <v>120.0</v>
      </c>
      <c r="B160" s="56" t="s">
        <v>398</v>
      </c>
      <c r="C160" s="56" t="s">
        <v>394</v>
      </c>
      <c r="D160" s="56" t="s">
        <v>399</v>
      </c>
      <c r="E160" s="56" t="s">
        <v>163</v>
      </c>
      <c r="F160" s="57" t="s">
        <v>154</v>
      </c>
      <c r="G160" s="61"/>
      <c r="H160" s="61"/>
      <c r="I160" s="62"/>
      <c r="J160" s="53"/>
    </row>
    <row r="161" ht="24.75" hidden="1" customHeight="1">
      <c r="A161" s="54">
        <v>120.0</v>
      </c>
      <c r="B161" s="56" t="s">
        <v>400</v>
      </c>
      <c r="C161" s="56" t="s">
        <v>394</v>
      </c>
      <c r="D161" s="56" t="s">
        <v>401</v>
      </c>
      <c r="E161" s="56" t="s">
        <v>163</v>
      </c>
      <c r="F161" s="57" t="s">
        <v>154</v>
      </c>
      <c r="G161" s="61"/>
      <c r="H161" s="61"/>
      <c r="I161" s="62"/>
      <c r="J161" s="53"/>
    </row>
    <row r="162" ht="24.75" hidden="1" customHeight="1">
      <c r="A162" s="54">
        <v>90.0</v>
      </c>
      <c r="B162" s="56" t="s">
        <v>402</v>
      </c>
      <c r="C162" s="56" t="s">
        <v>278</v>
      </c>
      <c r="D162" s="56" t="s">
        <v>403</v>
      </c>
      <c r="E162" s="56" t="s">
        <v>111</v>
      </c>
      <c r="F162" s="57" t="s">
        <v>15</v>
      </c>
      <c r="G162" s="61"/>
      <c r="H162" s="61"/>
      <c r="I162" s="86"/>
      <c r="J162" s="53"/>
    </row>
    <row r="163" ht="24.75" hidden="1" customHeight="1">
      <c r="A163" s="54">
        <v>130.0</v>
      </c>
      <c r="B163" s="56" t="s">
        <v>404</v>
      </c>
      <c r="C163" s="56" t="s">
        <v>405</v>
      </c>
      <c r="D163" s="56" t="s">
        <v>406</v>
      </c>
      <c r="E163" s="56" t="s">
        <v>407</v>
      </c>
      <c r="F163" s="57" t="s">
        <v>250</v>
      </c>
      <c r="G163" s="61"/>
      <c r="H163" s="61" t="s">
        <v>346</v>
      </c>
      <c r="I163" s="62" t="s">
        <v>414</v>
      </c>
      <c r="J163" s="53"/>
    </row>
    <row r="164" ht="24.75" hidden="1" customHeight="1">
      <c r="A164" s="54">
        <v>130.0</v>
      </c>
      <c r="B164" s="56" t="s">
        <v>404</v>
      </c>
      <c r="C164" s="56" t="s">
        <v>405</v>
      </c>
      <c r="D164" s="56" t="s">
        <v>406</v>
      </c>
      <c r="E164" s="56" t="s">
        <v>408</v>
      </c>
      <c r="F164" s="57" t="s">
        <v>250</v>
      </c>
      <c r="G164" s="61"/>
      <c r="H164" s="61" t="s">
        <v>346</v>
      </c>
      <c r="I164" s="62" t="s">
        <v>417</v>
      </c>
      <c r="J164" s="53"/>
    </row>
    <row r="165" ht="24.75" hidden="1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111</v>
      </c>
      <c r="F165" s="57" t="s">
        <v>154</v>
      </c>
      <c r="G165" s="61"/>
      <c r="H165" s="61"/>
      <c r="I165" s="62"/>
      <c r="J165" s="53"/>
    </row>
    <row r="166" ht="24.75" hidden="1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409</v>
      </c>
      <c r="F166" s="57" t="s">
        <v>154</v>
      </c>
      <c r="G166" s="61"/>
      <c r="H166" s="61"/>
      <c r="I166" s="62"/>
      <c r="J166" s="53"/>
    </row>
    <row r="167" ht="24.75" hidden="1" customHeight="1">
      <c r="A167" s="54">
        <v>130.0</v>
      </c>
      <c r="B167" s="56" t="s">
        <v>404</v>
      </c>
      <c r="C167" s="56" t="s">
        <v>405</v>
      </c>
      <c r="D167" s="56" t="s">
        <v>406</v>
      </c>
      <c r="E167" s="56" t="s">
        <v>410</v>
      </c>
      <c r="F167" s="57" t="s">
        <v>154</v>
      </c>
      <c r="G167" s="61"/>
      <c r="H167" s="61"/>
      <c r="I167" s="62"/>
      <c r="J167" s="53"/>
    </row>
    <row r="168" ht="24.75" hidden="1" customHeight="1">
      <c r="A168" s="54">
        <v>130.0</v>
      </c>
      <c r="B168" s="56" t="s">
        <v>404</v>
      </c>
      <c r="C168" s="56" t="s">
        <v>405</v>
      </c>
      <c r="D168" s="56" t="s">
        <v>406</v>
      </c>
      <c r="E168" s="56" t="s">
        <v>411</v>
      </c>
      <c r="F168" s="57" t="s">
        <v>154</v>
      </c>
      <c r="G168" s="61"/>
      <c r="H168" s="61"/>
      <c r="I168" s="62"/>
      <c r="J168" s="53"/>
    </row>
    <row r="169" ht="24.75" hidden="1" customHeight="1">
      <c r="A169" s="54">
        <v>130.0</v>
      </c>
      <c r="B169" s="56" t="s">
        <v>412</v>
      </c>
      <c r="C169" s="56"/>
      <c r="D169" s="56" t="s">
        <v>413</v>
      </c>
      <c r="E169" s="56" t="s">
        <v>336</v>
      </c>
      <c r="F169" s="57" t="s">
        <v>192</v>
      </c>
      <c r="G169" s="61"/>
      <c r="H169" s="61"/>
      <c r="I169" s="62"/>
      <c r="J169" s="53"/>
    </row>
    <row r="170" ht="24.75" hidden="1" customHeight="1">
      <c r="A170" s="54">
        <v>130.0</v>
      </c>
      <c r="B170" s="56" t="s">
        <v>415</v>
      </c>
      <c r="C170" s="56" t="s">
        <v>148</v>
      </c>
      <c r="D170" s="56" t="s">
        <v>416</v>
      </c>
      <c r="E170" s="56" t="s">
        <v>150</v>
      </c>
      <c r="F170" s="57" t="s">
        <v>34</v>
      </c>
      <c r="G170" s="61"/>
      <c r="H170" s="61"/>
      <c r="I170" s="62"/>
      <c r="J170" s="53"/>
    </row>
    <row r="171" ht="24.75" hidden="1" customHeight="1">
      <c r="A171" s="54">
        <v>130.0</v>
      </c>
      <c r="B171" s="56" t="s">
        <v>418</v>
      </c>
      <c r="C171" s="56" t="s">
        <v>148</v>
      </c>
      <c r="D171" s="56" t="s">
        <v>419</v>
      </c>
      <c r="E171" s="56" t="s">
        <v>150</v>
      </c>
      <c r="F171" s="57" t="s">
        <v>34</v>
      </c>
      <c r="G171" s="61"/>
      <c r="H171" s="61"/>
      <c r="I171" s="62"/>
      <c r="J171" s="53"/>
    </row>
    <row r="172" ht="24.75" hidden="1" customHeight="1">
      <c r="A172" s="54">
        <v>136.0</v>
      </c>
      <c r="B172" s="56" t="s">
        <v>421</v>
      </c>
      <c r="C172" s="56" t="s">
        <v>422</v>
      </c>
      <c r="D172" s="56" t="s">
        <v>422</v>
      </c>
      <c r="E172" s="56" t="s">
        <v>423</v>
      </c>
      <c r="F172" s="57" t="s">
        <v>154</v>
      </c>
      <c r="G172" s="61"/>
      <c r="H172" s="61"/>
      <c r="I172" s="62" t="s">
        <v>207</v>
      </c>
      <c r="J172" s="53"/>
    </row>
    <row r="173" ht="24.75" hidden="1" customHeight="1">
      <c r="A173" s="54">
        <v>136.0</v>
      </c>
      <c r="B173" s="56" t="s">
        <v>421</v>
      </c>
      <c r="C173" s="56" t="s">
        <v>422</v>
      </c>
      <c r="D173" s="56" t="s">
        <v>422</v>
      </c>
      <c r="E173" s="80" t="s">
        <v>213</v>
      </c>
      <c r="F173" s="57"/>
      <c r="G173" s="61"/>
      <c r="H173" s="61"/>
      <c r="I173" s="62"/>
      <c r="J173" s="53"/>
    </row>
    <row r="174" ht="24.75" hidden="1" customHeight="1">
      <c r="A174" s="54">
        <v>136.0</v>
      </c>
      <c r="B174" s="56" t="s">
        <v>424</v>
      </c>
      <c r="C174" s="56" t="s">
        <v>422</v>
      </c>
      <c r="D174" s="56" t="s">
        <v>425</v>
      </c>
      <c r="E174" s="56" t="s">
        <v>111</v>
      </c>
      <c r="F174" s="57" t="s">
        <v>154</v>
      </c>
      <c r="G174" s="61"/>
      <c r="H174" s="61"/>
      <c r="I174" s="62"/>
      <c r="J174" s="53"/>
    </row>
    <row r="175" ht="24.75" hidden="1" customHeight="1">
      <c r="A175" s="54">
        <v>136.0</v>
      </c>
      <c r="B175" s="56" t="s">
        <v>426</v>
      </c>
      <c r="C175" s="56" t="s">
        <v>422</v>
      </c>
      <c r="D175" s="56" t="s">
        <v>427</v>
      </c>
      <c r="E175" s="56" t="s">
        <v>111</v>
      </c>
      <c r="F175" s="57" t="s">
        <v>154</v>
      </c>
      <c r="G175" s="61"/>
      <c r="H175" s="61"/>
      <c r="I175" s="62"/>
      <c r="J175" s="53"/>
    </row>
    <row r="176" ht="24.75" hidden="1" customHeight="1">
      <c r="A176" s="54">
        <v>136.0</v>
      </c>
      <c r="B176" s="56" t="s">
        <v>428</v>
      </c>
      <c r="C176" s="56" t="s">
        <v>422</v>
      </c>
      <c r="D176" s="56" t="s">
        <v>429</v>
      </c>
      <c r="E176" s="56" t="s">
        <v>111</v>
      </c>
      <c r="F176" s="57" t="s">
        <v>154</v>
      </c>
      <c r="G176" s="61"/>
      <c r="H176" s="61"/>
      <c r="I176" s="62"/>
      <c r="J176" s="53"/>
    </row>
    <row r="177" ht="24.75" hidden="1" customHeight="1">
      <c r="A177" s="54">
        <v>136.0</v>
      </c>
      <c r="B177" s="56" t="s">
        <v>430</v>
      </c>
      <c r="C177" s="56" t="s">
        <v>422</v>
      </c>
      <c r="D177" s="56" t="s">
        <v>431</v>
      </c>
      <c r="E177" s="56" t="s">
        <v>432</v>
      </c>
      <c r="F177" s="57" t="s">
        <v>154</v>
      </c>
      <c r="G177" s="61"/>
      <c r="H177" s="61"/>
      <c r="I177" s="62"/>
      <c r="J177" s="53"/>
    </row>
    <row r="178" ht="24.75" hidden="1" customHeight="1">
      <c r="A178" s="54">
        <v>140.0</v>
      </c>
      <c r="B178" s="56" t="s">
        <v>433</v>
      </c>
      <c r="C178" s="56" t="s">
        <v>434</v>
      </c>
      <c r="D178" s="56" t="s">
        <v>435</v>
      </c>
      <c r="E178" s="56" t="s">
        <v>167</v>
      </c>
      <c r="F178" s="57" t="s">
        <v>154</v>
      </c>
      <c r="G178" s="61"/>
      <c r="H178" s="61"/>
      <c r="I178" s="62"/>
      <c r="J178" s="53"/>
    </row>
    <row r="179" ht="24.75" hidden="1" customHeight="1">
      <c r="A179" s="54">
        <v>140.0</v>
      </c>
      <c r="B179" s="56" t="s">
        <v>436</v>
      </c>
      <c r="C179" s="56" t="s">
        <v>437</v>
      </c>
      <c r="D179" s="56" t="s">
        <v>438</v>
      </c>
      <c r="E179" s="56" t="s">
        <v>439</v>
      </c>
      <c r="F179" s="57" t="s">
        <v>154</v>
      </c>
      <c r="G179" s="61"/>
      <c r="H179" s="61"/>
      <c r="I179" s="62"/>
      <c r="J179" s="53"/>
    </row>
    <row r="180" ht="24.75" hidden="1" customHeight="1">
      <c r="A180" s="54">
        <v>140.0</v>
      </c>
      <c r="B180" s="56" t="s">
        <v>440</v>
      </c>
      <c r="C180" s="56" t="s">
        <v>437</v>
      </c>
      <c r="D180" s="56" t="s">
        <v>441</v>
      </c>
      <c r="E180" s="56" t="s">
        <v>439</v>
      </c>
      <c r="F180" s="57" t="s">
        <v>154</v>
      </c>
      <c r="G180" s="61"/>
      <c r="H180" s="61"/>
      <c r="I180" s="62"/>
      <c r="J180" s="53"/>
    </row>
    <row r="181" ht="24.75" hidden="1" customHeight="1">
      <c r="A181" s="54">
        <v>140.0</v>
      </c>
      <c r="B181" s="56" t="s">
        <v>442</v>
      </c>
      <c r="C181" s="56" t="s">
        <v>443</v>
      </c>
      <c r="D181" s="56" t="s">
        <v>444</v>
      </c>
      <c r="E181" s="56" t="s">
        <v>439</v>
      </c>
      <c r="F181" s="57" t="s">
        <v>154</v>
      </c>
      <c r="G181" s="61"/>
      <c r="H181" s="61"/>
      <c r="I181" s="62"/>
      <c r="J181" s="53"/>
    </row>
    <row r="182" ht="24.75" hidden="1" customHeight="1">
      <c r="A182" s="54">
        <v>140.0</v>
      </c>
      <c r="B182" s="56" t="s">
        <v>445</v>
      </c>
      <c r="C182" s="56" t="s">
        <v>446</v>
      </c>
      <c r="D182" s="56" t="s">
        <v>447</v>
      </c>
      <c r="E182" s="56" t="s">
        <v>439</v>
      </c>
      <c r="F182" s="57" t="s">
        <v>154</v>
      </c>
      <c r="G182" s="61"/>
      <c r="H182" s="61"/>
      <c r="I182" s="62"/>
      <c r="J182" s="53"/>
    </row>
    <row r="183" ht="24.75" hidden="1" customHeight="1">
      <c r="A183" s="54">
        <v>140.0</v>
      </c>
      <c r="B183" s="56" t="s">
        <v>448</v>
      </c>
      <c r="C183" s="88" t="s">
        <v>449</v>
      </c>
      <c r="D183" s="56" t="s">
        <v>450</v>
      </c>
      <c r="E183" s="56" t="s">
        <v>439</v>
      </c>
      <c r="F183" s="57" t="s">
        <v>154</v>
      </c>
      <c r="G183" s="61"/>
      <c r="H183" s="61"/>
      <c r="I183" s="62"/>
      <c r="J183" s="53"/>
    </row>
    <row r="184" ht="24.75" hidden="1" customHeight="1">
      <c r="A184" s="54">
        <v>90.0</v>
      </c>
      <c r="B184" s="56" t="s">
        <v>286</v>
      </c>
      <c r="C184" s="56" t="s">
        <v>278</v>
      </c>
      <c r="D184" s="56" t="s">
        <v>266</v>
      </c>
      <c r="E184" s="56" t="s">
        <v>111</v>
      </c>
      <c r="F184" s="57" t="s">
        <v>15</v>
      </c>
      <c r="G184" s="61"/>
      <c r="H184" s="61"/>
      <c r="I184" s="60"/>
      <c r="J184" s="53"/>
    </row>
    <row r="185" ht="24.75" hidden="1" customHeight="1">
      <c r="A185" s="54">
        <v>100.0</v>
      </c>
      <c r="B185" s="56" t="s">
        <v>451</v>
      </c>
      <c r="C185" s="56" t="s">
        <v>315</v>
      </c>
      <c r="D185" s="56" t="s">
        <v>452</v>
      </c>
      <c r="E185" s="56" t="s">
        <v>453</v>
      </c>
      <c r="F185" s="57" t="s">
        <v>15</v>
      </c>
      <c r="G185" s="61"/>
      <c r="H185" s="61"/>
      <c r="I185" s="60"/>
      <c r="J185" s="53"/>
    </row>
    <row r="186" ht="24.75" hidden="1" customHeight="1">
      <c r="A186" s="54">
        <v>100.0</v>
      </c>
      <c r="B186" s="56" t="s">
        <v>454</v>
      </c>
      <c r="C186" s="56" t="s">
        <v>315</v>
      </c>
      <c r="D186" s="56" t="s">
        <v>316</v>
      </c>
      <c r="E186" s="56" t="s">
        <v>455</v>
      </c>
      <c r="F186" s="57" t="s">
        <v>15</v>
      </c>
      <c r="G186" s="61"/>
      <c r="H186" s="61"/>
      <c r="I186" s="60"/>
      <c r="J186" s="53"/>
    </row>
    <row r="187" ht="24.75" hidden="1" customHeight="1">
      <c r="A187" s="54">
        <v>101.0</v>
      </c>
      <c r="B187" s="56" t="s">
        <v>456</v>
      </c>
      <c r="C187" s="56" t="s">
        <v>315</v>
      </c>
      <c r="D187" s="56" t="s">
        <v>340</v>
      </c>
      <c r="E187" s="56" t="s">
        <v>457</v>
      </c>
      <c r="F187" s="57" t="s">
        <v>15</v>
      </c>
      <c r="G187" s="61"/>
      <c r="H187" s="61"/>
      <c r="I187" s="60"/>
      <c r="J187" s="53"/>
    </row>
    <row r="188" ht="24.75" hidden="1" customHeight="1">
      <c r="A188" s="54">
        <v>101.0</v>
      </c>
      <c r="B188" s="56" t="s">
        <v>458</v>
      </c>
      <c r="C188" s="56" t="s">
        <v>315</v>
      </c>
      <c r="D188" s="56" t="s">
        <v>351</v>
      </c>
      <c r="E188" s="56" t="s">
        <v>459</v>
      </c>
      <c r="F188" s="57" t="s">
        <v>15</v>
      </c>
      <c r="G188" s="61"/>
      <c r="H188" s="61"/>
      <c r="I188" s="60"/>
      <c r="J188" s="53"/>
    </row>
    <row r="189" ht="24.75" hidden="1" customHeight="1">
      <c r="A189" s="54">
        <v>102.0</v>
      </c>
      <c r="B189" s="56" t="s">
        <v>353</v>
      </c>
      <c r="C189" s="56" t="s">
        <v>315</v>
      </c>
      <c r="D189" s="56" t="s">
        <v>354</v>
      </c>
      <c r="E189" s="56" t="s">
        <v>461</v>
      </c>
      <c r="F189" s="57" t="s">
        <v>15</v>
      </c>
      <c r="G189" s="61"/>
      <c r="H189" s="61"/>
      <c r="I189" s="60"/>
      <c r="J189" s="53"/>
    </row>
    <row r="190" ht="24.75" hidden="1" customHeight="1">
      <c r="A190" s="54">
        <v>140.0</v>
      </c>
      <c r="B190" s="56" t="s">
        <v>462</v>
      </c>
      <c r="C190" s="56" t="s">
        <v>434</v>
      </c>
      <c r="D190" s="56" t="s">
        <v>463</v>
      </c>
      <c r="E190" s="56" t="s">
        <v>272</v>
      </c>
      <c r="F190" s="57" t="s">
        <v>15</v>
      </c>
      <c r="G190" s="61"/>
      <c r="H190" s="61"/>
      <c r="I190" s="60"/>
      <c r="J190" s="53"/>
    </row>
    <row r="191" ht="24.75" hidden="1" customHeight="1">
      <c r="A191" s="54">
        <v>140.0</v>
      </c>
      <c r="B191" s="56" t="s">
        <v>464</v>
      </c>
      <c r="C191" s="56" t="s">
        <v>270</v>
      </c>
      <c r="D191" s="56" t="s">
        <v>465</v>
      </c>
      <c r="E191" s="56" t="s">
        <v>272</v>
      </c>
      <c r="F191" s="57" t="s">
        <v>15</v>
      </c>
      <c r="G191" s="61"/>
      <c r="H191" s="61"/>
      <c r="I191" s="60"/>
      <c r="J191" s="53"/>
    </row>
    <row r="192" ht="24.75" hidden="1" customHeight="1">
      <c r="A192" s="54">
        <v>140.0</v>
      </c>
      <c r="B192" s="56" t="s">
        <v>466</v>
      </c>
      <c r="C192" s="56" t="s">
        <v>443</v>
      </c>
      <c r="D192" s="56" t="s">
        <v>467</v>
      </c>
      <c r="E192" s="56" t="s">
        <v>272</v>
      </c>
      <c r="F192" s="57" t="s">
        <v>15</v>
      </c>
      <c r="G192" s="61"/>
      <c r="H192" s="61"/>
      <c r="I192" s="60"/>
      <c r="J192" s="53"/>
    </row>
    <row r="193" ht="24.75" hidden="1" customHeight="1">
      <c r="A193" s="54">
        <v>140.0</v>
      </c>
      <c r="B193" s="56" t="s">
        <v>468</v>
      </c>
      <c r="C193" s="56" t="s">
        <v>446</v>
      </c>
      <c r="D193" s="56" t="s">
        <v>469</v>
      </c>
      <c r="E193" s="56" t="s">
        <v>272</v>
      </c>
      <c r="F193" s="57" t="s">
        <v>15</v>
      </c>
      <c r="G193" s="61"/>
      <c r="H193" s="61"/>
      <c r="I193" s="60"/>
      <c r="J193" s="53"/>
    </row>
    <row r="194" ht="24.75" hidden="1" customHeight="1">
      <c r="A194" s="54">
        <v>140.0</v>
      </c>
      <c r="B194" s="56" t="s">
        <v>470</v>
      </c>
      <c r="C194" s="56" t="s">
        <v>443</v>
      </c>
      <c r="D194" s="56" t="s">
        <v>471</v>
      </c>
      <c r="E194" s="56" t="s">
        <v>272</v>
      </c>
      <c r="F194" s="57" t="s">
        <v>15</v>
      </c>
      <c r="G194" s="61"/>
      <c r="H194" s="61"/>
      <c r="I194" s="60"/>
      <c r="J194" s="53"/>
    </row>
    <row r="195" ht="24.75" hidden="1" customHeight="1">
      <c r="A195" s="54">
        <v>140.0</v>
      </c>
      <c r="B195" s="56" t="s">
        <v>472</v>
      </c>
      <c r="C195" s="56" t="s">
        <v>446</v>
      </c>
      <c r="D195" s="56" t="s">
        <v>473</v>
      </c>
      <c r="E195" s="56" t="s">
        <v>272</v>
      </c>
      <c r="F195" s="57" t="s">
        <v>15</v>
      </c>
      <c r="G195" s="61"/>
      <c r="H195" s="61"/>
      <c r="I195" s="60"/>
      <c r="J195" s="53"/>
    </row>
    <row r="196" ht="24.75" hidden="1" customHeight="1">
      <c r="A196" s="54">
        <v>140.0</v>
      </c>
      <c r="B196" s="56" t="s">
        <v>474</v>
      </c>
      <c r="C196" s="56" t="s">
        <v>443</v>
      </c>
      <c r="D196" s="56" t="s">
        <v>475</v>
      </c>
      <c r="E196" s="56" t="s">
        <v>272</v>
      </c>
      <c r="F196" s="57" t="s">
        <v>15</v>
      </c>
      <c r="G196" s="61"/>
      <c r="H196" s="61"/>
      <c r="I196" s="60"/>
      <c r="J196" s="53"/>
    </row>
    <row r="197" ht="24.75" hidden="1" customHeight="1">
      <c r="A197" s="54">
        <v>140.0</v>
      </c>
      <c r="B197" s="56" t="s">
        <v>476</v>
      </c>
      <c r="C197" s="56" t="s">
        <v>270</v>
      </c>
      <c r="D197" s="56" t="s">
        <v>477</v>
      </c>
      <c r="E197" s="56" t="s">
        <v>272</v>
      </c>
      <c r="F197" s="57" t="s">
        <v>15</v>
      </c>
      <c r="G197" s="61"/>
      <c r="H197" s="61"/>
      <c r="I197" s="60"/>
      <c r="J197" s="53"/>
    </row>
    <row r="198" ht="24.75" hidden="1" customHeight="1">
      <c r="A198" s="54">
        <v>140.0</v>
      </c>
      <c r="B198" s="56" t="s">
        <v>478</v>
      </c>
      <c r="C198" s="56" t="s">
        <v>270</v>
      </c>
      <c r="D198" s="56" t="s">
        <v>479</v>
      </c>
      <c r="E198" s="56" t="s">
        <v>272</v>
      </c>
      <c r="F198" s="57" t="s">
        <v>15</v>
      </c>
      <c r="G198" s="61"/>
      <c r="H198" s="61"/>
      <c r="I198" s="60"/>
      <c r="J198" s="53"/>
    </row>
    <row r="199" ht="24.75" hidden="1" customHeight="1">
      <c r="A199" s="54">
        <v>140.0</v>
      </c>
      <c r="B199" s="56" t="s">
        <v>480</v>
      </c>
      <c r="C199" s="56" t="s">
        <v>270</v>
      </c>
      <c r="D199" s="56" t="s">
        <v>481</v>
      </c>
      <c r="E199" s="56" t="s">
        <v>272</v>
      </c>
      <c r="F199" s="57" t="s">
        <v>15</v>
      </c>
      <c r="G199" s="61"/>
      <c r="H199" s="61"/>
      <c r="I199" s="60"/>
      <c r="J199" s="53"/>
    </row>
    <row r="200" ht="24.75" hidden="1" customHeight="1">
      <c r="A200" s="54">
        <v>140.0</v>
      </c>
      <c r="B200" s="56" t="s">
        <v>482</v>
      </c>
      <c r="C200" s="56" t="s">
        <v>443</v>
      </c>
      <c r="D200" s="56" t="s">
        <v>483</v>
      </c>
      <c r="E200" s="56" t="s">
        <v>272</v>
      </c>
      <c r="F200" s="57" t="s">
        <v>15</v>
      </c>
      <c r="G200" s="61"/>
      <c r="H200" s="61"/>
      <c r="I200" s="60"/>
      <c r="J200" s="53"/>
    </row>
    <row r="201" ht="24.75" hidden="1" customHeight="1">
      <c r="A201" s="54">
        <v>140.0</v>
      </c>
      <c r="B201" s="56" t="s">
        <v>484</v>
      </c>
      <c r="C201" s="56" t="s">
        <v>446</v>
      </c>
      <c r="D201" s="56" t="s">
        <v>485</v>
      </c>
      <c r="E201" s="56" t="s">
        <v>272</v>
      </c>
      <c r="F201" s="57" t="s">
        <v>15</v>
      </c>
      <c r="G201" s="61"/>
      <c r="H201" s="61"/>
      <c r="I201" s="60"/>
      <c r="J201" s="53"/>
    </row>
    <row r="202" ht="24.75" hidden="1" customHeight="1">
      <c r="A202" s="54">
        <v>140.0</v>
      </c>
      <c r="B202" s="56" t="s">
        <v>269</v>
      </c>
      <c r="C202" s="56" t="s">
        <v>270</v>
      </c>
      <c r="D202" s="56" t="s">
        <v>486</v>
      </c>
      <c r="E202" s="56" t="s">
        <v>487</v>
      </c>
      <c r="F202" s="56"/>
      <c r="G202" s="61"/>
      <c r="H202" s="61"/>
      <c r="I202" s="62"/>
      <c r="J202" s="53"/>
    </row>
    <row r="203" ht="24.75" hidden="1" customHeight="1">
      <c r="A203" s="54">
        <v>140.0</v>
      </c>
      <c r="B203" s="56" t="s">
        <v>488</v>
      </c>
      <c r="C203" s="88" t="s">
        <v>449</v>
      </c>
      <c r="D203" s="56" t="s">
        <v>489</v>
      </c>
      <c r="E203" s="56" t="s">
        <v>272</v>
      </c>
      <c r="F203" s="57" t="s">
        <v>15</v>
      </c>
      <c r="G203" s="61"/>
      <c r="H203" s="61"/>
      <c r="I203" s="60"/>
      <c r="J203" s="53"/>
    </row>
    <row r="204" ht="24.75" hidden="1" customHeight="1">
      <c r="A204" s="54">
        <v>140.0</v>
      </c>
      <c r="B204" s="56" t="s">
        <v>490</v>
      </c>
      <c r="C204" s="56" t="s">
        <v>270</v>
      </c>
      <c r="D204" s="56" t="s">
        <v>491</v>
      </c>
      <c r="E204" s="56" t="s">
        <v>272</v>
      </c>
      <c r="F204" s="57" t="s">
        <v>15</v>
      </c>
      <c r="G204" s="61"/>
      <c r="H204" s="61"/>
      <c r="I204" s="60"/>
      <c r="J204" s="53"/>
    </row>
    <row r="205" ht="24.75" hidden="1" customHeight="1">
      <c r="A205" s="54">
        <v>140.0</v>
      </c>
      <c r="B205" s="56" t="s">
        <v>284</v>
      </c>
      <c r="C205" s="56" t="s">
        <v>270</v>
      </c>
      <c r="D205" s="56" t="s">
        <v>492</v>
      </c>
      <c r="E205" s="56" t="s">
        <v>487</v>
      </c>
      <c r="F205" s="56"/>
      <c r="G205" s="61"/>
      <c r="H205" s="61"/>
      <c r="I205" s="62"/>
      <c r="J205" s="53"/>
    </row>
    <row r="206" ht="24.75" hidden="1" customHeight="1">
      <c r="A206" s="54">
        <v>140.0</v>
      </c>
      <c r="B206" s="56" t="s">
        <v>493</v>
      </c>
      <c r="C206" s="56" t="s">
        <v>270</v>
      </c>
      <c r="D206" s="56" t="s">
        <v>494</v>
      </c>
      <c r="E206" s="56" t="s">
        <v>272</v>
      </c>
      <c r="F206" s="57" t="s">
        <v>15</v>
      </c>
      <c r="G206" s="61"/>
      <c r="H206" s="61"/>
      <c r="I206" s="60"/>
      <c r="J206" s="53"/>
    </row>
    <row r="207" ht="24.75" hidden="1" customHeight="1">
      <c r="A207" s="54">
        <v>140.0</v>
      </c>
      <c r="B207" s="56" t="s">
        <v>496</v>
      </c>
      <c r="C207" s="56" t="s">
        <v>497</v>
      </c>
      <c r="D207" s="56" t="s">
        <v>498</v>
      </c>
      <c r="E207" s="56" t="s">
        <v>272</v>
      </c>
      <c r="F207" s="57" t="s">
        <v>15</v>
      </c>
      <c r="G207" s="61"/>
      <c r="H207" s="61"/>
      <c r="I207" s="60"/>
      <c r="J207" s="53"/>
    </row>
    <row r="208" ht="24.75" hidden="1" customHeight="1">
      <c r="A208" s="54">
        <v>140.0</v>
      </c>
      <c r="B208" s="56" t="s">
        <v>499</v>
      </c>
      <c r="C208" s="56" t="s">
        <v>500</v>
      </c>
      <c r="D208" s="56" t="s">
        <v>501</v>
      </c>
      <c r="E208" s="56" t="s">
        <v>225</v>
      </c>
      <c r="F208" s="57" t="s">
        <v>34</v>
      </c>
      <c r="G208" s="61"/>
      <c r="H208" s="61"/>
      <c r="I208" s="62"/>
      <c r="J208" s="53"/>
    </row>
    <row r="209" ht="24.75" hidden="1" customHeight="1">
      <c r="A209" s="54">
        <v>140.0</v>
      </c>
      <c r="B209" s="56" t="s">
        <v>499</v>
      </c>
      <c r="C209" s="56" t="s">
        <v>500</v>
      </c>
      <c r="D209" s="56" t="s">
        <v>501</v>
      </c>
      <c r="E209" s="56" t="s">
        <v>167</v>
      </c>
      <c r="F209" s="57" t="s">
        <v>154</v>
      </c>
      <c r="G209" s="61"/>
      <c r="H209" s="61"/>
      <c r="I209" s="62"/>
      <c r="J209" s="53"/>
    </row>
    <row r="210" ht="24.75" hidden="1" customHeight="1">
      <c r="A210" s="54">
        <v>140.0</v>
      </c>
      <c r="B210" s="56" t="s">
        <v>499</v>
      </c>
      <c r="C210" s="56" t="s">
        <v>500</v>
      </c>
      <c r="D210" s="56" t="s">
        <v>501</v>
      </c>
      <c r="E210" s="56" t="s">
        <v>226</v>
      </c>
      <c r="F210" s="57" t="s">
        <v>154</v>
      </c>
      <c r="G210" s="61"/>
      <c r="H210" s="61"/>
      <c r="I210" s="62"/>
      <c r="J210" s="53"/>
    </row>
    <row r="211" ht="24.75" hidden="1" customHeight="1">
      <c r="A211" s="54">
        <v>140.0</v>
      </c>
      <c r="B211" s="56" t="s">
        <v>502</v>
      </c>
      <c r="C211" s="56" t="s">
        <v>497</v>
      </c>
      <c r="D211" s="56" t="s">
        <v>503</v>
      </c>
      <c r="E211" s="56" t="s">
        <v>272</v>
      </c>
      <c r="F211" s="57" t="s">
        <v>15</v>
      </c>
      <c r="G211" s="61"/>
      <c r="H211" s="61"/>
      <c r="I211" s="60"/>
      <c r="J211" s="53"/>
    </row>
    <row r="212" ht="24.75" hidden="1" customHeight="1">
      <c r="A212" s="54">
        <v>140.0</v>
      </c>
      <c r="B212" s="56" t="s">
        <v>504</v>
      </c>
      <c r="C212" s="56" t="s">
        <v>443</v>
      </c>
      <c r="D212" s="56" t="s">
        <v>505</v>
      </c>
      <c r="E212" s="56" t="s">
        <v>439</v>
      </c>
      <c r="F212" s="57" t="s">
        <v>154</v>
      </c>
      <c r="G212" s="61"/>
      <c r="H212" s="61"/>
      <c r="I212" s="62"/>
      <c r="J212" s="53"/>
    </row>
    <row r="213" ht="24.75" hidden="1" customHeight="1">
      <c r="A213" s="54">
        <v>140.0</v>
      </c>
      <c r="B213" s="56" t="s">
        <v>506</v>
      </c>
      <c r="C213" s="56" t="s">
        <v>507</v>
      </c>
      <c r="D213" s="56" t="s">
        <v>508</v>
      </c>
      <c r="E213" s="56" t="s">
        <v>336</v>
      </c>
      <c r="F213" s="57" t="s">
        <v>192</v>
      </c>
      <c r="G213" s="61"/>
      <c r="H213" s="61"/>
      <c r="I213" s="62"/>
      <c r="J213" s="53"/>
    </row>
    <row r="214" ht="24.75" hidden="1" customHeight="1">
      <c r="A214" s="54">
        <v>140.0</v>
      </c>
      <c r="B214" s="56" t="s">
        <v>506</v>
      </c>
      <c r="C214" s="56" t="s">
        <v>507</v>
      </c>
      <c r="D214" s="56" t="s">
        <v>508</v>
      </c>
      <c r="E214" s="56" t="s">
        <v>372</v>
      </c>
      <c r="F214" s="57" t="s">
        <v>34</v>
      </c>
      <c r="G214" s="61"/>
      <c r="H214" s="61"/>
      <c r="I214" s="62"/>
      <c r="J214" s="53"/>
    </row>
    <row r="215" ht="24.75" hidden="1" customHeight="1">
      <c r="A215" s="54">
        <v>140.0</v>
      </c>
      <c r="B215" s="56" t="s">
        <v>506</v>
      </c>
      <c r="C215" s="56" t="s">
        <v>507</v>
      </c>
      <c r="D215" s="56" t="s">
        <v>508</v>
      </c>
      <c r="E215" s="56" t="s">
        <v>158</v>
      </c>
      <c r="F215" s="57" t="s">
        <v>34</v>
      </c>
      <c r="G215" s="61"/>
      <c r="H215" s="61"/>
      <c r="I215" s="62"/>
      <c r="J215" s="53"/>
    </row>
    <row r="216" ht="24.75" hidden="1" customHeight="1">
      <c r="A216" s="54">
        <v>140.0</v>
      </c>
      <c r="B216" s="56" t="s">
        <v>502</v>
      </c>
      <c r="C216" s="56" t="s">
        <v>497</v>
      </c>
      <c r="D216" s="56" t="s">
        <v>509</v>
      </c>
      <c r="E216" s="56" t="s">
        <v>272</v>
      </c>
      <c r="F216" s="57" t="s">
        <v>15</v>
      </c>
      <c r="G216" s="61"/>
      <c r="H216" s="61"/>
      <c r="I216" s="60"/>
      <c r="J216" s="53"/>
    </row>
    <row r="217" ht="24.75" hidden="1" customHeight="1">
      <c r="A217" s="54">
        <v>140.0</v>
      </c>
      <c r="B217" s="56" t="s">
        <v>499</v>
      </c>
      <c r="C217" s="56" t="s">
        <v>500</v>
      </c>
      <c r="D217" s="56" t="s">
        <v>510</v>
      </c>
      <c r="E217" s="56" t="s">
        <v>272</v>
      </c>
      <c r="F217" s="57" t="s">
        <v>15</v>
      </c>
      <c r="G217" s="61"/>
      <c r="H217" s="61"/>
      <c r="I217" s="60"/>
      <c r="J217" s="53"/>
    </row>
    <row r="218" ht="24.75" hidden="1" customHeight="1">
      <c r="A218" s="54">
        <v>140.0</v>
      </c>
      <c r="B218" s="56" t="s">
        <v>511</v>
      </c>
      <c r="C218" s="56" t="s">
        <v>497</v>
      </c>
      <c r="D218" s="56" t="s">
        <v>512</v>
      </c>
      <c r="E218" s="56" t="s">
        <v>272</v>
      </c>
      <c r="F218" s="57" t="s">
        <v>15</v>
      </c>
      <c r="G218" s="61"/>
      <c r="H218" s="61"/>
      <c r="I218" s="60"/>
      <c r="J218" s="53"/>
    </row>
    <row r="219" ht="24.75" hidden="1" customHeight="1">
      <c r="A219" s="54">
        <v>140.0</v>
      </c>
      <c r="B219" s="56" t="s">
        <v>513</v>
      </c>
      <c r="C219" s="56" t="s">
        <v>437</v>
      </c>
      <c r="D219" s="56" t="s">
        <v>514</v>
      </c>
      <c r="E219" s="56" t="s">
        <v>272</v>
      </c>
      <c r="F219" s="57" t="s">
        <v>15</v>
      </c>
      <c r="G219" s="61"/>
      <c r="H219" s="61"/>
      <c r="I219" s="60"/>
      <c r="J219" s="53"/>
    </row>
    <row r="220" ht="24.75" hidden="1" customHeight="1">
      <c r="A220" s="54">
        <v>140.0</v>
      </c>
      <c r="B220" s="56" t="s">
        <v>515</v>
      </c>
      <c r="C220" s="56" t="s">
        <v>437</v>
      </c>
      <c r="D220" s="56" t="s">
        <v>516</v>
      </c>
      <c r="E220" s="56" t="s">
        <v>272</v>
      </c>
      <c r="F220" s="57" t="s">
        <v>15</v>
      </c>
      <c r="G220" s="61"/>
      <c r="H220" s="61"/>
      <c r="I220" s="60"/>
      <c r="J220" s="53"/>
    </row>
    <row r="221" ht="24.75" hidden="1" customHeight="1">
      <c r="A221" s="54">
        <v>140.0</v>
      </c>
      <c r="B221" s="56" t="s">
        <v>517</v>
      </c>
      <c r="C221" s="56" t="s">
        <v>437</v>
      </c>
      <c r="D221" s="56" t="s">
        <v>518</v>
      </c>
      <c r="E221" s="56" t="s">
        <v>272</v>
      </c>
      <c r="F221" s="57" t="s">
        <v>15</v>
      </c>
      <c r="G221" s="81"/>
      <c r="H221" s="81"/>
      <c r="I221" s="93"/>
      <c r="J221" s="53"/>
    </row>
    <row r="222" ht="24.75" hidden="1" customHeight="1">
      <c r="A222" s="54">
        <v>140.0</v>
      </c>
      <c r="B222" s="56" t="s">
        <v>519</v>
      </c>
      <c r="C222" s="56" t="s">
        <v>437</v>
      </c>
      <c r="D222" s="56" t="s">
        <v>520</v>
      </c>
      <c r="E222" s="56" t="s">
        <v>272</v>
      </c>
      <c r="F222" s="57" t="s">
        <v>15</v>
      </c>
      <c r="G222" s="61"/>
      <c r="H222" s="61"/>
      <c r="I222" s="60"/>
      <c r="J222" s="53"/>
    </row>
    <row r="223" ht="24.75" hidden="1" customHeight="1">
      <c r="A223" s="54">
        <v>140.0</v>
      </c>
      <c r="B223" s="56" t="s">
        <v>521</v>
      </c>
      <c r="C223" s="56" t="s">
        <v>443</v>
      </c>
      <c r="D223" s="56" t="s">
        <v>522</v>
      </c>
      <c r="E223" s="56" t="s">
        <v>272</v>
      </c>
      <c r="F223" s="57" t="s">
        <v>15</v>
      </c>
      <c r="G223" s="61"/>
      <c r="H223" s="61"/>
      <c r="I223" s="60"/>
      <c r="J223" s="53"/>
    </row>
    <row r="224" ht="24.75" hidden="1" customHeight="1">
      <c r="A224" s="54">
        <v>140.0</v>
      </c>
      <c r="B224" s="56" t="s">
        <v>523</v>
      </c>
      <c r="C224" s="56" t="s">
        <v>443</v>
      </c>
      <c r="D224" s="56" t="s">
        <v>524</v>
      </c>
      <c r="E224" s="56" t="s">
        <v>272</v>
      </c>
      <c r="F224" s="57" t="s">
        <v>15</v>
      </c>
      <c r="G224" s="61"/>
      <c r="H224" s="61"/>
      <c r="I224" s="60"/>
      <c r="J224" s="53"/>
    </row>
    <row r="225" ht="24.75" hidden="1" customHeight="1">
      <c r="A225" s="54">
        <v>140.0</v>
      </c>
      <c r="B225" s="56" t="s">
        <v>525</v>
      </c>
      <c r="C225" s="56" t="s">
        <v>443</v>
      </c>
      <c r="D225" s="56" t="s">
        <v>526</v>
      </c>
      <c r="E225" s="56" t="s">
        <v>272</v>
      </c>
      <c r="F225" s="57" t="s">
        <v>15</v>
      </c>
      <c r="G225" s="61"/>
      <c r="H225" s="61"/>
      <c r="I225" s="60"/>
      <c r="J225" s="53"/>
    </row>
    <row r="226" ht="24.75" hidden="1" customHeight="1">
      <c r="A226" s="54">
        <v>140.0</v>
      </c>
      <c r="B226" s="56" t="s">
        <v>527</v>
      </c>
      <c r="C226" s="56" t="s">
        <v>446</v>
      </c>
      <c r="D226" s="56" t="s">
        <v>528</v>
      </c>
      <c r="E226" s="56" t="s">
        <v>272</v>
      </c>
      <c r="F226" s="57" t="s">
        <v>15</v>
      </c>
      <c r="G226" s="61"/>
      <c r="H226" s="61"/>
      <c r="I226" s="60"/>
      <c r="J226" s="53"/>
    </row>
    <row r="227" ht="24.75" hidden="1" customHeight="1">
      <c r="A227" s="54">
        <v>140.0</v>
      </c>
      <c r="B227" s="56" t="s">
        <v>529</v>
      </c>
      <c r="C227" s="56" t="s">
        <v>446</v>
      </c>
      <c r="D227" s="56" t="s">
        <v>530</v>
      </c>
      <c r="E227" s="56" t="s">
        <v>272</v>
      </c>
      <c r="F227" s="57" t="s">
        <v>15</v>
      </c>
      <c r="G227" s="61"/>
      <c r="H227" s="61"/>
      <c r="I227" s="60"/>
      <c r="J227" s="53"/>
    </row>
    <row r="228" ht="24.75" hidden="1" customHeight="1">
      <c r="A228" s="54">
        <v>140.0</v>
      </c>
      <c r="B228" s="56" t="s">
        <v>531</v>
      </c>
      <c r="C228" s="88" t="s">
        <v>449</v>
      </c>
      <c r="D228" s="56" t="s">
        <v>532</v>
      </c>
      <c r="E228" s="56" t="s">
        <v>272</v>
      </c>
      <c r="F228" s="57" t="s">
        <v>15</v>
      </c>
      <c r="G228" s="61"/>
      <c r="H228" s="61"/>
      <c r="I228" s="60"/>
      <c r="J228" s="53"/>
    </row>
    <row r="229" ht="24.75" hidden="1" customHeight="1">
      <c r="A229" s="54">
        <v>140.0</v>
      </c>
      <c r="B229" s="56" t="s">
        <v>533</v>
      </c>
      <c r="C229" s="56" t="s">
        <v>497</v>
      </c>
      <c r="D229" s="56" t="s">
        <v>534</v>
      </c>
      <c r="E229" s="56" t="s">
        <v>439</v>
      </c>
      <c r="F229" s="57" t="s">
        <v>154</v>
      </c>
      <c r="G229" s="61"/>
      <c r="H229" s="61"/>
      <c r="I229" s="62"/>
      <c r="J229" s="53"/>
    </row>
    <row r="230" ht="24.75" hidden="1" customHeight="1">
      <c r="A230" s="54">
        <v>140.0</v>
      </c>
      <c r="B230" s="56" t="s">
        <v>535</v>
      </c>
      <c r="C230" s="56" t="s">
        <v>443</v>
      </c>
      <c r="D230" s="56" t="s">
        <v>537</v>
      </c>
      <c r="E230" s="56" t="s">
        <v>439</v>
      </c>
      <c r="F230" s="57" t="s">
        <v>154</v>
      </c>
      <c r="G230" s="61"/>
      <c r="H230" s="61"/>
      <c r="I230" s="62"/>
      <c r="J230" s="53"/>
    </row>
    <row r="231" ht="24.75" hidden="1" customHeight="1">
      <c r="A231" s="54">
        <v>140.0</v>
      </c>
      <c r="B231" s="56" t="s">
        <v>538</v>
      </c>
      <c r="C231" s="56" t="s">
        <v>446</v>
      </c>
      <c r="D231" s="56" t="s">
        <v>539</v>
      </c>
      <c r="E231" s="56" t="s">
        <v>439</v>
      </c>
      <c r="F231" s="57" t="s">
        <v>154</v>
      </c>
      <c r="G231" s="61"/>
      <c r="H231" s="61"/>
      <c r="I231" s="62"/>
      <c r="J231" s="53"/>
    </row>
    <row r="232" ht="24.75" hidden="1" customHeight="1">
      <c r="A232" s="54">
        <v>140.0</v>
      </c>
      <c r="B232" s="56" t="s">
        <v>540</v>
      </c>
      <c r="C232" s="56" t="s">
        <v>434</v>
      </c>
      <c r="D232" s="56" t="s">
        <v>541</v>
      </c>
      <c r="E232" s="56" t="s">
        <v>167</v>
      </c>
      <c r="F232" s="57" t="s">
        <v>154</v>
      </c>
      <c r="G232" s="61"/>
      <c r="H232" s="61"/>
      <c r="I232" s="62"/>
      <c r="J232" s="53"/>
    </row>
    <row r="233" ht="24.75" hidden="1" customHeight="1">
      <c r="A233" s="54">
        <v>140.0</v>
      </c>
      <c r="B233" s="56" t="s">
        <v>540</v>
      </c>
      <c r="C233" s="56" t="s">
        <v>434</v>
      </c>
      <c r="D233" s="56" t="s">
        <v>541</v>
      </c>
      <c r="E233" s="56" t="s">
        <v>176</v>
      </c>
      <c r="F233" s="57" t="s">
        <v>154</v>
      </c>
      <c r="G233" s="61"/>
      <c r="H233" s="61"/>
      <c r="I233" s="62"/>
      <c r="J233" s="53"/>
    </row>
    <row r="234" ht="24.75" hidden="1" customHeight="1">
      <c r="A234" s="54">
        <v>140.0</v>
      </c>
      <c r="B234" s="56" t="s">
        <v>543</v>
      </c>
      <c r="C234" s="56" t="s">
        <v>437</v>
      </c>
      <c r="D234" s="56" t="s">
        <v>544</v>
      </c>
      <c r="E234" s="56" t="s">
        <v>167</v>
      </c>
      <c r="F234" s="57" t="s">
        <v>154</v>
      </c>
      <c r="G234" s="61"/>
      <c r="H234" s="61"/>
      <c r="I234" s="62"/>
      <c r="J234" s="53"/>
    </row>
    <row r="235" ht="24.75" hidden="1" customHeight="1">
      <c r="A235" s="54">
        <v>140.0</v>
      </c>
      <c r="B235" s="56" t="s">
        <v>543</v>
      </c>
      <c r="C235" s="56" t="s">
        <v>437</v>
      </c>
      <c r="D235" s="56" t="s">
        <v>544</v>
      </c>
      <c r="E235" s="56" t="s">
        <v>176</v>
      </c>
      <c r="F235" s="57" t="s">
        <v>154</v>
      </c>
      <c r="G235" s="61"/>
      <c r="H235" s="61"/>
      <c r="I235" s="62"/>
      <c r="J235" s="53"/>
    </row>
    <row r="236" ht="24.75" hidden="1" customHeight="1">
      <c r="A236" s="54">
        <v>140.0</v>
      </c>
      <c r="B236" s="56" t="s">
        <v>545</v>
      </c>
      <c r="C236" s="56" t="s">
        <v>437</v>
      </c>
      <c r="D236" s="56" t="s">
        <v>546</v>
      </c>
      <c r="E236" s="56" t="s">
        <v>167</v>
      </c>
      <c r="F236" s="57" t="s">
        <v>154</v>
      </c>
      <c r="G236" s="61"/>
      <c r="H236" s="61"/>
      <c r="I236" s="62"/>
      <c r="J236" s="53"/>
    </row>
    <row r="237" ht="24.75" hidden="1" customHeight="1">
      <c r="A237" s="54">
        <v>140.0</v>
      </c>
      <c r="B237" s="56" t="s">
        <v>545</v>
      </c>
      <c r="C237" s="56" t="s">
        <v>437</v>
      </c>
      <c r="D237" s="56" t="s">
        <v>546</v>
      </c>
      <c r="E237" s="56" t="s">
        <v>176</v>
      </c>
      <c r="F237" s="57" t="s">
        <v>154</v>
      </c>
      <c r="G237" s="61"/>
      <c r="H237" s="61"/>
      <c r="I237" s="62"/>
      <c r="J237" s="53"/>
    </row>
    <row r="238" ht="24.75" hidden="1" customHeight="1">
      <c r="A238" s="54">
        <v>140.0</v>
      </c>
      <c r="B238" s="56" t="s">
        <v>547</v>
      </c>
      <c r="C238" s="56" t="s">
        <v>437</v>
      </c>
      <c r="D238" s="56" t="s">
        <v>548</v>
      </c>
      <c r="E238" s="56" t="s">
        <v>167</v>
      </c>
      <c r="F238" s="57" t="s">
        <v>154</v>
      </c>
      <c r="G238" s="61"/>
      <c r="H238" s="61"/>
      <c r="I238" s="62"/>
      <c r="J238" s="53"/>
    </row>
    <row r="239" ht="24.75" hidden="1" customHeight="1">
      <c r="A239" s="54">
        <v>140.0</v>
      </c>
      <c r="B239" s="56" t="s">
        <v>547</v>
      </c>
      <c r="C239" s="56" t="s">
        <v>437</v>
      </c>
      <c r="D239" s="56" t="s">
        <v>548</v>
      </c>
      <c r="E239" s="56" t="s">
        <v>176</v>
      </c>
      <c r="F239" s="57" t="s">
        <v>154</v>
      </c>
      <c r="G239" s="61"/>
      <c r="H239" s="61"/>
      <c r="I239" s="62"/>
      <c r="J239" s="53"/>
    </row>
    <row r="240" ht="24.75" hidden="1" customHeight="1">
      <c r="A240" s="54">
        <v>140.0</v>
      </c>
      <c r="B240" s="56" t="s">
        <v>549</v>
      </c>
      <c r="C240" s="56" t="s">
        <v>434</v>
      </c>
      <c r="D240" s="56" t="s">
        <v>550</v>
      </c>
      <c r="E240" s="56" t="s">
        <v>167</v>
      </c>
      <c r="F240" s="57" t="s">
        <v>154</v>
      </c>
      <c r="G240" s="61"/>
      <c r="H240" s="61"/>
      <c r="I240" s="62"/>
      <c r="J240" s="53"/>
    </row>
    <row r="241" ht="24.75" hidden="1" customHeight="1">
      <c r="A241" s="54">
        <v>140.0</v>
      </c>
      <c r="B241" s="56" t="s">
        <v>549</v>
      </c>
      <c r="C241" s="56" t="s">
        <v>434</v>
      </c>
      <c r="D241" s="56" t="s">
        <v>550</v>
      </c>
      <c r="E241" s="56" t="s">
        <v>176</v>
      </c>
      <c r="F241" s="57" t="s">
        <v>154</v>
      </c>
      <c r="G241" s="61"/>
      <c r="H241" s="61"/>
      <c r="I241" s="62"/>
      <c r="J241" s="53"/>
    </row>
    <row r="242" ht="24.75" hidden="1" customHeight="1">
      <c r="A242" s="54">
        <v>140.0</v>
      </c>
      <c r="B242" s="56" t="s">
        <v>551</v>
      </c>
      <c r="C242" s="56" t="s">
        <v>497</v>
      </c>
      <c r="D242" s="56" t="s">
        <v>552</v>
      </c>
      <c r="E242" s="56" t="s">
        <v>167</v>
      </c>
      <c r="F242" s="57" t="s">
        <v>154</v>
      </c>
      <c r="G242" s="61"/>
      <c r="H242" s="61"/>
      <c r="I242" s="62"/>
      <c r="J242" s="53"/>
    </row>
    <row r="243" ht="24.75" hidden="1" customHeight="1">
      <c r="A243" s="54">
        <v>140.0</v>
      </c>
      <c r="B243" s="56" t="s">
        <v>551</v>
      </c>
      <c r="C243" s="56" t="s">
        <v>497</v>
      </c>
      <c r="D243" s="56" t="s">
        <v>552</v>
      </c>
      <c r="E243" s="56" t="s">
        <v>176</v>
      </c>
      <c r="F243" s="57" t="s">
        <v>154</v>
      </c>
      <c r="G243" s="61"/>
      <c r="H243" s="61"/>
      <c r="I243" s="62"/>
      <c r="J243" s="53"/>
    </row>
    <row r="244" ht="24.75" hidden="1" customHeight="1">
      <c r="A244" s="54">
        <v>140.0</v>
      </c>
      <c r="B244" s="56" t="s">
        <v>553</v>
      </c>
      <c r="C244" s="56" t="s">
        <v>443</v>
      </c>
      <c r="D244" s="56" t="s">
        <v>554</v>
      </c>
      <c r="E244" s="56" t="s">
        <v>167</v>
      </c>
      <c r="F244" s="57" t="s">
        <v>154</v>
      </c>
      <c r="G244" s="61"/>
      <c r="H244" s="61"/>
      <c r="I244" s="62"/>
      <c r="J244" s="53"/>
    </row>
    <row r="245" ht="24.75" hidden="1" customHeight="1">
      <c r="A245" s="54">
        <v>140.0</v>
      </c>
      <c r="B245" s="56" t="s">
        <v>553</v>
      </c>
      <c r="C245" s="56" t="s">
        <v>443</v>
      </c>
      <c r="D245" s="56" t="s">
        <v>554</v>
      </c>
      <c r="E245" s="56" t="s">
        <v>176</v>
      </c>
      <c r="F245" s="57" t="s">
        <v>154</v>
      </c>
      <c r="G245" s="61"/>
      <c r="H245" s="61"/>
      <c r="I245" s="62"/>
      <c r="J245" s="53"/>
    </row>
    <row r="246" ht="24.75" hidden="1" customHeight="1">
      <c r="A246" s="54">
        <v>140.0</v>
      </c>
      <c r="B246" s="56" t="s">
        <v>555</v>
      </c>
      <c r="C246" s="56" t="s">
        <v>434</v>
      </c>
      <c r="D246" s="56" t="s">
        <v>556</v>
      </c>
      <c r="E246" s="56" t="s">
        <v>167</v>
      </c>
      <c r="F246" s="57" t="s">
        <v>154</v>
      </c>
      <c r="G246" s="61"/>
      <c r="H246" s="61"/>
      <c r="I246" s="62"/>
      <c r="J246" s="53"/>
    </row>
    <row r="247" ht="24.75" hidden="1" customHeight="1">
      <c r="A247" s="54">
        <v>140.0</v>
      </c>
      <c r="B247" s="56" t="s">
        <v>555</v>
      </c>
      <c r="C247" s="56" t="s">
        <v>434</v>
      </c>
      <c r="D247" s="56" t="s">
        <v>556</v>
      </c>
      <c r="E247" s="56" t="s">
        <v>176</v>
      </c>
      <c r="F247" s="57" t="s">
        <v>154</v>
      </c>
      <c r="G247" s="61"/>
      <c r="H247" s="61"/>
      <c r="I247" s="62"/>
      <c r="J247" s="53"/>
    </row>
    <row r="248" ht="24.75" hidden="1" customHeight="1">
      <c r="A248" s="54">
        <v>140.0</v>
      </c>
      <c r="B248" s="56" t="s">
        <v>558</v>
      </c>
      <c r="C248" s="56" t="s">
        <v>270</v>
      </c>
      <c r="D248" s="56" t="s">
        <v>559</v>
      </c>
      <c r="E248" s="56" t="s">
        <v>167</v>
      </c>
      <c r="F248" s="57" t="s">
        <v>154</v>
      </c>
      <c r="G248" s="61"/>
      <c r="H248" s="61"/>
      <c r="I248" s="62"/>
      <c r="J248" s="53"/>
    </row>
    <row r="249" ht="24.75" hidden="1" customHeight="1">
      <c r="A249" s="54">
        <v>140.0</v>
      </c>
      <c r="B249" s="56" t="s">
        <v>558</v>
      </c>
      <c r="C249" s="56" t="s">
        <v>270</v>
      </c>
      <c r="D249" s="56" t="s">
        <v>559</v>
      </c>
      <c r="E249" s="56" t="s">
        <v>176</v>
      </c>
      <c r="F249" s="57" t="s">
        <v>154</v>
      </c>
      <c r="G249" s="61"/>
      <c r="H249" s="61"/>
      <c r="I249" s="62"/>
      <c r="J249" s="53"/>
    </row>
    <row r="250" ht="24.75" hidden="1" customHeight="1">
      <c r="A250" s="54">
        <v>140.0</v>
      </c>
      <c r="B250" s="56" t="s">
        <v>560</v>
      </c>
      <c r="C250" s="56" t="s">
        <v>446</v>
      </c>
      <c r="D250" s="56" t="s">
        <v>561</v>
      </c>
      <c r="E250" s="56" t="s">
        <v>167</v>
      </c>
      <c r="F250" s="57" t="s">
        <v>154</v>
      </c>
      <c r="G250" s="61"/>
      <c r="H250" s="61"/>
      <c r="I250" s="62"/>
      <c r="J250" s="53"/>
    </row>
    <row r="251" ht="24.75" hidden="1" customHeight="1">
      <c r="A251" s="54">
        <v>140.0</v>
      </c>
      <c r="B251" s="56" t="s">
        <v>560</v>
      </c>
      <c r="C251" s="56" t="s">
        <v>446</v>
      </c>
      <c r="D251" s="56" t="s">
        <v>561</v>
      </c>
      <c r="E251" s="56" t="s">
        <v>176</v>
      </c>
      <c r="F251" s="57" t="s">
        <v>154</v>
      </c>
      <c r="G251" s="61"/>
      <c r="H251" s="61"/>
      <c r="I251" s="62"/>
      <c r="J251" s="53"/>
    </row>
    <row r="252" ht="24.75" hidden="1" customHeight="1">
      <c r="A252" s="54">
        <v>140.0</v>
      </c>
      <c r="B252" s="56" t="s">
        <v>562</v>
      </c>
      <c r="C252" s="56" t="s">
        <v>443</v>
      </c>
      <c r="D252" s="56" t="s">
        <v>563</v>
      </c>
      <c r="E252" s="56" t="s">
        <v>167</v>
      </c>
      <c r="F252" s="57" t="s">
        <v>154</v>
      </c>
      <c r="G252" s="61"/>
      <c r="H252" s="61"/>
      <c r="I252" s="62"/>
      <c r="J252" s="53"/>
    </row>
    <row r="253" ht="24.75" hidden="1" customHeight="1">
      <c r="A253" s="54">
        <v>140.0</v>
      </c>
      <c r="B253" s="56" t="s">
        <v>562</v>
      </c>
      <c r="C253" s="56" t="s">
        <v>443</v>
      </c>
      <c r="D253" s="56" t="s">
        <v>563</v>
      </c>
      <c r="E253" s="56" t="s">
        <v>176</v>
      </c>
      <c r="F253" s="57" t="s">
        <v>154</v>
      </c>
      <c r="G253" s="61"/>
      <c r="H253" s="61"/>
      <c r="I253" s="62"/>
      <c r="J253" s="53"/>
    </row>
    <row r="254" ht="24.75" hidden="1" customHeight="1">
      <c r="A254" s="54">
        <v>140.0</v>
      </c>
      <c r="B254" s="56" t="s">
        <v>564</v>
      </c>
      <c r="C254" s="56" t="s">
        <v>446</v>
      </c>
      <c r="D254" s="56" t="s">
        <v>565</v>
      </c>
      <c r="E254" s="56" t="s">
        <v>167</v>
      </c>
      <c r="F254" s="57" t="s">
        <v>154</v>
      </c>
      <c r="G254" s="61"/>
      <c r="H254" s="61"/>
      <c r="I254" s="62"/>
      <c r="J254" s="53"/>
    </row>
    <row r="255" ht="24.75" hidden="1" customHeight="1">
      <c r="A255" s="54">
        <v>140.0</v>
      </c>
      <c r="B255" s="56" t="s">
        <v>564</v>
      </c>
      <c r="C255" s="56" t="s">
        <v>446</v>
      </c>
      <c r="D255" s="56" t="s">
        <v>565</v>
      </c>
      <c r="E255" s="56" t="s">
        <v>176</v>
      </c>
      <c r="F255" s="57" t="s">
        <v>154</v>
      </c>
      <c r="G255" s="61"/>
      <c r="H255" s="61"/>
      <c r="I255" s="62"/>
      <c r="J255" s="53"/>
    </row>
    <row r="256" ht="24.75" hidden="1" customHeight="1">
      <c r="A256" s="54">
        <v>140.0</v>
      </c>
      <c r="B256" s="56" t="s">
        <v>566</v>
      </c>
      <c r="C256" s="88" t="s">
        <v>449</v>
      </c>
      <c r="D256" s="56" t="s">
        <v>567</v>
      </c>
      <c r="E256" s="56" t="s">
        <v>167</v>
      </c>
      <c r="F256" s="57" t="s">
        <v>154</v>
      </c>
      <c r="G256" s="61"/>
      <c r="H256" s="61"/>
      <c r="I256" s="62"/>
      <c r="J256" s="53"/>
    </row>
    <row r="257" ht="24.75" hidden="1" customHeight="1">
      <c r="A257" s="54">
        <v>140.0</v>
      </c>
      <c r="B257" s="56" t="s">
        <v>566</v>
      </c>
      <c r="C257" s="88" t="s">
        <v>449</v>
      </c>
      <c r="D257" s="56" t="s">
        <v>567</v>
      </c>
      <c r="E257" s="56" t="s">
        <v>176</v>
      </c>
      <c r="F257" s="57" t="s">
        <v>154</v>
      </c>
      <c r="G257" s="61"/>
      <c r="H257" s="61"/>
      <c r="I257" s="62"/>
      <c r="J257" s="53"/>
    </row>
    <row r="258" ht="24.75" hidden="1" customHeight="1">
      <c r="A258" s="54">
        <v>140.0</v>
      </c>
      <c r="B258" s="56" t="s">
        <v>568</v>
      </c>
      <c r="C258" s="56" t="s">
        <v>446</v>
      </c>
      <c r="D258" s="56" t="s">
        <v>569</v>
      </c>
      <c r="E258" s="56" t="s">
        <v>272</v>
      </c>
      <c r="F258" s="57" t="s">
        <v>15</v>
      </c>
      <c r="G258" s="61"/>
      <c r="H258" s="61"/>
      <c r="I258" s="60"/>
      <c r="J258" s="53"/>
    </row>
    <row r="259" ht="24.75" hidden="1" customHeight="1">
      <c r="A259" s="54">
        <v>140.0</v>
      </c>
      <c r="B259" s="56" t="s">
        <v>570</v>
      </c>
      <c r="C259" s="88" t="s">
        <v>449</v>
      </c>
      <c r="D259" s="56" t="s">
        <v>571</v>
      </c>
      <c r="E259" s="56" t="s">
        <v>167</v>
      </c>
      <c r="F259" s="57" t="s">
        <v>154</v>
      </c>
      <c r="G259" s="61"/>
      <c r="H259" s="61"/>
      <c r="I259" s="62"/>
      <c r="J259" s="53"/>
    </row>
    <row r="260" ht="24.75" hidden="1" customHeight="1">
      <c r="A260" s="54">
        <v>140.0</v>
      </c>
      <c r="B260" s="56" t="s">
        <v>570</v>
      </c>
      <c r="C260" s="88" t="s">
        <v>449</v>
      </c>
      <c r="D260" s="56" t="s">
        <v>571</v>
      </c>
      <c r="E260" s="56" t="s">
        <v>176</v>
      </c>
      <c r="F260" s="57" t="s">
        <v>154</v>
      </c>
      <c r="G260" s="61"/>
      <c r="H260" s="61"/>
      <c r="I260" s="62"/>
      <c r="J260" s="53"/>
    </row>
    <row r="261" ht="24.75" hidden="1" customHeight="1">
      <c r="A261" s="54" t="s">
        <v>572</v>
      </c>
      <c r="B261" s="56" t="s">
        <v>573</v>
      </c>
      <c r="C261" s="56" t="s">
        <v>574</v>
      </c>
      <c r="D261" s="56" t="s">
        <v>575</v>
      </c>
      <c r="E261" s="56" t="s">
        <v>239</v>
      </c>
      <c r="F261" s="57" t="s">
        <v>154</v>
      </c>
      <c r="G261" s="61"/>
      <c r="H261" s="61"/>
      <c r="I261" s="62" t="s">
        <v>207</v>
      </c>
      <c r="J261" s="53"/>
    </row>
    <row r="262" ht="24.75" hidden="1" customHeight="1">
      <c r="A262" s="54" t="s">
        <v>572</v>
      </c>
      <c r="B262" s="56" t="s">
        <v>576</v>
      </c>
      <c r="C262" s="56" t="s">
        <v>574</v>
      </c>
      <c r="D262" s="56" t="s">
        <v>577</v>
      </c>
      <c r="E262" s="56" t="s">
        <v>578</v>
      </c>
      <c r="F262" s="57" t="s">
        <v>154</v>
      </c>
      <c r="G262" s="61"/>
      <c r="H262" s="61"/>
      <c r="I262" s="62"/>
      <c r="J262" s="53"/>
    </row>
    <row r="263" ht="24.75" hidden="1" customHeight="1">
      <c r="A263" s="54" t="s">
        <v>572</v>
      </c>
      <c r="B263" s="56" t="s">
        <v>576</v>
      </c>
      <c r="C263" s="56" t="s">
        <v>574</v>
      </c>
      <c r="D263" s="56" t="s">
        <v>577</v>
      </c>
      <c r="E263" s="56" t="s">
        <v>196</v>
      </c>
      <c r="F263" s="57" t="s">
        <v>250</v>
      </c>
      <c r="G263" s="61"/>
      <c r="H263" s="61" t="s">
        <v>197</v>
      </c>
      <c r="I263" s="62" t="s">
        <v>581</v>
      </c>
      <c r="J263" s="53"/>
    </row>
    <row r="264" ht="24.75" hidden="1" customHeight="1">
      <c r="A264" s="54" t="s">
        <v>572</v>
      </c>
      <c r="B264" s="56" t="s">
        <v>579</v>
      </c>
      <c r="C264" s="56" t="s">
        <v>574</v>
      </c>
      <c r="D264" s="56" t="s">
        <v>580</v>
      </c>
      <c r="E264" s="56" t="s">
        <v>578</v>
      </c>
      <c r="F264" s="57" t="s">
        <v>154</v>
      </c>
      <c r="G264" s="61"/>
      <c r="H264" s="61"/>
      <c r="I264" s="62"/>
      <c r="J264" s="53"/>
    </row>
    <row r="265" ht="24.75" hidden="1" customHeight="1">
      <c r="A265" s="54" t="s">
        <v>572</v>
      </c>
      <c r="B265" s="56" t="s">
        <v>579</v>
      </c>
      <c r="C265" s="56" t="s">
        <v>574</v>
      </c>
      <c r="D265" s="56" t="s">
        <v>580</v>
      </c>
      <c r="E265" s="56" t="s">
        <v>196</v>
      </c>
      <c r="F265" s="57" t="s">
        <v>250</v>
      </c>
      <c r="G265" s="61"/>
      <c r="H265" s="61" t="s">
        <v>197</v>
      </c>
      <c r="I265" s="62" t="s">
        <v>581</v>
      </c>
      <c r="J265" s="53"/>
    </row>
    <row r="266" ht="24.75" hidden="1" customHeight="1">
      <c r="A266" s="54" t="s">
        <v>572</v>
      </c>
      <c r="B266" s="56" t="s">
        <v>582</v>
      </c>
      <c r="C266" s="56" t="s">
        <v>583</v>
      </c>
      <c r="D266" s="56" t="s">
        <v>584</v>
      </c>
      <c r="E266" s="56" t="s">
        <v>585</v>
      </c>
      <c r="F266" s="57" t="s">
        <v>154</v>
      </c>
      <c r="G266" s="61"/>
      <c r="H266" s="61"/>
      <c r="I266" s="62" t="s">
        <v>207</v>
      </c>
      <c r="J266" s="53"/>
    </row>
    <row r="267" ht="24.75" hidden="1" customHeight="1">
      <c r="A267" s="54" t="s">
        <v>572</v>
      </c>
      <c r="B267" s="56" t="s">
        <v>586</v>
      </c>
      <c r="C267" s="56" t="s">
        <v>583</v>
      </c>
      <c r="D267" s="56" t="s">
        <v>587</v>
      </c>
      <c r="E267" s="56" t="s">
        <v>588</v>
      </c>
      <c r="F267" s="57" t="s">
        <v>154</v>
      </c>
      <c r="G267" s="61"/>
      <c r="H267" s="61"/>
      <c r="I267" s="62"/>
      <c r="J267" s="53"/>
    </row>
    <row r="268" ht="24.75" hidden="1" customHeight="1">
      <c r="A268" s="54" t="s">
        <v>572</v>
      </c>
      <c r="B268" s="56" t="s">
        <v>586</v>
      </c>
      <c r="C268" s="56" t="s">
        <v>583</v>
      </c>
      <c r="D268" s="56" t="s">
        <v>587</v>
      </c>
      <c r="E268" s="56" t="s">
        <v>589</v>
      </c>
      <c r="F268" s="57" t="s">
        <v>154</v>
      </c>
      <c r="G268" s="61"/>
      <c r="H268" s="61"/>
      <c r="I268" s="62"/>
      <c r="J268" s="53"/>
    </row>
    <row r="269" ht="24.75" hidden="1" customHeight="1">
      <c r="A269" s="54" t="s">
        <v>572</v>
      </c>
      <c r="B269" s="56" t="s">
        <v>586</v>
      </c>
      <c r="C269" s="56" t="s">
        <v>583</v>
      </c>
      <c r="D269" s="56" t="s">
        <v>587</v>
      </c>
      <c r="E269" s="56" t="s">
        <v>590</v>
      </c>
      <c r="F269" s="57" t="s">
        <v>250</v>
      </c>
      <c r="G269" s="61"/>
      <c r="H269" s="61" t="s">
        <v>592</v>
      </c>
      <c r="I269" s="62" t="s">
        <v>593</v>
      </c>
      <c r="J269" s="53"/>
    </row>
    <row r="270" ht="24.75" hidden="1" customHeight="1">
      <c r="A270" s="54" t="s">
        <v>572</v>
      </c>
      <c r="B270" s="56" t="s">
        <v>591</v>
      </c>
      <c r="C270" s="56" t="s">
        <v>574</v>
      </c>
      <c r="D270" s="56" t="s">
        <v>594</v>
      </c>
      <c r="E270" s="56" t="s">
        <v>239</v>
      </c>
      <c r="F270" s="57" t="s">
        <v>154</v>
      </c>
      <c r="G270" s="61"/>
      <c r="H270" s="61"/>
      <c r="I270" s="62"/>
      <c r="J270" s="53"/>
    </row>
    <row r="271" ht="24.75" hidden="1" customHeight="1">
      <c r="A271" s="54" t="s">
        <v>572</v>
      </c>
      <c r="B271" s="56" t="s">
        <v>595</v>
      </c>
      <c r="C271" s="56" t="s">
        <v>574</v>
      </c>
      <c r="D271" s="56" t="s">
        <v>577</v>
      </c>
      <c r="E271" s="56" t="s">
        <v>578</v>
      </c>
      <c r="F271" s="57" t="s">
        <v>154</v>
      </c>
      <c r="G271" s="61"/>
      <c r="H271" s="61"/>
      <c r="I271" s="62"/>
      <c r="J271" s="53"/>
    </row>
    <row r="272" ht="24.75" hidden="1" customHeight="1">
      <c r="A272" s="54" t="s">
        <v>572</v>
      </c>
      <c r="B272" s="56" t="s">
        <v>595</v>
      </c>
      <c r="C272" s="56" t="s">
        <v>574</v>
      </c>
      <c r="D272" s="56" t="s">
        <v>577</v>
      </c>
      <c r="E272" s="56" t="s">
        <v>196</v>
      </c>
      <c r="F272" s="57" t="s">
        <v>250</v>
      </c>
      <c r="G272" s="61"/>
      <c r="H272" s="61" t="s">
        <v>197</v>
      </c>
      <c r="I272" s="62" t="s">
        <v>581</v>
      </c>
      <c r="J272" s="53"/>
    </row>
    <row r="273" ht="24.75" hidden="1" customHeight="1">
      <c r="A273" s="54" t="s">
        <v>572</v>
      </c>
      <c r="B273" s="56" t="s">
        <v>596</v>
      </c>
      <c r="C273" s="56" t="s">
        <v>574</v>
      </c>
      <c r="D273" s="56" t="s">
        <v>597</v>
      </c>
      <c r="E273" s="56" t="s">
        <v>239</v>
      </c>
      <c r="F273" s="57" t="s">
        <v>154</v>
      </c>
      <c r="G273" s="61"/>
      <c r="H273" s="61"/>
      <c r="I273" s="62"/>
      <c r="J273" s="53"/>
    </row>
    <row r="274" ht="24.75" hidden="1" customHeight="1">
      <c r="A274" s="54" t="s">
        <v>572</v>
      </c>
      <c r="B274" s="56" t="s">
        <v>598</v>
      </c>
      <c r="C274" s="56" t="s">
        <v>574</v>
      </c>
      <c r="D274" s="56" t="s">
        <v>577</v>
      </c>
      <c r="E274" s="56" t="s">
        <v>578</v>
      </c>
      <c r="F274" s="57" t="s">
        <v>154</v>
      </c>
      <c r="G274" s="61"/>
      <c r="H274" s="61"/>
      <c r="I274" s="62"/>
      <c r="J274" s="53"/>
    </row>
    <row r="275" ht="24.75" hidden="1" customHeight="1">
      <c r="A275" s="54" t="s">
        <v>572</v>
      </c>
      <c r="B275" s="56" t="s">
        <v>598</v>
      </c>
      <c r="C275" s="56" t="s">
        <v>574</v>
      </c>
      <c r="D275" s="56" t="s">
        <v>577</v>
      </c>
      <c r="E275" s="56" t="s">
        <v>196</v>
      </c>
      <c r="F275" s="57" t="s">
        <v>250</v>
      </c>
      <c r="G275" s="61"/>
      <c r="H275" s="61" t="s">
        <v>197</v>
      </c>
      <c r="I275" s="62" t="s">
        <v>581</v>
      </c>
      <c r="J275" s="53"/>
    </row>
    <row r="276" ht="24.75" hidden="1" customHeight="1">
      <c r="A276" s="54" t="s">
        <v>289</v>
      </c>
      <c r="B276" s="56" t="s">
        <v>599</v>
      </c>
      <c r="C276" s="56" t="s">
        <v>291</v>
      </c>
      <c r="D276" s="56" t="s">
        <v>600</v>
      </c>
      <c r="E276" s="56" t="s">
        <v>163</v>
      </c>
      <c r="F276" s="57" t="s">
        <v>154</v>
      </c>
      <c r="G276" s="61"/>
      <c r="H276" s="79"/>
      <c r="I276" s="62"/>
      <c r="J276" s="53"/>
    </row>
    <row r="277" ht="24.75" hidden="1" customHeight="1">
      <c r="A277" s="54" t="s">
        <v>289</v>
      </c>
      <c r="B277" s="56" t="s">
        <v>290</v>
      </c>
      <c r="C277" s="56" t="s">
        <v>291</v>
      </c>
      <c r="D277" s="56" t="s">
        <v>292</v>
      </c>
      <c r="E277" s="56" t="s">
        <v>196</v>
      </c>
      <c r="F277" s="57" t="s">
        <v>250</v>
      </c>
      <c r="G277" s="61"/>
      <c r="H277" s="61" t="s">
        <v>287</v>
      </c>
      <c r="I277" s="62" t="s">
        <v>288</v>
      </c>
      <c r="J277" s="53"/>
    </row>
    <row r="278" ht="24.75" hidden="1" customHeight="1">
      <c r="A278" s="54" t="s">
        <v>289</v>
      </c>
      <c r="B278" s="56" t="s">
        <v>290</v>
      </c>
      <c r="C278" s="56" t="s">
        <v>291</v>
      </c>
      <c r="D278" s="56" t="s">
        <v>292</v>
      </c>
      <c r="E278" s="56" t="s">
        <v>601</v>
      </c>
      <c r="F278" s="57" t="s">
        <v>154</v>
      </c>
      <c r="G278" s="61"/>
      <c r="H278" s="79"/>
      <c r="I278" s="62"/>
      <c r="J278" s="53"/>
    </row>
    <row r="279" ht="24.75" hidden="1" customHeight="1">
      <c r="A279" s="54">
        <v>140.0</v>
      </c>
      <c r="B279" s="56" t="s">
        <v>602</v>
      </c>
      <c r="C279" s="56" t="s">
        <v>500</v>
      </c>
      <c r="D279" s="56" t="s">
        <v>603</v>
      </c>
      <c r="E279" s="56" t="s">
        <v>272</v>
      </c>
      <c r="F279" s="57" t="s">
        <v>15</v>
      </c>
      <c r="G279" s="61"/>
      <c r="H279" s="61"/>
      <c r="I279" s="60"/>
      <c r="J279" s="53"/>
    </row>
    <row r="280" ht="24.75" hidden="1" customHeight="1">
      <c r="A280" s="54">
        <v>140.0</v>
      </c>
      <c r="B280" s="56" t="s">
        <v>566</v>
      </c>
      <c r="C280" s="56" t="s">
        <v>500</v>
      </c>
      <c r="D280" s="56" t="s">
        <v>604</v>
      </c>
      <c r="E280" s="56" t="s">
        <v>272</v>
      </c>
      <c r="F280" s="57" t="s">
        <v>15</v>
      </c>
      <c r="G280" s="61"/>
      <c r="H280" s="61"/>
      <c r="I280" s="60"/>
      <c r="J280" s="53"/>
    </row>
    <row r="281" ht="24.75" hidden="1" customHeight="1">
      <c r="A281" s="54" t="s">
        <v>289</v>
      </c>
      <c r="B281" s="56" t="s">
        <v>605</v>
      </c>
      <c r="C281" s="56" t="s">
        <v>606</v>
      </c>
      <c r="D281" s="56" t="s">
        <v>607</v>
      </c>
      <c r="E281" s="56" t="s">
        <v>608</v>
      </c>
      <c r="F281" s="57" t="s">
        <v>154</v>
      </c>
      <c r="G281" s="61"/>
      <c r="H281" s="79"/>
      <c r="I281" s="62"/>
      <c r="J281" s="53"/>
    </row>
    <row r="282" ht="24.75" hidden="1" customHeight="1">
      <c r="A282" s="54" t="s">
        <v>289</v>
      </c>
      <c r="B282" s="56" t="s">
        <v>609</v>
      </c>
      <c r="C282" s="56" t="s">
        <v>610</v>
      </c>
      <c r="D282" s="56" t="s">
        <v>611</v>
      </c>
      <c r="E282" s="56" t="s">
        <v>612</v>
      </c>
      <c r="F282" s="57" t="s">
        <v>34</v>
      </c>
      <c r="G282" s="61"/>
      <c r="H282" s="79"/>
      <c r="I282" s="62"/>
      <c r="J282" s="53"/>
    </row>
    <row r="283" ht="24.75" hidden="1" customHeight="1">
      <c r="A283" s="54" t="s">
        <v>289</v>
      </c>
      <c r="B283" s="56" t="s">
        <v>609</v>
      </c>
      <c r="C283" s="56" t="s">
        <v>610</v>
      </c>
      <c r="D283" s="56" t="s">
        <v>611</v>
      </c>
      <c r="E283" s="56" t="s">
        <v>613</v>
      </c>
      <c r="F283" s="57" t="s">
        <v>34</v>
      </c>
      <c r="G283" s="61"/>
      <c r="H283" s="79"/>
      <c r="I283" s="62"/>
      <c r="J283" s="53"/>
    </row>
    <row r="284" ht="24.75" hidden="1" customHeight="1">
      <c r="A284" s="54" t="s">
        <v>289</v>
      </c>
      <c r="B284" s="56" t="s">
        <v>609</v>
      </c>
      <c r="C284" s="56" t="s">
        <v>610</v>
      </c>
      <c r="D284" s="56" t="s">
        <v>611</v>
      </c>
      <c r="E284" s="56" t="s">
        <v>614</v>
      </c>
      <c r="F284" s="57" t="s">
        <v>34</v>
      </c>
      <c r="G284" s="61"/>
      <c r="H284" s="79"/>
      <c r="I284" s="62" t="s">
        <v>615</v>
      </c>
      <c r="J284" s="53"/>
    </row>
    <row r="285" ht="24.75" hidden="1" customHeight="1">
      <c r="A285" s="54" t="s">
        <v>289</v>
      </c>
      <c r="B285" s="56" t="s">
        <v>609</v>
      </c>
      <c r="C285" s="56" t="s">
        <v>610</v>
      </c>
      <c r="D285" s="56" t="s">
        <v>611</v>
      </c>
      <c r="E285" s="56" t="s">
        <v>616</v>
      </c>
      <c r="F285" s="57" t="s">
        <v>154</v>
      </c>
      <c r="G285" s="61"/>
      <c r="H285" s="79"/>
      <c r="I285" s="62" t="s">
        <v>617</v>
      </c>
      <c r="J285" s="53"/>
    </row>
    <row r="286" ht="24.75" hidden="1" customHeight="1">
      <c r="A286" s="54" t="s">
        <v>289</v>
      </c>
      <c r="B286" s="56" t="s">
        <v>609</v>
      </c>
      <c r="C286" s="56" t="s">
        <v>610</v>
      </c>
      <c r="D286" s="56" t="s">
        <v>611</v>
      </c>
      <c r="E286" s="80" t="s">
        <v>618</v>
      </c>
      <c r="F286" s="57" t="s">
        <v>154</v>
      </c>
      <c r="G286" s="61"/>
      <c r="H286" s="79"/>
      <c r="I286" s="62" t="s">
        <v>617</v>
      </c>
      <c r="J286" s="53"/>
    </row>
    <row r="287" ht="24.75" hidden="1" customHeight="1">
      <c r="A287" s="54" t="s">
        <v>289</v>
      </c>
      <c r="B287" s="56" t="s">
        <v>619</v>
      </c>
      <c r="C287" s="56" t="s">
        <v>610</v>
      </c>
      <c r="D287" s="56" t="s">
        <v>620</v>
      </c>
      <c r="E287" s="56" t="s">
        <v>196</v>
      </c>
      <c r="F287" s="57" t="s">
        <v>250</v>
      </c>
      <c r="G287" s="61"/>
      <c r="H287" s="61" t="s">
        <v>287</v>
      </c>
      <c r="I287" s="62" t="s">
        <v>288</v>
      </c>
      <c r="J287" s="53"/>
    </row>
    <row r="288" ht="24.75" hidden="1" customHeight="1">
      <c r="A288" s="54" t="s">
        <v>289</v>
      </c>
      <c r="B288" s="56" t="s">
        <v>619</v>
      </c>
      <c r="C288" s="56" t="s">
        <v>610</v>
      </c>
      <c r="D288" s="56" t="s">
        <v>620</v>
      </c>
      <c r="E288" s="56" t="s">
        <v>621</v>
      </c>
      <c r="F288" s="57" t="s">
        <v>192</v>
      </c>
      <c r="G288" s="61"/>
      <c r="H288" s="79"/>
      <c r="I288" s="62"/>
      <c r="J288" s="53"/>
    </row>
    <row r="289" ht="24.75" hidden="1" customHeight="1">
      <c r="A289" s="54" t="s">
        <v>289</v>
      </c>
      <c r="B289" s="56" t="s">
        <v>619</v>
      </c>
      <c r="C289" s="56" t="s">
        <v>610</v>
      </c>
      <c r="D289" s="56" t="s">
        <v>620</v>
      </c>
      <c r="E289" s="56" t="s">
        <v>622</v>
      </c>
      <c r="F289" s="57" t="s">
        <v>154</v>
      </c>
      <c r="G289" s="61"/>
      <c r="H289" s="79"/>
      <c r="I289" s="62" t="s">
        <v>617</v>
      </c>
      <c r="J289" s="53"/>
    </row>
    <row r="290" ht="24.75" hidden="1" customHeight="1">
      <c r="A290" s="54" t="s">
        <v>289</v>
      </c>
      <c r="B290" s="56" t="s">
        <v>623</v>
      </c>
      <c r="C290" s="56" t="s">
        <v>624</v>
      </c>
      <c r="D290" s="56" t="s">
        <v>611</v>
      </c>
      <c r="E290" s="56" t="s">
        <v>612</v>
      </c>
      <c r="F290" s="57" t="s">
        <v>34</v>
      </c>
      <c r="G290" s="61"/>
      <c r="H290" s="79"/>
      <c r="I290" s="62"/>
      <c r="J290" s="53"/>
    </row>
    <row r="291" ht="24.75" hidden="1" customHeight="1">
      <c r="A291" s="54" t="s">
        <v>289</v>
      </c>
      <c r="B291" s="56" t="s">
        <v>623</v>
      </c>
      <c r="C291" s="56" t="s">
        <v>624</v>
      </c>
      <c r="D291" s="56" t="s">
        <v>611</v>
      </c>
      <c r="E291" s="56" t="s">
        <v>613</v>
      </c>
      <c r="F291" s="57" t="s">
        <v>34</v>
      </c>
      <c r="G291" s="61"/>
      <c r="H291" s="79"/>
      <c r="I291" s="62"/>
      <c r="J291" s="53"/>
    </row>
    <row r="292" ht="24.75" hidden="1" customHeight="1">
      <c r="A292" s="54" t="s">
        <v>289</v>
      </c>
      <c r="B292" s="56" t="s">
        <v>623</v>
      </c>
      <c r="C292" s="56" t="s">
        <v>624</v>
      </c>
      <c r="D292" s="56" t="s">
        <v>611</v>
      </c>
      <c r="E292" s="56" t="s">
        <v>614</v>
      </c>
      <c r="F292" s="57" t="s">
        <v>34</v>
      </c>
      <c r="G292" s="61"/>
      <c r="H292" s="79"/>
      <c r="I292" s="62" t="s">
        <v>615</v>
      </c>
      <c r="J292" s="53"/>
    </row>
    <row r="293" ht="24.75" hidden="1" customHeight="1">
      <c r="A293" s="54" t="s">
        <v>289</v>
      </c>
      <c r="B293" s="56" t="s">
        <v>623</v>
      </c>
      <c r="C293" s="56" t="s">
        <v>624</v>
      </c>
      <c r="D293" s="56" t="s">
        <v>611</v>
      </c>
      <c r="E293" s="56" t="s">
        <v>616</v>
      </c>
      <c r="F293" s="57" t="s">
        <v>154</v>
      </c>
      <c r="G293" s="61"/>
      <c r="H293" s="79"/>
      <c r="I293" s="62" t="s">
        <v>617</v>
      </c>
      <c r="J293" s="53"/>
    </row>
    <row r="294" ht="24.75" hidden="1" customHeight="1">
      <c r="A294" s="54" t="s">
        <v>289</v>
      </c>
      <c r="B294" s="56" t="s">
        <v>623</v>
      </c>
      <c r="C294" s="56" t="s">
        <v>624</v>
      </c>
      <c r="D294" s="56" t="s">
        <v>611</v>
      </c>
      <c r="E294" s="80" t="s">
        <v>618</v>
      </c>
      <c r="F294" s="57" t="s">
        <v>154</v>
      </c>
      <c r="G294" s="61"/>
      <c r="H294" s="79"/>
      <c r="I294" s="62" t="s">
        <v>617</v>
      </c>
      <c r="J294" s="53"/>
    </row>
    <row r="295" ht="24.75" hidden="1" customHeight="1">
      <c r="A295" s="54" t="s">
        <v>289</v>
      </c>
      <c r="B295" s="56" t="s">
        <v>625</v>
      </c>
      <c r="C295" s="56" t="s">
        <v>624</v>
      </c>
      <c r="D295" s="56" t="s">
        <v>620</v>
      </c>
      <c r="E295" s="56" t="s">
        <v>196</v>
      </c>
      <c r="F295" s="57" t="s">
        <v>250</v>
      </c>
      <c r="G295" s="61"/>
      <c r="H295" s="61" t="s">
        <v>287</v>
      </c>
      <c r="I295" s="62" t="s">
        <v>288</v>
      </c>
      <c r="J295" s="53"/>
    </row>
    <row r="296" ht="24.75" hidden="1" customHeight="1">
      <c r="A296" s="54" t="s">
        <v>289</v>
      </c>
      <c r="B296" s="56" t="s">
        <v>625</v>
      </c>
      <c r="C296" s="56" t="s">
        <v>624</v>
      </c>
      <c r="D296" s="56" t="s">
        <v>620</v>
      </c>
      <c r="E296" s="56" t="s">
        <v>621</v>
      </c>
      <c r="F296" s="57" t="s">
        <v>192</v>
      </c>
      <c r="G296" s="61"/>
      <c r="H296" s="79"/>
      <c r="I296" s="62"/>
      <c r="J296" s="53"/>
    </row>
    <row r="297" ht="24.75" hidden="1" customHeight="1">
      <c r="A297" s="54" t="s">
        <v>289</v>
      </c>
      <c r="B297" s="56" t="s">
        <v>625</v>
      </c>
      <c r="C297" s="56" t="s">
        <v>624</v>
      </c>
      <c r="D297" s="56" t="s">
        <v>620</v>
      </c>
      <c r="E297" s="56" t="s">
        <v>622</v>
      </c>
      <c r="F297" s="57" t="s">
        <v>154</v>
      </c>
      <c r="G297" s="61"/>
      <c r="H297" s="79"/>
      <c r="I297" s="62" t="s">
        <v>617</v>
      </c>
      <c r="J297" s="53"/>
    </row>
    <row r="298" ht="24.75" hidden="1" customHeight="1">
      <c r="A298" s="54" t="s">
        <v>289</v>
      </c>
      <c r="B298" s="56" t="s">
        <v>626</v>
      </c>
      <c r="C298" s="56" t="s">
        <v>627</v>
      </c>
      <c r="D298" s="56" t="s">
        <v>611</v>
      </c>
      <c r="E298" s="56" t="s">
        <v>612</v>
      </c>
      <c r="F298" s="57" t="s">
        <v>34</v>
      </c>
      <c r="G298" s="61"/>
      <c r="H298" s="79"/>
      <c r="I298" s="62"/>
      <c r="J298" s="53"/>
    </row>
    <row r="299" ht="24.75" hidden="1" customHeight="1">
      <c r="A299" s="54" t="s">
        <v>289</v>
      </c>
      <c r="B299" s="56" t="s">
        <v>626</v>
      </c>
      <c r="C299" s="56" t="s">
        <v>627</v>
      </c>
      <c r="D299" s="56" t="s">
        <v>611</v>
      </c>
      <c r="E299" s="56" t="s">
        <v>613</v>
      </c>
      <c r="F299" s="57" t="s">
        <v>34</v>
      </c>
      <c r="G299" s="61"/>
      <c r="H299" s="79"/>
      <c r="I299" s="62"/>
      <c r="J299" s="53"/>
    </row>
    <row r="300" ht="24.75" hidden="1" customHeight="1">
      <c r="A300" s="54" t="s">
        <v>289</v>
      </c>
      <c r="B300" s="56" t="s">
        <v>626</v>
      </c>
      <c r="C300" s="56" t="s">
        <v>627</v>
      </c>
      <c r="D300" s="56" t="s">
        <v>611</v>
      </c>
      <c r="E300" s="56" t="s">
        <v>614</v>
      </c>
      <c r="F300" s="57" t="s">
        <v>34</v>
      </c>
      <c r="G300" s="61"/>
      <c r="H300" s="79"/>
      <c r="I300" s="62" t="s">
        <v>615</v>
      </c>
      <c r="J300" s="53"/>
    </row>
    <row r="301" ht="24.75" hidden="1" customHeight="1">
      <c r="A301" s="54" t="s">
        <v>289</v>
      </c>
      <c r="B301" s="56" t="s">
        <v>626</v>
      </c>
      <c r="C301" s="56" t="s">
        <v>627</v>
      </c>
      <c r="D301" s="56" t="s">
        <v>611</v>
      </c>
      <c r="E301" s="56" t="s">
        <v>616</v>
      </c>
      <c r="F301" s="57" t="s">
        <v>154</v>
      </c>
      <c r="G301" s="61"/>
      <c r="H301" s="79"/>
      <c r="I301" s="62" t="s">
        <v>617</v>
      </c>
      <c r="J301" s="53"/>
    </row>
    <row r="302" ht="24.75" hidden="1" customHeight="1">
      <c r="A302" s="54" t="s">
        <v>289</v>
      </c>
      <c r="B302" s="56" t="s">
        <v>626</v>
      </c>
      <c r="C302" s="56" t="s">
        <v>627</v>
      </c>
      <c r="D302" s="56" t="s">
        <v>611</v>
      </c>
      <c r="E302" s="56" t="s">
        <v>618</v>
      </c>
      <c r="F302" s="57" t="s">
        <v>154</v>
      </c>
      <c r="G302" s="61"/>
      <c r="H302" s="79"/>
      <c r="I302" s="62" t="s">
        <v>617</v>
      </c>
      <c r="J302" s="53"/>
    </row>
    <row r="303" ht="24.75" hidden="1" customHeight="1">
      <c r="A303" s="54" t="s">
        <v>289</v>
      </c>
      <c r="B303" s="56" t="s">
        <v>628</v>
      </c>
      <c r="C303" s="56" t="s">
        <v>627</v>
      </c>
      <c r="D303" s="56" t="s">
        <v>620</v>
      </c>
      <c r="E303" s="56" t="s">
        <v>196</v>
      </c>
      <c r="F303" s="57" t="s">
        <v>250</v>
      </c>
      <c r="G303" s="61"/>
      <c r="H303" s="61" t="s">
        <v>287</v>
      </c>
      <c r="I303" s="62" t="s">
        <v>288</v>
      </c>
      <c r="J303" s="53"/>
    </row>
    <row r="304" ht="24.75" hidden="1" customHeight="1">
      <c r="A304" s="54" t="s">
        <v>289</v>
      </c>
      <c r="B304" s="56" t="s">
        <v>628</v>
      </c>
      <c r="C304" s="56" t="s">
        <v>627</v>
      </c>
      <c r="D304" s="56" t="s">
        <v>620</v>
      </c>
      <c r="E304" s="56" t="s">
        <v>621</v>
      </c>
      <c r="F304" s="57" t="s">
        <v>192</v>
      </c>
      <c r="G304" s="61"/>
      <c r="H304" s="79"/>
      <c r="I304" s="62"/>
      <c r="J304" s="53"/>
    </row>
    <row r="305" ht="24.75" hidden="1" customHeight="1">
      <c r="A305" s="54" t="s">
        <v>289</v>
      </c>
      <c r="B305" s="56" t="s">
        <v>628</v>
      </c>
      <c r="C305" s="56" t="s">
        <v>627</v>
      </c>
      <c r="D305" s="56" t="s">
        <v>620</v>
      </c>
      <c r="E305" s="56" t="s">
        <v>622</v>
      </c>
      <c r="F305" s="57" t="s">
        <v>154</v>
      </c>
      <c r="G305" s="61"/>
      <c r="H305" s="79"/>
      <c r="I305" s="62" t="s">
        <v>617</v>
      </c>
      <c r="J305" s="53"/>
    </row>
    <row r="306" ht="24.75" hidden="1" customHeight="1">
      <c r="A306" s="54" t="s">
        <v>289</v>
      </c>
      <c r="B306" s="56" t="s">
        <v>629</v>
      </c>
      <c r="C306" s="56" t="s">
        <v>627</v>
      </c>
      <c r="D306" s="56" t="s">
        <v>631</v>
      </c>
      <c r="E306" s="56" t="s">
        <v>191</v>
      </c>
      <c r="F306" s="57" t="s">
        <v>192</v>
      </c>
      <c r="G306" s="61"/>
      <c r="H306" s="79"/>
      <c r="I306" s="62"/>
      <c r="J306" s="53"/>
    </row>
    <row r="307" ht="24.75" hidden="1" customHeight="1">
      <c r="A307" s="54" t="s">
        <v>289</v>
      </c>
      <c r="B307" s="56" t="s">
        <v>629</v>
      </c>
      <c r="C307" s="56" t="s">
        <v>627</v>
      </c>
      <c r="D307" s="56" t="s">
        <v>631</v>
      </c>
      <c r="E307" s="56" t="s">
        <v>632</v>
      </c>
      <c r="F307" s="57" t="s">
        <v>34</v>
      </c>
      <c r="G307" s="61"/>
      <c r="H307" s="61" t="s">
        <v>197</v>
      </c>
      <c r="I307" s="62"/>
      <c r="J307" s="53"/>
    </row>
    <row r="308" ht="24.75" hidden="1" customHeight="1">
      <c r="A308" s="54" t="s">
        <v>289</v>
      </c>
      <c r="B308" s="56" t="s">
        <v>629</v>
      </c>
      <c r="C308" s="56" t="s">
        <v>627</v>
      </c>
      <c r="D308" s="56" t="s">
        <v>631</v>
      </c>
      <c r="E308" s="56" t="s">
        <v>633</v>
      </c>
      <c r="F308" s="57" t="s">
        <v>154</v>
      </c>
      <c r="G308" s="61"/>
      <c r="H308" s="79"/>
      <c r="I308" s="62"/>
      <c r="J308" s="53"/>
    </row>
    <row r="309" ht="24.75" hidden="1" customHeight="1">
      <c r="A309" s="54" t="s">
        <v>289</v>
      </c>
      <c r="B309" s="56" t="s">
        <v>629</v>
      </c>
      <c r="C309" s="56" t="s">
        <v>627</v>
      </c>
      <c r="D309" s="56" t="s">
        <v>631</v>
      </c>
      <c r="E309" s="56" t="s">
        <v>196</v>
      </c>
      <c r="F309" s="57" t="s">
        <v>250</v>
      </c>
      <c r="G309" s="61"/>
      <c r="H309" s="61" t="s">
        <v>200</v>
      </c>
      <c r="I309" s="62" t="s">
        <v>201</v>
      </c>
      <c r="J309" s="53"/>
    </row>
    <row r="310" ht="24.75" hidden="1" customHeight="1">
      <c r="A310" s="54" t="s">
        <v>289</v>
      </c>
      <c r="B310" s="56" t="s">
        <v>635</v>
      </c>
      <c r="C310" s="56" t="s">
        <v>627</v>
      </c>
      <c r="D310" s="56" t="s">
        <v>636</v>
      </c>
      <c r="E310" s="56" t="s">
        <v>191</v>
      </c>
      <c r="F310" s="57" t="s">
        <v>192</v>
      </c>
      <c r="G310" s="61"/>
      <c r="H310" s="79"/>
      <c r="I310" s="62"/>
      <c r="J310" s="53"/>
    </row>
    <row r="311" ht="24.75" hidden="1" customHeight="1">
      <c r="A311" s="54" t="s">
        <v>289</v>
      </c>
      <c r="B311" s="56" t="s">
        <v>635</v>
      </c>
      <c r="C311" s="56" t="s">
        <v>627</v>
      </c>
      <c r="D311" s="56" t="s">
        <v>636</v>
      </c>
      <c r="E311" s="56" t="s">
        <v>632</v>
      </c>
      <c r="F311" s="57" t="s">
        <v>34</v>
      </c>
      <c r="G311" s="61"/>
      <c r="H311" s="61" t="s">
        <v>197</v>
      </c>
      <c r="I311" s="62"/>
      <c r="J311" s="53"/>
    </row>
    <row r="312" ht="24.75" hidden="1" customHeight="1">
      <c r="A312" s="54" t="s">
        <v>289</v>
      </c>
      <c r="B312" s="56" t="s">
        <v>635</v>
      </c>
      <c r="C312" s="56" t="s">
        <v>627</v>
      </c>
      <c r="D312" s="56" t="s">
        <v>636</v>
      </c>
      <c r="E312" s="56" t="s">
        <v>633</v>
      </c>
      <c r="F312" s="57" t="s">
        <v>154</v>
      </c>
      <c r="G312" s="61"/>
      <c r="H312" s="79"/>
      <c r="I312" s="62"/>
      <c r="J312" s="53"/>
    </row>
    <row r="313" ht="24.75" hidden="1" customHeight="1">
      <c r="A313" s="54" t="s">
        <v>289</v>
      </c>
      <c r="B313" s="56" t="s">
        <v>635</v>
      </c>
      <c r="C313" s="56" t="s">
        <v>627</v>
      </c>
      <c r="D313" s="56" t="s">
        <v>636</v>
      </c>
      <c r="E313" s="56" t="s">
        <v>196</v>
      </c>
      <c r="F313" s="57" t="s">
        <v>250</v>
      </c>
      <c r="G313" s="61"/>
      <c r="H313" s="61" t="s">
        <v>200</v>
      </c>
      <c r="I313" s="62" t="s">
        <v>201</v>
      </c>
      <c r="J313" s="53"/>
    </row>
    <row r="314" ht="24.75" hidden="1" customHeight="1">
      <c r="A314" s="54" t="s">
        <v>289</v>
      </c>
      <c r="B314" s="56" t="s">
        <v>639</v>
      </c>
      <c r="C314" s="56" t="s">
        <v>640</v>
      </c>
      <c r="D314" s="56" t="s">
        <v>611</v>
      </c>
      <c r="E314" s="56" t="s">
        <v>612</v>
      </c>
      <c r="F314" s="57" t="s">
        <v>34</v>
      </c>
      <c r="G314" s="61"/>
      <c r="H314" s="79"/>
      <c r="I314" s="62"/>
      <c r="J314" s="53"/>
    </row>
    <row r="315" ht="24.75" hidden="1" customHeight="1">
      <c r="A315" s="54" t="s">
        <v>289</v>
      </c>
      <c r="B315" s="56" t="s">
        <v>639</v>
      </c>
      <c r="C315" s="56" t="s">
        <v>640</v>
      </c>
      <c r="D315" s="56" t="s">
        <v>611</v>
      </c>
      <c r="E315" s="56" t="s">
        <v>613</v>
      </c>
      <c r="F315" s="57" t="s">
        <v>34</v>
      </c>
      <c r="G315" s="61"/>
      <c r="H315" s="79"/>
      <c r="I315" s="62"/>
      <c r="J315" s="53"/>
    </row>
    <row r="316" ht="24.75" hidden="1" customHeight="1">
      <c r="A316" s="54" t="s">
        <v>289</v>
      </c>
      <c r="B316" s="56" t="s">
        <v>639</v>
      </c>
      <c r="C316" s="56" t="s">
        <v>640</v>
      </c>
      <c r="D316" s="56" t="s">
        <v>611</v>
      </c>
      <c r="E316" s="56" t="s">
        <v>614</v>
      </c>
      <c r="F316" s="57" t="s">
        <v>34</v>
      </c>
      <c r="G316" s="61"/>
      <c r="H316" s="79"/>
      <c r="I316" s="62" t="s">
        <v>615</v>
      </c>
      <c r="J316" s="53"/>
    </row>
    <row r="317" ht="24.75" hidden="1" customHeight="1">
      <c r="A317" s="54" t="s">
        <v>289</v>
      </c>
      <c r="B317" s="56" t="s">
        <v>639</v>
      </c>
      <c r="C317" s="56" t="s">
        <v>640</v>
      </c>
      <c r="D317" s="56" t="s">
        <v>611</v>
      </c>
      <c r="E317" s="56" t="s">
        <v>616</v>
      </c>
      <c r="F317" s="57" t="s">
        <v>154</v>
      </c>
      <c r="G317" s="61"/>
      <c r="H317" s="79"/>
      <c r="I317" s="62" t="s">
        <v>617</v>
      </c>
      <c r="J317" s="53"/>
    </row>
    <row r="318" ht="24.75" hidden="1" customHeight="1">
      <c r="A318" s="54" t="s">
        <v>289</v>
      </c>
      <c r="B318" s="56" t="s">
        <v>639</v>
      </c>
      <c r="C318" s="56" t="s">
        <v>640</v>
      </c>
      <c r="D318" s="56" t="s">
        <v>611</v>
      </c>
      <c r="E318" s="56" t="s">
        <v>618</v>
      </c>
      <c r="F318" s="57" t="s">
        <v>154</v>
      </c>
      <c r="G318" s="61"/>
      <c r="H318" s="79"/>
      <c r="I318" s="62" t="s">
        <v>617</v>
      </c>
      <c r="J318" s="53"/>
    </row>
    <row r="319" ht="24.75" hidden="1" customHeight="1">
      <c r="A319" s="54" t="s">
        <v>289</v>
      </c>
      <c r="B319" s="56" t="s">
        <v>641</v>
      </c>
      <c r="C319" s="56" t="s">
        <v>640</v>
      </c>
      <c r="D319" s="56" t="s">
        <v>620</v>
      </c>
      <c r="E319" s="56" t="s">
        <v>196</v>
      </c>
      <c r="F319" s="57" t="s">
        <v>250</v>
      </c>
      <c r="G319" s="61"/>
      <c r="H319" s="61" t="s">
        <v>287</v>
      </c>
      <c r="I319" s="62" t="s">
        <v>288</v>
      </c>
      <c r="J319" s="53"/>
    </row>
    <row r="320" ht="24.75" hidden="1" customHeight="1">
      <c r="A320" s="54" t="s">
        <v>289</v>
      </c>
      <c r="B320" s="56" t="s">
        <v>641</v>
      </c>
      <c r="C320" s="56" t="s">
        <v>640</v>
      </c>
      <c r="D320" s="56" t="s">
        <v>620</v>
      </c>
      <c r="E320" s="56" t="s">
        <v>621</v>
      </c>
      <c r="F320" s="57" t="s">
        <v>192</v>
      </c>
      <c r="G320" s="61"/>
      <c r="H320" s="79"/>
      <c r="I320" s="62"/>
      <c r="J320" s="53"/>
    </row>
    <row r="321" ht="24.75" hidden="1" customHeight="1">
      <c r="A321" s="54" t="s">
        <v>289</v>
      </c>
      <c r="B321" s="56" t="s">
        <v>641</v>
      </c>
      <c r="C321" s="56" t="s">
        <v>640</v>
      </c>
      <c r="D321" s="56" t="s">
        <v>620</v>
      </c>
      <c r="E321" s="56" t="s">
        <v>622</v>
      </c>
      <c r="F321" s="57" t="s">
        <v>154</v>
      </c>
      <c r="G321" s="61"/>
      <c r="H321" s="79"/>
      <c r="I321" s="62" t="s">
        <v>617</v>
      </c>
      <c r="J321" s="53"/>
    </row>
    <row r="322" ht="24.75" hidden="1" customHeight="1">
      <c r="A322" s="54" t="s">
        <v>289</v>
      </c>
      <c r="B322" s="56" t="s">
        <v>642</v>
      </c>
      <c r="C322" s="56" t="s">
        <v>640</v>
      </c>
      <c r="D322" s="56" t="s">
        <v>631</v>
      </c>
      <c r="E322" s="56" t="s">
        <v>191</v>
      </c>
      <c r="F322" s="57" t="s">
        <v>192</v>
      </c>
      <c r="G322" s="61"/>
      <c r="H322" s="79"/>
      <c r="I322" s="62"/>
      <c r="J322" s="53"/>
    </row>
    <row r="323" ht="24.75" hidden="1" customHeight="1">
      <c r="A323" s="54" t="s">
        <v>289</v>
      </c>
      <c r="B323" s="56" t="s">
        <v>642</v>
      </c>
      <c r="C323" s="56" t="s">
        <v>640</v>
      </c>
      <c r="D323" s="56" t="s">
        <v>631</v>
      </c>
      <c r="E323" s="56" t="s">
        <v>632</v>
      </c>
      <c r="F323" s="57" t="s">
        <v>34</v>
      </c>
      <c r="G323" s="61"/>
      <c r="H323" s="61" t="s">
        <v>197</v>
      </c>
      <c r="I323" s="62"/>
      <c r="J323" s="53"/>
    </row>
    <row r="324" ht="24.75" hidden="1" customHeight="1">
      <c r="A324" s="54" t="s">
        <v>289</v>
      </c>
      <c r="B324" s="56" t="s">
        <v>642</v>
      </c>
      <c r="C324" s="56" t="s">
        <v>640</v>
      </c>
      <c r="D324" s="56" t="s">
        <v>631</v>
      </c>
      <c r="E324" s="56" t="s">
        <v>633</v>
      </c>
      <c r="F324" s="57" t="s">
        <v>154</v>
      </c>
      <c r="G324" s="61"/>
      <c r="H324" s="79"/>
      <c r="I324" s="62"/>
      <c r="J324" s="53"/>
    </row>
    <row r="325" ht="24.75" hidden="1" customHeight="1">
      <c r="A325" s="54" t="s">
        <v>289</v>
      </c>
      <c r="B325" s="56" t="s">
        <v>642</v>
      </c>
      <c r="C325" s="56" t="s">
        <v>640</v>
      </c>
      <c r="D325" s="56" t="s">
        <v>631</v>
      </c>
      <c r="E325" s="56" t="s">
        <v>196</v>
      </c>
      <c r="F325" s="57" t="s">
        <v>250</v>
      </c>
      <c r="G325" s="61"/>
      <c r="H325" s="61" t="s">
        <v>200</v>
      </c>
      <c r="I325" s="62" t="s">
        <v>201</v>
      </c>
      <c r="J325" s="53"/>
    </row>
    <row r="326" ht="24.75" hidden="1" customHeight="1">
      <c r="A326" s="54" t="s">
        <v>289</v>
      </c>
      <c r="B326" s="56" t="s">
        <v>643</v>
      </c>
      <c r="C326" s="56" t="s">
        <v>640</v>
      </c>
      <c r="D326" s="56" t="s">
        <v>636</v>
      </c>
      <c r="E326" s="56" t="s">
        <v>191</v>
      </c>
      <c r="F326" s="57" t="s">
        <v>192</v>
      </c>
      <c r="G326" s="61"/>
      <c r="H326" s="79"/>
      <c r="I326" s="62"/>
      <c r="J326" s="53"/>
    </row>
    <row r="327" ht="24.75" hidden="1" customHeight="1">
      <c r="A327" s="54" t="s">
        <v>289</v>
      </c>
      <c r="B327" s="56" t="s">
        <v>643</v>
      </c>
      <c r="C327" s="56" t="s">
        <v>640</v>
      </c>
      <c r="D327" s="56" t="s">
        <v>636</v>
      </c>
      <c r="E327" s="56" t="s">
        <v>632</v>
      </c>
      <c r="F327" s="57" t="s">
        <v>34</v>
      </c>
      <c r="G327" s="61"/>
      <c r="H327" s="61" t="s">
        <v>197</v>
      </c>
      <c r="I327" s="62"/>
      <c r="J327" s="53"/>
    </row>
    <row r="328" ht="24.75" hidden="1" customHeight="1">
      <c r="A328" s="54" t="s">
        <v>289</v>
      </c>
      <c r="B328" s="56" t="s">
        <v>643</v>
      </c>
      <c r="C328" s="56" t="s">
        <v>640</v>
      </c>
      <c r="D328" s="56" t="s">
        <v>636</v>
      </c>
      <c r="E328" s="56" t="s">
        <v>633</v>
      </c>
      <c r="F328" s="57" t="s">
        <v>154</v>
      </c>
      <c r="G328" s="61"/>
      <c r="H328" s="79"/>
      <c r="I328" s="62"/>
      <c r="J328" s="53"/>
    </row>
    <row r="329" ht="24.75" hidden="1" customHeight="1">
      <c r="A329" s="54" t="s">
        <v>289</v>
      </c>
      <c r="B329" s="56" t="s">
        <v>643</v>
      </c>
      <c r="C329" s="56" t="s">
        <v>640</v>
      </c>
      <c r="D329" s="56" t="s">
        <v>636</v>
      </c>
      <c r="E329" s="56" t="s">
        <v>196</v>
      </c>
      <c r="F329" s="57" t="s">
        <v>250</v>
      </c>
      <c r="G329" s="61"/>
      <c r="H329" s="61" t="s">
        <v>200</v>
      </c>
      <c r="I329" s="62" t="s">
        <v>201</v>
      </c>
      <c r="J329" s="53"/>
    </row>
    <row r="330" ht="24.75" hidden="1" customHeight="1">
      <c r="A330" s="54" t="s">
        <v>289</v>
      </c>
      <c r="B330" s="56" t="s">
        <v>644</v>
      </c>
      <c r="C330" s="56" t="s">
        <v>645</v>
      </c>
      <c r="D330" s="56" t="s">
        <v>611</v>
      </c>
      <c r="E330" s="56" t="s">
        <v>612</v>
      </c>
      <c r="F330" s="57" t="s">
        <v>34</v>
      </c>
      <c r="G330" s="61"/>
      <c r="H330" s="79"/>
      <c r="I330" s="62"/>
      <c r="J330" s="53"/>
    </row>
    <row r="331" ht="24.75" hidden="1" customHeight="1">
      <c r="A331" s="54" t="s">
        <v>289</v>
      </c>
      <c r="B331" s="56" t="s">
        <v>644</v>
      </c>
      <c r="C331" s="56" t="s">
        <v>645</v>
      </c>
      <c r="D331" s="56" t="s">
        <v>611</v>
      </c>
      <c r="E331" s="56" t="s">
        <v>613</v>
      </c>
      <c r="F331" s="57" t="s">
        <v>34</v>
      </c>
      <c r="G331" s="61"/>
      <c r="H331" s="79"/>
      <c r="I331" s="62"/>
      <c r="J331" s="53"/>
    </row>
    <row r="332" ht="24.75" hidden="1" customHeight="1">
      <c r="A332" s="54" t="s">
        <v>289</v>
      </c>
      <c r="B332" s="56" t="s">
        <v>644</v>
      </c>
      <c r="C332" s="56" t="s">
        <v>645</v>
      </c>
      <c r="D332" s="56" t="s">
        <v>611</v>
      </c>
      <c r="E332" s="56" t="s">
        <v>614</v>
      </c>
      <c r="F332" s="57" t="s">
        <v>34</v>
      </c>
      <c r="G332" s="61"/>
      <c r="H332" s="79"/>
      <c r="I332" s="62" t="s">
        <v>615</v>
      </c>
      <c r="J332" s="53"/>
    </row>
    <row r="333" ht="24.75" hidden="1" customHeight="1">
      <c r="A333" s="54" t="s">
        <v>289</v>
      </c>
      <c r="B333" s="56" t="s">
        <v>644</v>
      </c>
      <c r="C333" s="56" t="s">
        <v>645</v>
      </c>
      <c r="D333" s="56" t="s">
        <v>611</v>
      </c>
      <c r="E333" s="56" t="s">
        <v>616</v>
      </c>
      <c r="F333" s="57" t="s">
        <v>154</v>
      </c>
      <c r="G333" s="61"/>
      <c r="H333" s="79"/>
      <c r="I333" s="62" t="s">
        <v>617</v>
      </c>
      <c r="J333" s="53"/>
    </row>
    <row r="334" ht="24.75" hidden="1" customHeight="1">
      <c r="A334" s="54" t="s">
        <v>289</v>
      </c>
      <c r="B334" s="56" t="s">
        <v>644</v>
      </c>
      <c r="C334" s="56" t="s">
        <v>645</v>
      </c>
      <c r="D334" s="56" t="s">
        <v>611</v>
      </c>
      <c r="E334" s="56" t="s">
        <v>618</v>
      </c>
      <c r="F334" s="57" t="s">
        <v>154</v>
      </c>
      <c r="G334" s="61"/>
      <c r="H334" s="79"/>
      <c r="I334" s="62" t="s">
        <v>617</v>
      </c>
      <c r="J334" s="53"/>
    </row>
    <row r="335" ht="24.75" hidden="1" customHeight="1">
      <c r="A335" s="54" t="s">
        <v>289</v>
      </c>
      <c r="B335" s="56" t="s">
        <v>646</v>
      </c>
      <c r="C335" s="56" t="s">
        <v>645</v>
      </c>
      <c r="D335" s="56" t="s">
        <v>620</v>
      </c>
      <c r="E335" s="56" t="s">
        <v>196</v>
      </c>
      <c r="F335" s="57" t="s">
        <v>250</v>
      </c>
      <c r="G335" s="61"/>
      <c r="H335" s="61" t="s">
        <v>287</v>
      </c>
      <c r="I335" s="62" t="s">
        <v>288</v>
      </c>
      <c r="J335" s="53"/>
    </row>
    <row r="336" ht="24.75" hidden="1" customHeight="1">
      <c r="A336" s="54" t="s">
        <v>289</v>
      </c>
      <c r="B336" s="56" t="s">
        <v>646</v>
      </c>
      <c r="C336" s="56" t="s">
        <v>645</v>
      </c>
      <c r="D336" s="56" t="s">
        <v>620</v>
      </c>
      <c r="E336" s="56" t="s">
        <v>621</v>
      </c>
      <c r="F336" s="57" t="s">
        <v>192</v>
      </c>
      <c r="G336" s="61"/>
      <c r="H336" s="79"/>
      <c r="I336" s="62"/>
      <c r="J336" s="53"/>
    </row>
    <row r="337" ht="24.75" hidden="1" customHeight="1">
      <c r="A337" s="54" t="s">
        <v>289</v>
      </c>
      <c r="B337" s="56" t="s">
        <v>646</v>
      </c>
      <c r="C337" s="56" t="s">
        <v>645</v>
      </c>
      <c r="D337" s="56" t="s">
        <v>620</v>
      </c>
      <c r="E337" s="56" t="s">
        <v>622</v>
      </c>
      <c r="F337" s="57" t="s">
        <v>154</v>
      </c>
      <c r="G337" s="61"/>
      <c r="H337" s="79"/>
      <c r="I337" s="62" t="s">
        <v>617</v>
      </c>
      <c r="J337" s="53"/>
    </row>
    <row r="338" ht="24.75" hidden="1" customHeight="1">
      <c r="A338" s="54" t="s">
        <v>289</v>
      </c>
      <c r="B338" s="56" t="s">
        <v>647</v>
      </c>
      <c r="C338" s="56" t="s">
        <v>645</v>
      </c>
      <c r="D338" s="56" t="s">
        <v>631</v>
      </c>
      <c r="E338" s="56" t="s">
        <v>191</v>
      </c>
      <c r="F338" s="57" t="s">
        <v>192</v>
      </c>
      <c r="G338" s="61"/>
      <c r="H338" s="79"/>
      <c r="I338" s="62"/>
      <c r="J338" s="53"/>
    </row>
    <row r="339" ht="24.75" hidden="1" customHeight="1">
      <c r="A339" s="54" t="s">
        <v>289</v>
      </c>
      <c r="B339" s="56" t="s">
        <v>647</v>
      </c>
      <c r="C339" s="56" t="s">
        <v>645</v>
      </c>
      <c r="D339" s="56" t="s">
        <v>631</v>
      </c>
      <c r="E339" s="56" t="s">
        <v>632</v>
      </c>
      <c r="F339" s="57" t="s">
        <v>34</v>
      </c>
      <c r="G339" s="61"/>
      <c r="H339" s="61" t="s">
        <v>197</v>
      </c>
      <c r="I339" s="62"/>
      <c r="J339" s="53"/>
    </row>
    <row r="340" ht="24.75" hidden="1" customHeight="1">
      <c r="A340" s="54" t="s">
        <v>289</v>
      </c>
      <c r="B340" s="56" t="s">
        <v>647</v>
      </c>
      <c r="C340" s="56" t="s">
        <v>645</v>
      </c>
      <c r="D340" s="56" t="s">
        <v>631</v>
      </c>
      <c r="E340" s="56" t="s">
        <v>633</v>
      </c>
      <c r="F340" s="57" t="s">
        <v>154</v>
      </c>
      <c r="G340" s="50"/>
      <c r="H340" s="79"/>
      <c r="I340" s="62"/>
      <c r="J340" s="53"/>
    </row>
    <row r="341" ht="24.75" hidden="1" customHeight="1">
      <c r="A341" s="54" t="s">
        <v>289</v>
      </c>
      <c r="B341" s="56" t="s">
        <v>647</v>
      </c>
      <c r="C341" s="56" t="s">
        <v>645</v>
      </c>
      <c r="D341" s="56" t="s">
        <v>631</v>
      </c>
      <c r="E341" s="56" t="s">
        <v>196</v>
      </c>
      <c r="F341" s="57" t="s">
        <v>250</v>
      </c>
      <c r="G341" s="61"/>
      <c r="H341" s="61" t="s">
        <v>200</v>
      </c>
      <c r="I341" s="62" t="s">
        <v>201</v>
      </c>
      <c r="J341" s="53"/>
    </row>
    <row r="342" ht="24.75" hidden="1" customHeight="1">
      <c r="A342" s="54" t="s">
        <v>289</v>
      </c>
      <c r="B342" s="56" t="s">
        <v>648</v>
      </c>
      <c r="C342" s="56" t="s">
        <v>645</v>
      </c>
      <c r="D342" s="56" t="s">
        <v>636</v>
      </c>
      <c r="E342" s="56" t="s">
        <v>191</v>
      </c>
      <c r="F342" s="57" t="s">
        <v>192</v>
      </c>
      <c r="G342" s="61"/>
      <c r="H342" s="79"/>
      <c r="I342" s="62"/>
      <c r="J342" s="53"/>
    </row>
    <row r="343" ht="24.75" hidden="1" customHeight="1">
      <c r="A343" s="54" t="s">
        <v>289</v>
      </c>
      <c r="B343" s="56" t="s">
        <v>648</v>
      </c>
      <c r="C343" s="56" t="s">
        <v>645</v>
      </c>
      <c r="D343" s="56" t="s">
        <v>636</v>
      </c>
      <c r="E343" s="56" t="s">
        <v>632</v>
      </c>
      <c r="F343" s="57" t="s">
        <v>34</v>
      </c>
      <c r="G343" s="61"/>
      <c r="H343" s="61" t="s">
        <v>197</v>
      </c>
      <c r="I343" s="62"/>
      <c r="J343" s="53"/>
    </row>
    <row r="344" ht="24.75" hidden="1" customHeight="1">
      <c r="A344" s="54" t="s">
        <v>289</v>
      </c>
      <c r="B344" s="56" t="s">
        <v>648</v>
      </c>
      <c r="C344" s="56" t="s">
        <v>645</v>
      </c>
      <c r="D344" s="56" t="s">
        <v>636</v>
      </c>
      <c r="E344" s="56" t="s">
        <v>633</v>
      </c>
      <c r="F344" s="57" t="s">
        <v>154</v>
      </c>
      <c r="G344" s="61"/>
      <c r="H344" s="79"/>
      <c r="I344" s="62"/>
      <c r="J344" s="53"/>
    </row>
    <row r="345" ht="24.75" hidden="1" customHeight="1">
      <c r="A345" s="54" t="s">
        <v>289</v>
      </c>
      <c r="B345" s="56" t="s">
        <v>648</v>
      </c>
      <c r="C345" s="56" t="s">
        <v>645</v>
      </c>
      <c r="D345" s="56" t="s">
        <v>636</v>
      </c>
      <c r="E345" s="56" t="s">
        <v>196</v>
      </c>
      <c r="F345" s="57" t="s">
        <v>250</v>
      </c>
      <c r="G345" s="61"/>
      <c r="H345" s="61" t="s">
        <v>200</v>
      </c>
      <c r="I345" s="62" t="s">
        <v>201</v>
      </c>
      <c r="J345" s="53"/>
    </row>
    <row r="346" ht="24.75" hidden="1" customHeight="1">
      <c r="A346" s="54" t="s">
        <v>289</v>
      </c>
      <c r="B346" s="56" t="s">
        <v>649</v>
      </c>
      <c r="C346" s="56" t="s">
        <v>606</v>
      </c>
      <c r="D346" s="56" t="s">
        <v>611</v>
      </c>
      <c r="E346" s="56" t="s">
        <v>612</v>
      </c>
      <c r="F346" s="57" t="s">
        <v>34</v>
      </c>
      <c r="G346" s="61"/>
      <c r="H346" s="79"/>
      <c r="I346" s="62"/>
      <c r="J346" s="53"/>
    </row>
    <row r="347" ht="24.75" hidden="1" customHeight="1">
      <c r="A347" s="54" t="s">
        <v>289</v>
      </c>
      <c r="B347" s="56" t="s">
        <v>649</v>
      </c>
      <c r="C347" s="56" t="s">
        <v>606</v>
      </c>
      <c r="D347" s="56" t="s">
        <v>611</v>
      </c>
      <c r="E347" s="56" t="s">
        <v>613</v>
      </c>
      <c r="F347" s="57" t="s">
        <v>34</v>
      </c>
      <c r="G347" s="61"/>
      <c r="H347" s="79"/>
      <c r="I347" s="62"/>
      <c r="J347" s="53"/>
    </row>
    <row r="348" ht="24.75" hidden="1" customHeight="1">
      <c r="A348" s="54" t="s">
        <v>289</v>
      </c>
      <c r="B348" s="56" t="s">
        <v>649</v>
      </c>
      <c r="C348" s="56" t="s">
        <v>606</v>
      </c>
      <c r="D348" s="56" t="s">
        <v>611</v>
      </c>
      <c r="E348" s="56" t="s">
        <v>614</v>
      </c>
      <c r="F348" s="57" t="s">
        <v>34</v>
      </c>
      <c r="G348" s="61"/>
      <c r="H348" s="79"/>
      <c r="I348" s="62" t="s">
        <v>615</v>
      </c>
      <c r="J348" s="53"/>
    </row>
    <row r="349" ht="24.75" hidden="1" customHeight="1">
      <c r="A349" s="54" t="s">
        <v>289</v>
      </c>
      <c r="B349" s="56" t="s">
        <v>649</v>
      </c>
      <c r="C349" s="56" t="s">
        <v>606</v>
      </c>
      <c r="D349" s="56" t="s">
        <v>611</v>
      </c>
      <c r="E349" s="56" t="s">
        <v>616</v>
      </c>
      <c r="F349" s="57" t="s">
        <v>154</v>
      </c>
      <c r="G349" s="61"/>
      <c r="H349" s="79"/>
      <c r="I349" s="62" t="s">
        <v>617</v>
      </c>
      <c r="J349" s="53"/>
    </row>
    <row r="350" ht="24.75" hidden="1" customHeight="1">
      <c r="A350" s="54" t="s">
        <v>289</v>
      </c>
      <c r="B350" s="56" t="s">
        <v>649</v>
      </c>
      <c r="C350" s="56" t="s">
        <v>606</v>
      </c>
      <c r="D350" s="56" t="s">
        <v>611</v>
      </c>
      <c r="E350" s="56" t="s">
        <v>618</v>
      </c>
      <c r="F350" s="57" t="s">
        <v>154</v>
      </c>
      <c r="G350" s="61"/>
      <c r="H350" s="79"/>
      <c r="I350" s="62" t="s">
        <v>617</v>
      </c>
      <c r="J350" s="53"/>
    </row>
    <row r="351" ht="24.75" hidden="1" customHeight="1">
      <c r="A351" s="54" t="s">
        <v>289</v>
      </c>
      <c r="B351" s="56" t="s">
        <v>650</v>
      </c>
      <c r="C351" s="56" t="s">
        <v>606</v>
      </c>
      <c r="D351" s="56" t="s">
        <v>651</v>
      </c>
      <c r="E351" s="56" t="s">
        <v>196</v>
      </c>
      <c r="F351" s="57" t="s">
        <v>250</v>
      </c>
      <c r="G351" s="61"/>
      <c r="H351" s="61" t="s">
        <v>287</v>
      </c>
      <c r="I351" s="62" t="s">
        <v>288</v>
      </c>
      <c r="J351" s="53"/>
    </row>
    <row r="352" ht="24.75" hidden="1" customHeight="1">
      <c r="A352" s="54" t="s">
        <v>289</v>
      </c>
      <c r="B352" s="56" t="s">
        <v>650</v>
      </c>
      <c r="C352" s="56" t="s">
        <v>606</v>
      </c>
      <c r="D352" s="56" t="s">
        <v>651</v>
      </c>
      <c r="E352" s="56" t="s">
        <v>621</v>
      </c>
      <c r="F352" s="57" t="s">
        <v>192</v>
      </c>
      <c r="G352" s="61"/>
      <c r="H352" s="79"/>
      <c r="I352" s="62"/>
      <c r="J352" s="53"/>
    </row>
    <row r="353" ht="24.75" hidden="1" customHeight="1">
      <c r="A353" s="54" t="s">
        <v>289</v>
      </c>
      <c r="B353" s="56" t="s">
        <v>650</v>
      </c>
      <c r="C353" s="56" t="s">
        <v>606</v>
      </c>
      <c r="D353" s="56" t="s">
        <v>651</v>
      </c>
      <c r="E353" s="56" t="s">
        <v>622</v>
      </c>
      <c r="F353" s="57" t="s">
        <v>154</v>
      </c>
      <c r="G353" s="61"/>
      <c r="H353" s="79"/>
      <c r="I353" s="62" t="s">
        <v>617</v>
      </c>
      <c r="J353" s="53"/>
    </row>
    <row r="354" ht="24.75" hidden="1" customHeight="1">
      <c r="A354" s="54" t="s">
        <v>289</v>
      </c>
      <c r="B354" s="56" t="s">
        <v>654</v>
      </c>
      <c r="C354" s="56" t="s">
        <v>606</v>
      </c>
      <c r="D354" s="56" t="s">
        <v>655</v>
      </c>
      <c r="E354" s="56" t="s">
        <v>191</v>
      </c>
      <c r="F354" s="57" t="s">
        <v>192</v>
      </c>
      <c r="G354" s="61"/>
      <c r="H354" s="79"/>
      <c r="I354" s="62"/>
      <c r="J354" s="53"/>
    </row>
    <row r="355" ht="24.75" hidden="1" customHeight="1">
      <c r="A355" s="54" t="s">
        <v>289</v>
      </c>
      <c r="B355" s="56" t="s">
        <v>654</v>
      </c>
      <c r="C355" s="56" t="s">
        <v>606</v>
      </c>
      <c r="D355" s="56" t="s">
        <v>655</v>
      </c>
      <c r="E355" s="56" t="s">
        <v>632</v>
      </c>
      <c r="F355" s="57" t="s">
        <v>34</v>
      </c>
      <c r="G355" s="61"/>
      <c r="H355" s="61" t="s">
        <v>197</v>
      </c>
      <c r="I355" s="62"/>
      <c r="J355" s="53"/>
    </row>
    <row r="356" ht="24.75" hidden="1" customHeight="1">
      <c r="A356" s="54" t="s">
        <v>289</v>
      </c>
      <c r="B356" s="56" t="s">
        <v>654</v>
      </c>
      <c r="C356" s="56" t="s">
        <v>606</v>
      </c>
      <c r="D356" s="56" t="s">
        <v>655</v>
      </c>
      <c r="E356" s="56" t="s">
        <v>633</v>
      </c>
      <c r="F356" s="57" t="s">
        <v>154</v>
      </c>
      <c r="G356" s="61"/>
      <c r="H356" s="79"/>
      <c r="I356" s="62"/>
      <c r="J356" s="53"/>
    </row>
    <row r="357" ht="24.75" hidden="1" customHeight="1">
      <c r="A357" s="54" t="s">
        <v>289</v>
      </c>
      <c r="B357" s="56" t="s">
        <v>654</v>
      </c>
      <c r="C357" s="56" t="s">
        <v>606</v>
      </c>
      <c r="D357" s="56" t="s">
        <v>655</v>
      </c>
      <c r="E357" s="56" t="s">
        <v>196</v>
      </c>
      <c r="F357" s="57" t="s">
        <v>250</v>
      </c>
      <c r="G357" s="61"/>
      <c r="H357" s="61" t="s">
        <v>200</v>
      </c>
      <c r="I357" s="62" t="s">
        <v>201</v>
      </c>
      <c r="J357" s="53"/>
    </row>
    <row r="358" ht="24.75" hidden="1" customHeight="1">
      <c r="A358" s="54" t="s">
        <v>289</v>
      </c>
      <c r="B358" s="56" t="s">
        <v>656</v>
      </c>
      <c r="C358" s="56" t="s">
        <v>606</v>
      </c>
      <c r="D358" s="56" t="s">
        <v>657</v>
      </c>
      <c r="E358" s="56" t="s">
        <v>191</v>
      </c>
      <c r="F358" s="57" t="s">
        <v>192</v>
      </c>
      <c r="G358" s="61"/>
      <c r="H358" s="79"/>
      <c r="I358" s="62"/>
      <c r="J358" s="53"/>
    </row>
    <row r="359" ht="24.75" hidden="1" customHeight="1">
      <c r="A359" s="54" t="s">
        <v>289</v>
      </c>
      <c r="B359" s="56" t="s">
        <v>656</v>
      </c>
      <c r="C359" s="56" t="s">
        <v>606</v>
      </c>
      <c r="D359" s="56" t="s">
        <v>657</v>
      </c>
      <c r="E359" s="56" t="s">
        <v>632</v>
      </c>
      <c r="F359" s="57" t="s">
        <v>34</v>
      </c>
      <c r="G359" s="61"/>
      <c r="H359" s="61" t="s">
        <v>197</v>
      </c>
      <c r="I359" s="62"/>
      <c r="J359" s="53"/>
    </row>
    <row r="360" ht="24.75" hidden="1" customHeight="1">
      <c r="A360" s="54" t="s">
        <v>289</v>
      </c>
      <c r="B360" s="56" t="s">
        <v>656</v>
      </c>
      <c r="C360" s="56" t="s">
        <v>606</v>
      </c>
      <c r="D360" s="56" t="s">
        <v>657</v>
      </c>
      <c r="E360" s="56" t="s">
        <v>633</v>
      </c>
      <c r="F360" s="57" t="s">
        <v>154</v>
      </c>
      <c r="G360" s="61"/>
      <c r="H360" s="79"/>
      <c r="I360" s="62"/>
      <c r="J360" s="53"/>
    </row>
    <row r="361" ht="24.75" hidden="1" customHeight="1">
      <c r="A361" s="54" t="s">
        <v>289</v>
      </c>
      <c r="B361" s="56" t="s">
        <v>656</v>
      </c>
      <c r="C361" s="56" t="s">
        <v>606</v>
      </c>
      <c r="D361" s="56" t="s">
        <v>657</v>
      </c>
      <c r="E361" s="56" t="s">
        <v>196</v>
      </c>
      <c r="F361" s="57" t="s">
        <v>250</v>
      </c>
      <c r="G361" s="61"/>
      <c r="H361" s="61" t="s">
        <v>200</v>
      </c>
      <c r="I361" s="62" t="s">
        <v>201</v>
      </c>
      <c r="J361" s="53"/>
    </row>
    <row r="362" ht="24.75" hidden="1" customHeight="1">
      <c r="A362" s="54" t="s">
        <v>658</v>
      </c>
      <c r="B362" s="56" t="s">
        <v>659</v>
      </c>
      <c r="C362" s="56" t="s">
        <v>610</v>
      </c>
      <c r="D362" s="56" t="s">
        <v>660</v>
      </c>
      <c r="E362" s="56" t="s">
        <v>661</v>
      </c>
      <c r="F362" s="57" t="s">
        <v>34</v>
      </c>
      <c r="G362" s="61"/>
      <c r="H362" s="79"/>
      <c r="I362" s="62"/>
      <c r="J362" s="53"/>
    </row>
    <row r="363" ht="24.75" hidden="1" customHeight="1">
      <c r="A363" s="54" t="s">
        <v>658</v>
      </c>
      <c r="B363" s="56" t="s">
        <v>659</v>
      </c>
      <c r="C363" s="56" t="s">
        <v>610</v>
      </c>
      <c r="D363" s="56" t="s">
        <v>660</v>
      </c>
      <c r="E363" s="56" t="s">
        <v>662</v>
      </c>
      <c r="F363" s="57" t="s">
        <v>34</v>
      </c>
      <c r="G363" s="61"/>
      <c r="H363" s="79"/>
      <c r="I363" s="62"/>
      <c r="J363" s="53"/>
    </row>
    <row r="364" ht="24.75" hidden="1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663</v>
      </c>
      <c r="F364" s="57" t="s">
        <v>34</v>
      </c>
      <c r="G364" s="61"/>
      <c r="H364" s="79"/>
      <c r="I364" s="62"/>
      <c r="J364" s="53"/>
    </row>
    <row r="365" ht="24.75" hidden="1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664</v>
      </c>
      <c r="F365" s="57" t="s">
        <v>34</v>
      </c>
      <c r="G365" s="61"/>
      <c r="H365" s="79"/>
      <c r="I365" s="62"/>
      <c r="J365" s="53"/>
    </row>
    <row r="366" ht="24.75" hidden="1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665</v>
      </c>
      <c r="F366" s="57" t="s">
        <v>34</v>
      </c>
      <c r="G366" s="61"/>
      <c r="H366" s="79"/>
      <c r="I366" s="62"/>
      <c r="J366" s="53"/>
    </row>
    <row r="367" ht="24.75" hidden="1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614</v>
      </c>
      <c r="F367" s="57" t="s">
        <v>34</v>
      </c>
      <c r="G367" s="61"/>
      <c r="H367" s="79"/>
      <c r="I367" s="62"/>
      <c r="J367" s="53"/>
    </row>
    <row r="368" ht="24.75" hidden="1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666</v>
      </c>
      <c r="F368" s="57" t="s">
        <v>34</v>
      </c>
      <c r="G368" s="61"/>
      <c r="H368" s="79"/>
      <c r="I368" s="62"/>
      <c r="J368" s="53"/>
    </row>
    <row r="369" ht="24.75" hidden="1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667</v>
      </c>
      <c r="F369" s="57" t="s">
        <v>34</v>
      </c>
      <c r="G369" s="61"/>
      <c r="H369" s="79"/>
      <c r="I369" s="62"/>
      <c r="J369" s="53"/>
    </row>
    <row r="370" ht="24.75" hidden="1" customHeight="1">
      <c r="A370" s="54" t="s">
        <v>658</v>
      </c>
      <c r="B370" s="56" t="s">
        <v>659</v>
      </c>
      <c r="C370" s="56" t="s">
        <v>610</v>
      </c>
      <c r="D370" s="56" t="s">
        <v>660</v>
      </c>
      <c r="E370" s="56" t="s">
        <v>668</v>
      </c>
      <c r="F370" s="57" t="s">
        <v>154</v>
      </c>
      <c r="G370" s="61"/>
      <c r="H370" s="79"/>
      <c r="I370" s="62" t="s">
        <v>617</v>
      </c>
      <c r="J370" s="53"/>
    </row>
    <row r="371" ht="24.75" hidden="1" customHeight="1">
      <c r="A371" s="54" t="s">
        <v>658</v>
      </c>
      <c r="B371" s="56" t="s">
        <v>659</v>
      </c>
      <c r="C371" s="56" t="s">
        <v>610</v>
      </c>
      <c r="D371" s="56" t="s">
        <v>660</v>
      </c>
      <c r="E371" s="56" t="s">
        <v>669</v>
      </c>
      <c r="F371" s="57" t="s">
        <v>154</v>
      </c>
      <c r="G371" s="61"/>
      <c r="H371" s="79"/>
      <c r="I371" s="62" t="s">
        <v>617</v>
      </c>
      <c r="J371" s="53"/>
    </row>
    <row r="372" ht="24.75" hidden="1" customHeight="1">
      <c r="A372" s="54" t="s">
        <v>658</v>
      </c>
      <c r="B372" s="56" t="s">
        <v>659</v>
      </c>
      <c r="C372" s="56" t="s">
        <v>610</v>
      </c>
      <c r="D372" s="56" t="s">
        <v>660</v>
      </c>
      <c r="E372" s="56" t="s">
        <v>671</v>
      </c>
      <c r="F372" s="57" t="s">
        <v>154</v>
      </c>
      <c r="G372" s="61"/>
      <c r="H372" s="79"/>
      <c r="I372" s="62" t="s">
        <v>617</v>
      </c>
      <c r="J372" s="53"/>
    </row>
    <row r="373" ht="24.75" hidden="1" customHeight="1">
      <c r="A373" s="54" t="s">
        <v>658</v>
      </c>
      <c r="B373" s="56" t="s">
        <v>659</v>
      </c>
      <c r="C373" s="56" t="s">
        <v>610</v>
      </c>
      <c r="D373" s="56" t="s">
        <v>660</v>
      </c>
      <c r="E373" s="56" t="s">
        <v>672</v>
      </c>
      <c r="F373" s="57" t="s">
        <v>154</v>
      </c>
      <c r="G373" s="61"/>
      <c r="H373" s="79"/>
      <c r="I373" s="62" t="s">
        <v>617</v>
      </c>
      <c r="J373" s="53"/>
    </row>
    <row r="374" ht="24.75" hidden="1" customHeight="1">
      <c r="A374" s="54" t="s">
        <v>658</v>
      </c>
      <c r="B374" s="56" t="s">
        <v>659</v>
      </c>
      <c r="C374" s="56" t="s">
        <v>610</v>
      </c>
      <c r="D374" s="56" t="s">
        <v>660</v>
      </c>
      <c r="E374" s="56" t="s">
        <v>673</v>
      </c>
      <c r="F374" s="57" t="s">
        <v>154</v>
      </c>
      <c r="G374" s="61"/>
      <c r="H374" s="79"/>
      <c r="I374" s="62" t="s">
        <v>617</v>
      </c>
      <c r="J374" s="53"/>
    </row>
    <row r="375" ht="24.75" hidden="1" customHeight="1">
      <c r="A375" s="54" t="s">
        <v>658</v>
      </c>
      <c r="B375" s="56" t="s">
        <v>674</v>
      </c>
      <c r="C375" s="56" t="s">
        <v>610</v>
      </c>
      <c r="D375" s="56" t="s">
        <v>675</v>
      </c>
      <c r="E375" s="56" t="s">
        <v>676</v>
      </c>
      <c r="F375" s="57" t="s">
        <v>34</v>
      </c>
      <c r="G375" s="61"/>
      <c r="H375" s="79"/>
      <c r="I375" s="62"/>
      <c r="J375" s="53"/>
    </row>
    <row r="376" ht="24.75" hidden="1" customHeight="1">
      <c r="A376" s="54" t="s">
        <v>658</v>
      </c>
      <c r="B376" s="56" t="s">
        <v>677</v>
      </c>
      <c r="C376" s="56" t="s">
        <v>610</v>
      </c>
      <c r="D376" s="56" t="s">
        <v>678</v>
      </c>
      <c r="E376" s="56" t="s">
        <v>679</v>
      </c>
      <c r="F376" s="57" t="s">
        <v>34</v>
      </c>
      <c r="G376" s="61"/>
      <c r="H376" s="61" t="s">
        <v>681</v>
      </c>
      <c r="I376" s="62"/>
      <c r="J376" s="53"/>
    </row>
    <row r="377" ht="24.75" hidden="1" customHeight="1">
      <c r="A377" s="54" t="s">
        <v>658</v>
      </c>
      <c r="B377" s="56" t="s">
        <v>677</v>
      </c>
      <c r="C377" s="56" t="s">
        <v>610</v>
      </c>
      <c r="D377" s="56" t="s">
        <v>678</v>
      </c>
      <c r="E377" s="56" t="s">
        <v>680</v>
      </c>
      <c r="F377" s="57" t="s">
        <v>34</v>
      </c>
      <c r="G377" s="61"/>
      <c r="H377" s="79"/>
      <c r="I377" s="62"/>
      <c r="J377" s="53"/>
    </row>
    <row r="378" ht="24.75" hidden="1" customHeight="1">
      <c r="A378" s="54" t="s">
        <v>658</v>
      </c>
      <c r="B378" s="56" t="s">
        <v>677</v>
      </c>
      <c r="C378" s="56" t="s">
        <v>610</v>
      </c>
      <c r="D378" s="56" t="s">
        <v>678</v>
      </c>
      <c r="E378" s="56" t="s">
        <v>682</v>
      </c>
      <c r="F378" s="57" t="s">
        <v>34</v>
      </c>
      <c r="G378" s="61"/>
      <c r="H378" s="79"/>
      <c r="I378" s="62"/>
      <c r="J378" s="53"/>
    </row>
    <row r="379" ht="24.75" hidden="1" customHeight="1">
      <c r="A379" s="54" t="s">
        <v>658</v>
      </c>
      <c r="B379" s="56" t="s">
        <v>677</v>
      </c>
      <c r="C379" s="56" t="s">
        <v>610</v>
      </c>
      <c r="D379" s="56" t="s">
        <v>678</v>
      </c>
      <c r="E379" s="56" t="s">
        <v>683</v>
      </c>
      <c r="F379" s="57" t="s">
        <v>34</v>
      </c>
      <c r="G379" s="61"/>
      <c r="H379" s="79"/>
      <c r="I379" s="62"/>
      <c r="J379" s="53"/>
    </row>
    <row r="380" ht="24.75" hidden="1" customHeight="1">
      <c r="A380" s="54" t="s">
        <v>658</v>
      </c>
      <c r="B380" s="56" t="s">
        <v>677</v>
      </c>
      <c r="C380" s="56" t="s">
        <v>610</v>
      </c>
      <c r="D380" s="56" t="s">
        <v>678</v>
      </c>
      <c r="E380" s="56" t="s">
        <v>684</v>
      </c>
      <c r="F380" s="57" t="s">
        <v>250</v>
      </c>
      <c r="G380" s="61"/>
      <c r="H380" s="61" t="s">
        <v>686</v>
      </c>
      <c r="I380" s="62" t="s">
        <v>687</v>
      </c>
      <c r="J380" s="53"/>
    </row>
    <row r="381" ht="24.75" hidden="1" customHeight="1">
      <c r="A381" s="54" t="s">
        <v>658</v>
      </c>
      <c r="B381" s="56" t="s">
        <v>677</v>
      </c>
      <c r="C381" s="56" t="s">
        <v>610</v>
      </c>
      <c r="D381" s="56" t="s">
        <v>678</v>
      </c>
      <c r="E381" s="56" t="s">
        <v>685</v>
      </c>
      <c r="F381" s="57" t="s">
        <v>250</v>
      </c>
      <c r="G381" s="61"/>
      <c r="H381" s="61" t="s">
        <v>200</v>
      </c>
      <c r="I381" s="62" t="s">
        <v>689</v>
      </c>
      <c r="J381" s="53"/>
    </row>
    <row r="382" ht="24.75" hidden="1" customHeight="1">
      <c r="A382" s="54" t="s">
        <v>658</v>
      </c>
      <c r="B382" s="56" t="s">
        <v>688</v>
      </c>
      <c r="C382" s="56" t="s">
        <v>624</v>
      </c>
      <c r="D382" s="56" t="s">
        <v>660</v>
      </c>
      <c r="E382" s="56" t="s">
        <v>661</v>
      </c>
      <c r="F382" s="57" t="s">
        <v>34</v>
      </c>
      <c r="G382" s="61"/>
      <c r="H382" s="79"/>
      <c r="I382" s="62"/>
      <c r="J382" s="53"/>
    </row>
    <row r="383" ht="24.75" hidden="1" customHeight="1">
      <c r="A383" s="54" t="s">
        <v>658</v>
      </c>
      <c r="B383" s="56" t="s">
        <v>688</v>
      </c>
      <c r="C383" s="56" t="s">
        <v>624</v>
      </c>
      <c r="D383" s="56" t="s">
        <v>660</v>
      </c>
      <c r="E383" s="56" t="s">
        <v>662</v>
      </c>
      <c r="F383" s="57" t="s">
        <v>34</v>
      </c>
      <c r="G383" s="61"/>
      <c r="H383" s="79"/>
      <c r="I383" s="62"/>
      <c r="J383" s="53"/>
    </row>
    <row r="384" ht="24.75" hidden="1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663</v>
      </c>
      <c r="F384" s="57" t="s">
        <v>34</v>
      </c>
      <c r="G384" s="61"/>
      <c r="H384" s="79"/>
      <c r="I384" s="62"/>
      <c r="J384" s="53"/>
    </row>
    <row r="385" ht="24.75" hidden="1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664</v>
      </c>
      <c r="F385" s="57" t="s">
        <v>34</v>
      </c>
      <c r="G385" s="61"/>
      <c r="H385" s="79"/>
      <c r="I385" s="62"/>
      <c r="J385" s="53"/>
    </row>
    <row r="386" ht="24.75" hidden="1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665</v>
      </c>
      <c r="F386" s="57" t="s">
        <v>34</v>
      </c>
      <c r="G386" s="61"/>
      <c r="H386" s="79"/>
      <c r="I386" s="62"/>
      <c r="J386" s="53"/>
    </row>
    <row r="387" ht="24.75" hidden="1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614</v>
      </c>
      <c r="F387" s="57" t="s">
        <v>34</v>
      </c>
      <c r="G387" s="61"/>
      <c r="H387" s="79"/>
      <c r="I387" s="62"/>
      <c r="J387" s="53"/>
    </row>
    <row r="388" ht="24.75" hidden="1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666</v>
      </c>
      <c r="F388" s="57" t="s">
        <v>34</v>
      </c>
      <c r="G388" s="61"/>
      <c r="H388" s="79"/>
      <c r="I388" s="62"/>
      <c r="J388" s="53"/>
    </row>
    <row r="389" ht="24.75" hidden="1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667</v>
      </c>
      <c r="F389" s="57" t="s">
        <v>34</v>
      </c>
      <c r="G389" s="61"/>
      <c r="H389" s="79"/>
      <c r="I389" s="62"/>
      <c r="J389" s="53"/>
    </row>
    <row r="390" ht="24.75" hidden="1" customHeight="1">
      <c r="A390" s="54" t="s">
        <v>658</v>
      </c>
      <c r="B390" s="56" t="s">
        <v>688</v>
      </c>
      <c r="C390" s="56" t="s">
        <v>624</v>
      </c>
      <c r="D390" s="56" t="s">
        <v>660</v>
      </c>
      <c r="E390" s="56" t="s">
        <v>668</v>
      </c>
      <c r="F390" s="57" t="s">
        <v>154</v>
      </c>
      <c r="G390" s="61"/>
      <c r="H390" s="79"/>
      <c r="I390" s="62" t="s">
        <v>617</v>
      </c>
      <c r="J390" s="53"/>
    </row>
    <row r="391" ht="24.75" hidden="1" customHeight="1">
      <c r="A391" s="54" t="s">
        <v>658</v>
      </c>
      <c r="B391" s="56" t="s">
        <v>688</v>
      </c>
      <c r="C391" s="56" t="s">
        <v>624</v>
      </c>
      <c r="D391" s="56" t="s">
        <v>660</v>
      </c>
      <c r="E391" s="56" t="s">
        <v>669</v>
      </c>
      <c r="F391" s="57" t="s">
        <v>154</v>
      </c>
      <c r="G391" s="61"/>
      <c r="H391" s="79"/>
      <c r="I391" s="62" t="s">
        <v>617</v>
      </c>
      <c r="J391" s="53"/>
    </row>
    <row r="392" ht="24.75" hidden="1" customHeight="1">
      <c r="A392" s="54" t="s">
        <v>658</v>
      </c>
      <c r="B392" s="56" t="s">
        <v>688</v>
      </c>
      <c r="C392" s="56" t="s">
        <v>624</v>
      </c>
      <c r="D392" s="56" t="s">
        <v>660</v>
      </c>
      <c r="E392" s="56" t="s">
        <v>671</v>
      </c>
      <c r="F392" s="57" t="s">
        <v>154</v>
      </c>
      <c r="G392" s="61"/>
      <c r="H392" s="79"/>
      <c r="I392" s="62" t="s">
        <v>617</v>
      </c>
      <c r="J392" s="53"/>
    </row>
    <row r="393" ht="24.75" hidden="1" customHeight="1">
      <c r="A393" s="54" t="s">
        <v>658</v>
      </c>
      <c r="B393" s="56" t="s">
        <v>688</v>
      </c>
      <c r="C393" s="56" t="s">
        <v>624</v>
      </c>
      <c r="D393" s="56" t="s">
        <v>660</v>
      </c>
      <c r="E393" s="56" t="s">
        <v>672</v>
      </c>
      <c r="F393" s="57" t="s">
        <v>154</v>
      </c>
      <c r="G393" s="61"/>
      <c r="H393" s="79"/>
      <c r="I393" s="62" t="s">
        <v>617</v>
      </c>
      <c r="J393" s="53"/>
    </row>
    <row r="394" ht="24.75" hidden="1" customHeight="1">
      <c r="A394" s="54" t="s">
        <v>658</v>
      </c>
      <c r="B394" s="56" t="s">
        <v>688</v>
      </c>
      <c r="C394" s="56" t="s">
        <v>624</v>
      </c>
      <c r="D394" s="56" t="s">
        <v>660</v>
      </c>
      <c r="E394" s="56" t="s">
        <v>673</v>
      </c>
      <c r="F394" s="57" t="s">
        <v>154</v>
      </c>
      <c r="G394" s="61"/>
      <c r="H394" s="79"/>
      <c r="I394" s="62" t="s">
        <v>617</v>
      </c>
      <c r="J394" s="53"/>
    </row>
    <row r="395" ht="24.75" hidden="1" customHeight="1">
      <c r="A395" s="54" t="s">
        <v>658</v>
      </c>
      <c r="B395" s="56" t="s">
        <v>690</v>
      </c>
      <c r="C395" s="56" t="s">
        <v>624</v>
      </c>
      <c r="D395" s="56" t="s">
        <v>675</v>
      </c>
      <c r="E395" s="56" t="s">
        <v>676</v>
      </c>
      <c r="F395" s="57" t="s">
        <v>34</v>
      </c>
      <c r="G395" s="61"/>
      <c r="H395" s="79"/>
      <c r="I395" s="62"/>
      <c r="J395" s="53"/>
    </row>
    <row r="396" ht="24.75" hidden="1" customHeight="1">
      <c r="A396" s="54" t="s">
        <v>658</v>
      </c>
      <c r="B396" s="56" t="s">
        <v>691</v>
      </c>
      <c r="C396" s="56" t="s">
        <v>624</v>
      </c>
      <c r="D396" s="56" t="s">
        <v>678</v>
      </c>
      <c r="E396" s="56" t="s">
        <v>679</v>
      </c>
      <c r="F396" s="57" t="s">
        <v>34</v>
      </c>
      <c r="G396" s="61"/>
      <c r="H396" s="61" t="s">
        <v>681</v>
      </c>
      <c r="I396" s="62"/>
      <c r="J396" s="53"/>
    </row>
    <row r="397" ht="24.75" hidden="1" customHeight="1">
      <c r="A397" s="54" t="s">
        <v>658</v>
      </c>
      <c r="B397" s="56" t="s">
        <v>691</v>
      </c>
      <c r="C397" s="56" t="s">
        <v>624</v>
      </c>
      <c r="D397" s="56" t="s">
        <v>678</v>
      </c>
      <c r="E397" s="56" t="s">
        <v>680</v>
      </c>
      <c r="F397" s="57" t="s">
        <v>34</v>
      </c>
      <c r="G397" s="61"/>
      <c r="H397" s="79"/>
      <c r="I397" s="62"/>
      <c r="J397" s="53"/>
    </row>
    <row r="398" ht="24.75" hidden="1" customHeight="1">
      <c r="A398" s="54" t="s">
        <v>658</v>
      </c>
      <c r="B398" s="56" t="s">
        <v>691</v>
      </c>
      <c r="C398" s="56" t="s">
        <v>624</v>
      </c>
      <c r="D398" s="56" t="s">
        <v>678</v>
      </c>
      <c r="E398" s="56" t="s">
        <v>682</v>
      </c>
      <c r="F398" s="57" t="s">
        <v>34</v>
      </c>
      <c r="G398" s="61"/>
      <c r="H398" s="79"/>
      <c r="I398" s="62"/>
      <c r="J398" s="53"/>
    </row>
    <row r="399" ht="24.75" hidden="1" customHeight="1">
      <c r="A399" s="54" t="s">
        <v>658</v>
      </c>
      <c r="B399" s="56" t="s">
        <v>691</v>
      </c>
      <c r="C399" s="56" t="s">
        <v>624</v>
      </c>
      <c r="D399" s="56" t="s">
        <v>678</v>
      </c>
      <c r="E399" s="56" t="s">
        <v>683</v>
      </c>
      <c r="F399" s="57" t="s">
        <v>34</v>
      </c>
      <c r="G399" s="61"/>
      <c r="H399" s="79"/>
      <c r="I399" s="62"/>
      <c r="J399" s="53"/>
    </row>
    <row r="400" ht="24.75" hidden="1" customHeight="1">
      <c r="A400" s="54" t="s">
        <v>658</v>
      </c>
      <c r="B400" s="56" t="s">
        <v>691</v>
      </c>
      <c r="C400" s="56" t="s">
        <v>624</v>
      </c>
      <c r="D400" s="56" t="s">
        <v>678</v>
      </c>
      <c r="E400" s="56" t="s">
        <v>684</v>
      </c>
      <c r="F400" s="57" t="s">
        <v>250</v>
      </c>
      <c r="G400" s="61"/>
      <c r="H400" s="61" t="s">
        <v>686</v>
      </c>
      <c r="I400" s="62" t="s">
        <v>687</v>
      </c>
      <c r="J400" s="53"/>
    </row>
    <row r="401" ht="24.75" hidden="1" customHeight="1">
      <c r="A401" s="54" t="s">
        <v>658</v>
      </c>
      <c r="B401" s="56" t="s">
        <v>691</v>
      </c>
      <c r="C401" s="56" t="s">
        <v>624</v>
      </c>
      <c r="D401" s="56" t="s">
        <v>678</v>
      </c>
      <c r="E401" s="56" t="s">
        <v>685</v>
      </c>
      <c r="F401" s="57" t="s">
        <v>250</v>
      </c>
      <c r="G401" s="61"/>
      <c r="H401" s="61" t="s">
        <v>200</v>
      </c>
      <c r="I401" s="62" t="s">
        <v>689</v>
      </c>
      <c r="J401" s="53"/>
    </row>
    <row r="402" ht="24.75" hidden="1" customHeight="1">
      <c r="A402" s="54" t="s">
        <v>658</v>
      </c>
      <c r="B402" s="56" t="s">
        <v>692</v>
      </c>
      <c r="C402" s="56" t="s">
        <v>627</v>
      </c>
      <c r="D402" s="56" t="s">
        <v>660</v>
      </c>
      <c r="E402" s="56" t="s">
        <v>661</v>
      </c>
      <c r="F402" s="57" t="s">
        <v>34</v>
      </c>
      <c r="G402" s="61"/>
      <c r="H402" s="79"/>
      <c r="I402" s="62"/>
      <c r="J402" s="53"/>
    </row>
    <row r="403" ht="24.75" hidden="1" customHeight="1">
      <c r="A403" s="54" t="s">
        <v>658</v>
      </c>
      <c r="B403" s="56" t="s">
        <v>692</v>
      </c>
      <c r="C403" s="56" t="s">
        <v>627</v>
      </c>
      <c r="D403" s="56" t="s">
        <v>660</v>
      </c>
      <c r="E403" s="56" t="s">
        <v>662</v>
      </c>
      <c r="F403" s="57" t="s">
        <v>34</v>
      </c>
      <c r="G403" s="61"/>
      <c r="H403" s="79"/>
      <c r="I403" s="62"/>
      <c r="J403" s="53"/>
    </row>
    <row r="404" ht="24.75" hidden="1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663</v>
      </c>
      <c r="F404" s="57" t="s">
        <v>34</v>
      </c>
      <c r="G404" s="61"/>
      <c r="H404" s="79"/>
      <c r="I404" s="62"/>
      <c r="J404" s="53"/>
    </row>
    <row r="405" ht="24.75" hidden="1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664</v>
      </c>
      <c r="F405" s="57" t="s">
        <v>34</v>
      </c>
      <c r="G405" s="61"/>
      <c r="H405" s="79"/>
      <c r="I405" s="62"/>
      <c r="J405" s="53"/>
    </row>
    <row r="406" ht="24.75" hidden="1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665</v>
      </c>
      <c r="F406" s="57" t="s">
        <v>34</v>
      </c>
      <c r="G406" s="61"/>
      <c r="H406" s="79"/>
      <c r="I406" s="62"/>
      <c r="J406" s="53"/>
    </row>
    <row r="407" ht="24.75" hidden="1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614</v>
      </c>
      <c r="F407" s="57" t="s">
        <v>34</v>
      </c>
      <c r="G407" s="61"/>
      <c r="H407" s="79"/>
      <c r="I407" s="62"/>
      <c r="J407" s="53"/>
    </row>
    <row r="408" ht="24.75" hidden="1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666</v>
      </c>
      <c r="F408" s="57" t="s">
        <v>34</v>
      </c>
      <c r="G408" s="61"/>
      <c r="H408" s="79"/>
      <c r="I408" s="62"/>
      <c r="J408" s="53"/>
    </row>
    <row r="409" ht="24.75" hidden="1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667</v>
      </c>
      <c r="F409" s="57" t="s">
        <v>34</v>
      </c>
      <c r="G409" s="61"/>
      <c r="H409" s="79"/>
      <c r="I409" s="62"/>
      <c r="J409" s="53"/>
    </row>
    <row r="410" ht="24.75" hidden="1" customHeight="1">
      <c r="A410" s="54" t="s">
        <v>658</v>
      </c>
      <c r="B410" s="56" t="s">
        <v>692</v>
      </c>
      <c r="C410" s="56" t="s">
        <v>627</v>
      </c>
      <c r="D410" s="56" t="s">
        <v>660</v>
      </c>
      <c r="E410" s="56" t="s">
        <v>668</v>
      </c>
      <c r="F410" s="57" t="s">
        <v>154</v>
      </c>
      <c r="G410" s="61"/>
      <c r="H410" s="79"/>
      <c r="I410" s="62" t="s">
        <v>617</v>
      </c>
      <c r="J410" s="53"/>
    </row>
    <row r="411" ht="24.75" hidden="1" customHeight="1">
      <c r="A411" s="54" t="s">
        <v>658</v>
      </c>
      <c r="B411" s="56" t="s">
        <v>692</v>
      </c>
      <c r="C411" s="56" t="s">
        <v>627</v>
      </c>
      <c r="D411" s="56" t="s">
        <v>660</v>
      </c>
      <c r="E411" s="56" t="s">
        <v>669</v>
      </c>
      <c r="F411" s="57" t="s">
        <v>154</v>
      </c>
      <c r="G411" s="61"/>
      <c r="H411" s="79"/>
      <c r="I411" s="62" t="s">
        <v>617</v>
      </c>
      <c r="J411" s="53"/>
    </row>
    <row r="412" ht="24.75" hidden="1" customHeight="1">
      <c r="A412" s="54" t="s">
        <v>658</v>
      </c>
      <c r="B412" s="56" t="s">
        <v>692</v>
      </c>
      <c r="C412" s="56" t="s">
        <v>627</v>
      </c>
      <c r="D412" s="56" t="s">
        <v>660</v>
      </c>
      <c r="E412" s="56" t="s">
        <v>671</v>
      </c>
      <c r="F412" s="57" t="s">
        <v>154</v>
      </c>
      <c r="G412" s="61"/>
      <c r="H412" s="79"/>
      <c r="I412" s="62" t="s">
        <v>617</v>
      </c>
      <c r="J412" s="53"/>
    </row>
    <row r="413" ht="24.75" hidden="1" customHeight="1">
      <c r="A413" s="54" t="s">
        <v>658</v>
      </c>
      <c r="B413" s="56" t="s">
        <v>692</v>
      </c>
      <c r="C413" s="56" t="s">
        <v>627</v>
      </c>
      <c r="D413" s="56" t="s">
        <v>660</v>
      </c>
      <c r="E413" s="56" t="s">
        <v>672</v>
      </c>
      <c r="F413" s="57" t="s">
        <v>154</v>
      </c>
      <c r="G413" s="61"/>
      <c r="H413" s="79"/>
      <c r="I413" s="62" t="s">
        <v>617</v>
      </c>
      <c r="J413" s="53"/>
    </row>
    <row r="414" ht="24.75" hidden="1" customHeight="1">
      <c r="A414" s="54" t="s">
        <v>658</v>
      </c>
      <c r="B414" s="56" t="s">
        <v>692</v>
      </c>
      <c r="C414" s="56" t="s">
        <v>627</v>
      </c>
      <c r="D414" s="56" t="s">
        <v>660</v>
      </c>
      <c r="E414" s="56" t="s">
        <v>673</v>
      </c>
      <c r="F414" s="57" t="s">
        <v>154</v>
      </c>
      <c r="G414" s="61"/>
      <c r="H414" s="79"/>
      <c r="I414" s="62" t="s">
        <v>617</v>
      </c>
      <c r="J414" s="53"/>
    </row>
    <row r="415" ht="24.75" hidden="1" customHeight="1">
      <c r="A415" s="54" t="s">
        <v>658</v>
      </c>
      <c r="B415" s="56" t="s">
        <v>693</v>
      </c>
      <c r="C415" s="56" t="s">
        <v>627</v>
      </c>
      <c r="D415" s="56" t="s">
        <v>675</v>
      </c>
      <c r="E415" s="56" t="s">
        <v>676</v>
      </c>
      <c r="F415" s="57" t="s">
        <v>34</v>
      </c>
      <c r="G415" s="61"/>
      <c r="H415" s="79"/>
      <c r="I415" s="62"/>
      <c r="J415" s="53"/>
    </row>
    <row r="416" ht="24.75" hidden="1" customHeight="1">
      <c r="A416" s="54" t="s">
        <v>658</v>
      </c>
      <c r="B416" s="56" t="s">
        <v>694</v>
      </c>
      <c r="C416" s="56" t="s">
        <v>627</v>
      </c>
      <c r="D416" s="56" t="s">
        <v>678</v>
      </c>
      <c r="E416" s="56" t="s">
        <v>679</v>
      </c>
      <c r="F416" s="57" t="s">
        <v>34</v>
      </c>
      <c r="G416" s="61"/>
      <c r="H416" s="61" t="s">
        <v>197</v>
      </c>
      <c r="I416" s="62"/>
      <c r="J416" s="53"/>
    </row>
    <row r="417" ht="24.75" hidden="1" customHeight="1">
      <c r="A417" s="54" t="s">
        <v>658</v>
      </c>
      <c r="B417" s="56" t="s">
        <v>694</v>
      </c>
      <c r="C417" s="56" t="s">
        <v>627</v>
      </c>
      <c r="D417" s="56" t="s">
        <v>678</v>
      </c>
      <c r="E417" s="56" t="s">
        <v>680</v>
      </c>
      <c r="F417" s="57" t="s">
        <v>34</v>
      </c>
      <c r="G417" s="61"/>
      <c r="H417" s="79"/>
      <c r="I417" s="62"/>
      <c r="J417" s="53"/>
    </row>
    <row r="418" ht="24.75" hidden="1" customHeight="1">
      <c r="A418" s="54" t="s">
        <v>658</v>
      </c>
      <c r="B418" s="56" t="s">
        <v>694</v>
      </c>
      <c r="C418" s="56" t="s">
        <v>627</v>
      </c>
      <c r="D418" s="56" t="s">
        <v>678</v>
      </c>
      <c r="E418" s="56" t="s">
        <v>683</v>
      </c>
      <c r="F418" s="57" t="s">
        <v>34</v>
      </c>
      <c r="G418" s="61"/>
      <c r="H418" s="79"/>
      <c r="I418" s="62"/>
      <c r="J418" s="53"/>
    </row>
    <row r="419" ht="24.75" hidden="1" customHeight="1">
      <c r="A419" s="54" t="s">
        <v>658</v>
      </c>
      <c r="B419" s="56" t="s">
        <v>694</v>
      </c>
      <c r="C419" s="56" t="s">
        <v>627</v>
      </c>
      <c r="D419" s="56" t="s">
        <v>678</v>
      </c>
      <c r="E419" s="56" t="s">
        <v>684</v>
      </c>
      <c r="F419" s="57" t="s">
        <v>250</v>
      </c>
      <c r="G419" s="61"/>
      <c r="H419" s="61" t="s">
        <v>686</v>
      </c>
      <c r="I419" s="62" t="s">
        <v>687</v>
      </c>
      <c r="J419" s="53"/>
    </row>
    <row r="420" ht="24.75" hidden="1" customHeight="1">
      <c r="A420" s="54" t="s">
        <v>658</v>
      </c>
      <c r="B420" s="56" t="s">
        <v>694</v>
      </c>
      <c r="C420" s="56" t="s">
        <v>627</v>
      </c>
      <c r="D420" s="56" t="s">
        <v>678</v>
      </c>
      <c r="E420" s="56" t="s">
        <v>695</v>
      </c>
      <c r="F420" s="57" t="s">
        <v>250</v>
      </c>
      <c r="G420" s="61"/>
      <c r="H420" s="61" t="s">
        <v>346</v>
      </c>
      <c r="I420" s="62" t="s">
        <v>696</v>
      </c>
      <c r="J420" s="53"/>
    </row>
    <row r="421" ht="24.75" hidden="1" customHeight="1">
      <c r="A421" s="54" t="s">
        <v>658</v>
      </c>
      <c r="B421" s="56" t="s">
        <v>694</v>
      </c>
      <c r="C421" s="56" t="s">
        <v>627</v>
      </c>
      <c r="D421" s="56" t="s">
        <v>678</v>
      </c>
      <c r="E421" s="56" t="s">
        <v>685</v>
      </c>
      <c r="F421" s="57" t="s">
        <v>250</v>
      </c>
      <c r="G421" s="61"/>
      <c r="H421" s="61" t="s">
        <v>200</v>
      </c>
      <c r="I421" s="62" t="s">
        <v>689</v>
      </c>
      <c r="J421" s="53"/>
    </row>
    <row r="422" ht="24.75" hidden="1" customHeight="1">
      <c r="A422" s="54" t="s">
        <v>658</v>
      </c>
      <c r="B422" s="56" t="s">
        <v>697</v>
      </c>
      <c r="C422" s="56" t="s">
        <v>640</v>
      </c>
      <c r="D422" s="56" t="s">
        <v>660</v>
      </c>
      <c r="E422" s="56" t="s">
        <v>661</v>
      </c>
      <c r="F422" s="57" t="s">
        <v>34</v>
      </c>
      <c r="G422" s="61"/>
      <c r="H422" s="79"/>
      <c r="I422" s="62"/>
      <c r="J422" s="53"/>
    </row>
    <row r="423" ht="24.75" hidden="1" customHeight="1">
      <c r="A423" s="54" t="s">
        <v>658</v>
      </c>
      <c r="B423" s="56" t="s">
        <v>697</v>
      </c>
      <c r="C423" s="56" t="s">
        <v>640</v>
      </c>
      <c r="D423" s="56" t="s">
        <v>660</v>
      </c>
      <c r="E423" s="56" t="s">
        <v>662</v>
      </c>
      <c r="F423" s="57" t="s">
        <v>34</v>
      </c>
      <c r="G423" s="61"/>
      <c r="H423" s="79"/>
      <c r="I423" s="62"/>
      <c r="J423" s="53"/>
    </row>
    <row r="424" ht="24.75" hidden="1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663</v>
      </c>
      <c r="F424" s="57" t="s">
        <v>34</v>
      </c>
      <c r="G424" s="61"/>
      <c r="H424" s="79"/>
      <c r="I424" s="62"/>
      <c r="J424" s="53"/>
    </row>
    <row r="425" ht="24.75" hidden="1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664</v>
      </c>
      <c r="F425" s="57" t="s">
        <v>34</v>
      </c>
      <c r="G425" s="61"/>
      <c r="H425" s="79"/>
      <c r="I425" s="62"/>
      <c r="J425" s="53"/>
    </row>
    <row r="426" ht="24.75" hidden="1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665</v>
      </c>
      <c r="F426" s="57" t="s">
        <v>34</v>
      </c>
      <c r="G426" s="61"/>
      <c r="H426" s="79"/>
      <c r="I426" s="62"/>
      <c r="J426" s="53"/>
    </row>
    <row r="427" ht="24.75" hidden="1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614</v>
      </c>
      <c r="F427" s="57" t="s">
        <v>34</v>
      </c>
      <c r="G427" s="61"/>
      <c r="H427" s="79"/>
      <c r="I427" s="62"/>
      <c r="J427" s="53"/>
    </row>
    <row r="428" ht="24.75" hidden="1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666</v>
      </c>
      <c r="F428" s="57" t="s">
        <v>34</v>
      </c>
      <c r="G428" s="61"/>
      <c r="H428" s="79"/>
      <c r="I428" s="62"/>
      <c r="J428" s="53"/>
    </row>
    <row r="429" ht="24.75" hidden="1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667</v>
      </c>
      <c r="F429" s="57" t="s">
        <v>34</v>
      </c>
      <c r="G429" s="61"/>
      <c r="H429" s="79"/>
      <c r="I429" s="62"/>
      <c r="J429" s="53"/>
    </row>
    <row r="430" ht="24.75" hidden="1" customHeight="1">
      <c r="A430" s="54" t="s">
        <v>658</v>
      </c>
      <c r="B430" s="56" t="s">
        <v>697</v>
      </c>
      <c r="C430" s="56" t="s">
        <v>640</v>
      </c>
      <c r="D430" s="56" t="s">
        <v>660</v>
      </c>
      <c r="E430" s="56" t="s">
        <v>668</v>
      </c>
      <c r="F430" s="57" t="s">
        <v>154</v>
      </c>
      <c r="G430" s="61"/>
      <c r="H430" s="79"/>
      <c r="I430" s="62" t="s">
        <v>617</v>
      </c>
      <c r="J430" s="53"/>
    </row>
    <row r="431" ht="24.75" hidden="1" customHeight="1">
      <c r="A431" s="54" t="s">
        <v>658</v>
      </c>
      <c r="B431" s="56" t="s">
        <v>697</v>
      </c>
      <c r="C431" s="56" t="s">
        <v>640</v>
      </c>
      <c r="D431" s="56" t="s">
        <v>660</v>
      </c>
      <c r="E431" s="56" t="s">
        <v>669</v>
      </c>
      <c r="F431" s="57" t="s">
        <v>154</v>
      </c>
      <c r="G431" s="61"/>
      <c r="H431" s="79"/>
      <c r="I431" s="62" t="s">
        <v>617</v>
      </c>
      <c r="J431" s="53"/>
    </row>
    <row r="432" ht="24.75" hidden="1" customHeight="1">
      <c r="A432" s="54" t="s">
        <v>658</v>
      </c>
      <c r="B432" s="56" t="s">
        <v>697</v>
      </c>
      <c r="C432" s="56" t="s">
        <v>640</v>
      </c>
      <c r="D432" s="56" t="s">
        <v>660</v>
      </c>
      <c r="E432" s="56" t="s">
        <v>671</v>
      </c>
      <c r="F432" s="57" t="s">
        <v>154</v>
      </c>
      <c r="G432" s="61"/>
      <c r="H432" s="79"/>
      <c r="I432" s="62" t="s">
        <v>617</v>
      </c>
      <c r="J432" s="53"/>
    </row>
    <row r="433" ht="24.75" hidden="1" customHeight="1">
      <c r="A433" s="54" t="s">
        <v>658</v>
      </c>
      <c r="B433" s="56" t="s">
        <v>697</v>
      </c>
      <c r="C433" s="56" t="s">
        <v>640</v>
      </c>
      <c r="D433" s="56" t="s">
        <v>660</v>
      </c>
      <c r="E433" s="56" t="s">
        <v>672</v>
      </c>
      <c r="F433" s="57" t="s">
        <v>154</v>
      </c>
      <c r="G433" s="61"/>
      <c r="H433" s="79"/>
      <c r="I433" s="62" t="s">
        <v>617</v>
      </c>
      <c r="J433" s="53"/>
    </row>
    <row r="434" ht="24.75" hidden="1" customHeight="1">
      <c r="A434" s="54" t="s">
        <v>658</v>
      </c>
      <c r="B434" s="56" t="s">
        <v>697</v>
      </c>
      <c r="C434" s="56" t="s">
        <v>640</v>
      </c>
      <c r="D434" s="56" t="s">
        <v>660</v>
      </c>
      <c r="E434" s="56" t="s">
        <v>673</v>
      </c>
      <c r="F434" s="57" t="s">
        <v>154</v>
      </c>
      <c r="G434" s="61"/>
      <c r="H434" s="79"/>
      <c r="I434" s="62" t="s">
        <v>617</v>
      </c>
      <c r="J434" s="53"/>
    </row>
    <row r="435" ht="24.75" hidden="1" customHeight="1">
      <c r="A435" s="54" t="s">
        <v>658</v>
      </c>
      <c r="B435" s="56" t="s">
        <v>698</v>
      </c>
      <c r="C435" s="56" t="s">
        <v>640</v>
      </c>
      <c r="D435" s="56" t="s">
        <v>675</v>
      </c>
      <c r="E435" s="56" t="s">
        <v>676</v>
      </c>
      <c r="F435" s="57" t="s">
        <v>34</v>
      </c>
      <c r="G435" s="61"/>
      <c r="H435" s="79"/>
      <c r="I435" s="62"/>
      <c r="J435" s="53"/>
    </row>
    <row r="436" ht="24.75" hidden="1" customHeight="1">
      <c r="A436" s="54" t="s">
        <v>658</v>
      </c>
      <c r="B436" s="56" t="s">
        <v>699</v>
      </c>
      <c r="C436" s="56" t="s">
        <v>640</v>
      </c>
      <c r="D436" s="56" t="s">
        <v>678</v>
      </c>
      <c r="E436" s="56" t="s">
        <v>679</v>
      </c>
      <c r="F436" s="57" t="s">
        <v>34</v>
      </c>
      <c r="G436" s="61"/>
      <c r="H436" s="61" t="s">
        <v>197</v>
      </c>
      <c r="I436" s="62"/>
      <c r="J436" s="53"/>
    </row>
    <row r="437" ht="24.75" hidden="1" customHeight="1">
      <c r="A437" s="54" t="s">
        <v>658</v>
      </c>
      <c r="B437" s="56" t="s">
        <v>699</v>
      </c>
      <c r="C437" s="56" t="s">
        <v>640</v>
      </c>
      <c r="D437" s="56" t="s">
        <v>678</v>
      </c>
      <c r="E437" s="56" t="s">
        <v>680</v>
      </c>
      <c r="F437" s="57" t="s">
        <v>34</v>
      </c>
      <c r="G437" s="61"/>
      <c r="H437" s="79"/>
      <c r="I437" s="62"/>
      <c r="J437" s="53"/>
    </row>
    <row r="438" ht="24.75" hidden="1" customHeight="1">
      <c r="A438" s="54" t="s">
        <v>658</v>
      </c>
      <c r="B438" s="56" t="s">
        <v>699</v>
      </c>
      <c r="C438" s="56" t="s">
        <v>640</v>
      </c>
      <c r="D438" s="56" t="s">
        <v>678</v>
      </c>
      <c r="E438" s="56" t="s">
        <v>682</v>
      </c>
      <c r="F438" s="57" t="s">
        <v>34</v>
      </c>
      <c r="G438" s="61"/>
      <c r="H438" s="79"/>
      <c r="I438" s="62"/>
      <c r="J438" s="53"/>
    </row>
    <row r="439" ht="24.75" hidden="1" customHeight="1">
      <c r="A439" s="54" t="s">
        <v>658</v>
      </c>
      <c r="B439" s="56" t="s">
        <v>699</v>
      </c>
      <c r="C439" s="56" t="s">
        <v>640</v>
      </c>
      <c r="D439" s="56" t="s">
        <v>678</v>
      </c>
      <c r="E439" s="56" t="s">
        <v>683</v>
      </c>
      <c r="F439" s="57" t="s">
        <v>34</v>
      </c>
      <c r="G439" s="61"/>
      <c r="H439" s="79"/>
      <c r="I439" s="62"/>
      <c r="J439" s="53"/>
    </row>
    <row r="440" ht="24.75" hidden="1" customHeight="1">
      <c r="A440" s="54" t="s">
        <v>658</v>
      </c>
      <c r="B440" s="56" t="s">
        <v>699</v>
      </c>
      <c r="C440" s="56" t="s">
        <v>640</v>
      </c>
      <c r="D440" s="56" t="s">
        <v>678</v>
      </c>
      <c r="E440" s="56" t="s">
        <v>684</v>
      </c>
      <c r="F440" s="57" t="s">
        <v>250</v>
      </c>
      <c r="G440" s="61"/>
      <c r="H440" s="61" t="s">
        <v>686</v>
      </c>
      <c r="I440" s="62" t="s">
        <v>687</v>
      </c>
      <c r="J440" s="53"/>
    </row>
    <row r="441" ht="24.75" hidden="1" customHeight="1">
      <c r="A441" s="54" t="s">
        <v>658</v>
      </c>
      <c r="B441" s="56" t="s">
        <v>699</v>
      </c>
      <c r="C441" s="56" t="s">
        <v>640</v>
      </c>
      <c r="D441" s="56" t="s">
        <v>678</v>
      </c>
      <c r="E441" s="56" t="s">
        <v>695</v>
      </c>
      <c r="F441" s="57" t="s">
        <v>250</v>
      </c>
      <c r="G441" s="61"/>
      <c r="H441" s="61" t="s">
        <v>346</v>
      </c>
      <c r="I441" s="62" t="s">
        <v>696</v>
      </c>
      <c r="J441" s="53"/>
    </row>
    <row r="442" ht="24.75" hidden="1" customHeight="1">
      <c r="A442" s="54" t="s">
        <v>658</v>
      </c>
      <c r="B442" s="56" t="s">
        <v>699</v>
      </c>
      <c r="C442" s="56" t="s">
        <v>640</v>
      </c>
      <c r="D442" s="56" t="s">
        <v>678</v>
      </c>
      <c r="E442" s="56" t="s">
        <v>685</v>
      </c>
      <c r="F442" s="57" t="s">
        <v>250</v>
      </c>
      <c r="G442" s="61"/>
      <c r="H442" s="61" t="s">
        <v>200</v>
      </c>
      <c r="I442" s="62" t="s">
        <v>689</v>
      </c>
      <c r="J442" s="53"/>
    </row>
    <row r="443" ht="24.75" hidden="1" customHeight="1">
      <c r="A443" s="54" t="s">
        <v>658</v>
      </c>
      <c r="B443" s="56" t="s">
        <v>700</v>
      </c>
      <c r="C443" s="56" t="s">
        <v>645</v>
      </c>
      <c r="D443" s="56" t="s">
        <v>660</v>
      </c>
      <c r="E443" s="56" t="s">
        <v>661</v>
      </c>
      <c r="F443" s="57" t="s">
        <v>34</v>
      </c>
      <c r="G443" s="61"/>
      <c r="H443" s="79"/>
      <c r="I443" s="62"/>
      <c r="J443" s="53"/>
    </row>
    <row r="444" ht="24.75" hidden="1" customHeight="1">
      <c r="A444" s="54" t="s">
        <v>658</v>
      </c>
      <c r="B444" s="56" t="s">
        <v>700</v>
      </c>
      <c r="C444" s="56" t="s">
        <v>645</v>
      </c>
      <c r="D444" s="56" t="s">
        <v>660</v>
      </c>
      <c r="E444" s="56" t="s">
        <v>662</v>
      </c>
      <c r="F444" s="57" t="s">
        <v>34</v>
      </c>
      <c r="G444" s="61"/>
      <c r="H444" s="61"/>
      <c r="I444" s="62"/>
      <c r="J444" s="53"/>
    </row>
    <row r="445" ht="24.75" hidden="1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663</v>
      </c>
      <c r="F445" s="57" t="s">
        <v>34</v>
      </c>
      <c r="G445" s="61"/>
      <c r="H445" s="61"/>
      <c r="I445" s="62"/>
      <c r="J445" s="53"/>
    </row>
    <row r="446" ht="24.75" hidden="1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664</v>
      </c>
      <c r="F446" s="57" t="s">
        <v>34</v>
      </c>
      <c r="G446" s="61"/>
      <c r="H446" s="79"/>
      <c r="I446" s="62"/>
      <c r="J446" s="53"/>
    </row>
    <row r="447" ht="24.75" hidden="1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665</v>
      </c>
      <c r="F447" s="57" t="s">
        <v>34</v>
      </c>
      <c r="G447" s="61"/>
      <c r="H447" s="79"/>
      <c r="I447" s="62"/>
      <c r="J447" s="53"/>
    </row>
    <row r="448" ht="24.75" hidden="1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614</v>
      </c>
      <c r="F448" s="57" t="s">
        <v>34</v>
      </c>
      <c r="G448" s="61"/>
      <c r="H448" s="79"/>
      <c r="I448" s="62"/>
      <c r="J448" s="53"/>
    </row>
    <row r="449" ht="24.75" hidden="1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666</v>
      </c>
      <c r="F449" s="57" t="s">
        <v>34</v>
      </c>
      <c r="G449" s="61"/>
      <c r="H449" s="79"/>
      <c r="I449" s="62"/>
      <c r="J449" s="53"/>
    </row>
    <row r="450" ht="24.75" hidden="1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667</v>
      </c>
      <c r="F450" s="57" t="s">
        <v>34</v>
      </c>
      <c r="G450" s="61"/>
      <c r="H450" s="61"/>
      <c r="I450" s="62"/>
      <c r="J450" s="53"/>
    </row>
    <row r="451" ht="24.75" hidden="1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668</v>
      </c>
      <c r="F451" s="57" t="s">
        <v>154</v>
      </c>
      <c r="G451" s="61"/>
      <c r="H451" s="61"/>
      <c r="I451" s="62" t="s">
        <v>617</v>
      </c>
      <c r="J451" s="53"/>
    </row>
    <row r="452" ht="24.75" hidden="1" customHeight="1">
      <c r="A452" s="54" t="s">
        <v>658</v>
      </c>
      <c r="B452" s="56" t="s">
        <v>700</v>
      </c>
      <c r="C452" s="56" t="s">
        <v>645</v>
      </c>
      <c r="D452" s="56" t="s">
        <v>660</v>
      </c>
      <c r="E452" s="56" t="s">
        <v>669</v>
      </c>
      <c r="F452" s="57" t="s">
        <v>154</v>
      </c>
      <c r="G452" s="61"/>
      <c r="H452" s="61"/>
      <c r="I452" s="62" t="s">
        <v>617</v>
      </c>
      <c r="J452" s="53"/>
    </row>
    <row r="453" ht="24.75" hidden="1" customHeight="1">
      <c r="A453" s="54" t="s">
        <v>658</v>
      </c>
      <c r="B453" s="56" t="s">
        <v>700</v>
      </c>
      <c r="C453" s="56" t="s">
        <v>645</v>
      </c>
      <c r="D453" s="56" t="s">
        <v>660</v>
      </c>
      <c r="E453" s="56" t="s">
        <v>680</v>
      </c>
      <c r="F453" s="57" t="s">
        <v>154</v>
      </c>
      <c r="G453" s="61"/>
      <c r="H453" s="61"/>
      <c r="I453" s="62" t="s">
        <v>617</v>
      </c>
      <c r="J453" s="53"/>
    </row>
    <row r="454" ht="24.75" hidden="1" customHeight="1">
      <c r="A454" s="54" t="s">
        <v>658</v>
      </c>
      <c r="B454" s="56" t="s">
        <v>700</v>
      </c>
      <c r="C454" s="56" t="s">
        <v>645</v>
      </c>
      <c r="D454" s="56" t="s">
        <v>660</v>
      </c>
      <c r="E454" s="56" t="s">
        <v>671</v>
      </c>
      <c r="F454" s="57" t="s">
        <v>154</v>
      </c>
      <c r="G454" s="61"/>
      <c r="H454" s="79"/>
      <c r="I454" s="62" t="s">
        <v>617</v>
      </c>
      <c r="J454" s="53"/>
    </row>
    <row r="455" ht="24.75" hidden="1" customHeight="1">
      <c r="A455" s="54" t="s">
        <v>658</v>
      </c>
      <c r="B455" s="56" t="s">
        <v>700</v>
      </c>
      <c r="C455" s="56" t="s">
        <v>645</v>
      </c>
      <c r="D455" s="56" t="s">
        <v>660</v>
      </c>
      <c r="E455" s="56" t="s">
        <v>672</v>
      </c>
      <c r="F455" s="57" t="s">
        <v>154</v>
      </c>
      <c r="G455" s="61"/>
      <c r="H455" s="79"/>
      <c r="I455" s="62" t="s">
        <v>617</v>
      </c>
      <c r="J455" s="53"/>
    </row>
    <row r="456" ht="24.75" hidden="1" customHeight="1">
      <c r="A456" s="54" t="s">
        <v>658</v>
      </c>
      <c r="B456" s="56" t="s">
        <v>700</v>
      </c>
      <c r="C456" s="56" t="s">
        <v>645</v>
      </c>
      <c r="D456" s="56" t="s">
        <v>660</v>
      </c>
      <c r="E456" s="56" t="s">
        <v>673</v>
      </c>
      <c r="F456" s="57" t="s">
        <v>154</v>
      </c>
      <c r="G456" s="61"/>
      <c r="H456" s="79"/>
      <c r="I456" s="62" t="s">
        <v>617</v>
      </c>
      <c r="J456" s="53"/>
    </row>
    <row r="457" ht="24.75" hidden="1" customHeight="1">
      <c r="A457" s="54" t="s">
        <v>658</v>
      </c>
      <c r="B457" s="56" t="s">
        <v>703</v>
      </c>
      <c r="C457" s="56" t="s">
        <v>645</v>
      </c>
      <c r="D457" s="56" t="s">
        <v>675</v>
      </c>
      <c r="E457" s="56" t="s">
        <v>676</v>
      </c>
      <c r="F457" s="57" t="s">
        <v>34</v>
      </c>
      <c r="G457" s="61"/>
      <c r="H457" s="79"/>
      <c r="I457" s="62"/>
      <c r="J457" s="53"/>
    </row>
    <row r="458" ht="24.75" hidden="1" customHeight="1">
      <c r="A458" s="54" t="s">
        <v>658</v>
      </c>
      <c r="B458" s="56" t="s">
        <v>704</v>
      </c>
      <c r="C458" s="56" t="s">
        <v>645</v>
      </c>
      <c r="D458" s="56" t="s">
        <v>678</v>
      </c>
      <c r="E458" s="56" t="s">
        <v>679</v>
      </c>
      <c r="F458" s="57" t="s">
        <v>34</v>
      </c>
      <c r="G458" s="61"/>
      <c r="H458" s="61" t="s">
        <v>197</v>
      </c>
      <c r="I458" s="62"/>
      <c r="J458" s="53"/>
    </row>
    <row r="459" ht="24.75" hidden="1" customHeight="1">
      <c r="A459" s="54" t="s">
        <v>658</v>
      </c>
      <c r="B459" s="56" t="s">
        <v>704</v>
      </c>
      <c r="C459" s="56" t="s">
        <v>645</v>
      </c>
      <c r="D459" s="56" t="s">
        <v>678</v>
      </c>
      <c r="E459" s="56" t="s">
        <v>680</v>
      </c>
      <c r="F459" s="57" t="s">
        <v>34</v>
      </c>
      <c r="G459" s="61"/>
      <c r="H459" s="79"/>
      <c r="I459" s="62"/>
      <c r="J459" s="53"/>
    </row>
    <row r="460" ht="24.75" hidden="1" customHeight="1">
      <c r="A460" s="54" t="s">
        <v>658</v>
      </c>
      <c r="B460" s="56" t="s">
        <v>704</v>
      </c>
      <c r="C460" s="56" t="s">
        <v>645</v>
      </c>
      <c r="D460" s="56" t="s">
        <v>678</v>
      </c>
      <c r="E460" s="56" t="s">
        <v>682</v>
      </c>
      <c r="F460" s="57" t="s">
        <v>34</v>
      </c>
      <c r="G460" s="61"/>
      <c r="H460" s="79"/>
      <c r="I460" s="62"/>
      <c r="J460" s="53"/>
    </row>
    <row r="461" ht="24.75" hidden="1" customHeight="1">
      <c r="A461" s="54" t="s">
        <v>658</v>
      </c>
      <c r="B461" s="56" t="s">
        <v>704</v>
      </c>
      <c r="C461" s="56" t="s">
        <v>645</v>
      </c>
      <c r="D461" s="56" t="s">
        <v>678</v>
      </c>
      <c r="E461" s="56" t="s">
        <v>683</v>
      </c>
      <c r="F461" s="57" t="s">
        <v>34</v>
      </c>
      <c r="G461" s="61"/>
      <c r="H461" s="79"/>
      <c r="I461" s="62"/>
      <c r="J461" s="53"/>
    </row>
    <row r="462" ht="24.75" hidden="1" customHeight="1">
      <c r="A462" s="54" t="s">
        <v>658</v>
      </c>
      <c r="B462" s="56" t="s">
        <v>704</v>
      </c>
      <c r="C462" s="56" t="s">
        <v>645</v>
      </c>
      <c r="D462" s="56" t="s">
        <v>678</v>
      </c>
      <c r="E462" s="56" t="s">
        <v>684</v>
      </c>
      <c r="F462" s="57" t="s">
        <v>250</v>
      </c>
      <c r="G462" s="61"/>
      <c r="H462" s="61" t="s">
        <v>686</v>
      </c>
      <c r="I462" s="62" t="s">
        <v>687</v>
      </c>
      <c r="J462" s="53"/>
    </row>
    <row r="463" ht="24.75" hidden="1" customHeight="1">
      <c r="A463" s="54" t="s">
        <v>658</v>
      </c>
      <c r="B463" s="56" t="s">
        <v>704</v>
      </c>
      <c r="C463" s="56" t="s">
        <v>645</v>
      </c>
      <c r="D463" s="56" t="s">
        <v>678</v>
      </c>
      <c r="E463" s="56" t="s">
        <v>695</v>
      </c>
      <c r="F463" s="57" t="s">
        <v>250</v>
      </c>
      <c r="G463" s="61"/>
      <c r="H463" s="61" t="s">
        <v>346</v>
      </c>
      <c r="I463" s="62" t="s">
        <v>696</v>
      </c>
      <c r="J463" s="53"/>
    </row>
    <row r="464" ht="24.75" hidden="1" customHeight="1">
      <c r="A464" s="54" t="s">
        <v>658</v>
      </c>
      <c r="B464" s="56" t="s">
        <v>704</v>
      </c>
      <c r="C464" s="56" t="s">
        <v>645</v>
      </c>
      <c r="D464" s="56" t="s">
        <v>678</v>
      </c>
      <c r="E464" s="56" t="s">
        <v>685</v>
      </c>
      <c r="F464" s="57" t="s">
        <v>250</v>
      </c>
      <c r="G464" s="61"/>
      <c r="H464" s="61" t="s">
        <v>200</v>
      </c>
      <c r="I464" s="62" t="s">
        <v>689</v>
      </c>
      <c r="J464" s="53"/>
    </row>
    <row r="465" ht="24.75" hidden="1" customHeight="1">
      <c r="A465" s="54" t="s">
        <v>658</v>
      </c>
      <c r="B465" s="56" t="s">
        <v>705</v>
      </c>
      <c r="C465" s="56" t="s">
        <v>606</v>
      </c>
      <c r="D465" s="56" t="s">
        <v>660</v>
      </c>
      <c r="E465" s="56" t="s">
        <v>661</v>
      </c>
      <c r="F465" s="57" t="s">
        <v>34</v>
      </c>
      <c r="G465" s="61"/>
      <c r="H465" s="79"/>
      <c r="I465" s="62"/>
      <c r="J465" s="53"/>
    </row>
    <row r="466" ht="24.75" hidden="1" customHeight="1">
      <c r="A466" s="54" t="s">
        <v>658</v>
      </c>
      <c r="B466" s="56" t="s">
        <v>705</v>
      </c>
      <c r="C466" s="56" t="s">
        <v>606</v>
      </c>
      <c r="D466" s="56" t="s">
        <v>660</v>
      </c>
      <c r="E466" s="56" t="s">
        <v>662</v>
      </c>
      <c r="F466" s="57" t="s">
        <v>34</v>
      </c>
      <c r="G466" s="61"/>
      <c r="H466" s="61"/>
      <c r="I466" s="62"/>
      <c r="J466" s="53"/>
    </row>
    <row r="467" ht="24.75" hidden="1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663</v>
      </c>
      <c r="F467" s="57" t="s">
        <v>34</v>
      </c>
      <c r="G467" s="61"/>
      <c r="H467" s="61"/>
      <c r="I467" s="62"/>
      <c r="J467" s="53"/>
    </row>
    <row r="468" ht="24.75" hidden="1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664</v>
      </c>
      <c r="F468" s="57" t="s">
        <v>34</v>
      </c>
      <c r="G468" s="61"/>
      <c r="H468" s="79"/>
      <c r="I468" s="62"/>
      <c r="J468" s="53"/>
    </row>
    <row r="469" ht="24.75" hidden="1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665</v>
      </c>
      <c r="F469" s="57" t="s">
        <v>34</v>
      </c>
      <c r="G469" s="61"/>
      <c r="H469" s="79"/>
      <c r="I469" s="103"/>
      <c r="J469" s="53"/>
    </row>
    <row r="470" ht="24.75" hidden="1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614</v>
      </c>
      <c r="F470" s="57" t="s">
        <v>34</v>
      </c>
      <c r="G470" s="61"/>
      <c r="H470" s="79"/>
      <c r="I470" s="62"/>
      <c r="J470" s="53"/>
    </row>
    <row r="471" ht="24.75" hidden="1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666</v>
      </c>
      <c r="F471" s="57" t="s">
        <v>34</v>
      </c>
      <c r="G471" s="61"/>
      <c r="H471" s="79"/>
      <c r="I471" s="62"/>
      <c r="J471" s="53"/>
    </row>
    <row r="472" ht="24.75" hidden="1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667</v>
      </c>
      <c r="F472" s="57" t="s">
        <v>34</v>
      </c>
      <c r="G472" s="61"/>
      <c r="H472" s="61"/>
      <c r="I472" s="62"/>
      <c r="J472" s="53"/>
    </row>
    <row r="473" ht="24.75" hidden="1" customHeight="1">
      <c r="A473" s="54" t="s">
        <v>658</v>
      </c>
      <c r="B473" s="56" t="s">
        <v>705</v>
      </c>
      <c r="C473" s="56" t="s">
        <v>606</v>
      </c>
      <c r="D473" s="56" t="s">
        <v>660</v>
      </c>
      <c r="E473" s="56" t="s">
        <v>668</v>
      </c>
      <c r="F473" s="57" t="s">
        <v>154</v>
      </c>
      <c r="G473" s="61"/>
      <c r="H473" s="61"/>
      <c r="I473" s="62" t="s">
        <v>617</v>
      </c>
      <c r="J473" s="53"/>
    </row>
    <row r="474" ht="24.75" hidden="1" customHeight="1">
      <c r="A474" s="54" t="s">
        <v>658</v>
      </c>
      <c r="B474" s="56" t="s">
        <v>705</v>
      </c>
      <c r="C474" s="56" t="s">
        <v>606</v>
      </c>
      <c r="D474" s="56" t="s">
        <v>660</v>
      </c>
      <c r="E474" s="56" t="s">
        <v>669</v>
      </c>
      <c r="F474" s="57" t="s">
        <v>154</v>
      </c>
      <c r="G474" s="61"/>
      <c r="H474" s="61"/>
      <c r="I474" s="62" t="s">
        <v>617</v>
      </c>
      <c r="J474" s="53"/>
    </row>
    <row r="475" ht="24.75" hidden="1" customHeight="1">
      <c r="A475" s="54" t="s">
        <v>658</v>
      </c>
      <c r="B475" s="56" t="s">
        <v>705</v>
      </c>
      <c r="C475" s="56" t="s">
        <v>606</v>
      </c>
      <c r="D475" s="56" t="s">
        <v>660</v>
      </c>
      <c r="E475" s="56" t="s">
        <v>671</v>
      </c>
      <c r="F475" s="57" t="s">
        <v>154</v>
      </c>
      <c r="G475" s="61"/>
      <c r="H475" s="61"/>
      <c r="I475" s="62" t="s">
        <v>617</v>
      </c>
      <c r="J475" s="53"/>
    </row>
    <row r="476" ht="24.75" hidden="1" customHeight="1">
      <c r="A476" s="54" t="s">
        <v>658</v>
      </c>
      <c r="B476" s="56" t="s">
        <v>705</v>
      </c>
      <c r="C476" s="56" t="s">
        <v>606</v>
      </c>
      <c r="D476" s="56" t="s">
        <v>660</v>
      </c>
      <c r="E476" s="56" t="s">
        <v>672</v>
      </c>
      <c r="F476" s="57" t="s">
        <v>154</v>
      </c>
      <c r="G476" s="61"/>
      <c r="H476" s="61"/>
      <c r="I476" s="62" t="s">
        <v>617</v>
      </c>
      <c r="J476" s="53"/>
    </row>
    <row r="477" ht="24.75" hidden="1" customHeight="1">
      <c r="A477" s="54" t="s">
        <v>658</v>
      </c>
      <c r="B477" s="56" t="s">
        <v>705</v>
      </c>
      <c r="C477" s="56" t="s">
        <v>606</v>
      </c>
      <c r="D477" s="56" t="s">
        <v>660</v>
      </c>
      <c r="E477" s="56" t="s">
        <v>673</v>
      </c>
      <c r="F477" s="57" t="s">
        <v>154</v>
      </c>
      <c r="G477" s="61"/>
      <c r="H477" s="79"/>
      <c r="I477" s="62" t="s">
        <v>617</v>
      </c>
      <c r="J477" s="53"/>
    </row>
    <row r="478" ht="24.75" hidden="1" customHeight="1">
      <c r="A478" s="54" t="s">
        <v>658</v>
      </c>
      <c r="B478" s="56" t="s">
        <v>714</v>
      </c>
      <c r="C478" s="56" t="s">
        <v>606</v>
      </c>
      <c r="D478" s="56" t="s">
        <v>675</v>
      </c>
      <c r="E478" s="56" t="s">
        <v>676</v>
      </c>
      <c r="F478" s="57" t="s">
        <v>34</v>
      </c>
      <c r="G478" s="61"/>
      <c r="H478" s="79"/>
      <c r="I478" s="62"/>
      <c r="J478" s="53"/>
    </row>
    <row r="479" ht="24.75" hidden="1" customHeight="1">
      <c r="A479" s="54" t="s">
        <v>658</v>
      </c>
      <c r="B479" s="56" t="s">
        <v>715</v>
      </c>
      <c r="C479" s="56" t="s">
        <v>606</v>
      </c>
      <c r="D479" s="56" t="s">
        <v>716</v>
      </c>
      <c r="E479" s="56" t="s">
        <v>679</v>
      </c>
      <c r="F479" s="57" t="s">
        <v>34</v>
      </c>
      <c r="G479" s="61"/>
      <c r="H479" s="61" t="s">
        <v>197</v>
      </c>
      <c r="I479" s="62"/>
      <c r="J479" s="53"/>
    </row>
    <row r="480" ht="24.75" hidden="1" customHeight="1">
      <c r="A480" s="54" t="s">
        <v>658</v>
      </c>
      <c r="B480" s="56" t="s">
        <v>715</v>
      </c>
      <c r="C480" s="56" t="s">
        <v>606</v>
      </c>
      <c r="D480" s="56" t="s">
        <v>678</v>
      </c>
      <c r="E480" s="56" t="s">
        <v>680</v>
      </c>
      <c r="F480" s="57" t="s">
        <v>34</v>
      </c>
      <c r="G480" s="61"/>
      <c r="H480" s="79"/>
      <c r="I480" s="62"/>
      <c r="J480" s="53"/>
    </row>
    <row r="481" ht="24.75" hidden="1" customHeight="1">
      <c r="A481" s="54" t="s">
        <v>658</v>
      </c>
      <c r="B481" s="56" t="s">
        <v>715</v>
      </c>
      <c r="C481" s="56" t="s">
        <v>606</v>
      </c>
      <c r="D481" s="56" t="s">
        <v>716</v>
      </c>
      <c r="E481" s="56" t="s">
        <v>682</v>
      </c>
      <c r="F481" s="57" t="s">
        <v>34</v>
      </c>
      <c r="G481" s="61"/>
      <c r="H481" s="79"/>
      <c r="I481" s="62"/>
      <c r="J481" s="53"/>
    </row>
    <row r="482" ht="24.75" hidden="1" customHeight="1">
      <c r="A482" s="54" t="s">
        <v>658</v>
      </c>
      <c r="B482" s="56" t="s">
        <v>715</v>
      </c>
      <c r="C482" s="56" t="s">
        <v>606</v>
      </c>
      <c r="D482" s="56" t="s">
        <v>716</v>
      </c>
      <c r="E482" s="56" t="s">
        <v>683</v>
      </c>
      <c r="F482" s="57" t="s">
        <v>34</v>
      </c>
      <c r="G482" s="61"/>
      <c r="H482" s="79"/>
      <c r="I482" s="62"/>
      <c r="J482" s="53"/>
    </row>
    <row r="483" ht="24.75" hidden="1" customHeight="1">
      <c r="A483" s="54" t="s">
        <v>658</v>
      </c>
      <c r="B483" s="56" t="s">
        <v>715</v>
      </c>
      <c r="C483" s="56" t="s">
        <v>606</v>
      </c>
      <c r="D483" s="56" t="s">
        <v>716</v>
      </c>
      <c r="E483" s="56" t="s">
        <v>684</v>
      </c>
      <c r="F483" s="57" t="s">
        <v>250</v>
      </c>
      <c r="G483" s="61"/>
      <c r="H483" s="61" t="s">
        <v>686</v>
      </c>
      <c r="I483" s="62" t="s">
        <v>687</v>
      </c>
      <c r="J483" s="53"/>
    </row>
    <row r="484" ht="24.75" hidden="1" customHeight="1">
      <c r="A484" s="54" t="s">
        <v>658</v>
      </c>
      <c r="B484" s="56" t="s">
        <v>715</v>
      </c>
      <c r="C484" s="56" t="s">
        <v>606</v>
      </c>
      <c r="D484" s="56" t="s">
        <v>716</v>
      </c>
      <c r="E484" s="56" t="s">
        <v>695</v>
      </c>
      <c r="F484" s="57" t="s">
        <v>250</v>
      </c>
      <c r="G484" s="61"/>
      <c r="H484" s="61" t="s">
        <v>346</v>
      </c>
      <c r="I484" s="62" t="s">
        <v>696</v>
      </c>
      <c r="J484" s="53"/>
    </row>
    <row r="485" ht="24.75" hidden="1" customHeight="1">
      <c r="A485" s="54" t="s">
        <v>658</v>
      </c>
      <c r="B485" s="56" t="s">
        <v>715</v>
      </c>
      <c r="C485" s="56" t="s">
        <v>606</v>
      </c>
      <c r="D485" s="56" t="s">
        <v>716</v>
      </c>
      <c r="E485" s="56" t="s">
        <v>685</v>
      </c>
      <c r="F485" s="57" t="s">
        <v>250</v>
      </c>
      <c r="G485" s="61"/>
      <c r="H485" s="61" t="s">
        <v>200</v>
      </c>
      <c r="I485" s="62" t="s">
        <v>689</v>
      </c>
      <c r="J485" s="53"/>
    </row>
    <row r="486" ht="24.75" hidden="1" customHeight="1">
      <c r="A486" s="54" t="s">
        <v>658</v>
      </c>
      <c r="B486" s="56" t="s">
        <v>717</v>
      </c>
      <c r="C486" s="56" t="s">
        <v>718</v>
      </c>
      <c r="D486" s="56" t="s">
        <v>719</v>
      </c>
      <c r="E486" s="56" t="s">
        <v>239</v>
      </c>
      <c r="F486" s="57" t="s">
        <v>154</v>
      </c>
      <c r="G486" s="61"/>
      <c r="H486" s="79"/>
      <c r="I486" s="62" t="s">
        <v>207</v>
      </c>
      <c r="J486" s="53"/>
    </row>
    <row r="487" ht="24.75" hidden="1" customHeight="1">
      <c r="A487" s="54" t="s">
        <v>658</v>
      </c>
      <c r="B487" s="56" t="s">
        <v>720</v>
      </c>
      <c r="C487" s="56" t="s">
        <v>718</v>
      </c>
      <c r="D487" s="56" t="s">
        <v>721</v>
      </c>
      <c r="E487" s="56" t="s">
        <v>722</v>
      </c>
      <c r="F487" s="57" t="s">
        <v>154</v>
      </c>
      <c r="G487" s="61"/>
      <c r="H487" s="79"/>
      <c r="I487" s="62"/>
      <c r="J487" s="53"/>
    </row>
    <row r="488" ht="24.75" hidden="1" customHeight="1">
      <c r="A488" s="54" t="s">
        <v>658</v>
      </c>
      <c r="B488" s="56" t="s">
        <v>720</v>
      </c>
      <c r="C488" s="56" t="s">
        <v>718</v>
      </c>
      <c r="D488" s="56" t="s">
        <v>721</v>
      </c>
      <c r="E488" s="56" t="s">
        <v>723</v>
      </c>
      <c r="F488" s="57" t="s">
        <v>154</v>
      </c>
      <c r="G488" s="61"/>
      <c r="H488" s="79"/>
      <c r="I488" s="62"/>
      <c r="J488" s="53"/>
    </row>
    <row r="489" ht="24.75" hidden="1" customHeight="1">
      <c r="A489" s="54" t="s">
        <v>658</v>
      </c>
      <c r="B489" s="56" t="s">
        <v>724</v>
      </c>
      <c r="C489" s="56" t="s">
        <v>718</v>
      </c>
      <c r="D489" s="56" t="s">
        <v>725</v>
      </c>
      <c r="E489" s="56" t="s">
        <v>239</v>
      </c>
      <c r="F489" s="57" t="s">
        <v>154</v>
      </c>
      <c r="G489" s="61"/>
      <c r="H489" s="79"/>
      <c r="I489" s="62" t="s">
        <v>207</v>
      </c>
      <c r="J489" s="53"/>
    </row>
    <row r="490" ht="24.75" hidden="1" customHeight="1">
      <c r="A490" s="54" t="s">
        <v>658</v>
      </c>
      <c r="B490" s="56" t="s">
        <v>720</v>
      </c>
      <c r="C490" s="56" t="s">
        <v>718</v>
      </c>
      <c r="D490" s="56" t="s">
        <v>728</v>
      </c>
      <c r="E490" s="56" t="s">
        <v>722</v>
      </c>
      <c r="F490" s="57" t="s">
        <v>154</v>
      </c>
      <c r="G490" s="61"/>
      <c r="H490" s="79"/>
      <c r="I490" s="62"/>
      <c r="J490" s="53"/>
    </row>
    <row r="491" ht="24.75" hidden="1" customHeight="1">
      <c r="A491" s="54" t="s">
        <v>658</v>
      </c>
      <c r="B491" s="56" t="s">
        <v>720</v>
      </c>
      <c r="C491" s="56" t="s">
        <v>718</v>
      </c>
      <c r="D491" s="56" t="s">
        <v>728</v>
      </c>
      <c r="E491" s="56" t="s">
        <v>723</v>
      </c>
      <c r="F491" s="57" t="s">
        <v>154</v>
      </c>
      <c r="G491" s="61"/>
      <c r="H491" s="79"/>
      <c r="I491" s="62"/>
      <c r="J491" s="53"/>
    </row>
    <row r="492" ht="24.75" hidden="1" customHeight="1">
      <c r="A492" s="54" t="s">
        <v>729</v>
      </c>
      <c r="B492" s="56" t="s">
        <v>730</v>
      </c>
      <c r="C492" s="56" t="s">
        <v>731</v>
      </c>
      <c r="D492" s="56" t="s">
        <v>732</v>
      </c>
      <c r="E492" s="56" t="s">
        <v>167</v>
      </c>
      <c r="F492" s="57" t="s">
        <v>154</v>
      </c>
      <c r="G492" s="61"/>
      <c r="H492" s="61"/>
      <c r="I492" s="62"/>
      <c r="J492" s="53"/>
    </row>
    <row r="493" ht="24.75" hidden="1" customHeight="1">
      <c r="A493" s="54" t="s">
        <v>729</v>
      </c>
      <c r="B493" s="56" t="s">
        <v>730</v>
      </c>
      <c r="C493" s="56" t="s">
        <v>731</v>
      </c>
      <c r="D493" s="56" t="s">
        <v>732</v>
      </c>
      <c r="E493" s="56" t="s">
        <v>733</v>
      </c>
      <c r="F493" s="57" t="s">
        <v>154</v>
      </c>
      <c r="G493" s="61"/>
      <c r="H493" s="61"/>
      <c r="I493" s="62"/>
      <c r="J493" s="53"/>
    </row>
    <row r="494" ht="24.75" hidden="1" customHeight="1">
      <c r="A494" s="54" t="s">
        <v>729</v>
      </c>
      <c r="B494" s="56" t="s">
        <v>730</v>
      </c>
      <c r="C494" s="56" t="s">
        <v>731</v>
      </c>
      <c r="D494" s="56" t="s">
        <v>732</v>
      </c>
      <c r="E494" s="56" t="s">
        <v>176</v>
      </c>
      <c r="F494" s="57" t="s">
        <v>154</v>
      </c>
      <c r="G494" s="61"/>
      <c r="H494" s="61"/>
      <c r="I494" s="62"/>
      <c r="J494" s="53"/>
    </row>
    <row r="495" ht="24.75" hidden="1" customHeight="1">
      <c r="A495" s="54" t="s">
        <v>729</v>
      </c>
      <c r="B495" s="56" t="s">
        <v>734</v>
      </c>
      <c r="C495" s="56" t="s">
        <v>731</v>
      </c>
      <c r="D495" s="56" t="s">
        <v>735</v>
      </c>
      <c r="E495" s="56" t="s">
        <v>167</v>
      </c>
      <c r="F495" s="57" t="s">
        <v>154</v>
      </c>
      <c r="G495" s="61"/>
      <c r="H495" s="61"/>
      <c r="I495" s="62"/>
      <c r="J495" s="53"/>
    </row>
    <row r="496" ht="24.75" hidden="1" customHeight="1">
      <c r="A496" s="54" t="s">
        <v>729</v>
      </c>
      <c r="B496" s="56" t="s">
        <v>734</v>
      </c>
      <c r="C496" s="56" t="s">
        <v>731</v>
      </c>
      <c r="D496" s="56" t="s">
        <v>735</v>
      </c>
      <c r="E496" s="56" t="s">
        <v>733</v>
      </c>
      <c r="F496" s="57" t="s">
        <v>154</v>
      </c>
      <c r="G496" s="61"/>
      <c r="H496" s="61"/>
      <c r="I496" s="62"/>
      <c r="J496" s="53"/>
    </row>
    <row r="497" ht="24.75" hidden="1" customHeight="1">
      <c r="A497" s="54" t="s">
        <v>729</v>
      </c>
      <c r="B497" s="56" t="s">
        <v>734</v>
      </c>
      <c r="C497" s="56" t="s">
        <v>731</v>
      </c>
      <c r="D497" s="56" t="s">
        <v>735</v>
      </c>
      <c r="E497" s="56" t="s">
        <v>176</v>
      </c>
      <c r="F497" s="57" t="s">
        <v>154</v>
      </c>
      <c r="G497" s="61"/>
      <c r="H497" s="61"/>
      <c r="I497" s="62"/>
      <c r="J497" s="53"/>
    </row>
    <row r="498" ht="24.75" hidden="1" customHeight="1">
      <c r="A498" s="54" t="s">
        <v>729</v>
      </c>
      <c r="B498" s="56" t="s">
        <v>736</v>
      </c>
      <c r="C498" s="56" t="s">
        <v>731</v>
      </c>
      <c r="D498" s="56" t="s">
        <v>737</v>
      </c>
      <c r="E498" s="56" t="s">
        <v>167</v>
      </c>
      <c r="F498" s="57" t="s">
        <v>154</v>
      </c>
      <c r="G498" s="61"/>
      <c r="H498" s="61"/>
      <c r="I498" s="62"/>
      <c r="J498" s="53"/>
    </row>
    <row r="499" ht="24.75" hidden="1" customHeight="1">
      <c r="A499" s="54" t="s">
        <v>729</v>
      </c>
      <c r="B499" s="56" t="s">
        <v>736</v>
      </c>
      <c r="C499" s="56" t="s">
        <v>731</v>
      </c>
      <c r="D499" s="56" t="s">
        <v>737</v>
      </c>
      <c r="E499" s="56" t="s">
        <v>733</v>
      </c>
      <c r="F499" s="57" t="s">
        <v>154</v>
      </c>
      <c r="G499" s="61"/>
      <c r="H499" s="61"/>
      <c r="I499" s="62"/>
      <c r="J499" s="53"/>
    </row>
    <row r="500" ht="24.75" hidden="1" customHeight="1">
      <c r="A500" s="54" t="s">
        <v>729</v>
      </c>
      <c r="B500" s="56" t="s">
        <v>736</v>
      </c>
      <c r="C500" s="56" t="s">
        <v>731</v>
      </c>
      <c r="D500" s="56" t="s">
        <v>737</v>
      </c>
      <c r="E500" s="56" t="s">
        <v>176</v>
      </c>
      <c r="F500" s="57" t="s">
        <v>154</v>
      </c>
      <c r="G500" s="61"/>
      <c r="H500" s="61"/>
      <c r="I500" s="62"/>
      <c r="J500" s="53"/>
    </row>
    <row r="501" ht="24.75" hidden="1" customHeight="1">
      <c r="A501" s="54" t="s">
        <v>729</v>
      </c>
      <c r="B501" s="56" t="s">
        <v>738</v>
      </c>
      <c r="C501" s="56" t="s">
        <v>731</v>
      </c>
      <c r="D501" s="56" t="s">
        <v>175</v>
      </c>
      <c r="E501" s="56" t="s">
        <v>163</v>
      </c>
      <c r="F501" s="57" t="s">
        <v>154</v>
      </c>
      <c r="G501" s="61"/>
      <c r="H501" s="61"/>
      <c r="I501" s="62"/>
      <c r="J501" s="53"/>
    </row>
    <row r="502" ht="24.75" hidden="1" customHeight="1">
      <c r="A502" s="54" t="s">
        <v>729</v>
      </c>
      <c r="B502" s="56" t="s">
        <v>738</v>
      </c>
      <c r="C502" s="56" t="s">
        <v>731</v>
      </c>
      <c r="D502" s="56" t="s">
        <v>175</v>
      </c>
      <c r="E502" s="56" t="s">
        <v>176</v>
      </c>
      <c r="F502" s="57" t="s">
        <v>154</v>
      </c>
      <c r="G502" s="61"/>
      <c r="H502" s="61"/>
      <c r="I502" s="62"/>
      <c r="J502" s="53"/>
    </row>
    <row r="503" ht="24.75" hidden="1" customHeight="1">
      <c r="A503" s="54" t="s">
        <v>729</v>
      </c>
      <c r="B503" s="56" t="s">
        <v>739</v>
      </c>
      <c r="C503" s="56" t="s">
        <v>731</v>
      </c>
      <c r="D503" s="56" t="s">
        <v>186</v>
      </c>
      <c r="E503" s="56" t="s">
        <v>163</v>
      </c>
      <c r="F503" s="57" t="s">
        <v>154</v>
      </c>
      <c r="G503" s="61"/>
      <c r="H503" s="61"/>
      <c r="I503" s="62"/>
      <c r="J503" s="53"/>
    </row>
    <row r="504" ht="24.75" hidden="1" customHeight="1">
      <c r="A504" s="54" t="s">
        <v>729</v>
      </c>
      <c r="B504" s="56" t="s">
        <v>739</v>
      </c>
      <c r="C504" s="56" t="s">
        <v>731</v>
      </c>
      <c r="D504" s="56" t="s">
        <v>186</v>
      </c>
      <c r="E504" s="56" t="s">
        <v>176</v>
      </c>
      <c r="F504" s="57" t="s">
        <v>154</v>
      </c>
      <c r="G504" s="61"/>
      <c r="H504" s="61"/>
      <c r="I504" s="62"/>
      <c r="J504" s="53"/>
    </row>
    <row r="505" ht="24.75" hidden="1" customHeight="1">
      <c r="A505" s="54" t="s">
        <v>729</v>
      </c>
      <c r="B505" s="56" t="s">
        <v>740</v>
      </c>
      <c r="C505" s="56" t="s">
        <v>731</v>
      </c>
      <c r="D505" s="56" t="s">
        <v>183</v>
      </c>
      <c r="E505" s="56" t="s">
        <v>163</v>
      </c>
      <c r="F505" s="57" t="s">
        <v>154</v>
      </c>
      <c r="G505" s="61"/>
      <c r="H505" s="61"/>
      <c r="I505" s="62"/>
      <c r="J505" s="53"/>
    </row>
    <row r="506" ht="24.75" hidden="1" customHeight="1">
      <c r="A506" s="54" t="s">
        <v>729</v>
      </c>
      <c r="B506" s="56" t="s">
        <v>740</v>
      </c>
      <c r="C506" s="56" t="s">
        <v>731</v>
      </c>
      <c r="D506" s="56" t="s">
        <v>183</v>
      </c>
      <c r="E506" s="56" t="s">
        <v>176</v>
      </c>
      <c r="F506" s="57" t="s">
        <v>154</v>
      </c>
      <c r="G506" s="61"/>
      <c r="H506" s="61"/>
      <c r="I506" s="62"/>
      <c r="J506" s="53"/>
    </row>
    <row r="507" ht="24.75" hidden="1" customHeight="1">
      <c r="A507" s="54" t="s">
        <v>741</v>
      </c>
      <c r="B507" s="56" t="s">
        <v>742</v>
      </c>
      <c r="C507" s="56" t="s">
        <v>405</v>
      </c>
      <c r="D507" s="56" t="s">
        <v>743</v>
      </c>
      <c r="E507" s="56" t="s">
        <v>409</v>
      </c>
      <c r="F507" s="57" t="s">
        <v>154</v>
      </c>
      <c r="G507" s="61"/>
      <c r="H507" s="61"/>
      <c r="I507" s="62"/>
      <c r="J507" s="53"/>
    </row>
    <row r="508" ht="24.75" hidden="1" customHeight="1">
      <c r="A508" s="54" t="s">
        <v>741</v>
      </c>
      <c r="B508" s="56" t="s">
        <v>744</v>
      </c>
      <c r="C508" s="56" t="s">
        <v>745</v>
      </c>
      <c r="D508" s="56" t="s">
        <v>746</v>
      </c>
      <c r="E508" s="56" t="s">
        <v>747</v>
      </c>
      <c r="F508" s="57" t="s">
        <v>34</v>
      </c>
      <c r="G508" s="61"/>
      <c r="H508" s="61"/>
      <c r="I508" s="62"/>
      <c r="J508" s="53"/>
    </row>
    <row r="509" ht="24.75" hidden="1" customHeight="1">
      <c r="A509" s="54" t="s">
        <v>741</v>
      </c>
      <c r="B509" s="56" t="s">
        <v>744</v>
      </c>
      <c r="C509" s="56" t="s">
        <v>745</v>
      </c>
      <c r="D509" s="56" t="s">
        <v>746</v>
      </c>
      <c r="E509" s="56" t="s">
        <v>748</v>
      </c>
      <c r="F509" s="57" t="s">
        <v>154</v>
      </c>
      <c r="G509" s="61"/>
      <c r="H509" s="61"/>
      <c r="I509" s="62"/>
      <c r="J509" s="53"/>
    </row>
    <row r="510" ht="24.75" hidden="1" customHeight="1">
      <c r="A510" s="54" t="s">
        <v>741</v>
      </c>
      <c r="B510" s="56" t="s">
        <v>749</v>
      </c>
      <c r="C510" s="56" t="s">
        <v>745</v>
      </c>
      <c r="D510" s="56" t="s">
        <v>750</v>
      </c>
      <c r="E510" s="56" t="s">
        <v>747</v>
      </c>
      <c r="F510" s="57" t="s">
        <v>34</v>
      </c>
      <c r="G510" s="61"/>
      <c r="H510" s="61"/>
      <c r="I510" s="62" t="s">
        <v>617</v>
      </c>
      <c r="J510" s="53"/>
    </row>
    <row r="511" ht="24.75" hidden="1" customHeight="1">
      <c r="A511" s="54" t="s">
        <v>741</v>
      </c>
      <c r="B511" s="56" t="s">
        <v>749</v>
      </c>
      <c r="C511" s="56" t="s">
        <v>745</v>
      </c>
      <c r="D511" s="56" t="s">
        <v>750</v>
      </c>
      <c r="E511" s="56" t="s">
        <v>748</v>
      </c>
      <c r="F511" s="57" t="s">
        <v>154</v>
      </c>
      <c r="G511" s="61"/>
      <c r="H511" s="61"/>
      <c r="I511" s="62" t="s">
        <v>617</v>
      </c>
      <c r="J511" s="53"/>
    </row>
    <row r="512" ht="24.75" hidden="1" customHeight="1">
      <c r="A512" s="54" t="s">
        <v>741</v>
      </c>
      <c r="B512" s="56" t="s">
        <v>751</v>
      </c>
      <c r="C512" s="56" t="s">
        <v>610</v>
      </c>
      <c r="D512" s="56" t="s">
        <v>752</v>
      </c>
      <c r="E512" s="56" t="s">
        <v>753</v>
      </c>
      <c r="F512" s="57" t="s">
        <v>154</v>
      </c>
      <c r="G512" s="61"/>
      <c r="H512" s="61"/>
      <c r="I512" s="62" t="s">
        <v>617</v>
      </c>
      <c r="J512" s="53"/>
    </row>
    <row r="513" ht="24.75" hidden="1" customHeight="1">
      <c r="A513" s="54" t="s">
        <v>741</v>
      </c>
      <c r="B513" s="56" t="s">
        <v>751</v>
      </c>
      <c r="C513" s="56" t="s">
        <v>610</v>
      </c>
      <c r="D513" s="56" t="s">
        <v>752</v>
      </c>
      <c r="E513" s="56" t="s">
        <v>754</v>
      </c>
      <c r="F513" s="57" t="s">
        <v>154</v>
      </c>
      <c r="G513" s="61"/>
      <c r="H513" s="61"/>
      <c r="I513" s="62" t="s">
        <v>617</v>
      </c>
      <c r="J513" s="53"/>
    </row>
    <row r="514" ht="24.75" hidden="1" customHeight="1">
      <c r="A514" s="54" t="s">
        <v>741</v>
      </c>
      <c r="B514" s="56" t="s">
        <v>751</v>
      </c>
      <c r="C514" s="56" t="s">
        <v>610</v>
      </c>
      <c r="D514" s="56" t="s">
        <v>752</v>
      </c>
      <c r="E514" s="56" t="s">
        <v>755</v>
      </c>
      <c r="F514" s="57" t="s">
        <v>154</v>
      </c>
      <c r="G514" s="61"/>
      <c r="H514" s="61"/>
      <c r="I514" s="62" t="s">
        <v>617</v>
      </c>
      <c r="J514" s="53"/>
    </row>
    <row r="515" ht="24.75" hidden="1" customHeight="1">
      <c r="A515" s="54" t="s">
        <v>741</v>
      </c>
      <c r="B515" s="56" t="s">
        <v>756</v>
      </c>
      <c r="C515" s="56" t="s">
        <v>624</v>
      </c>
      <c r="D515" s="56" t="s">
        <v>752</v>
      </c>
      <c r="E515" s="56" t="s">
        <v>753</v>
      </c>
      <c r="F515" s="57" t="s">
        <v>154</v>
      </c>
      <c r="G515" s="61"/>
      <c r="H515" s="61"/>
      <c r="I515" s="62" t="s">
        <v>617</v>
      </c>
      <c r="J515" s="53"/>
    </row>
    <row r="516" ht="24.75" hidden="1" customHeight="1">
      <c r="A516" s="54" t="s">
        <v>741</v>
      </c>
      <c r="B516" s="56" t="s">
        <v>756</v>
      </c>
      <c r="C516" s="56" t="s">
        <v>624</v>
      </c>
      <c r="D516" s="56" t="s">
        <v>752</v>
      </c>
      <c r="E516" s="56" t="s">
        <v>754</v>
      </c>
      <c r="F516" s="57" t="s">
        <v>154</v>
      </c>
      <c r="G516" s="61"/>
      <c r="H516" s="61"/>
      <c r="I516" s="62" t="s">
        <v>617</v>
      </c>
      <c r="J516" s="53"/>
    </row>
    <row r="517" ht="24.75" hidden="1" customHeight="1">
      <c r="A517" s="54" t="s">
        <v>741</v>
      </c>
      <c r="B517" s="56" t="s">
        <v>756</v>
      </c>
      <c r="C517" s="56" t="s">
        <v>624</v>
      </c>
      <c r="D517" s="56" t="s">
        <v>752</v>
      </c>
      <c r="E517" s="56" t="s">
        <v>755</v>
      </c>
      <c r="F517" s="57" t="s">
        <v>154</v>
      </c>
      <c r="G517" s="61"/>
      <c r="H517" s="61"/>
      <c r="I517" s="62" t="s">
        <v>617</v>
      </c>
      <c r="J517" s="53"/>
    </row>
    <row r="518" ht="24.75" hidden="1" customHeight="1">
      <c r="A518" s="54" t="s">
        <v>741</v>
      </c>
      <c r="B518" s="56" t="s">
        <v>757</v>
      </c>
      <c r="C518" s="56" t="s">
        <v>627</v>
      </c>
      <c r="D518" s="56" t="s">
        <v>752</v>
      </c>
      <c r="E518" s="56" t="s">
        <v>753</v>
      </c>
      <c r="F518" s="57" t="s">
        <v>250</v>
      </c>
      <c r="G518" s="61"/>
      <c r="H518" s="61"/>
      <c r="I518" s="60" t="s">
        <v>88</v>
      </c>
      <c r="J518" s="53"/>
    </row>
    <row r="519" ht="24.75" hidden="1" customHeight="1">
      <c r="A519" s="54" t="s">
        <v>741</v>
      </c>
      <c r="B519" s="56" t="s">
        <v>757</v>
      </c>
      <c r="C519" s="56" t="s">
        <v>627</v>
      </c>
      <c r="D519" s="56" t="s">
        <v>752</v>
      </c>
      <c r="E519" s="56" t="s">
        <v>754</v>
      </c>
      <c r="F519" s="57" t="s">
        <v>250</v>
      </c>
      <c r="G519" s="61"/>
      <c r="H519" s="61"/>
      <c r="I519" s="60" t="s">
        <v>88</v>
      </c>
      <c r="J519" s="53"/>
    </row>
    <row r="520" ht="24.75" hidden="1" customHeight="1">
      <c r="A520" s="54" t="s">
        <v>741</v>
      </c>
      <c r="B520" s="56" t="s">
        <v>757</v>
      </c>
      <c r="C520" s="56" t="s">
        <v>627</v>
      </c>
      <c r="D520" s="56" t="s">
        <v>752</v>
      </c>
      <c r="E520" s="56" t="s">
        <v>755</v>
      </c>
      <c r="F520" s="57" t="s">
        <v>250</v>
      </c>
      <c r="G520" s="61"/>
      <c r="H520" s="61"/>
      <c r="I520" s="60" t="s">
        <v>88</v>
      </c>
      <c r="J520" s="53"/>
    </row>
    <row r="521" ht="24.75" hidden="1" customHeight="1">
      <c r="A521" s="54" t="s">
        <v>741</v>
      </c>
      <c r="B521" s="56" t="s">
        <v>758</v>
      </c>
      <c r="C521" s="56" t="s">
        <v>640</v>
      </c>
      <c r="D521" s="56" t="s">
        <v>752</v>
      </c>
      <c r="E521" s="56" t="s">
        <v>753</v>
      </c>
      <c r="F521" s="57" t="s">
        <v>250</v>
      </c>
      <c r="G521" s="61"/>
      <c r="H521" s="61"/>
      <c r="I521" s="60" t="s">
        <v>88</v>
      </c>
      <c r="J521" s="53"/>
    </row>
    <row r="522" ht="24.75" hidden="1" customHeight="1">
      <c r="A522" s="54" t="s">
        <v>741</v>
      </c>
      <c r="B522" s="56" t="s">
        <v>758</v>
      </c>
      <c r="C522" s="56" t="s">
        <v>640</v>
      </c>
      <c r="D522" s="56" t="s">
        <v>752</v>
      </c>
      <c r="E522" s="56" t="s">
        <v>754</v>
      </c>
      <c r="F522" s="57" t="s">
        <v>250</v>
      </c>
      <c r="G522" s="61"/>
      <c r="H522" s="61"/>
      <c r="I522" s="60" t="s">
        <v>88</v>
      </c>
      <c r="J522" s="53"/>
    </row>
    <row r="523" ht="24.75" hidden="1" customHeight="1">
      <c r="A523" s="54" t="s">
        <v>741</v>
      </c>
      <c r="B523" s="56" t="s">
        <v>758</v>
      </c>
      <c r="C523" s="56" t="s">
        <v>640</v>
      </c>
      <c r="D523" s="56" t="s">
        <v>752</v>
      </c>
      <c r="E523" s="56" t="s">
        <v>755</v>
      </c>
      <c r="F523" s="57" t="s">
        <v>250</v>
      </c>
      <c r="G523" s="61"/>
      <c r="H523" s="61"/>
      <c r="I523" s="60" t="s">
        <v>88</v>
      </c>
      <c r="J523" s="53"/>
    </row>
    <row r="524" ht="24.75" hidden="1" customHeight="1">
      <c r="A524" s="54" t="s">
        <v>741</v>
      </c>
      <c r="B524" s="56" t="s">
        <v>759</v>
      </c>
      <c r="C524" s="56" t="s">
        <v>645</v>
      </c>
      <c r="D524" s="56" t="s">
        <v>752</v>
      </c>
      <c r="E524" s="56" t="s">
        <v>753</v>
      </c>
      <c r="F524" s="57" t="s">
        <v>250</v>
      </c>
      <c r="G524" s="61"/>
      <c r="H524" s="61"/>
      <c r="I524" s="60" t="s">
        <v>88</v>
      </c>
      <c r="J524" s="53"/>
    </row>
    <row r="525" ht="24.75" hidden="1" customHeight="1">
      <c r="A525" s="54" t="s">
        <v>741</v>
      </c>
      <c r="B525" s="56" t="s">
        <v>759</v>
      </c>
      <c r="C525" s="56" t="s">
        <v>645</v>
      </c>
      <c r="D525" s="56" t="s">
        <v>752</v>
      </c>
      <c r="E525" s="56" t="s">
        <v>754</v>
      </c>
      <c r="F525" s="57" t="s">
        <v>250</v>
      </c>
      <c r="G525" s="61"/>
      <c r="H525" s="61"/>
      <c r="I525" s="60" t="s">
        <v>88</v>
      </c>
      <c r="J525" s="53"/>
    </row>
    <row r="526" ht="24.75" hidden="1" customHeight="1">
      <c r="A526" s="54" t="s">
        <v>741</v>
      </c>
      <c r="B526" s="56" t="s">
        <v>759</v>
      </c>
      <c r="C526" s="56" t="s">
        <v>645</v>
      </c>
      <c r="D526" s="56" t="s">
        <v>752</v>
      </c>
      <c r="E526" s="56" t="s">
        <v>755</v>
      </c>
      <c r="F526" s="57" t="s">
        <v>250</v>
      </c>
      <c r="G526" s="61"/>
      <c r="H526" s="61"/>
      <c r="I526" s="60" t="s">
        <v>88</v>
      </c>
      <c r="J526" s="53"/>
    </row>
    <row r="527" ht="24.75" hidden="1" customHeight="1">
      <c r="A527" s="54" t="s">
        <v>741</v>
      </c>
      <c r="B527" s="56" t="s">
        <v>760</v>
      </c>
      <c r="C527" s="56" t="s">
        <v>606</v>
      </c>
      <c r="D527" s="56" t="s">
        <v>752</v>
      </c>
      <c r="E527" s="56" t="s">
        <v>753</v>
      </c>
      <c r="F527" s="57" t="s">
        <v>250</v>
      </c>
      <c r="G527" s="61"/>
      <c r="H527" s="61"/>
      <c r="I527" s="60" t="s">
        <v>88</v>
      </c>
      <c r="J527" s="53"/>
    </row>
    <row r="528" ht="24.75" hidden="1" customHeight="1">
      <c r="A528" s="54" t="s">
        <v>741</v>
      </c>
      <c r="B528" s="56" t="s">
        <v>760</v>
      </c>
      <c r="C528" s="56" t="s">
        <v>606</v>
      </c>
      <c r="D528" s="56" t="s">
        <v>752</v>
      </c>
      <c r="E528" s="56" t="s">
        <v>754</v>
      </c>
      <c r="F528" s="57" t="s">
        <v>250</v>
      </c>
      <c r="G528" s="61"/>
      <c r="H528" s="61"/>
      <c r="I528" s="60" t="s">
        <v>88</v>
      </c>
      <c r="J528" s="53"/>
    </row>
    <row r="529" ht="24.75" hidden="1" customHeight="1">
      <c r="A529" s="54" t="s">
        <v>741</v>
      </c>
      <c r="B529" s="56" t="s">
        <v>760</v>
      </c>
      <c r="C529" s="56" t="s">
        <v>606</v>
      </c>
      <c r="D529" s="56" t="s">
        <v>752</v>
      </c>
      <c r="E529" s="56" t="s">
        <v>755</v>
      </c>
      <c r="F529" s="57" t="s">
        <v>250</v>
      </c>
      <c r="G529" s="61"/>
      <c r="H529" s="61"/>
      <c r="I529" s="60" t="s">
        <v>88</v>
      </c>
      <c r="J529" s="53"/>
    </row>
    <row r="530" ht="24.75" hidden="1" customHeight="1">
      <c r="A530" s="54" t="s">
        <v>761</v>
      </c>
      <c r="B530" s="56" t="s">
        <v>762</v>
      </c>
      <c r="C530" s="56" t="s">
        <v>763</v>
      </c>
      <c r="D530" s="56" t="s">
        <v>764</v>
      </c>
      <c r="E530" s="56" t="s">
        <v>195</v>
      </c>
      <c r="F530" s="57" t="s">
        <v>34</v>
      </c>
      <c r="G530" s="61"/>
      <c r="H530" s="61" t="s">
        <v>197</v>
      </c>
      <c r="I530" s="62"/>
      <c r="J530" s="53"/>
    </row>
    <row r="531" ht="24.75" hidden="1" customHeight="1">
      <c r="A531" s="54" t="s">
        <v>761</v>
      </c>
      <c r="B531" s="56" t="s">
        <v>762</v>
      </c>
      <c r="C531" s="56" t="s">
        <v>763</v>
      </c>
      <c r="D531" s="56" t="s">
        <v>764</v>
      </c>
      <c r="E531" s="56" t="s">
        <v>196</v>
      </c>
      <c r="F531" s="57" t="s">
        <v>250</v>
      </c>
      <c r="G531" s="61"/>
      <c r="H531" s="61" t="s">
        <v>200</v>
      </c>
      <c r="I531" s="62" t="s">
        <v>201</v>
      </c>
      <c r="J531" s="53"/>
    </row>
    <row r="532" ht="24.75" hidden="1" customHeight="1">
      <c r="A532" s="54" t="s">
        <v>761</v>
      </c>
      <c r="B532" s="56" t="s">
        <v>762</v>
      </c>
      <c r="C532" s="56" t="s">
        <v>763</v>
      </c>
      <c r="D532" s="56" t="s">
        <v>764</v>
      </c>
      <c r="E532" s="56" t="s">
        <v>191</v>
      </c>
      <c r="F532" s="57" t="s">
        <v>192</v>
      </c>
      <c r="G532" s="61"/>
      <c r="H532" s="61"/>
      <c r="I532" s="62"/>
      <c r="J532" s="53"/>
    </row>
    <row r="533" ht="24.75" hidden="1" customHeight="1">
      <c r="A533" s="54" t="s">
        <v>761</v>
      </c>
      <c r="B533" s="56" t="s">
        <v>762</v>
      </c>
      <c r="C533" s="56" t="s">
        <v>763</v>
      </c>
      <c r="D533" s="56" t="s">
        <v>764</v>
      </c>
      <c r="E533" s="56" t="s">
        <v>194</v>
      </c>
      <c r="F533" s="57" t="s">
        <v>192</v>
      </c>
      <c r="G533" s="61"/>
      <c r="H533" s="61"/>
      <c r="I533" s="62"/>
      <c r="J533" s="53"/>
    </row>
    <row r="534" ht="24.75" hidden="1" customHeight="1">
      <c r="A534" s="54" t="s">
        <v>761</v>
      </c>
      <c r="B534" s="56" t="s">
        <v>765</v>
      </c>
      <c r="C534" s="56" t="s">
        <v>766</v>
      </c>
      <c r="D534" s="56" t="s">
        <v>767</v>
      </c>
      <c r="E534" s="56" t="s">
        <v>768</v>
      </c>
      <c r="F534" s="57" t="s">
        <v>250</v>
      </c>
      <c r="G534" s="61"/>
      <c r="H534" s="61" t="s">
        <v>769</v>
      </c>
      <c r="I534" s="62" t="s">
        <v>770</v>
      </c>
      <c r="J534" s="53"/>
    </row>
    <row r="535" ht="24.75" hidden="1" customHeight="1">
      <c r="A535" s="54" t="s">
        <v>761</v>
      </c>
      <c r="B535" s="56" t="s">
        <v>765</v>
      </c>
      <c r="C535" s="56" t="s">
        <v>766</v>
      </c>
      <c r="D535" s="56" t="s">
        <v>767</v>
      </c>
      <c r="E535" s="56" t="s">
        <v>771</v>
      </c>
      <c r="F535" s="57" t="s">
        <v>250</v>
      </c>
      <c r="G535" s="61"/>
      <c r="H535" s="61" t="s">
        <v>769</v>
      </c>
      <c r="I535" s="62" t="s">
        <v>772</v>
      </c>
      <c r="J535" s="53"/>
    </row>
    <row r="536" ht="24.75" hidden="1" customHeight="1">
      <c r="A536" s="54" t="s">
        <v>761</v>
      </c>
      <c r="B536" s="56" t="s">
        <v>765</v>
      </c>
      <c r="C536" s="56" t="s">
        <v>766</v>
      </c>
      <c r="D536" s="56" t="s">
        <v>767</v>
      </c>
      <c r="E536" s="56" t="s">
        <v>773</v>
      </c>
      <c r="F536" s="57" t="s">
        <v>154</v>
      </c>
      <c r="G536" s="61"/>
      <c r="H536" s="61"/>
      <c r="I536" s="62"/>
      <c r="J536" s="53"/>
    </row>
    <row r="537" ht="24.75" hidden="1" customHeight="1">
      <c r="A537" s="54" t="s">
        <v>761</v>
      </c>
      <c r="B537" s="56" t="s">
        <v>765</v>
      </c>
      <c r="C537" s="56" t="s">
        <v>766</v>
      </c>
      <c r="D537" s="56" t="s">
        <v>767</v>
      </c>
      <c r="E537" s="56" t="s">
        <v>774</v>
      </c>
      <c r="F537" s="57" t="s">
        <v>154</v>
      </c>
      <c r="G537" s="61"/>
      <c r="H537" s="61"/>
      <c r="I537" s="62"/>
      <c r="J537" s="53"/>
    </row>
    <row r="538" ht="24.75" hidden="1" customHeight="1">
      <c r="A538" s="54" t="s">
        <v>761</v>
      </c>
      <c r="B538" s="56" t="s">
        <v>765</v>
      </c>
      <c r="C538" s="56" t="s">
        <v>766</v>
      </c>
      <c r="D538" s="56" t="s">
        <v>767</v>
      </c>
      <c r="E538" s="56" t="s">
        <v>775</v>
      </c>
      <c r="F538" s="57" t="s">
        <v>154</v>
      </c>
      <c r="G538" s="61"/>
      <c r="H538" s="61"/>
      <c r="I538" s="62"/>
      <c r="J538" s="53"/>
    </row>
    <row r="539" ht="24.75" hidden="1" customHeight="1">
      <c r="A539" s="54" t="s">
        <v>761</v>
      </c>
      <c r="B539" s="56" t="s">
        <v>765</v>
      </c>
      <c r="C539" s="56" t="s">
        <v>766</v>
      </c>
      <c r="D539" s="56" t="s">
        <v>776</v>
      </c>
      <c r="E539" s="56" t="s">
        <v>777</v>
      </c>
      <c r="F539" s="57" t="s">
        <v>15</v>
      </c>
      <c r="G539" s="61"/>
      <c r="H539" s="61"/>
      <c r="I539" s="60"/>
      <c r="J539" s="53"/>
    </row>
    <row r="540" ht="24.75" hidden="1" customHeight="1">
      <c r="A540" s="54" t="s">
        <v>761</v>
      </c>
      <c r="B540" s="56" t="s">
        <v>765</v>
      </c>
      <c r="C540" s="56" t="s">
        <v>766</v>
      </c>
      <c r="D540" s="56" t="s">
        <v>776</v>
      </c>
      <c r="E540" s="56" t="s">
        <v>778</v>
      </c>
      <c r="F540" s="57" t="s">
        <v>15</v>
      </c>
      <c r="G540" s="61"/>
      <c r="H540" s="61"/>
      <c r="I540" s="60"/>
      <c r="J540" s="53"/>
    </row>
    <row r="541" ht="24.75" hidden="1" customHeight="1">
      <c r="A541" s="54" t="s">
        <v>761</v>
      </c>
      <c r="B541" s="56" t="s">
        <v>779</v>
      </c>
      <c r="C541" s="56" t="s">
        <v>780</v>
      </c>
      <c r="D541" s="56" t="s">
        <v>781</v>
      </c>
      <c r="E541" s="56" t="s">
        <v>232</v>
      </c>
      <c r="F541" s="57" t="s">
        <v>250</v>
      </c>
      <c r="G541" s="61"/>
      <c r="H541" s="61" t="s">
        <v>769</v>
      </c>
      <c r="I541" s="62" t="s">
        <v>782</v>
      </c>
      <c r="J541" s="83"/>
    </row>
    <row r="542" ht="24.75" hidden="1" customHeight="1">
      <c r="A542" s="54" t="s">
        <v>761</v>
      </c>
      <c r="B542" s="56" t="s">
        <v>779</v>
      </c>
      <c r="C542" s="56" t="s">
        <v>780</v>
      </c>
      <c r="D542" s="56" t="s">
        <v>781</v>
      </c>
      <c r="E542" s="56" t="s">
        <v>783</v>
      </c>
      <c r="F542" s="57" t="s">
        <v>154</v>
      </c>
      <c r="G542" s="61"/>
      <c r="H542" s="61"/>
      <c r="I542" s="62"/>
      <c r="J542" s="53"/>
    </row>
    <row r="543" ht="24.75" hidden="1" customHeight="1">
      <c r="A543" s="54" t="s">
        <v>761</v>
      </c>
      <c r="B543" s="56" t="s">
        <v>779</v>
      </c>
      <c r="C543" s="56" t="s">
        <v>780</v>
      </c>
      <c r="D543" s="56" t="s">
        <v>781</v>
      </c>
      <c r="E543" s="56" t="s">
        <v>230</v>
      </c>
      <c r="F543" s="57" t="s">
        <v>154</v>
      </c>
      <c r="G543" s="61"/>
      <c r="H543" s="61"/>
      <c r="I543" s="62"/>
      <c r="J543" s="83"/>
    </row>
    <row r="544" ht="24.75" hidden="1" customHeight="1">
      <c r="A544" s="54" t="s">
        <v>761</v>
      </c>
      <c r="B544" s="56" t="s">
        <v>784</v>
      </c>
      <c r="C544" s="56" t="s">
        <v>763</v>
      </c>
      <c r="D544" s="56" t="s">
        <v>785</v>
      </c>
      <c r="E544" s="56" t="s">
        <v>216</v>
      </c>
      <c r="F544" s="57" t="s">
        <v>34</v>
      </c>
      <c r="G544" s="61"/>
      <c r="H544" s="61"/>
      <c r="I544" s="62"/>
      <c r="J544" s="53"/>
    </row>
    <row r="545" ht="24.75" hidden="1" customHeight="1">
      <c r="A545" s="54" t="s">
        <v>761</v>
      </c>
      <c r="B545" s="56" t="s">
        <v>784</v>
      </c>
      <c r="C545" s="56" t="s">
        <v>763</v>
      </c>
      <c r="D545" s="56" t="s">
        <v>785</v>
      </c>
      <c r="E545" s="56" t="s">
        <v>786</v>
      </c>
      <c r="F545" s="57" t="s">
        <v>34</v>
      </c>
      <c r="G545" s="61"/>
      <c r="H545" s="61"/>
      <c r="I545" s="62"/>
      <c r="J545" s="53"/>
    </row>
    <row r="546" ht="24.75" hidden="1" customHeight="1">
      <c r="A546" s="54" t="s">
        <v>761</v>
      </c>
      <c r="B546" s="56" t="s">
        <v>784</v>
      </c>
      <c r="C546" s="56" t="s">
        <v>763</v>
      </c>
      <c r="D546" s="56" t="s">
        <v>787</v>
      </c>
      <c r="E546" s="56" t="s">
        <v>163</v>
      </c>
      <c r="F546" s="57" t="s">
        <v>34</v>
      </c>
      <c r="G546" s="61"/>
      <c r="H546" s="61"/>
      <c r="I546" s="62"/>
      <c r="J546" s="53"/>
    </row>
    <row r="547" ht="24.75" hidden="1" customHeight="1">
      <c r="A547" s="54" t="s">
        <v>761</v>
      </c>
      <c r="B547" s="56" t="s">
        <v>784</v>
      </c>
      <c r="C547" s="56" t="s">
        <v>763</v>
      </c>
      <c r="D547" s="56" t="s">
        <v>787</v>
      </c>
      <c r="E547" s="56" t="s">
        <v>788</v>
      </c>
      <c r="F547" s="57" t="s">
        <v>154</v>
      </c>
      <c r="G547" s="61"/>
      <c r="H547" s="61"/>
      <c r="I547" s="62"/>
      <c r="J547" s="53"/>
    </row>
    <row r="548" ht="24.75" hidden="1" customHeight="1">
      <c r="A548" s="54" t="s">
        <v>761</v>
      </c>
      <c r="B548" s="56" t="s">
        <v>784</v>
      </c>
      <c r="C548" s="56" t="s">
        <v>763</v>
      </c>
      <c r="D548" s="56" t="s">
        <v>787</v>
      </c>
      <c r="E548" s="56" t="s">
        <v>213</v>
      </c>
      <c r="F548" s="57"/>
      <c r="G548" s="50"/>
      <c r="H548" s="50"/>
      <c r="I548" s="84"/>
      <c r="J548" s="53"/>
    </row>
    <row r="549" ht="24.75" hidden="1" customHeight="1">
      <c r="A549" s="54" t="s">
        <v>761</v>
      </c>
      <c r="B549" s="56" t="s">
        <v>784</v>
      </c>
      <c r="C549" s="56" t="s">
        <v>763</v>
      </c>
      <c r="D549" s="56" t="s">
        <v>789</v>
      </c>
      <c r="E549" s="56" t="s">
        <v>790</v>
      </c>
      <c r="F549" s="57" t="s">
        <v>250</v>
      </c>
      <c r="G549" s="61"/>
      <c r="H549" s="61"/>
      <c r="I549" s="62"/>
      <c r="J549" s="53"/>
    </row>
    <row r="550" ht="24.75" hidden="1" customHeight="1">
      <c r="A550" s="54" t="s">
        <v>761</v>
      </c>
      <c r="B550" s="56" t="s">
        <v>791</v>
      </c>
      <c r="C550" s="56" t="s">
        <v>792</v>
      </c>
      <c r="D550" s="56" t="s">
        <v>793</v>
      </c>
      <c r="E550" s="56" t="s">
        <v>794</v>
      </c>
      <c r="F550" s="57" t="s">
        <v>154</v>
      </c>
      <c r="G550" s="61"/>
      <c r="H550" s="61"/>
      <c r="I550" s="62"/>
      <c r="J550" s="53"/>
    </row>
    <row r="551" ht="24.75" hidden="1" customHeight="1">
      <c r="A551" s="54" t="s">
        <v>761</v>
      </c>
      <c r="B551" s="56" t="s">
        <v>795</v>
      </c>
      <c r="C551" s="56" t="s">
        <v>792</v>
      </c>
      <c r="D551" s="56" t="s">
        <v>796</v>
      </c>
      <c r="E551" s="56" t="s">
        <v>797</v>
      </c>
      <c r="F551" s="57" t="s">
        <v>250</v>
      </c>
      <c r="G551" s="81"/>
      <c r="H551" s="61" t="s">
        <v>769</v>
      </c>
      <c r="I551" s="62" t="s">
        <v>800</v>
      </c>
      <c r="J551" s="53"/>
    </row>
    <row r="552" ht="24.75" hidden="1" customHeight="1">
      <c r="A552" s="54" t="s">
        <v>761</v>
      </c>
      <c r="B552" s="56" t="s">
        <v>798</v>
      </c>
      <c r="C552" s="56" t="s">
        <v>792</v>
      </c>
      <c r="D552" s="56" t="s">
        <v>799</v>
      </c>
      <c r="E552" s="56" t="s">
        <v>790</v>
      </c>
      <c r="F552" s="57" t="s">
        <v>250</v>
      </c>
      <c r="G552" s="61"/>
      <c r="H552" s="61" t="s">
        <v>769</v>
      </c>
      <c r="I552" s="62" t="s">
        <v>803</v>
      </c>
      <c r="J552" s="53"/>
    </row>
    <row r="553" ht="24.75" hidden="1" customHeight="1">
      <c r="A553" s="54" t="s">
        <v>761</v>
      </c>
      <c r="B553" s="56" t="s">
        <v>801</v>
      </c>
      <c r="C553" s="56" t="s">
        <v>792</v>
      </c>
      <c r="D553" s="56" t="s">
        <v>802</v>
      </c>
      <c r="E553" s="56" t="s">
        <v>790</v>
      </c>
      <c r="F553" s="57" t="s">
        <v>250</v>
      </c>
      <c r="G553" s="61"/>
      <c r="H553" s="61" t="s">
        <v>769</v>
      </c>
      <c r="I553" s="62" t="s">
        <v>806</v>
      </c>
      <c r="J553" s="53"/>
    </row>
    <row r="554" ht="24.75" hidden="1" customHeight="1">
      <c r="A554" s="54" t="s">
        <v>761</v>
      </c>
      <c r="B554" s="56" t="s">
        <v>804</v>
      </c>
      <c r="C554" s="56" t="s">
        <v>792</v>
      </c>
      <c r="D554" s="56" t="s">
        <v>805</v>
      </c>
      <c r="E554" s="56" t="s">
        <v>790</v>
      </c>
      <c r="F554" s="57" t="s">
        <v>250</v>
      </c>
      <c r="G554" s="61"/>
      <c r="H554" s="61" t="s">
        <v>769</v>
      </c>
      <c r="I554" s="62" t="s">
        <v>810</v>
      </c>
      <c r="J554" s="53"/>
    </row>
    <row r="555" ht="24.75" hidden="1" customHeight="1">
      <c r="A555" s="54" t="s">
        <v>761</v>
      </c>
      <c r="B555" s="56" t="s">
        <v>807</v>
      </c>
      <c r="C555" s="56" t="s">
        <v>792</v>
      </c>
      <c r="D555" s="56" t="s">
        <v>808</v>
      </c>
      <c r="E555" s="56" t="s">
        <v>790</v>
      </c>
      <c r="F555" s="57" t="s">
        <v>250</v>
      </c>
      <c r="G555" s="61"/>
      <c r="H555" s="61" t="s">
        <v>769</v>
      </c>
      <c r="I555" s="62" t="s">
        <v>806</v>
      </c>
      <c r="J555" s="53"/>
    </row>
    <row r="556" ht="24.75" hidden="1" customHeight="1">
      <c r="A556" s="54" t="s">
        <v>761</v>
      </c>
      <c r="B556" s="56" t="s">
        <v>807</v>
      </c>
      <c r="C556" s="56" t="s">
        <v>792</v>
      </c>
      <c r="D556" s="56" t="s">
        <v>809</v>
      </c>
      <c r="E556" s="56" t="s">
        <v>790</v>
      </c>
      <c r="F556" s="57" t="s">
        <v>250</v>
      </c>
      <c r="G556" s="61"/>
      <c r="H556" s="61" t="s">
        <v>769</v>
      </c>
      <c r="I556" s="62" t="s">
        <v>806</v>
      </c>
      <c r="J556" s="53"/>
    </row>
    <row r="557" ht="24.75" hidden="1" customHeight="1">
      <c r="A557" s="54" t="s">
        <v>761</v>
      </c>
      <c r="B557" s="56" t="s">
        <v>811</v>
      </c>
      <c r="C557" s="56" t="s">
        <v>792</v>
      </c>
      <c r="D557" s="56" t="s">
        <v>812</v>
      </c>
      <c r="E557" s="56" t="s">
        <v>790</v>
      </c>
      <c r="F557" s="57" t="s">
        <v>250</v>
      </c>
      <c r="G557" s="61"/>
      <c r="H557" s="61" t="s">
        <v>769</v>
      </c>
      <c r="I557" s="62" t="s">
        <v>806</v>
      </c>
      <c r="J557" s="53"/>
    </row>
    <row r="558" ht="24.75" hidden="1" customHeight="1">
      <c r="A558" s="54" t="s">
        <v>761</v>
      </c>
      <c r="B558" s="56" t="s">
        <v>813</v>
      </c>
      <c r="C558" s="56" t="s">
        <v>792</v>
      </c>
      <c r="D558" s="56" t="s">
        <v>814</v>
      </c>
      <c r="E558" s="56" t="s">
        <v>790</v>
      </c>
      <c r="F558" s="57" t="s">
        <v>250</v>
      </c>
      <c r="G558" s="61"/>
      <c r="H558" s="61" t="s">
        <v>769</v>
      </c>
      <c r="I558" s="62" t="s">
        <v>810</v>
      </c>
      <c r="J558" s="53"/>
    </row>
    <row r="559" ht="24.75" hidden="1" customHeight="1">
      <c r="A559" s="54" t="s">
        <v>761</v>
      </c>
      <c r="B559" s="56" t="s">
        <v>815</v>
      </c>
      <c r="C559" s="56" t="s">
        <v>792</v>
      </c>
      <c r="D559" s="56" t="s">
        <v>816</v>
      </c>
      <c r="E559" s="56" t="s">
        <v>790</v>
      </c>
      <c r="F559" s="57" t="s">
        <v>250</v>
      </c>
      <c r="G559" s="61"/>
      <c r="H559" s="61" t="s">
        <v>769</v>
      </c>
      <c r="I559" s="62" t="s">
        <v>806</v>
      </c>
      <c r="J559" s="53"/>
    </row>
    <row r="560" ht="24.75" hidden="1" customHeight="1">
      <c r="A560" s="54" t="s">
        <v>761</v>
      </c>
      <c r="B560" s="56" t="s">
        <v>815</v>
      </c>
      <c r="C560" s="104" t="s">
        <v>792</v>
      </c>
      <c r="D560" s="56" t="s">
        <v>816</v>
      </c>
      <c r="E560" s="56" t="s">
        <v>817</v>
      </c>
      <c r="F560" s="57" t="s">
        <v>250</v>
      </c>
      <c r="G560" s="61"/>
      <c r="H560" s="61" t="s">
        <v>769</v>
      </c>
      <c r="I560" s="62" t="s">
        <v>823</v>
      </c>
      <c r="J560" s="53"/>
    </row>
    <row r="561" ht="24.75" hidden="1" customHeight="1">
      <c r="A561" s="54" t="s">
        <v>761</v>
      </c>
      <c r="B561" s="56" t="s">
        <v>818</v>
      </c>
      <c r="C561" s="104" t="s">
        <v>792</v>
      </c>
      <c r="D561" s="56" t="s">
        <v>819</v>
      </c>
      <c r="E561" s="56" t="s">
        <v>790</v>
      </c>
      <c r="F561" s="57" t="s">
        <v>250</v>
      </c>
      <c r="G561" s="61"/>
      <c r="H561" s="61" t="s">
        <v>769</v>
      </c>
      <c r="I561" s="62" t="s">
        <v>806</v>
      </c>
      <c r="J561" s="53"/>
    </row>
    <row r="562" ht="24.75" hidden="1" customHeight="1">
      <c r="A562" s="54" t="s">
        <v>761</v>
      </c>
      <c r="B562" s="56" t="s">
        <v>818</v>
      </c>
      <c r="C562" s="104" t="s">
        <v>792</v>
      </c>
      <c r="D562" s="56" t="s">
        <v>820</v>
      </c>
      <c r="E562" s="56" t="s">
        <v>817</v>
      </c>
      <c r="F562" s="57" t="s">
        <v>250</v>
      </c>
      <c r="G562" s="61"/>
      <c r="H562" s="61" t="s">
        <v>769</v>
      </c>
      <c r="I562" s="62" t="s">
        <v>823</v>
      </c>
      <c r="J562" s="53"/>
    </row>
    <row r="563" ht="24.75" hidden="1" customHeight="1">
      <c r="A563" s="54" t="s">
        <v>761</v>
      </c>
      <c r="B563" s="56" t="s">
        <v>818</v>
      </c>
      <c r="C563" s="104" t="s">
        <v>792</v>
      </c>
      <c r="D563" s="56" t="s">
        <v>821</v>
      </c>
      <c r="E563" s="56" t="s">
        <v>817</v>
      </c>
      <c r="F563" s="57" t="s">
        <v>250</v>
      </c>
      <c r="G563" s="61"/>
      <c r="H563" s="61" t="s">
        <v>769</v>
      </c>
      <c r="I563" s="62" t="s">
        <v>823</v>
      </c>
      <c r="J563" s="53"/>
    </row>
    <row r="564" ht="24.75" hidden="1" customHeight="1">
      <c r="A564" s="54" t="s">
        <v>761</v>
      </c>
      <c r="B564" s="56" t="s">
        <v>818</v>
      </c>
      <c r="C564" s="104" t="s">
        <v>792</v>
      </c>
      <c r="D564" s="56" t="s">
        <v>822</v>
      </c>
      <c r="E564" s="56" t="s">
        <v>790</v>
      </c>
      <c r="F564" s="57" t="s">
        <v>250</v>
      </c>
      <c r="G564" s="61"/>
      <c r="H564" s="61" t="s">
        <v>769</v>
      </c>
      <c r="I564" s="62" t="s">
        <v>823</v>
      </c>
      <c r="J564" s="53"/>
    </row>
    <row r="565" ht="24.75" hidden="1" customHeight="1">
      <c r="A565" s="54" t="s">
        <v>761</v>
      </c>
      <c r="B565" s="56" t="s">
        <v>791</v>
      </c>
      <c r="C565" s="104" t="s">
        <v>792</v>
      </c>
      <c r="D565" s="56" t="s">
        <v>793</v>
      </c>
      <c r="E565" s="56" t="s">
        <v>824</v>
      </c>
      <c r="F565" s="57" t="s">
        <v>192</v>
      </c>
      <c r="G565" s="61"/>
      <c r="H565" s="61"/>
      <c r="I565" s="62"/>
      <c r="J565" s="53"/>
    </row>
    <row r="566" ht="24.75" hidden="1" customHeight="1">
      <c r="A566" s="54" t="s">
        <v>761</v>
      </c>
      <c r="B566" s="56" t="s">
        <v>825</v>
      </c>
      <c r="C566" s="56" t="s">
        <v>792</v>
      </c>
      <c r="D566" s="56" t="s">
        <v>826</v>
      </c>
      <c r="E566" s="56" t="s">
        <v>794</v>
      </c>
      <c r="F566" s="57" t="s">
        <v>154</v>
      </c>
      <c r="G566" s="61"/>
      <c r="H566" s="61"/>
      <c r="I566" s="62"/>
      <c r="J566" s="53"/>
    </row>
    <row r="567" ht="24.75" hidden="1" customHeight="1">
      <c r="A567" s="54" t="s">
        <v>761</v>
      </c>
      <c r="B567" s="56" t="s">
        <v>825</v>
      </c>
      <c r="C567" s="56" t="s">
        <v>792</v>
      </c>
      <c r="D567" s="56" t="s">
        <v>826</v>
      </c>
      <c r="E567" s="56" t="s">
        <v>824</v>
      </c>
      <c r="F567" s="57" t="s">
        <v>192</v>
      </c>
      <c r="G567" s="61"/>
      <c r="H567" s="61"/>
      <c r="I567" s="62"/>
      <c r="J567" s="53"/>
    </row>
    <row r="568" ht="24.75" hidden="1" customHeight="1">
      <c r="A568" s="54" t="s">
        <v>761</v>
      </c>
      <c r="B568" s="56" t="s">
        <v>827</v>
      </c>
      <c r="C568" s="56" t="s">
        <v>792</v>
      </c>
      <c r="D568" s="56" t="s">
        <v>828</v>
      </c>
      <c r="E568" s="56" t="s">
        <v>830</v>
      </c>
      <c r="F568" s="57" t="s">
        <v>154</v>
      </c>
      <c r="G568" s="61"/>
      <c r="H568" s="61"/>
      <c r="I568" s="62"/>
      <c r="J568" s="53"/>
    </row>
    <row r="569" ht="24.75" hidden="1" customHeight="1">
      <c r="A569" s="54" t="s">
        <v>831</v>
      </c>
      <c r="B569" s="56" t="s">
        <v>832</v>
      </c>
      <c r="C569" s="56" t="s">
        <v>833</v>
      </c>
      <c r="D569" s="56" t="s">
        <v>834</v>
      </c>
      <c r="E569" s="56" t="s">
        <v>111</v>
      </c>
      <c r="F569" s="57" t="s">
        <v>34</v>
      </c>
      <c r="G569" s="61"/>
      <c r="H569" s="61"/>
      <c r="I569" s="62"/>
      <c r="J569" s="53"/>
    </row>
    <row r="570" ht="24.75" hidden="1" customHeight="1">
      <c r="A570" s="54" t="s">
        <v>831</v>
      </c>
      <c r="B570" s="56" t="s">
        <v>832</v>
      </c>
      <c r="C570" s="56" t="s">
        <v>833</v>
      </c>
      <c r="D570" s="56" t="s">
        <v>834</v>
      </c>
      <c r="E570" s="56" t="s">
        <v>835</v>
      </c>
      <c r="F570" s="57" t="s">
        <v>34</v>
      </c>
      <c r="G570" s="61"/>
      <c r="H570" s="61"/>
      <c r="I570" s="62"/>
      <c r="J570" s="53"/>
    </row>
    <row r="571" ht="24.75" hidden="1" customHeight="1">
      <c r="A571" s="54" t="s">
        <v>831</v>
      </c>
      <c r="B571" s="56" t="s">
        <v>832</v>
      </c>
      <c r="C571" s="56" t="s">
        <v>833</v>
      </c>
      <c r="D571" s="56" t="s">
        <v>834</v>
      </c>
      <c r="E571" s="56" t="s">
        <v>836</v>
      </c>
      <c r="F571" s="57" t="s">
        <v>250</v>
      </c>
      <c r="G571" s="61"/>
      <c r="H571" s="61" t="s">
        <v>159</v>
      </c>
      <c r="I571" s="62" t="s">
        <v>160</v>
      </c>
      <c r="J571" s="53"/>
    </row>
    <row r="572" ht="24.75" hidden="1" customHeight="1">
      <c r="A572" s="54" t="s">
        <v>831</v>
      </c>
      <c r="B572" s="56" t="s">
        <v>837</v>
      </c>
      <c r="C572" s="56" t="s">
        <v>838</v>
      </c>
      <c r="D572" s="56" t="s">
        <v>839</v>
      </c>
      <c r="E572" s="56" t="s">
        <v>771</v>
      </c>
      <c r="F572" s="57" t="s">
        <v>250</v>
      </c>
      <c r="G572" s="61"/>
      <c r="H572" s="61" t="s">
        <v>159</v>
      </c>
      <c r="I572" s="62" t="s">
        <v>772</v>
      </c>
      <c r="J572" s="53"/>
    </row>
    <row r="573" ht="24.75" hidden="1" customHeight="1">
      <c r="A573" s="54" t="s">
        <v>831</v>
      </c>
      <c r="B573" s="56" t="s">
        <v>837</v>
      </c>
      <c r="C573" s="56" t="s">
        <v>838</v>
      </c>
      <c r="D573" s="56" t="s">
        <v>839</v>
      </c>
      <c r="E573" s="56" t="s">
        <v>768</v>
      </c>
      <c r="F573" s="57" t="s">
        <v>250</v>
      </c>
      <c r="G573" s="61"/>
      <c r="H573" s="61" t="s">
        <v>592</v>
      </c>
      <c r="I573" s="62" t="s">
        <v>770</v>
      </c>
      <c r="J573" s="53"/>
    </row>
    <row r="574" ht="24.75" hidden="1" customHeight="1">
      <c r="A574" s="54" t="s">
        <v>831</v>
      </c>
      <c r="B574" s="56" t="s">
        <v>837</v>
      </c>
      <c r="C574" s="56" t="s">
        <v>838</v>
      </c>
      <c r="D574" s="56" t="s">
        <v>839</v>
      </c>
      <c r="E574" s="56" t="s">
        <v>773</v>
      </c>
      <c r="F574" s="57" t="s">
        <v>154</v>
      </c>
      <c r="G574" s="61"/>
      <c r="H574" s="61"/>
      <c r="I574" s="62"/>
      <c r="J574" s="53"/>
    </row>
    <row r="575" ht="24.75" hidden="1" customHeight="1">
      <c r="A575" s="54" t="s">
        <v>831</v>
      </c>
      <c r="B575" s="56" t="s">
        <v>837</v>
      </c>
      <c r="C575" s="56" t="s">
        <v>838</v>
      </c>
      <c r="D575" s="56" t="s">
        <v>839</v>
      </c>
      <c r="E575" s="56" t="s">
        <v>841</v>
      </c>
      <c r="F575" s="57" t="s">
        <v>154</v>
      </c>
      <c r="G575" s="61"/>
      <c r="H575" s="61"/>
      <c r="I575" s="62"/>
      <c r="J575" s="53"/>
    </row>
    <row r="576" ht="24.75" hidden="1" customHeight="1">
      <c r="A576" s="54" t="s">
        <v>831</v>
      </c>
      <c r="B576" s="56" t="s">
        <v>837</v>
      </c>
      <c r="C576" s="56" t="s">
        <v>838</v>
      </c>
      <c r="D576" s="56" t="s">
        <v>839</v>
      </c>
      <c r="E576" s="56" t="s">
        <v>777</v>
      </c>
      <c r="F576" s="57" t="s">
        <v>15</v>
      </c>
      <c r="G576" s="61"/>
      <c r="H576" s="61"/>
      <c r="I576" s="60"/>
      <c r="J576" s="53"/>
    </row>
    <row r="577" ht="24.75" hidden="1" customHeight="1">
      <c r="A577" s="54" t="s">
        <v>831</v>
      </c>
      <c r="B577" s="56" t="s">
        <v>837</v>
      </c>
      <c r="C577" s="56" t="s">
        <v>838</v>
      </c>
      <c r="D577" s="56" t="s">
        <v>839</v>
      </c>
      <c r="E577" s="56" t="s">
        <v>778</v>
      </c>
      <c r="F577" s="57" t="s">
        <v>15</v>
      </c>
      <c r="G577" s="61"/>
      <c r="H577" s="61"/>
      <c r="I577" s="60"/>
      <c r="J577" s="53"/>
    </row>
    <row r="578" ht="24.75" hidden="1" customHeight="1">
      <c r="A578" s="54" t="s">
        <v>831</v>
      </c>
      <c r="B578" s="56" t="s">
        <v>842</v>
      </c>
      <c r="C578" s="56" t="s">
        <v>838</v>
      </c>
      <c r="D578" s="56" t="s">
        <v>843</v>
      </c>
      <c r="E578" s="56" t="s">
        <v>111</v>
      </c>
      <c r="F578" s="57" t="s">
        <v>154</v>
      </c>
      <c r="G578" s="61"/>
      <c r="H578" s="61"/>
      <c r="I578" s="62"/>
      <c r="J578" s="53"/>
    </row>
    <row r="579" ht="24.75" hidden="1" customHeight="1">
      <c r="A579" s="54" t="s">
        <v>831</v>
      </c>
      <c r="B579" s="56" t="s">
        <v>842</v>
      </c>
      <c r="C579" s="56" t="s">
        <v>838</v>
      </c>
      <c r="D579" s="56" t="s">
        <v>843</v>
      </c>
      <c r="E579" s="56" t="s">
        <v>844</v>
      </c>
      <c r="F579" s="57" t="s">
        <v>154</v>
      </c>
      <c r="G579" s="61"/>
      <c r="H579" s="61"/>
      <c r="I579" s="62"/>
      <c r="J579" s="53"/>
    </row>
    <row r="580" ht="24.75" hidden="1" customHeight="1">
      <c r="A580" s="54" t="s">
        <v>831</v>
      </c>
      <c r="B580" s="56" t="s">
        <v>842</v>
      </c>
      <c r="C580" s="56" t="s">
        <v>838</v>
      </c>
      <c r="D580" s="56" t="s">
        <v>843</v>
      </c>
      <c r="E580" s="56" t="s">
        <v>797</v>
      </c>
      <c r="F580" s="57" t="s">
        <v>250</v>
      </c>
      <c r="G580" s="61"/>
      <c r="H580" s="61" t="s">
        <v>592</v>
      </c>
      <c r="I580" s="62" t="s">
        <v>855</v>
      </c>
      <c r="J580" s="53"/>
    </row>
    <row r="581" ht="24.75" hidden="1" customHeight="1">
      <c r="A581" s="54" t="s">
        <v>831</v>
      </c>
      <c r="B581" s="56" t="s">
        <v>845</v>
      </c>
      <c r="C581" s="56" t="s">
        <v>838</v>
      </c>
      <c r="D581" s="56" t="s">
        <v>846</v>
      </c>
      <c r="E581" s="56" t="s">
        <v>771</v>
      </c>
      <c r="F581" s="57" t="s">
        <v>250</v>
      </c>
      <c r="G581" s="61"/>
      <c r="H581" s="61" t="s">
        <v>159</v>
      </c>
      <c r="I581" s="62" t="s">
        <v>772</v>
      </c>
      <c r="J581" s="53"/>
    </row>
    <row r="582" ht="24.75" hidden="1" customHeight="1">
      <c r="A582" s="54" t="s">
        <v>831</v>
      </c>
      <c r="B582" s="56" t="s">
        <v>845</v>
      </c>
      <c r="C582" s="56" t="s">
        <v>838</v>
      </c>
      <c r="D582" s="56" t="s">
        <v>846</v>
      </c>
      <c r="E582" s="56" t="s">
        <v>768</v>
      </c>
      <c r="F582" s="57" t="s">
        <v>250</v>
      </c>
      <c r="G582" s="61"/>
      <c r="H582" s="61" t="s">
        <v>592</v>
      </c>
      <c r="I582" s="62" t="s">
        <v>770</v>
      </c>
      <c r="J582" s="53"/>
    </row>
    <row r="583" ht="24.75" hidden="1" customHeight="1">
      <c r="A583" s="54" t="s">
        <v>831</v>
      </c>
      <c r="B583" s="56" t="s">
        <v>845</v>
      </c>
      <c r="C583" s="56" t="s">
        <v>838</v>
      </c>
      <c r="D583" s="56" t="s">
        <v>846</v>
      </c>
      <c r="E583" s="56" t="s">
        <v>773</v>
      </c>
      <c r="F583" s="57" t="s">
        <v>154</v>
      </c>
      <c r="G583" s="61"/>
      <c r="H583" s="61"/>
      <c r="I583" s="62"/>
      <c r="J583" s="53"/>
    </row>
    <row r="584" ht="24.75" hidden="1" customHeight="1">
      <c r="A584" s="54" t="s">
        <v>831</v>
      </c>
      <c r="B584" s="56" t="s">
        <v>845</v>
      </c>
      <c r="C584" s="56" t="s">
        <v>838</v>
      </c>
      <c r="D584" s="56" t="s">
        <v>846</v>
      </c>
      <c r="E584" s="56" t="s">
        <v>841</v>
      </c>
      <c r="F584" s="57" t="s">
        <v>154</v>
      </c>
      <c r="G584" s="61"/>
      <c r="H584" s="61"/>
      <c r="I584" s="62"/>
      <c r="J584" s="53"/>
    </row>
    <row r="585" ht="24.75" hidden="1" customHeight="1">
      <c r="A585" s="54" t="s">
        <v>831</v>
      </c>
      <c r="B585" s="56" t="s">
        <v>845</v>
      </c>
      <c r="C585" s="56" t="s">
        <v>838</v>
      </c>
      <c r="D585" s="56" t="s">
        <v>846</v>
      </c>
      <c r="E585" s="56" t="s">
        <v>777</v>
      </c>
      <c r="F585" s="57" t="s">
        <v>15</v>
      </c>
      <c r="G585" s="61"/>
      <c r="H585" s="61"/>
      <c r="I585" s="60"/>
      <c r="J585" s="53"/>
    </row>
    <row r="586" ht="24.75" hidden="1" customHeight="1">
      <c r="A586" s="54" t="s">
        <v>831</v>
      </c>
      <c r="B586" s="56" t="s">
        <v>845</v>
      </c>
      <c r="C586" s="56" t="s">
        <v>838</v>
      </c>
      <c r="D586" s="56" t="s">
        <v>846</v>
      </c>
      <c r="E586" s="56" t="s">
        <v>778</v>
      </c>
      <c r="F586" s="57" t="s">
        <v>15</v>
      </c>
      <c r="G586" s="61"/>
      <c r="H586" s="61"/>
      <c r="I586" s="60"/>
      <c r="J586" s="53"/>
    </row>
    <row r="587" ht="24.75" hidden="1" customHeight="1">
      <c r="A587" s="54" t="s">
        <v>831</v>
      </c>
      <c r="B587" s="56" t="s">
        <v>847</v>
      </c>
      <c r="C587" s="56" t="s">
        <v>838</v>
      </c>
      <c r="D587" s="56" t="s">
        <v>848</v>
      </c>
      <c r="E587" s="56" t="s">
        <v>111</v>
      </c>
      <c r="F587" s="57" t="s">
        <v>154</v>
      </c>
      <c r="G587" s="61"/>
      <c r="H587" s="61"/>
      <c r="I587" s="62"/>
      <c r="J587" s="53"/>
    </row>
    <row r="588" ht="24.75" hidden="1" customHeight="1">
      <c r="A588" s="54" t="s">
        <v>831</v>
      </c>
      <c r="B588" s="56" t="s">
        <v>847</v>
      </c>
      <c r="C588" s="56" t="s">
        <v>838</v>
      </c>
      <c r="D588" s="56" t="s">
        <v>848</v>
      </c>
      <c r="E588" s="56" t="s">
        <v>844</v>
      </c>
      <c r="F588" s="57" t="s">
        <v>154</v>
      </c>
      <c r="G588" s="61"/>
      <c r="H588" s="61"/>
      <c r="I588" s="62"/>
      <c r="J588" s="53"/>
    </row>
    <row r="589" ht="24.75" hidden="1" customHeight="1">
      <c r="A589" s="54" t="s">
        <v>831</v>
      </c>
      <c r="B589" s="56" t="s">
        <v>847</v>
      </c>
      <c r="C589" s="56" t="s">
        <v>838</v>
      </c>
      <c r="D589" s="56" t="s">
        <v>848</v>
      </c>
      <c r="E589" s="56" t="s">
        <v>797</v>
      </c>
      <c r="F589" s="57" t="s">
        <v>250</v>
      </c>
      <c r="G589" s="61"/>
      <c r="H589" s="61" t="s">
        <v>592</v>
      </c>
      <c r="I589" s="62" t="s">
        <v>855</v>
      </c>
      <c r="J589" s="53"/>
    </row>
    <row r="590" ht="24.75" hidden="1" customHeight="1">
      <c r="A590" s="54" t="s">
        <v>831</v>
      </c>
      <c r="B590" s="56" t="s">
        <v>849</v>
      </c>
      <c r="C590" s="56" t="s">
        <v>833</v>
      </c>
      <c r="D590" s="56" t="s">
        <v>850</v>
      </c>
      <c r="E590" s="56" t="s">
        <v>336</v>
      </c>
      <c r="F590" s="57" t="s">
        <v>192</v>
      </c>
      <c r="G590" s="61"/>
      <c r="H590" s="61"/>
      <c r="I590" s="62"/>
      <c r="J590" s="53"/>
    </row>
    <row r="591" ht="24.75" hidden="1" customHeight="1">
      <c r="A591" s="54" t="s">
        <v>831</v>
      </c>
      <c r="B591" s="56" t="s">
        <v>851</v>
      </c>
      <c r="C591" s="56" t="s">
        <v>852</v>
      </c>
      <c r="D591" s="56" t="s">
        <v>853</v>
      </c>
      <c r="E591" s="56" t="s">
        <v>854</v>
      </c>
      <c r="F591" s="57" t="s">
        <v>250</v>
      </c>
      <c r="G591" s="61"/>
      <c r="H591" s="61" t="s">
        <v>592</v>
      </c>
      <c r="I591" s="62" t="s">
        <v>864</v>
      </c>
      <c r="J591" s="53"/>
    </row>
    <row r="592" ht="24.75" hidden="1" customHeight="1">
      <c r="A592" s="54" t="s">
        <v>831</v>
      </c>
      <c r="B592" s="56" t="s">
        <v>851</v>
      </c>
      <c r="C592" s="56" t="s">
        <v>852</v>
      </c>
      <c r="D592" s="56" t="s">
        <v>853</v>
      </c>
      <c r="E592" s="56" t="s">
        <v>824</v>
      </c>
      <c r="F592" s="57" t="s">
        <v>154</v>
      </c>
      <c r="G592" s="61"/>
      <c r="H592" s="61"/>
      <c r="I592" s="62"/>
      <c r="J592" s="53"/>
    </row>
    <row r="593" ht="24.75" hidden="1" customHeight="1">
      <c r="A593" s="54" t="s">
        <v>831</v>
      </c>
      <c r="B593" s="56" t="s">
        <v>851</v>
      </c>
      <c r="C593" s="56" t="s">
        <v>852</v>
      </c>
      <c r="D593" s="56" t="s">
        <v>853</v>
      </c>
      <c r="E593" s="56" t="s">
        <v>111</v>
      </c>
      <c r="F593" s="57" t="s">
        <v>192</v>
      </c>
      <c r="G593" s="61"/>
      <c r="H593" s="61"/>
      <c r="I593" s="62"/>
      <c r="J593" s="53"/>
    </row>
    <row r="594" ht="24.75" hidden="1" customHeight="1">
      <c r="A594" s="54" t="s">
        <v>831</v>
      </c>
      <c r="B594" s="56" t="s">
        <v>851</v>
      </c>
      <c r="C594" s="56" t="s">
        <v>852</v>
      </c>
      <c r="D594" s="56" t="s">
        <v>853</v>
      </c>
      <c r="E594" s="56" t="s">
        <v>856</v>
      </c>
      <c r="F594" s="57" t="s">
        <v>192</v>
      </c>
      <c r="G594" s="61"/>
      <c r="H594" s="61"/>
      <c r="I594" s="62"/>
      <c r="J594" s="53"/>
    </row>
    <row r="595" ht="24.75" hidden="1" customHeight="1">
      <c r="A595" s="54" t="s">
        <v>831</v>
      </c>
      <c r="B595" s="56" t="s">
        <v>851</v>
      </c>
      <c r="C595" s="56" t="s">
        <v>852</v>
      </c>
      <c r="D595" s="56" t="s">
        <v>853</v>
      </c>
      <c r="E595" s="56" t="s">
        <v>857</v>
      </c>
      <c r="F595" s="57" t="s">
        <v>192</v>
      </c>
      <c r="G595" s="61"/>
      <c r="H595" s="61"/>
      <c r="I595" s="62"/>
      <c r="J595" s="53"/>
    </row>
    <row r="596" ht="24.75" hidden="1" customHeight="1">
      <c r="A596" s="54" t="s">
        <v>831</v>
      </c>
      <c r="B596" s="56" t="s">
        <v>858</v>
      </c>
      <c r="C596" s="56" t="s">
        <v>838</v>
      </c>
      <c r="D596" s="56" t="s">
        <v>859</v>
      </c>
      <c r="E596" s="56" t="s">
        <v>111</v>
      </c>
      <c r="F596" s="57" t="s">
        <v>154</v>
      </c>
      <c r="G596" s="61"/>
      <c r="H596" s="61"/>
      <c r="I596" s="62"/>
      <c r="J596" s="53"/>
    </row>
    <row r="597" ht="24.75" hidden="1" customHeight="1">
      <c r="A597" s="54" t="s">
        <v>831</v>
      </c>
      <c r="B597" s="56" t="s">
        <v>858</v>
      </c>
      <c r="C597" s="56" t="s">
        <v>838</v>
      </c>
      <c r="D597" s="56" t="s">
        <v>859</v>
      </c>
      <c r="E597" s="56" t="s">
        <v>824</v>
      </c>
      <c r="F597" s="57" t="s">
        <v>154</v>
      </c>
      <c r="G597" s="61"/>
      <c r="H597" s="61"/>
      <c r="I597" s="62"/>
      <c r="J597" s="53"/>
    </row>
    <row r="598" ht="24.75" hidden="1" customHeight="1">
      <c r="A598" s="54" t="s">
        <v>831</v>
      </c>
      <c r="B598" s="56" t="s">
        <v>858</v>
      </c>
      <c r="C598" s="56" t="s">
        <v>838</v>
      </c>
      <c r="D598" s="56" t="s">
        <v>859</v>
      </c>
      <c r="E598" s="56" t="s">
        <v>797</v>
      </c>
      <c r="F598" s="57" t="s">
        <v>250</v>
      </c>
      <c r="G598" s="61"/>
      <c r="H598" s="61" t="s">
        <v>592</v>
      </c>
      <c r="I598" s="62" t="s">
        <v>872</v>
      </c>
      <c r="J598" s="53"/>
    </row>
    <row r="599" ht="24.75" hidden="1" customHeight="1">
      <c r="A599" s="54" t="s">
        <v>831</v>
      </c>
      <c r="B599" s="56" t="s">
        <v>860</v>
      </c>
      <c r="C599" s="56" t="s">
        <v>852</v>
      </c>
      <c r="D599" s="56" t="s">
        <v>861</v>
      </c>
      <c r="E599" s="56" t="s">
        <v>854</v>
      </c>
      <c r="F599" s="57" t="s">
        <v>250</v>
      </c>
      <c r="G599" s="61"/>
      <c r="H599" s="61" t="s">
        <v>592</v>
      </c>
      <c r="I599" s="62" t="s">
        <v>864</v>
      </c>
      <c r="J599" s="53"/>
    </row>
    <row r="600" ht="24.75" hidden="1" customHeight="1">
      <c r="A600" s="54" t="s">
        <v>831</v>
      </c>
      <c r="B600" s="56" t="s">
        <v>860</v>
      </c>
      <c r="C600" s="56" t="s">
        <v>852</v>
      </c>
      <c r="D600" s="56" t="s">
        <v>861</v>
      </c>
      <c r="E600" s="56" t="s">
        <v>824</v>
      </c>
      <c r="F600" s="57" t="s">
        <v>154</v>
      </c>
      <c r="G600" s="61"/>
      <c r="H600" s="61"/>
      <c r="I600" s="62"/>
      <c r="J600" s="53"/>
    </row>
    <row r="601" ht="24.75" hidden="1" customHeight="1">
      <c r="A601" s="54" t="s">
        <v>831</v>
      </c>
      <c r="B601" s="56" t="s">
        <v>860</v>
      </c>
      <c r="C601" s="56" t="s">
        <v>852</v>
      </c>
      <c r="D601" s="56" t="s">
        <v>861</v>
      </c>
      <c r="E601" s="56" t="s">
        <v>856</v>
      </c>
      <c r="F601" s="57" t="s">
        <v>154</v>
      </c>
      <c r="G601" s="61"/>
      <c r="H601" s="61"/>
      <c r="I601" s="62"/>
      <c r="J601" s="53"/>
    </row>
    <row r="602" ht="24.75" hidden="1" customHeight="1">
      <c r="A602" s="54" t="s">
        <v>831</v>
      </c>
      <c r="B602" s="56" t="s">
        <v>860</v>
      </c>
      <c r="C602" s="56" t="s">
        <v>852</v>
      </c>
      <c r="D602" s="56" t="s">
        <v>861</v>
      </c>
      <c r="E602" s="56" t="s">
        <v>111</v>
      </c>
      <c r="F602" s="57" t="s">
        <v>192</v>
      </c>
      <c r="G602" s="61"/>
      <c r="H602" s="61"/>
      <c r="I602" s="62"/>
      <c r="J602" s="53"/>
    </row>
    <row r="603" ht="24.75" hidden="1" customHeight="1">
      <c r="A603" s="54" t="s">
        <v>831</v>
      </c>
      <c r="B603" s="56" t="s">
        <v>860</v>
      </c>
      <c r="C603" s="56" t="s">
        <v>852</v>
      </c>
      <c r="D603" s="56" t="s">
        <v>861</v>
      </c>
      <c r="E603" s="56" t="s">
        <v>857</v>
      </c>
      <c r="F603" s="57" t="s">
        <v>192</v>
      </c>
      <c r="G603" s="61"/>
      <c r="H603" s="61"/>
      <c r="I603" s="62"/>
      <c r="J603" s="53"/>
    </row>
    <row r="604" ht="24.75" hidden="1" customHeight="1">
      <c r="A604" s="54" t="s">
        <v>831</v>
      </c>
      <c r="B604" s="56" t="s">
        <v>862</v>
      </c>
      <c r="C604" s="56" t="s">
        <v>838</v>
      </c>
      <c r="D604" s="56" t="s">
        <v>863</v>
      </c>
      <c r="E604" s="56" t="s">
        <v>111</v>
      </c>
      <c r="F604" s="57" t="s">
        <v>154</v>
      </c>
      <c r="G604" s="61"/>
      <c r="H604" s="61"/>
      <c r="I604" s="62"/>
      <c r="J604" s="53"/>
    </row>
    <row r="605" ht="24.75" hidden="1" customHeight="1">
      <c r="A605" s="54" t="s">
        <v>831</v>
      </c>
      <c r="B605" s="56" t="s">
        <v>862</v>
      </c>
      <c r="C605" s="56" t="s">
        <v>838</v>
      </c>
      <c r="D605" s="56" t="s">
        <v>863</v>
      </c>
      <c r="E605" s="56" t="s">
        <v>824</v>
      </c>
      <c r="F605" s="57" t="s">
        <v>154</v>
      </c>
      <c r="G605" s="61"/>
      <c r="H605" s="61"/>
      <c r="I605" s="62"/>
      <c r="J605" s="53"/>
    </row>
    <row r="606" ht="24.75" hidden="1" customHeight="1">
      <c r="A606" s="54" t="s">
        <v>831</v>
      </c>
      <c r="B606" s="56" t="s">
        <v>862</v>
      </c>
      <c r="C606" s="56" t="s">
        <v>838</v>
      </c>
      <c r="D606" s="56" t="s">
        <v>863</v>
      </c>
      <c r="E606" s="56" t="s">
        <v>797</v>
      </c>
      <c r="F606" s="57" t="s">
        <v>250</v>
      </c>
      <c r="G606" s="61"/>
      <c r="H606" s="61" t="s">
        <v>592</v>
      </c>
      <c r="I606" s="62" t="s">
        <v>872</v>
      </c>
      <c r="J606" s="53"/>
    </row>
    <row r="607" ht="24.75" hidden="1" customHeight="1">
      <c r="A607" s="54" t="s">
        <v>831</v>
      </c>
      <c r="B607" s="56" t="s">
        <v>865</v>
      </c>
      <c r="C607" s="56" t="s">
        <v>838</v>
      </c>
      <c r="D607" s="56" t="s">
        <v>866</v>
      </c>
      <c r="E607" s="56" t="s">
        <v>867</v>
      </c>
      <c r="F607" s="57" t="s">
        <v>154</v>
      </c>
      <c r="G607" s="61"/>
      <c r="H607" s="61"/>
      <c r="I607" s="62"/>
      <c r="J607" s="53"/>
    </row>
    <row r="608" ht="24.75" hidden="1" customHeight="1">
      <c r="A608" s="54" t="s">
        <v>831</v>
      </c>
      <c r="B608" s="56" t="s">
        <v>865</v>
      </c>
      <c r="C608" s="56" t="s">
        <v>838</v>
      </c>
      <c r="D608" s="56" t="s">
        <v>866</v>
      </c>
      <c r="E608" s="56" t="s">
        <v>868</v>
      </c>
      <c r="F608" s="57" t="s">
        <v>154</v>
      </c>
      <c r="G608" s="61"/>
      <c r="H608" s="61"/>
      <c r="I608" s="62"/>
      <c r="J608" s="53"/>
    </row>
    <row r="609" ht="24.75" hidden="1" customHeight="1">
      <c r="A609" s="54" t="s">
        <v>831</v>
      </c>
      <c r="B609" s="56" t="s">
        <v>869</v>
      </c>
      <c r="C609" s="56" t="s">
        <v>833</v>
      </c>
      <c r="D609" s="56" t="s">
        <v>850</v>
      </c>
      <c r="E609" s="56" t="s">
        <v>870</v>
      </c>
      <c r="F609" s="57" t="s">
        <v>154</v>
      </c>
      <c r="G609" s="61"/>
      <c r="H609" s="61"/>
      <c r="I609" s="62"/>
      <c r="J609" s="53"/>
    </row>
    <row r="610" ht="24.75" hidden="1" customHeight="1">
      <c r="A610" s="54" t="s">
        <v>831</v>
      </c>
      <c r="B610" s="56" t="s">
        <v>869</v>
      </c>
      <c r="C610" s="56" t="s">
        <v>833</v>
      </c>
      <c r="D610" s="56" t="s">
        <v>850</v>
      </c>
      <c r="E610" s="56" t="s">
        <v>871</v>
      </c>
      <c r="F610" s="57" t="s">
        <v>192</v>
      </c>
      <c r="G610" s="61"/>
      <c r="H610" s="61"/>
      <c r="I610" s="62"/>
      <c r="J610" s="53"/>
    </row>
    <row r="611" ht="15.75" hidden="1" customHeight="1">
      <c r="A611" s="54"/>
      <c r="B611" s="56"/>
      <c r="C611" s="56"/>
      <c r="D611" s="56"/>
      <c r="E611" s="56"/>
      <c r="F611" s="57"/>
      <c r="G611" s="61"/>
      <c r="H611" s="61"/>
      <c r="I611" s="62"/>
      <c r="J611" s="53"/>
    </row>
  </sheetData>
  <autoFilter ref="$A$4:$GF$611">
    <filterColumn colId="5">
      <filters>
        <filter val="JAN, FEV, MAR, ABR, MAI, JUN, JUL, AGO, SET, OUT, NOV, DEZ"/>
      </filters>
    </filterColumn>
    <sortState ref="A4:GF611">
      <sortCondition ref="A4:A611"/>
    </sortState>
  </autoFilter>
  <mergeCells count="2">
    <mergeCell ref="I1:J3"/>
    <mergeCell ref="H2:H3"/>
  </mergeCells>
  <printOptions/>
  <pageMargins bottom="0.7480314960629921" footer="0.0" header="0.0" left="0.2362204724409449" right="0.2362204724409449" top="0.35433070866141736"/>
  <pageSetup fitToHeight="0" paperSize="9" orientation="landscape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46.86"/>
    <col customWidth="1" min="6" max="6" width="12.0"/>
    <col customWidth="1" hidden="1" min="7" max="7" width="6.86"/>
    <col customWidth="1" min="8" max="8" width="26.57"/>
    <col customWidth="1" min="9" max="9" width="31.86"/>
    <col customWidth="1" min="10" max="10" width="15.71"/>
  </cols>
  <sheetData>
    <row r="1" ht="24.75" customHeight="1">
      <c r="I1" s="25" t="s">
        <v>7</v>
      </c>
    </row>
    <row r="2" ht="24.75" customHeight="1">
      <c r="A2" s="1"/>
      <c r="B2" s="2"/>
      <c r="C2" s="2"/>
      <c r="D2" s="2"/>
      <c r="E2" s="2"/>
      <c r="F2" s="3"/>
      <c r="G2" s="8"/>
      <c r="H2" s="10"/>
    </row>
    <row r="3" ht="24.75" customHeight="1">
      <c r="A3" s="8"/>
      <c r="B3" s="9"/>
      <c r="C3" s="9"/>
      <c r="D3" s="9"/>
      <c r="E3" s="9"/>
      <c r="F3" s="2"/>
      <c r="G3" s="8"/>
      <c r="H3" s="35"/>
      <c r="I3" s="35"/>
      <c r="J3" s="35"/>
    </row>
    <row r="4" ht="51.0" customHeight="1">
      <c r="A4" s="39" t="s">
        <v>17</v>
      </c>
      <c r="B4" s="39" t="s">
        <v>18</v>
      </c>
      <c r="C4" s="39" t="s">
        <v>19</v>
      </c>
      <c r="D4" s="39" t="s">
        <v>20</v>
      </c>
      <c r="E4" s="39" t="s">
        <v>21</v>
      </c>
      <c r="F4" s="39" t="s">
        <v>22</v>
      </c>
      <c r="G4" s="40" t="s">
        <v>23</v>
      </c>
      <c r="H4" s="39" t="s">
        <v>24</v>
      </c>
      <c r="I4" s="42" t="s">
        <v>26</v>
      </c>
      <c r="J4" s="39" t="s">
        <v>25</v>
      </c>
    </row>
    <row r="5" ht="24.75" hidden="1" customHeight="1">
      <c r="A5" s="44">
        <v>10.0</v>
      </c>
      <c r="B5" s="47" t="s">
        <v>27</v>
      </c>
      <c r="C5" s="47" t="s">
        <v>29</v>
      </c>
      <c r="D5" s="47" t="s">
        <v>29</v>
      </c>
      <c r="E5" s="47" t="s">
        <v>32</v>
      </c>
      <c r="F5" s="48" t="s">
        <v>34</v>
      </c>
      <c r="G5" s="50"/>
      <c r="H5" s="51"/>
      <c r="I5" s="52"/>
      <c r="J5" s="53"/>
    </row>
    <row r="6" ht="24.75" customHeight="1">
      <c r="A6" s="54">
        <v>20.0</v>
      </c>
      <c r="B6" s="56" t="s">
        <v>83</v>
      </c>
      <c r="C6" s="56" t="s">
        <v>84</v>
      </c>
      <c r="D6" s="56" t="s">
        <v>85</v>
      </c>
      <c r="E6" s="56" t="s">
        <v>86</v>
      </c>
      <c r="F6" s="57" t="s">
        <v>87</v>
      </c>
      <c r="G6" s="58"/>
      <c r="H6" s="58"/>
      <c r="I6" s="60" t="s">
        <v>88</v>
      </c>
      <c r="J6" s="59"/>
    </row>
    <row r="7" ht="24.75" hidden="1" customHeight="1">
      <c r="A7" s="54">
        <v>20.0</v>
      </c>
      <c r="B7" s="56" t="s">
        <v>89</v>
      </c>
      <c r="C7" s="56" t="s">
        <v>90</v>
      </c>
      <c r="D7" s="56" t="s">
        <v>91</v>
      </c>
      <c r="E7" s="56"/>
      <c r="F7" s="57" t="s">
        <v>34</v>
      </c>
      <c r="G7" s="61"/>
      <c r="H7" s="61"/>
      <c r="I7" s="62"/>
      <c r="J7" s="53"/>
    </row>
    <row r="8" ht="24.75" hidden="1" customHeight="1">
      <c r="A8" s="54">
        <v>20.0</v>
      </c>
      <c r="B8" s="56" t="s">
        <v>95</v>
      </c>
      <c r="C8" s="56" t="s">
        <v>90</v>
      </c>
      <c r="D8" s="56" t="s">
        <v>96</v>
      </c>
      <c r="E8" s="56" t="s">
        <v>97</v>
      </c>
      <c r="F8" s="57" t="s">
        <v>34</v>
      </c>
      <c r="G8" s="61"/>
      <c r="H8" s="61"/>
      <c r="I8" s="62"/>
      <c r="J8" s="53"/>
    </row>
    <row r="9" ht="24.75" hidden="1" customHeight="1">
      <c r="A9" s="54">
        <v>20.0</v>
      </c>
      <c r="B9" s="56" t="s">
        <v>98</v>
      </c>
      <c r="C9" s="56" t="s">
        <v>90</v>
      </c>
      <c r="D9" s="56" t="s">
        <v>99</v>
      </c>
      <c r="E9" s="56" t="s">
        <v>97</v>
      </c>
      <c r="F9" s="57" t="s">
        <v>34</v>
      </c>
      <c r="G9" s="61"/>
      <c r="H9" s="61"/>
      <c r="I9" s="62"/>
      <c r="J9" s="53"/>
    </row>
    <row r="10" ht="24.75" hidden="1" customHeight="1">
      <c r="A10" s="54">
        <v>20.0</v>
      </c>
      <c r="B10" s="56" t="s">
        <v>100</v>
      </c>
      <c r="C10" s="56" t="s">
        <v>101</v>
      </c>
      <c r="D10" s="56" t="s">
        <v>102</v>
      </c>
      <c r="E10" s="56" t="s">
        <v>103</v>
      </c>
      <c r="F10" s="57" t="s">
        <v>34</v>
      </c>
      <c r="G10" s="61"/>
      <c r="H10" s="61"/>
      <c r="I10" s="62"/>
      <c r="J10" s="53"/>
    </row>
    <row r="11" ht="24.75" customHeight="1">
      <c r="A11" s="54">
        <v>30.0</v>
      </c>
      <c r="B11" s="56" t="s">
        <v>108</v>
      </c>
      <c r="C11" s="56" t="s">
        <v>109</v>
      </c>
      <c r="D11" s="56" t="s">
        <v>110</v>
      </c>
      <c r="E11" s="56" t="s">
        <v>111</v>
      </c>
      <c r="F11" s="57" t="s">
        <v>87</v>
      </c>
      <c r="G11" s="61"/>
      <c r="H11" s="61"/>
      <c r="I11" s="60"/>
      <c r="J11" s="53"/>
    </row>
    <row r="12" ht="24.75" customHeight="1">
      <c r="A12" s="54">
        <v>30.0</v>
      </c>
      <c r="B12" s="56" t="s">
        <v>113</v>
      </c>
      <c r="C12" s="56" t="s">
        <v>109</v>
      </c>
      <c r="D12" s="56" t="s">
        <v>114</v>
      </c>
      <c r="E12" s="56" t="s">
        <v>111</v>
      </c>
      <c r="F12" s="57" t="s">
        <v>87</v>
      </c>
      <c r="G12" s="61"/>
      <c r="H12" s="61"/>
      <c r="I12" s="60"/>
      <c r="J12" s="53"/>
    </row>
    <row r="13" ht="24.75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118</v>
      </c>
      <c r="F13" s="57" t="s">
        <v>87</v>
      </c>
      <c r="G13" s="61"/>
      <c r="H13" s="61"/>
      <c r="I13" s="60"/>
      <c r="J13" s="53"/>
    </row>
    <row r="14" ht="24.75" hidden="1" customHeight="1">
      <c r="A14" s="54">
        <v>30.0</v>
      </c>
      <c r="B14" s="56" t="s">
        <v>116</v>
      </c>
      <c r="C14" s="56" t="s">
        <v>109</v>
      </c>
      <c r="D14" s="56" t="s">
        <v>117</v>
      </c>
      <c r="E14" s="56" t="s">
        <v>119</v>
      </c>
      <c r="F14" s="57" t="s">
        <v>34</v>
      </c>
      <c r="G14" s="61"/>
      <c r="H14" s="61"/>
      <c r="I14" s="62"/>
      <c r="J14" s="53"/>
    </row>
    <row r="15" ht="24.75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111</v>
      </c>
      <c r="F15" s="57" t="s">
        <v>87</v>
      </c>
      <c r="G15" s="61"/>
      <c r="H15" s="61"/>
      <c r="I15" s="60"/>
      <c r="J15" s="53"/>
    </row>
    <row r="16" ht="24.75" hidden="1" customHeight="1">
      <c r="A16" s="54">
        <v>30.0</v>
      </c>
      <c r="B16" s="56" t="s">
        <v>120</v>
      </c>
      <c r="C16" s="56" t="s">
        <v>109</v>
      </c>
      <c r="D16" s="56" t="s">
        <v>121</v>
      </c>
      <c r="E16" s="56" t="s">
        <v>122</v>
      </c>
      <c r="F16" s="57" t="s">
        <v>34</v>
      </c>
      <c r="G16" s="61"/>
      <c r="H16" s="61"/>
      <c r="I16" s="62"/>
      <c r="J16" s="53"/>
    </row>
    <row r="17" ht="24.75" customHeight="1">
      <c r="A17" s="54">
        <v>30.0</v>
      </c>
      <c r="B17" s="56" t="s">
        <v>123</v>
      </c>
      <c r="C17" s="56" t="s">
        <v>109</v>
      </c>
      <c r="D17" s="56" t="s">
        <v>124</v>
      </c>
      <c r="E17" s="56" t="s">
        <v>86</v>
      </c>
      <c r="F17" s="57" t="s">
        <v>87</v>
      </c>
      <c r="G17" s="61"/>
      <c r="H17" s="61"/>
      <c r="I17" s="60"/>
      <c r="J17" s="53"/>
    </row>
    <row r="18" ht="24.75" hidden="1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129</v>
      </c>
      <c r="F18" s="57" t="s">
        <v>34</v>
      </c>
      <c r="G18" s="61"/>
      <c r="H18" s="61"/>
      <c r="I18" s="62" t="s">
        <v>133</v>
      </c>
      <c r="J18" s="53"/>
    </row>
    <row r="19" ht="24.75" hidden="1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132</v>
      </c>
      <c r="F19" s="57" t="s">
        <v>34</v>
      </c>
      <c r="G19" s="61"/>
      <c r="H19" s="61"/>
      <c r="I19" s="62" t="s">
        <v>133</v>
      </c>
      <c r="J19" s="53"/>
    </row>
    <row r="20" ht="24.75" hidden="1" customHeight="1">
      <c r="A20" s="54">
        <v>31.0</v>
      </c>
      <c r="B20" s="56" t="s">
        <v>126</v>
      </c>
      <c r="C20" s="56" t="s">
        <v>127</v>
      </c>
      <c r="D20" s="56" t="s">
        <v>128</v>
      </c>
      <c r="E20" s="56" t="s">
        <v>134</v>
      </c>
      <c r="F20" s="57" t="s">
        <v>34</v>
      </c>
      <c r="G20" s="61"/>
      <c r="H20" s="61"/>
      <c r="I20" s="62" t="s">
        <v>133</v>
      </c>
      <c r="J20" s="53"/>
    </row>
    <row r="21" ht="24.75" hidden="1" customHeight="1">
      <c r="A21" s="54">
        <v>40.0</v>
      </c>
      <c r="B21" s="56" t="s">
        <v>135</v>
      </c>
      <c r="C21" s="56" t="s">
        <v>136</v>
      </c>
      <c r="D21" s="56" t="s">
        <v>137</v>
      </c>
      <c r="E21" s="56" t="s">
        <v>111</v>
      </c>
      <c r="F21" s="57" t="s">
        <v>34</v>
      </c>
      <c r="G21" s="61"/>
      <c r="H21" s="61"/>
      <c r="I21" s="62"/>
      <c r="J21" s="53"/>
    </row>
    <row r="22" ht="24.75" hidden="1" customHeight="1">
      <c r="A22" s="54">
        <v>40.0</v>
      </c>
      <c r="B22" s="56" t="s">
        <v>139</v>
      </c>
      <c r="C22" s="56" t="s">
        <v>101</v>
      </c>
      <c r="D22" s="56" t="s">
        <v>102</v>
      </c>
      <c r="E22" s="56" t="s">
        <v>111</v>
      </c>
      <c r="F22" s="57" t="s">
        <v>34</v>
      </c>
      <c r="G22" s="61"/>
      <c r="H22" s="61"/>
      <c r="I22" s="62"/>
      <c r="J22" s="53"/>
    </row>
    <row r="23" ht="24.75" hidden="1" customHeight="1">
      <c r="A23" s="54">
        <v>40.0</v>
      </c>
      <c r="B23" s="56" t="s">
        <v>140</v>
      </c>
      <c r="C23" s="56" t="s">
        <v>141</v>
      </c>
      <c r="D23" s="56" t="s">
        <v>142</v>
      </c>
      <c r="E23" s="56" t="s">
        <v>111</v>
      </c>
      <c r="F23" s="57" t="s">
        <v>34</v>
      </c>
      <c r="G23" s="61"/>
      <c r="H23" s="61"/>
      <c r="I23" s="62"/>
      <c r="J23" s="53"/>
    </row>
    <row r="24" ht="24.75" hidden="1" customHeight="1">
      <c r="A24" s="54">
        <v>40.0</v>
      </c>
      <c r="B24" s="56" t="s">
        <v>143</v>
      </c>
      <c r="C24" s="56" t="s">
        <v>144</v>
      </c>
      <c r="D24" s="56" t="s">
        <v>145</v>
      </c>
      <c r="E24" s="56" t="s">
        <v>111</v>
      </c>
      <c r="F24" s="57" t="s">
        <v>34</v>
      </c>
      <c r="G24" s="61"/>
      <c r="H24" s="61"/>
      <c r="I24" s="62"/>
      <c r="J24" s="53"/>
    </row>
    <row r="25" ht="24.75" hidden="1" customHeight="1">
      <c r="A25" s="54">
        <v>50.0</v>
      </c>
      <c r="B25" s="56" t="s">
        <v>147</v>
      </c>
      <c r="C25" s="56" t="s">
        <v>148</v>
      </c>
      <c r="D25" s="56" t="s">
        <v>149</v>
      </c>
      <c r="E25" s="56" t="s">
        <v>150</v>
      </c>
      <c r="F25" s="57" t="s">
        <v>34</v>
      </c>
      <c r="G25" s="61"/>
      <c r="H25" s="61"/>
      <c r="I25" s="62"/>
      <c r="J25" s="53"/>
    </row>
    <row r="26" ht="24.75" hidden="1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111</v>
      </c>
      <c r="F26" s="57" t="s">
        <v>34</v>
      </c>
      <c r="G26" s="61"/>
      <c r="H26" s="61"/>
      <c r="I26" s="62"/>
      <c r="J26" s="53"/>
    </row>
    <row r="27" ht="24.75" hidden="1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153</v>
      </c>
      <c r="F27" s="57" t="s">
        <v>154</v>
      </c>
      <c r="G27" s="61"/>
      <c r="H27" s="61"/>
      <c r="I27" s="62"/>
      <c r="J27" s="53"/>
    </row>
    <row r="28" ht="24.75" customHeight="1">
      <c r="A28" s="54">
        <v>50.0</v>
      </c>
      <c r="B28" s="56" t="s">
        <v>151</v>
      </c>
      <c r="C28" s="56" t="s">
        <v>152</v>
      </c>
      <c r="D28" s="56" t="s">
        <v>152</v>
      </c>
      <c r="E28" s="56" t="s">
        <v>155</v>
      </c>
      <c r="F28" s="57" t="s">
        <v>250</v>
      </c>
      <c r="G28" s="61"/>
      <c r="H28" s="61" t="s">
        <v>159</v>
      </c>
      <c r="I28" s="62" t="s">
        <v>160</v>
      </c>
      <c r="J28" s="53"/>
    </row>
    <row r="29" ht="24.75" hidden="1" customHeight="1">
      <c r="A29" s="54">
        <v>50.0</v>
      </c>
      <c r="B29" s="56" t="s">
        <v>156</v>
      </c>
      <c r="C29" s="56" t="s">
        <v>152</v>
      </c>
      <c r="D29" s="56" t="s">
        <v>157</v>
      </c>
      <c r="E29" s="56" t="s">
        <v>158</v>
      </c>
      <c r="F29" s="57" t="s">
        <v>34</v>
      </c>
      <c r="G29" s="61"/>
      <c r="H29" s="61"/>
      <c r="I29" s="62"/>
      <c r="J29" s="53"/>
    </row>
    <row r="30" ht="24.75" hidden="1" customHeight="1">
      <c r="A30" s="54">
        <v>50.0</v>
      </c>
      <c r="B30" s="56" t="s">
        <v>161</v>
      </c>
      <c r="C30" s="56" t="s">
        <v>152</v>
      </c>
      <c r="D30" s="56" t="s">
        <v>162</v>
      </c>
      <c r="E30" s="56" t="s">
        <v>163</v>
      </c>
      <c r="F30" s="57" t="s">
        <v>34</v>
      </c>
      <c r="G30" s="61"/>
      <c r="H30" s="61"/>
      <c r="I30" s="62"/>
      <c r="J30" s="53"/>
    </row>
    <row r="31" ht="24.75" hidden="1" customHeight="1">
      <c r="A31" s="54">
        <v>60.0</v>
      </c>
      <c r="B31" s="56" t="s">
        <v>164</v>
      </c>
      <c r="C31" s="56" t="s">
        <v>165</v>
      </c>
      <c r="D31" s="56" t="s">
        <v>166</v>
      </c>
      <c r="E31" s="56" t="s">
        <v>167</v>
      </c>
      <c r="F31" s="57" t="s">
        <v>154</v>
      </c>
      <c r="G31" s="61"/>
      <c r="H31" s="61"/>
      <c r="I31" s="62"/>
      <c r="J31" s="53"/>
    </row>
    <row r="32" ht="24.75" hidden="1" customHeight="1">
      <c r="A32" s="54">
        <v>60.0</v>
      </c>
      <c r="B32" s="56" t="s">
        <v>169</v>
      </c>
      <c r="C32" s="56" t="s">
        <v>165</v>
      </c>
      <c r="D32" s="56" t="s">
        <v>170</v>
      </c>
      <c r="E32" s="56" t="s">
        <v>167</v>
      </c>
      <c r="F32" s="57" t="s">
        <v>154</v>
      </c>
      <c r="G32" s="61"/>
      <c r="H32" s="61"/>
      <c r="I32" s="62"/>
      <c r="J32" s="53"/>
    </row>
    <row r="33" ht="24.75" hidden="1" customHeight="1">
      <c r="A33" s="54">
        <v>60.0</v>
      </c>
      <c r="B33" s="56" t="s">
        <v>171</v>
      </c>
      <c r="C33" s="56" t="s">
        <v>165</v>
      </c>
      <c r="D33" s="56" t="s">
        <v>172</v>
      </c>
      <c r="E33" s="56" t="s">
        <v>167</v>
      </c>
      <c r="F33" s="57" t="s">
        <v>154</v>
      </c>
      <c r="G33" s="61"/>
      <c r="H33" s="61"/>
      <c r="I33" s="62"/>
      <c r="J33" s="53"/>
    </row>
    <row r="34" ht="24.75" hidden="1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167</v>
      </c>
      <c r="F34" s="57" t="s">
        <v>154</v>
      </c>
      <c r="G34" s="61"/>
      <c r="H34" s="61"/>
      <c r="I34" s="62"/>
      <c r="J34" s="53"/>
    </row>
    <row r="35" ht="24.75" hidden="1" customHeight="1">
      <c r="A35" s="54">
        <v>60.0</v>
      </c>
      <c r="B35" s="56" t="s">
        <v>174</v>
      </c>
      <c r="C35" s="56" t="s">
        <v>165</v>
      </c>
      <c r="D35" s="56" t="s">
        <v>175</v>
      </c>
      <c r="E35" s="56" t="s">
        <v>176</v>
      </c>
      <c r="F35" s="57" t="s">
        <v>154</v>
      </c>
      <c r="G35" s="61"/>
      <c r="H35" s="61"/>
      <c r="I35" s="62"/>
      <c r="J35" s="53"/>
    </row>
    <row r="36" ht="24.75" hidden="1" customHeight="1">
      <c r="A36" s="54">
        <v>60.0</v>
      </c>
      <c r="B36" s="56" t="s">
        <v>177</v>
      </c>
      <c r="C36" s="56" t="s">
        <v>165</v>
      </c>
      <c r="D36" s="56" t="s">
        <v>178</v>
      </c>
      <c r="E36" s="56" t="s">
        <v>111</v>
      </c>
      <c r="F36" s="57" t="s">
        <v>154</v>
      </c>
      <c r="G36" s="61"/>
      <c r="H36" s="61"/>
      <c r="I36" s="62"/>
      <c r="J36" s="53"/>
    </row>
    <row r="37" ht="24.75" hidden="1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167</v>
      </c>
      <c r="F37" s="57" t="s">
        <v>154</v>
      </c>
      <c r="G37" s="61"/>
      <c r="H37" s="61"/>
      <c r="I37" s="62"/>
      <c r="J37" s="53"/>
    </row>
    <row r="38" ht="24.75" hidden="1" customHeight="1">
      <c r="A38" s="54">
        <v>60.0</v>
      </c>
      <c r="B38" s="56" t="s">
        <v>179</v>
      </c>
      <c r="C38" s="56" t="s">
        <v>165</v>
      </c>
      <c r="D38" s="56" t="s">
        <v>180</v>
      </c>
      <c r="E38" s="56" t="s">
        <v>176</v>
      </c>
      <c r="F38" s="57" t="s">
        <v>154</v>
      </c>
      <c r="G38" s="61"/>
      <c r="H38" s="61"/>
      <c r="I38" s="62"/>
      <c r="J38" s="53"/>
    </row>
    <row r="39" ht="24.75" hidden="1" customHeight="1">
      <c r="A39" s="54">
        <v>60.0</v>
      </c>
      <c r="B39" s="56" t="s">
        <v>181</v>
      </c>
      <c r="C39" s="56" t="s">
        <v>165</v>
      </c>
      <c r="D39" s="56" t="s">
        <v>178</v>
      </c>
      <c r="E39" s="56" t="s">
        <v>167</v>
      </c>
      <c r="F39" s="57" t="s">
        <v>154</v>
      </c>
      <c r="G39" s="61"/>
      <c r="H39" s="61"/>
      <c r="I39" s="62" t="s">
        <v>14</v>
      </c>
      <c r="J39" s="53"/>
    </row>
    <row r="40" ht="24.75" hidden="1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167</v>
      </c>
      <c r="F40" s="57" t="s">
        <v>154</v>
      </c>
      <c r="G40" s="61"/>
      <c r="H40" s="61"/>
      <c r="I40" s="62"/>
      <c r="J40" s="53"/>
    </row>
    <row r="41" ht="24.75" hidden="1" customHeight="1">
      <c r="A41" s="54">
        <v>60.0</v>
      </c>
      <c r="B41" s="56" t="s">
        <v>182</v>
      </c>
      <c r="C41" s="56" t="s">
        <v>165</v>
      </c>
      <c r="D41" s="56" t="s">
        <v>183</v>
      </c>
      <c r="E41" s="56" t="s">
        <v>176</v>
      </c>
      <c r="F41" s="57" t="s">
        <v>154</v>
      </c>
      <c r="G41" s="61"/>
      <c r="H41" s="61"/>
      <c r="I41" s="62"/>
      <c r="J41" s="53"/>
    </row>
    <row r="42" ht="24.75" hidden="1" customHeight="1">
      <c r="A42" s="54">
        <v>60.0</v>
      </c>
      <c r="B42" s="56" t="s">
        <v>184</v>
      </c>
      <c r="C42" s="56" t="s">
        <v>165</v>
      </c>
      <c r="D42" s="56" t="s">
        <v>178</v>
      </c>
      <c r="E42" s="56" t="s">
        <v>167</v>
      </c>
      <c r="F42" s="57" t="s">
        <v>154</v>
      </c>
      <c r="G42" s="61"/>
      <c r="H42" s="61"/>
      <c r="I42" s="62"/>
      <c r="J42" s="53"/>
    </row>
    <row r="43" ht="24.75" hidden="1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167</v>
      </c>
      <c r="F43" s="57" t="s">
        <v>154</v>
      </c>
      <c r="G43" s="61"/>
      <c r="H43" s="61"/>
      <c r="I43" s="62"/>
      <c r="J43" s="53"/>
    </row>
    <row r="44" ht="24.75" hidden="1" customHeight="1">
      <c r="A44" s="54">
        <v>60.0</v>
      </c>
      <c r="B44" s="56" t="s">
        <v>185</v>
      </c>
      <c r="C44" s="56" t="s">
        <v>165</v>
      </c>
      <c r="D44" s="56" t="s">
        <v>186</v>
      </c>
      <c r="E44" s="56" t="s">
        <v>176</v>
      </c>
      <c r="F44" s="57" t="s">
        <v>154</v>
      </c>
      <c r="G44" s="61"/>
      <c r="H44" s="61"/>
      <c r="I44" s="62"/>
      <c r="J44" s="53"/>
    </row>
    <row r="45" ht="24.75" hidden="1" customHeight="1">
      <c r="A45" s="54">
        <v>60.0</v>
      </c>
      <c r="B45" s="56" t="s">
        <v>187</v>
      </c>
      <c r="C45" s="56" t="s">
        <v>165</v>
      </c>
      <c r="D45" s="56" t="s">
        <v>178</v>
      </c>
      <c r="E45" s="56" t="s">
        <v>167</v>
      </c>
      <c r="F45" s="57" t="s">
        <v>154</v>
      </c>
      <c r="G45" s="61"/>
      <c r="H45" s="61"/>
      <c r="I45" s="62"/>
      <c r="J45" s="53"/>
    </row>
    <row r="46" ht="24.75" hidden="1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191</v>
      </c>
      <c r="F46" s="57" t="s">
        <v>192</v>
      </c>
      <c r="G46" s="61"/>
      <c r="H46" s="61"/>
      <c r="I46" s="62"/>
      <c r="J46" s="53"/>
    </row>
    <row r="47" ht="24.75" hidden="1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194</v>
      </c>
      <c r="F47" s="57" t="s">
        <v>192</v>
      </c>
      <c r="G47" s="61"/>
      <c r="H47" s="61"/>
      <c r="I47" s="62"/>
      <c r="J47" s="53"/>
    </row>
    <row r="48" ht="24.75" hidden="1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195</v>
      </c>
      <c r="F48" s="57" t="s">
        <v>34</v>
      </c>
      <c r="G48" s="61"/>
      <c r="H48" s="61" t="s">
        <v>197</v>
      </c>
      <c r="I48" s="62"/>
      <c r="J48" s="53"/>
    </row>
    <row r="49" ht="24.75" customHeight="1">
      <c r="A49" s="54">
        <v>80.0</v>
      </c>
      <c r="B49" s="56" t="s">
        <v>188</v>
      </c>
      <c r="C49" s="56" t="s">
        <v>189</v>
      </c>
      <c r="D49" s="56" t="s">
        <v>190</v>
      </c>
      <c r="E49" s="56" t="s">
        <v>196</v>
      </c>
      <c r="F49" s="57" t="s">
        <v>250</v>
      </c>
      <c r="G49" s="61"/>
      <c r="H49" s="61" t="s">
        <v>200</v>
      </c>
      <c r="I49" s="62" t="s">
        <v>201</v>
      </c>
      <c r="J49" s="53"/>
    </row>
    <row r="50" ht="24.75" hidden="1" customHeight="1">
      <c r="A50" s="54">
        <v>80.0</v>
      </c>
      <c r="B50" s="56" t="s">
        <v>198</v>
      </c>
      <c r="C50" s="56" t="s">
        <v>189</v>
      </c>
      <c r="D50" s="56" t="s">
        <v>199</v>
      </c>
      <c r="E50" s="56" t="s">
        <v>163</v>
      </c>
      <c r="F50" s="57" t="s">
        <v>154</v>
      </c>
      <c r="G50" s="61"/>
      <c r="H50" s="61"/>
      <c r="I50" s="62" t="s">
        <v>207</v>
      </c>
      <c r="J50" s="53"/>
    </row>
    <row r="51" ht="24.75" hidden="1" customHeight="1">
      <c r="A51" s="54">
        <v>80.0</v>
      </c>
      <c r="B51" s="56" t="s">
        <v>203</v>
      </c>
      <c r="C51" s="56" t="s">
        <v>204</v>
      </c>
      <c r="D51" s="56" t="s">
        <v>205</v>
      </c>
      <c r="E51" s="56" t="s">
        <v>208</v>
      </c>
      <c r="F51" s="57" t="s">
        <v>154</v>
      </c>
      <c r="G51" s="61"/>
      <c r="H51" s="61"/>
      <c r="I51" s="62" t="s">
        <v>207</v>
      </c>
      <c r="J51" s="53"/>
    </row>
    <row r="52" ht="24.75" hidden="1" customHeight="1">
      <c r="A52" s="54">
        <v>80.0</v>
      </c>
      <c r="B52" s="56" t="s">
        <v>210</v>
      </c>
      <c r="C52" s="56" t="s">
        <v>189</v>
      </c>
      <c r="D52" s="56" t="s">
        <v>212</v>
      </c>
      <c r="E52" s="56" t="s">
        <v>213</v>
      </c>
      <c r="F52" s="57"/>
      <c r="G52" s="61"/>
      <c r="H52" s="61"/>
      <c r="I52" s="62"/>
      <c r="J52" s="53"/>
    </row>
    <row r="53" ht="24.75" hidden="1" customHeight="1">
      <c r="A53" s="54">
        <v>80.0</v>
      </c>
      <c r="B53" s="56" t="s">
        <v>214</v>
      </c>
      <c r="C53" s="56" t="s">
        <v>204</v>
      </c>
      <c r="D53" s="56" t="s">
        <v>215</v>
      </c>
      <c r="E53" s="56" t="s">
        <v>216</v>
      </c>
      <c r="F53" s="57" t="s">
        <v>154</v>
      </c>
      <c r="G53" s="61"/>
      <c r="H53" s="61"/>
      <c r="I53" s="62" t="s">
        <v>207</v>
      </c>
      <c r="J53" s="53"/>
    </row>
    <row r="54" ht="24.75" hidden="1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217</v>
      </c>
      <c r="F54" s="57" t="s">
        <v>154</v>
      </c>
      <c r="G54" s="61"/>
      <c r="H54" s="61"/>
      <c r="I54" s="62" t="s">
        <v>207</v>
      </c>
      <c r="J54" s="53"/>
    </row>
    <row r="55" ht="24.75" hidden="1" customHeight="1">
      <c r="A55" s="54">
        <v>80.0</v>
      </c>
      <c r="B55" s="56" t="s">
        <v>214</v>
      </c>
      <c r="C55" s="56" t="s">
        <v>204</v>
      </c>
      <c r="D55" s="56" t="s">
        <v>215</v>
      </c>
      <c r="E55" s="56" t="s">
        <v>163</v>
      </c>
      <c r="F55" s="57" t="s">
        <v>154</v>
      </c>
      <c r="G55" s="61"/>
      <c r="H55" s="61"/>
      <c r="I55" s="62" t="s">
        <v>207</v>
      </c>
      <c r="J55" s="53"/>
    </row>
    <row r="56" ht="24.75" hidden="1" customHeight="1">
      <c r="A56" s="54">
        <v>80.0</v>
      </c>
      <c r="B56" s="56" t="s">
        <v>218</v>
      </c>
      <c r="C56" s="56" t="s">
        <v>204</v>
      </c>
      <c r="D56" s="56" t="s">
        <v>219</v>
      </c>
      <c r="E56" s="56" t="s">
        <v>191</v>
      </c>
      <c r="F56" s="57" t="s">
        <v>192</v>
      </c>
      <c r="G56" s="61"/>
      <c r="H56" s="61"/>
      <c r="I56" s="62"/>
      <c r="J56" s="53"/>
    </row>
    <row r="57" ht="24.75" hidden="1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194</v>
      </c>
      <c r="F57" s="57" t="s">
        <v>192</v>
      </c>
      <c r="G57" s="61"/>
      <c r="H57" s="61"/>
      <c r="I57" s="62"/>
      <c r="J57" s="53"/>
    </row>
    <row r="58" ht="24.75" hidden="1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195</v>
      </c>
      <c r="F58" s="57" t="s">
        <v>34</v>
      </c>
      <c r="G58" s="61"/>
      <c r="H58" s="61" t="s">
        <v>197</v>
      </c>
      <c r="I58" s="62"/>
      <c r="J58" s="53"/>
    </row>
    <row r="59" ht="24.75" customHeight="1">
      <c r="A59" s="54">
        <v>80.0</v>
      </c>
      <c r="B59" s="56" t="s">
        <v>218</v>
      </c>
      <c r="C59" s="56" t="s">
        <v>204</v>
      </c>
      <c r="D59" s="56" t="s">
        <v>219</v>
      </c>
      <c r="E59" s="56" t="s">
        <v>196</v>
      </c>
      <c r="F59" s="57" t="s">
        <v>250</v>
      </c>
      <c r="G59" s="61"/>
      <c r="H59" s="61" t="s">
        <v>200</v>
      </c>
      <c r="I59" s="62" t="s">
        <v>201</v>
      </c>
      <c r="J59" s="53"/>
    </row>
    <row r="60" ht="24.75" hidden="1" customHeight="1">
      <c r="A60" s="54">
        <v>80.0</v>
      </c>
      <c r="B60" s="56" t="s">
        <v>220</v>
      </c>
      <c r="C60" s="56" t="s">
        <v>204</v>
      </c>
      <c r="D60" s="56" t="s">
        <v>221</v>
      </c>
      <c r="E60" s="56" t="s">
        <v>222</v>
      </c>
      <c r="F60" s="57" t="s">
        <v>154</v>
      </c>
      <c r="G60" s="61"/>
      <c r="H60" s="61"/>
      <c r="I60" s="62"/>
      <c r="J60" s="53"/>
    </row>
    <row r="61" ht="24.75" hidden="1" customHeight="1">
      <c r="A61" s="54">
        <v>80.0</v>
      </c>
      <c r="B61" s="56" t="s">
        <v>223</v>
      </c>
      <c r="C61" s="56" t="s">
        <v>204</v>
      </c>
      <c r="D61" s="56" t="s">
        <v>224</v>
      </c>
      <c r="E61" s="56" t="s">
        <v>225</v>
      </c>
      <c r="F61" s="57" t="s">
        <v>34</v>
      </c>
      <c r="G61" s="61"/>
      <c r="H61" s="61"/>
      <c r="I61" s="62"/>
      <c r="J61" s="53"/>
    </row>
    <row r="62" ht="24.75" hidden="1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167</v>
      </c>
      <c r="F62" s="57" t="s">
        <v>154</v>
      </c>
      <c r="G62" s="61"/>
      <c r="H62" s="61"/>
      <c r="I62" s="62"/>
      <c r="J62" s="53"/>
    </row>
    <row r="63" ht="24.75" hidden="1" customHeight="1">
      <c r="A63" s="54">
        <v>80.0</v>
      </c>
      <c r="B63" s="56" t="s">
        <v>223</v>
      </c>
      <c r="C63" s="56" t="s">
        <v>204</v>
      </c>
      <c r="D63" s="56" t="s">
        <v>224</v>
      </c>
      <c r="E63" s="56" t="s">
        <v>226</v>
      </c>
      <c r="F63" s="57" t="s">
        <v>154</v>
      </c>
      <c r="G63" s="61"/>
      <c r="H63" s="61"/>
      <c r="I63" s="62"/>
      <c r="J63" s="53"/>
    </row>
    <row r="64" ht="24.75" hidden="1" customHeight="1">
      <c r="A64" s="54">
        <v>80.0</v>
      </c>
      <c r="B64" s="56" t="s">
        <v>227</v>
      </c>
      <c r="C64" s="56" t="s">
        <v>228</v>
      </c>
      <c r="D64" s="56" t="s">
        <v>229</v>
      </c>
      <c r="E64" s="56" t="s">
        <v>230</v>
      </c>
      <c r="F64" s="57" t="s">
        <v>154</v>
      </c>
      <c r="G64" s="61"/>
      <c r="H64" s="61"/>
      <c r="I64" s="62"/>
      <c r="J64" s="53"/>
    </row>
    <row r="65" ht="24.75" customHeight="1">
      <c r="A65" s="54">
        <v>80.0</v>
      </c>
      <c r="B65" s="56" t="s">
        <v>227</v>
      </c>
      <c r="C65" s="56" t="s">
        <v>228</v>
      </c>
      <c r="D65" s="56" t="s">
        <v>231</v>
      </c>
      <c r="E65" s="56" t="s">
        <v>232</v>
      </c>
      <c r="F65" s="57" t="s">
        <v>250</v>
      </c>
      <c r="G65" s="61"/>
      <c r="H65" s="61" t="s">
        <v>200</v>
      </c>
      <c r="I65" s="62" t="s">
        <v>240</v>
      </c>
      <c r="J65" s="53"/>
    </row>
    <row r="66" ht="24.75" customHeight="1">
      <c r="A66" s="54">
        <v>92.0</v>
      </c>
      <c r="B66" s="56" t="s">
        <v>233</v>
      </c>
      <c r="C66" s="56" t="s">
        <v>234</v>
      </c>
      <c r="D66" s="56" t="s">
        <v>235</v>
      </c>
      <c r="E66" s="56" t="s">
        <v>111</v>
      </c>
      <c r="F66" s="57" t="s">
        <v>87</v>
      </c>
      <c r="G66" s="61"/>
      <c r="H66" s="61"/>
      <c r="I66" s="60" t="s">
        <v>243</v>
      </c>
      <c r="J66" s="53"/>
    </row>
    <row r="67" ht="24.75" hidden="1" customHeight="1">
      <c r="A67" s="54">
        <v>90.0</v>
      </c>
      <c r="B67" s="56" t="s">
        <v>236</v>
      </c>
      <c r="C67" s="56" t="s">
        <v>237</v>
      </c>
      <c r="D67" s="56" t="s">
        <v>238</v>
      </c>
      <c r="E67" s="56" t="s">
        <v>239</v>
      </c>
      <c r="F67" s="57" t="s">
        <v>34</v>
      </c>
      <c r="G67" s="61"/>
      <c r="H67" s="61"/>
      <c r="I67" s="62" t="s">
        <v>245</v>
      </c>
      <c r="J67" s="53"/>
    </row>
    <row r="68" ht="24.75" hidden="1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241</v>
      </c>
      <c r="F68" s="57" t="s">
        <v>34</v>
      </c>
      <c r="G68" s="61"/>
      <c r="H68" s="61"/>
      <c r="I68" s="62" t="s">
        <v>245</v>
      </c>
      <c r="J68" s="53"/>
    </row>
    <row r="69" ht="24.75" hidden="1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242</v>
      </c>
      <c r="F69" s="57" t="s">
        <v>34</v>
      </c>
      <c r="G69" s="61"/>
      <c r="H69" s="61"/>
      <c r="I69" s="62" t="s">
        <v>245</v>
      </c>
      <c r="J69" s="53"/>
    </row>
    <row r="70" ht="24.75" hidden="1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244</v>
      </c>
      <c r="F70" s="57" t="s">
        <v>34</v>
      </c>
      <c r="G70" s="61"/>
      <c r="H70" s="61"/>
      <c r="I70" s="62" t="s">
        <v>245</v>
      </c>
      <c r="J70" s="53"/>
    </row>
    <row r="71" ht="24.75" hidden="1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247</v>
      </c>
      <c r="F71" s="57" t="s">
        <v>34</v>
      </c>
      <c r="G71" s="61"/>
      <c r="H71" s="61"/>
      <c r="I71" s="62" t="s">
        <v>245</v>
      </c>
      <c r="J71" s="53"/>
    </row>
    <row r="72" ht="24.75" hidden="1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248</v>
      </c>
      <c r="F72" s="57" t="s">
        <v>34</v>
      </c>
      <c r="G72" s="61"/>
      <c r="H72" s="61"/>
      <c r="I72" s="62"/>
      <c r="J72" s="53"/>
    </row>
    <row r="73" ht="24.75" hidden="1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252</v>
      </c>
      <c r="F73" s="57" t="s">
        <v>34</v>
      </c>
      <c r="G73" s="61"/>
      <c r="H73" s="61"/>
      <c r="I73" s="62" t="s">
        <v>245</v>
      </c>
      <c r="J73" s="53"/>
    </row>
    <row r="74" ht="24.75" customHeight="1">
      <c r="A74" s="54">
        <v>92.0</v>
      </c>
      <c r="B74" s="56" t="s">
        <v>253</v>
      </c>
      <c r="C74" s="56" t="s">
        <v>234</v>
      </c>
      <c r="D74" s="56" t="s">
        <v>254</v>
      </c>
      <c r="E74" s="56" t="s">
        <v>111</v>
      </c>
      <c r="F74" s="57" t="s">
        <v>87</v>
      </c>
      <c r="G74" s="61"/>
      <c r="H74" s="61"/>
      <c r="I74" s="60" t="s">
        <v>243</v>
      </c>
      <c r="J74" s="53"/>
    </row>
    <row r="75" ht="24.75" customHeight="1">
      <c r="A75" s="54">
        <v>92.0</v>
      </c>
      <c r="B75" s="56" t="s">
        <v>255</v>
      </c>
      <c r="C75" s="56" t="s">
        <v>234</v>
      </c>
      <c r="D75" s="56" t="s">
        <v>256</v>
      </c>
      <c r="E75" s="56" t="s">
        <v>257</v>
      </c>
      <c r="F75" s="57" t="s">
        <v>87</v>
      </c>
      <c r="G75" s="61"/>
      <c r="H75" s="61"/>
      <c r="I75" s="60"/>
      <c r="J75" s="53"/>
    </row>
    <row r="76" ht="24.75" customHeight="1">
      <c r="A76" s="54">
        <v>110.0</v>
      </c>
      <c r="B76" s="56" t="s">
        <v>258</v>
      </c>
      <c r="C76" s="56" t="s">
        <v>259</v>
      </c>
      <c r="D76" s="56" t="s">
        <v>85</v>
      </c>
      <c r="E76" s="56" t="s">
        <v>86</v>
      </c>
      <c r="F76" s="57" t="s">
        <v>87</v>
      </c>
      <c r="G76" s="61"/>
      <c r="H76" s="61"/>
      <c r="I76" s="60" t="s">
        <v>88</v>
      </c>
      <c r="J76" s="53"/>
    </row>
    <row r="77" ht="24.75" customHeight="1">
      <c r="A77" s="54">
        <v>110.0</v>
      </c>
      <c r="B77" s="56" t="s">
        <v>260</v>
      </c>
      <c r="C77" s="56" t="s">
        <v>259</v>
      </c>
      <c r="D77" s="56" t="s">
        <v>261</v>
      </c>
      <c r="E77" s="56" t="s">
        <v>86</v>
      </c>
      <c r="F77" s="57" t="s">
        <v>87</v>
      </c>
      <c r="G77" s="61"/>
      <c r="H77" s="61"/>
      <c r="I77" s="60" t="s">
        <v>88</v>
      </c>
      <c r="J77" s="53"/>
    </row>
    <row r="78" ht="24.75" customHeight="1">
      <c r="A78" s="54">
        <v>120.0</v>
      </c>
      <c r="B78" s="56" t="s">
        <v>262</v>
      </c>
      <c r="C78" s="56" t="s">
        <v>263</v>
      </c>
      <c r="D78" s="56" t="s">
        <v>263</v>
      </c>
      <c r="E78" s="56" t="s">
        <v>264</v>
      </c>
      <c r="F78" s="57" t="s">
        <v>87</v>
      </c>
      <c r="G78" s="61"/>
      <c r="H78" s="61"/>
      <c r="I78" s="60" t="s">
        <v>273</v>
      </c>
      <c r="J78" s="53"/>
    </row>
    <row r="79" ht="24.75" hidden="1" customHeight="1">
      <c r="A79" s="54">
        <v>90.0</v>
      </c>
      <c r="B79" s="56" t="s">
        <v>265</v>
      </c>
      <c r="C79" s="56" t="s">
        <v>237</v>
      </c>
      <c r="D79" s="56" t="s">
        <v>266</v>
      </c>
      <c r="E79" s="56" t="s">
        <v>267</v>
      </c>
      <c r="F79" s="57" t="s">
        <v>192</v>
      </c>
      <c r="G79" s="61"/>
      <c r="H79" s="61"/>
      <c r="I79" s="62" t="s">
        <v>245</v>
      </c>
      <c r="J79" s="53"/>
    </row>
    <row r="80" ht="24.75" hidden="1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268</v>
      </c>
      <c r="F80" s="57" t="s">
        <v>34</v>
      </c>
      <c r="G80" s="61"/>
      <c r="H80" s="61"/>
      <c r="I80" s="62" t="s">
        <v>245</v>
      </c>
      <c r="J80" s="53"/>
    </row>
    <row r="81" ht="24.75" customHeight="1">
      <c r="A81" s="54">
        <v>140.0</v>
      </c>
      <c r="B81" s="56" t="s">
        <v>269</v>
      </c>
      <c r="C81" s="56" t="s">
        <v>270</v>
      </c>
      <c r="D81" s="56" t="s">
        <v>271</v>
      </c>
      <c r="E81" s="56" t="s">
        <v>272</v>
      </c>
      <c r="F81" s="57" t="s">
        <v>87</v>
      </c>
      <c r="G81" s="61"/>
      <c r="H81" s="61"/>
      <c r="I81" s="60"/>
      <c r="J81" s="53"/>
    </row>
    <row r="82" ht="24.75" hidden="1" customHeight="1">
      <c r="A82" s="54">
        <v>90.0</v>
      </c>
      <c r="B82" s="56" t="s">
        <v>274</v>
      </c>
      <c r="C82" s="56" t="s">
        <v>237</v>
      </c>
      <c r="D82" s="56" t="s">
        <v>275</v>
      </c>
      <c r="E82" s="56" t="s">
        <v>239</v>
      </c>
      <c r="F82" s="57" t="s">
        <v>34</v>
      </c>
      <c r="G82" s="61"/>
      <c r="H82" s="61"/>
      <c r="I82" s="62" t="s">
        <v>245</v>
      </c>
      <c r="J82" s="53"/>
    </row>
    <row r="83" ht="24.75" hidden="1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248</v>
      </c>
      <c r="F83" s="57" t="s">
        <v>34</v>
      </c>
      <c r="G83" s="61"/>
      <c r="H83" s="61"/>
      <c r="I83" s="62"/>
      <c r="J83" s="53"/>
    </row>
    <row r="84" ht="24.75" customHeight="1">
      <c r="A84" s="54">
        <v>140.0</v>
      </c>
      <c r="B84" s="56" t="s">
        <v>269</v>
      </c>
      <c r="C84" s="56" t="s">
        <v>270</v>
      </c>
      <c r="D84" s="56" t="s">
        <v>271</v>
      </c>
      <c r="E84" s="56" t="s">
        <v>276</v>
      </c>
      <c r="F84" s="57" t="s">
        <v>87</v>
      </c>
      <c r="G84" s="61"/>
      <c r="H84" s="61"/>
      <c r="I84" s="60" t="s">
        <v>88</v>
      </c>
      <c r="J84" s="53"/>
    </row>
    <row r="85" ht="24.75" hidden="1" customHeight="1">
      <c r="A85" s="54">
        <v>90.0</v>
      </c>
      <c r="B85" s="56" t="s">
        <v>277</v>
      </c>
      <c r="C85" s="56" t="s">
        <v>278</v>
      </c>
      <c r="D85" s="56" t="s">
        <v>279</v>
      </c>
      <c r="E85" s="56" t="s">
        <v>239</v>
      </c>
      <c r="F85" s="57" t="s">
        <v>34</v>
      </c>
      <c r="G85" s="61"/>
      <c r="H85" s="61"/>
      <c r="I85" s="62" t="s">
        <v>283</v>
      </c>
      <c r="J85" s="53"/>
    </row>
    <row r="86" ht="24.75" hidden="1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163</v>
      </c>
      <c r="F86" s="57" t="s">
        <v>34</v>
      </c>
      <c r="G86" s="61"/>
      <c r="H86" s="61"/>
      <c r="I86" s="62" t="s">
        <v>283</v>
      </c>
      <c r="J86" s="53"/>
    </row>
    <row r="87" ht="24.75" hidden="1" customHeight="1">
      <c r="A87" s="54">
        <v>90.0</v>
      </c>
      <c r="B87" s="56" t="s">
        <v>277</v>
      </c>
      <c r="C87" s="56" t="s">
        <v>278</v>
      </c>
      <c r="D87" s="56" t="s">
        <v>279</v>
      </c>
      <c r="E87" s="56" t="s">
        <v>241</v>
      </c>
      <c r="F87" s="57" t="s">
        <v>34</v>
      </c>
      <c r="G87" s="61"/>
      <c r="H87" s="61"/>
      <c r="I87" s="62" t="s">
        <v>283</v>
      </c>
      <c r="J87" s="53"/>
    </row>
    <row r="88" ht="24.75" customHeight="1">
      <c r="A88" s="54">
        <v>90.0</v>
      </c>
      <c r="B88" s="56" t="s">
        <v>280</v>
      </c>
      <c r="C88" s="56" t="s">
        <v>278</v>
      </c>
      <c r="D88" s="56" t="s">
        <v>281</v>
      </c>
      <c r="E88" s="56" t="s">
        <v>196</v>
      </c>
      <c r="F88" s="57" t="s">
        <v>250</v>
      </c>
      <c r="G88" s="61"/>
      <c r="H88" s="61" t="s">
        <v>287</v>
      </c>
      <c r="I88" s="62" t="s">
        <v>288</v>
      </c>
      <c r="J88" s="53"/>
    </row>
    <row r="89" ht="24.75" customHeight="1">
      <c r="A89" s="54">
        <v>140.0</v>
      </c>
      <c r="B89" s="56" t="s">
        <v>284</v>
      </c>
      <c r="C89" s="56" t="s">
        <v>270</v>
      </c>
      <c r="D89" s="56" t="s">
        <v>285</v>
      </c>
      <c r="E89" s="56" t="s">
        <v>272</v>
      </c>
      <c r="F89" s="57" t="s">
        <v>87</v>
      </c>
      <c r="G89" s="61"/>
      <c r="H89" s="61"/>
      <c r="I89" s="60"/>
      <c r="J89" s="53"/>
    </row>
    <row r="90" ht="24.75" customHeight="1">
      <c r="A90" s="54">
        <v>140.0</v>
      </c>
      <c r="B90" s="56" t="s">
        <v>284</v>
      </c>
      <c r="C90" s="56" t="s">
        <v>270</v>
      </c>
      <c r="D90" s="56" t="s">
        <v>285</v>
      </c>
      <c r="E90" s="56" t="s">
        <v>276</v>
      </c>
      <c r="F90" s="57" t="s">
        <v>87</v>
      </c>
      <c r="G90" s="61"/>
      <c r="H90" s="61"/>
      <c r="I90" s="60" t="s">
        <v>88</v>
      </c>
      <c r="J90" s="53"/>
    </row>
    <row r="91" ht="24.75" hidden="1" customHeight="1">
      <c r="A91" s="54">
        <v>90.0</v>
      </c>
      <c r="B91" s="56" t="s">
        <v>286</v>
      </c>
      <c r="C91" s="56" t="s">
        <v>278</v>
      </c>
      <c r="D91" s="56" t="s">
        <v>266</v>
      </c>
      <c r="E91" s="56" t="s">
        <v>268</v>
      </c>
      <c r="F91" s="57" t="s">
        <v>34</v>
      </c>
      <c r="G91" s="61"/>
      <c r="H91" s="61"/>
      <c r="I91" s="62" t="s">
        <v>283</v>
      </c>
      <c r="J91" s="53"/>
    </row>
    <row r="92" ht="24.75" customHeight="1">
      <c r="A92" s="54" t="s">
        <v>289</v>
      </c>
      <c r="B92" s="56" t="s">
        <v>290</v>
      </c>
      <c r="C92" s="56" t="s">
        <v>291</v>
      </c>
      <c r="D92" s="56" t="s">
        <v>292</v>
      </c>
      <c r="E92" s="56" t="s">
        <v>167</v>
      </c>
      <c r="F92" s="57" t="s">
        <v>87</v>
      </c>
      <c r="G92" s="61"/>
      <c r="H92" s="79"/>
      <c r="I92" s="60"/>
      <c r="J92" s="53"/>
    </row>
    <row r="93" ht="24.75" hidden="1" customHeight="1">
      <c r="A93" s="54">
        <v>90.0</v>
      </c>
      <c r="B93" s="56" t="s">
        <v>294</v>
      </c>
      <c r="C93" s="56" t="s">
        <v>278</v>
      </c>
      <c r="D93" s="56" t="s">
        <v>275</v>
      </c>
      <c r="E93" s="56" t="s">
        <v>239</v>
      </c>
      <c r="F93" s="57" t="s">
        <v>34</v>
      </c>
      <c r="G93" s="61"/>
      <c r="H93" s="61"/>
      <c r="I93" s="62"/>
      <c r="J93" s="53"/>
    </row>
    <row r="94" ht="24.75" customHeight="1">
      <c r="A94" s="54" t="s">
        <v>289</v>
      </c>
      <c r="B94" s="56" t="s">
        <v>290</v>
      </c>
      <c r="C94" s="56" t="s">
        <v>291</v>
      </c>
      <c r="D94" s="56" t="s">
        <v>292</v>
      </c>
      <c r="E94" s="56" t="s">
        <v>295</v>
      </c>
      <c r="F94" s="57" t="s">
        <v>87</v>
      </c>
      <c r="G94" s="61"/>
      <c r="H94" s="79"/>
      <c r="I94" s="60"/>
      <c r="J94" s="53"/>
    </row>
    <row r="95" ht="24.75" hidden="1" customHeight="1">
      <c r="A95" s="54">
        <v>92.0</v>
      </c>
      <c r="B95" s="56" t="s">
        <v>233</v>
      </c>
      <c r="C95" s="56" t="s">
        <v>234</v>
      </c>
      <c r="D95" s="56" t="s">
        <v>296</v>
      </c>
      <c r="E95" s="56" t="s">
        <v>297</v>
      </c>
      <c r="F95" s="57"/>
      <c r="G95" s="61"/>
      <c r="H95" s="61"/>
      <c r="I95" s="62" t="s">
        <v>283</v>
      </c>
      <c r="J95" s="53"/>
    </row>
    <row r="96" ht="24.75" hidden="1" customHeight="1">
      <c r="A96" s="54">
        <v>90.0</v>
      </c>
      <c r="B96" s="56" t="s">
        <v>298</v>
      </c>
      <c r="C96" s="56" t="s">
        <v>278</v>
      </c>
      <c r="D96" s="56" t="s">
        <v>299</v>
      </c>
      <c r="E96" s="56" t="s">
        <v>167</v>
      </c>
      <c r="F96" s="57" t="s">
        <v>15</v>
      </c>
      <c r="G96" s="61"/>
      <c r="H96" s="61"/>
      <c r="I96" s="60"/>
      <c r="J96" s="53"/>
    </row>
    <row r="97" ht="24.75" hidden="1" customHeight="1">
      <c r="A97" s="54">
        <v>92.0</v>
      </c>
      <c r="B97" s="56" t="s">
        <v>253</v>
      </c>
      <c r="C97" s="56" t="s">
        <v>234</v>
      </c>
      <c r="D97" s="56" t="s">
        <v>300</v>
      </c>
      <c r="E97" s="56" t="s">
        <v>297</v>
      </c>
      <c r="F97" s="57"/>
      <c r="G97" s="61"/>
      <c r="H97" s="61"/>
      <c r="I97" s="62" t="s">
        <v>283</v>
      </c>
      <c r="J97" s="53"/>
    </row>
    <row r="98" ht="24.75" hidden="1" customHeight="1">
      <c r="A98" s="54">
        <v>92.0</v>
      </c>
      <c r="B98" s="56" t="s">
        <v>301</v>
      </c>
      <c r="C98" s="56" t="s">
        <v>234</v>
      </c>
      <c r="D98" s="56" t="s">
        <v>302</v>
      </c>
      <c r="E98" s="56" t="s">
        <v>163</v>
      </c>
      <c r="F98" s="57" t="s">
        <v>34</v>
      </c>
      <c r="G98" s="61"/>
      <c r="H98" s="61"/>
      <c r="I98" s="62"/>
      <c r="J98" s="53"/>
    </row>
    <row r="99" ht="24.75" hidden="1" customHeight="1">
      <c r="A99" s="54">
        <v>92.0</v>
      </c>
      <c r="B99" s="56" t="s">
        <v>301</v>
      </c>
      <c r="C99" s="56" t="s">
        <v>234</v>
      </c>
      <c r="D99" s="56" t="s">
        <v>302</v>
      </c>
      <c r="E99" s="56" t="s">
        <v>111</v>
      </c>
      <c r="F99" s="57" t="s">
        <v>154</v>
      </c>
      <c r="G99" s="61"/>
      <c r="H99" s="61"/>
      <c r="I99" s="62"/>
      <c r="J99" s="53"/>
    </row>
    <row r="100" ht="24.75" hidden="1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248</v>
      </c>
      <c r="F100" s="57" t="s">
        <v>303</v>
      </c>
      <c r="G100" s="61"/>
      <c r="H100" s="61"/>
      <c r="I100" s="62"/>
      <c r="J100" s="53"/>
    </row>
    <row r="101" ht="24.75" hidden="1" customHeight="1">
      <c r="A101" s="54">
        <v>92.0</v>
      </c>
      <c r="B101" s="56" t="s">
        <v>301</v>
      </c>
      <c r="C101" s="56" t="s">
        <v>234</v>
      </c>
      <c r="D101" s="56" t="s">
        <v>302</v>
      </c>
      <c r="E101" s="56" t="s">
        <v>247</v>
      </c>
      <c r="F101" s="57" t="s">
        <v>303</v>
      </c>
      <c r="G101" s="61"/>
      <c r="H101" s="61"/>
      <c r="I101" s="62"/>
      <c r="J101" s="53"/>
    </row>
    <row r="102" ht="24.75" hidden="1" customHeight="1">
      <c r="A102" s="54">
        <v>92.0</v>
      </c>
      <c r="B102" s="56" t="s">
        <v>304</v>
      </c>
      <c r="C102" s="56" t="s">
        <v>234</v>
      </c>
      <c r="D102" s="56" t="s">
        <v>305</v>
      </c>
      <c r="E102" s="56" t="s">
        <v>163</v>
      </c>
      <c r="F102" s="57" t="s">
        <v>34</v>
      </c>
      <c r="G102" s="61"/>
      <c r="H102" s="61"/>
      <c r="I102" s="62"/>
      <c r="J102" s="53"/>
    </row>
    <row r="103" ht="24.75" hidden="1" customHeight="1">
      <c r="A103" s="54">
        <v>92.0</v>
      </c>
      <c r="B103" s="56" t="s">
        <v>304</v>
      </c>
      <c r="C103" s="56" t="s">
        <v>234</v>
      </c>
      <c r="D103" s="56" t="s">
        <v>305</v>
      </c>
      <c r="E103" s="56" t="s">
        <v>111</v>
      </c>
      <c r="F103" s="57" t="s">
        <v>154</v>
      </c>
      <c r="G103" s="61"/>
      <c r="H103" s="61"/>
      <c r="I103" s="62"/>
      <c r="J103" s="53"/>
    </row>
    <row r="104" ht="24.75" hidden="1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248</v>
      </c>
      <c r="F104" s="57" t="s">
        <v>303</v>
      </c>
      <c r="G104" s="61"/>
      <c r="H104" s="61"/>
      <c r="I104" s="62"/>
      <c r="J104" s="53"/>
    </row>
    <row r="105" ht="24.75" hidden="1" customHeight="1">
      <c r="A105" s="54">
        <v>92.0</v>
      </c>
      <c r="B105" s="56" t="s">
        <v>304</v>
      </c>
      <c r="C105" s="56" t="s">
        <v>234</v>
      </c>
      <c r="D105" s="56" t="s">
        <v>305</v>
      </c>
      <c r="E105" s="56" t="s">
        <v>247</v>
      </c>
      <c r="F105" s="57" t="s">
        <v>303</v>
      </c>
      <c r="G105" s="61"/>
      <c r="H105" s="61"/>
      <c r="I105" s="62"/>
      <c r="J105" s="53"/>
    </row>
    <row r="106" ht="24.75" hidden="1" customHeight="1">
      <c r="A106" s="54">
        <v>92.0</v>
      </c>
      <c r="B106" s="56" t="s">
        <v>306</v>
      </c>
      <c r="C106" s="56" t="s">
        <v>234</v>
      </c>
      <c r="D106" s="56" t="s">
        <v>307</v>
      </c>
      <c r="E106" s="56" t="s">
        <v>163</v>
      </c>
      <c r="F106" s="57" t="s">
        <v>34</v>
      </c>
      <c r="G106" s="61"/>
      <c r="H106" s="61"/>
      <c r="I106" s="62"/>
      <c r="J106" s="53"/>
    </row>
    <row r="107" ht="24.75" hidden="1" customHeight="1">
      <c r="A107" s="54">
        <v>92.0</v>
      </c>
      <c r="B107" s="56" t="s">
        <v>306</v>
      </c>
      <c r="C107" s="56" t="s">
        <v>234</v>
      </c>
      <c r="D107" s="56" t="s">
        <v>307</v>
      </c>
      <c r="E107" s="56" t="s">
        <v>111</v>
      </c>
      <c r="F107" s="57" t="s">
        <v>154</v>
      </c>
      <c r="G107" s="61"/>
      <c r="H107" s="61"/>
      <c r="I107" s="62"/>
      <c r="J107" s="53"/>
    </row>
    <row r="108" ht="24.75" hidden="1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248</v>
      </c>
      <c r="F108" s="57" t="s">
        <v>303</v>
      </c>
      <c r="G108" s="61"/>
      <c r="H108" s="61"/>
      <c r="I108" s="62"/>
      <c r="J108" s="53"/>
    </row>
    <row r="109" ht="24.75" hidden="1" customHeight="1">
      <c r="A109" s="54">
        <v>92.0</v>
      </c>
      <c r="B109" s="56" t="s">
        <v>306</v>
      </c>
      <c r="C109" s="56" t="s">
        <v>234</v>
      </c>
      <c r="D109" s="56" t="s">
        <v>307</v>
      </c>
      <c r="E109" s="56" t="s">
        <v>247</v>
      </c>
      <c r="F109" s="57" t="s">
        <v>303</v>
      </c>
      <c r="G109" s="61"/>
      <c r="H109" s="61"/>
      <c r="I109" s="62"/>
      <c r="J109" s="53"/>
    </row>
    <row r="110" ht="24.75" hidden="1" customHeight="1">
      <c r="A110" s="54">
        <v>90.0</v>
      </c>
      <c r="B110" s="56" t="s">
        <v>236</v>
      </c>
      <c r="C110" s="56" t="s">
        <v>237</v>
      </c>
      <c r="D110" s="56" t="s">
        <v>238</v>
      </c>
      <c r="E110" s="56" t="s">
        <v>308</v>
      </c>
      <c r="F110" s="57" t="s">
        <v>15</v>
      </c>
      <c r="G110" s="61"/>
      <c r="H110" s="61"/>
      <c r="I110" s="60"/>
      <c r="J110" s="53"/>
    </row>
    <row r="111" ht="24.75" hidden="1" customHeight="1">
      <c r="A111" s="54">
        <v>92.0</v>
      </c>
      <c r="B111" s="56" t="s">
        <v>309</v>
      </c>
      <c r="C111" s="56" t="s">
        <v>234</v>
      </c>
      <c r="D111" s="80" t="s">
        <v>310</v>
      </c>
      <c r="E111" s="56" t="s">
        <v>297</v>
      </c>
      <c r="F111" s="57"/>
      <c r="G111" s="61"/>
      <c r="H111" s="61"/>
      <c r="I111" s="62"/>
      <c r="J111" s="53"/>
    </row>
    <row r="112" ht="24.75" hidden="1" customHeight="1">
      <c r="A112" s="54">
        <v>90.0</v>
      </c>
      <c r="B112" s="56" t="s">
        <v>236</v>
      </c>
      <c r="C112" s="56" t="s">
        <v>237</v>
      </c>
      <c r="D112" s="56" t="s">
        <v>238</v>
      </c>
      <c r="E112" s="56" t="s">
        <v>311</v>
      </c>
      <c r="F112" s="57" t="s">
        <v>15</v>
      </c>
      <c r="G112" s="61"/>
      <c r="H112" s="61"/>
      <c r="I112" s="60"/>
      <c r="J112" s="53"/>
    </row>
    <row r="113" ht="24.75" hidden="1" customHeight="1">
      <c r="A113" s="54">
        <v>90.0</v>
      </c>
      <c r="B113" s="56" t="s">
        <v>236</v>
      </c>
      <c r="C113" s="56" t="s">
        <v>237</v>
      </c>
      <c r="D113" s="56" t="s">
        <v>238</v>
      </c>
      <c r="E113" s="56" t="s">
        <v>312</v>
      </c>
      <c r="F113" s="57" t="s">
        <v>15</v>
      </c>
      <c r="G113" s="61"/>
      <c r="H113" s="61"/>
      <c r="I113" s="60"/>
      <c r="J113" s="53"/>
    </row>
    <row r="114" ht="24.75" hidden="1" customHeight="1">
      <c r="A114" s="54">
        <v>100.0</v>
      </c>
      <c r="B114" s="56" t="s">
        <v>314</v>
      </c>
      <c r="C114" s="56" t="s">
        <v>315</v>
      </c>
      <c r="D114" s="56" t="s">
        <v>316</v>
      </c>
      <c r="E114" s="56" t="s">
        <v>317</v>
      </c>
      <c r="F114" s="57" t="s">
        <v>34</v>
      </c>
      <c r="G114" s="81"/>
      <c r="H114" s="81"/>
      <c r="I114" s="57"/>
      <c r="J114" s="53"/>
    </row>
    <row r="115" ht="24.75" hidden="1" customHeight="1">
      <c r="A115" s="54">
        <v>100.0</v>
      </c>
      <c r="B115" s="56" t="s">
        <v>318</v>
      </c>
      <c r="C115" s="56" t="s">
        <v>315</v>
      </c>
      <c r="D115" s="56" t="s">
        <v>319</v>
      </c>
      <c r="E115" s="56" t="s">
        <v>320</v>
      </c>
      <c r="F115" s="57" t="s">
        <v>34</v>
      </c>
      <c r="G115" s="81"/>
      <c r="H115" s="81"/>
      <c r="I115" s="57"/>
      <c r="J115" s="5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82"/>
      <c r="EB115" s="82"/>
      <c r="EC115" s="82"/>
      <c r="ED115" s="82"/>
      <c r="EE115" s="82"/>
      <c r="EF115" s="82"/>
      <c r="EG115" s="82"/>
      <c r="EH115" s="82"/>
      <c r="EI115" s="82"/>
      <c r="EJ115" s="82"/>
      <c r="EK115" s="82"/>
      <c r="EL115" s="82"/>
      <c r="EM115" s="82"/>
      <c r="EN115" s="82"/>
      <c r="EO115" s="82"/>
      <c r="EP115" s="82"/>
      <c r="EQ115" s="82"/>
      <c r="ER115" s="82"/>
      <c r="ES115" s="82"/>
      <c r="ET115" s="82"/>
      <c r="EU115" s="82"/>
      <c r="EV115" s="82"/>
      <c r="EW115" s="82"/>
      <c r="EX115" s="82"/>
      <c r="EY115" s="82"/>
      <c r="EZ115" s="82"/>
      <c r="FA115" s="82"/>
      <c r="FB115" s="82"/>
      <c r="FC115" s="82"/>
      <c r="FD115" s="82"/>
      <c r="FE115" s="82"/>
      <c r="FF115" s="82"/>
      <c r="FG115" s="82"/>
      <c r="FH115" s="82"/>
      <c r="FI115" s="82"/>
      <c r="FJ115" s="82"/>
      <c r="FK115" s="82"/>
      <c r="FL115" s="82"/>
      <c r="FM115" s="82"/>
      <c r="FN115" s="82"/>
      <c r="FO115" s="82"/>
      <c r="FP115" s="82"/>
      <c r="FQ115" s="82"/>
      <c r="FR115" s="82"/>
      <c r="FS115" s="82"/>
      <c r="FT115" s="82"/>
      <c r="FU115" s="82"/>
      <c r="FV115" s="82"/>
      <c r="FW115" s="82"/>
      <c r="FX115" s="82"/>
      <c r="FY115" s="82"/>
      <c r="FZ115" s="82"/>
      <c r="GA115" s="82"/>
      <c r="GB115" s="82"/>
      <c r="GC115" s="82"/>
      <c r="GD115" s="82"/>
      <c r="GE115" s="82"/>
      <c r="GF115" s="82"/>
    </row>
    <row r="116" ht="24.75" hidden="1" customHeight="1">
      <c r="A116" s="54">
        <v>100.0</v>
      </c>
      <c r="B116" s="56" t="s">
        <v>318</v>
      </c>
      <c r="C116" s="56" t="s">
        <v>315</v>
      </c>
      <c r="D116" s="56" t="s">
        <v>319</v>
      </c>
      <c r="E116" s="56" t="s">
        <v>325</v>
      </c>
      <c r="F116" s="57" t="s">
        <v>34</v>
      </c>
      <c r="G116" s="53"/>
      <c r="H116" s="53"/>
      <c r="I116" s="53"/>
      <c r="J116" s="5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F116" s="82"/>
      <c r="EG116" s="82"/>
      <c r="EH116" s="82"/>
      <c r="EI116" s="82"/>
      <c r="EJ116" s="82"/>
      <c r="EK116" s="82"/>
      <c r="EL116" s="82"/>
      <c r="EM116" s="82"/>
      <c r="EN116" s="82"/>
      <c r="EO116" s="82"/>
      <c r="EP116" s="82"/>
      <c r="EQ116" s="82"/>
      <c r="ER116" s="82"/>
      <c r="ES116" s="82"/>
      <c r="ET116" s="82"/>
      <c r="EU116" s="82"/>
      <c r="EV116" s="82"/>
      <c r="EW116" s="82"/>
      <c r="EX116" s="82"/>
      <c r="EY116" s="82"/>
      <c r="EZ116" s="82"/>
      <c r="FA116" s="82"/>
      <c r="FB116" s="82"/>
      <c r="FC116" s="82"/>
      <c r="FD116" s="82"/>
      <c r="FE116" s="82"/>
      <c r="FF116" s="82"/>
      <c r="FG116" s="82"/>
      <c r="FH116" s="82"/>
      <c r="FI116" s="82"/>
      <c r="FJ116" s="82"/>
      <c r="FK116" s="82"/>
      <c r="FL116" s="82"/>
      <c r="FM116" s="82"/>
      <c r="FN116" s="82"/>
      <c r="FO116" s="82"/>
      <c r="FP116" s="82"/>
      <c r="FQ116" s="82"/>
      <c r="FR116" s="82"/>
      <c r="FS116" s="82"/>
      <c r="FT116" s="82"/>
      <c r="FU116" s="82"/>
      <c r="FV116" s="82"/>
      <c r="FW116" s="82"/>
      <c r="FX116" s="82"/>
      <c r="FY116" s="82"/>
      <c r="FZ116" s="82"/>
      <c r="GA116" s="82"/>
      <c r="GB116" s="82"/>
      <c r="GC116" s="82"/>
      <c r="GD116" s="82"/>
      <c r="GE116" s="82"/>
      <c r="GF116" s="82"/>
    </row>
    <row r="117" ht="24.75" hidden="1" customHeight="1">
      <c r="A117" s="54">
        <v>100.0</v>
      </c>
      <c r="B117" s="56" t="s">
        <v>328</v>
      </c>
      <c r="C117" s="56" t="s">
        <v>315</v>
      </c>
      <c r="D117" s="56" t="s">
        <v>329</v>
      </c>
      <c r="E117" s="56" t="s">
        <v>320</v>
      </c>
      <c r="F117" s="57" t="s">
        <v>34</v>
      </c>
      <c r="G117" s="53"/>
      <c r="H117" s="53"/>
      <c r="I117" s="53"/>
      <c r="J117" s="5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  <c r="FU117" s="82"/>
      <c r="FV117" s="82"/>
      <c r="FW117" s="82"/>
      <c r="FX117" s="82"/>
      <c r="FY117" s="82"/>
      <c r="FZ117" s="82"/>
      <c r="GA117" s="82"/>
      <c r="GB117" s="82"/>
      <c r="GC117" s="82"/>
      <c r="GD117" s="82"/>
      <c r="GE117" s="82"/>
      <c r="GF117" s="82"/>
    </row>
    <row r="118" ht="24.75" hidden="1" customHeight="1">
      <c r="A118" s="54">
        <v>100.0</v>
      </c>
      <c r="B118" s="56" t="s">
        <v>328</v>
      </c>
      <c r="C118" s="56" t="s">
        <v>315</v>
      </c>
      <c r="D118" s="56" t="s">
        <v>329</v>
      </c>
      <c r="E118" s="56" t="s">
        <v>325</v>
      </c>
      <c r="F118" s="57" t="s">
        <v>34</v>
      </c>
      <c r="G118" s="53"/>
      <c r="H118" s="53"/>
      <c r="I118" s="53"/>
      <c r="J118" s="5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  <c r="FU118" s="82"/>
      <c r="FV118" s="82"/>
      <c r="FW118" s="82"/>
      <c r="FX118" s="82"/>
      <c r="FY118" s="82"/>
      <c r="FZ118" s="82"/>
      <c r="GA118" s="82"/>
      <c r="GB118" s="82"/>
      <c r="GC118" s="82"/>
      <c r="GD118" s="82"/>
      <c r="GE118" s="82"/>
      <c r="GF118" s="82"/>
    </row>
    <row r="119" ht="24.75" customHeight="1">
      <c r="A119" s="54">
        <v>100.0</v>
      </c>
      <c r="B119" s="56" t="s">
        <v>331</v>
      </c>
      <c r="C119" s="56" t="s">
        <v>315</v>
      </c>
      <c r="D119" s="56" t="s">
        <v>332</v>
      </c>
      <c r="E119" s="56" t="s">
        <v>333</v>
      </c>
      <c r="F119" s="57" t="s">
        <v>250</v>
      </c>
      <c r="G119" s="50"/>
      <c r="H119" s="61" t="s">
        <v>346</v>
      </c>
      <c r="I119" s="84" t="s">
        <v>347</v>
      </c>
      <c r="J119" s="53"/>
    </row>
    <row r="120" ht="24.75" hidden="1" customHeight="1">
      <c r="A120" s="54">
        <v>100.0</v>
      </c>
      <c r="B120" s="56" t="s">
        <v>334</v>
      </c>
      <c r="C120" s="56" t="s">
        <v>315</v>
      </c>
      <c r="D120" s="56" t="s">
        <v>335</v>
      </c>
      <c r="E120" s="56" t="s">
        <v>336</v>
      </c>
      <c r="F120" s="57" t="s">
        <v>192</v>
      </c>
      <c r="G120" s="50"/>
      <c r="H120" s="50"/>
      <c r="I120" s="84"/>
      <c r="J120" s="53"/>
    </row>
    <row r="121" ht="24.75" hidden="1" customHeight="1">
      <c r="A121" s="54">
        <v>90.0</v>
      </c>
      <c r="B121" s="56" t="s">
        <v>337</v>
      </c>
      <c r="C121" s="56" t="s">
        <v>237</v>
      </c>
      <c r="D121" s="56" t="s">
        <v>338</v>
      </c>
      <c r="E121" s="56" t="s">
        <v>111</v>
      </c>
      <c r="F121" s="57" t="s">
        <v>15</v>
      </c>
      <c r="G121" s="61"/>
      <c r="H121" s="61"/>
      <c r="I121" s="60"/>
      <c r="J121" s="53"/>
    </row>
    <row r="122" ht="24.75" hidden="1" customHeight="1">
      <c r="A122" s="54">
        <v>101.0</v>
      </c>
      <c r="B122" s="56" t="s">
        <v>339</v>
      </c>
      <c r="C122" s="56" t="s">
        <v>315</v>
      </c>
      <c r="D122" s="56" t="s">
        <v>340</v>
      </c>
      <c r="E122" s="56" t="s">
        <v>341</v>
      </c>
      <c r="F122" s="57" t="s">
        <v>154</v>
      </c>
      <c r="G122" s="61"/>
      <c r="H122" s="61"/>
      <c r="I122" s="62"/>
      <c r="J122" s="53"/>
    </row>
    <row r="123" ht="24.75" customHeight="1">
      <c r="A123" s="54">
        <v>101.0</v>
      </c>
      <c r="B123" s="56" t="s">
        <v>342</v>
      </c>
      <c r="C123" s="56" t="s">
        <v>315</v>
      </c>
      <c r="D123" s="56" t="s">
        <v>340</v>
      </c>
      <c r="E123" s="56" t="s">
        <v>333</v>
      </c>
      <c r="F123" s="57" t="s">
        <v>250</v>
      </c>
      <c r="G123" s="61"/>
      <c r="H123" s="61" t="s">
        <v>346</v>
      </c>
      <c r="I123" s="62" t="s">
        <v>347</v>
      </c>
      <c r="J123" s="53"/>
    </row>
    <row r="124" ht="24.75" customHeight="1">
      <c r="A124" s="54">
        <v>101.0</v>
      </c>
      <c r="B124" s="56" t="s">
        <v>343</v>
      </c>
      <c r="C124" s="56" t="s">
        <v>315</v>
      </c>
      <c r="D124" s="56" t="s">
        <v>340</v>
      </c>
      <c r="E124" s="56" t="s">
        <v>333</v>
      </c>
      <c r="F124" s="57" t="s">
        <v>250</v>
      </c>
      <c r="G124" s="61"/>
      <c r="H124" s="61" t="s">
        <v>346</v>
      </c>
      <c r="I124" s="62" t="s">
        <v>347</v>
      </c>
      <c r="J124" s="53"/>
    </row>
    <row r="125" ht="24.75" hidden="1" customHeight="1">
      <c r="A125" s="54">
        <v>101.0</v>
      </c>
      <c r="B125" s="56" t="s">
        <v>344</v>
      </c>
      <c r="C125" s="56" t="s">
        <v>315</v>
      </c>
      <c r="D125" s="56" t="s">
        <v>340</v>
      </c>
      <c r="E125" s="56" t="s">
        <v>345</v>
      </c>
      <c r="F125" s="57" t="s">
        <v>154</v>
      </c>
      <c r="G125" s="61"/>
      <c r="H125" s="61"/>
      <c r="I125" s="62"/>
      <c r="J125" s="53"/>
    </row>
    <row r="126" ht="24.75" hidden="1" customHeight="1">
      <c r="A126" s="54">
        <v>90.0</v>
      </c>
      <c r="B126" s="56" t="s">
        <v>348</v>
      </c>
      <c r="C126" s="56" t="s">
        <v>237</v>
      </c>
      <c r="D126" s="56" t="s">
        <v>349</v>
      </c>
      <c r="E126" s="56" t="s">
        <v>111</v>
      </c>
      <c r="F126" s="57" t="s">
        <v>15</v>
      </c>
      <c r="G126" s="61"/>
      <c r="H126" s="61"/>
      <c r="I126" s="60"/>
      <c r="J126" s="53"/>
    </row>
    <row r="127" ht="24.75" hidden="1" customHeight="1">
      <c r="A127" s="54">
        <v>101.0</v>
      </c>
      <c r="B127" s="56" t="s">
        <v>350</v>
      </c>
      <c r="C127" s="56" t="s">
        <v>315</v>
      </c>
      <c r="D127" s="56" t="s">
        <v>351</v>
      </c>
      <c r="E127" s="56" t="s">
        <v>352</v>
      </c>
      <c r="F127" s="57" t="s">
        <v>154</v>
      </c>
      <c r="G127" s="61"/>
      <c r="H127" s="61"/>
      <c r="I127" s="62"/>
      <c r="J127" s="53"/>
    </row>
    <row r="128" ht="24.75" customHeight="1">
      <c r="A128" s="54">
        <v>102.0</v>
      </c>
      <c r="B128" s="56" t="s">
        <v>353</v>
      </c>
      <c r="C128" s="56" t="s">
        <v>315</v>
      </c>
      <c r="D128" s="56" t="s">
        <v>354</v>
      </c>
      <c r="E128" s="56" t="s">
        <v>355</v>
      </c>
      <c r="F128" s="57" t="s">
        <v>250</v>
      </c>
      <c r="G128" s="61"/>
      <c r="H128" s="61" t="s">
        <v>346</v>
      </c>
      <c r="I128" s="62" t="s">
        <v>363</v>
      </c>
      <c r="J128" s="53"/>
    </row>
    <row r="129" ht="24.75" hidden="1" customHeight="1">
      <c r="A129" s="54">
        <v>90.0</v>
      </c>
      <c r="B129" s="56" t="s">
        <v>265</v>
      </c>
      <c r="C129" s="56" t="s">
        <v>237</v>
      </c>
      <c r="D129" s="56" t="s">
        <v>266</v>
      </c>
      <c r="E129" s="56" t="s">
        <v>111</v>
      </c>
      <c r="F129" s="57" t="s">
        <v>15</v>
      </c>
      <c r="G129" s="61"/>
      <c r="H129" s="61"/>
      <c r="I129" s="60" t="s">
        <v>283</v>
      </c>
      <c r="J129" s="53"/>
    </row>
    <row r="130" ht="24.75" hidden="1" customHeight="1">
      <c r="A130" s="54">
        <v>110.0</v>
      </c>
      <c r="B130" s="56" t="s">
        <v>356</v>
      </c>
      <c r="C130" s="56" t="s">
        <v>259</v>
      </c>
      <c r="D130" s="56" t="s">
        <v>357</v>
      </c>
      <c r="E130" s="56" t="s">
        <v>358</v>
      </c>
      <c r="F130" s="57" t="s">
        <v>34</v>
      </c>
      <c r="G130" s="61"/>
      <c r="H130" s="61"/>
      <c r="I130" s="62"/>
      <c r="J130" s="53"/>
    </row>
    <row r="131" ht="24.75" hidden="1" customHeight="1">
      <c r="A131" s="54">
        <v>110.0</v>
      </c>
      <c r="B131" s="56" t="s">
        <v>359</v>
      </c>
      <c r="C131" s="56" t="s">
        <v>259</v>
      </c>
      <c r="D131" s="56" t="s">
        <v>360</v>
      </c>
      <c r="E131" s="56" t="s">
        <v>358</v>
      </c>
      <c r="F131" s="57" t="s">
        <v>34</v>
      </c>
      <c r="G131" s="61"/>
      <c r="H131" s="61"/>
      <c r="I131" s="62"/>
      <c r="J131" s="53"/>
    </row>
    <row r="132" ht="24.75" hidden="1" customHeight="1">
      <c r="A132" s="54">
        <v>90.0</v>
      </c>
      <c r="B132" s="56" t="s">
        <v>274</v>
      </c>
      <c r="C132" s="56" t="s">
        <v>237</v>
      </c>
      <c r="D132" s="56" t="s">
        <v>275</v>
      </c>
      <c r="E132" s="56" t="s">
        <v>111</v>
      </c>
      <c r="F132" s="57" t="s">
        <v>15</v>
      </c>
      <c r="G132" s="61"/>
      <c r="H132" s="61"/>
      <c r="I132" s="60"/>
      <c r="J132" s="53"/>
    </row>
    <row r="133" ht="24.75" hidden="1" customHeight="1">
      <c r="A133" s="54">
        <v>90.0</v>
      </c>
      <c r="B133" s="56" t="s">
        <v>280</v>
      </c>
      <c r="C133" s="56" t="s">
        <v>278</v>
      </c>
      <c r="D133" s="56" t="s">
        <v>281</v>
      </c>
      <c r="E133" s="56" t="s">
        <v>272</v>
      </c>
      <c r="F133" s="57" t="s">
        <v>15</v>
      </c>
      <c r="G133" s="61"/>
      <c r="H133" s="61"/>
      <c r="I133" s="60"/>
      <c r="J133" s="53"/>
    </row>
    <row r="134" ht="24.75" hidden="1" customHeight="1">
      <c r="A134" s="54">
        <v>110.0</v>
      </c>
      <c r="B134" s="56" t="s">
        <v>361</v>
      </c>
      <c r="C134" s="56" t="s">
        <v>259</v>
      </c>
      <c r="D134" s="56" t="s">
        <v>362</v>
      </c>
      <c r="E134" s="56" t="s">
        <v>358</v>
      </c>
      <c r="F134" s="57" t="s">
        <v>34</v>
      </c>
      <c r="G134" s="61"/>
      <c r="H134" s="61"/>
      <c r="I134" s="62"/>
      <c r="J134" s="53"/>
    </row>
    <row r="135" ht="24.75" hidden="1" customHeight="1">
      <c r="A135" s="54">
        <v>110.0</v>
      </c>
      <c r="B135" s="56" t="s">
        <v>364</v>
      </c>
      <c r="C135" s="56" t="s">
        <v>259</v>
      </c>
      <c r="D135" s="56" t="s">
        <v>365</v>
      </c>
      <c r="E135" s="56" t="s">
        <v>358</v>
      </c>
      <c r="F135" s="57" t="s">
        <v>34</v>
      </c>
      <c r="G135" s="61"/>
      <c r="H135" s="61"/>
      <c r="I135" s="62"/>
      <c r="J135" s="53"/>
    </row>
    <row r="136" ht="24.75" hidden="1" customHeight="1">
      <c r="A136" s="54">
        <v>110.0</v>
      </c>
      <c r="B136" s="56" t="s">
        <v>366</v>
      </c>
      <c r="C136" s="56" t="s">
        <v>259</v>
      </c>
      <c r="D136" s="56" t="s">
        <v>367</v>
      </c>
      <c r="E136" s="56" t="s">
        <v>358</v>
      </c>
      <c r="F136" s="57" t="s">
        <v>34</v>
      </c>
      <c r="G136" s="61"/>
      <c r="H136" s="61"/>
      <c r="I136" s="62"/>
      <c r="J136" s="53"/>
    </row>
    <row r="137" ht="24.75" hidden="1" customHeight="1">
      <c r="A137" s="54">
        <v>110.0</v>
      </c>
      <c r="B137" s="56" t="s">
        <v>368</v>
      </c>
      <c r="C137" s="56" t="s">
        <v>259</v>
      </c>
      <c r="D137" s="56" t="s">
        <v>369</v>
      </c>
      <c r="E137" s="56" t="s">
        <v>358</v>
      </c>
      <c r="F137" s="57" t="s">
        <v>34</v>
      </c>
      <c r="G137" s="61"/>
      <c r="H137" s="61"/>
      <c r="I137" s="62"/>
      <c r="J137" s="53"/>
    </row>
    <row r="138" ht="24.75" hidden="1" customHeight="1">
      <c r="A138" s="54">
        <v>110.0</v>
      </c>
      <c r="B138" s="56" t="s">
        <v>370</v>
      </c>
      <c r="C138" s="56" t="s">
        <v>259</v>
      </c>
      <c r="D138" s="56" t="s">
        <v>371</v>
      </c>
      <c r="E138" s="56" t="s">
        <v>336</v>
      </c>
      <c r="F138" s="57" t="s">
        <v>192</v>
      </c>
      <c r="G138" s="61"/>
      <c r="H138" s="61"/>
      <c r="I138" s="62"/>
      <c r="J138" s="53"/>
    </row>
    <row r="139" ht="24.75" hidden="1" customHeight="1">
      <c r="A139" s="54">
        <v>110.0</v>
      </c>
      <c r="B139" s="56" t="s">
        <v>370</v>
      </c>
      <c r="C139" s="56" t="s">
        <v>259</v>
      </c>
      <c r="D139" s="56" t="s">
        <v>371</v>
      </c>
      <c r="E139" s="56" t="s">
        <v>372</v>
      </c>
      <c r="F139" s="57" t="s">
        <v>34</v>
      </c>
      <c r="G139" s="61"/>
      <c r="H139" s="61"/>
      <c r="I139" s="62"/>
      <c r="J139" s="53"/>
    </row>
    <row r="140" ht="24.75" hidden="1" customHeight="1">
      <c r="A140" s="54">
        <v>110.0</v>
      </c>
      <c r="B140" s="56" t="s">
        <v>370</v>
      </c>
      <c r="C140" s="56" t="s">
        <v>259</v>
      </c>
      <c r="D140" s="56" t="s">
        <v>371</v>
      </c>
      <c r="E140" s="56" t="s">
        <v>158</v>
      </c>
      <c r="F140" s="57" t="s">
        <v>34</v>
      </c>
      <c r="G140" s="61"/>
      <c r="H140" s="61"/>
      <c r="I140" s="62"/>
      <c r="J140" s="53"/>
    </row>
    <row r="141" ht="24.75" hidden="1" customHeight="1">
      <c r="A141" s="54">
        <v>110.0</v>
      </c>
      <c r="B141" s="56" t="s">
        <v>373</v>
      </c>
      <c r="C141" s="56" t="s">
        <v>259</v>
      </c>
      <c r="D141" s="56" t="s">
        <v>374</v>
      </c>
      <c r="E141" s="56" t="s">
        <v>336</v>
      </c>
      <c r="F141" s="57" t="s">
        <v>192</v>
      </c>
      <c r="G141" s="61"/>
      <c r="H141" s="61"/>
      <c r="I141" s="62"/>
      <c r="J141" s="53"/>
    </row>
    <row r="142" ht="24.75" hidden="1" customHeight="1">
      <c r="A142" s="54">
        <v>110.0</v>
      </c>
      <c r="B142" s="56" t="s">
        <v>375</v>
      </c>
      <c r="C142" s="56" t="s">
        <v>259</v>
      </c>
      <c r="D142" s="56" t="s">
        <v>376</v>
      </c>
      <c r="E142" s="56" t="s">
        <v>336</v>
      </c>
      <c r="F142" s="57" t="s">
        <v>192</v>
      </c>
      <c r="G142" s="61"/>
      <c r="H142" s="61"/>
      <c r="I142" s="62"/>
      <c r="J142" s="53"/>
    </row>
    <row r="143" ht="24.75" hidden="1" customHeight="1">
      <c r="A143" s="54">
        <v>110.0</v>
      </c>
      <c r="B143" s="56" t="s">
        <v>375</v>
      </c>
      <c r="C143" s="56" t="s">
        <v>259</v>
      </c>
      <c r="D143" s="56" t="s">
        <v>376</v>
      </c>
      <c r="E143" s="56" t="s">
        <v>372</v>
      </c>
      <c r="F143" s="57" t="s">
        <v>34</v>
      </c>
      <c r="G143" s="61"/>
      <c r="H143" s="61"/>
      <c r="I143" s="62"/>
      <c r="J143" s="53"/>
    </row>
    <row r="144" ht="24.75" hidden="1" customHeight="1">
      <c r="A144" s="54">
        <v>110.0</v>
      </c>
      <c r="B144" s="56" t="s">
        <v>375</v>
      </c>
      <c r="C144" s="56" t="s">
        <v>259</v>
      </c>
      <c r="D144" s="56" t="s">
        <v>376</v>
      </c>
      <c r="E144" s="56" t="s">
        <v>158</v>
      </c>
      <c r="F144" s="57" t="s">
        <v>34</v>
      </c>
      <c r="G144" s="61"/>
      <c r="H144" s="61"/>
      <c r="I144" s="62"/>
      <c r="J144" s="53"/>
    </row>
    <row r="145" ht="24.75" hidden="1" customHeight="1">
      <c r="A145" s="54">
        <v>110.0</v>
      </c>
      <c r="B145" s="56" t="s">
        <v>377</v>
      </c>
      <c r="C145" s="56" t="s">
        <v>259</v>
      </c>
      <c r="D145" s="56" t="s">
        <v>378</v>
      </c>
      <c r="E145" s="56" t="s">
        <v>336</v>
      </c>
      <c r="F145" s="57" t="s">
        <v>192</v>
      </c>
      <c r="G145" s="61"/>
      <c r="H145" s="61"/>
      <c r="I145" s="62"/>
      <c r="J145" s="53"/>
    </row>
    <row r="146" ht="24.75" hidden="1" customHeight="1">
      <c r="A146" s="54">
        <v>110.0</v>
      </c>
      <c r="B146" s="56" t="s">
        <v>380</v>
      </c>
      <c r="C146" s="56" t="s">
        <v>259</v>
      </c>
      <c r="D146" s="56" t="s">
        <v>381</v>
      </c>
      <c r="E146" s="56" t="s">
        <v>336</v>
      </c>
      <c r="F146" s="57" t="s">
        <v>192</v>
      </c>
      <c r="G146" s="61"/>
      <c r="H146" s="61"/>
      <c r="I146" s="62"/>
      <c r="J146" s="53"/>
    </row>
    <row r="147" ht="24.75" hidden="1" customHeight="1">
      <c r="A147" s="54">
        <v>110.0</v>
      </c>
      <c r="B147" s="56" t="s">
        <v>382</v>
      </c>
      <c r="C147" s="56" t="s">
        <v>259</v>
      </c>
      <c r="D147" s="56" t="s">
        <v>383</v>
      </c>
      <c r="E147" s="56" t="s">
        <v>336</v>
      </c>
      <c r="F147" s="57" t="s">
        <v>192</v>
      </c>
      <c r="G147" s="61"/>
      <c r="H147" s="61"/>
      <c r="I147" s="62"/>
      <c r="J147" s="53"/>
    </row>
    <row r="148" ht="24.75" hidden="1" customHeight="1">
      <c r="A148" s="54">
        <v>110.0</v>
      </c>
      <c r="B148" s="56" t="s">
        <v>385</v>
      </c>
      <c r="C148" s="56" t="s">
        <v>259</v>
      </c>
      <c r="D148" s="56" t="s">
        <v>386</v>
      </c>
      <c r="E148" s="56" t="s">
        <v>336</v>
      </c>
      <c r="F148" s="57" t="s">
        <v>192</v>
      </c>
      <c r="G148" s="61"/>
      <c r="H148" s="61"/>
      <c r="I148" s="62"/>
      <c r="J148" s="53"/>
    </row>
    <row r="149" ht="24.75" hidden="1" customHeight="1">
      <c r="A149" s="54">
        <v>110.0</v>
      </c>
      <c r="B149" s="56" t="s">
        <v>385</v>
      </c>
      <c r="C149" s="56" t="s">
        <v>259</v>
      </c>
      <c r="D149" s="56" t="s">
        <v>386</v>
      </c>
      <c r="E149" s="56" t="s">
        <v>372</v>
      </c>
      <c r="F149" s="57" t="s">
        <v>34</v>
      </c>
      <c r="G149" s="61"/>
      <c r="H149" s="61"/>
      <c r="I149" s="62"/>
      <c r="J149" s="53"/>
    </row>
    <row r="150" ht="24.75" hidden="1" customHeight="1">
      <c r="A150" s="54">
        <v>110.0</v>
      </c>
      <c r="B150" s="56" t="s">
        <v>385</v>
      </c>
      <c r="C150" s="56" t="s">
        <v>259</v>
      </c>
      <c r="D150" s="56" t="s">
        <v>386</v>
      </c>
      <c r="E150" s="56" t="s">
        <v>158</v>
      </c>
      <c r="F150" s="57" t="s">
        <v>34</v>
      </c>
      <c r="G150" s="61"/>
      <c r="H150" s="61"/>
      <c r="I150" s="62"/>
      <c r="J150" s="53"/>
    </row>
    <row r="151" ht="24.75" hidden="1" customHeight="1">
      <c r="A151" s="54">
        <v>110.0</v>
      </c>
      <c r="B151" s="56" t="s">
        <v>388</v>
      </c>
      <c r="C151" s="56" t="s">
        <v>259</v>
      </c>
      <c r="D151" s="56" t="s">
        <v>389</v>
      </c>
      <c r="E151" s="56" t="s">
        <v>336</v>
      </c>
      <c r="F151" s="57" t="s">
        <v>192</v>
      </c>
      <c r="G151" s="61"/>
      <c r="H151" s="61"/>
      <c r="I151" s="62"/>
      <c r="J151" s="53"/>
    </row>
    <row r="152" ht="24.75" hidden="1" customHeight="1">
      <c r="A152" s="54">
        <v>110.0</v>
      </c>
      <c r="B152" s="56" t="s">
        <v>388</v>
      </c>
      <c r="C152" s="56" t="s">
        <v>259</v>
      </c>
      <c r="D152" s="56" t="s">
        <v>389</v>
      </c>
      <c r="E152" s="56" t="s">
        <v>372</v>
      </c>
      <c r="F152" s="57" t="s">
        <v>34</v>
      </c>
      <c r="G152" s="61"/>
      <c r="H152" s="61"/>
      <c r="I152" s="62"/>
      <c r="J152" s="53"/>
    </row>
    <row r="153" ht="24.75" hidden="1" customHeight="1">
      <c r="A153" s="54">
        <v>110.0</v>
      </c>
      <c r="B153" s="56" t="s">
        <v>388</v>
      </c>
      <c r="C153" s="56" t="s">
        <v>259</v>
      </c>
      <c r="D153" s="56" t="s">
        <v>389</v>
      </c>
      <c r="E153" s="56" t="s">
        <v>158</v>
      </c>
      <c r="F153" s="57" t="s">
        <v>34</v>
      </c>
      <c r="G153" s="61"/>
      <c r="H153" s="61"/>
      <c r="I153" s="62"/>
      <c r="J153" s="53"/>
    </row>
    <row r="154" ht="24.75" hidden="1" customHeight="1">
      <c r="A154" s="54">
        <v>110.0</v>
      </c>
      <c r="B154" s="56" t="s">
        <v>390</v>
      </c>
      <c r="C154" s="56" t="s">
        <v>259</v>
      </c>
      <c r="D154" s="56" t="s">
        <v>391</v>
      </c>
      <c r="E154" s="56" t="s">
        <v>372</v>
      </c>
      <c r="F154" s="57" t="s">
        <v>34</v>
      </c>
      <c r="G154" s="61"/>
      <c r="H154" s="61"/>
      <c r="I154" s="62"/>
      <c r="J154" s="53"/>
    </row>
    <row r="155" ht="24.75" hidden="1" customHeight="1">
      <c r="A155" s="54">
        <v>110.0</v>
      </c>
      <c r="B155" s="56" t="s">
        <v>390</v>
      </c>
      <c r="C155" s="56" t="s">
        <v>259</v>
      </c>
      <c r="D155" s="56" t="s">
        <v>391</v>
      </c>
      <c r="E155" s="56" t="s">
        <v>158</v>
      </c>
      <c r="F155" s="57" t="s">
        <v>34</v>
      </c>
      <c r="G155" s="61"/>
      <c r="H155" s="61"/>
      <c r="I155" s="62"/>
      <c r="J155" s="53"/>
    </row>
    <row r="156" ht="24.75" hidden="1" customHeight="1">
      <c r="A156" s="54">
        <v>110.0</v>
      </c>
      <c r="B156" s="56" t="s">
        <v>392</v>
      </c>
      <c r="C156" s="56" t="s">
        <v>101</v>
      </c>
      <c r="D156" s="56" t="s">
        <v>102</v>
      </c>
      <c r="E156" s="56" t="s">
        <v>111</v>
      </c>
      <c r="F156" s="57" t="s">
        <v>34</v>
      </c>
      <c r="G156" s="61"/>
      <c r="H156" s="61"/>
      <c r="I156" s="62"/>
      <c r="J156" s="53"/>
    </row>
    <row r="157" ht="24.75" hidden="1" customHeight="1">
      <c r="A157" s="54">
        <v>120.0</v>
      </c>
      <c r="B157" s="56" t="s">
        <v>393</v>
      </c>
      <c r="C157" s="56" t="s">
        <v>394</v>
      </c>
      <c r="D157" s="56" t="s">
        <v>299</v>
      </c>
      <c r="E157" s="56" t="s">
        <v>163</v>
      </c>
      <c r="F157" s="57" t="s">
        <v>154</v>
      </c>
      <c r="G157" s="61"/>
      <c r="H157" s="61"/>
      <c r="I157" s="62" t="s">
        <v>207</v>
      </c>
      <c r="J157" s="53"/>
    </row>
    <row r="158" ht="24.75" hidden="1" customHeight="1">
      <c r="A158" s="54">
        <v>120.0</v>
      </c>
      <c r="B158" s="56" t="s">
        <v>395</v>
      </c>
      <c r="C158" s="56" t="s">
        <v>394</v>
      </c>
      <c r="D158" s="56" t="s">
        <v>172</v>
      </c>
      <c r="E158" s="56" t="s">
        <v>163</v>
      </c>
      <c r="F158" s="57" t="s">
        <v>154</v>
      </c>
      <c r="G158" s="61"/>
      <c r="H158" s="61"/>
      <c r="I158" s="62"/>
      <c r="J158" s="53"/>
    </row>
    <row r="159" ht="24.75" hidden="1" customHeight="1">
      <c r="A159" s="54">
        <v>120.0</v>
      </c>
      <c r="B159" s="56" t="s">
        <v>396</v>
      </c>
      <c r="C159" s="56" t="s">
        <v>394</v>
      </c>
      <c r="D159" s="56" t="s">
        <v>397</v>
      </c>
      <c r="E159" s="56" t="s">
        <v>163</v>
      </c>
      <c r="F159" s="57" t="s">
        <v>154</v>
      </c>
      <c r="G159" s="61"/>
      <c r="H159" s="61"/>
      <c r="I159" s="62"/>
      <c r="J159" s="53"/>
    </row>
    <row r="160" ht="24.75" hidden="1" customHeight="1">
      <c r="A160" s="54">
        <v>120.0</v>
      </c>
      <c r="B160" s="56" t="s">
        <v>398</v>
      </c>
      <c r="C160" s="56" t="s">
        <v>394</v>
      </c>
      <c r="D160" s="56" t="s">
        <v>399</v>
      </c>
      <c r="E160" s="56" t="s">
        <v>163</v>
      </c>
      <c r="F160" s="57" t="s">
        <v>154</v>
      </c>
      <c r="G160" s="61"/>
      <c r="H160" s="61"/>
      <c r="I160" s="62"/>
      <c r="J160" s="53"/>
    </row>
    <row r="161" ht="24.75" hidden="1" customHeight="1">
      <c r="A161" s="54">
        <v>120.0</v>
      </c>
      <c r="B161" s="56" t="s">
        <v>400</v>
      </c>
      <c r="C161" s="56" t="s">
        <v>394</v>
      </c>
      <c r="D161" s="56" t="s">
        <v>401</v>
      </c>
      <c r="E161" s="56" t="s">
        <v>163</v>
      </c>
      <c r="F161" s="57" t="s">
        <v>154</v>
      </c>
      <c r="G161" s="61"/>
      <c r="H161" s="61"/>
      <c r="I161" s="62"/>
      <c r="J161" s="53"/>
    </row>
    <row r="162" ht="24.75" hidden="1" customHeight="1">
      <c r="A162" s="54">
        <v>90.0</v>
      </c>
      <c r="B162" s="56" t="s">
        <v>402</v>
      </c>
      <c r="C162" s="56" t="s">
        <v>278</v>
      </c>
      <c r="D162" s="56" t="s">
        <v>403</v>
      </c>
      <c r="E162" s="56" t="s">
        <v>111</v>
      </c>
      <c r="F162" s="57" t="s">
        <v>15</v>
      </c>
      <c r="G162" s="61"/>
      <c r="H162" s="61"/>
      <c r="I162" s="86"/>
      <c r="J162" s="53"/>
    </row>
    <row r="163" ht="24.75" customHeight="1">
      <c r="A163" s="54">
        <v>130.0</v>
      </c>
      <c r="B163" s="56" t="s">
        <v>404</v>
      </c>
      <c r="C163" s="56" t="s">
        <v>405</v>
      </c>
      <c r="D163" s="56" t="s">
        <v>406</v>
      </c>
      <c r="E163" s="56" t="s">
        <v>407</v>
      </c>
      <c r="F163" s="57" t="s">
        <v>250</v>
      </c>
      <c r="G163" s="61"/>
      <c r="H163" s="61" t="s">
        <v>346</v>
      </c>
      <c r="I163" s="62" t="s">
        <v>414</v>
      </c>
      <c r="J163" s="53"/>
    </row>
    <row r="164" ht="24.75" customHeight="1">
      <c r="A164" s="54">
        <v>130.0</v>
      </c>
      <c r="B164" s="56" t="s">
        <v>404</v>
      </c>
      <c r="C164" s="56" t="s">
        <v>405</v>
      </c>
      <c r="D164" s="56" t="s">
        <v>406</v>
      </c>
      <c r="E164" s="56" t="s">
        <v>408</v>
      </c>
      <c r="F164" s="57" t="s">
        <v>250</v>
      </c>
      <c r="G164" s="61"/>
      <c r="H164" s="61" t="s">
        <v>346</v>
      </c>
      <c r="I164" s="62" t="s">
        <v>417</v>
      </c>
      <c r="J164" s="53"/>
    </row>
    <row r="165" ht="24.75" hidden="1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111</v>
      </c>
      <c r="F165" s="57" t="s">
        <v>154</v>
      </c>
      <c r="G165" s="61"/>
      <c r="H165" s="61"/>
      <c r="I165" s="62"/>
      <c r="J165" s="53"/>
    </row>
    <row r="166" ht="24.75" hidden="1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409</v>
      </c>
      <c r="F166" s="57" t="s">
        <v>154</v>
      </c>
      <c r="G166" s="61"/>
      <c r="H166" s="61"/>
      <c r="I166" s="62"/>
      <c r="J166" s="53"/>
    </row>
    <row r="167" ht="24.75" hidden="1" customHeight="1">
      <c r="A167" s="54">
        <v>130.0</v>
      </c>
      <c r="B167" s="56" t="s">
        <v>404</v>
      </c>
      <c r="C167" s="56" t="s">
        <v>405</v>
      </c>
      <c r="D167" s="56" t="s">
        <v>406</v>
      </c>
      <c r="E167" s="56" t="s">
        <v>410</v>
      </c>
      <c r="F167" s="57" t="s">
        <v>154</v>
      </c>
      <c r="G167" s="61"/>
      <c r="H167" s="61"/>
      <c r="I167" s="62"/>
      <c r="J167" s="53"/>
    </row>
    <row r="168" ht="24.75" hidden="1" customHeight="1">
      <c r="A168" s="54">
        <v>130.0</v>
      </c>
      <c r="B168" s="56" t="s">
        <v>404</v>
      </c>
      <c r="C168" s="56" t="s">
        <v>405</v>
      </c>
      <c r="D168" s="56" t="s">
        <v>406</v>
      </c>
      <c r="E168" s="56" t="s">
        <v>411</v>
      </c>
      <c r="F168" s="57" t="s">
        <v>154</v>
      </c>
      <c r="G168" s="61"/>
      <c r="H168" s="61"/>
      <c r="I168" s="62"/>
      <c r="J168" s="53"/>
    </row>
    <row r="169" ht="24.75" hidden="1" customHeight="1">
      <c r="A169" s="54">
        <v>130.0</v>
      </c>
      <c r="B169" s="56" t="s">
        <v>412</v>
      </c>
      <c r="C169" s="56"/>
      <c r="D169" s="56" t="s">
        <v>413</v>
      </c>
      <c r="E169" s="56" t="s">
        <v>336</v>
      </c>
      <c r="F169" s="57" t="s">
        <v>192</v>
      </c>
      <c r="G169" s="61"/>
      <c r="H169" s="61"/>
      <c r="I169" s="62"/>
      <c r="J169" s="53"/>
    </row>
    <row r="170" ht="24.75" hidden="1" customHeight="1">
      <c r="A170" s="54">
        <v>130.0</v>
      </c>
      <c r="B170" s="56" t="s">
        <v>415</v>
      </c>
      <c r="C170" s="56" t="s">
        <v>148</v>
      </c>
      <c r="D170" s="56" t="s">
        <v>416</v>
      </c>
      <c r="E170" s="56" t="s">
        <v>150</v>
      </c>
      <c r="F170" s="57" t="s">
        <v>34</v>
      </c>
      <c r="G170" s="61"/>
      <c r="H170" s="61"/>
      <c r="I170" s="62"/>
      <c r="J170" s="53"/>
    </row>
    <row r="171" ht="24.75" hidden="1" customHeight="1">
      <c r="A171" s="54">
        <v>130.0</v>
      </c>
      <c r="B171" s="56" t="s">
        <v>418</v>
      </c>
      <c r="C171" s="56" t="s">
        <v>148</v>
      </c>
      <c r="D171" s="56" t="s">
        <v>419</v>
      </c>
      <c r="E171" s="56" t="s">
        <v>150</v>
      </c>
      <c r="F171" s="57" t="s">
        <v>34</v>
      </c>
      <c r="G171" s="61"/>
      <c r="H171" s="61"/>
      <c r="I171" s="62"/>
      <c r="J171" s="53"/>
    </row>
    <row r="172" ht="24.75" hidden="1" customHeight="1">
      <c r="A172" s="54">
        <v>136.0</v>
      </c>
      <c r="B172" s="56" t="s">
        <v>421</v>
      </c>
      <c r="C172" s="56" t="s">
        <v>422</v>
      </c>
      <c r="D172" s="56" t="s">
        <v>422</v>
      </c>
      <c r="E172" s="56" t="s">
        <v>423</v>
      </c>
      <c r="F172" s="57" t="s">
        <v>154</v>
      </c>
      <c r="G172" s="61"/>
      <c r="H172" s="61"/>
      <c r="I172" s="62" t="s">
        <v>207</v>
      </c>
      <c r="J172" s="53"/>
    </row>
    <row r="173" ht="24.75" hidden="1" customHeight="1">
      <c r="A173" s="54">
        <v>136.0</v>
      </c>
      <c r="B173" s="56" t="s">
        <v>421</v>
      </c>
      <c r="C173" s="56" t="s">
        <v>422</v>
      </c>
      <c r="D173" s="56" t="s">
        <v>422</v>
      </c>
      <c r="E173" s="80" t="s">
        <v>213</v>
      </c>
      <c r="F173" s="57"/>
      <c r="G173" s="61"/>
      <c r="H173" s="61"/>
      <c r="I173" s="62"/>
      <c r="J173" s="53"/>
    </row>
    <row r="174" ht="24.75" hidden="1" customHeight="1">
      <c r="A174" s="54">
        <v>136.0</v>
      </c>
      <c r="B174" s="56" t="s">
        <v>424</v>
      </c>
      <c r="C174" s="56" t="s">
        <v>422</v>
      </c>
      <c r="D174" s="56" t="s">
        <v>425</v>
      </c>
      <c r="E174" s="56" t="s">
        <v>111</v>
      </c>
      <c r="F174" s="57" t="s">
        <v>154</v>
      </c>
      <c r="G174" s="61"/>
      <c r="H174" s="61"/>
      <c r="I174" s="62"/>
      <c r="J174" s="53"/>
    </row>
    <row r="175" ht="24.75" hidden="1" customHeight="1">
      <c r="A175" s="54">
        <v>136.0</v>
      </c>
      <c r="B175" s="56" t="s">
        <v>426</v>
      </c>
      <c r="C175" s="56" t="s">
        <v>422</v>
      </c>
      <c r="D175" s="56" t="s">
        <v>427</v>
      </c>
      <c r="E175" s="56" t="s">
        <v>111</v>
      </c>
      <c r="F175" s="57" t="s">
        <v>154</v>
      </c>
      <c r="G175" s="61"/>
      <c r="H175" s="61"/>
      <c r="I175" s="62"/>
      <c r="J175" s="53"/>
    </row>
    <row r="176" ht="24.75" hidden="1" customHeight="1">
      <c r="A176" s="54">
        <v>136.0</v>
      </c>
      <c r="B176" s="56" t="s">
        <v>428</v>
      </c>
      <c r="C176" s="56" t="s">
        <v>422</v>
      </c>
      <c r="D176" s="56" t="s">
        <v>429</v>
      </c>
      <c r="E176" s="56" t="s">
        <v>111</v>
      </c>
      <c r="F176" s="57" t="s">
        <v>154</v>
      </c>
      <c r="G176" s="61"/>
      <c r="H176" s="61"/>
      <c r="I176" s="62"/>
      <c r="J176" s="53"/>
    </row>
    <row r="177" ht="24.75" hidden="1" customHeight="1">
      <c r="A177" s="54">
        <v>136.0</v>
      </c>
      <c r="B177" s="56" t="s">
        <v>430</v>
      </c>
      <c r="C177" s="56" t="s">
        <v>422</v>
      </c>
      <c r="D177" s="56" t="s">
        <v>431</v>
      </c>
      <c r="E177" s="56" t="s">
        <v>432</v>
      </c>
      <c r="F177" s="57" t="s">
        <v>154</v>
      </c>
      <c r="G177" s="61"/>
      <c r="H177" s="61"/>
      <c r="I177" s="62"/>
      <c r="J177" s="53"/>
    </row>
    <row r="178" ht="24.75" hidden="1" customHeight="1">
      <c r="A178" s="54">
        <v>140.0</v>
      </c>
      <c r="B178" s="56" t="s">
        <v>433</v>
      </c>
      <c r="C178" s="56" t="s">
        <v>434</v>
      </c>
      <c r="D178" s="56" t="s">
        <v>435</v>
      </c>
      <c r="E178" s="56" t="s">
        <v>167</v>
      </c>
      <c r="F178" s="57" t="s">
        <v>154</v>
      </c>
      <c r="G178" s="61"/>
      <c r="H178" s="61"/>
      <c r="I178" s="62"/>
      <c r="J178" s="53"/>
    </row>
    <row r="179" ht="24.75" hidden="1" customHeight="1">
      <c r="A179" s="54">
        <v>140.0</v>
      </c>
      <c r="B179" s="56" t="s">
        <v>436</v>
      </c>
      <c r="C179" s="56" t="s">
        <v>437</v>
      </c>
      <c r="D179" s="56" t="s">
        <v>438</v>
      </c>
      <c r="E179" s="56" t="s">
        <v>439</v>
      </c>
      <c r="F179" s="57" t="s">
        <v>154</v>
      </c>
      <c r="G179" s="61"/>
      <c r="H179" s="61"/>
      <c r="I179" s="62"/>
      <c r="J179" s="53"/>
    </row>
    <row r="180" ht="24.75" hidden="1" customHeight="1">
      <c r="A180" s="54">
        <v>140.0</v>
      </c>
      <c r="B180" s="56" t="s">
        <v>440</v>
      </c>
      <c r="C180" s="56" t="s">
        <v>437</v>
      </c>
      <c r="D180" s="56" t="s">
        <v>441</v>
      </c>
      <c r="E180" s="56" t="s">
        <v>439</v>
      </c>
      <c r="F180" s="57" t="s">
        <v>154</v>
      </c>
      <c r="G180" s="61"/>
      <c r="H180" s="61"/>
      <c r="I180" s="62"/>
      <c r="J180" s="53"/>
    </row>
    <row r="181" ht="24.75" hidden="1" customHeight="1">
      <c r="A181" s="54">
        <v>140.0</v>
      </c>
      <c r="B181" s="56" t="s">
        <v>442</v>
      </c>
      <c r="C181" s="56" t="s">
        <v>443</v>
      </c>
      <c r="D181" s="56" t="s">
        <v>444</v>
      </c>
      <c r="E181" s="56" t="s">
        <v>439</v>
      </c>
      <c r="F181" s="57" t="s">
        <v>154</v>
      </c>
      <c r="G181" s="61"/>
      <c r="H181" s="61"/>
      <c r="I181" s="62"/>
      <c r="J181" s="53"/>
    </row>
    <row r="182" ht="24.75" hidden="1" customHeight="1">
      <c r="A182" s="54">
        <v>140.0</v>
      </c>
      <c r="B182" s="56" t="s">
        <v>445</v>
      </c>
      <c r="C182" s="56" t="s">
        <v>446</v>
      </c>
      <c r="D182" s="56" t="s">
        <v>447</v>
      </c>
      <c r="E182" s="56" t="s">
        <v>439</v>
      </c>
      <c r="F182" s="57" t="s">
        <v>154</v>
      </c>
      <c r="G182" s="61"/>
      <c r="H182" s="61"/>
      <c r="I182" s="62"/>
      <c r="J182" s="53"/>
    </row>
    <row r="183" ht="24.75" hidden="1" customHeight="1">
      <c r="A183" s="54">
        <v>140.0</v>
      </c>
      <c r="B183" s="56" t="s">
        <v>448</v>
      </c>
      <c r="C183" s="88" t="s">
        <v>449</v>
      </c>
      <c r="D183" s="56" t="s">
        <v>450</v>
      </c>
      <c r="E183" s="56" t="s">
        <v>439</v>
      </c>
      <c r="F183" s="57" t="s">
        <v>154</v>
      </c>
      <c r="G183" s="61"/>
      <c r="H183" s="61"/>
      <c r="I183" s="62"/>
      <c r="J183" s="53"/>
    </row>
    <row r="184" ht="24.75" hidden="1" customHeight="1">
      <c r="A184" s="54">
        <v>90.0</v>
      </c>
      <c r="B184" s="56" t="s">
        <v>286</v>
      </c>
      <c r="C184" s="56" t="s">
        <v>278</v>
      </c>
      <c r="D184" s="56" t="s">
        <v>266</v>
      </c>
      <c r="E184" s="56" t="s">
        <v>111</v>
      </c>
      <c r="F184" s="57" t="s">
        <v>15</v>
      </c>
      <c r="G184" s="61"/>
      <c r="H184" s="61"/>
      <c r="I184" s="60"/>
      <c r="J184" s="53"/>
    </row>
    <row r="185" ht="24.75" hidden="1" customHeight="1">
      <c r="A185" s="54">
        <v>100.0</v>
      </c>
      <c r="B185" s="56" t="s">
        <v>451</v>
      </c>
      <c r="C185" s="56" t="s">
        <v>315</v>
      </c>
      <c r="D185" s="56" t="s">
        <v>452</v>
      </c>
      <c r="E185" s="56" t="s">
        <v>453</v>
      </c>
      <c r="F185" s="57" t="s">
        <v>15</v>
      </c>
      <c r="G185" s="61"/>
      <c r="H185" s="61"/>
      <c r="I185" s="60"/>
      <c r="J185" s="53"/>
    </row>
    <row r="186" ht="24.75" hidden="1" customHeight="1">
      <c r="A186" s="54">
        <v>100.0</v>
      </c>
      <c r="B186" s="56" t="s">
        <v>454</v>
      </c>
      <c r="C186" s="56" t="s">
        <v>315</v>
      </c>
      <c r="D186" s="56" t="s">
        <v>316</v>
      </c>
      <c r="E186" s="56" t="s">
        <v>455</v>
      </c>
      <c r="F186" s="57" t="s">
        <v>15</v>
      </c>
      <c r="G186" s="61"/>
      <c r="H186" s="61"/>
      <c r="I186" s="60"/>
      <c r="J186" s="53"/>
    </row>
    <row r="187" ht="24.75" hidden="1" customHeight="1">
      <c r="A187" s="54">
        <v>101.0</v>
      </c>
      <c r="B187" s="56" t="s">
        <v>456</v>
      </c>
      <c r="C187" s="56" t="s">
        <v>315</v>
      </c>
      <c r="D187" s="56" t="s">
        <v>340</v>
      </c>
      <c r="E187" s="56" t="s">
        <v>457</v>
      </c>
      <c r="F187" s="57" t="s">
        <v>15</v>
      </c>
      <c r="G187" s="61"/>
      <c r="H187" s="61"/>
      <c r="I187" s="60"/>
      <c r="J187" s="53"/>
    </row>
    <row r="188" ht="24.75" hidden="1" customHeight="1">
      <c r="A188" s="54">
        <v>101.0</v>
      </c>
      <c r="B188" s="56" t="s">
        <v>458</v>
      </c>
      <c r="C188" s="56" t="s">
        <v>315</v>
      </c>
      <c r="D188" s="56" t="s">
        <v>351</v>
      </c>
      <c r="E188" s="56" t="s">
        <v>459</v>
      </c>
      <c r="F188" s="57" t="s">
        <v>15</v>
      </c>
      <c r="G188" s="61"/>
      <c r="H188" s="61"/>
      <c r="I188" s="60"/>
      <c r="J188" s="53"/>
    </row>
    <row r="189" ht="24.75" hidden="1" customHeight="1">
      <c r="A189" s="54">
        <v>102.0</v>
      </c>
      <c r="B189" s="56" t="s">
        <v>353</v>
      </c>
      <c r="C189" s="56" t="s">
        <v>315</v>
      </c>
      <c r="D189" s="56" t="s">
        <v>354</v>
      </c>
      <c r="E189" s="56" t="s">
        <v>461</v>
      </c>
      <c r="F189" s="57" t="s">
        <v>15</v>
      </c>
      <c r="G189" s="61"/>
      <c r="H189" s="61"/>
      <c r="I189" s="60"/>
      <c r="J189" s="53"/>
    </row>
    <row r="190" ht="24.75" hidden="1" customHeight="1">
      <c r="A190" s="54">
        <v>140.0</v>
      </c>
      <c r="B190" s="56" t="s">
        <v>462</v>
      </c>
      <c r="C190" s="56" t="s">
        <v>434</v>
      </c>
      <c r="D190" s="56" t="s">
        <v>463</v>
      </c>
      <c r="E190" s="56" t="s">
        <v>272</v>
      </c>
      <c r="F190" s="57" t="s">
        <v>15</v>
      </c>
      <c r="G190" s="61"/>
      <c r="H190" s="61"/>
      <c r="I190" s="60"/>
      <c r="J190" s="53"/>
    </row>
    <row r="191" ht="24.75" hidden="1" customHeight="1">
      <c r="A191" s="54">
        <v>140.0</v>
      </c>
      <c r="B191" s="56" t="s">
        <v>464</v>
      </c>
      <c r="C191" s="56" t="s">
        <v>270</v>
      </c>
      <c r="D191" s="56" t="s">
        <v>465</v>
      </c>
      <c r="E191" s="56" t="s">
        <v>272</v>
      </c>
      <c r="F191" s="57" t="s">
        <v>15</v>
      </c>
      <c r="G191" s="61"/>
      <c r="H191" s="61"/>
      <c r="I191" s="60"/>
      <c r="J191" s="53"/>
    </row>
    <row r="192" ht="24.75" hidden="1" customHeight="1">
      <c r="A192" s="54">
        <v>140.0</v>
      </c>
      <c r="B192" s="56" t="s">
        <v>466</v>
      </c>
      <c r="C192" s="56" t="s">
        <v>443</v>
      </c>
      <c r="D192" s="56" t="s">
        <v>467</v>
      </c>
      <c r="E192" s="56" t="s">
        <v>272</v>
      </c>
      <c r="F192" s="57" t="s">
        <v>15</v>
      </c>
      <c r="G192" s="61"/>
      <c r="H192" s="61"/>
      <c r="I192" s="60"/>
      <c r="J192" s="53"/>
    </row>
    <row r="193" ht="24.75" hidden="1" customHeight="1">
      <c r="A193" s="54">
        <v>140.0</v>
      </c>
      <c r="B193" s="56" t="s">
        <v>468</v>
      </c>
      <c r="C193" s="56" t="s">
        <v>446</v>
      </c>
      <c r="D193" s="56" t="s">
        <v>469</v>
      </c>
      <c r="E193" s="56" t="s">
        <v>272</v>
      </c>
      <c r="F193" s="57" t="s">
        <v>15</v>
      </c>
      <c r="G193" s="61"/>
      <c r="H193" s="61"/>
      <c r="I193" s="60"/>
      <c r="J193" s="53"/>
    </row>
    <row r="194" ht="24.75" hidden="1" customHeight="1">
      <c r="A194" s="54">
        <v>140.0</v>
      </c>
      <c r="B194" s="56" t="s">
        <v>470</v>
      </c>
      <c r="C194" s="56" t="s">
        <v>443</v>
      </c>
      <c r="D194" s="56" t="s">
        <v>471</v>
      </c>
      <c r="E194" s="56" t="s">
        <v>272</v>
      </c>
      <c r="F194" s="57" t="s">
        <v>15</v>
      </c>
      <c r="G194" s="61"/>
      <c r="H194" s="61"/>
      <c r="I194" s="60"/>
      <c r="J194" s="53"/>
    </row>
    <row r="195" ht="24.75" hidden="1" customHeight="1">
      <c r="A195" s="54">
        <v>140.0</v>
      </c>
      <c r="B195" s="56" t="s">
        <v>472</v>
      </c>
      <c r="C195" s="56" t="s">
        <v>446</v>
      </c>
      <c r="D195" s="56" t="s">
        <v>473</v>
      </c>
      <c r="E195" s="56" t="s">
        <v>272</v>
      </c>
      <c r="F195" s="57" t="s">
        <v>15</v>
      </c>
      <c r="G195" s="61"/>
      <c r="H195" s="61"/>
      <c r="I195" s="60"/>
      <c r="J195" s="53"/>
    </row>
    <row r="196" ht="24.75" hidden="1" customHeight="1">
      <c r="A196" s="54">
        <v>140.0</v>
      </c>
      <c r="B196" s="56" t="s">
        <v>474</v>
      </c>
      <c r="C196" s="56" t="s">
        <v>443</v>
      </c>
      <c r="D196" s="56" t="s">
        <v>475</v>
      </c>
      <c r="E196" s="56" t="s">
        <v>272</v>
      </c>
      <c r="F196" s="57" t="s">
        <v>15</v>
      </c>
      <c r="G196" s="61"/>
      <c r="H196" s="61"/>
      <c r="I196" s="60"/>
      <c r="J196" s="53"/>
    </row>
    <row r="197" ht="24.75" hidden="1" customHeight="1">
      <c r="A197" s="54">
        <v>140.0</v>
      </c>
      <c r="B197" s="56" t="s">
        <v>476</v>
      </c>
      <c r="C197" s="56" t="s">
        <v>270</v>
      </c>
      <c r="D197" s="56" t="s">
        <v>477</v>
      </c>
      <c r="E197" s="56" t="s">
        <v>272</v>
      </c>
      <c r="F197" s="57" t="s">
        <v>15</v>
      </c>
      <c r="G197" s="61"/>
      <c r="H197" s="61"/>
      <c r="I197" s="60"/>
      <c r="J197" s="53"/>
    </row>
    <row r="198" ht="24.75" hidden="1" customHeight="1">
      <c r="A198" s="54">
        <v>140.0</v>
      </c>
      <c r="B198" s="56" t="s">
        <v>478</v>
      </c>
      <c r="C198" s="56" t="s">
        <v>270</v>
      </c>
      <c r="D198" s="56" t="s">
        <v>479</v>
      </c>
      <c r="E198" s="56" t="s">
        <v>272</v>
      </c>
      <c r="F198" s="57" t="s">
        <v>15</v>
      </c>
      <c r="G198" s="61"/>
      <c r="H198" s="61"/>
      <c r="I198" s="60"/>
      <c r="J198" s="53"/>
    </row>
    <row r="199" ht="24.75" hidden="1" customHeight="1">
      <c r="A199" s="54">
        <v>140.0</v>
      </c>
      <c r="B199" s="56" t="s">
        <v>480</v>
      </c>
      <c r="C199" s="56" t="s">
        <v>270</v>
      </c>
      <c r="D199" s="56" t="s">
        <v>481</v>
      </c>
      <c r="E199" s="56" t="s">
        <v>272</v>
      </c>
      <c r="F199" s="57" t="s">
        <v>15</v>
      </c>
      <c r="G199" s="61"/>
      <c r="H199" s="61"/>
      <c r="I199" s="60"/>
      <c r="J199" s="53"/>
    </row>
    <row r="200" ht="24.75" hidden="1" customHeight="1">
      <c r="A200" s="54">
        <v>140.0</v>
      </c>
      <c r="B200" s="56" t="s">
        <v>482</v>
      </c>
      <c r="C200" s="56" t="s">
        <v>443</v>
      </c>
      <c r="D200" s="56" t="s">
        <v>483</v>
      </c>
      <c r="E200" s="56" t="s">
        <v>272</v>
      </c>
      <c r="F200" s="57" t="s">
        <v>15</v>
      </c>
      <c r="G200" s="61"/>
      <c r="H200" s="61"/>
      <c r="I200" s="60"/>
      <c r="J200" s="53"/>
    </row>
    <row r="201" ht="24.75" hidden="1" customHeight="1">
      <c r="A201" s="54">
        <v>140.0</v>
      </c>
      <c r="B201" s="56" t="s">
        <v>484</v>
      </c>
      <c r="C201" s="56" t="s">
        <v>446</v>
      </c>
      <c r="D201" s="56" t="s">
        <v>485</v>
      </c>
      <c r="E201" s="56" t="s">
        <v>272</v>
      </c>
      <c r="F201" s="57" t="s">
        <v>15</v>
      </c>
      <c r="G201" s="61"/>
      <c r="H201" s="61"/>
      <c r="I201" s="60"/>
      <c r="J201" s="53"/>
    </row>
    <row r="202" ht="24.75" hidden="1" customHeight="1">
      <c r="A202" s="54">
        <v>140.0</v>
      </c>
      <c r="B202" s="56" t="s">
        <v>269</v>
      </c>
      <c r="C202" s="56" t="s">
        <v>270</v>
      </c>
      <c r="D202" s="56" t="s">
        <v>486</v>
      </c>
      <c r="E202" s="56" t="s">
        <v>487</v>
      </c>
      <c r="F202" s="56"/>
      <c r="G202" s="61"/>
      <c r="H202" s="61"/>
      <c r="I202" s="62"/>
      <c r="J202" s="53"/>
    </row>
    <row r="203" ht="24.75" hidden="1" customHeight="1">
      <c r="A203" s="54">
        <v>140.0</v>
      </c>
      <c r="B203" s="56" t="s">
        <v>488</v>
      </c>
      <c r="C203" s="88" t="s">
        <v>449</v>
      </c>
      <c r="D203" s="56" t="s">
        <v>489</v>
      </c>
      <c r="E203" s="56" t="s">
        <v>272</v>
      </c>
      <c r="F203" s="57" t="s">
        <v>15</v>
      </c>
      <c r="G203" s="61"/>
      <c r="H203" s="61"/>
      <c r="I203" s="60"/>
      <c r="J203" s="53"/>
    </row>
    <row r="204" ht="24.75" hidden="1" customHeight="1">
      <c r="A204" s="54">
        <v>140.0</v>
      </c>
      <c r="B204" s="56" t="s">
        <v>490</v>
      </c>
      <c r="C204" s="56" t="s">
        <v>270</v>
      </c>
      <c r="D204" s="56" t="s">
        <v>491</v>
      </c>
      <c r="E204" s="56" t="s">
        <v>272</v>
      </c>
      <c r="F204" s="57" t="s">
        <v>15</v>
      </c>
      <c r="G204" s="61"/>
      <c r="H204" s="61"/>
      <c r="I204" s="60"/>
      <c r="J204" s="53"/>
    </row>
    <row r="205" ht="24.75" hidden="1" customHeight="1">
      <c r="A205" s="54">
        <v>140.0</v>
      </c>
      <c r="B205" s="56" t="s">
        <v>284</v>
      </c>
      <c r="C205" s="56" t="s">
        <v>270</v>
      </c>
      <c r="D205" s="56" t="s">
        <v>492</v>
      </c>
      <c r="E205" s="56" t="s">
        <v>487</v>
      </c>
      <c r="F205" s="56"/>
      <c r="G205" s="61"/>
      <c r="H205" s="61"/>
      <c r="I205" s="62"/>
      <c r="J205" s="53"/>
    </row>
    <row r="206" ht="24.75" hidden="1" customHeight="1">
      <c r="A206" s="54">
        <v>140.0</v>
      </c>
      <c r="B206" s="56" t="s">
        <v>493</v>
      </c>
      <c r="C206" s="56" t="s">
        <v>270</v>
      </c>
      <c r="D206" s="56" t="s">
        <v>494</v>
      </c>
      <c r="E206" s="56" t="s">
        <v>272</v>
      </c>
      <c r="F206" s="57" t="s">
        <v>15</v>
      </c>
      <c r="G206" s="61"/>
      <c r="H206" s="61"/>
      <c r="I206" s="60"/>
      <c r="J206" s="53"/>
    </row>
    <row r="207" ht="24.75" hidden="1" customHeight="1">
      <c r="A207" s="54">
        <v>140.0</v>
      </c>
      <c r="B207" s="56" t="s">
        <v>496</v>
      </c>
      <c r="C207" s="56" t="s">
        <v>497</v>
      </c>
      <c r="D207" s="56" t="s">
        <v>498</v>
      </c>
      <c r="E207" s="56" t="s">
        <v>272</v>
      </c>
      <c r="F207" s="57" t="s">
        <v>15</v>
      </c>
      <c r="G207" s="61"/>
      <c r="H207" s="61"/>
      <c r="I207" s="60"/>
      <c r="J207" s="53"/>
    </row>
    <row r="208" ht="24.75" hidden="1" customHeight="1">
      <c r="A208" s="54">
        <v>140.0</v>
      </c>
      <c r="B208" s="56" t="s">
        <v>499</v>
      </c>
      <c r="C208" s="56" t="s">
        <v>500</v>
      </c>
      <c r="D208" s="56" t="s">
        <v>501</v>
      </c>
      <c r="E208" s="56" t="s">
        <v>225</v>
      </c>
      <c r="F208" s="57" t="s">
        <v>34</v>
      </c>
      <c r="G208" s="61"/>
      <c r="H208" s="61"/>
      <c r="I208" s="62"/>
      <c r="J208" s="53"/>
    </row>
    <row r="209" ht="24.75" hidden="1" customHeight="1">
      <c r="A209" s="54">
        <v>140.0</v>
      </c>
      <c r="B209" s="56" t="s">
        <v>499</v>
      </c>
      <c r="C209" s="56" t="s">
        <v>500</v>
      </c>
      <c r="D209" s="56" t="s">
        <v>501</v>
      </c>
      <c r="E209" s="56" t="s">
        <v>167</v>
      </c>
      <c r="F209" s="57" t="s">
        <v>154</v>
      </c>
      <c r="G209" s="61"/>
      <c r="H209" s="61"/>
      <c r="I209" s="62"/>
      <c r="J209" s="53"/>
    </row>
    <row r="210" ht="24.75" hidden="1" customHeight="1">
      <c r="A210" s="54">
        <v>140.0</v>
      </c>
      <c r="B210" s="56" t="s">
        <v>499</v>
      </c>
      <c r="C210" s="56" t="s">
        <v>500</v>
      </c>
      <c r="D210" s="56" t="s">
        <v>501</v>
      </c>
      <c r="E210" s="56" t="s">
        <v>226</v>
      </c>
      <c r="F210" s="57" t="s">
        <v>154</v>
      </c>
      <c r="G210" s="61"/>
      <c r="H210" s="61"/>
      <c r="I210" s="62"/>
      <c r="J210" s="53"/>
    </row>
    <row r="211" ht="24.75" hidden="1" customHeight="1">
      <c r="A211" s="54">
        <v>140.0</v>
      </c>
      <c r="B211" s="56" t="s">
        <v>502</v>
      </c>
      <c r="C211" s="56" t="s">
        <v>497</v>
      </c>
      <c r="D211" s="56" t="s">
        <v>503</v>
      </c>
      <c r="E211" s="56" t="s">
        <v>272</v>
      </c>
      <c r="F211" s="57" t="s">
        <v>15</v>
      </c>
      <c r="G211" s="61"/>
      <c r="H211" s="61"/>
      <c r="I211" s="60"/>
      <c r="J211" s="53"/>
    </row>
    <row r="212" ht="24.75" hidden="1" customHeight="1">
      <c r="A212" s="54">
        <v>140.0</v>
      </c>
      <c r="B212" s="56" t="s">
        <v>504</v>
      </c>
      <c r="C212" s="56" t="s">
        <v>443</v>
      </c>
      <c r="D212" s="56" t="s">
        <v>505</v>
      </c>
      <c r="E212" s="56" t="s">
        <v>439</v>
      </c>
      <c r="F212" s="57" t="s">
        <v>154</v>
      </c>
      <c r="G212" s="61"/>
      <c r="H212" s="61"/>
      <c r="I212" s="62"/>
      <c r="J212" s="53"/>
    </row>
    <row r="213" ht="24.75" hidden="1" customHeight="1">
      <c r="A213" s="54">
        <v>140.0</v>
      </c>
      <c r="B213" s="56" t="s">
        <v>506</v>
      </c>
      <c r="C213" s="56" t="s">
        <v>507</v>
      </c>
      <c r="D213" s="56" t="s">
        <v>508</v>
      </c>
      <c r="E213" s="56" t="s">
        <v>336</v>
      </c>
      <c r="F213" s="57" t="s">
        <v>192</v>
      </c>
      <c r="G213" s="61"/>
      <c r="H213" s="61"/>
      <c r="I213" s="62"/>
      <c r="J213" s="53"/>
    </row>
    <row r="214" ht="24.75" hidden="1" customHeight="1">
      <c r="A214" s="54">
        <v>140.0</v>
      </c>
      <c r="B214" s="56" t="s">
        <v>506</v>
      </c>
      <c r="C214" s="56" t="s">
        <v>507</v>
      </c>
      <c r="D214" s="56" t="s">
        <v>508</v>
      </c>
      <c r="E214" s="56" t="s">
        <v>372</v>
      </c>
      <c r="F214" s="57" t="s">
        <v>34</v>
      </c>
      <c r="G214" s="61"/>
      <c r="H214" s="61"/>
      <c r="I214" s="62"/>
      <c r="J214" s="53"/>
    </row>
    <row r="215" ht="24.75" hidden="1" customHeight="1">
      <c r="A215" s="54">
        <v>140.0</v>
      </c>
      <c r="B215" s="56" t="s">
        <v>506</v>
      </c>
      <c r="C215" s="56" t="s">
        <v>507</v>
      </c>
      <c r="D215" s="56" t="s">
        <v>508</v>
      </c>
      <c r="E215" s="56" t="s">
        <v>158</v>
      </c>
      <c r="F215" s="57" t="s">
        <v>34</v>
      </c>
      <c r="G215" s="61"/>
      <c r="H215" s="61"/>
      <c r="I215" s="62"/>
      <c r="J215" s="53"/>
    </row>
    <row r="216" ht="24.75" hidden="1" customHeight="1">
      <c r="A216" s="54">
        <v>140.0</v>
      </c>
      <c r="B216" s="56" t="s">
        <v>502</v>
      </c>
      <c r="C216" s="56" t="s">
        <v>497</v>
      </c>
      <c r="D216" s="56" t="s">
        <v>509</v>
      </c>
      <c r="E216" s="56" t="s">
        <v>272</v>
      </c>
      <c r="F216" s="57" t="s">
        <v>15</v>
      </c>
      <c r="G216" s="61"/>
      <c r="H216" s="61"/>
      <c r="I216" s="60"/>
      <c r="J216" s="53"/>
    </row>
    <row r="217" ht="24.75" hidden="1" customHeight="1">
      <c r="A217" s="54">
        <v>140.0</v>
      </c>
      <c r="B217" s="56" t="s">
        <v>499</v>
      </c>
      <c r="C217" s="56" t="s">
        <v>500</v>
      </c>
      <c r="D217" s="56" t="s">
        <v>510</v>
      </c>
      <c r="E217" s="56" t="s">
        <v>272</v>
      </c>
      <c r="F217" s="57" t="s">
        <v>15</v>
      </c>
      <c r="G217" s="61"/>
      <c r="H217" s="61"/>
      <c r="I217" s="60"/>
      <c r="J217" s="53"/>
    </row>
    <row r="218" ht="24.75" hidden="1" customHeight="1">
      <c r="A218" s="54">
        <v>140.0</v>
      </c>
      <c r="B218" s="56" t="s">
        <v>511</v>
      </c>
      <c r="C218" s="56" t="s">
        <v>497</v>
      </c>
      <c r="D218" s="56" t="s">
        <v>512</v>
      </c>
      <c r="E218" s="56" t="s">
        <v>272</v>
      </c>
      <c r="F218" s="57" t="s">
        <v>15</v>
      </c>
      <c r="G218" s="61"/>
      <c r="H218" s="61"/>
      <c r="I218" s="60"/>
      <c r="J218" s="53"/>
    </row>
    <row r="219" ht="24.75" hidden="1" customHeight="1">
      <c r="A219" s="54">
        <v>140.0</v>
      </c>
      <c r="B219" s="56" t="s">
        <v>513</v>
      </c>
      <c r="C219" s="56" t="s">
        <v>437</v>
      </c>
      <c r="D219" s="56" t="s">
        <v>514</v>
      </c>
      <c r="E219" s="56" t="s">
        <v>272</v>
      </c>
      <c r="F219" s="57" t="s">
        <v>15</v>
      </c>
      <c r="G219" s="61"/>
      <c r="H219" s="61"/>
      <c r="I219" s="60"/>
      <c r="J219" s="53"/>
    </row>
    <row r="220" ht="24.75" hidden="1" customHeight="1">
      <c r="A220" s="54">
        <v>140.0</v>
      </c>
      <c r="B220" s="56" t="s">
        <v>515</v>
      </c>
      <c r="C220" s="56" t="s">
        <v>437</v>
      </c>
      <c r="D220" s="56" t="s">
        <v>516</v>
      </c>
      <c r="E220" s="56" t="s">
        <v>272</v>
      </c>
      <c r="F220" s="57" t="s">
        <v>15</v>
      </c>
      <c r="G220" s="61"/>
      <c r="H220" s="61"/>
      <c r="I220" s="60"/>
      <c r="J220" s="53"/>
    </row>
    <row r="221" ht="24.75" hidden="1" customHeight="1">
      <c r="A221" s="54">
        <v>140.0</v>
      </c>
      <c r="B221" s="56" t="s">
        <v>517</v>
      </c>
      <c r="C221" s="56" t="s">
        <v>437</v>
      </c>
      <c r="D221" s="56" t="s">
        <v>518</v>
      </c>
      <c r="E221" s="56" t="s">
        <v>272</v>
      </c>
      <c r="F221" s="57" t="s">
        <v>15</v>
      </c>
      <c r="G221" s="81"/>
      <c r="H221" s="81"/>
      <c r="I221" s="93"/>
      <c r="J221" s="53"/>
    </row>
    <row r="222" ht="24.75" hidden="1" customHeight="1">
      <c r="A222" s="54">
        <v>140.0</v>
      </c>
      <c r="B222" s="56" t="s">
        <v>519</v>
      </c>
      <c r="C222" s="56" t="s">
        <v>437</v>
      </c>
      <c r="D222" s="56" t="s">
        <v>520</v>
      </c>
      <c r="E222" s="56" t="s">
        <v>272</v>
      </c>
      <c r="F222" s="57" t="s">
        <v>15</v>
      </c>
      <c r="G222" s="61"/>
      <c r="H222" s="61"/>
      <c r="I222" s="60"/>
      <c r="J222" s="53"/>
    </row>
    <row r="223" ht="24.75" hidden="1" customHeight="1">
      <c r="A223" s="54">
        <v>140.0</v>
      </c>
      <c r="B223" s="56" t="s">
        <v>521</v>
      </c>
      <c r="C223" s="56" t="s">
        <v>443</v>
      </c>
      <c r="D223" s="56" t="s">
        <v>522</v>
      </c>
      <c r="E223" s="56" t="s">
        <v>272</v>
      </c>
      <c r="F223" s="57" t="s">
        <v>15</v>
      </c>
      <c r="G223" s="61"/>
      <c r="H223" s="61"/>
      <c r="I223" s="60"/>
      <c r="J223" s="53"/>
    </row>
    <row r="224" ht="24.75" hidden="1" customHeight="1">
      <c r="A224" s="54">
        <v>140.0</v>
      </c>
      <c r="B224" s="56" t="s">
        <v>523</v>
      </c>
      <c r="C224" s="56" t="s">
        <v>443</v>
      </c>
      <c r="D224" s="56" t="s">
        <v>524</v>
      </c>
      <c r="E224" s="56" t="s">
        <v>272</v>
      </c>
      <c r="F224" s="57" t="s">
        <v>15</v>
      </c>
      <c r="G224" s="61"/>
      <c r="H224" s="61"/>
      <c r="I224" s="60"/>
      <c r="J224" s="53"/>
    </row>
    <row r="225" ht="24.75" hidden="1" customHeight="1">
      <c r="A225" s="54">
        <v>140.0</v>
      </c>
      <c r="B225" s="56" t="s">
        <v>525</v>
      </c>
      <c r="C225" s="56" t="s">
        <v>443</v>
      </c>
      <c r="D225" s="56" t="s">
        <v>526</v>
      </c>
      <c r="E225" s="56" t="s">
        <v>272</v>
      </c>
      <c r="F225" s="57" t="s">
        <v>15</v>
      </c>
      <c r="G225" s="61"/>
      <c r="H225" s="61"/>
      <c r="I225" s="60"/>
      <c r="J225" s="53"/>
    </row>
    <row r="226" ht="24.75" hidden="1" customHeight="1">
      <c r="A226" s="54">
        <v>140.0</v>
      </c>
      <c r="B226" s="56" t="s">
        <v>527</v>
      </c>
      <c r="C226" s="56" t="s">
        <v>446</v>
      </c>
      <c r="D226" s="56" t="s">
        <v>528</v>
      </c>
      <c r="E226" s="56" t="s">
        <v>272</v>
      </c>
      <c r="F226" s="57" t="s">
        <v>15</v>
      </c>
      <c r="G226" s="61"/>
      <c r="H226" s="61"/>
      <c r="I226" s="60"/>
      <c r="J226" s="53"/>
    </row>
    <row r="227" ht="24.75" hidden="1" customHeight="1">
      <c r="A227" s="54">
        <v>140.0</v>
      </c>
      <c r="B227" s="56" t="s">
        <v>529</v>
      </c>
      <c r="C227" s="56" t="s">
        <v>446</v>
      </c>
      <c r="D227" s="56" t="s">
        <v>530</v>
      </c>
      <c r="E227" s="56" t="s">
        <v>272</v>
      </c>
      <c r="F227" s="57" t="s">
        <v>15</v>
      </c>
      <c r="G227" s="61"/>
      <c r="H227" s="61"/>
      <c r="I227" s="60"/>
      <c r="J227" s="53"/>
    </row>
    <row r="228" ht="24.75" hidden="1" customHeight="1">
      <c r="A228" s="54">
        <v>140.0</v>
      </c>
      <c r="B228" s="56" t="s">
        <v>531</v>
      </c>
      <c r="C228" s="88" t="s">
        <v>449</v>
      </c>
      <c r="D228" s="56" t="s">
        <v>532</v>
      </c>
      <c r="E228" s="56" t="s">
        <v>272</v>
      </c>
      <c r="F228" s="57" t="s">
        <v>15</v>
      </c>
      <c r="G228" s="61"/>
      <c r="H228" s="61"/>
      <c r="I228" s="60"/>
      <c r="J228" s="53"/>
    </row>
    <row r="229" ht="24.75" hidden="1" customHeight="1">
      <c r="A229" s="54">
        <v>140.0</v>
      </c>
      <c r="B229" s="56" t="s">
        <v>533</v>
      </c>
      <c r="C229" s="56" t="s">
        <v>497</v>
      </c>
      <c r="D229" s="56" t="s">
        <v>534</v>
      </c>
      <c r="E229" s="56" t="s">
        <v>439</v>
      </c>
      <c r="F229" s="57" t="s">
        <v>154</v>
      </c>
      <c r="G229" s="61"/>
      <c r="H229" s="61"/>
      <c r="I229" s="62"/>
      <c r="J229" s="53"/>
    </row>
    <row r="230" ht="24.75" hidden="1" customHeight="1">
      <c r="A230" s="54">
        <v>140.0</v>
      </c>
      <c r="B230" s="56" t="s">
        <v>535</v>
      </c>
      <c r="C230" s="56" t="s">
        <v>443</v>
      </c>
      <c r="D230" s="56" t="s">
        <v>537</v>
      </c>
      <c r="E230" s="56" t="s">
        <v>439</v>
      </c>
      <c r="F230" s="57" t="s">
        <v>154</v>
      </c>
      <c r="G230" s="61"/>
      <c r="H230" s="61"/>
      <c r="I230" s="62"/>
      <c r="J230" s="53"/>
    </row>
    <row r="231" ht="24.75" hidden="1" customHeight="1">
      <c r="A231" s="54">
        <v>140.0</v>
      </c>
      <c r="B231" s="56" t="s">
        <v>538</v>
      </c>
      <c r="C231" s="56" t="s">
        <v>446</v>
      </c>
      <c r="D231" s="56" t="s">
        <v>539</v>
      </c>
      <c r="E231" s="56" t="s">
        <v>439</v>
      </c>
      <c r="F231" s="57" t="s">
        <v>154</v>
      </c>
      <c r="G231" s="61"/>
      <c r="H231" s="61"/>
      <c r="I231" s="62"/>
      <c r="J231" s="53"/>
    </row>
    <row r="232" ht="24.75" hidden="1" customHeight="1">
      <c r="A232" s="54">
        <v>140.0</v>
      </c>
      <c r="B232" s="56" t="s">
        <v>540</v>
      </c>
      <c r="C232" s="56" t="s">
        <v>434</v>
      </c>
      <c r="D232" s="56" t="s">
        <v>541</v>
      </c>
      <c r="E232" s="56" t="s">
        <v>167</v>
      </c>
      <c r="F232" s="57" t="s">
        <v>154</v>
      </c>
      <c r="G232" s="61"/>
      <c r="H232" s="61"/>
      <c r="I232" s="62"/>
      <c r="J232" s="53"/>
    </row>
    <row r="233" ht="24.75" hidden="1" customHeight="1">
      <c r="A233" s="54">
        <v>140.0</v>
      </c>
      <c r="B233" s="56" t="s">
        <v>540</v>
      </c>
      <c r="C233" s="56" t="s">
        <v>434</v>
      </c>
      <c r="D233" s="56" t="s">
        <v>541</v>
      </c>
      <c r="E233" s="56" t="s">
        <v>176</v>
      </c>
      <c r="F233" s="57" t="s">
        <v>154</v>
      </c>
      <c r="G233" s="61"/>
      <c r="H233" s="61"/>
      <c r="I233" s="62"/>
      <c r="J233" s="53"/>
    </row>
    <row r="234" ht="24.75" hidden="1" customHeight="1">
      <c r="A234" s="54">
        <v>140.0</v>
      </c>
      <c r="B234" s="56" t="s">
        <v>543</v>
      </c>
      <c r="C234" s="56" t="s">
        <v>437</v>
      </c>
      <c r="D234" s="56" t="s">
        <v>544</v>
      </c>
      <c r="E234" s="56" t="s">
        <v>167</v>
      </c>
      <c r="F234" s="57" t="s">
        <v>154</v>
      </c>
      <c r="G234" s="61"/>
      <c r="H234" s="61"/>
      <c r="I234" s="62"/>
      <c r="J234" s="53"/>
    </row>
    <row r="235" ht="24.75" hidden="1" customHeight="1">
      <c r="A235" s="54">
        <v>140.0</v>
      </c>
      <c r="B235" s="56" t="s">
        <v>543</v>
      </c>
      <c r="C235" s="56" t="s">
        <v>437</v>
      </c>
      <c r="D235" s="56" t="s">
        <v>544</v>
      </c>
      <c r="E235" s="56" t="s">
        <v>176</v>
      </c>
      <c r="F235" s="57" t="s">
        <v>154</v>
      </c>
      <c r="G235" s="61"/>
      <c r="H235" s="61"/>
      <c r="I235" s="62"/>
      <c r="J235" s="53"/>
    </row>
    <row r="236" ht="24.75" hidden="1" customHeight="1">
      <c r="A236" s="54">
        <v>140.0</v>
      </c>
      <c r="B236" s="56" t="s">
        <v>545</v>
      </c>
      <c r="C236" s="56" t="s">
        <v>437</v>
      </c>
      <c r="D236" s="56" t="s">
        <v>546</v>
      </c>
      <c r="E236" s="56" t="s">
        <v>167</v>
      </c>
      <c r="F236" s="57" t="s">
        <v>154</v>
      </c>
      <c r="G236" s="61"/>
      <c r="H236" s="61"/>
      <c r="I236" s="62"/>
      <c r="J236" s="53"/>
    </row>
    <row r="237" ht="24.75" hidden="1" customHeight="1">
      <c r="A237" s="54">
        <v>140.0</v>
      </c>
      <c r="B237" s="56" t="s">
        <v>545</v>
      </c>
      <c r="C237" s="56" t="s">
        <v>437</v>
      </c>
      <c r="D237" s="56" t="s">
        <v>546</v>
      </c>
      <c r="E237" s="56" t="s">
        <v>176</v>
      </c>
      <c r="F237" s="57" t="s">
        <v>154</v>
      </c>
      <c r="G237" s="61"/>
      <c r="H237" s="61"/>
      <c r="I237" s="62"/>
      <c r="J237" s="53"/>
    </row>
    <row r="238" ht="24.75" hidden="1" customHeight="1">
      <c r="A238" s="54">
        <v>140.0</v>
      </c>
      <c r="B238" s="56" t="s">
        <v>547</v>
      </c>
      <c r="C238" s="56" t="s">
        <v>437</v>
      </c>
      <c r="D238" s="56" t="s">
        <v>548</v>
      </c>
      <c r="E238" s="56" t="s">
        <v>167</v>
      </c>
      <c r="F238" s="57" t="s">
        <v>154</v>
      </c>
      <c r="G238" s="61"/>
      <c r="H238" s="61"/>
      <c r="I238" s="62"/>
      <c r="J238" s="53"/>
    </row>
    <row r="239" ht="24.75" hidden="1" customHeight="1">
      <c r="A239" s="54">
        <v>140.0</v>
      </c>
      <c r="B239" s="56" t="s">
        <v>547</v>
      </c>
      <c r="C239" s="56" t="s">
        <v>437</v>
      </c>
      <c r="D239" s="56" t="s">
        <v>548</v>
      </c>
      <c r="E239" s="56" t="s">
        <v>176</v>
      </c>
      <c r="F239" s="57" t="s">
        <v>154</v>
      </c>
      <c r="G239" s="61"/>
      <c r="H239" s="61"/>
      <c r="I239" s="62"/>
      <c r="J239" s="53"/>
    </row>
    <row r="240" ht="24.75" hidden="1" customHeight="1">
      <c r="A240" s="54">
        <v>140.0</v>
      </c>
      <c r="B240" s="56" t="s">
        <v>549</v>
      </c>
      <c r="C240" s="56" t="s">
        <v>434</v>
      </c>
      <c r="D240" s="56" t="s">
        <v>550</v>
      </c>
      <c r="E240" s="56" t="s">
        <v>167</v>
      </c>
      <c r="F240" s="57" t="s">
        <v>154</v>
      </c>
      <c r="G240" s="61"/>
      <c r="H240" s="61"/>
      <c r="I240" s="62"/>
      <c r="J240" s="53"/>
    </row>
    <row r="241" ht="24.75" hidden="1" customHeight="1">
      <c r="A241" s="54">
        <v>140.0</v>
      </c>
      <c r="B241" s="56" t="s">
        <v>549</v>
      </c>
      <c r="C241" s="56" t="s">
        <v>434</v>
      </c>
      <c r="D241" s="56" t="s">
        <v>550</v>
      </c>
      <c r="E241" s="56" t="s">
        <v>176</v>
      </c>
      <c r="F241" s="57" t="s">
        <v>154</v>
      </c>
      <c r="G241" s="61"/>
      <c r="H241" s="61"/>
      <c r="I241" s="62"/>
      <c r="J241" s="53"/>
    </row>
    <row r="242" ht="24.75" hidden="1" customHeight="1">
      <c r="A242" s="54">
        <v>140.0</v>
      </c>
      <c r="B242" s="56" t="s">
        <v>551</v>
      </c>
      <c r="C242" s="56" t="s">
        <v>497</v>
      </c>
      <c r="D242" s="56" t="s">
        <v>552</v>
      </c>
      <c r="E242" s="56" t="s">
        <v>167</v>
      </c>
      <c r="F242" s="57" t="s">
        <v>154</v>
      </c>
      <c r="G242" s="61"/>
      <c r="H242" s="61"/>
      <c r="I242" s="62"/>
      <c r="J242" s="53"/>
    </row>
    <row r="243" ht="24.75" hidden="1" customHeight="1">
      <c r="A243" s="54">
        <v>140.0</v>
      </c>
      <c r="B243" s="56" t="s">
        <v>551</v>
      </c>
      <c r="C243" s="56" t="s">
        <v>497</v>
      </c>
      <c r="D243" s="56" t="s">
        <v>552</v>
      </c>
      <c r="E243" s="56" t="s">
        <v>176</v>
      </c>
      <c r="F243" s="57" t="s">
        <v>154</v>
      </c>
      <c r="G243" s="61"/>
      <c r="H243" s="61"/>
      <c r="I243" s="62"/>
      <c r="J243" s="53"/>
    </row>
    <row r="244" ht="24.75" hidden="1" customHeight="1">
      <c r="A244" s="54">
        <v>140.0</v>
      </c>
      <c r="B244" s="56" t="s">
        <v>553</v>
      </c>
      <c r="C244" s="56" t="s">
        <v>443</v>
      </c>
      <c r="D244" s="56" t="s">
        <v>554</v>
      </c>
      <c r="E244" s="56" t="s">
        <v>167</v>
      </c>
      <c r="F244" s="57" t="s">
        <v>154</v>
      </c>
      <c r="G244" s="61"/>
      <c r="H244" s="61"/>
      <c r="I244" s="62"/>
      <c r="J244" s="53"/>
    </row>
    <row r="245" ht="24.75" hidden="1" customHeight="1">
      <c r="A245" s="54">
        <v>140.0</v>
      </c>
      <c r="B245" s="56" t="s">
        <v>553</v>
      </c>
      <c r="C245" s="56" t="s">
        <v>443</v>
      </c>
      <c r="D245" s="56" t="s">
        <v>554</v>
      </c>
      <c r="E245" s="56" t="s">
        <v>176</v>
      </c>
      <c r="F245" s="57" t="s">
        <v>154</v>
      </c>
      <c r="G245" s="61"/>
      <c r="H245" s="61"/>
      <c r="I245" s="62"/>
      <c r="J245" s="53"/>
    </row>
    <row r="246" ht="24.75" hidden="1" customHeight="1">
      <c r="A246" s="54">
        <v>140.0</v>
      </c>
      <c r="B246" s="56" t="s">
        <v>555</v>
      </c>
      <c r="C246" s="56" t="s">
        <v>434</v>
      </c>
      <c r="D246" s="56" t="s">
        <v>556</v>
      </c>
      <c r="E246" s="56" t="s">
        <v>167</v>
      </c>
      <c r="F246" s="57" t="s">
        <v>154</v>
      </c>
      <c r="G246" s="61"/>
      <c r="H246" s="61"/>
      <c r="I246" s="62"/>
      <c r="J246" s="53"/>
    </row>
    <row r="247" ht="24.75" hidden="1" customHeight="1">
      <c r="A247" s="54">
        <v>140.0</v>
      </c>
      <c r="B247" s="56" t="s">
        <v>555</v>
      </c>
      <c r="C247" s="56" t="s">
        <v>434</v>
      </c>
      <c r="D247" s="56" t="s">
        <v>556</v>
      </c>
      <c r="E247" s="56" t="s">
        <v>176</v>
      </c>
      <c r="F247" s="57" t="s">
        <v>154</v>
      </c>
      <c r="G247" s="61"/>
      <c r="H247" s="61"/>
      <c r="I247" s="62"/>
      <c r="J247" s="53"/>
    </row>
    <row r="248" ht="24.75" hidden="1" customHeight="1">
      <c r="A248" s="54">
        <v>140.0</v>
      </c>
      <c r="B248" s="56" t="s">
        <v>558</v>
      </c>
      <c r="C248" s="56" t="s">
        <v>270</v>
      </c>
      <c r="D248" s="56" t="s">
        <v>559</v>
      </c>
      <c r="E248" s="56" t="s">
        <v>167</v>
      </c>
      <c r="F248" s="57" t="s">
        <v>154</v>
      </c>
      <c r="G248" s="61"/>
      <c r="H248" s="61"/>
      <c r="I248" s="62"/>
      <c r="J248" s="53"/>
    </row>
    <row r="249" ht="24.75" hidden="1" customHeight="1">
      <c r="A249" s="54">
        <v>140.0</v>
      </c>
      <c r="B249" s="56" t="s">
        <v>558</v>
      </c>
      <c r="C249" s="56" t="s">
        <v>270</v>
      </c>
      <c r="D249" s="56" t="s">
        <v>559</v>
      </c>
      <c r="E249" s="56" t="s">
        <v>176</v>
      </c>
      <c r="F249" s="57" t="s">
        <v>154</v>
      </c>
      <c r="G249" s="61"/>
      <c r="H249" s="61"/>
      <c r="I249" s="62"/>
      <c r="J249" s="53"/>
    </row>
    <row r="250" ht="24.75" hidden="1" customHeight="1">
      <c r="A250" s="54">
        <v>140.0</v>
      </c>
      <c r="B250" s="56" t="s">
        <v>560</v>
      </c>
      <c r="C250" s="56" t="s">
        <v>446</v>
      </c>
      <c r="D250" s="56" t="s">
        <v>561</v>
      </c>
      <c r="E250" s="56" t="s">
        <v>167</v>
      </c>
      <c r="F250" s="57" t="s">
        <v>154</v>
      </c>
      <c r="G250" s="61"/>
      <c r="H250" s="61"/>
      <c r="I250" s="62"/>
      <c r="J250" s="53"/>
    </row>
    <row r="251" ht="24.75" hidden="1" customHeight="1">
      <c r="A251" s="54">
        <v>140.0</v>
      </c>
      <c r="B251" s="56" t="s">
        <v>560</v>
      </c>
      <c r="C251" s="56" t="s">
        <v>446</v>
      </c>
      <c r="D251" s="56" t="s">
        <v>561</v>
      </c>
      <c r="E251" s="56" t="s">
        <v>176</v>
      </c>
      <c r="F251" s="57" t="s">
        <v>154</v>
      </c>
      <c r="G251" s="61"/>
      <c r="H251" s="61"/>
      <c r="I251" s="62"/>
      <c r="J251" s="53"/>
    </row>
    <row r="252" ht="24.75" hidden="1" customHeight="1">
      <c r="A252" s="54">
        <v>140.0</v>
      </c>
      <c r="B252" s="56" t="s">
        <v>562</v>
      </c>
      <c r="C252" s="56" t="s">
        <v>443</v>
      </c>
      <c r="D252" s="56" t="s">
        <v>563</v>
      </c>
      <c r="E252" s="56" t="s">
        <v>167</v>
      </c>
      <c r="F252" s="57" t="s">
        <v>154</v>
      </c>
      <c r="G252" s="61"/>
      <c r="H252" s="61"/>
      <c r="I252" s="62"/>
      <c r="J252" s="53"/>
    </row>
    <row r="253" ht="24.75" hidden="1" customHeight="1">
      <c r="A253" s="54">
        <v>140.0</v>
      </c>
      <c r="B253" s="56" t="s">
        <v>562</v>
      </c>
      <c r="C253" s="56" t="s">
        <v>443</v>
      </c>
      <c r="D253" s="56" t="s">
        <v>563</v>
      </c>
      <c r="E253" s="56" t="s">
        <v>176</v>
      </c>
      <c r="F253" s="57" t="s">
        <v>154</v>
      </c>
      <c r="G253" s="61"/>
      <c r="H253" s="61"/>
      <c r="I253" s="62"/>
      <c r="J253" s="53"/>
    </row>
    <row r="254" ht="24.75" hidden="1" customHeight="1">
      <c r="A254" s="54">
        <v>140.0</v>
      </c>
      <c r="B254" s="56" t="s">
        <v>564</v>
      </c>
      <c r="C254" s="56" t="s">
        <v>446</v>
      </c>
      <c r="D254" s="56" t="s">
        <v>565</v>
      </c>
      <c r="E254" s="56" t="s">
        <v>167</v>
      </c>
      <c r="F254" s="57" t="s">
        <v>154</v>
      </c>
      <c r="G254" s="61"/>
      <c r="H254" s="61"/>
      <c r="I254" s="62"/>
      <c r="J254" s="53"/>
    </row>
    <row r="255" ht="24.75" hidden="1" customHeight="1">
      <c r="A255" s="54">
        <v>140.0</v>
      </c>
      <c r="B255" s="56" t="s">
        <v>564</v>
      </c>
      <c r="C255" s="56" t="s">
        <v>446</v>
      </c>
      <c r="D255" s="56" t="s">
        <v>565</v>
      </c>
      <c r="E255" s="56" t="s">
        <v>176</v>
      </c>
      <c r="F255" s="57" t="s">
        <v>154</v>
      </c>
      <c r="G255" s="61"/>
      <c r="H255" s="61"/>
      <c r="I255" s="62"/>
      <c r="J255" s="53"/>
    </row>
    <row r="256" ht="24.75" hidden="1" customHeight="1">
      <c r="A256" s="54">
        <v>140.0</v>
      </c>
      <c r="B256" s="56" t="s">
        <v>566</v>
      </c>
      <c r="C256" s="88" t="s">
        <v>449</v>
      </c>
      <c r="D256" s="56" t="s">
        <v>567</v>
      </c>
      <c r="E256" s="56" t="s">
        <v>167</v>
      </c>
      <c r="F256" s="57" t="s">
        <v>154</v>
      </c>
      <c r="G256" s="61"/>
      <c r="H256" s="61"/>
      <c r="I256" s="62"/>
      <c r="J256" s="53"/>
    </row>
    <row r="257" ht="24.75" hidden="1" customHeight="1">
      <c r="A257" s="54">
        <v>140.0</v>
      </c>
      <c r="B257" s="56" t="s">
        <v>566</v>
      </c>
      <c r="C257" s="88" t="s">
        <v>449</v>
      </c>
      <c r="D257" s="56" t="s">
        <v>567</v>
      </c>
      <c r="E257" s="56" t="s">
        <v>176</v>
      </c>
      <c r="F257" s="57" t="s">
        <v>154</v>
      </c>
      <c r="G257" s="61"/>
      <c r="H257" s="61"/>
      <c r="I257" s="62"/>
      <c r="J257" s="53"/>
    </row>
    <row r="258" ht="24.75" hidden="1" customHeight="1">
      <c r="A258" s="54">
        <v>140.0</v>
      </c>
      <c r="B258" s="56" t="s">
        <v>568</v>
      </c>
      <c r="C258" s="56" t="s">
        <v>446</v>
      </c>
      <c r="D258" s="56" t="s">
        <v>569</v>
      </c>
      <c r="E258" s="56" t="s">
        <v>272</v>
      </c>
      <c r="F258" s="57" t="s">
        <v>15</v>
      </c>
      <c r="G258" s="61"/>
      <c r="H258" s="61"/>
      <c r="I258" s="60"/>
      <c r="J258" s="53"/>
    </row>
    <row r="259" ht="24.75" hidden="1" customHeight="1">
      <c r="A259" s="54">
        <v>140.0</v>
      </c>
      <c r="B259" s="56" t="s">
        <v>570</v>
      </c>
      <c r="C259" s="88" t="s">
        <v>449</v>
      </c>
      <c r="D259" s="56" t="s">
        <v>571</v>
      </c>
      <c r="E259" s="56" t="s">
        <v>167</v>
      </c>
      <c r="F259" s="57" t="s">
        <v>154</v>
      </c>
      <c r="G259" s="61"/>
      <c r="H259" s="61"/>
      <c r="I259" s="62"/>
      <c r="J259" s="53"/>
    </row>
    <row r="260" ht="24.75" hidden="1" customHeight="1">
      <c r="A260" s="54">
        <v>140.0</v>
      </c>
      <c r="B260" s="56" t="s">
        <v>570</v>
      </c>
      <c r="C260" s="88" t="s">
        <v>449</v>
      </c>
      <c r="D260" s="56" t="s">
        <v>571</v>
      </c>
      <c r="E260" s="56" t="s">
        <v>176</v>
      </c>
      <c r="F260" s="57" t="s">
        <v>154</v>
      </c>
      <c r="G260" s="61"/>
      <c r="H260" s="61"/>
      <c r="I260" s="62"/>
      <c r="J260" s="53"/>
    </row>
    <row r="261" ht="24.75" hidden="1" customHeight="1">
      <c r="A261" s="54" t="s">
        <v>572</v>
      </c>
      <c r="B261" s="56" t="s">
        <v>573</v>
      </c>
      <c r="C261" s="56" t="s">
        <v>574</v>
      </c>
      <c r="D261" s="56" t="s">
        <v>575</v>
      </c>
      <c r="E261" s="56" t="s">
        <v>239</v>
      </c>
      <c r="F261" s="57" t="s">
        <v>154</v>
      </c>
      <c r="G261" s="61"/>
      <c r="H261" s="61"/>
      <c r="I261" s="62" t="s">
        <v>207</v>
      </c>
      <c r="J261" s="53"/>
    </row>
    <row r="262" ht="24.75" hidden="1" customHeight="1">
      <c r="A262" s="54" t="s">
        <v>572</v>
      </c>
      <c r="B262" s="56" t="s">
        <v>576</v>
      </c>
      <c r="C262" s="56" t="s">
        <v>574</v>
      </c>
      <c r="D262" s="56" t="s">
        <v>577</v>
      </c>
      <c r="E262" s="56" t="s">
        <v>578</v>
      </c>
      <c r="F262" s="57" t="s">
        <v>154</v>
      </c>
      <c r="G262" s="61"/>
      <c r="H262" s="61"/>
      <c r="I262" s="62"/>
      <c r="J262" s="53"/>
    </row>
    <row r="263" ht="24.75" customHeight="1">
      <c r="A263" s="54" t="s">
        <v>572</v>
      </c>
      <c r="B263" s="56" t="s">
        <v>576</v>
      </c>
      <c r="C263" s="56" t="s">
        <v>574</v>
      </c>
      <c r="D263" s="56" t="s">
        <v>577</v>
      </c>
      <c r="E263" s="56" t="s">
        <v>196</v>
      </c>
      <c r="F263" s="57" t="s">
        <v>250</v>
      </c>
      <c r="G263" s="61"/>
      <c r="H263" s="61" t="s">
        <v>197</v>
      </c>
      <c r="I263" s="62" t="s">
        <v>581</v>
      </c>
      <c r="J263" s="53"/>
    </row>
    <row r="264" ht="24.75" hidden="1" customHeight="1">
      <c r="A264" s="54" t="s">
        <v>572</v>
      </c>
      <c r="B264" s="56" t="s">
        <v>579</v>
      </c>
      <c r="C264" s="56" t="s">
        <v>574</v>
      </c>
      <c r="D264" s="56" t="s">
        <v>580</v>
      </c>
      <c r="E264" s="56" t="s">
        <v>578</v>
      </c>
      <c r="F264" s="57" t="s">
        <v>154</v>
      </c>
      <c r="G264" s="61"/>
      <c r="H264" s="61"/>
      <c r="I264" s="62"/>
      <c r="J264" s="53"/>
    </row>
    <row r="265" ht="24.75" customHeight="1">
      <c r="A265" s="54" t="s">
        <v>572</v>
      </c>
      <c r="B265" s="56" t="s">
        <v>579</v>
      </c>
      <c r="C265" s="56" t="s">
        <v>574</v>
      </c>
      <c r="D265" s="56" t="s">
        <v>580</v>
      </c>
      <c r="E265" s="56" t="s">
        <v>196</v>
      </c>
      <c r="F265" s="57" t="s">
        <v>250</v>
      </c>
      <c r="G265" s="61"/>
      <c r="H265" s="61" t="s">
        <v>197</v>
      </c>
      <c r="I265" s="62" t="s">
        <v>581</v>
      </c>
      <c r="J265" s="53"/>
    </row>
    <row r="266" ht="24.75" hidden="1" customHeight="1">
      <c r="A266" s="54" t="s">
        <v>572</v>
      </c>
      <c r="B266" s="56" t="s">
        <v>582</v>
      </c>
      <c r="C266" s="56" t="s">
        <v>583</v>
      </c>
      <c r="D266" s="56" t="s">
        <v>584</v>
      </c>
      <c r="E266" s="56" t="s">
        <v>585</v>
      </c>
      <c r="F266" s="57" t="s">
        <v>154</v>
      </c>
      <c r="G266" s="61"/>
      <c r="H266" s="61"/>
      <c r="I266" s="62" t="s">
        <v>207</v>
      </c>
      <c r="J266" s="53"/>
    </row>
    <row r="267" ht="24.75" hidden="1" customHeight="1">
      <c r="A267" s="54" t="s">
        <v>572</v>
      </c>
      <c r="B267" s="56" t="s">
        <v>586</v>
      </c>
      <c r="C267" s="56" t="s">
        <v>583</v>
      </c>
      <c r="D267" s="56" t="s">
        <v>587</v>
      </c>
      <c r="E267" s="56" t="s">
        <v>588</v>
      </c>
      <c r="F267" s="57" t="s">
        <v>154</v>
      </c>
      <c r="G267" s="61"/>
      <c r="H267" s="61"/>
      <c r="I267" s="62"/>
      <c r="J267" s="53"/>
    </row>
    <row r="268" ht="24.75" hidden="1" customHeight="1">
      <c r="A268" s="54" t="s">
        <v>572</v>
      </c>
      <c r="B268" s="56" t="s">
        <v>586</v>
      </c>
      <c r="C268" s="56" t="s">
        <v>583</v>
      </c>
      <c r="D268" s="56" t="s">
        <v>587</v>
      </c>
      <c r="E268" s="56" t="s">
        <v>589</v>
      </c>
      <c r="F268" s="57" t="s">
        <v>154</v>
      </c>
      <c r="G268" s="61"/>
      <c r="H268" s="61"/>
      <c r="I268" s="62"/>
      <c r="J268" s="53"/>
    </row>
    <row r="269" ht="24.75" customHeight="1">
      <c r="A269" s="54" t="s">
        <v>572</v>
      </c>
      <c r="B269" s="56" t="s">
        <v>586</v>
      </c>
      <c r="C269" s="56" t="s">
        <v>583</v>
      </c>
      <c r="D269" s="56" t="s">
        <v>587</v>
      </c>
      <c r="E269" s="56" t="s">
        <v>590</v>
      </c>
      <c r="F269" s="57" t="s">
        <v>250</v>
      </c>
      <c r="G269" s="61"/>
      <c r="H269" s="61" t="s">
        <v>592</v>
      </c>
      <c r="I269" s="62" t="s">
        <v>593</v>
      </c>
      <c r="J269" s="53"/>
    </row>
    <row r="270" ht="24.75" hidden="1" customHeight="1">
      <c r="A270" s="54" t="s">
        <v>572</v>
      </c>
      <c r="B270" s="56" t="s">
        <v>591</v>
      </c>
      <c r="C270" s="56" t="s">
        <v>574</v>
      </c>
      <c r="D270" s="56" t="s">
        <v>594</v>
      </c>
      <c r="E270" s="56" t="s">
        <v>239</v>
      </c>
      <c r="F270" s="57" t="s">
        <v>154</v>
      </c>
      <c r="G270" s="61"/>
      <c r="H270" s="61"/>
      <c r="I270" s="62"/>
      <c r="J270" s="53"/>
    </row>
    <row r="271" ht="24.75" hidden="1" customHeight="1">
      <c r="A271" s="54" t="s">
        <v>572</v>
      </c>
      <c r="B271" s="56" t="s">
        <v>595</v>
      </c>
      <c r="C271" s="56" t="s">
        <v>574</v>
      </c>
      <c r="D271" s="56" t="s">
        <v>577</v>
      </c>
      <c r="E271" s="56" t="s">
        <v>578</v>
      </c>
      <c r="F271" s="57" t="s">
        <v>154</v>
      </c>
      <c r="G271" s="61"/>
      <c r="H271" s="61"/>
      <c r="I271" s="62"/>
      <c r="J271" s="53"/>
    </row>
    <row r="272" ht="24.75" customHeight="1">
      <c r="A272" s="54" t="s">
        <v>572</v>
      </c>
      <c r="B272" s="56" t="s">
        <v>595</v>
      </c>
      <c r="C272" s="56" t="s">
        <v>574</v>
      </c>
      <c r="D272" s="56" t="s">
        <v>577</v>
      </c>
      <c r="E272" s="56" t="s">
        <v>196</v>
      </c>
      <c r="F272" s="57" t="s">
        <v>250</v>
      </c>
      <c r="G272" s="61"/>
      <c r="H272" s="61" t="s">
        <v>197</v>
      </c>
      <c r="I272" s="62" t="s">
        <v>581</v>
      </c>
      <c r="J272" s="53"/>
    </row>
    <row r="273" ht="24.75" hidden="1" customHeight="1">
      <c r="A273" s="54" t="s">
        <v>572</v>
      </c>
      <c r="B273" s="56" t="s">
        <v>596</v>
      </c>
      <c r="C273" s="56" t="s">
        <v>574</v>
      </c>
      <c r="D273" s="56" t="s">
        <v>597</v>
      </c>
      <c r="E273" s="56" t="s">
        <v>239</v>
      </c>
      <c r="F273" s="57" t="s">
        <v>154</v>
      </c>
      <c r="G273" s="61"/>
      <c r="H273" s="61"/>
      <c r="I273" s="62"/>
      <c r="J273" s="53"/>
    </row>
    <row r="274" ht="24.75" hidden="1" customHeight="1">
      <c r="A274" s="54" t="s">
        <v>572</v>
      </c>
      <c r="B274" s="56" t="s">
        <v>598</v>
      </c>
      <c r="C274" s="56" t="s">
        <v>574</v>
      </c>
      <c r="D274" s="56" t="s">
        <v>577</v>
      </c>
      <c r="E274" s="56" t="s">
        <v>578</v>
      </c>
      <c r="F274" s="57" t="s">
        <v>154</v>
      </c>
      <c r="G274" s="61"/>
      <c r="H274" s="61"/>
      <c r="I274" s="62"/>
      <c r="J274" s="53"/>
    </row>
    <row r="275" ht="24.75" customHeight="1">
      <c r="A275" s="54" t="s">
        <v>572</v>
      </c>
      <c r="B275" s="56" t="s">
        <v>598</v>
      </c>
      <c r="C275" s="56" t="s">
        <v>574</v>
      </c>
      <c r="D275" s="56" t="s">
        <v>577</v>
      </c>
      <c r="E275" s="56" t="s">
        <v>196</v>
      </c>
      <c r="F275" s="57" t="s">
        <v>250</v>
      </c>
      <c r="G275" s="61"/>
      <c r="H275" s="61" t="s">
        <v>197</v>
      </c>
      <c r="I275" s="62" t="s">
        <v>581</v>
      </c>
      <c r="J275" s="53"/>
    </row>
    <row r="276" ht="24.75" hidden="1" customHeight="1">
      <c r="A276" s="54" t="s">
        <v>289</v>
      </c>
      <c r="B276" s="56" t="s">
        <v>599</v>
      </c>
      <c r="C276" s="56" t="s">
        <v>291</v>
      </c>
      <c r="D276" s="56" t="s">
        <v>600</v>
      </c>
      <c r="E276" s="56" t="s">
        <v>163</v>
      </c>
      <c r="F276" s="57" t="s">
        <v>154</v>
      </c>
      <c r="G276" s="61"/>
      <c r="H276" s="79"/>
      <c r="I276" s="62"/>
      <c r="J276" s="53"/>
    </row>
    <row r="277" ht="24.75" customHeight="1">
      <c r="A277" s="54" t="s">
        <v>289</v>
      </c>
      <c r="B277" s="56" t="s">
        <v>290</v>
      </c>
      <c r="C277" s="56" t="s">
        <v>291</v>
      </c>
      <c r="D277" s="56" t="s">
        <v>292</v>
      </c>
      <c r="E277" s="56" t="s">
        <v>196</v>
      </c>
      <c r="F277" s="57" t="s">
        <v>250</v>
      </c>
      <c r="G277" s="61"/>
      <c r="H277" s="61" t="s">
        <v>287</v>
      </c>
      <c r="I277" s="62" t="s">
        <v>288</v>
      </c>
      <c r="J277" s="53"/>
    </row>
    <row r="278" ht="24.75" hidden="1" customHeight="1">
      <c r="A278" s="54" t="s">
        <v>289</v>
      </c>
      <c r="B278" s="56" t="s">
        <v>290</v>
      </c>
      <c r="C278" s="56" t="s">
        <v>291</v>
      </c>
      <c r="D278" s="56" t="s">
        <v>292</v>
      </c>
      <c r="E278" s="56" t="s">
        <v>601</v>
      </c>
      <c r="F278" s="57" t="s">
        <v>154</v>
      </c>
      <c r="G278" s="61"/>
      <c r="H278" s="79"/>
      <c r="I278" s="62"/>
      <c r="J278" s="53"/>
    </row>
    <row r="279" ht="24.75" hidden="1" customHeight="1">
      <c r="A279" s="54">
        <v>140.0</v>
      </c>
      <c r="B279" s="56" t="s">
        <v>602</v>
      </c>
      <c r="C279" s="56" t="s">
        <v>500</v>
      </c>
      <c r="D279" s="56" t="s">
        <v>603</v>
      </c>
      <c r="E279" s="56" t="s">
        <v>272</v>
      </c>
      <c r="F279" s="57" t="s">
        <v>15</v>
      </c>
      <c r="G279" s="61"/>
      <c r="H279" s="61"/>
      <c r="I279" s="60"/>
      <c r="J279" s="53"/>
    </row>
    <row r="280" ht="24.75" hidden="1" customHeight="1">
      <c r="A280" s="54">
        <v>140.0</v>
      </c>
      <c r="B280" s="56" t="s">
        <v>566</v>
      </c>
      <c r="C280" s="56" t="s">
        <v>500</v>
      </c>
      <c r="D280" s="56" t="s">
        <v>604</v>
      </c>
      <c r="E280" s="56" t="s">
        <v>272</v>
      </c>
      <c r="F280" s="57" t="s">
        <v>15</v>
      </c>
      <c r="G280" s="61"/>
      <c r="H280" s="61"/>
      <c r="I280" s="60"/>
      <c r="J280" s="53"/>
    </row>
    <row r="281" ht="24.75" hidden="1" customHeight="1">
      <c r="A281" s="54" t="s">
        <v>289</v>
      </c>
      <c r="B281" s="56" t="s">
        <v>605</v>
      </c>
      <c r="C281" s="56" t="s">
        <v>606</v>
      </c>
      <c r="D281" s="56" t="s">
        <v>607</v>
      </c>
      <c r="E281" s="56" t="s">
        <v>608</v>
      </c>
      <c r="F281" s="57" t="s">
        <v>154</v>
      </c>
      <c r="G281" s="61"/>
      <c r="H281" s="79"/>
      <c r="I281" s="62"/>
      <c r="J281" s="53"/>
    </row>
    <row r="282" ht="24.75" hidden="1" customHeight="1">
      <c r="A282" s="54" t="s">
        <v>289</v>
      </c>
      <c r="B282" s="56" t="s">
        <v>609</v>
      </c>
      <c r="C282" s="56" t="s">
        <v>610</v>
      </c>
      <c r="D282" s="56" t="s">
        <v>611</v>
      </c>
      <c r="E282" s="56" t="s">
        <v>612</v>
      </c>
      <c r="F282" s="57" t="s">
        <v>34</v>
      </c>
      <c r="G282" s="61"/>
      <c r="H282" s="79"/>
      <c r="I282" s="62"/>
      <c r="J282" s="53"/>
    </row>
    <row r="283" ht="24.75" hidden="1" customHeight="1">
      <c r="A283" s="54" t="s">
        <v>289</v>
      </c>
      <c r="B283" s="56" t="s">
        <v>609</v>
      </c>
      <c r="C283" s="56" t="s">
        <v>610</v>
      </c>
      <c r="D283" s="56" t="s">
        <v>611</v>
      </c>
      <c r="E283" s="56" t="s">
        <v>613</v>
      </c>
      <c r="F283" s="57" t="s">
        <v>34</v>
      </c>
      <c r="G283" s="61"/>
      <c r="H283" s="79"/>
      <c r="I283" s="62"/>
      <c r="J283" s="53"/>
    </row>
    <row r="284" ht="24.75" hidden="1" customHeight="1">
      <c r="A284" s="54" t="s">
        <v>289</v>
      </c>
      <c r="B284" s="56" t="s">
        <v>609</v>
      </c>
      <c r="C284" s="56" t="s">
        <v>610</v>
      </c>
      <c r="D284" s="56" t="s">
        <v>611</v>
      </c>
      <c r="E284" s="56" t="s">
        <v>614</v>
      </c>
      <c r="F284" s="57" t="s">
        <v>34</v>
      </c>
      <c r="G284" s="61"/>
      <c r="H284" s="79"/>
      <c r="I284" s="62" t="s">
        <v>615</v>
      </c>
      <c r="J284" s="53"/>
    </row>
    <row r="285" ht="24.75" hidden="1" customHeight="1">
      <c r="A285" s="54" t="s">
        <v>289</v>
      </c>
      <c r="B285" s="56" t="s">
        <v>609</v>
      </c>
      <c r="C285" s="56" t="s">
        <v>610</v>
      </c>
      <c r="D285" s="56" t="s">
        <v>611</v>
      </c>
      <c r="E285" s="56" t="s">
        <v>616</v>
      </c>
      <c r="F285" s="57" t="s">
        <v>154</v>
      </c>
      <c r="G285" s="61"/>
      <c r="H285" s="79"/>
      <c r="I285" s="62" t="s">
        <v>617</v>
      </c>
      <c r="J285" s="53"/>
    </row>
    <row r="286" ht="24.75" hidden="1" customHeight="1">
      <c r="A286" s="54" t="s">
        <v>289</v>
      </c>
      <c r="B286" s="56" t="s">
        <v>609</v>
      </c>
      <c r="C286" s="56" t="s">
        <v>610</v>
      </c>
      <c r="D286" s="56" t="s">
        <v>611</v>
      </c>
      <c r="E286" s="80" t="s">
        <v>618</v>
      </c>
      <c r="F286" s="57" t="s">
        <v>154</v>
      </c>
      <c r="G286" s="61"/>
      <c r="H286" s="79"/>
      <c r="I286" s="62" t="s">
        <v>617</v>
      </c>
      <c r="J286" s="53"/>
    </row>
    <row r="287" ht="24.75" customHeight="1">
      <c r="A287" s="54" t="s">
        <v>289</v>
      </c>
      <c r="B287" s="56" t="s">
        <v>619</v>
      </c>
      <c r="C287" s="56" t="s">
        <v>610</v>
      </c>
      <c r="D287" s="56" t="s">
        <v>620</v>
      </c>
      <c r="E287" s="56" t="s">
        <v>196</v>
      </c>
      <c r="F287" s="57" t="s">
        <v>250</v>
      </c>
      <c r="G287" s="61"/>
      <c r="H287" s="61" t="s">
        <v>287</v>
      </c>
      <c r="I287" s="62" t="s">
        <v>288</v>
      </c>
      <c r="J287" s="53"/>
    </row>
    <row r="288" ht="24.75" hidden="1" customHeight="1">
      <c r="A288" s="54" t="s">
        <v>289</v>
      </c>
      <c r="B288" s="56" t="s">
        <v>619</v>
      </c>
      <c r="C288" s="56" t="s">
        <v>610</v>
      </c>
      <c r="D288" s="56" t="s">
        <v>620</v>
      </c>
      <c r="E288" s="56" t="s">
        <v>621</v>
      </c>
      <c r="F288" s="57" t="s">
        <v>192</v>
      </c>
      <c r="G288" s="61"/>
      <c r="H288" s="79"/>
      <c r="I288" s="62"/>
      <c r="J288" s="53"/>
    </row>
    <row r="289" ht="24.75" hidden="1" customHeight="1">
      <c r="A289" s="54" t="s">
        <v>289</v>
      </c>
      <c r="B289" s="56" t="s">
        <v>619</v>
      </c>
      <c r="C289" s="56" t="s">
        <v>610</v>
      </c>
      <c r="D289" s="56" t="s">
        <v>620</v>
      </c>
      <c r="E289" s="56" t="s">
        <v>622</v>
      </c>
      <c r="F289" s="57" t="s">
        <v>154</v>
      </c>
      <c r="G289" s="61"/>
      <c r="H289" s="79"/>
      <c r="I289" s="62" t="s">
        <v>617</v>
      </c>
      <c r="J289" s="53"/>
    </row>
    <row r="290" ht="24.75" hidden="1" customHeight="1">
      <c r="A290" s="54" t="s">
        <v>289</v>
      </c>
      <c r="B290" s="56" t="s">
        <v>623</v>
      </c>
      <c r="C290" s="56" t="s">
        <v>624</v>
      </c>
      <c r="D290" s="56" t="s">
        <v>611</v>
      </c>
      <c r="E290" s="56" t="s">
        <v>612</v>
      </c>
      <c r="F290" s="57" t="s">
        <v>34</v>
      </c>
      <c r="G290" s="61"/>
      <c r="H290" s="79"/>
      <c r="I290" s="62"/>
      <c r="J290" s="53"/>
    </row>
    <row r="291" ht="24.75" hidden="1" customHeight="1">
      <c r="A291" s="54" t="s">
        <v>289</v>
      </c>
      <c r="B291" s="56" t="s">
        <v>623</v>
      </c>
      <c r="C291" s="56" t="s">
        <v>624</v>
      </c>
      <c r="D291" s="56" t="s">
        <v>611</v>
      </c>
      <c r="E291" s="56" t="s">
        <v>613</v>
      </c>
      <c r="F291" s="57" t="s">
        <v>34</v>
      </c>
      <c r="G291" s="61"/>
      <c r="H291" s="79"/>
      <c r="I291" s="62"/>
      <c r="J291" s="53"/>
    </row>
    <row r="292" ht="24.75" hidden="1" customHeight="1">
      <c r="A292" s="54" t="s">
        <v>289</v>
      </c>
      <c r="B292" s="56" t="s">
        <v>623</v>
      </c>
      <c r="C292" s="56" t="s">
        <v>624</v>
      </c>
      <c r="D292" s="56" t="s">
        <v>611</v>
      </c>
      <c r="E292" s="56" t="s">
        <v>614</v>
      </c>
      <c r="F292" s="57" t="s">
        <v>34</v>
      </c>
      <c r="G292" s="61"/>
      <c r="H292" s="79"/>
      <c r="I292" s="62" t="s">
        <v>615</v>
      </c>
      <c r="J292" s="53"/>
    </row>
    <row r="293" ht="24.75" hidden="1" customHeight="1">
      <c r="A293" s="54" t="s">
        <v>289</v>
      </c>
      <c r="B293" s="56" t="s">
        <v>623</v>
      </c>
      <c r="C293" s="56" t="s">
        <v>624</v>
      </c>
      <c r="D293" s="56" t="s">
        <v>611</v>
      </c>
      <c r="E293" s="56" t="s">
        <v>616</v>
      </c>
      <c r="F293" s="57" t="s">
        <v>154</v>
      </c>
      <c r="G293" s="61"/>
      <c r="H293" s="79"/>
      <c r="I293" s="62" t="s">
        <v>617</v>
      </c>
      <c r="J293" s="53"/>
    </row>
    <row r="294" ht="24.75" hidden="1" customHeight="1">
      <c r="A294" s="54" t="s">
        <v>289</v>
      </c>
      <c r="B294" s="56" t="s">
        <v>623</v>
      </c>
      <c r="C294" s="56" t="s">
        <v>624</v>
      </c>
      <c r="D294" s="56" t="s">
        <v>611</v>
      </c>
      <c r="E294" s="80" t="s">
        <v>618</v>
      </c>
      <c r="F294" s="57" t="s">
        <v>154</v>
      </c>
      <c r="G294" s="61"/>
      <c r="H294" s="79"/>
      <c r="I294" s="62" t="s">
        <v>617</v>
      </c>
      <c r="J294" s="53"/>
    </row>
    <row r="295" ht="24.75" customHeight="1">
      <c r="A295" s="54" t="s">
        <v>289</v>
      </c>
      <c r="B295" s="56" t="s">
        <v>625</v>
      </c>
      <c r="C295" s="56" t="s">
        <v>624</v>
      </c>
      <c r="D295" s="56" t="s">
        <v>620</v>
      </c>
      <c r="E295" s="56" t="s">
        <v>196</v>
      </c>
      <c r="F295" s="57" t="s">
        <v>250</v>
      </c>
      <c r="G295" s="61"/>
      <c r="H295" s="61" t="s">
        <v>287</v>
      </c>
      <c r="I295" s="62" t="s">
        <v>288</v>
      </c>
      <c r="J295" s="53"/>
    </row>
    <row r="296" ht="24.75" hidden="1" customHeight="1">
      <c r="A296" s="54" t="s">
        <v>289</v>
      </c>
      <c r="B296" s="56" t="s">
        <v>625</v>
      </c>
      <c r="C296" s="56" t="s">
        <v>624</v>
      </c>
      <c r="D296" s="56" t="s">
        <v>620</v>
      </c>
      <c r="E296" s="56" t="s">
        <v>621</v>
      </c>
      <c r="F296" s="57" t="s">
        <v>192</v>
      </c>
      <c r="G296" s="61"/>
      <c r="H296" s="79"/>
      <c r="I296" s="62"/>
      <c r="J296" s="53"/>
    </row>
    <row r="297" ht="24.75" hidden="1" customHeight="1">
      <c r="A297" s="54" t="s">
        <v>289</v>
      </c>
      <c r="B297" s="56" t="s">
        <v>625</v>
      </c>
      <c r="C297" s="56" t="s">
        <v>624</v>
      </c>
      <c r="D297" s="56" t="s">
        <v>620</v>
      </c>
      <c r="E297" s="56" t="s">
        <v>622</v>
      </c>
      <c r="F297" s="57" t="s">
        <v>154</v>
      </c>
      <c r="G297" s="61"/>
      <c r="H297" s="79"/>
      <c r="I297" s="62" t="s">
        <v>617</v>
      </c>
      <c r="J297" s="53"/>
    </row>
    <row r="298" ht="24.75" hidden="1" customHeight="1">
      <c r="A298" s="54" t="s">
        <v>289</v>
      </c>
      <c r="B298" s="56" t="s">
        <v>626</v>
      </c>
      <c r="C298" s="56" t="s">
        <v>627</v>
      </c>
      <c r="D298" s="56" t="s">
        <v>611</v>
      </c>
      <c r="E298" s="56" t="s">
        <v>612</v>
      </c>
      <c r="F298" s="57" t="s">
        <v>34</v>
      </c>
      <c r="G298" s="61"/>
      <c r="H298" s="79"/>
      <c r="I298" s="62"/>
      <c r="J298" s="53"/>
    </row>
    <row r="299" ht="24.75" hidden="1" customHeight="1">
      <c r="A299" s="54" t="s">
        <v>289</v>
      </c>
      <c r="B299" s="56" t="s">
        <v>626</v>
      </c>
      <c r="C299" s="56" t="s">
        <v>627</v>
      </c>
      <c r="D299" s="56" t="s">
        <v>611</v>
      </c>
      <c r="E299" s="56" t="s">
        <v>613</v>
      </c>
      <c r="F299" s="57" t="s">
        <v>34</v>
      </c>
      <c r="G299" s="61"/>
      <c r="H299" s="79"/>
      <c r="I299" s="62"/>
      <c r="J299" s="53"/>
    </row>
    <row r="300" ht="24.75" hidden="1" customHeight="1">
      <c r="A300" s="54" t="s">
        <v>289</v>
      </c>
      <c r="B300" s="56" t="s">
        <v>626</v>
      </c>
      <c r="C300" s="56" t="s">
        <v>627</v>
      </c>
      <c r="D300" s="56" t="s">
        <v>611</v>
      </c>
      <c r="E300" s="56" t="s">
        <v>614</v>
      </c>
      <c r="F300" s="57" t="s">
        <v>34</v>
      </c>
      <c r="G300" s="61"/>
      <c r="H300" s="79"/>
      <c r="I300" s="62" t="s">
        <v>615</v>
      </c>
      <c r="J300" s="53"/>
    </row>
    <row r="301" ht="24.75" hidden="1" customHeight="1">
      <c r="A301" s="54" t="s">
        <v>289</v>
      </c>
      <c r="B301" s="56" t="s">
        <v>626</v>
      </c>
      <c r="C301" s="56" t="s">
        <v>627</v>
      </c>
      <c r="D301" s="56" t="s">
        <v>611</v>
      </c>
      <c r="E301" s="56" t="s">
        <v>616</v>
      </c>
      <c r="F301" s="57" t="s">
        <v>154</v>
      </c>
      <c r="G301" s="61"/>
      <c r="H301" s="79"/>
      <c r="I301" s="62" t="s">
        <v>617</v>
      </c>
      <c r="J301" s="53"/>
    </row>
    <row r="302" ht="24.75" hidden="1" customHeight="1">
      <c r="A302" s="54" t="s">
        <v>289</v>
      </c>
      <c r="B302" s="56" t="s">
        <v>626</v>
      </c>
      <c r="C302" s="56" t="s">
        <v>627</v>
      </c>
      <c r="D302" s="56" t="s">
        <v>611</v>
      </c>
      <c r="E302" s="56" t="s">
        <v>618</v>
      </c>
      <c r="F302" s="57" t="s">
        <v>154</v>
      </c>
      <c r="G302" s="61"/>
      <c r="H302" s="79"/>
      <c r="I302" s="62" t="s">
        <v>617</v>
      </c>
      <c r="J302" s="53"/>
    </row>
    <row r="303" ht="24.75" customHeight="1">
      <c r="A303" s="54" t="s">
        <v>289</v>
      </c>
      <c r="B303" s="56" t="s">
        <v>628</v>
      </c>
      <c r="C303" s="56" t="s">
        <v>627</v>
      </c>
      <c r="D303" s="56" t="s">
        <v>620</v>
      </c>
      <c r="E303" s="56" t="s">
        <v>196</v>
      </c>
      <c r="F303" s="57" t="s">
        <v>250</v>
      </c>
      <c r="G303" s="61"/>
      <c r="H303" s="61" t="s">
        <v>287</v>
      </c>
      <c r="I303" s="62" t="s">
        <v>288</v>
      </c>
      <c r="J303" s="53"/>
    </row>
    <row r="304" ht="24.75" hidden="1" customHeight="1">
      <c r="A304" s="54" t="s">
        <v>289</v>
      </c>
      <c r="B304" s="56" t="s">
        <v>628</v>
      </c>
      <c r="C304" s="56" t="s">
        <v>627</v>
      </c>
      <c r="D304" s="56" t="s">
        <v>620</v>
      </c>
      <c r="E304" s="56" t="s">
        <v>621</v>
      </c>
      <c r="F304" s="57" t="s">
        <v>192</v>
      </c>
      <c r="G304" s="61"/>
      <c r="H304" s="79"/>
      <c r="I304" s="62"/>
      <c r="J304" s="53"/>
    </row>
    <row r="305" ht="24.75" hidden="1" customHeight="1">
      <c r="A305" s="54" t="s">
        <v>289</v>
      </c>
      <c r="B305" s="56" t="s">
        <v>628</v>
      </c>
      <c r="C305" s="56" t="s">
        <v>627</v>
      </c>
      <c r="D305" s="56" t="s">
        <v>620</v>
      </c>
      <c r="E305" s="56" t="s">
        <v>622</v>
      </c>
      <c r="F305" s="57" t="s">
        <v>154</v>
      </c>
      <c r="G305" s="61"/>
      <c r="H305" s="79"/>
      <c r="I305" s="62" t="s">
        <v>617</v>
      </c>
      <c r="J305" s="53"/>
    </row>
    <row r="306" ht="24.75" hidden="1" customHeight="1">
      <c r="A306" s="54" t="s">
        <v>289</v>
      </c>
      <c r="B306" s="56" t="s">
        <v>629</v>
      </c>
      <c r="C306" s="56" t="s">
        <v>627</v>
      </c>
      <c r="D306" s="56" t="s">
        <v>631</v>
      </c>
      <c r="E306" s="56" t="s">
        <v>191</v>
      </c>
      <c r="F306" s="57" t="s">
        <v>192</v>
      </c>
      <c r="G306" s="61"/>
      <c r="H306" s="79"/>
      <c r="I306" s="62"/>
      <c r="J306" s="53"/>
    </row>
    <row r="307" ht="24.75" hidden="1" customHeight="1">
      <c r="A307" s="54" t="s">
        <v>289</v>
      </c>
      <c r="B307" s="56" t="s">
        <v>629</v>
      </c>
      <c r="C307" s="56" t="s">
        <v>627</v>
      </c>
      <c r="D307" s="56" t="s">
        <v>631</v>
      </c>
      <c r="E307" s="56" t="s">
        <v>632</v>
      </c>
      <c r="F307" s="57" t="s">
        <v>34</v>
      </c>
      <c r="G307" s="61"/>
      <c r="H307" s="61" t="s">
        <v>197</v>
      </c>
      <c r="I307" s="62"/>
      <c r="J307" s="53"/>
    </row>
    <row r="308" ht="24.75" hidden="1" customHeight="1">
      <c r="A308" s="54" t="s">
        <v>289</v>
      </c>
      <c r="B308" s="56" t="s">
        <v>629</v>
      </c>
      <c r="C308" s="56" t="s">
        <v>627</v>
      </c>
      <c r="D308" s="56" t="s">
        <v>631</v>
      </c>
      <c r="E308" s="56" t="s">
        <v>633</v>
      </c>
      <c r="F308" s="57" t="s">
        <v>154</v>
      </c>
      <c r="G308" s="61"/>
      <c r="H308" s="79"/>
      <c r="I308" s="62"/>
      <c r="J308" s="53"/>
    </row>
    <row r="309" ht="24.75" customHeight="1">
      <c r="A309" s="54" t="s">
        <v>289</v>
      </c>
      <c r="B309" s="56" t="s">
        <v>629</v>
      </c>
      <c r="C309" s="56" t="s">
        <v>627</v>
      </c>
      <c r="D309" s="56" t="s">
        <v>631</v>
      </c>
      <c r="E309" s="56" t="s">
        <v>196</v>
      </c>
      <c r="F309" s="57" t="s">
        <v>250</v>
      </c>
      <c r="G309" s="61"/>
      <c r="H309" s="61" t="s">
        <v>200</v>
      </c>
      <c r="I309" s="62" t="s">
        <v>201</v>
      </c>
      <c r="J309" s="53"/>
    </row>
    <row r="310" ht="24.75" hidden="1" customHeight="1">
      <c r="A310" s="54" t="s">
        <v>289</v>
      </c>
      <c r="B310" s="56" t="s">
        <v>635</v>
      </c>
      <c r="C310" s="56" t="s">
        <v>627</v>
      </c>
      <c r="D310" s="56" t="s">
        <v>636</v>
      </c>
      <c r="E310" s="56" t="s">
        <v>191</v>
      </c>
      <c r="F310" s="57" t="s">
        <v>192</v>
      </c>
      <c r="G310" s="61"/>
      <c r="H310" s="79"/>
      <c r="I310" s="62"/>
      <c r="J310" s="53"/>
    </row>
    <row r="311" ht="24.75" hidden="1" customHeight="1">
      <c r="A311" s="54" t="s">
        <v>289</v>
      </c>
      <c r="B311" s="56" t="s">
        <v>635</v>
      </c>
      <c r="C311" s="56" t="s">
        <v>627</v>
      </c>
      <c r="D311" s="56" t="s">
        <v>636</v>
      </c>
      <c r="E311" s="56" t="s">
        <v>632</v>
      </c>
      <c r="F311" s="57" t="s">
        <v>34</v>
      </c>
      <c r="G311" s="61"/>
      <c r="H311" s="61" t="s">
        <v>197</v>
      </c>
      <c r="I311" s="62"/>
      <c r="J311" s="53"/>
    </row>
    <row r="312" ht="24.75" hidden="1" customHeight="1">
      <c r="A312" s="54" t="s">
        <v>289</v>
      </c>
      <c r="B312" s="56" t="s">
        <v>635</v>
      </c>
      <c r="C312" s="56" t="s">
        <v>627</v>
      </c>
      <c r="D312" s="56" t="s">
        <v>636</v>
      </c>
      <c r="E312" s="56" t="s">
        <v>633</v>
      </c>
      <c r="F312" s="57" t="s">
        <v>154</v>
      </c>
      <c r="G312" s="61"/>
      <c r="H312" s="79"/>
      <c r="I312" s="62"/>
      <c r="J312" s="53"/>
    </row>
    <row r="313" ht="24.75" customHeight="1">
      <c r="A313" s="54" t="s">
        <v>289</v>
      </c>
      <c r="B313" s="56" t="s">
        <v>635</v>
      </c>
      <c r="C313" s="56" t="s">
        <v>627</v>
      </c>
      <c r="D313" s="56" t="s">
        <v>636</v>
      </c>
      <c r="E313" s="56" t="s">
        <v>196</v>
      </c>
      <c r="F313" s="57" t="s">
        <v>250</v>
      </c>
      <c r="G313" s="61"/>
      <c r="H313" s="61" t="s">
        <v>200</v>
      </c>
      <c r="I313" s="62" t="s">
        <v>201</v>
      </c>
      <c r="J313" s="53"/>
    </row>
    <row r="314" ht="24.75" hidden="1" customHeight="1">
      <c r="A314" s="54" t="s">
        <v>289</v>
      </c>
      <c r="B314" s="56" t="s">
        <v>639</v>
      </c>
      <c r="C314" s="56" t="s">
        <v>640</v>
      </c>
      <c r="D314" s="56" t="s">
        <v>611</v>
      </c>
      <c r="E314" s="56" t="s">
        <v>612</v>
      </c>
      <c r="F314" s="57" t="s">
        <v>34</v>
      </c>
      <c r="G314" s="61"/>
      <c r="H314" s="79"/>
      <c r="I314" s="62"/>
      <c r="J314" s="53"/>
    </row>
    <row r="315" ht="24.75" hidden="1" customHeight="1">
      <c r="A315" s="54" t="s">
        <v>289</v>
      </c>
      <c r="B315" s="56" t="s">
        <v>639</v>
      </c>
      <c r="C315" s="56" t="s">
        <v>640</v>
      </c>
      <c r="D315" s="56" t="s">
        <v>611</v>
      </c>
      <c r="E315" s="56" t="s">
        <v>613</v>
      </c>
      <c r="F315" s="57" t="s">
        <v>34</v>
      </c>
      <c r="G315" s="61"/>
      <c r="H315" s="79"/>
      <c r="I315" s="62"/>
      <c r="J315" s="53"/>
    </row>
    <row r="316" ht="24.75" hidden="1" customHeight="1">
      <c r="A316" s="54" t="s">
        <v>289</v>
      </c>
      <c r="B316" s="56" t="s">
        <v>639</v>
      </c>
      <c r="C316" s="56" t="s">
        <v>640</v>
      </c>
      <c r="D316" s="56" t="s">
        <v>611</v>
      </c>
      <c r="E316" s="56" t="s">
        <v>614</v>
      </c>
      <c r="F316" s="57" t="s">
        <v>34</v>
      </c>
      <c r="G316" s="61"/>
      <c r="H316" s="79"/>
      <c r="I316" s="62" t="s">
        <v>615</v>
      </c>
      <c r="J316" s="53"/>
    </row>
    <row r="317" ht="24.75" hidden="1" customHeight="1">
      <c r="A317" s="54" t="s">
        <v>289</v>
      </c>
      <c r="B317" s="56" t="s">
        <v>639</v>
      </c>
      <c r="C317" s="56" t="s">
        <v>640</v>
      </c>
      <c r="D317" s="56" t="s">
        <v>611</v>
      </c>
      <c r="E317" s="56" t="s">
        <v>616</v>
      </c>
      <c r="F317" s="57" t="s">
        <v>154</v>
      </c>
      <c r="G317" s="61"/>
      <c r="H317" s="79"/>
      <c r="I317" s="62" t="s">
        <v>617</v>
      </c>
      <c r="J317" s="53"/>
    </row>
    <row r="318" ht="24.75" hidden="1" customHeight="1">
      <c r="A318" s="54" t="s">
        <v>289</v>
      </c>
      <c r="B318" s="56" t="s">
        <v>639</v>
      </c>
      <c r="C318" s="56" t="s">
        <v>640</v>
      </c>
      <c r="D318" s="56" t="s">
        <v>611</v>
      </c>
      <c r="E318" s="56" t="s">
        <v>618</v>
      </c>
      <c r="F318" s="57" t="s">
        <v>154</v>
      </c>
      <c r="G318" s="61"/>
      <c r="H318" s="79"/>
      <c r="I318" s="62" t="s">
        <v>617</v>
      </c>
      <c r="J318" s="53"/>
    </row>
    <row r="319" ht="24.75" customHeight="1">
      <c r="A319" s="54" t="s">
        <v>289</v>
      </c>
      <c r="B319" s="56" t="s">
        <v>641</v>
      </c>
      <c r="C319" s="56" t="s">
        <v>640</v>
      </c>
      <c r="D319" s="56" t="s">
        <v>620</v>
      </c>
      <c r="E319" s="56" t="s">
        <v>196</v>
      </c>
      <c r="F319" s="57" t="s">
        <v>250</v>
      </c>
      <c r="G319" s="61"/>
      <c r="H319" s="61" t="s">
        <v>287</v>
      </c>
      <c r="I319" s="62" t="s">
        <v>288</v>
      </c>
      <c r="J319" s="53"/>
    </row>
    <row r="320" ht="24.75" hidden="1" customHeight="1">
      <c r="A320" s="54" t="s">
        <v>289</v>
      </c>
      <c r="B320" s="56" t="s">
        <v>641</v>
      </c>
      <c r="C320" s="56" t="s">
        <v>640</v>
      </c>
      <c r="D320" s="56" t="s">
        <v>620</v>
      </c>
      <c r="E320" s="56" t="s">
        <v>621</v>
      </c>
      <c r="F320" s="57" t="s">
        <v>192</v>
      </c>
      <c r="G320" s="61"/>
      <c r="H320" s="79"/>
      <c r="I320" s="62"/>
      <c r="J320" s="53"/>
    </row>
    <row r="321" ht="24.75" hidden="1" customHeight="1">
      <c r="A321" s="54" t="s">
        <v>289</v>
      </c>
      <c r="B321" s="56" t="s">
        <v>641</v>
      </c>
      <c r="C321" s="56" t="s">
        <v>640</v>
      </c>
      <c r="D321" s="56" t="s">
        <v>620</v>
      </c>
      <c r="E321" s="56" t="s">
        <v>622</v>
      </c>
      <c r="F321" s="57" t="s">
        <v>154</v>
      </c>
      <c r="G321" s="61"/>
      <c r="H321" s="79"/>
      <c r="I321" s="62" t="s">
        <v>617</v>
      </c>
      <c r="J321" s="53"/>
    </row>
    <row r="322" ht="24.75" hidden="1" customHeight="1">
      <c r="A322" s="54" t="s">
        <v>289</v>
      </c>
      <c r="B322" s="56" t="s">
        <v>642</v>
      </c>
      <c r="C322" s="56" t="s">
        <v>640</v>
      </c>
      <c r="D322" s="56" t="s">
        <v>631</v>
      </c>
      <c r="E322" s="56" t="s">
        <v>191</v>
      </c>
      <c r="F322" s="57" t="s">
        <v>192</v>
      </c>
      <c r="G322" s="61"/>
      <c r="H322" s="79"/>
      <c r="I322" s="62"/>
      <c r="J322" s="53"/>
    </row>
    <row r="323" ht="24.75" hidden="1" customHeight="1">
      <c r="A323" s="54" t="s">
        <v>289</v>
      </c>
      <c r="B323" s="56" t="s">
        <v>642</v>
      </c>
      <c r="C323" s="56" t="s">
        <v>640</v>
      </c>
      <c r="D323" s="56" t="s">
        <v>631</v>
      </c>
      <c r="E323" s="56" t="s">
        <v>632</v>
      </c>
      <c r="F323" s="57" t="s">
        <v>34</v>
      </c>
      <c r="G323" s="61"/>
      <c r="H323" s="61" t="s">
        <v>197</v>
      </c>
      <c r="I323" s="62"/>
      <c r="J323" s="53"/>
    </row>
    <row r="324" ht="24.75" hidden="1" customHeight="1">
      <c r="A324" s="54" t="s">
        <v>289</v>
      </c>
      <c r="B324" s="56" t="s">
        <v>642</v>
      </c>
      <c r="C324" s="56" t="s">
        <v>640</v>
      </c>
      <c r="D324" s="56" t="s">
        <v>631</v>
      </c>
      <c r="E324" s="56" t="s">
        <v>633</v>
      </c>
      <c r="F324" s="57" t="s">
        <v>154</v>
      </c>
      <c r="G324" s="61"/>
      <c r="H324" s="79"/>
      <c r="I324" s="62"/>
      <c r="J324" s="53"/>
    </row>
    <row r="325" ht="24.75" customHeight="1">
      <c r="A325" s="54" t="s">
        <v>289</v>
      </c>
      <c r="B325" s="56" t="s">
        <v>642</v>
      </c>
      <c r="C325" s="56" t="s">
        <v>640</v>
      </c>
      <c r="D325" s="56" t="s">
        <v>631</v>
      </c>
      <c r="E325" s="56" t="s">
        <v>196</v>
      </c>
      <c r="F325" s="57" t="s">
        <v>250</v>
      </c>
      <c r="G325" s="61"/>
      <c r="H325" s="61" t="s">
        <v>200</v>
      </c>
      <c r="I325" s="62" t="s">
        <v>201</v>
      </c>
      <c r="J325" s="53"/>
    </row>
    <row r="326" ht="24.75" hidden="1" customHeight="1">
      <c r="A326" s="54" t="s">
        <v>289</v>
      </c>
      <c r="B326" s="56" t="s">
        <v>643</v>
      </c>
      <c r="C326" s="56" t="s">
        <v>640</v>
      </c>
      <c r="D326" s="56" t="s">
        <v>636</v>
      </c>
      <c r="E326" s="56" t="s">
        <v>191</v>
      </c>
      <c r="F326" s="57" t="s">
        <v>192</v>
      </c>
      <c r="G326" s="61"/>
      <c r="H326" s="79"/>
      <c r="I326" s="62"/>
      <c r="J326" s="53"/>
    </row>
    <row r="327" ht="24.75" hidden="1" customHeight="1">
      <c r="A327" s="54" t="s">
        <v>289</v>
      </c>
      <c r="B327" s="56" t="s">
        <v>643</v>
      </c>
      <c r="C327" s="56" t="s">
        <v>640</v>
      </c>
      <c r="D327" s="56" t="s">
        <v>636</v>
      </c>
      <c r="E327" s="56" t="s">
        <v>632</v>
      </c>
      <c r="F327" s="57" t="s">
        <v>34</v>
      </c>
      <c r="G327" s="61"/>
      <c r="H327" s="61" t="s">
        <v>197</v>
      </c>
      <c r="I327" s="62"/>
      <c r="J327" s="53"/>
    </row>
    <row r="328" ht="24.75" hidden="1" customHeight="1">
      <c r="A328" s="54" t="s">
        <v>289</v>
      </c>
      <c r="B328" s="56" t="s">
        <v>643</v>
      </c>
      <c r="C328" s="56" t="s">
        <v>640</v>
      </c>
      <c r="D328" s="56" t="s">
        <v>636</v>
      </c>
      <c r="E328" s="56" t="s">
        <v>633</v>
      </c>
      <c r="F328" s="57" t="s">
        <v>154</v>
      </c>
      <c r="G328" s="61"/>
      <c r="H328" s="79"/>
      <c r="I328" s="62"/>
      <c r="J328" s="53"/>
    </row>
    <row r="329" ht="24.75" customHeight="1">
      <c r="A329" s="54" t="s">
        <v>289</v>
      </c>
      <c r="B329" s="56" t="s">
        <v>643</v>
      </c>
      <c r="C329" s="56" t="s">
        <v>640</v>
      </c>
      <c r="D329" s="56" t="s">
        <v>636</v>
      </c>
      <c r="E329" s="56" t="s">
        <v>196</v>
      </c>
      <c r="F329" s="57" t="s">
        <v>250</v>
      </c>
      <c r="G329" s="61"/>
      <c r="H329" s="61" t="s">
        <v>200</v>
      </c>
      <c r="I329" s="62" t="s">
        <v>201</v>
      </c>
      <c r="J329" s="53"/>
    </row>
    <row r="330" ht="24.75" hidden="1" customHeight="1">
      <c r="A330" s="54" t="s">
        <v>289</v>
      </c>
      <c r="B330" s="56" t="s">
        <v>644</v>
      </c>
      <c r="C330" s="56" t="s">
        <v>645</v>
      </c>
      <c r="D330" s="56" t="s">
        <v>611</v>
      </c>
      <c r="E330" s="56" t="s">
        <v>612</v>
      </c>
      <c r="F330" s="57" t="s">
        <v>34</v>
      </c>
      <c r="G330" s="61"/>
      <c r="H330" s="79"/>
      <c r="I330" s="62"/>
      <c r="J330" s="53"/>
    </row>
    <row r="331" ht="24.75" hidden="1" customHeight="1">
      <c r="A331" s="54" t="s">
        <v>289</v>
      </c>
      <c r="B331" s="56" t="s">
        <v>644</v>
      </c>
      <c r="C331" s="56" t="s">
        <v>645</v>
      </c>
      <c r="D331" s="56" t="s">
        <v>611</v>
      </c>
      <c r="E331" s="56" t="s">
        <v>613</v>
      </c>
      <c r="F331" s="57" t="s">
        <v>34</v>
      </c>
      <c r="G331" s="61"/>
      <c r="H331" s="79"/>
      <c r="I331" s="62"/>
      <c r="J331" s="53"/>
    </row>
    <row r="332" ht="24.75" hidden="1" customHeight="1">
      <c r="A332" s="54" t="s">
        <v>289</v>
      </c>
      <c r="B332" s="56" t="s">
        <v>644</v>
      </c>
      <c r="C332" s="56" t="s">
        <v>645</v>
      </c>
      <c r="D332" s="56" t="s">
        <v>611</v>
      </c>
      <c r="E332" s="56" t="s">
        <v>614</v>
      </c>
      <c r="F332" s="57" t="s">
        <v>34</v>
      </c>
      <c r="G332" s="61"/>
      <c r="H332" s="79"/>
      <c r="I332" s="62" t="s">
        <v>615</v>
      </c>
      <c r="J332" s="53"/>
    </row>
    <row r="333" ht="24.75" hidden="1" customHeight="1">
      <c r="A333" s="54" t="s">
        <v>289</v>
      </c>
      <c r="B333" s="56" t="s">
        <v>644</v>
      </c>
      <c r="C333" s="56" t="s">
        <v>645</v>
      </c>
      <c r="D333" s="56" t="s">
        <v>611</v>
      </c>
      <c r="E333" s="56" t="s">
        <v>616</v>
      </c>
      <c r="F333" s="57" t="s">
        <v>154</v>
      </c>
      <c r="G333" s="61"/>
      <c r="H333" s="79"/>
      <c r="I333" s="62" t="s">
        <v>617</v>
      </c>
      <c r="J333" s="53"/>
    </row>
    <row r="334" ht="24.75" hidden="1" customHeight="1">
      <c r="A334" s="54" t="s">
        <v>289</v>
      </c>
      <c r="B334" s="56" t="s">
        <v>644</v>
      </c>
      <c r="C334" s="56" t="s">
        <v>645</v>
      </c>
      <c r="D334" s="56" t="s">
        <v>611</v>
      </c>
      <c r="E334" s="56" t="s">
        <v>618</v>
      </c>
      <c r="F334" s="57" t="s">
        <v>154</v>
      </c>
      <c r="G334" s="61"/>
      <c r="H334" s="79"/>
      <c r="I334" s="62" t="s">
        <v>617</v>
      </c>
      <c r="J334" s="53"/>
    </row>
    <row r="335" ht="24.75" customHeight="1">
      <c r="A335" s="54" t="s">
        <v>289</v>
      </c>
      <c r="B335" s="56" t="s">
        <v>646</v>
      </c>
      <c r="C335" s="56" t="s">
        <v>645</v>
      </c>
      <c r="D335" s="56" t="s">
        <v>620</v>
      </c>
      <c r="E335" s="56" t="s">
        <v>196</v>
      </c>
      <c r="F335" s="57" t="s">
        <v>250</v>
      </c>
      <c r="G335" s="61"/>
      <c r="H335" s="61" t="s">
        <v>287</v>
      </c>
      <c r="I335" s="62" t="s">
        <v>288</v>
      </c>
      <c r="J335" s="53"/>
    </row>
    <row r="336" ht="24.75" hidden="1" customHeight="1">
      <c r="A336" s="54" t="s">
        <v>289</v>
      </c>
      <c r="B336" s="56" t="s">
        <v>646</v>
      </c>
      <c r="C336" s="56" t="s">
        <v>645</v>
      </c>
      <c r="D336" s="56" t="s">
        <v>620</v>
      </c>
      <c r="E336" s="56" t="s">
        <v>621</v>
      </c>
      <c r="F336" s="57" t="s">
        <v>192</v>
      </c>
      <c r="G336" s="61"/>
      <c r="H336" s="79"/>
      <c r="I336" s="62"/>
      <c r="J336" s="53"/>
    </row>
    <row r="337" ht="24.75" hidden="1" customHeight="1">
      <c r="A337" s="54" t="s">
        <v>289</v>
      </c>
      <c r="B337" s="56" t="s">
        <v>646</v>
      </c>
      <c r="C337" s="56" t="s">
        <v>645</v>
      </c>
      <c r="D337" s="56" t="s">
        <v>620</v>
      </c>
      <c r="E337" s="56" t="s">
        <v>622</v>
      </c>
      <c r="F337" s="57" t="s">
        <v>154</v>
      </c>
      <c r="G337" s="61"/>
      <c r="H337" s="79"/>
      <c r="I337" s="62" t="s">
        <v>617</v>
      </c>
      <c r="J337" s="53"/>
    </row>
    <row r="338" ht="24.75" hidden="1" customHeight="1">
      <c r="A338" s="54" t="s">
        <v>289</v>
      </c>
      <c r="B338" s="56" t="s">
        <v>647</v>
      </c>
      <c r="C338" s="56" t="s">
        <v>645</v>
      </c>
      <c r="D338" s="56" t="s">
        <v>631</v>
      </c>
      <c r="E338" s="56" t="s">
        <v>191</v>
      </c>
      <c r="F338" s="57" t="s">
        <v>192</v>
      </c>
      <c r="G338" s="61"/>
      <c r="H338" s="79"/>
      <c r="I338" s="62"/>
      <c r="J338" s="53"/>
    </row>
    <row r="339" ht="24.75" hidden="1" customHeight="1">
      <c r="A339" s="54" t="s">
        <v>289</v>
      </c>
      <c r="B339" s="56" t="s">
        <v>647</v>
      </c>
      <c r="C339" s="56" t="s">
        <v>645</v>
      </c>
      <c r="D339" s="56" t="s">
        <v>631</v>
      </c>
      <c r="E339" s="56" t="s">
        <v>632</v>
      </c>
      <c r="F339" s="57" t="s">
        <v>34</v>
      </c>
      <c r="G339" s="61"/>
      <c r="H339" s="61" t="s">
        <v>197</v>
      </c>
      <c r="I339" s="62"/>
      <c r="J339" s="53"/>
    </row>
    <row r="340" ht="24.75" hidden="1" customHeight="1">
      <c r="A340" s="54" t="s">
        <v>289</v>
      </c>
      <c r="B340" s="56" t="s">
        <v>647</v>
      </c>
      <c r="C340" s="56" t="s">
        <v>645</v>
      </c>
      <c r="D340" s="56" t="s">
        <v>631</v>
      </c>
      <c r="E340" s="56" t="s">
        <v>633</v>
      </c>
      <c r="F340" s="57" t="s">
        <v>154</v>
      </c>
      <c r="G340" s="50"/>
      <c r="H340" s="79"/>
      <c r="I340" s="62"/>
      <c r="J340" s="53"/>
    </row>
    <row r="341" ht="24.75" customHeight="1">
      <c r="A341" s="54" t="s">
        <v>289</v>
      </c>
      <c r="B341" s="56" t="s">
        <v>647</v>
      </c>
      <c r="C341" s="56" t="s">
        <v>645</v>
      </c>
      <c r="D341" s="56" t="s">
        <v>631</v>
      </c>
      <c r="E341" s="56" t="s">
        <v>196</v>
      </c>
      <c r="F341" s="57" t="s">
        <v>250</v>
      </c>
      <c r="G341" s="61"/>
      <c r="H341" s="61" t="s">
        <v>200</v>
      </c>
      <c r="I341" s="62" t="s">
        <v>201</v>
      </c>
      <c r="J341" s="53"/>
    </row>
    <row r="342" ht="24.75" hidden="1" customHeight="1">
      <c r="A342" s="54" t="s">
        <v>289</v>
      </c>
      <c r="B342" s="56" t="s">
        <v>648</v>
      </c>
      <c r="C342" s="56" t="s">
        <v>645</v>
      </c>
      <c r="D342" s="56" t="s">
        <v>636</v>
      </c>
      <c r="E342" s="56" t="s">
        <v>191</v>
      </c>
      <c r="F342" s="57" t="s">
        <v>192</v>
      </c>
      <c r="G342" s="61"/>
      <c r="H342" s="79"/>
      <c r="I342" s="62"/>
      <c r="J342" s="53"/>
    </row>
    <row r="343" ht="24.75" hidden="1" customHeight="1">
      <c r="A343" s="54" t="s">
        <v>289</v>
      </c>
      <c r="B343" s="56" t="s">
        <v>648</v>
      </c>
      <c r="C343" s="56" t="s">
        <v>645</v>
      </c>
      <c r="D343" s="56" t="s">
        <v>636</v>
      </c>
      <c r="E343" s="56" t="s">
        <v>632</v>
      </c>
      <c r="F343" s="57" t="s">
        <v>34</v>
      </c>
      <c r="G343" s="61"/>
      <c r="H343" s="61" t="s">
        <v>197</v>
      </c>
      <c r="I343" s="62"/>
      <c r="J343" s="53"/>
    </row>
    <row r="344" ht="24.75" hidden="1" customHeight="1">
      <c r="A344" s="54" t="s">
        <v>289</v>
      </c>
      <c r="B344" s="56" t="s">
        <v>648</v>
      </c>
      <c r="C344" s="56" t="s">
        <v>645</v>
      </c>
      <c r="D344" s="56" t="s">
        <v>636</v>
      </c>
      <c r="E344" s="56" t="s">
        <v>633</v>
      </c>
      <c r="F344" s="57" t="s">
        <v>154</v>
      </c>
      <c r="G344" s="61"/>
      <c r="H344" s="79"/>
      <c r="I344" s="62"/>
      <c r="J344" s="53"/>
    </row>
    <row r="345" ht="24.75" customHeight="1">
      <c r="A345" s="54" t="s">
        <v>289</v>
      </c>
      <c r="B345" s="56" t="s">
        <v>648</v>
      </c>
      <c r="C345" s="56" t="s">
        <v>645</v>
      </c>
      <c r="D345" s="56" t="s">
        <v>636</v>
      </c>
      <c r="E345" s="56" t="s">
        <v>196</v>
      </c>
      <c r="F345" s="57" t="s">
        <v>250</v>
      </c>
      <c r="G345" s="61"/>
      <c r="H345" s="61" t="s">
        <v>200</v>
      </c>
      <c r="I345" s="62" t="s">
        <v>201</v>
      </c>
      <c r="J345" s="53"/>
    </row>
    <row r="346" ht="24.75" hidden="1" customHeight="1">
      <c r="A346" s="54" t="s">
        <v>289</v>
      </c>
      <c r="B346" s="56" t="s">
        <v>649</v>
      </c>
      <c r="C346" s="56" t="s">
        <v>606</v>
      </c>
      <c r="D346" s="56" t="s">
        <v>611</v>
      </c>
      <c r="E346" s="56" t="s">
        <v>612</v>
      </c>
      <c r="F346" s="57" t="s">
        <v>34</v>
      </c>
      <c r="G346" s="61"/>
      <c r="H346" s="79"/>
      <c r="I346" s="62"/>
      <c r="J346" s="53"/>
    </row>
    <row r="347" ht="24.75" hidden="1" customHeight="1">
      <c r="A347" s="54" t="s">
        <v>289</v>
      </c>
      <c r="B347" s="56" t="s">
        <v>649</v>
      </c>
      <c r="C347" s="56" t="s">
        <v>606</v>
      </c>
      <c r="D347" s="56" t="s">
        <v>611</v>
      </c>
      <c r="E347" s="56" t="s">
        <v>613</v>
      </c>
      <c r="F347" s="57" t="s">
        <v>34</v>
      </c>
      <c r="G347" s="61"/>
      <c r="H347" s="79"/>
      <c r="I347" s="62"/>
      <c r="J347" s="53"/>
    </row>
    <row r="348" ht="24.75" hidden="1" customHeight="1">
      <c r="A348" s="54" t="s">
        <v>289</v>
      </c>
      <c r="B348" s="56" t="s">
        <v>649</v>
      </c>
      <c r="C348" s="56" t="s">
        <v>606</v>
      </c>
      <c r="D348" s="56" t="s">
        <v>611</v>
      </c>
      <c r="E348" s="56" t="s">
        <v>614</v>
      </c>
      <c r="F348" s="57" t="s">
        <v>34</v>
      </c>
      <c r="G348" s="61"/>
      <c r="H348" s="79"/>
      <c r="I348" s="62" t="s">
        <v>615</v>
      </c>
      <c r="J348" s="53"/>
    </row>
    <row r="349" ht="24.75" hidden="1" customHeight="1">
      <c r="A349" s="54" t="s">
        <v>289</v>
      </c>
      <c r="B349" s="56" t="s">
        <v>649</v>
      </c>
      <c r="C349" s="56" t="s">
        <v>606</v>
      </c>
      <c r="D349" s="56" t="s">
        <v>611</v>
      </c>
      <c r="E349" s="56" t="s">
        <v>616</v>
      </c>
      <c r="F349" s="57" t="s">
        <v>154</v>
      </c>
      <c r="G349" s="61"/>
      <c r="H349" s="79"/>
      <c r="I349" s="62" t="s">
        <v>617</v>
      </c>
      <c r="J349" s="53"/>
    </row>
    <row r="350" ht="24.75" hidden="1" customHeight="1">
      <c r="A350" s="54" t="s">
        <v>289</v>
      </c>
      <c r="B350" s="56" t="s">
        <v>649</v>
      </c>
      <c r="C350" s="56" t="s">
        <v>606</v>
      </c>
      <c r="D350" s="56" t="s">
        <v>611</v>
      </c>
      <c r="E350" s="56" t="s">
        <v>618</v>
      </c>
      <c r="F350" s="57" t="s">
        <v>154</v>
      </c>
      <c r="G350" s="61"/>
      <c r="H350" s="79"/>
      <c r="I350" s="62" t="s">
        <v>617</v>
      </c>
      <c r="J350" s="53"/>
    </row>
    <row r="351" ht="24.75" customHeight="1">
      <c r="A351" s="54" t="s">
        <v>289</v>
      </c>
      <c r="B351" s="56" t="s">
        <v>650</v>
      </c>
      <c r="C351" s="56" t="s">
        <v>606</v>
      </c>
      <c r="D351" s="56" t="s">
        <v>651</v>
      </c>
      <c r="E351" s="56" t="s">
        <v>196</v>
      </c>
      <c r="F351" s="57" t="s">
        <v>250</v>
      </c>
      <c r="G351" s="61"/>
      <c r="H351" s="61" t="s">
        <v>287</v>
      </c>
      <c r="I351" s="62" t="s">
        <v>288</v>
      </c>
      <c r="J351" s="53"/>
    </row>
    <row r="352" ht="24.75" hidden="1" customHeight="1">
      <c r="A352" s="54" t="s">
        <v>289</v>
      </c>
      <c r="B352" s="56" t="s">
        <v>650</v>
      </c>
      <c r="C352" s="56" t="s">
        <v>606</v>
      </c>
      <c r="D352" s="56" t="s">
        <v>651</v>
      </c>
      <c r="E352" s="56" t="s">
        <v>621</v>
      </c>
      <c r="F352" s="57" t="s">
        <v>192</v>
      </c>
      <c r="G352" s="61"/>
      <c r="H352" s="79"/>
      <c r="I352" s="62"/>
      <c r="J352" s="53"/>
    </row>
    <row r="353" ht="24.75" hidden="1" customHeight="1">
      <c r="A353" s="54" t="s">
        <v>289</v>
      </c>
      <c r="B353" s="56" t="s">
        <v>650</v>
      </c>
      <c r="C353" s="56" t="s">
        <v>606</v>
      </c>
      <c r="D353" s="56" t="s">
        <v>651</v>
      </c>
      <c r="E353" s="56" t="s">
        <v>622</v>
      </c>
      <c r="F353" s="57" t="s">
        <v>154</v>
      </c>
      <c r="G353" s="61"/>
      <c r="H353" s="79"/>
      <c r="I353" s="62" t="s">
        <v>617</v>
      </c>
      <c r="J353" s="53"/>
    </row>
    <row r="354" ht="24.75" hidden="1" customHeight="1">
      <c r="A354" s="54" t="s">
        <v>289</v>
      </c>
      <c r="B354" s="56" t="s">
        <v>654</v>
      </c>
      <c r="C354" s="56" t="s">
        <v>606</v>
      </c>
      <c r="D354" s="56" t="s">
        <v>655</v>
      </c>
      <c r="E354" s="56" t="s">
        <v>191</v>
      </c>
      <c r="F354" s="57" t="s">
        <v>192</v>
      </c>
      <c r="G354" s="61"/>
      <c r="H354" s="79"/>
      <c r="I354" s="62"/>
      <c r="J354" s="53"/>
    </row>
    <row r="355" ht="24.75" hidden="1" customHeight="1">
      <c r="A355" s="54" t="s">
        <v>289</v>
      </c>
      <c r="B355" s="56" t="s">
        <v>654</v>
      </c>
      <c r="C355" s="56" t="s">
        <v>606</v>
      </c>
      <c r="D355" s="56" t="s">
        <v>655</v>
      </c>
      <c r="E355" s="56" t="s">
        <v>632</v>
      </c>
      <c r="F355" s="57" t="s">
        <v>34</v>
      </c>
      <c r="G355" s="61"/>
      <c r="H355" s="61" t="s">
        <v>197</v>
      </c>
      <c r="I355" s="62"/>
      <c r="J355" s="53"/>
    </row>
    <row r="356" ht="24.75" hidden="1" customHeight="1">
      <c r="A356" s="54" t="s">
        <v>289</v>
      </c>
      <c r="B356" s="56" t="s">
        <v>654</v>
      </c>
      <c r="C356" s="56" t="s">
        <v>606</v>
      </c>
      <c r="D356" s="56" t="s">
        <v>655</v>
      </c>
      <c r="E356" s="56" t="s">
        <v>633</v>
      </c>
      <c r="F356" s="57" t="s">
        <v>154</v>
      </c>
      <c r="G356" s="61"/>
      <c r="H356" s="79"/>
      <c r="I356" s="62"/>
      <c r="J356" s="53"/>
    </row>
    <row r="357" ht="24.75" customHeight="1">
      <c r="A357" s="54" t="s">
        <v>289</v>
      </c>
      <c r="B357" s="56" t="s">
        <v>654</v>
      </c>
      <c r="C357" s="56" t="s">
        <v>606</v>
      </c>
      <c r="D357" s="56" t="s">
        <v>655</v>
      </c>
      <c r="E357" s="56" t="s">
        <v>196</v>
      </c>
      <c r="F357" s="57" t="s">
        <v>250</v>
      </c>
      <c r="G357" s="61"/>
      <c r="H357" s="61" t="s">
        <v>200</v>
      </c>
      <c r="I357" s="62" t="s">
        <v>201</v>
      </c>
      <c r="J357" s="53"/>
    </row>
    <row r="358" ht="24.75" hidden="1" customHeight="1">
      <c r="A358" s="54" t="s">
        <v>289</v>
      </c>
      <c r="B358" s="56" t="s">
        <v>656</v>
      </c>
      <c r="C358" s="56" t="s">
        <v>606</v>
      </c>
      <c r="D358" s="56" t="s">
        <v>657</v>
      </c>
      <c r="E358" s="56" t="s">
        <v>191</v>
      </c>
      <c r="F358" s="57" t="s">
        <v>192</v>
      </c>
      <c r="G358" s="61"/>
      <c r="H358" s="79"/>
      <c r="I358" s="62"/>
      <c r="J358" s="53"/>
    </row>
    <row r="359" ht="24.75" hidden="1" customHeight="1">
      <c r="A359" s="54" t="s">
        <v>289</v>
      </c>
      <c r="B359" s="56" t="s">
        <v>656</v>
      </c>
      <c r="C359" s="56" t="s">
        <v>606</v>
      </c>
      <c r="D359" s="56" t="s">
        <v>657</v>
      </c>
      <c r="E359" s="56" t="s">
        <v>632</v>
      </c>
      <c r="F359" s="57" t="s">
        <v>34</v>
      </c>
      <c r="G359" s="61"/>
      <c r="H359" s="61" t="s">
        <v>197</v>
      </c>
      <c r="I359" s="62"/>
      <c r="J359" s="53"/>
    </row>
    <row r="360" ht="24.75" hidden="1" customHeight="1">
      <c r="A360" s="54" t="s">
        <v>289</v>
      </c>
      <c r="B360" s="56" t="s">
        <v>656</v>
      </c>
      <c r="C360" s="56" t="s">
        <v>606</v>
      </c>
      <c r="D360" s="56" t="s">
        <v>657</v>
      </c>
      <c r="E360" s="56" t="s">
        <v>633</v>
      </c>
      <c r="F360" s="57" t="s">
        <v>154</v>
      </c>
      <c r="G360" s="61"/>
      <c r="H360" s="79"/>
      <c r="I360" s="62"/>
      <c r="J360" s="53"/>
    </row>
    <row r="361" ht="24.75" customHeight="1">
      <c r="A361" s="54" t="s">
        <v>289</v>
      </c>
      <c r="B361" s="56" t="s">
        <v>656</v>
      </c>
      <c r="C361" s="56" t="s">
        <v>606</v>
      </c>
      <c r="D361" s="56" t="s">
        <v>657</v>
      </c>
      <c r="E361" s="56" t="s">
        <v>196</v>
      </c>
      <c r="F361" s="57" t="s">
        <v>250</v>
      </c>
      <c r="G361" s="61"/>
      <c r="H361" s="61" t="s">
        <v>200</v>
      </c>
      <c r="I361" s="62" t="s">
        <v>201</v>
      </c>
      <c r="J361" s="53"/>
    </row>
    <row r="362" ht="24.75" hidden="1" customHeight="1">
      <c r="A362" s="54" t="s">
        <v>658</v>
      </c>
      <c r="B362" s="56" t="s">
        <v>659</v>
      </c>
      <c r="C362" s="56" t="s">
        <v>610</v>
      </c>
      <c r="D362" s="56" t="s">
        <v>660</v>
      </c>
      <c r="E362" s="56" t="s">
        <v>661</v>
      </c>
      <c r="F362" s="57" t="s">
        <v>34</v>
      </c>
      <c r="G362" s="61"/>
      <c r="H362" s="79"/>
      <c r="I362" s="62"/>
      <c r="J362" s="53"/>
    </row>
    <row r="363" ht="24.75" hidden="1" customHeight="1">
      <c r="A363" s="54" t="s">
        <v>658</v>
      </c>
      <c r="B363" s="56" t="s">
        <v>659</v>
      </c>
      <c r="C363" s="56" t="s">
        <v>610</v>
      </c>
      <c r="D363" s="56" t="s">
        <v>660</v>
      </c>
      <c r="E363" s="56" t="s">
        <v>662</v>
      </c>
      <c r="F363" s="57" t="s">
        <v>34</v>
      </c>
      <c r="G363" s="61"/>
      <c r="H363" s="79"/>
      <c r="I363" s="62"/>
      <c r="J363" s="53"/>
    </row>
    <row r="364" ht="24.75" hidden="1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663</v>
      </c>
      <c r="F364" s="57" t="s">
        <v>34</v>
      </c>
      <c r="G364" s="61"/>
      <c r="H364" s="79"/>
      <c r="I364" s="62"/>
      <c r="J364" s="53"/>
    </row>
    <row r="365" ht="24.75" hidden="1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664</v>
      </c>
      <c r="F365" s="57" t="s">
        <v>34</v>
      </c>
      <c r="G365" s="61"/>
      <c r="H365" s="79"/>
      <c r="I365" s="62"/>
      <c r="J365" s="53"/>
    </row>
    <row r="366" ht="24.75" hidden="1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665</v>
      </c>
      <c r="F366" s="57" t="s">
        <v>34</v>
      </c>
      <c r="G366" s="61"/>
      <c r="H366" s="79"/>
      <c r="I366" s="62"/>
      <c r="J366" s="53"/>
    </row>
    <row r="367" ht="24.75" hidden="1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614</v>
      </c>
      <c r="F367" s="57" t="s">
        <v>34</v>
      </c>
      <c r="G367" s="61"/>
      <c r="H367" s="79"/>
      <c r="I367" s="62"/>
      <c r="J367" s="53"/>
    </row>
    <row r="368" ht="24.75" hidden="1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666</v>
      </c>
      <c r="F368" s="57" t="s">
        <v>34</v>
      </c>
      <c r="G368" s="61"/>
      <c r="H368" s="79"/>
      <c r="I368" s="62"/>
      <c r="J368" s="53"/>
    </row>
    <row r="369" ht="24.75" hidden="1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667</v>
      </c>
      <c r="F369" s="57" t="s">
        <v>34</v>
      </c>
      <c r="G369" s="61"/>
      <c r="H369" s="79"/>
      <c r="I369" s="62"/>
      <c r="J369" s="53"/>
    </row>
    <row r="370" ht="24.75" hidden="1" customHeight="1">
      <c r="A370" s="54" t="s">
        <v>658</v>
      </c>
      <c r="B370" s="56" t="s">
        <v>659</v>
      </c>
      <c r="C370" s="56" t="s">
        <v>610</v>
      </c>
      <c r="D370" s="56" t="s">
        <v>660</v>
      </c>
      <c r="E370" s="56" t="s">
        <v>668</v>
      </c>
      <c r="F370" s="57" t="s">
        <v>154</v>
      </c>
      <c r="G370" s="61"/>
      <c r="H370" s="79"/>
      <c r="I370" s="62" t="s">
        <v>617</v>
      </c>
      <c r="J370" s="53"/>
    </row>
    <row r="371" ht="24.75" hidden="1" customHeight="1">
      <c r="A371" s="54" t="s">
        <v>658</v>
      </c>
      <c r="B371" s="56" t="s">
        <v>659</v>
      </c>
      <c r="C371" s="56" t="s">
        <v>610</v>
      </c>
      <c r="D371" s="56" t="s">
        <v>660</v>
      </c>
      <c r="E371" s="56" t="s">
        <v>669</v>
      </c>
      <c r="F371" s="57" t="s">
        <v>154</v>
      </c>
      <c r="G371" s="61"/>
      <c r="H371" s="79"/>
      <c r="I371" s="62" t="s">
        <v>617</v>
      </c>
      <c r="J371" s="53"/>
    </row>
    <row r="372" ht="24.75" hidden="1" customHeight="1">
      <c r="A372" s="54" t="s">
        <v>658</v>
      </c>
      <c r="B372" s="56" t="s">
        <v>659</v>
      </c>
      <c r="C372" s="56" t="s">
        <v>610</v>
      </c>
      <c r="D372" s="56" t="s">
        <v>660</v>
      </c>
      <c r="E372" s="56" t="s">
        <v>671</v>
      </c>
      <c r="F372" s="57" t="s">
        <v>154</v>
      </c>
      <c r="G372" s="61"/>
      <c r="H372" s="79"/>
      <c r="I372" s="62" t="s">
        <v>617</v>
      </c>
      <c r="J372" s="53"/>
    </row>
    <row r="373" ht="24.75" hidden="1" customHeight="1">
      <c r="A373" s="54" t="s">
        <v>658</v>
      </c>
      <c r="B373" s="56" t="s">
        <v>659</v>
      </c>
      <c r="C373" s="56" t="s">
        <v>610</v>
      </c>
      <c r="D373" s="56" t="s">
        <v>660</v>
      </c>
      <c r="E373" s="56" t="s">
        <v>672</v>
      </c>
      <c r="F373" s="57" t="s">
        <v>154</v>
      </c>
      <c r="G373" s="61"/>
      <c r="H373" s="79"/>
      <c r="I373" s="62" t="s">
        <v>617</v>
      </c>
      <c r="J373" s="53"/>
    </row>
    <row r="374" ht="24.75" hidden="1" customHeight="1">
      <c r="A374" s="54" t="s">
        <v>658</v>
      </c>
      <c r="B374" s="56" t="s">
        <v>659</v>
      </c>
      <c r="C374" s="56" t="s">
        <v>610</v>
      </c>
      <c r="D374" s="56" t="s">
        <v>660</v>
      </c>
      <c r="E374" s="56" t="s">
        <v>673</v>
      </c>
      <c r="F374" s="57" t="s">
        <v>154</v>
      </c>
      <c r="G374" s="61"/>
      <c r="H374" s="79"/>
      <c r="I374" s="62" t="s">
        <v>617</v>
      </c>
      <c r="J374" s="53"/>
    </row>
    <row r="375" ht="24.75" hidden="1" customHeight="1">
      <c r="A375" s="54" t="s">
        <v>658</v>
      </c>
      <c r="B375" s="56" t="s">
        <v>674</v>
      </c>
      <c r="C375" s="56" t="s">
        <v>610</v>
      </c>
      <c r="D375" s="56" t="s">
        <v>675</v>
      </c>
      <c r="E375" s="56" t="s">
        <v>676</v>
      </c>
      <c r="F375" s="57" t="s">
        <v>34</v>
      </c>
      <c r="G375" s="61"/>
      <c r="H375" s="79"/>
      <c r="I375" s="62"/>
      <c r="J375" s="53"/>
    </row>
    <row r="376" ht="24.75" hidden="1" customHeight="1">
      <c r="A376" s="54" t="s">
        <v>658</v>
      </c>
      <c r="B376" s="56" t="s">
        <v>677</v>
      </c>
      <c r="C376" s="56" t="s">
        <v>610</v>
      </c>
      <c r="D376" s="56" t="s">
        <v>678</v>
      </c>
      <c r="E376" s="56" t="s">
        <v>679</v>
      </c>
      <c r="F376" s="57" t="s">
        <v>34</v>
      </c>
      <c r="G376" s="61"/>
      <c r="H376" s="61" t="s">
        <v>681</v>
      </c>
      <c r="I376" s="62"/>
      <c r="J376" s="53"/>
    </row>
    <row r="377" ht="24.75" hidden="1" customHeight="1">
      <c r="A377" s="54" t="s">
        <v>658</v>
      </c>
      <c r="B377" s="56" t="s">
        <v>677</v>
      </c>
      <c r="C377" s="56" t="s">
        <v>610</v>
      </c>
      <c r="D377" s="56" t="s">
        <v>678</v>
      </c>
      <c r="E377" s="56" t="s">
        <v>680</v>
      </c>
      <c r="F377" s="57" t="s">
        <v>34</v>
      </c>
      <c r="G377" s="61"/>
      <c r="H377" s="79"/>
      <c r="I377" s="62"/>
      <c r="J377" s="53"/>
    </row>
    <row r="378" ht="24.75" hidden="1" customHeight="1">
      <c r="A378" s="54" t="s">
        <v>658</v>
      </c>
      <c r="B378" s="56" t="s">
        <v>677</v>
      </c>
      <c r="C378" s="56" t="s">
        <v>610</v>
      </c>
      <c r="D378" s="56" t="s">
        <v>678</v>
      </c>
      <c r="E378" s="56" t="s">
        <v>682</v>
      </c>
      <c r="F378" s="57" t="s">
        <v>34</v>
      </c>
      <c r="G378" s="61"/>
      <c r="H378" s="79"/>
      <c r="I378" s="62"/>
      <c r="J378" s="53"/>
    </row>
    <row r="379" ht="24.75" hidden="1" customHeight="1">
      <c r="A379" s="54" t="s">
        <v>658</v>
      </c>
      <c r="B379" s="56" t="s">
        <v>677</v>
      </c>
      <c r="C379" s="56" t="s">
        <v>610</v>
      </c>
      <c r="D379" s="56" t="s">
        <v>678</v>
      </c>
      <c r="E379" s="56" t="s">
        <v>683</v>
      </c>
      <c r="F379" s="57" t="s">
        <v>34</v>
      </c>
      <c r="G379" s="61"/>
      <c r="H379" s="79"/>
      <c r="I379" s="62"/>
      <c r="J379" s="53"/>
    </row>
    <row r="380" ht="24.75" customHeight="1">
      <c r="A380" s="54" t="s">
        <v>658</v>
      </c>
      <c r="B380" s="56" t="s">
        <v>677</v>
      </c>
      <c r="C380" s="56" t="s">
        <v>610</v>
      </c>
      <c r="D380" s="56" t="s">
        <v>678</v>
      </c>
      <c r="E380" s="56" t="s">
        <v>684</v>
      </c>
      <c r="F380" s="57" t="s">
        <v>250</v>
      </c>
      <c r="G380" s="61"/>
      <c r="H380" s="61" t="s">
        <v>686</v>
      </c>
      <c r="I380" s="62" t="s">
        <v>687</v>
      </c>
      <c r="J380" s="53"/>
    </row>
    <row r="381" ht="24.75" customHeight="1">
      <c r="A381" s="54" t="s">
        <v>658</v>
      </c>
      <c r="B381" s="56" t="s">
        <v>677</v>
      </c>
      <c r="C381" s="56" t="s">
        <v>610</v>
      </c>
      <c r="D381" s="56" t="s">
        <v>678</v>
      </c>
      <c r="E381" s="56" t="s">
        <v>685</v>
      </c>
      <c r="F381" s="57" t="s">
        <v>250</v>
      </c>
      <c r="G381" s="61"/>
      <c r="H381" s="61" t="s">
        <v>200</v>
      </c>
      <c r="I381" s="62" t="s">
        <v>689</v>
      </c>
      <c r="J381" s="53"/>
    </row>
    <row r="382" ht="24.75" hidden="1" customHeight="1">
      <c r="A382" s="54" t="s">
        <v>658</v>
      </c>
      <c r="B382" s="56" t="s">
        <v>688</v>
      </c>
      <c r="C382" s="56" t="s">
        <v>624</v>
      </c>
      <c r="D382" s="56" t="s">
        <v>660</v>
      </c>
      <c r="E382" s="56" t="s">
        <v>661</v>
      </c>
      <c r="F382" s="57" t="s">
        <v>34</v>
      </c>
      <c r="G382" s="61"/>
      <c r="H382" s="79"/>
      <c r="I382" s="62"/>
      <c r="J382" s="53"/>
    </row>
    <row r="383" ht="24.75" hidden="1" customHeight="1">
      <c r="A383" s="54" t="s">
        <v>658</v>
      </c>
      <c r="B383" s="56" t="s">
        <v>688</v>
      </c>
      <c r="C383" s="56" t="s">
        <v>624</v>
      </c>
      <c r="D383" s="56" t="s">
        <v>660</v>
      </c>
      <c r="E383" s="56" t="s">
        <v>662</v>
      </c>
      <c r="F383" s="57" t="s">
        <v>34</v>
      </c>
      <c r="G383" s="61"/>
      <c r="H383" s="79"/>
      <c r="I383" s="62"/>
      <c r="J383" s="53"/>
    </row>
    <row r="384" ht="24.75" hidden="1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663</v>
      </c>
      <c r="F384" s="57" t="s">
        <v>34</v>
      </c>
      <c r="G384" s="61"/>
      <c r="H384" s="79"/>
      <c r="I384" s="62"/>
      <c r="J384" s="53"/>
    </row>
    <row r="385" ht="24.75" hidden="1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664</v>
      </c>
      <c r="F385" s="57" t="s">
        <v>34</v>
      </c>
      <c r="G385" s="61"/>
      <c r="H385" s="79"/>
      <c r="I385" s="62"/>
      <c r="J385" s="53"/>
    </row>
    <row r="386" ht="24.75" hidden="1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665</v>
      </c>
      <c r="F386" s="57" t="s">
        <v>34</v>
      </c>
      <c r="G386" s="61"/>
      <c r="H386" s="79"/>
      <c r="I386" s="62"/>
      <c r="J386" s="53"/>
    </row>
    <row r="387" ht="24.75" hidden="1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614</v>
      </c>
      <c r="F387" s="57" t="s">
        <v>34</v>
      </c>
      <c r="G387" s="61"/>
      <c r="H387" s="79"/>
      <c r="I387" s="62"/>
      <c r="J387" s="53"/>
    </row>
    <row r="388" ht="24.75" hidden="1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666</v>
      </c>
      <c r="F388" s="57" t="s">
        <v>34</v>
      </c>
      <c r="G388" s="61"/>
      <c r="H388" s="79"/>
      <c r="I388" s="62"/>
      <c r="J388" s="53"/>
    </row>
    <row r="389" ht="24.75" hidden="1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667</v>
      </c>
      <c r="F389" s="57" t="s">
        <v>34</v>
      </c>
      <c r="G389" s="61"/>
      <c r="H389" s="79"/>
      <c r="I389" s="62"/>
      <c r="J389" s="53"/>
    </row>
    <row r="390" ht="24.75" hidden="1" customHeight="1">
      <c r="A390" s="54" t="s">
        <v>658</v>
      </c>
      <c r="B390" s="56" t="s">
        <v>688</v>
      </c>
      <c r="C390" s="56" t="s">
        <v>624</v>
      </c>
      <c r="D390" s="56" t="s">
        <v>660</v>
      </c>
      <c r="E390" s="56" t="s">
        <v>668</v>
      </c>
      <c r="F390" s="57" t="s">
        <v>154</v>
      </c>
      <c r="G390" s="61"/>
      <c r="H390" s="79"/>
      <c r="I390" s="62" t="s">
        <v>617</v>
      </c>
      <c r="J390" s="53"/>
    </row>
    <row r="391" ht="24.75" hidden="1" customHeight="1">
      <c r="A391" s="54" t="s">
        <v>658</v>
      </c>
      <c r="B391" s="56" t="s">
        <v>688</v>
      </c>
      <c r="C391" s="56" t="s">
        <v>624</v>
      </c>
      <c r="D391" s="56" t="s">
        <v>660</v>
      </c>
      <c r="E391" s="56" t="s">
        <v>669</v>
      </c>
      <c r="F391" s="57" t="s">
        <v>154</v>
      </c>
      <c r="G391" s="61"/>
      <c r="H391" s="79"/>
      <c r="I391" s="62" t="s">
        <v>617</v>
      </c>
      <c r="J391" s="53"/>
    </row>
    <row r="392" ht="24.75" hidden="1" customHeight="1">
      <c r="A392" s="54" t="s">
        <v>658</v>
      </c>
      <c r="B392" s="56" t="s">
        <v>688</v>
      </c>
      <c r="C392" s="56" t="s">
        <v>624</v>
      </c>
      <c r="D392" s="56" t="s">
        <v>660</v>
      </c>
      <c r="E392" s="56" t="s">
        <v>671</v>
      </c>
      <c r="F392" s="57" t="s">
        <v>154</v>
      </c>
      <c r="G392" s="61"/>
      <c r="H392" s="79"/>
      <c r="I392" s="62" t="s">
        <v>617</v>
      </c>
      <c r="J392" s="53"/>
    </row>
    <row r="393" ht="24.75" hidden="1" customHeight="1">
      <c r="A393" s="54" t="s">
        <v>658</v>
      </c>
      <c r="B393" s="56" t="s">
        <v>688</v>
      </c>
      <c r="C393" s="56" t="s">
        <v>624</v>
      </c>
      <c r="D393" s="56" t="s">
        <v>660</v>
      </c>
      <c r="E393" s="56" t="s">
        <v>672</v>
      </c>
      <c r="F393" s="57" t="s">
        <v>154</v>
      </c>
      <c r="G393" s="61"/>
      <c r="H393" s="79"/>
      <c r="I393" s="62" t="s">
        <v>617</v>
      </c>
      <c r="J393" s="53"/>
    </row>
    <row r="394" ht="24.75" hidden="1" customHeight="1">
      <c r="A394" s="54" t="s">
        <v>658</v>
      </c>
      <c r="B394" s="56" t="s">
        <v>688</v>
      </c>
      <c r="C394" s="56" t="s">
        <v>624</v>
      </c>
      <c r="D394" s="56" t="s">
        <v>660</v>
      </c>
      <c r="E394" s="56" t="s">
        <v>673</v>
      </c>
      <c r="F394" s="57" t="s">
        <v>154</v>
      </c>
      <c r="G394" s="61"/>
      <c r="H394" s="79"/>
      <c r="I394" s="62" t="s">
        <v>617</v>
      </c>
      <c r="J394" s="53"/>
    </row>
    <row r="395" ht="24.75" hidden="1" customHeight="1">
      <c r="A395" s="54" t="s">
        <v>658</v>
      </c>
      <c r="B395" s="56" t="s">
        <v>690</v>
      </c>
      <c r="C395" s="56" t="s">
        <v>624</v>
      </c>
      <c r="D395" s="56" t="s">
        <v>675</v>
      </c>
      <c r="E395" s="56" t="s">
        <v>676</v>
      </c>
      <c r="F395" s="57" t="s">
        <v>34</v>
      </c>
      <c r="G395" s="61"/>
      <c r="H395" s="79"/>
      <c r="I395" s="62"/>
      <c r="J395" s="53"/>
    </row>
    <row r="396" ht="24.75" hidden="1" customHeight="1">
      <c r="A396" s="54" t="s">
        <v>658</v>
      </c>
      <c r="B396" s="56" t="s">
        <v>691</v>
      </c>
      <c r="C396" s="56" t="s">
        <v>624</v>
      </c>
      <c r="D396" s="56" t="s">
        <v>678</v>
      </c>
      <c r="E396" s="56" t="s">
        <v>679</v>
      </c>
      <c r="F396" s="57" t="s">
        <v>34</v>
      </c>
      <c r="G396" s="61"/>
      <c r="H396" s="61" t="s">
        <v>681</v>
      </c>
      <c r="I396" s="62"/>
      <c r="J396" s="53"/>
    </row>
    <row r="397" ht="24.75" hidden="1" customHeight="1">
      <c r="A397" s="54" t="s">
        <v>658</v>
      </c>
      <c r="B397" s="56" t="s">
        <v>691</v>
      </c>
      <c r="C397" s="56" t="s">
        <v>624</v>
      </c>
      <c r="D397" s="56" t="s">
        <v>678</v>
      </c>
      <c r="E397" s="56" t="s">
        <v>680</v>
      </c>
      <c r="F397" s="57" t="s">
        <v>34</v>
      </c>
      <c r="G397" s="61"/>
      <c r="H397" s="79"/>
      <c r="I397" s="62"/>
      <c r="J397" s="53"/>
    </row>
    <row r="398" ht="24.75" hidden="1" customHeight="1">
      <c r="A398" s="54" t="s">
        <v>658</v>
      </c>
      <c r="B398" s="56" t="s">
        <v>691</v>
      </c>
      <c r="C398" s="56" t="s">
        <v>624</v>
      </c>
      <c r="D398" s="56" t="s">
        <v>678</v>
      </c>
      <c r="E398" s="56" t="s">
        <v>682</v>
      </c>
      <c r="F398" s="57" t="s">
        <v>34</v>
      </c>
      <c r="G398" s="61"/>
      <c r="H398" s="79"/>
      <c r="I398" s="62"/>
      <c r="J398" s="53"/>
    </row>
    <row r="399" ht="24.75" hidden="1" customHeight="1">
      <c r="A399" s="54" t="s">
        <v>658</v>
      </c>
      <c r="B399" s="56" t="s">
        <v>691</v>
      </c>
      <c r="C399" s="56" t="s">
        <v>624</v>
      </c>
      <c r="D399" s="56" t="s">
        <v>678</v>
      </c>
      <c r="E399" s="56" t="s">
        <v>683</v>
      </c>
      <c r="F399" s="57" t="s">
        <v>34</v>
      </c>
      <c r="G399" s="61"/>
      <c r="H399" s="79"/>
      <c r="I399" s="62"/>
      <c r="J399" s="53"/>
    </row>
    <row r="400" ht="24.75" customHeight="1">
      <c r="A400" s="54" t="s">
        <v>658</v>
      </c>
      <c r="B400" s="56" t="s">
        <v>691</v>
      </c>
      <c r="C400" s="56" t="s">
        <v>624</v>
      </c>
      <c r="D400" s="56" t="s">
        <v>678</v>
      </c>
      <c r="E400" s="56" t="s">
        <v>684</v>
      </c>
      <c r="F400" s="57" t="s">
        <v>250</v>
      </c>
      <c r="G400" s="61"/>
      <c r="H400" s="61" t="s">
        <v>686</v>
      </c>
      <c r="I400" s="62" t="s">
        <v>687</v>
      </c>
      <c r="J400" s="53"/>
    </row>
    <row r="401" ht="24.75" customHeight="1">
      <c r="A401" s="54" t="s">
        <v>658</v>
      </c>
      <c r="B401" s="56" t="s">
        <v>691</v>
      </c>
      <c r="C401" s="56" t="s">
        <v>624</v>
      </c>
      <c r="D401" s="56" t="s">
        <v>678</v>
      </c>
      <c r="E401" s="56" t="s">
        <v>685</v>
      </c>
      <c r="F401" s="57" t="s">
        <v>250</v>
      </c>
      <c r="G401" s="61"/>
      <c r="H401" s="61" t="s">
        <v>200</v>
      </c>
      <c r="I401" s="62" t="s">
        <v>689</v>
      </c>
      <c r="J401" s="53"/>
    </row>
    <row r="402" ht="24.75" hidden="1" customHeight="1">
      <c r="A402" s="54" t="s">
        <v>658</v>
      </c>
      <c r="B402" s="56" t="s">
        <v>692</v>
      </c>
      <c r="C402" s="56" t="s">
        <v>627</v>
      </c>
      <c r="D402" s="56" t="s">
        <v>660</v>
      </c>
      <c r="E402" s="56" t="s">
        <v>661</v>
      </c>
      <c r="F402" s="57" t="s">
        <v>34</v>
      </c>
      <c r="G402" s="61"/>
      <c r="H402" s="79"/>
      <c r="I402" s="62"/>
      <c r="J402" s="53"/>
    </row>
    <row r="403" ht="24.75" hidden="1" customHeight="1">
      <c r="A403" s="54" t="s">
        <v>658</v>
      </c>
      <c r="B403" s="56" t="s">
        <v>692</v>
      </c>
      <c r="C403" s="56" t="s">
        <v>627</v>
      </c>
      <c r="D403" s="56" t="s">
        <v>660</v>
      </c>
      <c r="E403" s="56" t="s">
        <v>662</v>
      </c>
      <c r="F403" s="57" t="s">
        <v>34</v>
      </c>
      <c r="G403" s="61"/>
      <c r="H403" s="79"/>
      <c r="I403" s="62"/>
      <c r="J403" s="53"/>
    </row>
    <row r="404" ht="24.75" hidden="1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663</v>
      </c>
      <c r="F404" s="57" t="s">
        <v>34</v>
      </c>
      <c r="G404" s="61"/>
      <c r="H404" s="79"/>
      <c r="I404" s="62"/>
      <c r="J404" s="53"/>
    </row>
    <row r="405" ht="24.75" hidden="1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664</v>
      </c>
      <c r="F405" s="57" t="s">
        <v>34</v>
      </c>
      <c r="G405" s="61"/>
      <c r="H405" s="79"/>
      <c r="I405" s="62"/>
      <c r="J405" s="53"/>
    </row>
    <row r="406" ht="24.75" hidden="1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665</v>
      </c>
      <c r="F406" s="57" t="s">
        <v>34</v>
      </c>
      <c r="G406" s="61"/>
      <c r="H406" s="79"/>
      <c r="I406" s="62"/>
      <c r="J406" s="53"/>
    </row>
    <row r="407" ht="24.75" hidden="1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614</v>
      </c>
      <c r="F407" s="57" t="s">
        <v>34</v>
      </c>
      <c r="G407" s="61"/>
      <c r="H407" s="79"/>
      <c r="I407" s="62"/>
      <c r="J407" s="53"/>
    </row>
    <row r="408" ht="24.75" hidden="1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666</v>
      </c>
      <c r="F408" s="57" t="s">
        <v>34</v>
      </c>
      <c r="G408" s="61"/>
      <c r="H408" s="79"/>
      <c r="I408" s="62"/>
      <c r="J408" s="53"/>
    </row>
    <row r="409" ht="24.75" hidden="1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667</v>
      </c>
      <c r="F409" s="57" t="s">
        <v>34</v>
      </c>
      <c r="G409" s="61"/>
      <c r="H409" s="79"/>
      <c r="I409" s="62"/>
      <c r="J409" s="53"/>
    </row>
    <row r="410" ht="24.75" hidden="1" customHeight="1">
      <c r="A410" s="54" t="s">
        <v>658</v>
      </c>
      <c r="B410" s="56" t="s">
        <v>692</v>
      </c>
      <c r="C410" s="56" t="s">
        <v>627</v>
      </c>
      <c r="D410" s="56" t="s">
        <v>660</v>
      </c>
      <c r="E410" s="56" t="s">
        <v>668</v>
      </c>
      <c r="F410" s="57" t="s">
        <v>154</v>
      </c>
      <c r="G410" s="61"/>
      <c r="H410" s="79"/>
      <c r="I410" s="62" t="s">
        <v>617</v>
      </c>
      <c r="J410" s="53"/>
    </row>
    <row r="411" ht="24.75" hidden="1" customHeight="1">
      <c r="A411" s="54" t="s">
        <v>658</v>
      </c>
      <c r="B411" s="56" t="s">
        <v>692</v>
      </c>
      <c r="C411" s="56" t="s">
        <v>627</v>
      </c>
      <c r="D411" s="56" t="s">
        <v>660</v>
      </c>
      <c r="E411" s="56" t="s">
        <v>669</v>
      </c>
      <c r="F411" s="57" t="s">
        <v>154</v>
      </c>
      <c r="G411" s="61"/>
      <c r="H411" s="79"/>
      <c r="I411" s="62" t="s">
        <v>617</v>
      </c>
      <c r="J411" s="53"/>
    </row>
    <row r="412" ht="24.75" hidden="1" customHeight="1">
      <c r="A412" s="54" t="s">
        <v>658</v>
      </c>
      <c r="B412" s="56" t="s">
        <v>692</v>
      </c>
      <c r="C412" s="56" t="s">
        <v>627</v>
      </c>
      <c r="D412" s="56" t="s">
        <v>660</v>
      </c>
      <c r="E412" s="56" t="s">
        <v>671</v>
      </c>
      <c r="F412" s="57" t="s">
        <v>154</v>
      </c>
      <c r="G412" s="61"/>
      <c r="H412" s="79"/>
      <c r="I412" s="62" t="s">
        <v>617</v>
      </c>
      <c r="J412" s="53"/>
    </row>
    <row r="413" ht="24.75" hidden="1" customHeight="1">
      <c r="A413" s="54" t="s">
        <v>658</v>
      </c>
      <c r="B413" s="56" t="s">
        <v>692</v>
      </c>
      <c r="C413" s="56" t="s">
        <v>627</v>
      </c>
      <c r="D413" s="56" t="s">
        <v>660</v>
      </c>
      <c r="E413" s="56" t="s">
        <v>672</v>
      </c>
      <c r="F413" s="57" t="s">
        <v>154</v>
      </c>
      <c r="G413" s="61"/>
      <c r="H413" s="79"/>
      <c r="I413" s="62" t="s">
        <v>617</v>
      </c>
      <c r="J413" s="53"/>
    </row>
    <row r="414" ht="24.75" hidden="1" customHeight="1">
      <c r="A414" s="54" t="s">
        <v>658</v>
      </c>
      <c r="B414" s="56" t="s">
        <v>692</v>
      </c>
      <c r="C414" s="56" t="s">
        <v>627</v>
      </c>
      <c r="D414" s="56" t="s">
        <v>660</v>
      </c>
      <c r="E414" s="56" t="s">
        <v>673</v>
      </c>
      <c r="F414" s="57" t="s">
        <v>154</v>
      </c>
      <c r="G414" s="61"/>
      <c r="H414" s="79"/>
      <c r="I414" s="62" t="s">
        <v>617</v>
      </c>
      <c r="J414" s="53"/>
    </row>
    <row r="415" ht="24.75" hidden="1" customHeight="1">
      <c r="A415" s="54" t="s">
        <v>658</v>
      </c>
      <c r="B415" s="56" t="s">
        <v>693</v>
      </c>
      <c r="C415" s="56" t="s">
        <v>627</v>
      </c>
      <c r="D415" s="56" t="s">
        <v>675</v>
      </c>
      <c r="E415" s="56" t="s">
        <v>676</v>
      </c>
      <c r="F415" s="57" t="s">
        <v>34</v>
      </c>
      <c r="G415" s="61"/>
      <c r="H415" s="79"/>
      <c r="I415" s="62"/>
      <c r="J415" s="53"/>
    </row>
    <row r="416" ht="24.75" hidden="1" customHeight="1">
      <c r="A416" s="54" t="s">
        <v>658</v>
      </c>
      <c r="B416" s="56" t="s">
        <v>694</v>
      </c>
      <c r="C416" s="56" t="s">
        <v>627</v>
      </c>
      <c r="D416" s="56" t="s">
        <v>678</v>
      </c>
      <c r="E416" s="56" t="s">
        <v>679</v>
      </c>
      <c r="F416" s="57" t="s">
        <v>34</v>
      </c>
      <c r="G416" s="61"/>
      <c r="H416" s="61" t="s">
        <v>197</v>
      </c>
      <c r="I416" s="62"/>
      <c r="J416" s="53"/>
    </row>
    <row r="417" ht="24.75" hidden="1" customHeight="1">
      <c r="A417" s="54" t="s">
        <v>658</v>
      </c>
      <c r="B417" s="56" t="s">
        <v>694</v>
      </c>
      <c r="C417" s="56" t="s">
        <v>627</v>
      </c>
      <c r="D417" s="56" t="s">
        <v>678</v>
      </c>
      <c r="E417" s="56" t="s">
        <v>680</v>
      </c>
      <c r="F417" s="57" t="s">
        <v>34</v>
      </c>
      <c r="G417" s="61"/>
      <c r="H417" s="79"/>
      <c r="I417" s="62"/>
      <c r="J417" s="53"/>
    </row>
    <row r="418" ht="24.75" hidden="1" customHeight="1">
      <c r="A418" s="54" t="s">
        <v>658</v>
      </c>
      <c r="B418" s="56" t="s">
        <v>694</v>
      </c>
      <c r="C418" s="56" t="s">
        <v>627</v>
      </c>
      <c r="D418" s="56" t="s">
        <v>678</v>
      </c>
      <c r="E418" s="56" t="s">
        <v>683</v>
      </c>
      <c r="F418" s="57" t="s">
        <v>34</v>
      </c>
      <c r="G418" s="61"/>
      <c r="H418" s="79"/>
      <c r="I418" s="62"/>
      <c r="J418" s="53"/>
    </row>
    <row r="419" ht="24.75" customHeight="1">
      <c r="A419" s="54" t="s">
        <v>658</v>
      </c>
      <c r="B419" s="56" t="s">
        <v>694</v>
      </c>
      <c r="C419" s="56" t="s">
        <v>627</v>
      </c>
      <c r="D419" s="56" t="s">
        <v>678</v>
      </c>
      <c r="E419" s="56" t="s">
        <v>684</v>
      </c>
      <c r="F419" s="57" t="s">
        <v>250</v>
      </c>
      <c r="G419" s="61"/>
      <c r="H419" s="61" t="s">
        <v>686</v>
      </c>
      <c r="I419" s="62" t="s">
        <v>687</v>
      </c>
      <c r="J419" s="53"/>
    </row>
    <row r="420" ht="24.75" customHeight="1">
      <c r="A420" s="54" t="s">
        <v>658</v>
      </c>
      <c r="B420" s="56" t="s">
        <v>694</v>
      </c>
      <c r="C420" s="56" t="s">
        <v>627</v>
      </c>
      <c r="D420" s="56" t="s">
        <v>678</v>
      </c>
      <c r="E420" s="56" t="s">
        <v>695</v>
      </c>
      <c r="F420" s="57" t="s">
        <v>250</v>
      </c>
      <c r="G420" s="61"/>
      <c r="H420" s="61" t="s">
        <v>346</v>
      </c>
      <c r="I420" s="62" t="s">
        <v>696</v>
      </c>
      <c r="J420" s="53"/>
    </row>
    <row r="421" ht="24.75" customHeight="1">
      <c r="A421" s="54" t="s">
        <v>658</v>
      </c>
      <c r="B421" s="56" t="s">
        <v>694</v>
      </c>
      <c r="C421" s="56" t="s">
        <v>627</v>
      </c>
      <c r="D421" s="56" t="s">
        <v>678</v>
      </c>
      <c r="E421" s="56" t="s">
        <v>685</v>
      </c>
      <c r="F421" s="57" t="s">
        <v>250</v>
      </c>
      <c r="G421" s="61"/>
      <c r="H421" s="61" t="s">
        <v>200</v>
      </c>
      <c r="I421" s="62" t="s">
        <v>689</v>
      </c>
      <c r="J421" s="53"/>
    </row>
    <row r="422" ht="24.75" hidden="1" customHeight="1">
      <c r="A422" s="54" t="s">
        <v>658</v>
      </c>
      <c r="B422" s="56" t="s">
        <v>697</v>
      </c>
      <c r="C422" s="56" t="s">
        <v>640</v>
      </c>
      <c r="D422" s="56" t="s">
        <v>660</v>
      </c>
      <c r="E422" s="56" t="s">
        <v>661</v>
      </c>
      <c r="F422" s="57" t="s">
        <v>34</v>
      </c>
      <c r="G422" s="61"/>
      <c r="H422" s="79"/>
      <c r="I422" s="62"/>
      <c r="J422" s="53"/>
    </row>
    <row r="423" ht="24.75" hidden="1" customHeight="1">
      <c r="A423" s="54" t="s">
        <v>658</v>
      </c>
      <c r="B423" s="56" t="s">
        <v>697</v>
      </c>
      <c r="C423" s="56" t="s">
        <v>640</v>
      </c>
      <c r="D423" s="56" t="s">
        <v>660</v>
      </c>
      <c r="E423" s="56" t="s">
        <v>662</v>
      </c>
      <c r="F423" s="57" t="s">
        <v>34</v>
      </c>
      <c r="G423" s="61"/>
      <c r="H423" s="79"/>
      <c r="I423" s="62"/>
      <c r="J423" s="53"/>
    </row>
    <row r="424" ht="24.75" hidden="1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663</v>
      </c>
      <c r="F424" s="57" t="s">
        <v>34</v>
      </c>
      <c r="G424" s="61"/>
      <c r="H424" s="79"/>
      <c r="I424" s="62"/>
      <c r="J424" s="53"/>
    </row>
    <row r="425" ht="24.75" hidden="1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664</v>
      </c>
      <c r="F425" s="57" t="s">
        <v>34</v>
      </c>
      <c r="G425" s="61"/>
      <c r="H425" s="79"/>
      <c r="I425" s="62"/>
      <c r="J425" s="53"/>
    </row>
    <row r="426" ht="24.75" hidden="1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665</v>
      </c>
      <c r="F426" s="57" t="s">
        <v>34</v>
      </c>
      <c r="G426" s="61"/>
      <c r="H426" s="79"/>
      <c r="I426" s="62"/>
      <c r="J426" s="53"/>
    </row>
    <row r="427" ht="24.75" hidden="1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614</v>
      </c>
      <c r="F427" s="57" t="s">
        <v>34</v>
      </c>
      <c r="G427" s="61"/>
      <c r="H427" s="79"/>
      <c r="I427" s="62"/>
      <c r="J427" s="53"/>
    </row>
    <row r="428" ht="24.75" hidden="1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666</v>
      </c>
      <c r="F428" s="57" t="s">
        <v>34</v>
      </c>
      <c r="G428" s="61"/>
      <c r="H428" s="79"/>
      <c r="I428" s="62"/>
      <c r="J428" s="53"/>
    </row>
    <row r="429" ht="24.75" hidden="1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667</v>
      </c>
      <c r="F429" s="57" t="s">
        <v>34</v>
      </c>
      <c r="G429" s="61"/>
      <c r="H429" s="79"/>
      <c r="I429" s="62"/>
      <c r="J429" s="53"/>
    </row>
    <row r="430" ht="24.75" hidden="1" customHeight="1">
      <c r="A430" s="54" t="s">
        <v>658</v>
      </c>
      <c r="B430" s="56" t="s">
        <v>697</v>
      </c>
      <c r="C430" s="56" t="s">
        <v>640</v>
      </c>
      <c r="D430" s="56" t="s">
        <v>660</v>
      </c>
      <c r="E430" s="56" t="s">
        <v>668</v>
      </c>
      <c r="F430" s="57" t="s">
        <v>154</v>
      </c>
      <c r="G430" s="61"/>
      <c r="H430" s="79"/>
      <c r="I430" s="62" t="s">
        <v>617</v>
      </c>
      <c r="J430" s="53"/>
    </row>
    <row r="431" ht="24.75" hidden="1" customHeight="1">
      <c r="A431" s="54" t="s">
        <v>658</v>
      </c>
      <c r="B431" s="56" t="s">
        <v>697</v>
      </c>
      <c r="C431" s="56" t="s">
        <v>640</v>
      </c>
      <c r="D431" s="56" t="s">
        <v>660</v>
      </c>
      <c r="E431" s="56" t="s">
        <v>669</v>
      </c>
      <c r="F431" s="57" t="s">
        <v>154</v>
      </c>
      <c r="G431" s="61"/>
      <c r="H431" s="79"/>
      <c r="I431" s="62" t="s">
        <v>617</v>
      </c>
      <c r="J431" s="53"/>
    </row>
    <row r="432" ht="24.75" hidden="1" customHeight="1">
      <c r="A432" s="54" t="s">
        <v>658</v>
      </c>
      <c r="B432" s="56" t="s">
        <v>697</v>
      </c>
      <c r="C432" s="56" t="s">
        <v>640</v>
      </c>
      <c r="D432" s="56" t="s">
        <v>660</v>
      </c>
      <c r="E432" s="56" t="s">
        <v>671</v>
      </c>
      <c r="F432" s="57" t="s">
        <v>154</v>
      </c>
      <c r="G432" s="61"/>
      <c r="H432" s="79"/>
      <c r="I432" s="62" t="s">
        <v>617</v>
      </c>
      <c r="J432" s="53"/>
    </row>
    <row r="433" ht="24.75" hidden="1" customHeight="1">
      <c r="A433" s="54" t="s">
        <v>658</v>
      </c>
      <c r="B433" s="56" t="s">
        <v>697</v>
      </c>
      <c r="C433" s="56" t="s">
        <v>640</v>
      </c>
      <c r="D433" s="56" t="s">
        <v>660</v>
      </c>
      <c r="E433" s="56" t="s">
        <v>672</v>
      </c>
      <c r="F433" s="57" t="s">
        <v>154</v>
      </c>
      <c r="G433" s="61"/>
      <c r="H433" s="79"/>
      <c r="I433" s="62" t="s">
        <v>617</v>
      </c>
      <c r="J433" s="53"/>
    </row>
    <row r="434" ht="24.75" hidden="1" customHeight="1">
      <c r="A434" s="54" t="s">
        <v>658</v>
      </c>
      <c r="B434" s="56" t="s">
        <v>697</v>
      </c>
      <c r="C434" s="56" t="s">
        <v>640</v>
      </c>
      <c r="D434" s="56" t="s">
        <v>660</v>
      </c>
      <c r="E434" s="56" t="s">
        <v>673</v>
      </c>
      <c r="F434" s="57" t="s">
        <v>154</v>
      </c>
      <c r="G434" s="61"/>
      <c r="H434" s="79"/>
      <c r="I434" s="62" t="s">
        <v>617</v>
      </c>
      <c r="J434" s="53"/>
    </row>
    <row r="435" ht="24.75" hidden="1" customHeight="1">
      <c r="A435" s="54" t="s">
        <v>658</v>
      </c>
      <c r="B435" s="56" t="s">
        <v>698</v>
      </c>
      <c r="C435" s="56" t="s">
        <v>640</v>
      </c>
      <c r="D435" s="56" t="s">
        <v>675</v>
      </c>
      <c r="E435" s="56" t="s">
        <v>676</v>
      </c>
      <c r="F435" s="57" t="s">
        <v>34</v>
      </c>
      <c r="G435" s="61"/>
      <c r="H435" s="79"/>
      <c r="I435" s="62"/>
      <c r="J435" s="53"/>
    </row>
    <row r="436" ht="24.75" hidden="1" customHeight="1">
      <c r="A436" s="54" t="s">
        <v>658</v>
      </c>
      <c r="B436" s="56" t="s">
        <v>699</v>
      </c>
      <c r="C436" s="56" t="s">
        <v>640</v>
      </c>
      <c r="D436" s="56" t="s">
        <v>678</v>
      </c>
      <c r="E436" s="56" t="s">
        <v>679</v>
      </c>
      <c r="F436" s="57" t="s">
        <v>34</v>
      </c>
      <c r="G436" s="61"/>
      <c r="H436" s="61" t="s">
        <v>197</v>
      </c>
      <c r="I436" s="62"/>
      <c r="J436" s="53"/>
    </row>
    <row r="437" ht="24.75" hidden="1" customHeight="1">
      <c r="A437" s="54" t="s">
        <v>658</v>
      </c>
      <c r="B437" s="56" t="s">
        <v>699</v>
      </c>
      <c r="C437" s="56" t="s">
        <v>640</v>
      </c>
      <c r="D437" s="56" t="s">
        <v>678</v>
      </c>
      <c r="E437" s="56" t="s">
        <v>680</v>
      </c>
      <c r="F437" s="57" t="s">
        <v>34</v>
      </c>
      <c r="G437" s="61"/>
      <c r="H437" s="79"/>
      <c r="I437" s="62"/>
      <c r="J437" s="53"/>
    </row>
    <row r="438" ht="24.75" hidden="1" customHeight="1">
      <c r="A438" s="54" t="s">
        <v>658</v>
      </c>
      <c r="B438" s="56" t="s">
        <v>699</v>
      </c>
      <c r="C438" s="56" t="s">
        <v>640</v>
      </c>
      <c r="D438" s="56" t="s">
        <v>678</v>
      </c>
      <c r="E438" s="56" t="s">
        <v>682</v>
      </c>
      <c r="F438" s="57" t="s">
        <v>34</v>
      </c>
      <c r="G438" s="61"/>
      <c r="H438" s="79"/>
      <c r="I438" s="62"/>
      <c r="J438" s="53"/>
    </row>
    <row r="439" ht="24.75" hidden="1" customHeight="1">
      <c r="A439" s="54" t="s">
        <v>658</v>
      </c>
      <c r="B439" s="56" t="s">
        <v>699</v>
      </c>
      <c r="C439" s="56" t="s">
        <v>640</v>
      </c>
      <c r="D439" s="56" t="s">
        <v>678</v>
      </c>
      <c r="E439" s="56" t="s">
        <v>683</v>
      </c>
      <c r="F439" s="57" t="s">
        <v>34</v>
      </c>
      <c r="G439" s="61"/>
      <c r="H439" s="79"/>
      <c r="I439" s="62"/>
      <c r="J439" s="53"/>
    </row>
    <row r="440" ht="24.75" customHeight="1">
      <c r="A440" s="54" t="s">
        <v>658</v>
      </c>
      <c r="B440" s="56" t="s">
        <v>699</v>
      </c>
      <c r="C440" s="56" t="s">
        <v>640</v>
      </c>
      <c r="D440" s="56" t="s">
        <v>678</v>
      </c>
      <c r="E440" s="56" t="s">
        <v>684</v>
      </c>
      <c r="F440" s="57" t="s">
        <v>250</v>
      </c>
      <c r="G440" s="61"/>
      <c r="H440" s="61" t="s">
        <v>686</v>
      </c>
      <c r="I440" s="62" t="s">
        <v>687</v>
      </c>
      <c r="J440" s="53"/>
    </row>
    <row r="441" ht="24.75" customHeight="1">
      <c r="A441" s="54" t="s">
        <v>658</v>
      </c>
      <c r="B441" s="56" t="s">
        <v>699</v>
      </c>
      <c r="C441" s="56" t="s">
        <v>640</v>
      </c>
      <c r="D441" s="56" t="s">
        <v>678</v>
      </c>
      <c r="E441" s="56" t="s">
        <v>695</v>
      </c>
      <c r="F441" s="57" t="s">
        <v>250</v>
      </c>
      <c r="G441" s="61"/>
      <c r="H441" s="61" t="s">
        <v>346</v>
      </c>
      <c r="I441" s="62" t="s">
        <v>696</v>
      </c>
      <c r="J441" s="53"/>
    </row>
    <row r="442" ht="24.75" customHeight="1">
      <c r="A442" s="54" t="s">
        <v>658</v>
      </c>
      <c r="B442" s="56" t="s">
        <v>699</v>
      </c>
      <c r="C442" s="56" t="s">
        <v>640</v>
      </c>
      <c r="D442" s="56" t="s">
        <v>678</v>
      </c>
      <c r="E442" s="56" t="s">
        <v>685</v>
      </c>
      <c r="F442" s="57" t="s">
        <v>250</v>
      </c>
      <c r="G442" s="61"/>
      <c r="H442" s="61" t="s">
        <v>200</v>
      </c>
      <c r="I442" s="62" t="s">
        <v>689</v>
      </c>
      <c r="J442" s="53"/>
    </row>
    <row r="443" ht="24.75" hidden="1" customHeight="1">
      <c r="A443" s="54" t="s">
        <v>658</v>
      </c>
      <c r="B443" s="56" t="s">
        <v>700</v>
      </c>
      <c r="C443" s="56" t="s">
        <v>645</v>
      </c>
      <c r="D443" s="56" t="s">
        <v>660</v>
      </c>
      <c r="E443" s="56" t="s">
        <v>661</v>
      </c>
      <c r="F443" s="57" t="s">
        <v>34</v>
      </c>
      <c r="G443" s="61"/>
      <c r="H443" s="79"/>
      <c r="I443" s="62"/>
      <c r="J443" s="53"/>
    </row>
    <row r="444" ht="24.75" hidden="1" customHeight="1">
      <c r="A444" s="54" t="s">
        <v>658</v>
      </c>
      <c r="B444" s="56" t="s">
        <v>700</v>
      </c>
      <c r="C444" s="56" t="s">
        <v>645</v>
      </c>
      <c r="D444" s="56" t="s">
        <v>660</v>
      </c>
      <c r="E444" s="56" t="s">
        <v>662</v>
      </c>
      <c r="F444" s="57" t="s">
        <v>34</v>
      </c>
      <c r="G444" s="61"/>
      <c r="H444" s="61"/>
      <c r="I444" s="62"/>
      <c r="J444" s="53"/>
    </row>
    <row r="445" ht="24.75" hidden="1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663</v>
      </c>
      <c r="F445" s="57" t="s">
        <v>34</v>
      </c>
      <c r="G445" s="61"/>
      <c r="H445" s="61"/>
      <c r="I445" s="62"/>
      <c r="J445" s="53"/>
    </row>
    <row r="446" ht="24.75" hidden="1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664</v>
      </c>
      <c r="F446" s="57" t="s">
        <v>34</v>
      </c>
      <c r="G446" s="61"/>
      <c r="H446" s="79"/>
      <c r="I446" s="62"/>
      <c r="J446" s="53"/>
    </row>
    <row r="447" ht="24.75" hidden="1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665</v>
      </c>
      <c r="F447" s="57" t="s">
        <v>34</v>
      </c>
      <c r="G447" s="61"/>
      <c r="H447" s="79"/>
      <c r="I447" s="62"/>
      <c r="J447" s="53"/>
    </row>
    <row r="448" ht="24.75" hidden="1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614</v>
      </c>
      <c r="F448" s="57" t="s">
        <v>34</v>
      </c>
      <c r="G448" s="61"/>
      <c r="H448" s="79"/>
      <c r="I448" s="62"/>
      <c r="J448" s="53"/>
    </row>
    <row r="449" ht="24.75" hidden="1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666</v>
      </c>
      <c r="F449" s="57" t="s">
        <v>34</v>
      </c>
      <c r="G449" s="61"/>
      <c r="H449" s="79"/>
      <c r="I449" s="62"/>
      <c r="J449" s="53"/>
    </row>
    <row r="450" ht="24.75" hidden="1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667</v>
      </c>
      <c r="F450" s="57" t="s">
        <v>34</v>
      </c>
      <c r="G450" s="61"/>
      <c r="H450" s="61"/>
      <c r="I450" s="62"/>
      <c r="J450" s="53"/>
    </row>
    <row r="451" ht="24.75" hidden="1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668</v>
      </c>
      <c r="F451" s="57" t="s">
        <v>154</v>
      </c>
      <c r="G451" s="61"/>
      <c r="H451" s="61"/>
      <c r="I451" s="62" t="s">
        <v>617</v>
      </c>
      <c r="J451" s="53"/>
    </row>
    <row r="452" ht="24.75" hidden="1" customHeight="1">
      <c r="A452" s="54" t="s">
        <v>658</v>
      </c>
      <c r="B452" s="56" t="s">
        <v>700</v>
      </c>
      <c r="C452" s="56" t="s">
        <v>645</v>
      </c>
      <c r="D452" s="56" t="s">
        <v>660</v>
      </c>
      <c r="E452" s="56" t="s">
        <v>669</v>
      </c>
      <c r="F452" s="57" t="s">
        <v>154</v>
      </c>
      <c r="G452" s="61"/>
      <c r="H452" s="61"/>
      <c r="I452" s="62" t="s">
        <v>617</v>
      </c>
      <c r="J452" s="53"/>
    </row>
    <row r="453" ht="24.75" hidden="1" customHeight="1">
      <c r="A453" s="54" t="s">
        <v>658</v>
      </c>
      <c r="B453" s="56" t="s">
        <v>700</v>
      </c>
      <c r="C453" s="56" t="s">
        <v>645</v>
      </c>
      <c r="D453" s="56" t="s">
        <v>660</v>
      </c>
      <c r="E453" s="56" t="s">
        <v>680</v>
      </c>
      <c r="F453" s="57" t="s">
        <v>154</v>
      </c>
      <c r="G453" s="61"/>
      <c r="H453" s="61"/>
      <c r="I453" s="62" t="s">
        <v>617</v>
      </c>
      <c r="J453" s="53"/>
    </row>
    <row r="454" ht="24.75" hidden="1" customHeight="1">
      <c r="A454" s="54" t="s">
        <v>658</v>
      </c>
      <c r="B454" s="56" t="s">
        <v>700</v>
      </c>
      <c r="C454" s="56" t="s">
        <v>645</v>
      </c>
      <c r="D454" s="56" t="s">
        <v>660</v>
      </c>
      <c r="E454" s="56" t="s">
        <v>671</v>
      </c>
      <c r="F454" s="57" t="s">
        <v>154</v>
      </c>
      <c r="G454" s="61"/>
      <c r="H454" s="79"/>
      <c r="I454" s="62" t="s">
        <v>617</v>
      </c>
      <c r="J454" s="53"/>
    </row>
    <row r="455" ht="24.75" hidden="1" customHeight="1">
      <c r="A455" s="54" t="s">
        <v>658</v>
      </c>
      <c r="B455" s="56" t="s">
        <v>700</v>
      </c>
      <c r="C455" s="56" t="s">
        <v>645</v>
      </c>
      <c r="D455" s="56" t="s">
        <v>660</v>
      </c>
      <c r="E455" s="56" t="s">
        <v>672</v>
      </c>
      <c r="F455" s="57" t="s">
        <v>154</v>
      </c>
      <c r="G455" s="61"/>
      <c r="H455" s="79"/>
      <c r="I455" s="62" t="s">
        <v>617</v>
      </c>
      <c r="J455" s="53"/>
    </row>
    <row r="456" ht="24.75" hidden="1" customHeight="1">
      <c r="A456" s="54" t="s">
        <v>658</v>
      </c>
      <c r="B456" s="56" t="s">
        <v>700</v>
      </c>
      <c r="C456" s="56" t="s">
        <v>645</v>
      </c>
      <c r="D456" s="56" t="s">
        <v>660</v>
      </c>
      <c r="E456" s="56" t="s">
        <v>673</v>
      </c>
      <c r="F456" s="57" t="s">
        <v>154</v>
      </c>
      <c r="G456" s="61"/>
      <c r="H456" s="79"/>
      <c r="I456" s="62" t="s">
        <v>617</v>
      </c>
      <c r="J456" s="53"/>
    </row>
    <row r="457" ht="24.75" hidden="1" customHeight="1">
      <c r="A457" s="54" t="s">
        <v>658</v>
      </c>
      <c r="B457" s="56" t="s">
        <v>703</v>
      </c>
      <c r="C457" s="56" t="s">
        <v>645</v>
      </c>
      <c r="D457" s="56" t="s">
        <v>675</v>
      </c>
      <c r="E457" s="56" t="s">
        <v>676</v>
      </c>
      <c r="F457" s="57" t="s">
        <v>34</v>
      </c>
      <c r="G457" s="61"/>
      <c r="H457" s="79"/>
      <c r="I457" s="62"/>
      <c r="J457" s="53"/>
    </row>
    <row r="458" ht="24.75" hidden="1" customHeight="1">
      <c r="A458" s="54" t="s">
        <v>658</v>
      </c>
      <c r="B458" s="56" t="s">
        <v>704</v>
      </c>
      <c r="C458" s="56" t="s">
        <v>645</v>
      </c>
      <c r="D458" s="56" t="s">
        <v>678</v>
      </c>
      <c r="E458" s="56" t="s">
        <v>679</v>
      </c>
      <c r="F458" s="57" t="s">
        <v>34</v>
      </c>
      <c r="G458" s="61"/>
      <c r="H458" s="61" t="s">
        <v>197</v>
      </c>
      <c r="I458" s="62"/>
      <c r="J458" s="53"/>
    </row>
    <row r="459" ht="24.75" hidden="1" customHeight="1">
      <c r="A459" s="54" t="s">
        <v>658</v>
      </c>
      <c r="B459" s="56" t="s">
        <v>704</v>
      </c>
      <c r="C459" s="56" t="s">
        <v>645</v>
      </c>
      <c r="D459" s="56" t="s">
        <v>678</v>
      </c>
      <c r="E459" s="56" t="s">
        <v>680</v>
      </c>
      <c r="F459" s="57" t="s">
        <v>34</v>
      </c>
      <c r="G459" s="61"/>
      <c r="H459" s="79"/>
      <c r="I459" s="62"/>
      <c r="J459" s="53"/>
    </row>
    <row r="460" ht="24.75" hidden="1" customHeight="1">
      <c r="A460" s="54" t="s">
        <v>658</v>
      </c>
      <c r="B460" s="56" t="s">
        <v>704</v>
      </c>
      <c r="C460" s="56" t="s">
        <v>645</v>
      </c>
      <c r="D460" s="56" t="s">
        <v>678</v>
      </c>
      <c r="E460" s="56" t="s">
        <v>682</v>
      </c>
      <c r="F460" s="57" t="s">
        <v>34</v>
      </c>
      <c r="G460" s="61"/>
      <c r="H460" s="79"/>
      <c r="I460" s="62"/>
      <c r="J460" s="53"/>
    </row>
    <row r="461" ht="24.75" hidden="1" customHeight="1">
      <c r="A461" s="54" t="s">
        <v>658</v>
      </c>
      <c r="B461" s="56" t="s">
        <v>704</v>
      </c>
      <c r="C461" s="56" t="s">
        <v>645</v>
      </c>
      <c r="D461" s="56" t="s">
        <v>678</v>
      </c>
      <c r="E461" s="56" t="s">
        <v>683</v>
      </c>
      <c r="F461" s="57" t="s">
        <v>34</v>
      </c>
      <c r="G461" s="61"/>
      <c r="H461" s="79"/>
      <c r="I461" s="62"/>
      <c r="J461" s="53"/>
    </row>
    <row r="462" ht="24.75" customHeight="1">
      <c r="A462" s="54" t="s">
        <v>658</v>
      </c>
      <c r="B462" s="56" t="s">
        <v>704</v>
      </c>
      <c r="C462" s="56" t="s">
        <v>645</v>
      </c>
      <c r="D462" s="56" t="s">
        <v>678</v>
      </c>
      <c r="E462" s="56" t="s">
        <v>684</v>
      </c>
      <c r="F462" s="57" t="s">
        <v>250</v>
      </c>
      <c r="G462" s="61"/>
      <c r="H462" s="61" t="s">
        <v>686</v>
      </c>
      <c r="I462" s="62" t="s">
        <v>687</v>
      </c>
      <c r="J462" s="53"/>
    </row>
    <row r="463" ht="24.75" customHeight="1">
      <c r="A463" s="54" t="s">
        <v>658</v>
      </c>
      <c r="B463" s="56" t="s">
        <v>704</v>
      </c>
      <c r="C463" s="56" t="s">
        <v>645</v>
      </c>
      <c r="D463" s="56" t="s">
        <v>678</v>
      </c>
      <c r="E463" s="56" t="s">
        <v>695</v>
      </c>
      <c r="F463" s="57" t="s">
        <v>250</v>
      </c>
      <c r="G463" s="61"/>
      <c r="H463" s="61" t="s">
        <v>346</v>
      </c>
      <c r="I463" s="62" t="s">
        <v>696</v>
      </c>
      <c r="J463" s="53"/>
    </row>
    <row r="464" ht="24.75" customHeight="1">
      <c r="A464" s="54" t="s">
        <v>658</v>
      </c>
      <c r="B464" s="56" t="s">
        <v>704</v>
      </c>
      <c r="C464" s="56" t="s">
        <v>645</v>
      </c>
      <c r="D464" s="56" t="s">
        <v>678</v>
      </c>
      <c r="E464" s="56" t="s">
        <v>685</v>
      </c>
      <c r="F464" s="57" t="s">
        <v>250</v>
      </c>
      <c r="G464" s="61"/>
      <c r="H464" s="61" t="s">
        <v>200</v>
      </c>
      <c r="I464" s="62" t="s">
        <v>689</v>
      </c>
      <c r="J464" s="53"/>
    </row>
    <row r="465" ht="24.75" hidden="1" customHeight="1">
      <c r="A465" s="54" t="s">
        <v>658</v>
      </c>
      <c r="B465" s="56" t="s">
        <v>705</v>
      </c>
      <c r="C465" s="56" t="s">
        <v>606</v>
      </c>
      <c r="D465" s="56" t="s">
        <v>660</v>
      </c>
      <c r="E465" s="56" t="s">
        <v>661</v>
      </c>
      <c r="F465" s="57" t="s">
        <v>34</v>
      </c>
      <c r="G465" s="61"/>
      <c r="H465" s="79"/>
      <c r="I465" s="62"/>
      <c r="J465" s="53"/>
    </row>
    <row r="466" ht="24.75" hidden="1" customHeight="1">
      <c r="A466" s="54" t="s">
        <v>658</v>
      </c>
      <c r="B466" s="56" t="s">
        <v>705</v>
      </c>
      <c r="C466" s="56" t="s">
        <v>606</v>
      </c>
      <c r="D466" s="56" t="s">
        <v>660</v>
      </c>
      <c r="E466" s="56" t="s">
        <v>662</v>
      </c>
      <c r="F466" s="57" t="s">
        <v>34</v>
      </c>
      <c r="G466" s="61"/>
      <c r="H466" s="61"/>
      <c r="I466" s="62"/>
      <c r="J466" s="53"/>
    </row>
    <row r="467" ht="24.75" hidden="1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663</v>
      </c>
      <c r="F467" s="57" t="s">
        <v>34</v>
      </c>
      <c r="G467" s="61"/>
      <c r="H467" s="61"/>
      <c r="I467" s="62"/>
      <c r="J467" s="53"/>
    </row>
    <row r="468" ht="24.75" hidden="1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664</v>
      </c>
      <c r="F468" s="57" t="s">
        <v>34</v>
      </c>
      <c r="G468" s="61"/>
      <c r="H468" s="79"/>
      <c r="I468" s="62"/>
      <c r="J468" s="53"/>
    </row>
    <row r="469" ht="24.75" hidden="1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665</v>
      </c>
      <c r="F469" s="57" t="s">
        <v>34</v>
      </c>
      <c r="G469" s="61"/>
      <c r="H469" s="79"/>
      <c r="I469" s="103"/>
      <c r="J469" s="53"/>
    </row>
    <row r="470" ht="24.75" hidden="1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614</v>
      </c>
      <c r="F470" s="57" t="s">
        <v>34</v>
      </c>
      <c r="G470" s="61"/>
      <c r="H470" s="79"/>
      <c r="I470" s="62"/>
      <c r="J470" s="53"/>
    </row>
    <row r="471" ht="24.75" hidden="1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666</v>
      </c>
      <c r="F471" s="57" t="s">
        <v>34</v>
      </c>
      <c r="G471" s="61"/>
      <c r="H471" s="79"/>
      <c r="I471" s="62"/>
      <c r="J471" s="53"/>
    </row>
    <row r="472" ht="24.75" hidden="1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667</v>
      </c>
      <c r="F472" s="57" t="s">
        <v>34</v>
      </c>
      <c r="G472" s="61"/>
      <c r="H472" s="61"/>
      <c r="I472" s="62"/>
      <c r="J472" s="53"/>
    </row>
    <row r="473" ht="24.75" hidden="1" customHeight="1">
      <c r="A473" s="54" t="s">
        <v>658</v>
      </c>
      <c r="B473" s="56" t="s">
        <v>705</v>
      </c>
      <c r="C473" s="56" t="s">
        <v>606</v>
      </c>
      <c r="D473" s="56" t="s">
        <v>660</v>
      </c>
      <c r="E473" s="56" t="s">
        <v>668</v>
      </c>
      <c r="F473" s="57" t="s">
        <v>154</v>
      </c>
      <c r="G473" s="61"/>
      <c r="H473" s="61"/>
      <c r="I473" s="62" t="s">
        <v>617</v>
      </c>
      <c r="J473" s="53"/>
    </row>
    <row r="474" ht="24.75" hidden="1" customHeight="1">
      <c r="A474" s="54" t="s">
        <v>658</v>
      </c>
      <c r="B474" s="56" t="s">
        <v>705</v>
      </c>
      <c r="C474" s="56" t="s">
        <v>606</v>
      </c>
      <c r="D474" s="56" t="s">
        <v>660</v>
      </c>
      <c r="E474" s="56" t="s">
        <v>669</v>
      </c>
      <c r="F474" s="57" t="s">
        <v>154</v>
      </c>
      <c r="G474" s="61"/>
      <c r="H474" s="61"/>
      <c r="I474" s="62" t="s">
        <v>617</v>
      </c>
      <c r="J474" s="53"/>
    </row>
    <row r="475" ht="24.75" hidden="1" customHeight="1">
      <c r="A475" s="54" t="s">
        <v>658</v>
      </c>
      <c r="B475" s="56" t="s">
        <v>705</v>
      </c>
      <c r="C475" s="56" t="s">
        <v>606</v>
      </c>
      <c r="D475" s="56" t="s">
        <v>660</v>
      </c>
      <c r="E475" s="56" t="s">
        <v>671</v>
      </c>
      <c r="F475" s="57" t="s">
        <v>154</v>
      </c>
      <c r="G475" s="61"/>
      <c r="H475" s="61"/>
      <c r="I475" s="62" t="s">
        <v>617</v>
      </c>
      <c r="J475" s="53"/>
    </row>
    <row r="476" ht="24.75" hidden="1" customHeight="1">
      <c r="A476" s="54" t="s">
        <v>658</v>
      </c>
      <c r="B476" s="56" t="s">
        <v>705</v>
      </c>
      <c r="C476" s="56" t="s">
        <v>606</v>
      </c>
      <c r="D476" s="56" t="s">
        <v>660</v>
      </c>
      <c r="E476" s="56" t="s">
        <v>672</v>
      </c>
      <c r="F476" s="57" t="s">
        <v>154</v>
      </c>
      <c r="G476" s="61"/>
      <c r="H476" s="61"/>
      <c r="I476" s="62" t="s">
        <v>617</v>
      </c>
      <c r="J476" s="53"/>
    </row>
    <row r="477" ht="24.75" hidden="1" customHeight="1">
      <c r="A477" s="54" t="s">
        <v>658</v>
      </c>
      <c r="B477" s="56" t="s">
        <v>705</v>
      </c>
      <c r="C477" s="56" t="s">
        <v>606</v>
      </c>
      <c r="D477" s="56" t="s">
        <v>660</v>
      </c>
      <c r="E477" s="56" t="s">
        <v>673</v>
      </c>
      <c r="F477" s="57" t="s">
        <v>154</v>
      </c>
      <c r="G477" s="61"/>
      <c r="H477" s="79"/>
      <c r="I477" s="62" t="s">
        <v>617</v>
      </c>
      <c r="J477" s="53"/>
    </row>
    <row r="478" ht="24.75" hidden="1" customHeight="1">
      <c r="A478" s="54" t="s">
        <v>658</v>
      </c>
      <c r="B478" s="56" t="s">
        <v>714</v>
      </c>
      <c r="C478" s="56" t="s">
        <v>606</v>
      </c>
      <c r="D478" s="56" t="s">
        <v>675</v>
      </c>
      <c r="E478" s="56" t="s">
        <v>676</v>
      </c>
      <c r="F478" s="57" t="s">
        <v>34</v>
      </c>
      <c r="G478" s="61"/>
      <c r="H478" s="79"/>
      <c r="I478" s="62"/>
      <c r="J478" s="53"/>
    </row>
    <row r="479" ht="24.75" hidden="1" customHeight="1">
      <c r="A479" s="54" t="s">
        <v>658</v>
      </c>
      <c r="B479" s="56" t="s">
        <v>715</v>
      </c>
      <c r="C479" s="56" t="s">
        <v>606</v>
      </c>
      <c r="D479" s="56" t="s">
        <v>716</v>
      </c>
      <c r="E479" s="56" t="s">
        <v>679</v>
      </c>
      <c r="F479" s="57" t="s">
        <v>34</v>
      </c>
      <c r="G479" s="61"/>
      <c r="H479" s="61" t="s">
        <v>197</v>
      </c>
      <c r="I479" s="62"/>
      <c r="J479" s="53"/>
    </row>
    <row r="480" ht="24.75" hidden="1" customHeight="1">
      <c r="A480" s="54" t="s">
        <v>658</v>
      </c>
      <c r="B480" s="56" t="s">
        <v>715</v>
      </c>
      <c r="C480" s="56" t="s">
        <v>606</v>
      </c>
      <c r="D480" s="56" t="s">
        <v>678</v>
      </c>
      <c r="E480" s="56" t="s">
        <v>680</v>
      </c>
      <c r="F480" s="57" t="s">
        <v>34</v>
      </c>
      <c r="G480" s="61"/>
      <c r="H480" s="79"/>
      <c r="I480" s="62"/>
      <c r="J480" s="53"/>
    </row>
    <row r="481" ht="24.75" hidden="1" customHeight="1">
      <c r="A481" s="54" t="s">
        <v>658</v>
      </c>
      <c r="B481" s="56" t="s">
        <v>715</v>
      </c>
      <c r="C481" s="56" t="s">
        <v>606</v>
      </c>
      <c r="D481" s="56" t="s">
        <v>716</v>
      </c>
      <c r="E481" s="56" t="s">
        <v>682</v>
      </c>
      <c r="F481" s="57" t="s">
        <v>34</v>
      </c>
      <c r="G481" s="61"/>
      <c r="H481" s="79"/>
      <c r="I481" s="62"/>
      <c r="J481" s="53"/>
    </row>
    <row r="482" ht="24.75" hidden="1" customHeight="1">
      <c r="A482" s="54" t="s">
        <v>658</v>
      </c>
      <c r="B482" s="56" t="s">
        <v>715</v>
      </c>
      <c r="C482" s="56" t="s">
        <v>606</v>
      </c>
      <c r="D482" s="56" t="s">
        <v>716</v>
      </c>
      <c r="E482" s="56" t="s">
        <v>683</v>
      </c>
      <c r="F482" s="57" t="s">
        <v>34</v>
      </c>
      <c r="G482" s="61"/>
      <c r="H482" s="79"/>
      <c r="I482" s="62"/>
      <c r="J482" s="53"/>
    </row>
    <row r="483" ht="24.75" customHeight="1">
      <c r="A483" s="54" t="s">
        <v>658</v>
      </c>
      <c r="B483" s="56" t="s">
        <v>715</v>
      </c>
      <c r="C483" s="56" t="s">
        <v>606</v>
      </c>
      <c r="D483" s="56" t="s">
        <v>716</v>
      </c>
      <c r="E483" s="56" t="s">
        <v>684</v>
      </c>
      <c r="F483" s="57" t="s">
        <v>250</v>
      </c>
      <c r="G483" s="61"/>
      <c r="H483" s="61" t="s">
        <v>686</v>
      </c>
      <c r="I483" s="62" t="s">
        <v>687</v>
      </c>
      <c r="J483" s="53"/>
    </row>
    <row r="484" ht="24.75" customHeight="1">
      <c r="A484" s="54" t="s">
        <v>658</v>
      </c>
      <c r="B484" s="56" t="s">
        <v>715</v>
      </c>
      <c r="C484" s="56" t="s">
        <v>606</v>
      </c>
      <c r="D484" s="56" t="s">
        <v>716</v>
      </c>
      <c r="E484" s="56" t="s">
        <v>695</v>
      </c>
      <c r="F484" s="57" t="s">
        <v>250</v>
      </c>
      <c r="G484" s="61"/>
      <c r="H484" s="61" t="s">
        <v>346</v>
      </c>
      <c r="I484" s="62" t="s">
        <v>696</v>
      </c>
      <c r="J484" s="53"/>
    </row>
    <row r="485" ht="24.75" customHeight="1">
      <c r="A485" s="54" t="s">
        <v>658</v>
      </c>
      <c r="B485" s="56" t="s">
        <v>715</v>
      </c>
      <c r="C485" s="56" t="s">
        <v>606</v>
      </c>
      <c r="D485" s="56" t="s">
        <v>716</v>
      </c>
      <c r="E485" s="56" t="s">
        <v>685</v>
      </c>
      <c r="F485" s="57" t="s">
        <v>250</v>
      </c>
      <c r="G485" s="61"/>
      <c r="H485" s="61" t="s">
        <v>200</v>
      </c>
      <c r="I485" s="62" t="s">
        <v>689</v>
      </c>
      <c r="J485" s="53"/>
    </row>
    <row r="486" ht="24.75" hidden="1" customHeight="1">
      <c r="A486" s="54" t="s">
        <v>658</v>
      </c>
      <c r="B486" s="56" t="s">
        <v>717</v>
      </c>
      <c r="C486" s="56" t="s">
        <v>718</v>
      </c>
      <c r="D486" s="56" t="s">
        <v>719</v>
      </c>
      <c r="E486" s="56" t="s">
        <v>239</v>
      </c>
      <c r="F486" s="57" t="s">
        <v>154</v>
      </c>
      <c r="G486" s="61"/>
      <c r="H486" s="79"/>
      <c r="I486" s="62" t="s">
        <v>207</v>
      </c>
      <c r="J486" s="53"/>
    </row>
    <row r="487" ht="24.75" hidden="1" customHeight="1">
      <c r="A487" s="54" t="s">
        <v>658</v>
      </c>
      <c r="B487" s="56" t="s">
        <v>720</v>
      </c>
      <c r="C487" s="56" t="s">
        <v>718</v>
      </c>
      <c r="D487" s="56" t="s">
        <v>721</v>
      </c>
      <c r="E487" s="56" t="s">
        <v>722</v>
      </c>
      <c r="F487" s="57" t="s">
        <v>154</v>
      </c>
      <c r="G487" s="61"/>
      <c r="H487" s="79"/>
      <c r="I487" s="62"/>
      <c r="J487" s="53"/>
    </row>
    <row r="488" ht="24.75" hidden="1" customHeight="1">
      <c r="A488" s="54" t="s">
        <v>658</v>
      </c>
      <c r="B488" s="56" t="s">
        <v>720</v>
      </c>
      <c r="C488" s="56" t="s">
        <v>718</v>
      </c>
      <c r="D488" s="56" t="s">
        <v>721</v>
      </c>
      <c r="E488" s="56" t="s">
        <v>723</v>
      </c>
      <c r="F488" s="57" t="s">
        <v>154</v>
      </c>
      <c r="G488" s="61"/>
      <c r="H488" s="79"/>
      <c r="I488" s="62"/>
      <c r="J488" s="53"/>
    </row>
    <row r="489" ht="24.75" hidden="1" customHeight="1">
      <c r="A489" s="54" t="s">
        <v>658</v>
      </c>
      <c r="B489" s="56" t="s">
        <v>724</v>
      </c>
      <c r="C489" s="56" t="s">
        <v>718</v>
      </c>
      <c r="D489" s="56" t="s">
        <v>725</v>
      </c>
      <c r="E489" s="56" t="s">
        <v>239</v>
      </c>
      <c r="F489" s="57" t="s">
        <v>154</v>
      </c>
      <c r="G489" s="61"/>
      <c r="H489" s="79"/>
      <c r="I489" s="62" t="s">
        <v>207</v>
      </c>
      <c r="J489" s="53"/>
    </row>
    <row r="490" ht="24.75" hidden="1" customHeight="1">
      <c r="A490" s="54" t="s">
        <v>658</v>
      </c>
      <c r="B490" s="56" t="s">
        <v>720</v>
      </c>
      <c r="C490" s="56" t="s">
        <v>718</v>
      </c>
      <c r="D490" s="56" t="s">
        <v>728</v>
      </c>
      <c r="E490" s="56" t="s">
        <v>722</v>
      </c>
      <c r="F490" s="57" t="s">
        <v>154</v>
      </c>
      <c r="G490" s="61"/>
      <c r="H490" s="79"/>
      <c r="I490" s="62"/>
      <c r="J490" s="53"/>
    </row>
    <row r="491" ht="24.75" hidden="1" customHeight="1">
      <c r="A491" s="54" t="s">
        <v>658</v>
      </c>
      <c r="B491" s="56" t="s">
        <v>720</v>
      </c>
      <c r="C491" s="56" t="s">
        <v>718</v>
      </c>
      <c r="D491" s="56" t="s">
        <v>728</v>
      </c>
      <c r="E491" s="56" t="s">
        <v>723</v>
      </c>
      <c r="F491" s="57" t="s">
        <v>154</v>
      </c>
      <c r="G491" s="61"/>
      <c r="H491" s="79"/>
      <c r="I491" s="62"/>
      <c r="J491" s="53"/>
    </row>
    <row r="492" ht="24.75" hidden="1" customHeight="1">
      <c r="A492" s="54" t="s">
        <v>729</v>
      </c>
      <c r="B492" s="56" t="s">
        <v>730</v>
      </c>
      <c r="C492" s="56" t="s">
        <v>731</v>
      </c>
      <c r="D492" s="56" t="s">
        <v>732</v>
      </c>
      <c r="E492" s="56" t="s">
        <v>167</v>
      </c>
      <c r="F492" s="57" t="s">
        <v>154</v>
      </c>
      <c r="G492" s="61"/>
      <c r="H492" s="61"/>
      <c r="I492" s="62"/>
      <c r="J492" s="53"/>
    </row>
    <row r="493" ht="24.75" hidden="1" customHeight="1">
      <c r="A493" s="54" t="s">
        <v>729</v>
      </c>
      <c r="B493" s="56" t="s">
        <v>730</v>
      </c>
      <c r="C493" s="56" t="s">
        <v>731</v>
      </c>
      <c r="D493" s="56" t="s">
        <v>732</v>
      </c>
      <c r="E493" s="56" t="s">
        <v>733</v>
      </c>
      <c r="F493" s="57" t="s">
        <v>154</v>
      </c>
      <c r="G493" s="61"/>
      <c r="H493" s="61"/>
      <c r="I493" s="62"/>
      <c r="J493" s="53"/>
    </row>
    <row r="494" ht="24.75" hidden="1" customHeight="1">
      <c r="A494" s="54" t="s">
        <v>729</v>
      </c>
      <c r="B494" s="56" t="s">
        <v>730</v>
      </c>
      <c r="C494" s="56" t="s">
        <v>731</v>
      </c>
      <c r="D494" s="56" t="s">
        <v>732</v>
      </c>
      <c r="E494" s="56" t="s">
        <v>176</v>
      </c>
      <c r="F494" s="57" t="s">
        <v>154</v>
      </c>
      <c r="G494" s="61"/>
      <c r="H494" s="61"/>
      <c r="I494" s="62"/>
      <c r="J494" s="53"/>
    </row>
    <row r="495" ht="24.75" hidden="1" customHeight="1">
      <c r="A495" s="54" t="s">
        <v>729</v>
      </c>
      <c r="B495" s="56" t="s">
        <v>734</v>
      </c>
      <c r="C495" s="56" t="s">
        <v>731</v>
      </c>
      <c r="D495" s="56" t="s">
        <v>735</v>
      </c>
      <c r="E495" s="56" t="s">
        <v>167</v>
      </c>
      <c r="F495" s="57" t="s">
        <v>154</v>
      </c>
      <c r="G495" s="61"/>
      <c r="H495" s="61"/>
      <c r="I495" s="62"/>
      <c r="J495" s="53"/>
    </row>
    <row r="496" ht="24.75" hidden="1" customHeight="1">
      <c r="A496" s="54" t="s">
        <v>729</v>
      </c>
      <c r="B496" s="56" t="s">
        <v>734</v>
      </c>
      <c r="C496" s="56" t="s">
        <v>731</v>
      </c>
      <c r="D496" s="56" t="s">
        <v>735</v>
      </c>
      <c r="E496" s="56" t="s">
        <v>733</v>
      </c>
      <c r="F496" s="57" t="s">
        <v>154</v>
      </c>
      <c r="G496" s="61"/>
      <c r="H496" s="61"/>
      <c r="I496" s="62"/>
      <c r="J496" s="53"/>
    </row>
    <row r="497" ht="24.75" hidden="1" customHeight="1">
      <c r="A497" s="54" t="s">
        <v>729</v>
      </c>
      <c r="B497" s="56" t="s">
        <v>734</v>
      </c>
      <c r="C497" s="56" t="s">
        <v>731</v>
      </c>
      <c r="D497" s="56" t="s">
        <v>735</v>
      </c>
      <c r="E497" s="56" t="s">
        <v>176</v>
      </c>
      <c r="F497" s="57" t="s">
        <v>154</v>
      </c>
      <c r="G497" s="61"/>
      <c r="H497" s="61"/>
      <c r="I497" s="62"/>
      <c r="J497" s="53"/>
    </row>
    <row r="498" ht="24.75" hidden="1" customHeight="1">
      <c r="A498" s="54" t="s">
        <v>729</v>
      </c>
      <c r="B498" s="56" t="s">
        <v>736</v>
      </c>
      <c r="C498" s="56" t="s">
        <v>731</v>
      </c>
      <c r="D498" s="56" t="s">
        <v>737</v>
      </c>
      <c r="E498" s="56" t="s">
        <v>167</v>
      </c>
      <c r="F498" s="57" t="s">
        <v>154</v>
      </c>
      <c r="G498" s="61"/>
      <c r="H498" s="61"/>
      <c r="I498" s="62"/>
      <c r="J498" s="53"/>
    </row>
    <row r="499" ht="24.75" hidden="1" customHeight="1">
      <c r="A499" s="54" t="s">
        <v>729</v>
      </c>
      <c r="B499" s="56" t="s">
        <v>736</v>
      </c>
      <c r="C499" s="56" t="s">
        <v>731</v>
      </c>
      <c r="D499" s="56" t="s">
        <v>737</v>
      </c>
      <c r="E499" s="56" t="s">
        <v>733</v>
      </c>
      <c r="F499" s="57" t="s">
        <v>154</v>
      </c>
      <c r="G499" s="61"/>
      <c r="H499" s="61"/>
      <c r="I499" s="62"/>
      <c r="J499" s="53"/>
    </row>
    <row r="500" ht="24.75" hidden="1" customHeight="1">
      <c r="A500" s="54" t="s">
        <v>729</v>
      </c>
      <c r="B500" s="56" t="s">
        <v>736</v>
      </c>
      <c r="C500" s="56" t="s">
        <v>731</v>
      </c>
      <c r="D500" s="56" t="s">
        <v>737</v>
      </c>
      <c r="E500" s="56" t="s">
        <v>176</v>
      </c>
      <c r="F500" s="57" t="s">
        <v>154</v>
      </c>
      <c r="G500" s="61"/>
      <c r="H500" s="61"/>
      <c r="I500" s="62"/>
      <c r="J500" s="53"/>
    </row>
    <row r="501" ht="24.75" hidden="1" customHeight="1">
      <c r="A501" s="54" t="s">
        <v>729</v>
      </c>
      <c r="B501" s="56" t="s">
        <v>738</v>
      </c>
      <c r="C501" s="56" t="s">
        <v>731</v>
      </c>
      <c r="D501" s="56" t="s">
        <v>175</v>
      </c>
      <c r="E501" s="56" t="s">
        <v>163</v>
      </c>
      <c r="F501" s="57" t="s">
        <v>154</v>
      </c>
      <c r="G501" s="61"/>
      <c r="H501" s="61"/>
      <c r="I501" s="62"/>
      <c r="J501" s="53"/>
    </row>
    <row r="502" ht="24.75" hidden="1" customHeight="1">
      <c r="A502" s="54" t="s">
        <v>729</v>
      </c>
      <c r="B502" s="56" t="s">
        <v>738</v>
      </c>
      <c r="C502" s="56" t="s">
        <v>731</v>
      </c>
      <c r="D502" s="56" t="s">
        <v>175</v>
      </c>
      <c r="E502" s="56" t="s">
        <v>176</v>
      </c>
      <c r="F502" s="57" t="s">
        <v>154</v>
      </c>
      <c r="G502" s="61"/>
      <c r="H502" s="61"/>
      <c r="I502" s="62"/>
      <c r="J502" s="53"/>
    </row>
    <row r="503" ht="24.75" hidden="1" customHeight="1">
      <c r="A503" s="54" t="s">
        <v>729</v>
      </c>
      <c r="B503" s="56" t="s">
        <v>739</v>
      </c>
      <c r="C503" s="56" t="s">
        <v>731</v>
      </c>
      <c r="D503" s="56" t="s">
        <v>186</v>
      </c>
      <c r="E503" s="56" t="s">
        <v>163</v>
      </c>
      <c r="F503" s="57" t="s">
        <v>154</v>
      </c>
      <c r="G503" s="61"/>
      <c r="H503" s="61"/>
      <c r="I503" s="62"/>
      <c r="J503" s="53"/>
    </row>
    <row r="504" ht="24.75" hidden="1" customHeight="1">
      <c r="A504" s="54" t="s">
        <v>729</v>
      </c>
      <c r="B504" s="56" t="s">
        <v>739</v>
      </c>
      <c r="C504" s="56" t="s">
        <v>731</v>
      </c>
      <c r="D504" s="56" t="s">
        <v>186</v>
      </c>
      <c r="E504" s="56" t="s">
        <v>176</v>
      </c>
      <c r="F504" s="57" t="s">
        <v>154</v>
      </c>
      <c r="G504" s="61"/>
      <c r="H504" s="61"/>
      <c r="I504" s="62"/>
      <c r="J504" s="53"/>
    </row>
    <row r="505" ht="24.75" hidden="1" customHeight="1">
      <c r="A505" s="54" t="s">
        <v>729</v>
      </c>
      <c r="B505" s="56" t="s">
        <v>740</v>
      </c>
      <c r="C505" s="56" t="s">
        <v>731</v>
      </c>
      <c r="D505" s="56" t="s">
        <v>183</v>
      </c>
      <c r="E505" s="56" t="s">
        <v>163</v>
      </c>
      <c r="F505" s="57" t="s">
        <v>154</v>
      </c>
      <c r="G505" s="61"/>
      <c r="H505" s="61"/>
      <c r="I505" s="62"/>
      <c r="J505" s="53"/>
    </row>
    <row r="506" ht="24.75" hidden="1" customHeight="1">
      <c r="A506" s="54" t="s">
        <v>729</v>
      </c>
      <c r="B506" s="56" t="s">
        <v>740</v>
      </c>
      <c r="C506" s="56" t="s">
        <v>731</v>
      </c>
      <c r="D506" s="56" t="s">
        <v>183</v>
      </c>
      <c r="E506" s="56" t="s">
        <v>176</v>
      </c>
      <c r="F506" s="57" t="s">
        <v>154</v>
      </c>
      <c r="G506" s="61"/>
      <c r="H506" s="61"/>
      <c r="I506" s="62"/>
      <c r="J506" s="53"/>
    </row>
    <row r="507" ht="24.75" hidden="1" customHeight="1">
      <c r="A507" s="54" t="s">
        <v>741</v>
      </c>
      <c r="B507" s="56" t="s">
        <v>742</v>
      </c>
      <c r="C507" s="56" t="s">
        <v>405</v>
      </c>
      <c r="D507" s="56" t="s">
        <v>743</v>
      </c>
      <c r="E507" s="56" t="s">
        <v>409</v>
      </c>
      <c r="F507" s="57" t="s">
        <v>154</v>
      </c>
      <c r="G507" s="61"/>
      <c r="H507" s="61"/>
      <c r="I507" s="62"/>
      <c r="J507" s="53"/>
    </row>
    <row r="508" ht="24.75" hidden="1" customHeight="1">
      <c r="A508" s="54" t="s">
        <v>741</v>
      </c>
      <c r="B508" s="56" t="s">
        <v>744</v>
      </c>
      <c r="C508" s="56" t="s">
        <v>745</v>
      </c>
      <c r="D508" s="56" t="s">
        <v>746</v>
      </c>
      <c r="E508" s="56" t="s">
        <v>747</v>
      </c>
      <c r="F508" s="57" t="s">
        <v>34</v>
      </c>
      <c r="G508" s="61"/>
      <c r="H508" s="61"/>
      <c r="I508" s="62"/>
      <c r="J508" s="53"/>
    </row>
    <row r="509" ht="24.75" hidden="1" customHeight="1">
      <c r="A509" s="54" t="s">
        <v>741</v>
      </c>
      <c r="B509" s="56" t="s">
        <v>744</v>
      </c>
      <c r="C509" s="56" t="s">
        <v>745</v>
      </c>
      <c r="D509" s="56" t="s">
        <v>746</v>
      </c>
      <c r="E509" s="56" t="s">
        <v>748</v>
      </c>
      <c r="F509" s="57" t="s">
        <v>154</v>
      </c>
      <c r="G509" s="61"/>
      <c r="H509" s="61"/>
      <c r="I509" s="62"/>
      <c r="J509" s="53"/>
    </row>
    <row r="510" ht="24.75" hidden="1" customHeight="1">
      <c r="A510" s="54" t="s">
        <v>741</v>
      </c>
      <c r="B510" s="56" t="s">
        <v>749</v>
      </c>
      <c r="C510" s="56" t="s">
        <v>745</v>
      </c>
      <c r="D510" s="56" t="s">
        <v>750</v>
      </c>
      <c r="E510" s="56" t="s">
        <v>747</v>
      </c>
      <c r="F510" s="57" t="s">
        <v>34</v>
      </c>
      <c r="G510" s="61"/>
      <c r="H510" s="61"/>
      <c r="I510" s="62" t="s">
        <v>617</v>
      </c>
      <c r="J510" s="53"/>
    </row>
    <row r="511" ht="24.75" hidden="1" customHeight="1">
      <c r="A511" s="54" t="s">
        <v>741</v>
      </c>
      <c r="B511" s="56" t="s">
        <v>749</v>
      </c>
      <c r="C511" s="56" t="s">
        <v>745</v>
      </c>
      <c r="D511" s="56" t="s">
        <v>750</v>
      </c>
      <c r="E511" s="56" t="s">
        <v>748</v>
      </c>
      <c r="F511" s="57" t="s">
        <v>154</v>
      </c>
      <c r="G511" s="61"/>
      <c r="H511" s="61"/>
      <c r="I511" s="62" t="s">
        <v>617</v>
      </c>
      <c r="J511" s="53"/>
    </row>
    <row r="512" ht="24.75" hidden="1" customHeight="1">
      <c r="A512" s="54" t="s">
        <v>741</v>
      </c>
      <c r="B512" s="56" t="s">
        <v>751</v>
      </c>
      <c r="C512" s="56" t="s">
        <v>610</v>
      </c>
      <c r="D512" s="56" t="s">
        <v>752</v>
      </c>
      <c r="E512" s="56" t="s">
        <v>753</v>
      </c>
      <c r="F512" s="57" t="s">
        <v>154</v>
      </c>
      <c r="G512" s="61"/>
      <c r="H512" s="61"/>
      <c r="I512" s="62" t="s">
        <v>617</v>
      </c>
      <c r="J512" s="53"/>
    </row>
    <row r="513" ht="24.75" hidden="1" customHeight="1">
      <c r="A513" s="54" t="s">
        <v>741</v>
      </c>
      <c r="B513" s="56" t="s">
        <v>751</v>
      </c>
      <c r="C513" s="56" t="s">
        <v>610</v>
      </c>
      <c r="D513" s="56" t="s">
        <v>752</v>
      </c>
      <c r="E513" s="56" t="s">
        <v>754</v>
      </c>
      <c r="F513" s="57" t="s">
        <v>154</v>
      </c>
      <c r="G513" s="61"/>
      <c r="H513" s="61"/>
      <c r="I513" s="62" t="s">
        <v>617</v>
      </c>
      <c r="J513" s="53"/>
    </row>
    <row r="514" ht="24.75" hidden="1" customHeight="1">
      <c r="A514" s="54" t="s">
        <v>741</v>
      </c>
      <c r="B514" s="56" t="s">
        <v>751</v>
      </c>
      <c r="C514" s="56" t="s">
        <v>610</v>
      </c>
      <c r="D514" s="56" t="s">
        <v>752</v>
      </c>
      <c r="E514" s="56" t="s">
        <v>755</v>
      </c>
      <c r="F514" s="57" t="s">
        <v>154</v>
      </c>
      <c r="G514" s="61"/>
      <c r="H514" s="61"/>
      <c r="I514" s="62" t="s">
        <v>617</v>
      </c>
      <c r="J514" s="53"/>
    </row>
    <row r="515" ht="24.75" hidden="1" customHeight="1">
      <c r="A515" s="54" t="s">
        <v>741</v>
      </c>
      <c r="B515" s="56" t="s">
        <v>756</v>
      </c>
      <c r="C515" s="56" t="s">
        <v>624</v>
      </c>
      <c r="D515" s="56" t="s">
        <v>752</v>
      </c>
      <c r="E515" s="56" t="s">
        <v>753</v>
      </c>
      <c r="F515" s="57" t="s">
        <v>154</v>
      </c>
      <c r="G515" s="61"/>
      <c r="H515" s="61"/>
      <c r="I515" s="62" t="s">
        <v>617</v>
      </c>
      <c r="J515" s="53"/>
    </row>
    <row r="516" ht="24.75" hidden="1" customHeight="1">
      <c r="A516" s="54" t="s">
        <v>741</v>
      </c>
      <c r="B516" s="56" t="s">
        <v>756</v>
      </c>
      <c r="C516" s="56" t="s">
        <v>624</v>
      </c>
      <c r="D516" s="56" t="s">
        <v>752</v>
      </c>
      <c r="E516" s="56" t="s">
        <v>754</v>
      </c>
      <c r="F516" s="57" t="s">
        <v>154</v>
      </c>
      <c r="G516" s="61"/>
      <c r="H516" s="61"/>
      <c r="I516" s="62" t="s">
        <v>617</v>
      </c>
      <c r="J516" s="53"/>
    </row>
    <row r="517" ht="24.75" hidden="1" customHeight="1">
      <c r="A517" s="54" t="s">
        <v>741</v>
      </c>
      <c r="B517" s="56" t="s">
        <v>756</v>
      </c>
      <c r="C517" s="56" t="s">
        <v>624</v>
      </c>
      <c r="D517" s="56" t="s">
        <v>752</v>
      </c>
      <c r="E517" s="56" t="s">
        <v>755</v>
      </c>
      <c r="F517" s="57" t="s">
        <v>154</v>
      </c>
      <c r="G517" s="61"/>
      <c r="H517" s="61"/>
      <c r="I517" s="62" t="s">
        <v>617</v>
      </c>
      <c r="J517" s="53"/>
    </row>
    <row r="518" ht="24.75" customHeight="1">
      <c r="A518" s="54" t="s">
        <v>741</v>
      </c>
      <c r="B518" s="56" t="s">
        <v>757</v>
      </c>
      <c r="C518" s="56" t="s">
        <v>627</v>
      </c>
      <c r="D518" s="56" t="s">
        <v>752</v>
      </c>
      <c r="E518" s="56" t="s">
        <v>753</v>
      </c>
      <c r="F518" s="57" t="s">
        <v>250</v>
      </c>
      <c r="G518" s="61"/>
      <c r="H518" s="61"/>
      <c r="I518" s="60" t="s">
        <v>88</v>
      </c>
      <c r="J518" s="53"/>
    </row>
    <row r="519" ht="24.75" customHeight="1">
      <c r="A519" s="54" t="s">
        <v>741</v>
      </c>
      <c r="B519" s="56" t="s">
        <v>757</v>
      </c>
      <c r="C519" s="56" t="s">
        <v>627</v>
      </c>
      <c r="D519" s="56" t="s">
        <v>752</v>
      </c>
      <c r="E519" s="56" t="s">
        <v>754</v>
      </c>
      <c r="F519" s="57" t="s">
        <v>250</v>
      </c>
      <c r="G519" s="61"/>
      <c r="H519" s="61"/>
      <c r="I519" s="60" t="s">
        <v>88</v>
      </c>
      <c r="J519" s="53"/>
    </row>
    <row r="520" ht="24.75" customHeight="1">
      <c r="A520" s="54" t="s">
        <v>741</v>
      </c>
      <c r="B520" s="56" t="s">
        <v>757</v>
      </c>
      <c r="C520" s="56" t="s">
        <v>627</v>
      </c>
      <c r="D520" s="56" t="s">
        <v>752</v>
      </c>
      <c r="E520" s="56" t="s">
        <v>755</v>
      </c>
      <c r="F520" s="57" t="s">
        <v>250</v>
      </c>
      <c r="G520" s="61"/>
      <c r="H520" s="61"/>
      <c r="I520" s="60" t="s">
        <v>88</v>
      </c>
      <c r="J520" s="53"/>
    </row>
    <row r="521" ht="24.75" customHeight="1">
      <c r="A521" s="54" t="s">
        <v>741</v>
      </c>
      <c r="B521" s="56" t="s">
        <v>758</v>
      </c>
      <c r="C521" s="56" t="s">
        <v>640</v>
      </c>
      <c r="D521" s="56" t="s">
        <v>752</v>
      </c>
      <c r="E521" s="56" t="s">
        <v>753</v>
      </c>
      <c r="F521" s="57" t="s">
        <v>250</v>
      </c>
      <c r="G521" s="61"/>
      <c r="H521" s="61"/>
      <c r="I521" s="60" t="s">
        <v>88</v>
      </c>
      <c r="J521" s="53"/>
    </row>
    <row r="522" ht="24.75" customHeight="1">
      <c r="A522" s="54" t="s">
        <v>741</v>
      </c>
      <c r="B522" s="56" t="s">
        <v>758</v>
      </c>
      <c r="C522" s="56" t="s">
        <v>640</v>
      </c>
      <c r="D522" s="56" t="s">
        <v>752</v>
      </c>
      <c r="E522" s="56" t="s">
        <v>754</v>
      </c>
      <c r="F522" s="57" t="s">
        <v>250</v>
      </c>
      <c r="G522" s="61"/>
      <c r="H522" s="61"/>
      <c r="I522" s="60" t="s">
        <v>88</v>
      </c>
      <c r="J522" s="53"/>
    </row>
    <row r="523" ht="24.75" customHeight="1">
      <c r="A523" s="54" t="s">
        <v>741</v>
      </c>
      <c r="B523" s="56" t="s">
        <v>758</v>
      </c>
      <c r="C523" s="56" t="s">
        <v>640</v>
      </c>
      <c r="D523" s="56" t="s">
        <v>752</v>
      </c>
      <c r="E523" s="56" t="s">
        <v>755</v>
      </c>
      <c r="F523" s="57" t="s">
        <v>250</v>
      </c>
      <c r="G523" s="61"/>
      <c r="H523" s="61"/>
      <c r="I523" s="60" t="s">
        <v>88</v>
      </c>
      <c r="J523" s="53"/>
    </row>
    <row r="524" ht="24.75" customHeight="1">
      <c r="A524" s="54" t="s">
        <v>741</v>
      </c>
      <c r="B524" s="56" t="s">
        <v>759</v>
      </c>
      <c r="C524" s="56" t="s">
        <v>645</v>
      </c>
      <c r="D524" s="56" t="s">
        <v>752</v>
      </c>
      <c r="E524" s="56" t="s">
        <v>753</v>
      </c>
      <c r="F524" s="57" t="s">
        <v>250</v>
      </c>
      <c r="G524" s="61"/>
      <c r="H524" s="61"/>
      <c r="I524" s="60" t="s">
        <v>88</v>
      </c>
      <c r="J524" s="53"/>
    </row>
    <row r="525" ht="24.75" customHeight="1">
      <c r="A525" s="54" t="s">
        <v>741</v>
      </c>
      <c r="B525" s="56" t="s">
        <v>759</v>
      </c>
      <c r="C525" s="56" t="s">
        <v>645</v>
      </c>
      <c r="D525" s="56" t="s">
        <v>752</v>
      </c>
      <c r="E525" s="56" t="s">
        <v>754</v>
      </c>
      <c r="F525" s="57" t="s">
        <v>250</v>
      </c>
      <c r="G525" s="61"/>
      <c r="H525" s="61"/>
      <c r="I525" s="60" t="s">
        <v>88</v>
      </c>
      <c r="J525" s="53"/>
    </row>
    <row r="526" ht="24.75" customHeight="1">
      <c r="A526" s="54" t="s">
        <v>741</v>
      </c>
      <c r="B526" s="56" t="s">
        <v>759</v>
      </c>
      <c r="C526" s="56" t="s">
        <v>645</v>
      </c>
      <c r="D526" s="56" t="s">
        <v>752</v>
      </c>
      <c r="E526" s="56" t="s">
        <v>755</v>
      </c>
      <c r="F526" s="57" t="s">
        <v>250</v>
      </c>
      <c r="G526" s="61"/>
      <c r="H526" s="61"/>
      <c r="I526" s="60" t="s">
        <v>88</v>
      </c>
      <c r="J526" s="53"/>
    </row>
    <row r="527" ht="24.75" customHeight="1">
      <c r="A527" s="54" t="s">
        <v>741</v>
      </c>
      <c r="B527" s="56" t="s">
        <v>760</v>
      </c>
      <c r="C527" s="56" t="s">
        <v>606</v>
      </c>
      <c r="D527" s="56" t="s">
        <v>752</v>
      </c>
      <c r="E527" s="56" t="s">
        <v>753</v>
      </c>
      <c r="F527" s="57" t="s">
        <v>250</v>
      </c>
      <c r="G527" s="61"/>
      <c r="H527" s="61"/>
      <c r="I527" s="60" t="s">
        <v>88</v>
      </c>
      <c r="J527" s="53"/>
    </row>
    <row r="528" ht="24.75" customHeight="1">
      <c r="A528" s="54" t="s">
        <v>741</v>
      </c>
      <c r="B528" s="56" t="s">
        <v>760</v>
      </c>
      <c r="C528" s="56" t="s">
        <v>606</v>
      </c>
      <c r="D528" s="56" t="s">
        <v>752</v>
      </c>
      <c r="E528" s="56" t="s">
        <v>754</v>
      </c>
      <c r="F528" s="57" t="s">
        <v>250</v>
      </c>
      <c r="G528" s="61"/>
      <c r="H528" s="61"/>
      <c r="I528" s="60" t="s">
        <v>88</v>
      </c>
      <c r="J528" s="53"/>
    </row>
    <row r="529" ht="24.75" customHeight="1">
      <c r="A529" s="54" t="s">
        <v>741</v>
      </c>
      <c r="B529" s="56" t="s">
        <v>760</v>
      </c>
      <c r="C529" s="56" t="s">
        <v>606</v>
      </c>
      <c r="D529" s="56" t="s">
        <v>752</v>
      </c>
      <c r="E529" s="56" t="s">
        <v>755</v>
      </c>
      <c r="F529" s="57" t="s">
        <v>250</v>
      </c>
      <c r="G529" s="61"/>
      <c r="H529" s="61"/>
      <c r="I529" s="60" t="s">
        <v>88</v>
      </c>
      <c r="J529" s="53"/>
    </row>
    <row r="530" ht="24.75" hidden="1" customHeight="1">
      <c r="A530" s="54" t="s">
        <v>761</v>
      </c>
      <c r="B530" s="56" t="s">
        <v>762</v>
      </c>
      <c r="C530" s="56" t="s">
        <v>763</v>
      </c>
      <c r="D530" s="56" t="s">
        <v>764</v>
      </c>
      <c r="E530" s="56" t="s">
        <v>195</v>
      </c>
      <c r="F530" s="57" t="s">
        <v>34</v>
      </c>
      <c r="G530" s="61"/>
      <c r="H530" s="61" t="s">
        <v>197</v>
      </c>
      <c r="I530" s="62"/>
      <c r="J530" s="53"/>
    </row>
    <row r="531" ht="24.75" customHeight="1">
      <c r="A531" s="54" t="s">
        <v>761</v>
      </c>
      <c r="B531" s="56" t="s">
        <v>762</v>
      </c>
      <c r="C531" s="56" t="s">
        <v>763</v>
      </c>
      <c r="D531" s="56" t="s">
        <v>764</v>
      </c>
      <c r="E531" s="56" t="s">
        <v>196</v>
      </c>
      <c r="F531" s="57" t="s">
        <v>250</v>
      </c>
      <c r="G531" s="61"/>
      <c r="H531" s="61" t="s">
        <v>200</v>
      </c>
      <c r="I531" s="62" t="s">
        <v>201</v>
      </c>
      <c r="J531" s="53"/>
    </row>
    <row r="532" ht="24.75" hidden="1" customHeight="1">
      <c r="A532" s="54" t="s">
        <v>761</v>
      </c>
      <c r="B532" s="56" t="s">
        <v>762</v>
      </c>
      <c r="C532" s="56" t="s">
        <v>763</v>
      </c>
      <c r="D532" s="56" t="s">
        <v>764</v>
      </c>
      <c r="E532" s="56" t="s">
        <v>191</v>
      </c>
      <c r="F532" s="57" t="s">
        <v>192</v>
      </c>
      <c r="G532" s="61"/>
      <c r="H532" s="61"/>
      <c r="I532" s="62"/>
      <c r="J532" s="53"/>
    </row>
    <row r="533" ht="24.75" hidden="1" customHeight="1">
      <c r="A533" s="54" t="s">
        <v>761</v>
      </c>
      <c r="B533" s="56" t="s">
        <v>762</v>
      </c>
      <c r="C533" s="56" t="s">
        <v>763</v>
      </c>
      <c r="D533" s="56" t="s">
        <v>764</v>
      </c>
      <c r="E533" s="56" t="s">
        <v>194</v>
      </c>
      <c r="F533" s="57" t="s">
        <v>192</v>
      </c>
      <c r="G533" s="61"/>
      <c r="H533" s="61"/>
      <c r="I533" s="62"/>
      <c r="J533" s="53"/>
    </row>
    <row r="534" ht="24.75" customHeight="1">
      <c r="A534" s="54" t="s">
        <v>761</v>
      </c>
      <c r="B534" s="56" t="s">
        <v>765</v>
      </c>
      <c r="C534" s="56" t="s">
        <v>766</v>
      </c>
      <c r="D534" s="56" t="s">
        <v>767</v>
      </c>
      <c r="E534" s="56" t="s">
        <v>768</v>
      </c>
      <c r="F534" s="57" t="s">
        <v>250</v>
      </c>
      <c r="G534" s="61"/>
      <c r="H534" s="61" t="s">
        <v>769</v>
      </c>
      <c r="I534" s="62" t="s">
        <v>770</v>
      </c>
      <c r="J534" s="53"/>
    </row>
    <row r="535" ht="24.75" customHeight="1">
      <c r="A535" s="54" t="s">
        <v>761</v>
      </c>
      <c r="B535" s="56" t="s">
        <v>765</v>
      </c>
      <c r="C535" s="56" t="s">
        <v>766</v>
      </c>
      <c r="D535" s="56" t="s">
        <v>767</v>
      </c>
      <c r="E535" s="56" t="s">
        <v>771</v>
      </c>
      <c r="F535" s="57" t="s">
        <v>250</v>
      </c>
      <c r="G535" s="61"/>
      <c r="H535" s="61" t="s">
        <v>769</v>
      </c>
      <c r="I535" s="62" t="s">
        <v>772</v>
      </c>
      <c r="J535" s="53"/>
    </row>
    <row r="536" ht="24.75" hidden="1" customHeight="1">
      <c r="A536" s="54" t="s">
        <v>761</v>
      </c>
      <c r="B536" s="56" t="s">
        <v>765</v>
      </c>
      <c r="C536" s="56" t="s">
        <v>766</v>
      </c>
      <c r="D536" s="56" t="s">
        <v>767</v>
      </c>
      <c r="E536" s="56" t="s">
        <v>773</v>
      </c>
      <c r="F536" s="57" t="s">
        <v>154</v>
      </c>
      <c r="G536" s="61"/>
      <c r="H536" s="61"/>
      <c r="I536" s="62"/>
      <c r="J536" s="53"/>
    </row>
    <row r="537" ht="24.75" hidden="1" customHeight="1">
      <c r="A537" s="54" t="s">
        <v>761</v>
      </c>
      <c r="B537" s="56" t="s">
        <v>765</v>
      </c>
      <c r="C537" s="56" t="s">
        <v>766</v>
      </c>
      <c r="D537" s="56" t="s">
        <v>767</v>
      </c>
      <c r="E537" s="56" t="s">
        <v>774</v>
      </c>
      <c r="F537" s="57" t="s">
        <v>154</v>
      </c>
      <c r="G537" s="61"/>
      <c r="H537" s="61"/>
      <c r="I537" s="62"/>
      <c r="J537" s="53"/>
    </row>
    <row r="538" ht="24.75" hidden="1" customHeight="1">
      <c r="A538" s="54" t="s">
        <v>761</v>
      </c>
      <c r="B538" s="56" t="s">
        <v>765</v>
      </c>
      <c r="C538" s="56" t="s">
        <v>766</v>
      </c>
      <c r="D538" s="56" t="s">
        <v>767</v>
      </c>
      <c r="E538" s="56" t="s">
        <v>775</v>
      </c>
      <c r="F538" s="57" t="s">
        <v>154</v>
      </c>
      <c r="G538" s="61"/>
      <c r="H538" s="61"/>
      <c r="I538" s="62"/>
      <c r="J538" s="53"/>
    </row>
    <row r="539" ht="24.75" hidden="1" customHeight="1">
      <c r="A539" s="54" t="s">
        <v>761</v>
      </c>
      <c r="B539" s="56" t="s">
        <v>765</v>
      </c>
      <c r="C539" s="56" t="s">
        <v>766</v>
      </c>
      <c r="D539" s="56" t="s">
        <v>776</v>
      </c>
      <c r="E539" s="56" t="s">
        <v>777</v>
      </c>
      <c r="F539" s="57" t="s">
        <v>15</v>
      </c>
      <c r="G539" s="61"/>
      <c r="H539" s="61"/>
      <c r="I539" s="60"/>
      <c r="J539" s="53"/>
    </row>
    <row r="540" ht="24.75" hidden="1" customHeight="1">
      <c r="A540" s="54" t="s">
        <v>761</v>
      </c>
      <c r="B540" s="56" t="s">
        <v>765</v>
      </c>
      <c r="C540" s="56" t="s">
        <v>766</v>
      </c>
      <c r="D540" s="56" t="s">
        <v>776</v>
      </c>
      <c r="E540" s="56" t="s">
        <v>778</v>
      </c>
      <c r="F540" s="57" t="s">
        <v>15</v>
      </c>
      <c r="G540" s="61"/>
      <c r="H540" s="61"/>
      <c r="I540" s="60"/>
      <c r="J540" s="53"/>
    </row>
    <row r="541" ht="24.75" customHeight="1">
      <c r="A541" s="54" t="s">
        <v>761</v>
      </c>
      <c r="B541" s="56" t="s">
        <v>779</v>
      </c>
      <c r="C541" s="56" t="s">
        <v>780</v>
      </c>
      <c r="D541" s="56" t="s">
        <v>781</v>
      </c>
      <c r="E541" s="56" t="s">
        <v>232</v>
      </c>
      <c r="F541" s="57" t="s">
        <v>250</v>
      </c>
      <c r="G541" s="61"/>
      <c r="H541" s="61" t="s">
        <v>769</v>
      </c>
      <c r="I541" s="62" t="s">
        <v>782</v>
      </c>
      <c r="J541" s="83"/>
    </row>
    <row r="542" ht="24.75" hidden="1" customHeight="1">
      <c r="A542" s="54" t="s">
        <v>761</v>
      </c>
      <c r="B542" s="56" t="s">
        <v>779</v>
      </c>
      <c r="C542" s="56" t="s">
        <v>780</v>
      </c>
      <c r="D542" s="56" t="s">
        <v>781</v>
      </c>
      <c r="E542" s="56" t="s">
        <v>783</v>
      </c>
      <c r="F542" s="57" t="s">
        <v>154</v>
      </c>
      <c r="G542" s="61"/>
      <c r="H542" s="61"/>
      <c r="I542" s="62"/>
      <c r="J542" s="53"/>
    </row>
    <row r="543" ht="24.75" hidden="1" customHeight="1">
      <c r="A543" s="54" t="s">
        <v>761</v>
      </c>
      <c r="B543" s="56" t="s">
        <v>779</v>
      </c>
      <c r="C543" s="56" t="s">
        <v>780</v>
      </c>
      <c r="D543" s="56" t="s">
        <v>781</v>
      </c>
      <c r="E543" s="56" t="s">
        <v>230</v>
      </c>
      <c r="F543" s="57" t="s">
        <v>154</v>
      </c>
      <c r="G543" s="61"/>
      <c r="H543" s="61"/>
      <c r="I543" s="62"/>
      <c r="J543" s="83"/>
    </row>
    <row r="544" ht="24.75" hidden="1" customHeight="1">
      <c r="A544" s="54" t="s">
        <v>761</v>
      </c>
      <c r="B544" s="56" t="s">
        <v>784</v>
      </c>
      <c r="C544" s="56" t="s">
        <v>763</v>
      </c>
      <c r="D544" s="56" t="s">
        <v>785</v>
      </c>
      <c r="E544" s="56" t="s">
        <v>216</v>
      </c>
      <c r="F544" s="57" t="s">
        <v>34</v>
      </c>
      <c r="G544" s="61"/>
      <c r="H544" s="61"/>
      <c r="I544" s="62"/>
      <c r="J544" s="53"/>
    </row>
    <row r="545" ht="24.75" hidden="1" customHeight="1">
      <c r="A545" s="54" t="s">
        <v>761</v>
      </c>
      <c r="B545" s="56" t="s">
        <v>784</v>
      </c>
      <c r="C545" s="56" t="s">
        <v>763</v>
      </c>
      <c r="D545" s="56" t="s">
        <v>785</v>
      </c>
      <c r="E545" s="56" t="s">
        <v>786</v>
      </c>
      <c r="F545" s="57" t="s">
        <v>34</v>
      </c>
      <c r="G545" s="61"/>
      <c r="H545" s="61"/>
      <c r="I545" s="62"/>
      <c r="J545" s="53"/>
    </row>
    <row r="546" ht="24.75" hidden="1" customHeight="1">
      <c r="A546" s="54" t="s">
        <v>761</v>
      </c>
      <c r="B546" s="56" t="s">
        <v>784</v>
      </c>
      <c r="C546" s="56" t="s">
        <v>763</v>
      </c>
      <c r="D546" s="56" t="s">
        <v>787</v>
      </c>
      <c r="E546" s="56" t="s">
        <v>163</v>
      </c>
      <c r="F546" s="57" t="s">
        <v>34</v>
      </c>
      <c r="G546" s="61"/>
      <c r="H546" s="61"/>
      <c r="I546" s="62"/>
      <c r="J546" s="53"/>
    </row>
    <row r="547" ht="24.75" hidden="1" customHeight="1">
      <c r="A547" s="54" t="s">
        <v>761</v>
      </c>
      <c r="B547" s="56" t="s">
        <v>784</v>
      </c>
      <c r="C547" s="56" t="s">
        <v>763</v>
      </c>
      <c r="D547" s="56" t="s">
        <v>787</v>
      </c>
      <c r="E547" s="56" t="s">
        <v>788</v>
      </c>
      <c r="F547" s="57" t="s">
        <v>154</v>
      </c>
      <c r="G547" s="61"/>
      <c r="H547" s="61"/>
      <c r="I547" s="62"/>
      <c r="J547" s="53"/>
    </row>
    <row r="548" ht="24.75" hidden="1" customHeight="1">
      <c r="A548" s="54" t="s">
        <v>761</v>
      </c>
      <c r="B548" s="56" t="s">
        <v>784</v>
      </c>
      <c r="C548" s="56" t="s">
        <v>763</v>
      </c>
      <c r="D548" s="56" t="s">
        <v>787</v>
      </c>
      <c r="E548" s="56" t="s">
        <v>213</v>
      </c>
      <c r="F548" s="57"/>
      <c r="G548" s="50"/>
      <c r="H548" s="50"/>
      <c r="I548" s="84"/>
      <c r="J548" s="53"/>
    </row>
    <row r="549" ht="24.75" customHeight="1">
      <c r="A549" s="54" t="s">
        <v>761</v>
      </c>
      <c r="B549" s="56" t="s">
        <v>784</v>
      </c>
      <c r="C549" s="56" t="s">
        <v>763</v>
      </c>
      <c r="D549" s="56" t="s">
        <v>789</v>
      </c>
      <c r="E549" s="56" t="s">
        <v>790</v>
      </c>
      <c r="F549" s="57" t="s">
        <v>250</v>
      </c>
      <c r="G549" s="61"/>
      <c r="H549" s="61"/>
      <c r="I549" s="62"/>
      <c r="J549" s="53"/>
    </row>
    <row r="550" ht="24.75" hidden="1" customHeight="1">
      <c r="A550" s="54" t="s">
        <v>761</v>
      </c>
      <c r="B550" s="56" t="s">
        <v>791</v>
      </c>
      <c r="C550" s="56" t="s">
        <v>792</v>
      </c>
      <c r="D550" s="56" t="s">
        <v>793</v>
      </c>
      <c r="E550" s="56" t="s">
        <v>794</v>
      </c>
      <c r="F550" s="57" t="s">
        <v>154</v>
      </c>
      <c r="G550" s="61"/>
      <c r="H550" s="61"/>
      <c r="I550" s="62"/>
      <c r="J550" s="53"/>
    </row>
    <row r="551" ht="24.75" customHeight="1">
      <c r="A551" s="54" t="s">
        <v>761</v>
      </c>
      <c r="B551" s="56" t="s">
        <v>795</v>
      </c>
      <c r="C551" s="56" t="s">
        <v>792</v>
      </c>
      <c r="D551" s="56" t="s">
        <v>796</v>
      </c>
      <c r="E551" s="56" t="s">
        <v>797</v>
      </c>
      <c r="F551" s="57" t="s">
        <v>250</v>
      </c>
      <c r="G551" s="81"/>
      <c r="H551" s="61" t="s">
        <v>769</v>
      </c>
      <c r="I551" s="62" t="s">
        <v>800</v>
      </c>
      <c r="J551" s="53"/>
    </row>
    <row r="552" ht="24.75" customHeight="1">
      <c r="A552" s="54" t="s">
        <v>761</v>
      </c>
      <c r="B552" s="56" t="s">
        <v>798</v>
      </c>
      <c r="C552" s="56" t="s">
        <v>792</v>
      </c>
      <c r="D552" s="56" t="s">
        <v>799</v>
      </c>
      <c r="E552" s="56" t="s">
        <v>790</v>
      </c>
      <c r="F552" s="57" t="s">
        <v>250</v>
      </c>
      <c r="G552" s="61"/>
      <c r="H552" s="61" t="s">
        <v>769</v>
      </c>
      <c r="I552" s="62" t="s">
        <v>803</v>
      </c>
      <c r="J552" s="53"/>
    </row>
    <row r="553" ht="24.75" customHeight="1">
      <c r="A553" s="54" t="s">
        <v>761</v>
      </c>
      <c r="B553" s="56" t="s">
        <v>801</v>
      </c>
      <c r="C553" s="56" t="s">
        <v>792</v>
      </c>
      <c r="D553" s="56" t="s">
        <v>802</v>
      </c>
      <c r="E553" s="56" t="s">
        <v>790</v>
      </c>
      <c r="F553" s="57" t="s">
        <v>250</v>
      </c>
      <c r="G553" s="61"/>
      <c r="H553" s="61" t="s">
        <v>769</v>
      </c>
      <c r="I553" s="62" t="s">
        <v>806</v>
      </c>
      <c r="J553" s="53"/>
    </row>
    <row r="554" ht="24.75" customHeight="1">
      <c r="A554" s="54" t="s">
        <v>761</v>
      </c>
      <c r="B554" s="56" t="s">
        <v>804</v>
      </c>
      <c r="C554" s="56" t="s">
        <v>792</v>
      </c>
      <c r="D554" s="56" t="s">
        <v>805</v>
      </c>
      <c r="E554" s="56" t="s">
        <v>790</v>
      </c>
      <c r="F554" s="57" t="s">
        <v>250</v>
      </c>
      <c r="G554" s="61"/>
      <c r="H554" s="61" t="s">
        <v>769</v>
      </c>
      <c r="I554" s="62" t="s">
        <v>810</v>
      </c>
      <c r="J554" s="53"/>
    </row>
    <row r="555" ht="24.75" customHeight="1">
      <c r="A555" s="54" t="s">
        <v>761</v>
      </c>
      <c r="B555" s="56" t="s">
        <v>807</v>
      </c>
      <c r="C555" s="56" t="s">
        <v>792</v>
      </c>
      <c r="D555" s="56" t="s">
        <v>808</v>
      </c>
      <c r="E555" s="56" t="s">
        <v>790</v>
      </c>
      <c r="F555" s="57" t="s">
        <v>250</v>
      </c>
      <c r="G555" s="61"/>
      <c r="H555" s="61" t="s">
        <v>769</v>
      </c>
      <c r="I555" s="62" t="s">
        <v>806</v>
      </c>
      <c r="J555" s="53"/>
    </row>
    <row r="556" ht="24.75" customHeight="1">
      <c r="A556" s="54" t="s">
        <v>761</v>
      </c>
      <c r="B556" s="56" t="s">
        <v>807</v>
      </c>
      <c r="C556" s="56" t="s">
        <v>792</v>
      </c>
      <c r="D556" s="56" t="s">
        <v>809</v>
      </c>
      <c r="E556" s="56" t="s">
        <v>790</v>
      </c>
      <c r="F556" s="57" t="s">
        <v>250</v>
      </c>
      <c r="G556" s="61"/>
      <c r="H556" s="61" t="s">
        <v>769</v>
      </c>
      <c r="I556" s="62" t="s">
        <v>806</v>
      </c>
      <c r="J556" s="53"/>
    </row>
    <row r="557" ht="24.75" customHeight="1">
      <c r="A557" s="54" t="s">
        <v>761</v>
      </c>
      <c r="B557" s="56" t="s">
        <v>811</v>
      </c>
      <c r="C557" s="56" t="s">
        <v>792</v>
      </c>
      <c r="D557" s="56" t="s">
        <v>812</v>
      </c>
      <c r="E557" s="56" t="s">
        <v>790</v>
      </c>
      <c r="F557" s="57" t="s">
        <v>250</v>
      </c>
      <c r="G557" s="61"/>
      <c r="H557" s="61" t="s">
        <v>769</v>
      </c>
      <c r="I557" s="62" t="s">
        <v>806</v>
      </c>
      <c r="J557" s="53"/>
    </row>
    <row r="558" ht="24.75" customHeight="1">
      <c r="A558" s="54" t="s">
        <v>761</v>
      </c>
      <c r="B558" s="56" t="s">
        <v>813</v>
      </c>
      <c r="C558" s="56" t="s">
        <v>792</v>
      </c>
      <c r="D558" s="56" t="s">
        <v>814</v>
      </c>
      <c r="E558" s="56" t="s">
        <v>790</v>
      </c>
      <c r="F558" s="57" t="s">
        <v>250</v>
      </c>
      <c r="G558" s="61"/>
      <c r="H558" s="61" t="s">
        <v>769</v>
      </c>
      <c r="I558" s="62" t="s">
        <v>810</v>
      </c>
      <c r="J558" s="53"/>
    </row>
    <row r="559" ht="24.75" customHeight="1">
      <c r="A559" s="54" t="s">
        <v>761</v>
      </c>
      <c r="B559" s="56" t="s">
        <v>815</v>
      </c>
      <c r="C559" s="56" t="s">
        <v>792</v>
      </c>
      <c r="D559" s="56" t="s">
        <v>816</v>
      </c>
      <c r="E559" s="56" t="s">
        <v>790</v>
      </c>
      <c r="F559" s="57" t="s">
        <v>250</v>
      </c>
      <c r="G559" s="61"/>
      <c r="H559" s="61" t="s">
        <v>769</v>
      </c>
      <c r="I559" s="62" t="s">
        <v>806</v>
      </c>
      <c r="J559" s="53"/>
    </row>
    <row r="560" ht="24.75" customHeight="1">
      <c r="A560" s="54" t="s">
        <v>761</v>
      </c>
      <c r="B560" s="56" t="s">
        <v>815</v>
      </c>
      <c r="C560" s="104" t="s">
        <v>792</v>
      </c>
      <c r="D560" s="56" t="s">
        <v>816</v>
      </c>
      <c r="E560" s="56" t="s">
        <v>817</v>
      </c>
      <c r="F560" s="57" t="s">
        <v>250</v>
      </c>
      <c r="G560" s="61"/>
      <c r="H560" s="61" t="s">
        <v>769</v>
      </c>
      <c r="I560" s="62" t="s">
        <v>823</v>
      </c>
      <c r="J560" s="53"/>
    </row>
    <row r="561" ht="24.75" customHeight="1">
      <c r="A561" s="54" t="s">
        <v>761</v>
      </c>
      <c r="B561" s="56" t="s">
        <v>818</v>
      </c>
      <c r="C561" s="104" t="s">
        <v>792</v>
      </c>
      <c r="D561" s="56" t="s">
        <v>819</v>
      </c>
      <c r="E561" s="56" t="s">
        <v>790</v>
      </c>
      <c r="F561" s="57" t="s">
        <v>250</v>
      </c>
      <c r="G561" s="61"/>
      <c r="H561" s="61" t="s">
        <v>769</v>
      </c>
      <c r="I561" s="62" t="s">
        <v>806</v>
      </c>
      <c r="J561" s="53"/>
    </row>
    <row r="562" ht="24.75" customHeight="1">
      <c r="A562" s="54" t="s">
        <v>761</v>
      </c>
      <c r="B562" s="56" t="s">
        <v>818</v>
      </c>
      <c r="C562" s="104" t="s">
        <v>792</v>
      </c>
      <c r="D562" s="56" t="s">
        <v>820</v>
      </c>
      <c r="E562" s="56" t="s">
        <v>817</v>
      </c>
      <c r="F562" s="57" t="s">
        <v>250</v>
      </c>
      <c r="G562" s="61"/>
      <c r="H562" s="61" t="s">
        <v>769</v>
      </c>
      <c r="I562" s="62" t="s">
        <v>823</v>
      </c>
      <c r="J562" s="53"/>
    </row>
    <row r="563" ht="24.75" customHeight="1">
      <c r="A563" s="54" t="s">
        <v>761</v>
      </c>
      <c r="B563" s="56" t="s">
        <v>818</v>
      </c>
      <c r="C563" s="104" t="s">
        <v>792</v>
      </c>
      <c r="D563" s="56" t="s">
        <v>821</v>
      </c>
      <c r="E563" s="56" t="s">
        <v>817</v>
      </c>
      <c r="F563" s="57" t="s">
        <v>250</v>
      </c>
      <c r="G563" s="61"/>
      <c r="H563" s="61" t="s">
        <v>769</v>
      </c>
      <c r="I563" s="62" t="s">
        <v>823</v>
      </c>
      <c r="J563" s="53"/>
    </row>
    <row r="564" ht="24.75" customHeight="1">
      <c r="A564" s="54" t="s">
        <v>761</v>
      </c>
      <c r="B564" s="56" t="s">
        <v>818</v>
      </c>
      <c r="C564" s="104" t="s">
        <v>792</v>
      </c>
      <c r="D564" s="56" t="s">
        <v>822</v>
      </c>
      <c r="E564" s="56" t="s">
        <v>790</v>
      </c>
      <c r="F564" s="57" t="s">
        <v>250</v>
      </c>
      <c r="G564" s="61"/>
      <c r="H564" s="61" t="s">
        <v>769</v>
      </c>
      <c r="I564" s="62" t="s">
        <v>823</v>
      </c>
      <c r="J564" s="53"/>
    </row>
    <row r="565" ht="24.75" hidden="1" customHeight="1">
      <c r="A565" s="54" t="s">
        <v>761</v>
      </c>
      <c r="B565" s="56" t="s">
        <v>791</v>
      </c>
      <c r="C565" s="104" t="s">
        <v>792</v>
      </c>
      <c r="D565" s="56" t="s">
        <v>793</v>
      </c>
      <c r="E565" s="56" t="s">
        <v>824</v>
      </c>
      <c r="F565" s="57" t="s">
        <v>192</v>
      </c>
      <c r="G565" s="61"/>
      <c r="H565" s="61"/>
      <c r="I565" s="62"/>
      <c r="J565" s="53"/>
    </row>
    <row r="566" ht="24.75" hidden="1" customHeight="1">
      <c r="A566" s="54" t="s">
        <v>761</v>
      </c>
      <c r="B566" s="56" t="s">
        <v>825</v>
      </c>
      <c r="C566" s="56" t="s">
        <v>792</v>
      </c>
      <c r="D566" s="56" t="s">
        <v>826</v>
      </c>
      <c r="E566" s="56" t="s">
        <v>794</v>
      </c>
      <c r="F566" s="57" t="s">
        <v>154</v>
      </c>
      <c r="G566" s="61"/>
      <c r="H566" s="61"/>
      <c r="I566" s="62"/>
      <c r="J566" s="53"/>
    </row>
    <row r="567" ht="24.75" hidden="1" customHeight="1">
      <c r="A567" s="54" t="s">
        <v>761</v>
      </c>
      <c r="B567" s="56" t="s">
        <v>825</v>
      </c>
      <c r="C567" s="56" t="s">
        <v>792</v>
      </c>
      <c r="D567" s="56" t="s">
        <v>826</v>
      </c>
      <c r="E567" s="56" t="s">
        <v>824</v>
      </c>
      <c r="F567" s="57" t="s">
        <v>192</v>
      </c>
      <c r="G567" s="61"/>
      <c r="H567" s="61"/>
      <c r="I567" s="62"/>
      <c r="J567" s="53"/>
    </row>
    <row r="568" ht="24.75" hidden="1" customHeight="1">
      <c r="A568" s="54" t="s">
        <v>761</v>
      </c>
      <c r="B568" s="56" t="s">
        <v>827</v>
      </c>
      <c r="C568" s="56" t="s">
        <v>792</v>
      </c>
      <c r="D568" s="56" t="s">
        <v>828</v>
      </c>
      <c r="E568" s="56" t="s">
        <v>830</v>
      </c>
      <c r="F568" s="57" t="s">
        <v>154</v>
      </c>
      <c r="G568" s="61"/>
      <c r="H568" s="61"/>
      <c r="I568" s="62"/>
      <c r="J568" s="53"/>
    </row>
    <row r="569" ht="24.75" hidden="1" customHeight="1">
      <c r="A569" s="54" t="s">
        <v>831</v>
      </c>
      <c r="B569" s="56" t="s">
        <v>832</v>
      </c>
      <c r="C569" s="56" t="s">
        <v>833</v>
      </c>
      <c r="D569" s="56" t="s">
        <v>834</v>
      </c>
      <c r="E569" s="56" t="s">
        <v>111</v>
      </c>
      <c r="F569" s="57" t="s">
        <v>34</v>
      </c>
      <c r="G569" s="61"/>
      <c r="H569" s="61"/>
      <c r="I569" s="62"/>
      <c r="J569" s="53"/>
    </row>
    <row r="570" ht="24.75" hidden="1" customHeight="1">
      <c r="A570" s="54" t="s">
        <v>831</v>
      </c>
      <c r="B570" s="56" t="s">
        <v>832</v>
      </c>
      <c r="C570" s="56" t="s">
        <v>833</v>
      </c>
      <c r="D570" s="56" t="s">
        <v>834</v>
      </c>
      <c r="E570" s="56" t="s">
        <v>835</v>
      </c>
      <c r="F570" s="57" t="s">
        <v>34</v>
      </c>
      <c r="G570" s="61"/>
      <c r="H570" s="61"/>
      <c r="I570" s="62"/>
      <c r="J570" s="53"/>
    </row>
    <row r="571" ht="24.75" customHeight="1">
      <c r="A571" s="54" t="s">
        <v>831</v>
      </c>
      <c r="B571" s="56" t="s">
        <v>832</v>
      </c>
      <c r="C571" s="56" t="s">
        <v>833</v>
      </c>
      <c r="D571" s="56" t="s">
        <v>834</v>
      </c>
      <c r="E571" s="56" t="s">
        <v>836</v>
      </c>
      <c r="F571" s="57" t="s">
        <v>250</v>
      </c>
      <c r="G571" s="61"/>
      <c r="H571" s="61" t="s">
        <v>159</v>
      </c>
      <c r="I571" s="62" t="s">
        <v>160</v>
      </c>
      <c r="J571" s="53"/>
    </row>
    <row r="572" ht="24.75" customHeight="1">
      <c r="A572" s="54" t="s">
        <v>831</v>
      </c>
      <c r="B572" s="56" t="s">
        <v>837</v>
      </c>
      <c r="C572" s="56" t="s">
        <v>838</v>
      </c>
      <c r="D572" s="56" t="s">
        <v>839</v>
      </c>
      <c r="E572" s="56" t="s">
        <v>771</v>
      </c>
      <c r="F572" s="57" t="s">
        <v>250</v>
      </c>
      <c r="G572" s="61"/>
      <c r="H572" s="61" t="s">
        <v>159</v>
      </c>
      <c r="I572" s="62" t="s">
        <v>772</v>
      </c>
      <c r="J572" s="53"/>
    </row>
    <row r="573" ht="24.75" customHeight="1">
      <c r="A573" s="54" t="s">
        <v>831</v>
      </c>
      <c r="B573" s="56" t="s">
        <v>837</v>
      </c>
      <c r="C573" s="56" t="s">
        <v>838</v>
      </c>
      <c r="D573" s="56" t="s">
        <v>839</v>
      </c>
      <c r="E573" s="56" t="s">
        <v>768</v>
      </c>
      <c r="F573" s="57" t="s">
        <v>250</v>
      </c>
      <c r="G573" s="61"/>
      <c r="H573" s="61" t="s">
        <v>592</v>
      </c>
      <c r="I573" s="62" t="s">
        <v>770</v>
      </c>
      <c r="J573" s="53"/>
    </row>
    <row r="574" ht="24.75" hidden="1" customHeight="1">
      <c r="A574" s="54" t="s">
        <v>831</v>
      </c>
      <c r="B574" s="56" t="s">
        <v>837</v>
      </c>
      <c r="C574" s="56" t="s">
        <v>838</v>
      </c>
      <c r="D574" s="56" t="s">
        <v>839</v>
      </c>
      <c r="E574" s="56" t="s">
        <v>773</v>
      </c>
      <c r="F574" s="57" t="s">
        <v>154</v>
      </c>
      <c r="G574" s="61"/>
      <c r="H574" s="61"/>
      <c r="I574" s="62"/>
      <c r="J574" s="53"/>
    </row>
    <row r="575" ht="24.75" hidden="1" customHeight="1">
      <c r="A575" s="54" t="s">
        <v>831</v>
      </c>
      <c r="B575" s="56" t="s">
        <v>837</v>
      </c>
      <c r="C575" s="56" t="s">
        <v>838</v>
      </c>
      <c r="D575" s="56" t="s">
        <v>839</v>
      </c>
      <c r="E575" s="56" t="s">
        <v>841</v>
      </c>
      <c r="F575" s="57" t="s">
        <v>154</v>
      </c>
      <c r="G575" s="61"/>
      <c r="H575" s="61"/>
      <c r="I575" s="62"/>
      <c r="J575" s="53"/>
    </row>
    <row r="576" ht="24.75" hidden="1" customHeight="1">
      <c r="A576" s="54" t="s">
        <v>831</v>
      </c>
      <c r="B576" s="56" t="s">
        <v>837</v>
      </c>
      <c r="C576" s="56" t="s">
        <v>838</v>
      </c>
      <c r="D576" s="56" t="s">
        <v>839</v>
      </c>
      <c r="E576" s="56" t="s">
        <v>777</v>
      </c>
      <c r="F576" s="57" t="s">
        <v>15</v>
      </c>
      <c r="G576" s="61"/>
      <c r="H576" s="61"/>
      <c r="I576" s="60"/>
      <c r="J576" s="53"/>
    </row>
    <row r="577" ht="24.75" hidden="1" customHeight="1">
      <c r="A577" s="54" t="s">
        <v>831</v>
      </c>
      <c r="B577" s="56" t="s">
        <v>837</v>
      </c>
      <c r="C577" s="56" t="s">
        <v>838</v>
      </c>
      <c r="D577" s="56" t="s">
        <v>839</v>
      </c>
      <c r="E577" s="56" t="s">
        <v>778</v>
      </c>
      <c r="F577" s="57" t="s">
        <v>15</v>
      </c>
      <c r="G577" s="61"/>
      <c r="H577" s="61"/>
      <c r="I577" s="60"/>
      <c r="J577" s="53"/>
    </row>
    <row r="578" ht="24.75" hidden="1" customHeight="1">
      <c r="A578" s="54" t="s">
        <v>831</v>
      </c>
      <c r="B578" s="56" t="s">
        <v>842</v>
      </c>
      <c r="C578" s="56" t="s">
        <v>838</v>
      </c>
      <c r="D578" s="56" t="s">
        <v>843</v>
      </c>
      <c r="E578" s="56" t="s">
        <v>111</v>
      </c>
      <c r="F578" s="57" t="s">
        <v>154</v>
      </c>
      <c r="G578" s="61"/>
      <c r="H578" s="61"/>
      <c r="I578" s="62"/>
      <c r="J578" s="53"/>
    </row>
    <row r="579" ht="24.75" hidden="1" customHeight="1">
      <c r="A579" s="54" t="s">
        <v>831</v>
      </c>
      <c r="B579" s="56" t="s">
        <v>842</v>
      </c>
      <c r="C579" s="56" t="s">
        <v>838</v>
      </c>
      <c r="D579" s="56" t="s">
        <v>843</v>
      </c>
      <c r="E579" s="56" t="s">
        <v>844</v>
      </c>
      <c r="F579" s="57" t="s">
        <v>154</v>
      </c>
      <c r="G579" s="61"/>
      <c r="H579" s="61"/>
      <c r="I579" s="62"/>
      <c r="J579" s="53"/>
    </row>
    <row r="580" ht="24.75" customHeight="1">
      <c r="A580" s="54" t="s">
        <v>831</v>
      </c>
      <c r="B580" s="56" t="s">
        <v>842</v>
      </c>
      <c r="C580" s="56" t="s">
        <v>838</v>
      </c>
      <c r="D580" s="56" t="s">
        <v>843</v>
      </c>
      <c r="E580" s="56" t="s">
        <v>797</v>
      </c>
      <c r="F580" s="57" t="s">
        <v>250</v>
      </c>
      <c r="G580" s="61"/>
      <c r="H580" s="61" t="s">
        <v>592</v>
      </c>
      <c r="I580" s="62" t="s">
        <v>855</v>
      </c>
      <c r="J580" s="53"/>
    </row>
    <row r="581" ht="24.75" customHeight="1">
      <c r="A581" s="54" t="s">
        <v>831</v>
      </c>
      <c r="B581" s="56" t="s">
        <v>845</v>
      </c>
      <c r="C581" s="56" t="s">
        <v>838</v>
      </c>
      <c r="D581" s="56" t="s">
        <v>846</v>
      </c>
      <c r="E581" s="56" t="s">
        <v>771</v>
      </c>
      <c r="F581" s="57" t="s">
        <v>250</v>
      </c>
      <c r="G581" s="61"/>
      <c r="H581" s="61" t="s">
        <v>159</v>
      </c>
      <c r="I581" s="62" t="s">
        <v>772</v>
      </c>
      <c r="J581" s="53"/>
    </row>
    <row r="582" ht="24.75" customHeight="1">
      <c r="A582" s="54" t="s">
        <v>831</v>
      </c>
      <c r="B582" s="56" t="s">
        <v>845</v>
      </c>
      <c r="C582" s="56" t="s">
        <v>838</v>
      </c>
      <c r="D582" s="56" t="s">
        <v>846</v>
      </c>
      <c r="E582" s="56" t="s">
        <v>768</v>
      </c>
      <c r="F582" s="57" t="s">
        <v>250</v>
      </c>
      <c r="G582" s="61"/>
      <c r="H582" s="61" t="s">
        <v>592</v>
      </c>
      <c r="I582" s="62" t="s">
        <v>770</v>
      </c>
      <c r="J582" s="53"/>
    </row>
    <row r="583" ht="24.75" hidden="1" customHeight="1">
      <c r="A583" s="54" t="s">
        <v>831</v>
      </c>
      <c r="B583" s="56" t="s">
        <v>845</v>
      </c>
      <c r="C583" s="56" t="s">
        <v>838</v>
      </c>
      <c r="D583" s="56" t="s">
        <v>846</v>
      </c>
      <c r="E583" s="56" t="s">
        <v>773</v>
      </c>
      <c r="F583" s="57" t="s">
        <v>154</v>
      </c>
      <c r="G583" s="61"/>
      <c r="H583" s="61"/>
      <c r="I583" s="62"/>
      <c r="J583" s="53"/>
    </row>
    <row r="584" ht="24.75" hidden="1" customHeight="1">
      <c r="A584" s="54" t="s">
        <v>831</v>
      </c>
      <c r="B584" s="56" t="s">
        <v>845</v>
      </c>
      <c r="C584" s="56" t="s">
        <v>838</v>
      </c>
      <c r="D584" s="56" t="s">
        <v>846</v>
      </c>
      <c r="E584" s="56" t="s">
        <v>841</v>
      </c>
      <c r="F584" s="57" t="s">
        <v>154</v>
      </c>
      <c r="G584" s="61"/>
      <c r="H584" s="61"/>
      <c r="I584" s="62"/>
      <c r="J584" s="53"/>
    </row>
    <row r="585" ht="24.75" hidden="1" customHeight="1">
      <c r="A585" s="54" t="s">
        <v>831</v>
      </c>
      <c r="B585" s="56" t="s">
        <v>845</v>
      </c>
      <c r="C585" s="56" t="s">
        <v>838</v>
      </c>
      <c r="D585" s="56" t="s">
        <v>846</v>
      </c>
      <c r="E585" s="56" t="s">
        <v>777</v>
      </c>
      <c r="F585" s="57" t="s">
        <v>15</v>
      </c>
      <c r="G585" s="61"/>
      <c r="H585" s="61"/>
      <c r="I585" s="60"/>
      <c r="J585" s="53"/>
    </row>
    <row r="586" ht="24.75" hidden="1" customHeight="1">
      <c r="A586" s="54" t="s">
        <v>831</v>
      </c>
      <c r="B586" s="56" t="s">
        <v>845</v>
      </c>
      <c r="C586" s="56" t="s">
        <v>838</v>
      </c>
      <c r="D586" s="56" t="s">
        <v>846</v>
      </c>
      <c r="E586" s="56" t="s">
        <v>778</v>
      </c>
      <c r="F586" s="57" t="s">
        <v>15</v>
      </c>
      <c r="G586" s="61"/>
      <c r="H586" s="61"/>
      <c r="I586" s="60"/>
      <c r="J586" s="53"/>
    </row>
    <row r="587" ht="24.75" hidden="1" customHeight="1">
      <c r="A587" s="54" t="s">
        <v>831</v>
      </c>
      <c r="B587" s="56" t="s">
        <v>847</v>
      </c>
      <c r="C587" s="56" t="s">
        <v>838</v>
      </c>
      <c r="D587" s="56" t="s">
        <v>848</v>
      </c>
      <c r="E587" s="56" t="s">
        <v>111</v>
      </c>
      <c r="F587" s="57" t="s">
        <v>154</v>
      </c>
      <c r="G587" s="61"/>
      <c r="H587" s="61"/>
      <c r="I587" s="62"/>
      <c r="J587" s="53"/>
    </row>
    <row r="588" ht="24.75" hidden="1" customHeight="1">
      <c r="A588" s="54" t="s">
        <v>831</v>
      </c>
      <c r="B588" s="56" t="s">
        <v>847</v>
      </c>
      <c r="C588" s="56" t="s">
        <v>838</v>
      </c>
      <c r="D588" s="56" t="s">
        <v>848</v>
      </c>
      <c r="E588" s="56" t="s">
        <v>844</v>
      </c>
      <c r="F588" s="57" t="s">
        <v>154</v>
      </c>
      <c r="G588" s="61"/>
      <c r="H588" s="61"/>
      <c r="I588" s="62"/>
      <c r="J588" s="53"/>
    </row>
    <row r="589" ht="24.75" customHeight="1">
      <c r="A589" s="54" t="s">
        <v>831</v>
      </c>
      <c r="B589" s="56" t="s">
        <v>847</v>
      </c>
      <c r="C589" s="56" t="s">
        <v>838</v>
      </c>
      <c r="D589" s="56" t="s">
        <v>848</v>
      </c>
      <c r="E589" s="56" t="s">
        <v>797</v>
      </c>
      <c r="F589" s="57" t="s">
        <v>250</v>
      </c>
      <c r="G589" s="61"/>
      <c r="H589" s="61" t="s">
        <v>592</v>
      </c>
      <c r="I589" s="62" t="s">
        <v>855</v>
      </c>
      <c r="J589" s="53"/>
    </row>
    <row r="590" ht="24.75" hidden="1" customHeight="1">
      <c r="A590" s="54" t="s">
        <v>831</v>
      </c>
      <c r="B590" s="56" t="s">
        <v>849</v>
      </c>
      <c r="C590" s="56" t="s">
        <v>833</v>
      </c>
      <c r="D590" s="56" t="s">
        <v>850</v>
      </c>
      <c r="E590" s="56" t="s">
        <v>336</v>
      </c>
      <c r="F590" s="57" t="s">
        <v>192</v>
      </c>
      <c r="G590" s="61"/>
      <c r="H590" s="61"/>
      <c r="I590" s="62"/>
      <c r="J590" s="53"/>
    </row>
    <row r="591" ht="24.75" customHeight="1">
      <c r="A591" s="54" t="s">
        <v>831</v>
      </c>
      <c r="B591" s="56" t="s">
        <v>851</v>
      </c>
      <c r="C591" s="56" t="s">
        <v>852</v>
      </c>
      <c r="D591" s="56" t="s">
        <v>853</v>
      </c>
      <c r="E591" s="56" t="s">
        <v>854</v>
      </c>
      <c r="F591" s="57" t="s">
        <v>250</v>
      </c>
      <c r="G591" s="61"/>
      <c r="H591" s="61" t="s">
        <v>592</v>
      </c>
      <c r="I591" s="62" t="s">
        <v>864</v>
      </c>
      <c r="J591" s="53"/>
    </row>
    <row r="592" ht="24.75" hidden="1" customHeight="1">
      <c r="A592" s="54" t="s">
        <v>831</v>
      </c>
      <c r="B592" s="56" t="s">
        <v>851</v>
      </c>
      <c r="C592" s="56" t="s">
        <v>852</v>
      </c>
      <c r="D592" s="56" t="s">
        <v>853</v>
      </c>
      <c r="E592" s="56" t="s">
        <v>824</v>
      </c>
      <c r="F592" s="57" t="s">
        <v>154</v>
      </c>
      <c r="G592" s="61"/>
      <c r="H592" s="61"/>
      <c r="I592" s="62"/>
      <c r="J592" s="53"/>
    </row>
    <row r="593" ht="24.75" hidden="1" customHeight="1">
      <c r="A593" s="54" t="s">
        <v>831</v>
      </c>
      <c r="B593" s="56" t="s">
        <v>851</v>
      </c>
      <c r="C593" s="56" t="s">
        <v>852</v>
      </c>
      <c r="D593" s="56" t="s">
        <v>853</v>
      </c>
      <c r="E593" s="56" t="s">
        <v>111</v>
      </c>
      <c r="F593" s="57" t="s">
        <v>192</v>
      </c>
      <c r="G593" s="61"/>
      <c r="H593" s="61"/>
      <c r="I593" s="62"/>
      <c r="J593" s="53"/>
    </row>
    <row r="594" ht="24.75" hidden="1" customHeight="1">
      <c r="A594" s="54" t="s">
        <v>831</v>
      </c>
      <c r="B594" s="56" t="s">
        <v>851</v>
      </c>
      <c r="C594" s="56" t="s">
        <v>852</v>
      </c>
      <c r="D594" s="56" t="s">
        <v>853</v>
      </c>
      <c r="E594" s="56" t="s">
        <v>856</v>
      </c>
      <c r="F594" s="57" t="s">
        <v>192</v>
      </c>
      <c r="G594" s="61"/>
      <c r="H594" s="61"/>
      <c r="I594" s="62"/>
      <c r="J594" s="53"/>
    </row>
    <row r="595" ht="24.75" hidden="1" customHeight="1">
      <c r="A595" s="54" t="s">
        <v>831</v>
      </c>
      <c r="B595" s="56" t="s">
        <v>851</v>
      </c>
      <c r="C595" s="56" t="s">
        <v>852</v>
      </c>
      <c r="D595" s="56" t="s">
        <v>853</v>
      </c>
      <c r="E595" s="56" t="s">
        <v>857</v>
      </c>
      <c r="F595" s="57" t="s">
        <v>192</v>
      </c>
      <c r="G595" s="61"/>
      <c r="H595" s="61"/>
      <c r="I595" s="62"/>
      <c r="J595" s="53"/>
    </row>
    <row r="596" ht="24.75" hidden="1" customHeight="1">
      <c r="A596" s="54" t="s">
        <v>831</v>
      </c>
      <c r="B596" s="56" t="s">
        <v>858</v>
      </c>
      <c r="C596" s="56" t="s">
        <v>838</v>
      </c>
      <c r="D596" s="56" t="s">
        <v>859</v>
      </c>
      <c r="E596" s="56" t="s">
        <v>111</v>
      </c>
      <c r="F596" s="57" t="s">
        <v>154</v>
      </c>
      <c r="G596" s="61"/>
      <c r="H596" s="61"/>
      <c r="I596" s="62"/>
      <c r="J596" s="53"/>
    </row>
    <row r="597" ht="24.75" hidden="1" customHeight="1">
      <c r="A597" s="54" t="s">
        <v>831</v>
      </c>
      <c r="B597" s="56" t="s">
        <v>858</v>
      </c>
      <c r="C597" s="56" t="s">
        <v>838</v>
      </c>
      <c r="D597" s="56" t="s">
        <v>859</v>
      </c>
      <c r="E597" s="56" t="s">
        <v>824</v>
      </c>
      <c r="F597" s="57" t="s">
        <v>154</v>
      </c>
      <c r="G597" s="61"/>
      <c r="H597" s="61"/>
      <c r="I597" s="62"/>
      <c r="J597" s="53"/>
    </row>
    <row r="598" ht="24.75" customHeight="1">
      <c r="A598" s="54" t="s">
        <v>831</v>
      </c>
      <c r="B598" s="56" t="s">
        <v>858</v>
      </c>
      <c r="C598" s="56" t="s">
        <v>838</v>
      </c>
      <c r="D598" s="56" t="s">
        <v>859</v>
      </c>
      <c r="E598" s="56" t="s">
        <v>797</v>
      </c>
      <c r="F598" s="57" t="s">
        <v>250</v>
      </c>
      <c r="G598" s="61"/>
      <c r="H598" s="61" t="s">
        <v>592</v>
      </c>
      <c r="I598" s="62" t="s">
        <v>872</v>
      </c>
      <c r="J598" s="53"/>
    </row>
    <row r="599" ht="24.75" customHeight="1">
      <c r="A599" s="54" t="s">
        <v>831</v>
      </c>
      <c r="B599" s="56" t="s">
        <v>860</v>
      </c>
      <c r="C599" s="56" t="s">
        <v>852</v>
      </c>
      <c r="D599" s="56" t="s">
        <v>861</v>
      </c>
      <c r="E599" s="56" t="s">
        <v>854</v>
      </c>
      <c r="F599" s="57" t="s">
        <v>250</v>
      </c>
      <c r="G599" s="61"/>
      <c r="H599" s="61" t="s">
        <v>592</v>
      </c>
      <c r="I599" s="62" t="s">
        <v>864</v>
      </c>
      <c r="J599" s="53"/>
    </row>
    <row r="600" ht="24.75" hidden="1" customHeight="1">
      <c r="A600" s="54" t="s">
        <v>831</v>
      </c>
      <c r="B600" s="56" t="s">
        <v>860</v>
      </c>
      <c r="C600" s="56" t="s">
        <v>852</v>
      </c>
      <c r="D600" s="56" t="s">
        <v>861</v>
      </c>
      <c r="E600" s="56" t="s">
        <v>824</v>
      </c>
      <c r="F600" s="57" t="s">
        <v>154</v>
      </c>
      <c r="G600" s="61"/>
      <c r="H600" s="61"/>
      <c r="I600" s="62"/>
      <c r="J600" s="53"/>
    </row>
    <row r="601" ht="24.75" hidden="1" customHeight="1">
      <c r="A601" s="54" t="s">
        <v>831</v>
      </c>
      <c r="B601" s="56" t="s">
        <v>860</v>
      </c>
      <c r="C601" s="56" t="s">
        <v>852</v>
      </c>
      <c r="D601" s="56" t="s">
        <v>861</v>
      </c>
      <c r="E601" s="56" t="s">
        <v>856</v>
      </c>
      <c r="F601" s="57" t="s">
        <v>154</v>
      </c>
      <c r="G601" s="61"/>
      <c r="H601" s="61"/>
      <c r="I601" s="62"/>
      <c r="J601" s="53"/>
    </row>
    <row r="602" ht="24.75" hidden="1" customHeight="1">
      <c r="A602" s="54" t="s">
        <v>831</v>
      </c>
      <c r="B602" s="56" t="s">
        <v>860</v>
      </c>
      <c r="C602" s="56" t="s">
        <v>852</v>
      </c>
      <c r="D602" s="56" t="s">
        <v>861</v>
      </c>
      <c r="E602" s="56" t="s">
        <v>111</v>
      </c>
      <c r="F602" s="57" t="s">
        <v>192</v>
      </c>
      <c r="G602" s="61"/>
      <c r="H602" s="61"/>
      <c r="I602" s="62"/>
      <c r="J602" s="53"/>
    </row>
    <row r="603" ht="24.75" hidden="1" customHeight="1">
      <c r="A603" s="54" t="s">
        <v>831</v>
      </c>
      <c r="B603" s="56" t="s">
        <v>860</v>
      </c>
      <c r="C603" s="56" t="s">
        <v>852</v>
      </c>
      <c r="D603" s="56" t="s">
        <v>861</v>
      </c>
      <c r="E603" s="56" t="s">
        <v>857</v>
      </c>
      <c r="F603" s="57" t="s">
        <v>192</v>
      </c>
      <c r="G603" s="61"/>
      <c r="H603" s="61"/>
      <c r="I603" s="62"/>
      <c r="J603" s="53"/>
    </row>
    <row r="604" ht="24.75" hidden="1" customHeight="1">
      <c r="A604" s="54" t="s">
        <v>831</v>
      </c>
      <c r="B604" s="56" t="s">
        <v>862</v>
      </c>
      <c r="C604" s="56" t="s">
        <v>838</v>
      </c>
      <c r="D604" s="56" t="s">
        <v>863</v>
      </c>
      <c r="E604" s="56" t="s">
        <v>111</v>
      </c>
      <c r="F604" s="57" t="s">
        <v>154</v>
      </c>
      <c r="G604" s="61"/>
      <c r="H604" s="61"/>
      <c r="I604" s="62"/>
      <c r="J604" s="53"/>
    </row>
    <row r="605" ht="24.75" hidden="1" customHeight="1">
      <c r="A605" s="54" t="s">
        <v>831</v>
      </c>
      <c r="B605" s="56" t="s">
        <v>862</v>
      </c>
      <c r="C605" s="56" t="s">
        <v>838</v>
      </c>
      <c r="D605" s="56" t="s">
        <v>863</v>
      </c>
      <c r="E605" s="56" t="s">
        <v>824</v>
      </c>
      <c r="F605" s="57" t="s">
        <v>154</v>
      </c>
      <c r="G605" s="61"/>
      <c r="H605" s="61"/>
      <c r="I605" s="62"/>
      <c r="J605" s="53"/>
    </row>
    <row r="606" ht="24.75" customHeight="1">
      <c r="A606" s="54" t="s">
        <v>831</v>
      </c>
      <c r="B606" s="56" t="s">
        <v>862</v>
      </c>
      <c r="C606" s="56" t="s">
        <v>838</v>
      </c>
      <c r="D606" s="56" t="s">
        <v>863</v>
      </c>
      <c r="E606" s="56" t="s">
        <v>797</v>
      </c>
      <c r="F606" s="57" t="s">
        <v>250</v>
      </c>
      <c r="G606" s="61"/>
      <c r="H606" s="61" t="s">
        <v>592</v>
      </c>
      <c r="I606" s="62" t="s">
        <v>872</v>
      </c>
      <c r="J606" s="53"/>
    </row>
    <row r="607" ht="24.75" hidden="1" customHeight="1">
      <c r="A607" s="54" t="s">
        <v>831</v>
      </c>
      <c r="B607" s="56" t="s">
        <v>865</v>
      </c>
      <c r="C607" s="56" t="s">
        <v>838</v>
      </c>
      <c r="D607" s="56" t="s">
        <v>866</v>
      </c>
      <c r="E607" s="56" t="s">
        <v>867</v>
      </c>
      <c r="F607" s="57" t="s">
        <v>154</v>
      </c>
      <c r="G607" s="61"/>
      <c r="H607" s="61"/>
      <c r="I607" s="62"/>
      <c r="J607" s="53"/>
    </row>
    <row r="608" ht="24.75" hidden="1" customHeight="1">
      <c r="A608" s="54" t="s">
        <v>831</v>
      </c>
      <c r="B608" s="56" t="s">
        <v>865</v>
      </c>
      <c r="C608" s="56" t="s">
        <v>838</v>
      </c>
      <c r="D608" s="56" t="s">
        <v>866</v>
      </c>
      <c r="E608" s="56" t="s">
        <v>868</v>
      </c>
      <c r="F608" s="57" t="s">
        <v>154</v>
      </c>
      <c r="G608" s="61"/>
      <c r="H608" s="61"/>
      <c r="I608" s="62"/>
      <c r="J608" s="53"/>
    </row>
    <row r="609" ht="24.75" hidden="1" customHeight="1">
      <c r="A609" s="54" t="s">
        <v>831</v>
      </c>
      <c r="B609" s="56" t="s">
        <v>869</v>
      </c>
      <c r="C609" s="56" t="s">
        <v>833</v>
      </c>
      <c r="D609" s="56" t="s">
        <v>850</v>
      </c>
      <c r="E609" s="56" t="s">
        <v>870</v>
      </c>
      <c r="F609" s="57" t="s">
        <v>154</v>
      </c>
      <c r="G609" s="61"/>
      <c r="H609" s="61"/>
      <c r="I609" s="62"/>
      <c r="J609" s="53"/>
    </row>
    <row r="610" ht="24.75" hidden="1" customHeight="1">
      <c r="A610" s="54" t="s">
        <v>831</v>
      </c>
      <c r="B610" s="56" t="s">
        <v>869</v>
      </c>
      <c r="C610" s="56" t="s">
        <v>833</v>
      </c>
      <c r="D610" s="56" t="s">
        <v>850</v>
      </c>
      <c r="E610" s="56" t="s">
        <v>871</v>
      </c>
      <c r="F610" s="57" t="s">
        <v>192</v>
      </c>
      <c r="G610" s="61"/>
      <c r="H610" s="61"/>
      <c r="I610" s="62"/>
      <c r="J610" s="53"/>
    </row>
    <row r="611" ht="15.75" hidden="1" customHeight="1">
      <c r="A611" s="54"/>
      <c r="B611" s="56"/>
      <c r="C611" s="56"/>
      <c r="D611" s="56"/>
      <c r="E611" s="56"/>
      <c r="F611" s="57"/>
      <c r="G611" s="61"/>
      <c r="H611" s="61"/>
      <c r="I611" s="62"/>
      <c r="J611" s="53"/>
    </row>
  </sheetData>
  <autoFilter ref="$A$4:$GF$611">
    <filterColumn colId="5">
      <filters>
        <filter val="JAN, FEV, MAR, ABR, MAI, JUN, JUL, AGO, SET, OUT, NOV, DEZ"/>
        <filter val="MAR, JUN, SET, DEZ"/>
      </filters>
    </filterColumn>
    <sortState ref="A4:GF611">
      <sortCondition ref="A4:A611"/>
    </sortState>
  </autoFilter>
  <mergeCells count="2">
    <mergeCell ref="I1:J3"/>
    <mergeCell ref="H2:H3"/>
  </mergeCells>
  <printOptions/>
  <pageMargins bottom="0.7480314960629921" footer="0.0" header="0.0" left="0.2362204724409449" right="0.2362204724409449" top="0.35433070866141736"/>
  <pageSetup fitToHeight="0" paperSize="9" orientation="landscape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46.86"/>
    <col customWidth="1" min="6" max="6" width="12.0"/>
    <col customWidth="1" hidden="1" min="7" max="7" width="6.86"/>
    <col customWidth="1" min="8" max="8" width="26.57"/>
    <col customWidth="1" min="9" max="9" width="31.86"/>
    <col customWidth="1" min="10" max="10" width="15.71"/>
  </cols>
  <sheetData>
    <row r="1" ht="24.75" customHeight="1">
      <c r="I1" s="25" t="s">
        <v>8</v>
      </c>
    </row>
    <row r="2" ht="24.75" customHeight="1">
      <c r="A2" s="1"/>
      <c r="B2" s="2"/>
      <c r="C2" s="2"/>
      <c r="D2" s="2"/>
      <c r="E2" s="2"/>
      <c r="F2" s="3"/>
      <c r="G2" s="8"/>
      <c r="H2" s="10"/>
    </row>
    <row r="3" ht="24.75" customHeight="1">
      <c r="A3" s="8"/>
      <c r="B3" s="9"/>
      <c r="C3" s="9"/>
      <c r="D3" s="9"/>
      <c r="E3" s="9"/>
      <c r="F3" s="2"/>
      <c r="G3" s="8"/>
      <c r="H3" s="35"/>
      <c r="I3" s="35"/>
      <c r="J3" s="35"/>
    </row>
    <row r="4" ht="51.0" customHeight="1">
      <c r="A4" s="39" t="s">
        <v>17</v>
      </c>
      <c r="B4" s="39" t="s">
        <v>18</v>
      </c>
      <c r="C4" s="39" t="s">
        <v>19</v>
      </c>
      <c r="D4" s="39" t="s">
        <v>20</v>
      </c>
      <c r="E4" s="39" t="s">
        <v>21</v>
      </c>
      <c r="F4" s="39" t="s">
        <v>22</v>
      </c>
      <c r="G4" s="40" t="s">
        <v>23</v>
      </c>
      <c r="H4" s="39" t="s">
        <v>24</v>
      </c>
      <c r="I4" s="42" t="s">
        <v>26</v>
      </c>
      <c r="J4" s="39" t="s">
        <v>25</v>
      </c>
    </row>
    <row r="5" ht="24.75" hidden="1" customHeight="1">
      <c r="A5" s="44">
        <v>10.0</v>
      </c>
      <c r="B5" s="47" t="s">
        <v>27</v>
      </c>
      <c r="C5" s="47" t="s">
        <v>29</v>
      </c>
      <c r="D5" s="47" t="s">
        <v>29</v>
      </c>
      <c r="E5" s="47" t="s">
        <v>32</v>
      </c>
      <c r="F5" s="48" t="s">
        <v>34</v>
      </c>
      <c r="G5" s="50"/>
      <c r="H5" s="51"/>
      <c r="I5" s="52"/>
      <c r="J5" s="53"/>
    </row>
    <row r="6" ht="24.75" customHeight="1">
      <c r="A6" s="54">
        <v>20.0</v>
      </c>
      <c r="B6" s="56" t="s">
        <v>83</v>
      </c>
      <c r="C6" s="56" t="s">
        <v>84</v>
      </c>
      <c r="D6" s="56" t="s">
        <v>85</v>
      </c>
      <c r="E6" s="56" t="s">
        <v>86</v>
      </c>
      <c r="F6" s="57" t="s">
        <v>87</v>
      </c>
      <c r="G6" s="58"/>
      <c r="H6" s="58"/>
      <c r="I6" s="60" t="s">
        <v>88</v>
      </c>
      <c r="J6" s="59"/>
    </row>
    <row r="7" ht="24.75" hidden="1" customHeight="1">
      <c r="A7" s="54">
        <v>20.0</v>
      </c>
      <c r="B7" s="56" t="s">
        <v>89</v>
      </c>
      <c r="C7" s="56" t="s">
        <v>90</v>
      </c>
      <c r="D7" s="56" t="s">
        <v>91</v>
      </c>
      <c r="E7" s="56"/>
      <c r="F7" s="57" t="s">
        <v>34</v>
      </c>
      <c r="G7" s="61"/>
      <c r="H7" s="61"/>
      <c r="I7" s="62"/>
      <c r="J7" s="53"/>
    </row>
    <row r="8" ht="24.75" hidden="1" customHeight="1">
      <c r="A8" s="54">
        <v>20.0</v>
      </c>
      <c r="B8" s="56" t="s">
        <v>95</v>
      </c>
      <c r="C8" s="56" t="s">
        <v>90</v>
      </c>
      <c r="D8" s="56" t="s">
        <v>96</v>
      </c>
      <c r="E8" s="56" t="s">
        <v>97</v>
      </c>
      <c r="F8" s="57" t="s">
        <v>34</v>
      </c>
      <c r="G8" s="61"/>
      <c r="H8" s="61"/>
      <c r="I8" s="62"/>
      <c r="J8" s="53"/>
    </row>
    <row r="9" ht="24.75" hidden="1" customHeight="1">
      <c r="A9" s="54">
        <v>20.0</v>
      </c>
      <c r="B9" s="56" t="s">
        <v>98</v>
      </c>
      <c r="C9" s="56" t="s">
        <v>90</v>
      </c>
      <c r="D9" s="56" t="s">
        <v>99</v>
      </c>
      <c r="E9" s="56" t="s">
        <v>97</v>
      </c>
      <c r="F9" s="57" t="s">
        <v>34</v>
      </c>
      <c r="G9" s="61"/>
      <c r="H9" s="61"/>
      <c r="I9" s="62"/>
      <c r="J9" s="53"/>
    </row>
    <row r="10" ht="24.75" hidden="1" customHeight="1">
      <c r="A10" s="54">
        <v>20.0</v>
      </c>
      <c r="B10" s="56" t="s">
        <v>100</v>
      </c>
      <c r="C10" s="56" t="s">
        <v>101</v>
      </c>
      <c r="D10" s="56" t="s">
        <v>102</v>
      </c>
      <c r="E10" s="56" t="s">
        <v>103</v>
      </c>
      <c r="F10" s="57" t="s">
        <v>34</v>
      </c>
      <c r="G10" s="61"/>
      <c r="H10" s="61"/>
      <c r="I10" s="62"/>
      <c r="J10" s="53"/>
    </row>
    <row r="11" ht="24.75" customHeight="1">
      <c r="A11" s="54">
        <v>30.0</v>
      </c>
      <c r="B11" s="56" t="s">
        <v>108</v>
      </c>
      <c r="C11" s="56" t="s">
        <v>109</v>
      </c>
      <c r="D11" s="56" t="s">
        <v>110</v>
      </c>
      <c r="E11" s="56" t="s">
        <v>111</v>
      </c>
      <c r="F11" s="57" t="s">
        <v>87</v>
      </c>
      <c r="G11" s="61"/>
      <c r="H11" s="61"/>
      <c r="I11" s="60"/>
      <c r="J11" s="53"/>
    </row>
    <row r="12" ht="24.75" customHeight="1">
      <c r="A12" s="54">
        <v>30.0</v>
      </c>
      <c r="B12" s="56" t="s">
        <v>113</v>
      </c>
      <c r="C12" s="56" t="s">
        <v>109</v>
      </c>
      <c r="D12" s="56" t="s">
        <v>114</v>
      </c>
      <c r="E12" s="56" t="s">
        <v>111</v>
      </c>
      <c r="F12" s="57" t="s">
        <v>87</v>
      </c>
      <c r="G12" s="61"/>
      <c r="H12" s="61"/>
      <c r="I12" s="60"/>
      <c r="J12" s="53"/>
    </row>
    <row r="13" ht="24.75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118</v>
      </c>
      <c r="F13" s="57" t="s">
        <v>87</v>
      </c>
      <c r="G13" s="61"/>
      <c r="H13" s="61"/>
      <c r="I13" s="60"/>
      <c r="J13" s="53"/>
    </row>
    <row r="14" ht="24.75" hidden="1" customHeight="1">
      <c r="A14" s="54">
        <v>30.0</v>
      </c>
      <c r="B14" s="56" t="s">
        <v>116</v>
      </c>
      <c r="C14" s="56" t="s">
        <v>109</v>
      </c>
      <c r="D14" s="56" t="s">
        <v>117</v>
      </c>
      <c r="E14" s="56" t="s">
        <v>119</v>
      </c>
      <c r="F14" s="57" t="s">
        <v>34</v>
      </c>
      <c r="G14" s="61"/>
      <c r="H14" s="61"/>
      <c r="I14" s="62"/>
      <c r="J14" s="53"/>
    </row>
    <row r="15" ht="24.75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111</v>
      </c>
      <c r="F15" s="57" t="s">
        <v>87</v>
      </c>
      <c r="G15" s="61"/>
      <c r="H15" s="61"/>
      <c r="I15" s="60"/>
      <c r="J15" s="53"/>
    </row>
    <row r="16" ht="24.75" hidden="1" customHeight="1">
      <c r="A16" s="54">
        <v>30.0</v>
      </c>
      <c r="B16" s="56" t="s">
        <v>120</v>
      </c>
      <c r="C16" s="56" t="s">
        <v>109</v>
      </c>
      <c r="D16" s="56" t="s">
        <v>121</v>
      </c>
      <c r="E16" s="56" t="s">
        <v>122</v>
      </c>
      <c r="F16" s="57" t="s">
        <v>34</v>
      </c>
      <c r="G16" s="61"/>
      <c r="H16" s="61"/>
      <c r="I16" s="62"/>
      <c r="J16" s="53"/>
    </row>
    <row r="17" ht="24.75" customHeight="1">
      <c r="A17" s="54">
        <v>30.0</v>
      </c>
      <c r="B17" s="56" t="s">
        <v>123</v>
      </c>
      <c r="C17" s="56" t="s">
        <v>109</v>
      </c>
      <c r="D17" s="56" t="s">
        <v>124</v>
      </c>
      <c r="E17" s="56" t="s">
        <v>86</v>
      </c>
      <c r="F17" s="57" t="s">
        <v>87</v>
      </c>
      <c r="G17" s="61"/>
      <c r="H17" s="61"/>
      <c r="I17" s="60"/>
      <c r="J17" s="53"/>
    </row>
    <row r="18" ht="24.75" hidden="1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129</v>
      </c>
      <c r="F18" s="57" t="s">
        <v>34</v>
      </c>
      <c r="G18" s="61"/>
      <c r="H18" s="61"/>
      <c r="I18" s="62" t="s">
        <v>133</v>
      </c>
      <c r="J18" s="53"/>
    </row>
    <row r="19" ht="24.75" hidden="1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132</v>
      </c>
      <c r="F19" s="57" t="s">
        <v>34</v>
      </c>
      <c r="G19" s="61"/>
      <c r="H19" s="61"/>
      <c r="I19" s="62" t="s">
        <v>133</v>
      </c>
      <c r="J19" s="53"/>
    </row>
    <row r="20" ht="24.75" hidden="1" customHeight="1">
      <c r="A20" s="54">
        <v>31.0</v>
      </c>
      <c r="B20" s="56" t="s">
        <v>126</v>
      </c>
      <c r="C20" s="56" t="s">
        <v>127</v>
      </c>
      <c r="D20" s="56" t="s">
        <v>128</v>
      </c>
      <c r="E20" s="56" t="s">
        <v>134</v>
      </c>
      <c r="F20" s="57" t="s">
        <v>34</v>
      </c>
      <c r="G20" s="61"/>
      <c r="H20" s="61"/>
      <c r="I20" s="62" t="s">
        <v>133</v>
      </c>
      <c r="J20" s="53"/>
    </row>
    <row r="21" ht="24.75" hidden="1" customHeight="1">
      <c r="A21" s="54">
        <v>40.0</v>
      </c>
      <c r="B21" s="56" t="s">
        <v>135</v>
      </c>
      <c r="C21" s="56" t="s">
        <v>136</v>
      </c>
      <c r="D21" s="56" t="s">
        <v>137</v>
      </c>
      <c r="E21" s="56" t="s">
        <v>111</v>
      </c>
      <c r="F21" s="57" t="s">
        <v>34</v>
      </c>
      <c r="G21" s="61"/>
      <c r="H21" s="61"/>
      <c r="I21" s="62"/>
      <c r="J21" s="53"/>
    </row>
    <row r="22" ht="24.75" hidden="1" customHeight="1">
      <c r="A22" s="54">
        <v>40.0</v>
      </c>
      <c r="B22" s="56" t="s">
        <v>139</v>
      </c>
      <c r="C22" s="56" t="s">
        <v>101</v>
      </c>
      <c r="D22" s="56" t="s">
        <v>102</v>
      </c>
      <c r="E22" s="56" t="s">
        <v>111</v>
      </c>
      <c r="F22" s="57" t="s">
        <v>34</v>
      </c>
      <c r="G22" s="61"/>
      <c r="H22" s="61"/>
      <c r="I22" s="62"/>
      <c r="J22" s="53"/>
    </row>
    <row r="23" ht="24.75" hidden="1" customHeight="1">
      <c r="A23" s="54">
        <v>40.0</v>
      </c>
      <c r="B23" s="56" t="s">
        <v>140</v>
      </c>
      <c r="C23" s="56" t="s">
        <v>141</v>
      </c>
      <c r="D23" s="56" t="s">
        <v>142</v>
      </c>
      <c r="E23" s="56" t="s">
        <v>111</v>
      </c>
      <c r="F23" s="57" t="s">
        <v>34</v>
      </c>
      <c r="G23" s="61"/>
      <c r="H23" s="61"/>
      <c r="I23" s="62"/>
      <c r="J23" s="53"/>
    </row>
    <row r="24" ht="24.75" hidden="1" customHeight="1">
      <c r="A24" s="54">
        <v>40.0</v>
      </c>
      <c r="B24" s="56" t="s">
        <v>143</v>
      </c>
      <c r="C24" s="56" t="s">
        <v>144</v>
      </c>
      <c r="D24" s="56" t="s">
        <v>145</v>
      </c>
      <c r="E24" s="56" t="s">
        <v>111</v>
      </c>
      <c r="F24" s="57" t="s">
        <v>34</v>
      </c>
      <c r="G24" s="61"/>
      <c r="H24" s="61"/>
      <c r="I24" s="62"/>
      <c r="J24" s="53"/>
    </row>
    <row r="25" ht="24.75" hidden="1" customHeight="1">
      <c r="A25" s="54">
        <v>50.0</v>
      </c>
      <c r="B25" s="56" t="s">
        <v>147</v>
      </c>
      <c r="C25" s="56" t="s">
        <v>148</v>
      </c>
      <c r="D25" s="56" t="s">
        <v>149</v>
      </c>
      <c r="E25" s="56" t="s">
        <v>150</v>
      </c>
      <c r="F25" s="57" t="s">
        <v>34</v>
      </c>
      <c r="G25" s="61"/>
      <c r="H25" s="61"/>
      <c r="I25" s="62"/>
      <c r="J25" s="53"/>
    </row>
    <row r="26" ht="24.75" hidden="1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111</v>
      </c>
      <c r="F26" s="57" t="s">
        <v>34</v>
      </c>
      <c r="G26" s="61"/>
      <c r="H26" s="61"/>
      <c r="I26" s="62"/>
      <c r="J26" s="53"/>
    </row>
    <row r="27" ht="24.75" hidden="1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153</v>
      </c>
      <c r="F27" s="57" t="s">
        <v>154</v>
      </c>
      <c r="G27" s="61"/>
      <c r="H27" s="61"/>
      <c r="I27" s="62"/>
      <c r="J27" s="53"/>
    </row>
    <row r="28" ht="24.75" hidden="1" customHeight="1">
      <c r="A28" s="54">
        <v>50.0</v>
      </c>
      <c r="B28" s="56" t="s">
        <v>151</v>
      </c>
      <c r="C28" s="56" t="s">
        <v>152</v>
      </c>
      <c r="D28" s="56" t="s">
        <v>152</v>
      </c>
      <c r="E28" s="56" t="s">
        <v>155</v>
      </c>
      <c r="F28" s="57" t="s">
        <v>250</v>
      </c>
      <c r="G28" s="61"/>
      <c r="H28" s="61" t="s">
        <v>159</v>
      </c>
      <c r="I28" s="62" t="s">
        <v>160</v>
      </c>
      <c r="J28" s="53"/>
    </row>
    <row r="29" ht="24.75" hidden="1" customHeight="1">
      <c r="A29" s="54">
        <v>50.0</v>
      </c>
      <c r="B29" s="56" t="s">
        <v>156</v>
      </c>
      <c r="C29" s="56" t="s">
        <v>152</v>
      </c>
      <c r="D29" s="56" t="s">
        <v>157</v>
      </c>
      <c r="E29" s="56" t="s">
        <v>158</v>
      </c>
      <c r="F29" s="57" t="s">
        <v>34</v>
      </c>
      <c r="G29" s="61"/>
      <c r="H29" s="61"/>
      <c r="I29" s="62"/>
      <c r="J29" s="53"/>
    </row>
    <row r="30" ht="24.75" hidden="1" customHeight="1">
      <c r="A30" s="54">
        <v>50.0</v>
      </c>
      <c r="B30" s="56" t="s">
        <v>161</v>
      </c>
      <c r="C30" s="56" t="s">
        <v>152</v>
      </c>
      <c r="D30" s="56" t="s">
        <v>162</v>
      </c>
      <c r="E30" s="56" t="s">
        <v>163</v>
      </c>
      <c r="F30" s="57" t="s">
        <v>34</v>
      </c>
      <c r="G30" s="61"/>
      <c r="H30" s="61"/>
      <c r="I30" s="62"/>
      <c r="J30" s="53"/>
    </row>
    <row r="31" ht="24.75" hidden="1" customHeight="1">
      <c r="A31" s="54">
        <v>60.0</v>
      </c>
      <c r="B31" s="56" t="s">
        <v>164</v>
      </c>
      <c r="C31" s="56" t="s">
        <v>165</v>
      </c>
      <c r="D31" s="56" t="s">
        <v>166</v>
      </c>
      <c r="E31" s="56" t="s">
        <v>167</v>
      </c>
      <c r="F31" s="57" t="s">
        <v>154</v>
      </c>
      <c r="G31" s="61"/>
      <c r="H31" s="61"/>
      <c r="I31" s="62"/>
      <c r="J31" s="53"/>
    </row>
    <row r="32" ht="24.75" hidden="1" customHeight="1">
      <c r="A32" s="54">
        <v>60.0</v>
      </c>
      <c r="B32" s="56" t="s">
        <v>169</v>
      </c>
      <c r="C32" s="56" t="s">
        <v>165</v>
      </c>
      <c r="D32" s="56" t="s">
        <v>170</v>
      </c>
      <c r="E32" s="56" t="s">
        <v>167</v>
      </c>
      <c r="F32" s="57" t="s">
        <v>154</v>
      </c>
      <c r="G32" s="61"/>
      <c r="H32" s="61"/>
      <c r="I32" s="62"/>
      <c r="J32" s="53"/>
    </row>
    <row r="33" ht="24.75" hidden="1" customHeight="1">
      <c r="A33" s="54">
        <v>60.0</v>
      </c>
      <c r="B33" s="56" t="s">
        <v>171</v>
      </c>
      <c r="C33" s="56" t="s">
        <v>165</v>
      </c>
      <c r="D33" s="56" t="s">
        <v>172</v>
      </c>
      <c r="E33" s="56" t="s">
        <v>167</v>
      </c>
      <c r="F33" s="57" t="s">
        <v>154</v>
      </c>
      <c r="G33" s="61"/>
      <c r="H33" s="61"/>
      <c r="I33" s="62"/>
      <c r="J33" s="53"/>
    </row>
    <row r="34" ht="24.75" hidden="1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167</v>
      </c>
      <c r="F34" s="57" t="s">
        <v>154</v>
      </c>
      <c r="G34" s="61"/>
      <c r="H34" s="61"/>
      <c r="I34" s="62"/>
      <c r="J34" s="53"/>
    </row>
    <row r="35" ht="24.75" hidden="1" customHeight="1">
      <c r="A35" s="54">
        <v>60.0</v>
      </c>
      <c r="B35" s="56" t="s">
        <v>174</v>
      </c>
      <c r="C35" s="56" t="s">
        <v>165</v>
      </c>
      <c r="D35" s="56" t="s">
        <v>175</v>
      </c>
      <c r="E35" s="56" t="s">
        <v>176</v>
      </c>
      <c r="F35" s="57" t="s">
        <v>154</v>
      </c>
      <c r="G35" s="61"/>
      <c r="H35" s="61"/>
      <c r="I35" s="62"/>
      <c r="J35" s="53"/>
    </row>
    <row r="36" ht="24.75" hidden="1" customHeight="1">
      <c r="A36" s="54">
        <v>60.0</v>
      </c>
      <c r="B36" s="56" t="s">
        <v>177</v>
      </c>
      <c r="C36" s="56" t="s">
        <v>165</v>
      </c>
      <c r="D36" s="56" t="s">
        <v>178</v>
      </c>
      <c r="E36" s="56" t="s">
        <v>111</v>
      </c>
      <c r="F36" s="57" t="s">
        <v>154</v>
      </c>
      <c r="G36" s="61"/>
      <c r="H36" s="61"/>
      <c r="I36" s="62"/>
      <c r="J36" s="53"/>
    </row>
    <row r="37" ht="24.75" hidden="1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167</v>
      </c>
      <c r="F37" s="57" t="s">
        <v>154</v>
      </c>
      <c r="G37" s="61"/>
      <c r="H37" s="61"/>
      <c r="I37" s="62"/>
      <c r="J37" s="53"/>
    </row>
    <row r="38" ht="24.75" hidden="1" customHeight="1">
      <c r="A38" s="54">
        <v>60.0</v>
      </c>
      <c r="B38" s="56" t="s">
        <v>179</v>
      </c>
      <c r="C38" s="56" t="s">
        <v>165</v>
      </c>
      <c r="D38" s="56" t="s">
        <v>180</v>
      </c>
      <c r="E38" s="56" t="s">
        <v>176</v>
      </c>
      <c r="F38" s="57" t="s">
        <v>154</v>
      </c>
      <c r="G38" s="61"/>
      <c r="H38" s="61"/>
      <c r="I38" s="62"/>
      <c r="J38" s="53"/>
    </row>
    <row r="39" ht="24.75" hidden="1" customHeight="1">
      <c r="A39" s="54">
        <v>60.0</v>
      </c>
      <c r="B39" s="56" t="s">
        <v>181</v>
      </c>
      <c r="C39" s="56" t="s">
        <v>165</v>
      </c>
      <c r="D39" s="56" t="s">
        <v>178</v>
      </c>
      <c r="E39" s="56" t="s">
        <v>167</v>
      </c>
      <c r="F39" s="57" t="s">
        <v>154</v>
      </c>
      <c r="G39" s="61"/>
      <c r="H39" s="61"/>
      <c r="I39" s="62" t="s">
        <v>14</v>
      </c>
      <c r="J39" s="53"/>
    </row>
    <row r="40" ht="24.75" hidden="1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167</v>
      </c>
      <c r="F40" s="57" t="s">
        <v>154</v>
      </c>
      <c r="G40" s="61"/>
      <c r="H40" s="61"/>
      <c r="I40" s="62"/>
      <c r="J40" s="53"/>
    </row>
    <row r="41" ht="24.75" hidden="1" customHeight="1">
      <c r="A41" s="54">
        <v>60.0</v>
      </c>
      <c r="B41" s="56" t="s">
        <v>182</v>
      </c>
      <c r="C41" s="56" t="s">
        <v>165</v>
      </c>
      <c r="D41" s="56" t="s">
        <v>183</v>
      </c>
      <c r="E41" s="56" t="s">
        <v>176</v>
      </c>
      <c r="F41" s="57" t="s">
        <v>154</v>
      </c>
      <c r="G41" s="61"/>
      <c r="H41" s="61"/>
      <c r="I41" s="62"/>
      <c r="J41" s="53"/>
    </row>
    <row r="42" ht="24.75" hidden="1" customHeight="1">
      <c r="A42" s="54">
        <v>60.0</v>
      </c>
      <c r="B42" s="56" t="s">
        <v>184</v>
      </c>
      <c r="C42" s="56" t="s">
        <v>165</v>
      </c>
      <c r="D42" s="56" t="s">
        <v>178</v>
      </c>
      <c r="E42" s="56" t="s">
        <v>167</v>
      </c>
      <c r="F42" s="57" t="s">
        <v>154</v>
      </c>
      <c r="G42" s="61"/>
      <c r="H42" s="61"/>
      <c r="I42" s="62"/>
      <c r="J42" s="53"/>
    </row>
    <row r="43" ht="24.75" hidden="1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167</v>
      </c>
      <c r="F43" s="57" t="s">
        <v>154</v>
      </c>
      <c r="G43" s="61"/>
      <c r="H43" s="61"/>
      <c r="I43" s="62"/>
      <c r="J43" s="53"/>
    </row>
    <row r="44" ht="24.75" hidden="1" customHeight="1">
      <c r="A44" s="54">
        <v>60.0</v>
      </c>
      <c r="B44" s="56" t="s">
        <v>185</v>
      </c>
      <c r="C44" s="56" t="s">
        <v>165</v>
      </c>
      <c r="D44" s="56" t="s">
        <v>186</v>
      </c>
      <c r="E44" s="56" t="s">
        <v>176</v>
      </c>
      <c r="F44" s="57" t="s">
        <v>154</v>
      </c>
      <c r="G44" s="61"/>
      <c r="H44" s="61"/>
      <c r="I44" s="62"/>
      <c r="J44" s="53"/>
    </row>
    <row r="45" ht="24.75" hidden="1" customHeight="1">
      <c r="A45" s="54">
        <v>60.0</v>
      </c>
      <c r="B45" s="56" t="s">
        <v>187</v>
      </c>
      <c r="C45" s="56" t="s">
        <v>165</v>
      </c>
      <c r="D45" s="56" t="s">
        <v>178</v>
      </c>
      <c r="E45" s="56" t="s">
        <v>167</v>
      </c>
      <c r="F45" s="57" t="s">
        <v>154</v>
      </c>
      <c r="G45" s="61"/>
      <c r="H45" s="61"/>
      <c r="I45" s="62"/>
      <c r="J45" s="53"/>
    </row>
    <row r="46" ht="24.75" hidden="1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191</v>
      </c>
      <c r="F46" s="57" t="s">
        <v>192</v>
      </c>
      <c r="G46" s="61"/>
      <c r="H46" s="61"/>
      <c r="I46" s="62"/>
      <c r="J46" s="53"/>
    </row>
    <row r="47" ht="24.75" hidden="1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194</v>
      </c>
      <c r="F47" s="57" t="s">
        <v>192</v>
      </c>
      <c r="G47" s="61"/>
      <c r="H47" s="61"/>
      <c r="I47" s="62"/>
      <c r="J47" s="53"/>
    </row>
    <row r="48" ht="24.75" hidden="1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195</v>
      </c>
      <c r="F48" s="57" t="s">
        <v>34</v>
      </c>
      <c r="G48" s="61"/>
      <c r="H48" s="61" t="s">
        <v>197</v>
      </c>
      <c r="I48" s="62"/>
      <c r="J48" s="53"/>
    </row>
    <row r="49" ht="24.75" hidden="1" customHeight="1">
      <c r="A49" s="54">
        <v>80.0</v>
      </c>
      <c r="B49" s="56" t="s">
        <v>188</v>
      </c>
      <c r="C49" s="56" t="s">
        <v>189</v>
      </c>
      <c r="D49" s="56" t="s">
        <v>190</v>
      </c>
      <c r="E49" s="56" t="s">
        <v>196</v>
      </c>
      <c r="F49" s="57" t="s">
        <v>250</v>
      </c>
      <c r="G49" s="61"/>
      <c r="H49" s="61" t="s">
        <v>200</v>
      </c>
      <c r="I49" s="62" t="s">
        <v>201</v>
      </c>
      <c r="J49" s="53"/>
    </row>
    <row r="50" ht="24.75" hidden="1" customHeight="1">
      <c r="A50" s="54">
        <v>80.0</v>
      </c>
      <c r="B50" s="56" t="s">
        <v>198</v>
      </c>
      <c r="C50" s="56" t="s">
        <v>189</v>
      </c>
      <c r="D50" s="56" t="s">
        <v>199</v>
      </c>
      <c r="E50" s="56" t="s">
        <v>163</v>
      </c>
      <c r="F50" s="57" t="s">
        <v>154</v>
      </c>
      <c r="G50" s="61"/>
      <c r="H50" s="61"/>
      <c r="I50" s="62" t="s">
        <v>207</v>
      </c>
      <c r="J50" s="53"/>
    </row>
    <row r="51" ht="24.75" hidden="1" customHeight="1">
      <c r="A51" s="54">
        <v>80.0</v>
      </c>
      <c r="B51" s="56" t="s">
        <v>203</v>
      </c>
      <c r="C51" s="56" t="s">
        <v>204</v>
      </c>
      <c r="D51" s="56" t="s">
        <v>205</v>
      </c>
      <c r="E51" s="56" t="s">
        <v>208</v>
      </c>
      <c r="F51" s="57" t="s">
        <v>154</v>
      </c>
      <c r="G51" s="61"/>
      <c r="H51" s="61"/>
      <c r="I51" s="62" t="s">
        <v>207</v>
      </c>
      <c r="J51" s="53"/>
    </row>
    <row r="52" ht="24.75" hidden="1" customHeight="1">
      <c r="A52" s="54">
        <v>80.0</v>
      </c>
      <c r="B52" s="56" t="s">
        <v>210</v>
      </c>
      <c r="C52" s="56" t="s">
        <v>189</v>
      </c>
      <c r="D52" s="56" t="s">
        <v>212</v>
      </c>
      <c r="E52" s="56" t="s">
        <v>213</v>
      </c>
      <c r="F52" s="57"/>
      <c r="G52" s="61"/>
      <c r="H52" s="61"/>
      <c r="I52" s="62"/>
      <c r="J52" s="53"/>
    </row>
    <row r="53" ht="24.75" hidden="1" customHeight="1">
      <c r="A53" s="54">
        <v>80.0</v>
      </c>
      <c r="B53" s="56" t="s">
        <v>214</v>
      </c>
      <c r="C53" s="56" t="s">
        <v>204</v>
      </c>
      <c r="D53" s="56" t="s">
        <v>215</v>
      </c>
      <c r="E53" s="56" t="s">
        <v>216</v>
      </c>
      <c r="F53" s="57" t="s">
        <v>154</v>
      </c>
      <c r="G53" s="61"/>
      <c r="H53" s="61"/>
      <c r="I53" s="62" t="s">
        <v>207</v>
      </c>
      <c r="J53" s="53"/>
    </row>
    <row r="54" ht="24.75" hidden="1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217</v>
      </c>
      <c r="F54" s="57" t="s">
        <v>154</v>
      </c>
      <c r="G54" s="61"/>
      <c r="H54" s="61"/>
      <c r="I54" s="62" t="s">
        <v>207</v>
      </c>
      <c r="J54" s="53"/>
    </row>
    <row r="55" ht="24.75" hidden="1" customHeight="1">
      <c r="A55" s="54">
        <v>80.0</v>
      </c>
      <c r="B55" s="56" t="s">
        <v>214</v>
      </c>
      <c r="C55" s="56" t="s">
        <v>204</v>
      </c>
      <c r="D55" s="56" t="s">
        <v>215</v>
      </c>
      <c r="E55" s="56" t="s">
        <v>163</v>
      </c>
      <c r="F55" s="57" t="s">
        <v>154</v>
      </c>
      <c r="G55" s="61"/>
      <c r="H55" s="61"/>
      <c r="I55" s="62" t="s">
        <v>207</v>
      </c>
      <c r="J55" s="53"/>
    </row>
    <row r="56" ht="24.75" hidden="1" customHeight="1">
      <c r="A56" s="54">
        <v>80.0</v>
      </c>
      <c r="B56" s="56" t="s">
        <v>218</v>
      </c>
      <c r="C56" s="56" t="s">
        <v>204</v>
      </c>
      <c r="D56" s="56" t="s">
        <v>219</v>
      </c>
      <c r="E56" s="56" t="s">
        <v>191</v>
      </c>
      <c r="F56" s="57" t="s">
        <v>192</v>
      </c>
      <c r="G56" s="61"/>
      <c r="H56" s="61"/>
      <c r="I56" s="62"/>
      <c r="J56" s="53"/>
    </row>
    <row r="57" ht="24.75" hidden="1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194</v>
      </c>
      <c r="F57" s="57" t="s">
        <v>192</v>
      </c>
      <c r="G57" s="61"/>
      <c r="H57" s="61"/>
      <c r="I57" s="62"/>
      <c r="J57" s="53"/>
    </row>
    <row r="58" ht="24.75" hidden="1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195</v>
      </c>
      <c r="F58" s="57" t="s">
        <v>34</v>
      </c>
      <c r="G58" s="61"/>
      <c r="H58" s="61" t="s">
        <v>197</v>
      </c>
      <c r="I58" s="62"/>
      <c r="J58" s="53"/>
    </row>
    <row r="59" ht="24.75" hidden="1" customHeight="1">
      <c r="A59" s="54">
        <v>80.0</v>
      </c>
      <c r="B59" s="56" t="s">
        <v>218</v>
      </c>
      <c r="C59" s="56" t="s">
        <v>204</v>
      </c>
      <c r="D59" s="56" t="s">
        <v>219</v>
      </c>
      <c r="E59" s="56" t="s">
        <v>196</v>
      </c>
      <c r="F59" s="57" t="s">
        <v>250</v>
      </c>
      <c r="G59" s="61"/>
      <c r="H59" s="61" t="s">
        <v>200</v>
      </c>
      <c r="I59" s="62" t="s">
        <v>201</v>
      </c>
      <c r="J59" s="53"/>
    </row>
    <row r="60" ht="24.75" hidden="1" customHeight="1">
      <c r="A60" s="54">
        <v>80.0</v>
      </c>
      <c r="B60" s="56" t="s">
        <v>220</v>
      </c>
      <c r="C60" s="56" t="s">
        <v>204</v>
      </c>
      <c r="D60" s="56" t="s">
        <v>221</v>
      </c>
      <c r="E60" s="56" t="s">
        <v>222</v>
      </c>
      <c r="F60" s="57" t="s">
        <v>154</v>
      </c>
      <c r="G60" s="61"/>
      <c r="H60" s="61"/>
      <c r="I60" s="62"/>
      <c r="J60" s="53"/>
    </row>
    <row r="61" ht="24.75" hidden="1" customHeight="1">
      <c r="A61" s="54">
        <v>80.0</v>
      </c>
      <c r="B61" s="56" t="s">
        <v>223</v>
      </c>
      <c r="C61" s="56" t="s">
        <v>204</v>
      </c>
      <c r="D61" s="56" t="s">
        <v>224</v>
      </c>
      <c r="E61" s="56" t="s">
        <v>225</v>
      </c>
      <c r="F61" s="57" t="s">
        <v>34</v>
      </c>
      <c r="G61" s="61"/>
      <c r="H61" s="61"/>
      <c r="I61" s="62"/>
      <c r="J61" s="53"/>
    </row>
    <row r="62" ht="24.75" hidden="1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167</v>
      </c>
      <c r="F62" s="57" t="s">
        <v>154</v>
      </c>
      <c r="G62" s="61"/>
      <c r="H62" s="61"/>
      <c r="I62" s="62"/>
      <c r="J62" s="53"/>
    </row>
    <row r="63" ht="24.75" hidden="1" customHeight="1">
      <c r="A63" s="54">
        <v>80.0</v>
      </c>
      <c r="B63" s="56" t="s">
        <v>223</v>
      </c>
      <c r="C63" s="56" t="s">
        <v>204</v>
      </c>
      <c r="D63" s="56" t="s">
        <v>224</v>
      </c>
      <c r="E63" s="56" t="s">
        <v>226</v>
      </c>
      <c r="F63" s="57" t="s">
        <v>154</v>
      </c>
      <c r="G63" s="61"/>
      <c r="H63" s="61"/>
      <c r="I63" s="62"/>
      <c r="J63" s="53"/>
    </row>
    <row r="64" ht="24.75" hidden="1" customHeight="1">
      <c r="A64" s="54">
        <v>80.0</v>
      </c>
      <c r="B64" s="56" t="s">
        <v>227</v>
      </c>
      <c r="C64" s="56" t="s">
        <v>228</v>
      </c>
      <c r="D64" s="56" t="s">
        <v>229</v>
      </c>
      <c r="E64" s="56" t="s">
        <v>230</v>
      </c>
      <c r="F64" s="57" t="s">
        <v>154</v>
      </c>
      <c r="G64" s="61"/>
      <c r="H64" s="61"/>
      <c r="I64" s="62"/>
      <c r="J64" s="53"/>
    </row>
    <row r="65" ht="24.75" hidden="1" customHeight="1">
      <c r="A65" s="54">
        <v>80.0</v>
      </c>
      <c r="B65" s="56" t="s">
        <v>227</v>
      </c>
      <c r="C65" s="56" t="s">
        <v>228</v>
      </c>
      <c r="D65" s="56" t="s">
        <v>231</v>
      </c>
      <c r="E65" s="56" t="s">
        <v>232</v>
      </c>
      <c r="F65" s="57" t="s">
        <v>250</v>
      </c>
      <c r="G65" s="61"/>
      <c r="H65" s="61" t="s">
        <v>200</v>
      </c>
      <c r="I65" s="62" t="s">
        <v>240</v>
      </c>
      <c r="J65" s="53"/>
    </row>
    <row r="66" ht="24.75" customHeight="1">
      <c r="A66" s="54">
        <v>92.0</v>
      </c>
      <c r="B66" s="56" t="s">
        <v>233</v>
      </c>
      <c r="C66" s="56" t="s">
        <v>234</v>
      </c>
      <c r="D66" s="56" t="s">
        <v>235</v>
      </c>
      <c r="E66" s="56" t="s">
        <v>111</v>
      </c>
      <c r="F66" s="57" t="s">
        <v>87</v>
      </c>
      <c r="G66" s="61"/>
      <c r="H66" s="61"/>
      <c r="I66" s="60" t="s">
        <v>243</v>
      </c>
      <c r="J66" s="53"/>
    </row>
    <row r="67" ht="24.75" hidden="1" customHeight="1">
      <c r="A67" s="54">
        <v>90.0</v>
      </c>
      <c r="B67" s="56" t="s">
        <v>236</v>
      </c>
      <c r="C67" s="56" t="s">
        <v>237</v>
      </c>
      <c r="D67" s="56" t="s">
        <v>238</v>
      </c>
      <c r="E67" s="56" t="s">
        <v>239</v>
      </c>
      <c r="F67" s="57" t="s">
        <v>34</v>
      </c>
      <c r="G67" s="61"/>
      <c r="H67" s="61"/>
      <c r="I67" s="62" t="s">
        <v>245</v>
      </c>
      <c r="J67" s="53"/>
    </row>
    <row r="68" ht="24.75" hidden="1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241</v>
      </c>
      <c r="F68" s="57" t="s">
        <v>34</v>
      </c>
      <c r="G68" s="61"/>
      <c r="H68" s="61"/>
      <c r="I68" s="62" t="s">
        <v>245</v>
      </c>
      <c r="J68" s="53"/>
    </row>
    <row r="69" ht="24.75" hidden="1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242</v>
      </c>
      <c r="F69" s="57" t="s">
        <v>34</v>
      </c>
      <c r="G69" s="61"/>
      <c r="H69" s="61"/>
      <c r="I69" s="62" t="s">
        <v>245</v>
      </c>
      <c r="J69" s="53"/>
    </row>
    <row r="70" ht="24.75" hidden="1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244</v>
      </c>
      <c r="F70" s="57" t="s">
        <v>34</v>
      </c>
      <c r="G70" s="61"/>
      <c r="H70" s="61"/>
      <c r="I70" s="62" t="s">
        <v>245</v>
      </c>
      <c r="J70" s="53"/>
    </row>
    <row r="71" ht="24.75" hidden="1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247</v>
      </c>
      <c r="F71" s="57" t="s">
        <v>34</v>
      </c>
      <c r="G71" s="61"/>
      <c r="H71" s="61"/>
      <c r="I71" s="62" t="s">
        <v>245</v>
      </c>
      <c r="J71" s="53"/>
    </row>
    <row r="72" ht="24.75" hidden="1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248</v>
      </c>
      <c r="F72" s="57" t="s">
        <v>34</v>
      </c>
      <c r="G72" s="61"/>
      <c r="H72" s="61"/>
      <c r="I72" s="62"/>
      <c r="J72" s="53"/>
    </row>
    <row r="73" ht="24.75" hidden="1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252</v>
      </c>
      <c r="F73" s="57" t="s">
        <v>34</v>
      </c>
      <c r="G73" s="61"/>
      <c r="H73" s="61"/>
      <c r="I73" s="62" t="s">
        <v>245</v>
      </c>
      <c r="J73" s="53"/>
    </row>
    <row r="74" ht="24.75" customHeight="1">
      <c r="A74" s="54">
        <v>92.0</v>
      </c>
      <c r="B74" s="56" t="s">
        <v>253</v>
      </c>
      <c r="C74" s="56" t="s">
        <v>234</v>
      </c>
      <c r="D74" s="56" t="s">
        <v>254</v>
      </c>
      <c r="E74" s="56" t="s">
        <v>111</v>
      </c>
      <c r="F74" s="57" t="s">
        <v>87</v>
      </c>
      <c r="G74" s="61"/>
      <c r="H74" s="61"/>
      <c r="I74" s="60" t="s">
        <v>243</v>
      </c>
      <c r="J74" s="53"/>
    </row>
    <row r="75" ht="24.75" customHeight="1">
      <c r="A75" s="54">
        <v>92.0</v>
      </c>
      <c r="B75" s="56" t="s">
        <v>255</v>
      </c>
      <c r="C75" s="56" t="s">
        <v>234</v>
      </c>
      <c r="D75" s="56" t="s">
        <v>256</v>
      </c>
      <c r="E75" s="56" t="s">
        <v>257</v>
      </c>
      <c r="F75" s="57" t="s">
        <v>87</v>
      </c>
      <c r="G75" s="61"/>
      <c r="H75" s="61"/>
      <c r="I75" s="60"/>
      <c r="J75" s="53"/>
    </row>
    <row r="76" ht="24.75" customHeight="1">
      <c r="A76" s="54">
        <v>110.0</v>
      </c>
      <c r="B76" s="56" t="s">
        <v>258</v>
      </c>
      <c r="C76" s="56" t="s">
        <v>259</v>
      </c>
      <c r="D76" s="56" t="s">
        <v>85</v>
      </c>
      <c r="E76" s="56" t="s">
        <v>86</v>
      </c>
      <c r="F76" s="57" t="s">
        <v>87</v>
      </c>
      <c r="G76" s="61"/>
      <c r="H76" s="61"/>
      <c r="I76" s="60" t="s">
        <v>88</v>
      </c>
      <c r="J76" s="53"/>
    </row>
    <row r="77" ht="24.75" customHeight="1">
      <c r="A77" s="54">
        <v>110.0</v>
      </c>
      <c r="B77" s="56" t="s">
        <v>260</v>
      </c>
      <c r="C77" s="56" t="s">
        <v>259</v>
      </c>
      <c r="D77" s="56" t="s">
        <v>261</v>
      </c>
      <c r="E77" s="56" t="s">
        <v>86</v>
      </c>
      <c r="F77" s="57" t="s">
        <v>87</v>
      </c>
      <c r="G77" s="61"/>
      <c r="H77" s="61"/>
      <c r="I77" s="60" t="s">
        <v>88</v>
      </c>
      <c r="J77" s="53"/>
    </row>
    <row r="78" ht="24.75" customHeight="1">
      <c r="A78" s="54">
        <v>120.0</v>
      </c>
      <c r="B78" s="56" t="s">
        <v>262</v>
      </c>
      <c r="C78" s="56" t="s">
        <v>263</v>
      </c>
      <c r="D78" s="56" t="s">
        <v>263</v>
      </c>
      <c r="E78" s="56" t="s">
        <v>264</v>
      </c>
      <c r="F78" s="57" t="s">
        <v>87</v>
      </c>
      <c r="G78" s="61"/>
      <c r="H78" s="61"/>
      <c r="I78" s="60" t="s">
        <v>273</v>
      </c>
      <c r="J78" s="53"/>
    </row>
    <row r="79" ht="24.75" hidden="1" customHeight="1">
      <c r="A79" s="54">
        <v>90.0</v>
      </c>
      <c r="B79" s="56" t="s">
        <v>265</v>
      </c>
      <c r="C79" s="56" t="s">
        <v>237</v>
      </c>
      <c r="D79" s="56" t="s">
        <v>266</v>
      </c>
      <c r="E79" s="56" t="s">
        <v>267</v>
      </c>
      <c r="F79" s="57" t="s">
        <v>192</v>
      </c>
      <c r="G79" s="61"/>
      <c r="H79" s="61"/>
      <c r="I79" s="62" t="s">
        <v>245</v>
      </c>
      <c r="J79" s="53"/>
    </row>
    <row r="80" ht="24.75" hidden="1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268</v>
      </c>
      <c r="F80" s="57" t="s">
        <v>34</v>
      </c>
      <c r="G80" s="61"/>
      <c r="H80" s="61"/>
      <c r="I80" s="62" t="s">
        <v>245</v>
      </c>
      <c r="J80" s="53"/>
    </row>
    <row r="81" ht="24.75" customHeight="1">
      <c r="A81" s="54">
        <v>140.0</v>
      </c>
      <c r="B81" s="56" t="s">
        <v>269</v>
      </c>
      <c r="C81" s="56" t="s">
        <v>270</v>
      </c>
      <c r="D81" s="56" t="s">
        <v>271</v>
      </c>
      <c r="E81" s="56" t="s">
        <v>272</v>
      </c>
      <c r="F81" s="57" t="s">
        <v>87</v>
      </c>
      <c r="G81" s="61"/>
      <c r="H81" s="61"/>
      <c r="I81" s="60"/>
      <c r="J81" s="53"/>
    </row>
    <row r="82" ht="24.75" hidden="1" customHeight="1">
      <c r="A82" s="54">
        <v>90.0</v>
      </c>
      <c r="B82" s="56" t="s">
        <v>274</v>
      </c>
      <c r="C82" s="56" t="s">
        <v>237</v>
      </c>
      <c r="D82" s="56" t="s">
        <v>275</v>
      </c>
      <c r="E82" s="56" t="s">
        <v>239</v>
      </c>
      <c r="F82" s="57" t="s">
        <v>34</v>
      </c>
      <c r="G82" s="61"/>
      <c r="H82" s="61"/>
      <c r="I82" s="62" t="s">
        <v>245</v>
      </c>
      <c r="J82" s="53"/>
    </row>
    <row r="83" ht="24.75" hidden="1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248</v>
      </c>
      <c r="F83" s="57" t="s">
        <v>34</v>
      </c>
      <c r="G83" s="61"/>
      <c r="H83" s="61"/>
      <c r="I83" s="62"/>
      <c r="J83" s="53"/>
    </row>
    <row r="84" ht="24.75" customHeight="1">
      <c r="A84" s="54">
        <v>140.0</v>
      </c>
      <c r="B84" s="56" t="s">
        <v>269</v>
      </c>
      <c r="C84" s="56" t="s">
        <v>270</v>
      </c>
      <c r="D84" s="56" t="s">
        <v>271</v>
      </c>
      <c r="E84" s="56" t="s">
        <v>276</v>
      </c>
      <c r="F84" s="57" t="s">
        <v>87</v>
      </c>
      <c r="G84" s="61"/>
      <c r="H84" s="61"/>
      <c r="I84" s="60" t="s">
        <v>88</v>
      </c>
      <c r="J84" s="53"/>
    </row>
    <row r="85" ht="24.75" hidden="1" customHeight="1">
      <c r="A85" s="54">
        <v>90.0</v>
      </c>
      <c r="B85" s="56" t="s">
        <v>277</v>
      </c>
      <c r="C85" s="56" t="s">
        <v>278</v>
      </c>
      <c r="D85" s="56" t="s">
        <v>279</v>
      </c>
      <c r="E85" s="56" t="s">
        <v>239</v>
      </c>
      <c r="F85" s="57" t="s">
        <v>34</v>
      </c>
      <c r="G85" s="61"/>
      <c r="H85" s="61"/>
      <c r="I85" s="62" t="s">
        <v>283</v>
      </c>
      <c r="J85" s="53"/>
    </row>
    <row r="86" ht="24.75" hidden="1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163</v>
      </c>
      <c r="F86" s="57" t="s">
        <v>34</v>
      </c>
      <c r="G86" s="61"/>
      <c r="H86" s="61"/>
      <c r="I86" s="62" t="s">
        <v>283</v>
      </c>
      <c r="J86" s="53"/>
    </row>
    <row r="87" ht="24.75" hidden="1" customHeight="1">
      <c r="A87" s="54">
        <v>90.0</v>
      </c>
      <c r="B87" s="56" t="s">
        <v>277</v>
      </c>
      <c r="C87" s="56" t="s">
        <v>278</v>
      </c>
      <c r="D87" s="56" t="s">
        <v>279</v>
      </c>
      <c r="E87" s="56" t="s">
        <v>241</v>
      </c>
      <c r="F87" s="57" t="s">
        <v>34</v>
      </c>
      <c r="G87" s="61"/>
      <c r="H87" s="61"/>
      <c r="I87" s="62" t="s">
        <v>283</v>
      </c>
      <c r="J87" s="53"/>
    </row>
    <row r="88" ht="24.75" hidden="1" customHeight="1">
      <c r="A88" s="54">
        <v>90.0</v>
      </c>
      <c r="B88" s="56" t="s">
        <v>280</v>
      </c>
      <c r="C88" s="56" t="s">
        <v>278</v>
      </c>
      <c r="D88" s="56" t="s">
        <v>281</v>
      </c>
      <c r="E88" s="56" t="s">
        <v>196</v>
      </c>
      <c r="F88" s="57" t="s">
        <v>250</v>
      </c>
      <c r="G88" s="61"/>
      <c r="H88" s="61" t="s">
        <v>287</v>
      </c>
      <c r="I88" s="62" t="s">
        <v>288</v>
      </c>
      <c r="J88" s="53"/>
    </row>
    <row r="89" ht="24.75" customHeight="1">
      <c r="A89" s="54">
        <v>140.0</v>
      </c>
      <c r="B89" s="56" t="s">
        <v>284</v>
      </c>
      <c r="C89" s="56" t="s">
        <v>270</v>
      </c>
      <c r="D89" s="56" t="s">
        <v>285</v>
      </c>
      <c r="E89" s="56" t="s">
        <v>272</v>
      </c>
      <c r="F89" s="57" t="s">
        <v>87</v>
      </c>
      <c r="G89" s="61"/>
      <c r="H89" s="61"/>
      <c r="I89" s="60"/>
      <c r="J89" s="53"/>
    </row>
    <row r="90" ht="24.75" customHeight="1">
      <c r="A90" s="54">
        <v>140.0</v>
      </c>
      <c r="B90" s="56" t="s">
        <v>284</v>
      </c>
      <c r="C90" s="56" t="s">
        <v>270</v>
      </c>
      <c r="D90" s="56" t="s">
        <v>285</v>
      </c>
      <c r="E90" s="56" t="s">
        <v>276</v>
      </c>
      <c r="F90" s="57" t="s">
        <v>87</v>
      </c>
      <c r="G90" s="61"/>
      <c r="H90" s="61"/>
      <c r="I90" s="60" t="s">
        <v>88</v>
      </c>
      <c r="J90" s="53"/>
    </row>
    <row r="91" ht="24.75" hidden="1" customHeight="1">
      <c r="A91" s="54">
        <v>90.0</v>
      </c>
      <c r="B91" s="56" t="s">
        <v>286</v>
      </c>
      <c r="C91" s="56" t="s">
        <v>278</v>
      </c>
      <c r="D91" s="56" t="s">
        <v>266</v>
      </c>
      <c r="E91" s="56" t="s">
        <v>268</v>
      </c>
      <c r="F91" s="57" t="s">
        <v>34</v>
      </c>
      <c r="G91" s="61"/>
      <c r="H91" s="61"/>
      <c r="I91" s="62" t="s">
        <v>283</v>
      </c>
      <c r="J91" s="53"/>
    </row>
    <row r="92" ht="24.75" customHeight="1">
      <c r="A92" s="54" t="s">
        <v>289</v>
      </c>
      <c r="B92" s="56" t="s">
        <v>290</v>
      </c>
      <c r="C92" s="56" t="s">
        <v>291</v>
      </c>
      <c r="D92" s="56" t="s">
        <v>292</v>
      </c>
      <c r="E92" s="56" t="s">
        <v>167</v>
      </c>
      <c r="F92" s="57" t="s">
        <v>87</v>
      </c>
      <c r="G92" s="61"/>
      <c r="H92" s="79"/>
      <c r="I92" s="60"/>
      <c r="J92" s="53"/>
    </row>
    <row r="93" ht="24.75" hidden="1" customHeight="1">
      <c r="A93" s="54">
        <v>90.0</v>
      </c>
      <c r="B93" s="56" t="s">
        <v>294</v>
      </c>
      <c r="C93" s="56" t="s">
        <v>278</v>
      </c>
      <c r="D93" s="56" t="s">
        <v>275</v>
      </c>
      <c r="E93" s="56" t="s">
        <v>239</v>
      </c>
      <c r="F93" s="57" t="s">
        <v>34</v>
      </c>
      <c r="G93" s="61"/>
      <c r="H93" s="61"/>
      <c r="I93" s="62"/>
      <c r="J93" s="53"/>
    </row>
    <row r="94" ht="24.75" customHeight="1">
      <c r="A94" s="54" t="s">
        <v>289</v>
      </c>
      <c r="B94" s="56" t="s">
        <v>290</v>
      </c>
      <c r="C94" s="56" t="s">
        <v>291</v>
      </c>
      <c r="D94" s="56" t="s">
        <v>292</v>
      </c>
      <c r="E94" s="56" t="s">
        <v>295</v>
      </c>
      <c r="F94" s="57" t="s">
        <v>87</v>
      </c>
      <c r="G94" s="61"/>
      <c r="H94" s="79"/>
      <c r="I94" s="60"/>
      <c r="J94" s="53"/>
    </row>
    <row r="95" ht="24.75" hidden="1" customHeight="1">
      <c r="A95" s="54">
        <v>92.0</v>
      </c>
      <c r="B95" s="56" t="s">
        <v>233</v>
      </c>
      <c r="C95" s="56" t="s">
        <v>234</v>
      </c>
      <c r="D95" s="56" t="s">
        <v>296</v>
      </c>
      <c r="E95" s="56" t="s">
        <v>297</v>
      </c>
      <c r="F95" s="57"/>
      <c r="G95" s="61"/>
      <c r="H95" s="61"/>
      <c r="I95" s="62" t="s">
        <v>283</v>
      </c>
      <c r="J95" s="53"/>
    </row>
    <row r="96" ht="24.75" hidden="1" customHeight="1">
      <c r="A96" s="54">
        <v>90.0</v>
      </c>
      <c r="B96" s="56" t="s">
        <v>298</v>
      </c>
      <c r="C96" s="56" t="s">
        <v>278</v>
      </c>
      <c r="D96" s="56" t="s">
        <v>299</v>
      </c>
      <c r="E96" s="56" t="s">
        <v>167</v>
      </c>
      <c r="F96" s="57" t="s">
        <v>15</v>
      </c>
      <c r="G96" s="61"/>
      <c r="H96" s="61"/>
      <c r="I96" s="60"/>
      <c r="J96" s="53"/>
    </row>
    <row r="97" ht="24.75" hidden="1" customHeight="1">
      <c r="A97" s="54">
        <v>92.0</v>
      </c>
      <c r="B97" s="56" t="s">
        <v>253</v>
      </c>
      <c r="C97" s="56" t="s">
        <v>234</v>
      </c>
      <c r="D97" s="56" t="s">
        <v>300</v>
      </c>
      <c r="E97" s="56" t="s">
        <v>297</v>
      </c>
      <c r="F97" s="57"/>
      <c r="G97" s="61"/>
      <c r="H97" s="61"/>
      <c r="I97" s="62" t="s">
        <v>283</v>
      </c>
      <c r="J97" s="53"/>
    </row>
    <row r="98" ht="24.75" hidden="1" customHeight="1">
      <c r="A98" s="54">
        <v>92.0</v>
      </c>
      <c r="B98" s="56" t="s">
        <v>301</v>
      </c>
      <c r="C98" s="56" t="s">
        <v>234</v>
      </c>
      <c r="D98" s="56" t="s">
        <v>302</v>
      </c>
      <c r="E98" s="56" t="s">
        <v>163</v>
      </c>
      <c r="F98" s="57" t="s">
        <v>34</v>
      </c>
      <c r="G98" s="61"/>
      <c r="H98" s="61"/>
      <c r="I98" s="62"/>
      <c r="J98" s="53"/>
    </row>
    <row r="99" ht="24.75" hidden="1" customHeight="1">
      <c r="A99" s="54">
        <v>92.0</v>
      </c>
      <c r="B99" s="56" t="s">
        <v>301</v>
      </c>
      <c r="C99" s="56" t="s">
        <v>234</v>
      </c>
      <c r="D99" s="56" t="s">
        <v>302</v>
      </c>
      <c r="E99" s="56" t="s">
        <v>111</v>
      </c>
      <c r="F99" s="57" t="s">
        <v>154</v>
      </c>
      <c r="G99" s="61"/>
      <c r="H99" s="61"/>
      <c r="I99" s="62"/>
      <c r="J99" s="53"/>
    </row>
    <row r="100" ht="24.75" hidden="1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248</v>
      </c>
      <c r="F100" s="57" t="s">
        <v>303</v>
      </c>
      <c r="G100" s="61"/>
      <c r="H100" s="61"/>
      <c r="I100" s="62"/>
      <c r="J100" s="53"/>
    </row>
    <row r="101" ht="24.75" hidden="1" customHeight="1">
      <c r="A101" s="54">
        <v>92.0</v>
      </c>
      <c r="B101" s="56" t="s">
        <v>301</v>
      </c>
      <c r="C101" s="56" t="s">
        <v>234</v>
      </c>
      <c r="D101" s="56" t="s">
        <v>302</v>
      </c>
      <c r="E101" s="56" t="s">
        <v>247</v>
      </c>
      <c r="F101" s="57" t="s">
        <v>303</v>
      </c>
      <c r="G101" s="61"/>
      <c r="H101" s="61"/>
      <c r="I101" s="62"/>
      <c r="J101" s="53"/>
    </row>
    <row r="102" ht="24.75" hidden="1" customHeight="1">
      <c r="A102" s="54">
        <v>92.0</v>
      </c>
      <c r="B102" s="56" t="s">
        <v>304</v>
      </c>
      <c r="C102" s="56" t="s">
        <v>234</v>
      </c>
      <c r="D102" s="56" t="s">
        <v>305</v>
      </c>
      <c r="E102" s="56" t="s">
        <v>163</v>
      </c>
      <c r="F102" s="57" t="s">
        <v>34</v>
      </c>
      <c r="G102" s="61"/>
      <c r="H102" s="61"/>
      <c r="I102" s="62"/>
      <c r="J102" s="53"/>
    </row>
    <row r="103" ht="24.75" hidden="1" customHeight="1">
      <c r="A103" s="54">
        <v>92.0</v>
      </c>
      <c r="B103" s="56" t="s">
        <v>304</v>
      </c>
      <c r="C103" s="56" t="s">
        <v>234</v>
      </c>
      <c r="D103" s="56" t="s">
        <v>305</v>
      </c>
      <c r="E103" s="56" t="s">
        <v>111</v>
      </c>
      <c r="F103" s="57" t="s">
        <v>154</v>
      </c>
      <c r="G103" s="61"/>
      <c r="H103" s="61"/>
      <c r="I103" s="62"/>
      <c r="J103" s="53"/>
    </row>
    <row r="104" ht="24.75" hidden="1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248</v>
      </c>
      <c r="F104" s="57" t="s">
        <v>303</v>
      </c>
      <c r="G104" s="61"/>
      <c r="H104" s="61"/>
      <c r="I104" s="62"/>
      <c r="J104" s="53"/>
    </row>
    <row r="105" ht="24.75" hidden="1" customHeight="1">
      <c r="A105" s="54">
        <v>92.0</v>
      </c>
      <c r="B105" s="56" t="s">
        <v>304</v>
      </c>
      <c r="C105" s="56" t="s">
        <v>234</v>
      </c>
      <c r="D105" s="56" t="s">
        <v>305</v>
      </c>
      <c r="E105" s="56" t="s">
        <v>247</v>
      </c>
      <c r="F105" s="57" t="s">
        <v>303</v>
      </c>
      <c r="G105" s="61"/>
      <c r="H105" s="61"/>
      <c r="I105" s="62"/>
      <c r="J105" s="53"/>
    </row>
    <row r="106" ht="24.75" hidden="1" customHeight="1">
      <c r="A106" s="54">
        <v>92.0</v>
      </c>
      <c r="B106" s="56" t="s">
        <v>306</v>
      </c>
      <c r="C106" s="56" t="s">
        <v>234</v>
      </c>
      <c r="D106" s="56" t="s">
        <v>307</v>
      </c>
      <c r="E106" s="56" t="s">
        <v>163</v>
      </c>
      <c r="F106" s="57" t="s">
        <v>34</v>
      </c>
      <c r="G106" s="61"/>
      <c r="H106" s="61"/>
      <c r="I106" s="62"/>
      <c r="J106" s="53"/>
    </row>
    <row r="107" ht="24.75" hidden="1" customHeight="1">
      <c r="A107" s="54">
        <v>92.0</v>
      </c>
      <c r="B107" s="56" t="s">
        <v>306</v>
      </c>
      <c r="C107" s="56" t="s">
        <v>234</v>
      </c>
      <c r="D107" s="56" t="s">
        <v>307</v>
      </c>
      <c r="E107" s="56" t="s">
        <v>111</v>
      </c>
      <c r="F107" s="57" t="s">
        <v>154</v>
      </c>
      <c r="G107" s="61"/>
      <c r="H107" s="61"/>
      <c r="I107" s="62"/>
      <c r="J107" s="53"/>
    </row>
    <row r="108" ht="24.75" hidden="1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248</v>
      </c>
      <c r="F108" s="57" t="s">
        <v>303</v>
      </c>
      <c r="G108" s="61"/>
      <c r="H108" s="61"/>
      <c r="I108" s="62"/>
      <c r="J108" s="53"/>
    </row>
    <row r="109" ht="24.75" hidden="1" customHeight="1">
      <c r="A109" s="54">
        <v>92.0</v>
      </c>
      <c r="B109" s="56" t="s">
        <v>306</v>
      </c>
      <c r="C109" s="56" t="s">
        <v>234</v>
      </c>
      <c r="D109" s="56" t="s">
        <v>307</v>
      </c>
      <c r="E109" s="56" t="s">
        <v>247</v>
      </c>
      <c r="F109" s="57" t="s">
        <v>303</v>
      </c>
      <c r="G109" s="61"/>
      <c r="H109" s="61"/>
      <c r="I109" s="62"/>
      <c r="J109" s="53"/>
    </row>
    <row r="110" ht="24.75" hidden="1" customHeight="1">
      <c r="A110" s="54">
        <v>90.0</v>
      </c>
      <c r="B110" s="56" t="s">
        <v>236</v>
      </c>
      <c r="C110" s="56" t="s">
        <v>237</v>
      </c>
      <c r="D110" s="56" t="s">
        <v>238</v>
      </c>
      <c r="E110" s="56" t="s">
        <v>308</v>
      </c>
      <c r="F110" s="57" t="s">
        <v>15</v>
      </c>
      <c r="G110" s="61"/>
      <c r="H110" s="61"/>
      <c r="I110" s="60"/>
      <c r="J110" s="53"/>
    </row>
    <row r="111" ht="24.75" hidden="1" customHeight="1">
      <c r="A111" s="54">
        <v>92.0</v>
      </c>
      <c r="B111" s="56" t="s">
        <v>309</v>
      </c>
      <c r="C111" s="56" t="s">
        <v>234</v>
      </c>
      <c r="D111" s="80" t="s">
        <v>310</v>
      </c>
      <c r="E111" s="56" t="s">
        <v>297</v>
      </c>
      <c r="F111" s="57"/>
      <c r="G111" s="61"/>
      <c r="H111" s="61"/>
      <c r="I111" s="62"/>
      <c r="J111" s="53"/>
    </row>
    <row r="112" ht="24.75" hidden="1" customHeight="1">
      <c r="A112" s="54">
        <v>90.0</v>
      </c>
      <c r="B112" s="56" t="s">
        <v>236</v>
      </c>
      <c r="C112" s="56" t="s">
        <v>237</v>
      </c>
      <c r="D112" s="56" t="s">
        <v>238</v>
      </c>
      <c r="E112" s="56" t="s">
        <v>311</v>
      </c>
      <c r="F112" s="57" t="s">
        <v>15</v>
      </c>
      <c r="G112" s="61"/>
      <c r="H112" s="61"/>
      <c r="I112" s="60"/>
      <c r="J112" s="53"/>
    </row>
    <row r="113" ht="24.75" hidden="1" customHeight="1">
      <c r="A113" s="54">
        <v>90.0</v>
      </c>
      <c r="B113" s="56" t="s">
        <v>236</v>
      </c>
      <c r="C113" s="56" t="s">
        <v>237</v>
      </c>
      <c r="D113" s="56" t="s">
        <v>238</v>
      </c>
      <c r="E113" s="56" t="s">
        <v>312</v>
      </c>
      <c r="F113" s="57" t="s">
        <v>15</v>
      </c>
      <c r="G113" s="61"/>
      <c r="H113" s="61"/>
      <c r="I113" s="60"/>
      <c r="J113" s="53"/>
    </row>
    <row r="114" ht="24.75" hidden="1" customHeight="1">
      <c r="A114" s="54">
        <v>100.0</v>
      </c>
      <c r="B114" s="56" t="s">
        <v>314</v>
      </c>
      <c r="C114" s="56" t="s">
        <v>315</v>
      </c>
      <c r="D114" s="56" t="s">
        <v>316</v>
      </c>
      <c r="E114" s="56" t="s">
        <v>317</v>
      </c>
      <c r="F114" s="57" t="s">
        <v>34</v>
      </c>
      <c r="G114" s="81"/>
      <c r="H114" s="81"/>
      <c r="I114" s="57"/>
      <c r="J114" s="53"/>
    </row>
    <row r="115" ht="24.75" hidden="1" customHeight="1">
      <c r="A115" s="54">
        <v>100.0</v>
      </c>
      <c r="B115" s="56" t="s">
        <v>318</v>
      </c>
      <c r="C115" s="56" t="s">
        <v>315</v>
      </c>
      <c r="D115" s="56" t="s">
        <v>319</v>
      </c>
      <c r="E115" s="56" t="s">
        <v>320</v>
      </c>
      <c r="F115" s="57" t="s">
        <v>34</v>
      </c>
      <c r="G115" s="81"/>
      <c r="H115" s="81"/>
      <c r="I115" s="57"/>
      <c r="J115" s="5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82"/>
      <c r="EB115" s="82"/>
      <c r="EC115" s="82"/>
      <c r="ED115" s="82"/>
      <c r="EE115" s="82"/>
      <c r="EF115" s="82"/>
      <c r="EG115" s="82"/>
      <c r="EH115" s="82"/>
      <c r="EI115" s="82"/>
      <c r="EJ115" s="82"/>
      <c r="EK115" s="82"/>
      <c r="EL115" s="82"/>
      <c r="EM115" s="82"/>
      <c r="EN115" s="82"/>
      <c r="EO115" s="82"/>
      <c r="EP115" s="82"/>
      <c r="EQ115" s="82"/>
      <c r="ER115" s="82"/>
      <c r="ES115" s="82"/>
      <c r="ET115" s="82"/>
      <c r="EU115" s="82"/>
      <c r="EV115" s="82"/>
      <c r="EW115" s="82"/>
      <c r="EX115" s="82"/>
      <c r="EY115" s="82"/>
      <c r="EZ115" s="82"/>
      <c r="FA115" s="82"/>
      <c r="FB115" s="82"/>
      <c r="FC115" s="82"/>
      <c r="FD115" s="82"/>
      <c r="FE115" s="82"/>
      <c r="FF115" s="82"/>
      <c r="FG115" s="82"/>
      <c r="FH115" s="82"/>
      <c r="FI115" s="82"/>
      <c r="FJ115" s="82"/>
      <c r="FK115" s="82"/>
      <c r="FL115" s="82"/>
      <c r="FM115" s="82"/>
      <c r="FN115" s="82"/>
      <c r="FO115" s="82"/>
      <c r="FP115" s="82"/>
      <c r="FQ115" s="82"/>
      <c r="FR115" s="82"/>
      <c r="FS115" s="82"/>
      <c r="FT115" s="82"/>
      <c r="FU115" s="82"/>
      <c r="FV115" s="82"/>
      <c r="FW115" s="82"/>
      <c r="FX115" s="82"/>
      <c r="FY115" s="82"/>
      <c r="FZ115" s="82"/>
      <c r="GA115" s="82"/>
      <c r="GB115" s="82"/>
      <c r="GC115" s="82"/>
      <c r="GD115" s="82"/>
      <c r="GE115" s="82"/>
      <c r="GF115" s="82"/>
    </row>
    <row r="116" ht="24.75" hidden="1" customHeight="1">
      <c r="A116" s="54">
        <v>100.0</v>
      </c>
      <c r="B116" s="56" t="s">
        <v>318</v>
      </c>
      <c r="C116" s="56" t="s">
        <v>315</v>
      </c>
      <c r="D116" s="56" t="s">
        <v>319</v>
      </c>
      <c r="E116" s="56" t="s">
        <v>325</v>
      </c>
      <c r="F116" s="57" t="s">
        <v>34</v>
      </c>
      <c r="G116" s="53"/>
      <c r="H116" s="53"/>
      <c r="I116" s="53"/>
      <c r="J116" s="5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F116" s="82"/>
      <c r="EG116" s="82"/>
      <c r="EH116" s="82"/>
      <c r="EI116" s="82"/>
      <c r="EJ116" s="82"/>
      <c r="EK116" s="82"/>
      <c r="EL116" s="82"/>
      <c r="EM116" s="82"/>
      <c r="EN116" s="82"/>
      <c r="EO116" s="82"/>
      <c r="EP116" s="82"/>
      <c r="EQ116" s="82"/>
      <c r="ER116" s="82"/>
      <c r="ES116" s="82"/>
      <c r="ET116" s="82"/>
      <c r="EU116" s="82"/>
      <c r="EV116" s="82"/>
      <c r="EW116" s="82"/>
      <c r="EX116" s="82"/>
      <c r="EY116" s="82"/>
      <c r="EZ116" s="82"/>
      <c r="FA116" s="82"/>
      <c r="FB116" s="82"/>
      <c r="FC116" s="82"/>
      <c r="FD116" s="82"/>
      <c r="FE116" s="82"/>
      <c r="FF116" s="82"/>
      <c r="FG116" s="82"/>
      <c r="FH116" s="82"/>
      <c r="FI116" s="82"/>
      <c r="FJ116" s="82"/>
      <c r="FK116" s="82"/>
      <c r="FL116" s="82"/>
      <c r="FM116" s="82"/>
      <c r="FN116" s="82"/>
      <c r="FO116" s="82"/>
      <c r="FP116" s="82"/>
      <c r="FQ116" s="82"/>
      <c r="FR116" s="82"/>
      <c r="FS116" s="82"/>
      <c r="FT116" s="82"/>
      <c r="FU116" s="82"/>
      <c r="FV116" s="82"/>
      <c r="FW116" s="82"/>
      <c r="FX116" s="82"/>
      <c r="FY116" s="82"/>
      <c r="FZ116" s="82"/>
      <c r="GA116" s="82"/>
      <c r="GB116" s="82"/>
      <c r="GC116" s="82"/>
      <c r="GD116" s="82"/>
      <c r="GE116" s="82"/>
      <c r="GF116" s="82"/>
    </row>
    <row r="117" ht="24.75" hidden="1" customHeight="1">
      <c r="A117" s="54">
        <v>100.0</v>
      </c>
      <c r="B117" s="56" t="s">
        <v>328</v>
      </c>
      <c r="C117" s="56" t="s">
        <v>315</v>
      </c>
      <c r="D117" s="56" t="s">
        <v>329</v>
      </c>
      <c r="E117" s="56" t="s">
        <v>320</v>
      </c>
      <c r="F117" s="57" t="s">
        <v>34</v>
      </c>
      <c r="G117" s="53"/>
      <c r="H117" s="53"/>
      <c r="I117" s="53"/>
      <c r="J117" s="5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  <c r="FU117" s="82"/>
      <c r="FV117" s="82"/>
      <c r="FW117" s="82"/>
      <c r="FX117" s="82"/>
      <c r="FY117" s="82"/>
      <c r="FZ117" s="82"/>
      <c r="GA117" s="82"/>
      <c r="GB117" s="82"/>
      <c r="GC117" s="82"/>
      <c r="GD117" s="82"/>
      <c r="GE117" s="82"/>
      <c r="GF117" s="82"/>
    </row>
    <row r="118" ht="24.75" hidden="1" customHeight="1">
      <c r="A118" s="54">
        <v>100.0</v>
      </c>
      <c r="B118" s="56" t="s">
        <v>328</v>
      </c>
      <c r="C118" s="56" t="s">
        <v>315</v>
      </c>
      <c r="D118" s="56" t="s">
        <v>329</v>
      </c>
      <c r="E118" s="56" t="s">
        <v>325</v>
      </c>
      <c r="F118" s="57" t="s">
        <v>34</v>
      </c>
      <c r="G118" s="53"/>
      <c r="H118" s="53"/>
      <c r="I118" s="53"/>
      <c r="J118" s="5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  <c r="FU118" s="82"/>
      <c r="FV118" s="82"/>
      <c r="FW118" s="82"/>
      <c r="FX118" s="82"/>
      <c r="FY118" s="82"/>
      <c r="FZ118" s="82"/>
      <c r="GA118" s="82"/>
      <c r="GB118" s="82"/>
      <c r="GC118" s="82"/>
      <c r="GD118" s="82"/>
      <c r="GE118" s="82"/>
      <c r="GF118" s="82"/>
    </row>
    <row r="119" ht="24.75" hidden="1" customHeight="1">
      <c r="A119" s="54">
        <v>100.0</v>
      </c>
      <c r="B119" s="56" t="s">
        <v>331</v>
      </c>
      <c r="C119" s="56" t="s">
        <v>315</v>
      </c>
      <c r="D119" s="56" t="s">
        <v>332</v>
      </c>
      <c r="E119" s="56" t="s">
        <v>333</v>
      </c>
      <c r="F119" s="57" t="s">
        <v>250</v>
      </c>
      <c r="G119" s="50"/>
      <c r="H119" s="61" t="s">
        <v>346</v>
      </c>
      <c r="I119" s="84" t="s">
        <v>347</v>
      </c>
      <c r="J119" s="53"/>
    </row>
    <row r="120" ht="24.75" hidden="1" customHeight="1">
      <c r="A120" s="54">
        <v>100.0</v>
      </c>
      <c r="B120" s="56" t="s">
        <v>334</v>
      </c>
      <c r="C120" s="56" t="s">
        <v>315</v>
      </c>
      <c r="D120" s="56" t="s">
        <v>335</v>
      </c>
      <c r="E120" s="56" t="s">
        <v>336</v>
      </c>
      <c r="F120" s="57" t="s">
        <v>192</v>
      </c>
      <c r="G120" s="50"/>
      <c r="H120" s="50"/>
      <c r="I120" s="84"/>
      <c r="J120" s="53"/>
    </row>
    <row r="121" ht="24.75" hidden="1" customHeight="1">
      <c r="A121" s="54">
        <v>90.0</v>
      </c>
      <c r="B121" s="56" t="s">
        <v>337</v>
      </c>
      <c r="C121" s="56" t="s">
        <v>237</v>
      </c>
      <c r="D121" s="56" t="s">
        <v>338</v>
      </c>
      <c r="E121" s="56" t="s">
        <v>111</v>
      </c>
      <c r="F121" s="57" t="s">
        <v>15</v>
      </c>
      <c r="G121" s="61"/>
      <c r="H121" s="61"/>
      <c r="I121" s="60"/>
      <c r="J121" s="53"/>
    </row>
    <row r="122" ht="24.75" hidden="1" customHeight="1">
      <c r="A122" s="54">
        <v>101.0</v>
      </c>
      <c r="B122" s="56" t="s">
        <v>339</v>
      </c>
      <c r="C122" s="56" t="s">
        <v>315</v>
      </c>
      <c r="D122" s="56" t="s">
        <v>340</v>
      </c>
      <c r="E122" s="56" t="s">
        <v>341</v>
      </c>
      <c r="F122" s="57" t="s">
        <v>154</v>
      </c>
      <c r="G122" s="61"/>
      <c r="H122" s="61"/>
      <c r="I122" s="62"/>
      <c r="J122" s="53"/>
    </row>
    <row r="123" ht="24.75" hidden="1" customHeight="1">
      <c r="A123" s="54">
        <v>101.0</v>
      </c>
      <c r="B123" s="56" t="s">
        <v>342</v>
      </c>
      <c r="C123" s="56" t="s">
        <v>315</v>
      </c>
      <c r="D123" s="56" t="s">
        <v>340</v>
      </c>
      <c r="E123" s="56" t="s">
        <v>333</v>
      </c>
      <c r="F123" s="57" t="s">
        <v>250</v>
      </c>
      <c r="G123" s="61"/>
      <c r="H123" s="61" t="s">
        <v>346</v>
      </c>
      <c r="I123" s="62" t="s">
        <v>347</v>
      </c>
      <c r="J123" s="53"/>
    </row>
    <row r="124" ht="24.75" hidden="1" customHeight="1">
      <c r="A124" s="54">
        <v>101.0</v>
      </c>
      <c r="B124" s="56" t="s">
        <v>343</v>
      </c>
      <c r="C124" s="56" t="s">
        <v>315</v>
      </c>
      <c r="D124" s="56" t="s">
        <v>340</v>
      </c>
      <c r="E124" s="56" t="s">
        <v>333</v>
      </c>
      <c r="F124" s="57" t="s">
        <v>250</v>
      </c>
      <c r="G124" s="61"/>
      <c r="H124" s="61" t="s">
        <v>346</v>
      </c>
      <c r="I124" s="62" t="s">
        <v>347</v>
      </c>
      <c r="J124" s="53"/>
    </row>
    <row r="125" ht="24.75" hidden="1" customHeight="1">
      <c r="A125" s="54">
        <v>101.0</v>
      </c>
      <c r="B125" s="56" t="s">
        <v>344</v>
      </c>
      <c r="C125" s="56" t="s">
        <v>315</v>
      </c>
      <c r="D125" s="56" t="s">
        <v>340</v>
      </c>
      <c r="E125" s="56" t="s">
        <v>345</v>
      </c>
      <c r="F125" s="57" t="s">
        <v>154</v>
      </c>
      <c r="G125" s="61"/>
      <c r="H125" s="61"/>
      <c r="I125" s="62"/>
      <c r="J125" s="53"/>
    </row>
    <row r="126" ht="24.75" hidden="1" customHeight="1">
      <c r="A126" s="54">
        <v>90.0</v>
      </c>
      <c r="B126" s="56" t="s">
        <v>348</v>
      </c>
      <c r="C126" s="56" t="s">
        <v>237</v>
      </c>
      <c r="D126" s="56" t="s">
        <v>349</v>
      </c>
      <c r="E126" s="56" t="s">
        <v>111</v>
      </c>
      <c r="F126" s="57" t="s">
        <v>15</v>
      </c>
      <c r="G126" s="61"/>
      <c r="H126" s="61"/>
      <c r="I126" s="60"/>
      <c r="J126" s="53"/>
    </row>
    <row r="127" ht="24.75" hidden="1" customHeight="1">
      <c r="A127" s="54">
        <v>101.0</v>
      </c>
      <c r="B127" s="56" t="s">
        <v>350</v>
      </c>
      <c r="C127" s="56" t="s">
        <v>315</v>
      </c>
      <c r="D127" s="56" t="s">
        <v>351</v>
      </c>
      <c r="E127" s="56" t="s">
        <v>352</v>
      </c>
      <c r="F127" s="57" t="s">
        <v>154</v>
      </c>
      <c r="G127" s="61"/>
      <c r="H127" s="61"/>
      <c r="I127" s="62"/>
      <c r="J127" s="53"/>
    </row>
    <row r="128" ht="24.75" hidden="1" customHeight="1">
      <c r="A128" s="54">
        <v>102.0</v>
      </c>
      <c r="B128" s="56" t="s">
        <v>353</v>
      </c>
      <c r="C128" s="56" t="s">
        <v>315</v>
      </c>
      <c r="D128" s="56" t="s">
        <v>354</v>
      </c>
      <c r="E128" s="56" t="s">
        <v>355</v>
      </c>
      <c r="F128" s="57" t="s">
        <v>250</v>
      </c>
      <c r="G128" s="61"/>
      <c r="H128" s="61" t="s">
        <v>346</v>
      </c>
      <c r="I128" s="62" t="s">
        <v>363</v>
      </c>
      <c r="J128" s="53"/>
    </row>
    <row r="129" ht="24.75" hidden="1" customHeight="1">
      <c r="A129" s="54">
        <v>90.0</v>
      </c>
      <c r="B129" s="56" t="s">
        <v>265</v>
      </c>
      <c r="C129" s="56" t="s">
        <v>237</v>
      </c>
      <c r="D129" s="56" t="s">
        <v>266</v>
      </c>
      <c r="E129" s="56" t="s">
        <v>111</v>
      </c>
      <c r="F129" s="57" t="s">
        <v>15</v>
      </c>
      <c r="G129" s="61"/>
      <c r="H129" s="61"/>
      <c r="I129" s="60" t="s">
        <v>283</v>
      </c>
      <c r="J129" s="53"/>
    </row>
    <row r="130" ht="24.75" hidden="1" customHeight="1">
      <c r="A130" s="54">
        <v>110.0</v>
      </c>
      <c r="B130" s="56" t="s">
        <v>356</v>
      </c>
      <c r="C130" s="56" t="s">
        <v>259</v>
      </c>
      <c r="D130" s="56" t="s">
        <v>357</v>
      </c>
      <c r="E130" s="56" t="s">
        <v>358</v>
      </c>
      <c r="F130" s="57" t="s">
        <v>34</v>
      </c>
      <c r="G130" s="61"/>
      <c r="H130" s="61"/>
      <c r="I130" s="62"/>
      <c r="J130" s="53"/>
    </row>
    <row r="131" ht="24.75" hidden="1" customHeight="1">
      <c r="A131" s="54">
        <v>110.0</v>
      </c>
      <c r="B131" s="56" t="s">
        <v>359</v>
      </c>
      <c r="C131" s="56" t="s">
        <v>259</v>
      </c>
      <c r="D131" s="56" t="s">
        <v>360</v>
      </c>
      <c r="E131" s="56" t="s">
        <v>358</v>
      </c>
      <c r="F131" s="57" t="s">
        <v>34</v>
      </c>
      <c r="G131" s="61"/>
      <c r="H131" s="61"/>
      <c r="I131" s="62"/>
      <c r="J131" s="53"/>
    </row>
    <row r="132" ht="24.75" hidden="1" customHeight="1">
      <c r="A132" s="54">
        <v>90.0</v>
      </c>
      <c r="B132" s="56" t="s">
        <v>274</v>
      </c>
      <c r="C132" s="56" t="s">
        <v>237</v>
      </c>
      <c r="D132" s="56" t="s">
        <v>275</v>
      </c>
      <c r="E132" s="56" t="s">
        <v>111</v>
      </c>
      <c r="F132" s="57" t="s">
        <v>15</v>
      </c>
      <c r="G132" s="61"/>
      <c r="H132" s="61"/>
      <c r="I132" s="60"/>
      <c r="J132" s="53"/>
    </row>
    <row r="133" ht="24.75" hidden="1" customHeight="1">
      <c r="A133" s="54">
        <v>90.0</v>
      </c>
      <c r="B133" s="56" t="s">
        <v>280</v>
      </c>
      <c r="C133" s="56" t="s">
        <v>278</v>
      </c>
      <c r="D133" s="56" t="s">
        <v>281</v>
      </c>
      <c r="E133" s="56" t="s">
        <v>272</v>
      </c>
      <c r="F133" s="57" t="s">
        <v>15</v>
      </c>
      <c r="G133" s="61"/>
      <c r="H133" s="61"/>
      <c r="I133" s="60"/>
      <c r="J133" s="53"/>
    </row>
    <row r="134" ht="24.75" hidden="1" customHeight="1">
      <c r="A134" s="54">
        <v>110.0</v>
      </c>
      <c r="B134" s="56" t="s">
        <v>361</v>
      </c>
      <c r="C134" s="56" t="s">
        <v>259</v>
      </c>
      <c r="D134" s="56" t="s">
        <v>362</v>
      </c>
      <c r="E134" s="56" t="s">
        <v>358</v>
      </c>
      <c r="F134" s="57" t="s">
        <v>34</v>
      </c>
      <c r="G134" s="61"/>
      <c r="H134" s="61"/>
      <c r="I134" s="62"/>
      <c r="J134" s="53"/>
    </row>
    <row r="135" ht="24.75" hidden="1" customHeight="1">
      <c r="A135" s="54">
        <v>110.0</v>
      </c>
      <c r="B135" s="56" t="s">
        <v>364</v>
      </c>
      <c r="C135" s="56" t="s">
        <v>259</v>
      </c>
      <c r="D135" s="56" t="s">
        <v>365</v>
      </c>
      <c r="E135" s="56" t="s">
        <v>358</v>
      </c>
      <c r="F135" s="57" t="s">
        <v>34</v>
      </c>
      <c r="G135" s="61"/>
      <c r="H135" s="61"/>
      <c r="I135" s="62"/>
      <c r="J135" s="53"/>
    </row>
    <row r="136" ht="24.75" hidden="1" customHeight="1">
      <c r="A136" s="54">
        <v>110.0</v>
      </c>
      <c r="B136" s="56" t="s">
        <v>366</v>
      </c>
      <c r="C136" s="56" t="s">
        <v>259</v>
      </c>
      <c r="D136" s="56" t="s">
        <v>367</v>
      </c>
      <c r="E136" s="56" t="s">
        <v>358</v>
      </c>
      <c r="F136" s="57" t="s">
        <v>34</v>
      </c>
      <c r="G136" s="61"/>
      <c r="H136" s="61"/>
      <c r="I136" s="62"/>
      <c r="J136" s="53"/>
    </row>
    <row r="137" ht="24.75" hidden="1" customHeight="1">
      <c r="A137" s="54">
        <v>110.0</v>
      </c>
      <c r="B137" s="56" t="s">
        <v>368</v>
      </c>
      <c r="C137" s="56" t="s">
        <v>259</v>
      </c>
      <c r="D137" s="56" t="s">
        <v>369</v>
      </c>
      <c r="E137" s="56" t="s">
        <v>358</v>
      </c>
      <c r="F137" s="57" t="s">
        <v>34</v>
      </c>
      <c r="G137" s="61"/>
      <c r="H137" s="61"/>
      <c r="I137" s="62"/>
      <c r="J137" s="53"/>
    </row>
    <row r="138" ht="24.75" hidden="1" customHeight="1">
      <c r="A138" s="54">
        <v>110.0</v>
      </c>
      <c r="B138" s="56" t="s">
        <v>370</v>
      </c>
      <c r="C138" s="56" t="s">
        <v>259</v>
      </c>
      <c r="D138" s="56" t="s">
        <v>371</v>
      </c>
      <c r="E138" s="56" t="s">
        <v>336</v>
      </c>
      <c r="F138" s="57" t="s">
        <v>192</v>
      </c>
      <c r="G138" s="61"/>
      <c r="H138" s="61"/>
      <c r="I138" s="62"/>
      <c r="J138" s="53"/>
    </row>
    <row r="139" ht="24.75" hidden="1" customHeight="1">
      <c r="A139" s="54">
        <v>110.0</v>
      </c>
      <c r="B139" s="56" t="s">
        <v>370</v>
      </c>
      <c r="C139" s="56" t="s">
        <v>259</v>
      </c>
      <c r="D139" s="56" t="s">
        <v>371</v>
      </c>
      <c r="E139" s="56" t="s">
        <v>372</v>
      </c>
      <c r="F139" s="57" t="s">
        <v>34</v>
      </c>
      <c r="G139" s="61"/>
      <c r="H139" s="61"/>
      <c r="I139" s="62"/>
      <c r="J139" s="53"/>
    </row>
    <row r="140" ht="24.75" hidden="1" customHeight="1">
      <c r="A140" s="54">
        <v>110.0</v>
      </c>
      <c r="B140" s="56" t="s">
        <v>370</v>
      </c>
      <c r="C140" s="56" t="s">
        <v>259</v>
      </c>
      <c r="D140" s="56" t="s">
        <v>371</v>
      </c>
      <c r="E140" s="56" t="s">
        <v>158</v>
      </c>
      <c r="F140" s="57" t="s">
        <v>34</v>
      </c>
      <c r="G140" s="61"/>
      <c r="H140" s="61"/>
      <c r="I140" s="62"/>
      <c r="J140" s="53"/>
    </row>
    <row r="141" ht="24.75" hidden="1" customHeight="1">
      <c r="A141" s="54">
        <v>110.0</v>
      </c>
      <c r="B141" s="56" t="s">
        <v>373</v>
      </c>
      <c r="C141" s="56" t="s">
        <v>259</v>
      </c>
      <c r="D141" s="56" t="s">
        <v>374</v>
      </c>
      <c r="E141" s="56" t="s">
        <v>336</v>
      </c>
      <c r="F141" s="57" t="s">
        <v>192</v>
      </c>
      <c r="G141" s="61"/>
      <c r="H141" s="61"/>
      <c r="I141" s="62"/>
      <c r="J141" s="53"/>
    </row>
    <row r="142" ht="24.75" hidden="1" customHeight="1">
      <c r="A142" s="54">
        <v>110.0</v>
      </c>
      <c r="B142" s="56" t="s">
        <v>375</v>
      </c>
      <c r="C142" s="56" t="s">
        <v>259</v>
      </c>
      <c r="D142" s="56" t="s">
        <v>376</v>
      </c>
      <c r="E142" s="56" t="s">
        <v>336</v>
      </c>
      <c r="F142" s="57" t="s">
        <v>192</v>
      </c>
      <c r="G142" s="61"/>
      <c r="H142" s="61"/>
      <c r="I142" s="62"/>
      <c r="J142" s="53"/>
    </row>
    <row r="143" ht="24.75" hidden="1" customHeight="1">
      <c r="A143" s="54">
        <v>110.0</v>
      </c>
      <c r="B143" s="56" t="s">
        <v>375</v>
      </c>
      <c r="C143" s="56" t="s">
        <v>259</v>
      </c>
      <c r="D143" s="56" t="s">
        <v>376</v>
      </c>
      <c r="E143" s="56" t="s">
        <v>372</v>
      </c>
      <c r="F143" s="57" t="s">
        <v>34</v>
      </c>
      <c r="G143" s="61"/>
      <c r="H143" s="61"/>
      <c r="I143" s="62"/>
      <c r="J143" s="53"/>
    </row>
    <row r="144" ht="24.75" hidden="1" customHeight="1">
      <c r="A144" s="54">
        <v>110.0</v>
      </c>
      <c r="B144" s="56" t="s">
        <v>375</v>
      </c>
      <c r="C144" s="56" t="s">
        <v>259</v>
      </c>
      <c r="D144" s="56" t="s">
        <v>376</v>
      </c>
      <c r="E144" s="56" t="s">
        <v>158</v>
      </c>
      <c r="F144" s="57" t="s">
        <v>34</v>
      </c>
      <c r="G144" s="61"/>
      <c r="H144" s="61"/>
      <c r="I144" s="62"/>
      <c r="J144" s="53"/>
    </row>
    <row r="145" ht="24.75" hidden="1" customHeight="1">
      <c r="A145" s="54">
        <v>110.0</v>
      </c>
      <c r="B145" s="56" t="s">
        <v>377</v>
      </c>
      <c r="C145" s="56" t="s">
        <v>259</v>
      </c>
      <c r="D145" s="56" t="s">
        <v>378</v>
      </c>
      <c r="E145" s="56" t="s">
        <v>336</v>
      </c>
      <c r="F145" s="57" t="s">
        <v>192</v>
      </c>
      <c r="G145" s="61"/>
      <c r="H145" s="61"/>
      <c r="I145" s="62"/>
      <c r="J145" s="53"/>
    </row>
    <row r="146" ht="24.75" hidden="1" customHeight="1">
      <c r="A146" s="54">
        <v>110.0</v>
      </c>
      <c r="B146" s="56" t="s">
        <v>380</v>
      </c>
      <c r="C146" s="56" t="s">
        <v>259</v>
      </c>
      <c r="D146" s="56" t="s">
        <v>381</v>
      </c>
      <c r="E146" s="56" t="s">
        <v>336</v>
      </c>
      <c r="F146" s="57" t="s">
        <v>192</v>
      </c>
      <c r="G146" s="61"/>
      <c r="H146" s="61"/>
      <c r="I146" s="62"/>
      <c r="J146" s="53"/>
    </row>
    <row r="147" ht="24.75" hidden="1" customHeight="1">
      <c r="A147" s="54">
        <v>110.0</v>
      </c>
      <c r="B147" s="56" t="s">
        <v>382</v>
      </c>
      <c r="C147" s="56" t="s">
        <v>259</v>
      </c>
      <c r="D147" s="56" t="s">
        <v>383</v>
      </c>
      <c r="E147" s="56" t="s">
        <v>336</v>
      </c>
      <c r="F147" s="57" t="s">
        <v>192</v>
      </c>
      <c r="G147" s="61"/>
      <c r="H147" s="61"/>
      <c r="I147" s="62"/>
      <c r="J147" s="53"/>
    </row>
    <row r="148" ht="24.75" hidden="1" customHeight="1">
      <c r="A148" s="54">
        <v>110.0</v>
      </c>
      <c r="B148" s="56" t="s">
        <v>385</v>
      </c>
      <c r="C148" s="56" t="s">
        <v>259</v>
      </c>
      <c r="D148" s="56" t="s">
        <v>386</v>
      </c>
      <c r="E148" s="56" t="s">
        <v>336</v>
      </c>
      <c r="F148" s="57" t="s">
        <v>192</v>
      </c>
      <c r="G148" s="61"/>
      <c r="H148" s="61"/>
      <c r="I148" s="62"/>
      <c r="J148" s="53"/>
    </row>
    <row r="149" ht="24.75" hidden="1" customHeight="1">
      <c r="A149" s="54">
        <v>110.0</v>
      </c>
      <c r="B149" s="56" t="s">
        <v>385</v>
      </c>
      <c r="C149" s="56" t="s">
        <v>259</v>
      </c>
      <c r="D149" s="56" t="s">
        <v>386</v>
      </c>
      <c r="E149" s="56" t="s">
        <v>372</v>
      </c>
      <c r="F149" s="57" t="s">
        <v>34</v>
      </c>
      <c r="G149" s="61"/>
      <c r="H149" s="61"/>
      <c r="I149" s="62"/>
      <c r="J149" s="53"/>
    </row>
    <row r="150" ht="24.75" hidden="1" customHeight="1">
      <c r="A150" s="54">
        <v>110.0</v>
      </c>
      <c r="B150" s="56" t="s">
        <v>385</v>
      </c>
      <c r="C150" s="56" t="s">
        <v>259</v>
      </c>
      <c r="D150" s="56" t="s">
        <v>386</v>
      </c>
      <c r="E150" s="56" t="s">
        <v>158</v>
      </c>
      <c r="F150" s="57" t="s">
        <v>34</v>
      </c>
      <c r="G150" s="61"/>
      <c r="H150" s="61"/>
      <c r="I150" s="62"/>
      <c r="J150" s="53"/>
    </row>
    <row r="151" ht="24.75" hidden="1" customHeight="1">
      <c r="A151" s="54">
        <v>110.0</v>
      </c>
      <c r="B151" s="56" t="s">
        <v>388</v>
      </c>
      <c r="C151" s="56" t="s">
        <v>259</v>
      </c>
      <c r="D151" s="56" t="s">
        <v>389</v>
      </c>
      <c r="E151" s="56" t="s">
        <v>336</v>
      </c>
      <c r="F151" s="57" t="s">
        <v>192</v>
      </c>
      <c r="G151" s="61"/>
      <c r="H151" s="61"/>
      <c r="I151" s="62"/>
      <c r="J151" s="53"/>
    </row>
    <row r="152" ht="24.75" hidden="1" customHeight="1">
      <c r="A152" s="54">
        <v>110.0</v>
      </c>
      <c r="B152" s="56" t="s">
        <v>388</v>
      </c>
      <c r="C152" s="56" t="s">
        <v>259</v>
      </c>
      <c r="D152" s="56" t="s">
        <v>389</v>
      </c>
      <c r="E152" s="56" t="s">
        <v>372</v>
      </c>
      <c r="F152" s="57" t="s">
        <v>34</v>
      </c>
      <c r="G152" s="61"/>
      <c r="H152" s="61"/>
      <c r="I152" s="62"/>
      <c r="J152" s="53"/>
    </row>
    <row r="153" ht="24.75" hidden="1" customHeight="1">
      <c r="A153" s="54">
        <v>110.0</v>
      </c>
      <c r="B153" s="56" t="s">
        <v>388</v>
      </c>
      <c r="C153" s="56" t="s">
        <v>259</v>
      </c>
      <c r="D153" s="56" t="s">
        <v>389</v>
      </c>
      <c r="E153" s="56" t="s">
        <v>158</v>
      </c>
      <c r="F153" s="57" t="s">
        <v>34</v>
      </c>
      <c r="G153" s="61"/>
      <c r="H153" s="61"/>
      <c r="I153" s="62"/>
      <c r="J153" s="53"/>
    </row>
    <row r="154" ht="24.75" hidden="1" customHeight="1">
      <c r="A154" s="54">
        <v>110.0</v>
      </c>
      <c r="B154" s="56" t="s">
        <v>390</v>
      </c>
      <c r="C154" s="56" t="s">
        <v>259</v>
      </c>
      <c r="D154" s="56" t="s">
        <v>391</v>
      </c>
      <c r="E154" s="56" t="s">
        <v>372</v>
      </c>
      <c r="F154" s="57" t="s">
        <v>34</v>
      </c>
      <c r="G154" s="61"/>
      <c r="H154" s="61"/>
      <c r="I154" s="62"/>
      <c r="J154" s="53"/>
    </row>
    <row r="155" ht="24.75" hidden="1" customHeight="1">
      <c r="A155" s="54">
        <v>110.0</v>
      </c>
      <c r="B155" s="56" t="s">
        <v>390</v>
      </c>
      <c r="C155" s="56" t="s">
        <v>259</v>
      </c>
      <c r="D155" s="56" t="s">
        <v>391</v>
      </c>
      <c r="E155" s="56" t="s">
        <v>158</v>
      </c>
      <c r="F155" s="57" t="s">
        <v>34</v>
      </c>
      <c r="G155" s="61"/>
      <c r="H155" s="61"/>
      <c r="I155" s="62"/>
      <c r="J155" s="53"/>
    </row>
    <row r="156" ht="24.75" hidden="1" customHeight="1">
      <c r="A156" s="54">
        <v>110.0</v>
      </c>
      <c r="B156" s="56" t="s">
        <v>392</v>
      </c>
      <c r="C156" s="56" t="s">
        <v>101</v>
      </c>
      <c r="D156" s="56" t="s">
        <v>102</v>
      </c>
      <c r="E156" s="56" t="s">
        <v>111</v>
      </c>
      <c r="F156" s="57" t="s">
        <v>34</v>
      </c>
      <c r="G156" s="61"/>
      <c r="H156" s="61"/>
      <c r="I156" s="62"/>
      <c r="J156" s="53"/>
    </row>
    <row r="157" ht="24.75" hidden="1" customHeight="1">
      <c r="A157" s="54">
        <v>120.0</v>
      </c>
      <c r="B157" s="56" t="s">
        <v>393</v>
      </c>
      <c r="C157" s="56" t="s">
        <v>394</v>
      </c>
      <c r="D157" s="56" t="s">
        <v>299</v>
      </c>
      <c r="E157" s="56" t="s">
        <v>163</v>
      </c>
      <c r="F157" s="57" t="s">
        <v>154</v>
      </c>
      <c r="G157" s="61"/>
      <c r="H157" s="61"/>
      <c r="I157" s="62" t="s">
        <v>207</v>
      </c>
      <c r="J157" s="53"/>
    </row>
    <row r="158" ht="24.75" hidden="1" customHeight="1">
      <c r="A158" s="54">
        <v>120.0</v>
      </c>
      <c r="B158" s="56" t="s">
        <v>395</v>
      </c>
      <c r="C158" s="56" t="s">
        <v>394</v>
      </c>
      <c r="D158" s="56" t="s">
        <v>172</v>
      </c>
      <c r="E158" s="56" t="s">
        <v>163</v>
      </c>
      <c r="F158" s="57" t="s">
        <v>154</v>
      </c>
      <c r="G158" s="61"/>
      <c r="H158" s="61"/>
      <c r="I158" s="62"/>
      <c r="J158" s="53"/>
    </row>
    <row r="159" ht="24.75" hidden="1" customHeight="1">
      <c r="A159" s="54">
        <v>120.0</v>
      </c>
      <c r="B159" s="56" t="s">
        <v>396</v>
      </c>
      <c r="C159" s="56" t="s">
        <v>394</v>
      </c>
      <c r="D159" s="56" t="s">
        <v>397</v>
      </c>
      <c r="E159" s="56" t="s">
        <v>163</v>
      </c>
      <c r="F159" s="57" t="s">
        <v>154</v>
      </c>
      <c r="G159" s="61"/>
      <c r="H159" s="61"/>
      <c r="I159" s="62"/>
      <c r="J159" s="53"/>
    </row>
    <row r="160" ht="24.75" hidden="1" customHeight="1">
      <c r="A160" s="54">
        <v>120.0</v>
      </c>
      <c r="B160" s="56" t="s">
        <v>398</v>
      </c>
      <c r="C160" s="56" t="s">
        <v>394</v>
      </c>
      <c r="D160" s="56" t="s">
        <v>399</v>
      </c>
      <c r="E160" s="56" t="s">
        <v>163</v>
      </c>
      <c r="F160" s="57" t="s">
        <v>154</v>
      </c>
      <c r="G160" s="61"/>
      <c r="H160" s="61"/>
      <c r="I160" s="62"/>
      <c r="J160" s="53"/>
    </row>
    <row r="161" ht="24.75" hidden="1" customHeight="1">
      <c r="A161" s="54">
        <v>120.0</v>
      </c>
      <c r="B161" s="56" t="s">
        <v>400</v>
      </c>
      <c r="C161" s="56" t="s">
        <v>394</v>
      </c>
      <c r="D161" s="56" t="s">
        <v>401</v>
      </c>
      <c r="E161" s="56" t="s">
        <v>163</v>
      </c>
      <c r="F161" s="57" t="s">
        <v>154</v>
      </c>
      <c r="G161" s="61"/>
      <c r="H161" s="61"/>
      <c r="I161" s="62"/>
      <c r="J161" s="53"/>
    </row>
    <row r="162" ht="24.75" hidden="1" customHeight="1">
      <c r="A162" s="54">
        <v>90.0</v>
      </c>
      <c r="B162" s="56" t="s">
        <v>402</v>
      </c>
      <c r="C162" s="56" t="s">
        <v>278</v>
      </c>
      <c r="D162" s="56" t="s">
        <v>403</v>
      </c>
      <c r="E162" s="56" t="s">
        <v>111</v>
      </c>
      <c r="F162" s="57" t="s">
        <v>15</v>
      </c>
      <c r="G162" s="61"/>
      <c r="H162" s="61"/>
      <c r="I162" s="86"/>
      <c r="J162" s="53"/>
    </row>
    <row r="163" ht="24.75" hidden="1" customHeight="1">
      <c r="A163" s="54">
        <v>130.0</v>
      </c>
      <c r="B163" s="56" t="s">
        <v>404</v>
      </c>
      <c r="C163" s="56" t="s">
        <v>405</v>
      </c>
      <c r="D163" s="56" t="s">
        <v>406</v>
      </c>
      <c r="E163" s="56" t="s">
        <v>407</v>
      </c>
      <c r="F163" s="57" t="s">
        <v>250</v>
      </c>
      <c r="G163" s="61"/>
      <c r="H163" s="61" t="s">
        <v>346</v>
      </c>
      <c r="I163" s="62" t="s">
        <v>414</v>
      </c>
      <c r="J163" s="53"/>
    </row>
    <row r="164" ht="24.75" hidden="1" customHeight="1">
      <c r="A164" s="54">
        <v>130.0</v>
      </c>
      <c r="B164" s="56" t="s">
        <v>404</v>
      </c>
      <c r="C164" s="56" t="s">
        <v>405</v>
      </c>
      <c r="D164" s="56" t="s">
        <v>406</v>
      </c>
      <c r="E164" s="56" t="s">
        <v>408</v>
      </c>
      <c r="F164" s="57" t="s">
        <v>250</v>
      </c>
      <c r="G164" s="61"/>
      <c r="H164" s="61" t="s">
        <v>346</v>
      </c>
      <c r="I164" s="62" t="s">
        <v>417</v>
      </c>
      <c r="J164" s="53"/>
    </row>
    <row r="165" ht="24.75" hidden="1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111</v>
      </c>
      <c r="F165" s="57" t="s">
        <v>154</v>
      </c>
      <c r="G165" s="61"/>
      <c r="H165" s="61"/>
      <c r="I165" s="62"/>
      <c r="J165" s="53"/>
    </row>
    <row r="166" ht="24.75" hidden="1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409</v>
      </c>
      <c r="F166" s="57" t="s">
        <v>154</v>
      </c>
      <c r="G166" s="61"/>
      <c r="H166" s="61"/>
      <c r="I166" s="62"/>
      <c r="J166" s="53"/>
    </row>
    <row r="167" ht="24.75" hidden="1" customHeight="1">
      <c r="A167" s="54">
        <v>130.0</v>
      </c>
      <c r="B167" s="56" t="s">
        <v>404</v>
      </c>
      <c r="C167" s="56" t="s">
        <v>405</v>
      </c>
      <c r="D167" s="56" t="s">
        <v>406</v>
      </c>
      <c r="E167" s="56" t="s">
        <v>410</v>
      </c>
      <c r="F167" s="57" t="s">
        <v>154</v>
      </c>
      <c r="G167" s="61"/>
      <c r="H167" s="61"/>
      <c r="I167" s="62"/>
      <c r="J167" s="53"/>
    </row>
    <row r="168" ht="24.75" hidden="1" customHeight="1">
      <c r="A168" s="54">
        <v>130.0</v>
      </c>
      <c r="B168" s="56" t="s">
        <v>404</v>
      </c>
      <c r="C168" s="56" t="s">
        <v>405</v>
      </c>
      <c r="D168" s="56" t="s">
        <v>406</v>
      </c>
      <c r="E168" s="56" t="s">
        <v>411</v>
      </c>
      <c r="F168" s="57" t="s">
        <v>154</v>
      </c>
      <c r="G168" s="61"/>
      <c r="H168" s="61"/>
      <c r="I168" s="62"/>
      <c r="J168" s="53"/>
    </row>
    <row r="169" ht="24.75" hidden="1" customHeight="1">
      <c r="A169" s="54">
        <v>130.0</v>
      </c>
      <c r="B169" s="56" t="s">
        <v>412</v>
      </c>
      <c r="C169" s="56"/>
      <c r="D169" s="56" t="s">
        <v>413</v>
      </c>
      <c r="E169" s="56" t="s">
        <v>336</v>
      </c>
      <c r="F169" s="57" t="s">
        <v>192</v>
      </c>
      <c r="G169" s="61"/>
      <c r="H169" s="61"/>
      <c r="I169" s="62"/>
      <c r="J169" s="53"/>
    </row>
    <row r="170" ht="24.75" hidden="1" customHeight="1">
      <c r="A170" s="54">
        <v>130.0</v>
      </c>
      <c r="B170" s="56" t="s">
        <v>415</v>
      </c>
      <c r="C170" s="56" t="s">
        <v>148</v>
      </c>
      <c r="D170" s="56" t="s">
        <v>416</v>
      </c>
      <c r="E170" s="56" t="s">
        <v>150</v>
      </c>
      <c r="F170" s="57" t="s">
        <v>34</v>
      </c>
      <c r="G170" s="61"/>
      <c r="H170" s="61"/>
      <c r="I170" s="62"/>
      <c r="J170" s="53"/>
    </row>
    <row r="171" ht="24.75" hidden="1" customHeight="1">
      <c r="A171" s="54">
        <v>130.0</v>
      </c>
      <c r="B171" s="56" t="s">
        <v>418</v>
      </c>
      <c r="C171" s="56" t="s">
        <v>148</v>
      </c>
      <c r="D171" s="56" t="s">
        <v>419</v>
      </c>
      <c r="E171" s="56" t="s">
        <v>150</v>
      </c>
      <c r="F171" s="57" t="s">
        <v>34</v>
      </c>
      <c r="G171" s="61"/>
      <c r="H171" s="61"/>
      <c r="I171" s="62"/>
      <c r="J171" s="53"/>
    </row>
    <row r="172" ht="24.75" hidden="1" customHeight="1">
      <c r="A172" s="54">
        <v>136.0</v>
      </c>
      <c r="B172" s="56" t="s">
        <v>421</v>
      </c>
      <c r="C172" s="56" t="s">
        <v>422</v>
      </c>
      <c r="D172" s="56" t="s">
        <v>422</v>
      </c>
      <c r="E172" s="56" t="s">
        <v>423</v>
      </c>
      <c r="F172" s="57" t="s">
        <v>154</v>
      </c>
      <c r="G172" s="61"/>
      <c r="H172" s="61"/>
      <c r="I172" s="62" t="s">
        <v>207</v>
      </c>
      <c r="J172" s="53"/>
    </row>
    <row r="173" ht="24.75" hidden="1" customHeight="1">
      <c r="A173" s="54">
        <v>136.0</v>
      </c>
      <c r="B173" s="56" t="s">
        <v>421</v>
      </c>
      <c r="C173" s="56" t="s">
        <v>422</v>
      </c>
      <c r="D173" s="56" t="s">
        <v>422</v>
      </c>
      <c r="E173" s="80" t="s">
        <v>213</v>
      </c>
      <c r="F173" s="57"/>
      <c r="G173" s="61"/>
      <c r="H173" s="61"/>
      <c r="I173" s="62"/>
      <c r="J173" s="53"/>
    </row>
    <row r="174" ht="24.75" hidden="1" customHeight="1">
      <c r="A174" s="54">
        <v>136.0</v>
      </c>
      <c r="B174" s="56" t="s">
        <v>424</v>
      </c>
      <c r="C174" s="56" t="s">
        <v>422</v>
      </c>
      <c r="D174" s="56" t="s">
        <v>425</v>
      </c>
      <c r="E174" s="56" t="s">
        <v>111</v>
      </c>
      <c r="F174" s="57" t="s">
        <v>154</v>
      </c>
      <c r="G174" s="61"/>
      <c r="H174" s="61"/>
      <c r="I174" s="62"/>
      <c r="J174" s="53"/>
    </row>
    <row r="175" ht="24.75" hidden="1" customHeight="1">
      <c r="A175" s="54">
        <v>136.0</v>
      </c>
      <c r="B175" s="56" t="s">
        <v>426</v>
      </c>
      <c r="C175" s="56" t="s">
        <v>422</v>
      </c>
      <c r="D175" s="56" t="s">
        <v>427</v>
      </c>
      <c r="E175" s="56" t="s">
        <v>111</v>
      </c>
      <c r="F175" s="57" t="s">
        <v>154</v>
      </c>
      <c r="G175" s="61"/>
      <c r="H175" s="61"/>
      <c r="I175" s="62"/>
      <c r="J175" s="53"/>
    </row>
    <row r="176" ht="24.75" hidden="1" customHeight="1">
      <c r="A176" s="54">
        <v>136.0</v>
      </c>
      <c r="B176" s="56" t="s">
        <v>428</v>
      </c>
      <c r="C176" s="56" t="s">
        <v>422</v>
      </c>
      <c r="D176" s="56" t="s">
        <v>429</v>
      </c>
      <c r="E176" s="56" t="s">
        <v>111</v>
      </c>
      <c r="F176" s="57" t="s">
        <v>154</v>
      </c>
      <c r="G176" s="61"/>
      <c r="H176" s="61"/>
      <c r="I176" s="62"/>
      <c r="J176" s="53"/>
    </row>
    <row r="177" ht="24.75" hidden="1" customHeight="1">
      <c r="A177" s="54">
        <v>136.0</v>
      </c>
      <c r="B177" s="56" t="s">
        <v>430</v>
      </c>
      <c r="C177" s="56" t="s">
        <v>422</v>
      </c>
      <c r="D177" s="56" t="s">
        <v>431</v>
      </c>
      <c r="E177" s="56" t="s">
        <v>432</v>
      </c>
      <c r="F177" s="57" t="s">
        <v>154</v>
      </c>
      <c r="G177" s="61"/>
      <c r="H177" s="61"/>
      <c r="I177" s="62"/>
      <c r="J177" s="53"/>
    </row>
    <row r="178" ht="24.75" hidden="1" customHeight="1">
      <c r="A178" s="54">
        <v>140.0</v>
      </c>
      <c r="B178" s="56" t="s">
        <v>433</v>
      </c>
      <c r="C178" s="56" t="s">
        <v>434</v>
      </c>
      <c r="D178" s="56" t="s">
        <v>435</v>
      </c>
      <c r="E178" s="56" t="s">
        <v>167</v>
      </c>
      <c r="F178" s="57" t="s">
        <v>154</v>
      </c>
      <c r="G178" s="61"/>
      <c r="H178" s="61"/>
      <c r="I178" s="62"/>
      <c r="J178" s="53"/>
    </row>
    <row r="179" ht="24.75" hidden="1" customHeight="1">
      <c r="A179" s="54">
        <v>140.0</v>
      </c>
      <c r="B179" s="56" t="s">
        <v>436</v>
      </c>
      <c r="C179" s="56" t="s">
        <v>437</v>
      </c>
      <c r="D179" s="56" t="s">
        <v>438</v>
      </c>
      <c r="E179" s="56" t="s">
        <v>439</v>
      </c>
      <c r="F179" s="57" t="s">
        <v>154</v>
      </c>
      <c r="G179" s="61"/>
      <c r="H179" s="61"/>
      <c r="I179" s="62"/>
      <c r="J179" s="53"/>
    </row>
    <row r="180" ht="24.75" hidden="1" customHeight="1">
      <c r="A180" s="54">
        <v>140.0</v>
      </c>
      <c r="B180" s="56" t="s">
        <v>440</v>
      </c>
      <c r="C180" s="56" t="s">
        <v>437</v>
      </c>
      <c r="D180" s="56" t="s">
        <v>441</v>
      </c>
      <c r="E180" s="56" t="s">
        <v>439</v>
      </c>
      <c r="F180" s="57" t="s">
        <v>154</v>
      </c>
      <c r="G180" s="61"/>
      <c r="H180" s="61"/>
      <c r="I180" s="62"/>
      <c r="J180" s="53"/>
    </row>
    <row r="181" ht="24.75" hidden="1" customHeight="1">
      <c r="A181" s="54">
        <v>140.0</v>
      </c>
      <c r="B181" s="56" t="s">
        <v>442</v>
      </c>
      <c r="C181" s="56" t="s">
        <v>443</v>
      </c>
      <c r="D181" s="56" t="s">
        <v>444</v>
      </c>
      <c r="E181" s="56" t="s">
        <v>439</v>
      </c>
      <c r="F181" s="57" t="s">
        <v>154</v>
      </c>
      <c r="G181" s="61"/>
      <c r="H181" s="61"/>
      <c r="I181" s="62"/>
      <c r="J181" s="53"/>
    </row>
    <row r="182" ht="24.75" hidden="1" customHeight="1">
      <c r="A182" s="54">
        <v>140.0</v>
      </c>
      <c r="B182" s="56" t="s">
        <v>445</v>
      </c>
      <c r="C182" s="56" t="s">
        <v>446</v>
      </c>
      <c r="D182" s="56" t="s">
        <v>447</v>
      </c>
      <c r="E182" s="56" t="s">
        <v>439</v>
      </c>
      <c r="F182" s="57" t="s">
        <v>154</v>
      </c>
      <c r="G182" s="61"/>
      <c r="H182" s="61"/>
      <c r="I182" s="62"/>
      <c r="J182" s="53"/>
    </row>
    <row r="183" ht="24.75" hidden="1" customHeight="1">
      <c r="A183" s="54">
        <v>140.0</v>
      </c>
      <c r="B183" s="56" t="s">
        <v>448</v>
      </c>
      <c r="C183" s="88" t="s">
        <v>449</v>
      </c>
      <c r="D183" s="56" t="s">
        <v>450</v>
      </c>
      <c r="E183" s="56" t="s">
        <v>439</v>
      </c>
      <c r="F183" s="57" t="s">
        <v>154</v>
      </c>
      <c r="G183" s="61"/>
      <c r="H183" s="61"/>
      <c r="I183" s="62"/>
      <c r="J183" s="53"/>
    </row>
    <row r="184" ht="24.75" hidden="1" customHeight="1">
      <c r="A184" s="54">
        <v>90.0</v>
      </c>
      <c r="B184" s="56" t="s">
        <v>286</v>
      </c>
      <c r="C184" s="56" t="s">
        <v>278</v>
      </c>
      <c r="D184" s="56" t="s">
        <v>266</v>
      </c>
      <c r="E184" s="56" t="s">
        <v>111</v>
      </c>
      <c r="F184" s="57" t="s">
        <v>15</v>
      </c>
      <c r="G184" s="61"/>
      <c r="H184" s="61"/>
      <c r="I184" s="60"/>
      <c r="J184" s="53"/>
    </row>
    <row r="185" ht="24.75" hidden="1" customHeight="1">
      <c r="A185" s="54">
        <v>100.0</v>
      </c>
      <c r="B185" s="56" t="s">
        <v>451</v>
      </c>
      <c r="C185" s="56" t="s">
        <v>315</v>
      </c>
      <c r="D185" s="56" t="s">
        <v>452</v>
      </c>
      <c r="E185" s="56" t="s">
        <v>453</v>
      </c>
      <c r="F185" s="57" t="s">
        <v>15</v>
      </c>
      <c r="G185" s="61"/>
      <c r="H185" s="61"/>
      <c r="I185" s="60"/>
      <c r="J185" s="53"/>
    </row>
    <row r="186" ht="24.75" hidden="1" customHeight="1">
      <c r="A186" s="54">
        <v>100.0</v>
      </c>
      <c r="B186" s="56" t="s">
        <v>454</v>
      </c>
      <c r="C186" s="56" t="s">
        <v>315</v>
      </c>
      <c r="D186" s="56" t="s">
        <v>316</v>
      </c>
      <c r="E186" s="56" t="s">
        <v>455</v>
      </c>
      <c r="F186" s="57" t="s">
        <v>15</v>
      </c>
      <c r="G186" s="61"/>
      <c r="H186" s="61"/>
      <c r="I186" s="60"/>
      <c r="J186" s="53"/>
    </row>
    <row r="187" ht="24.75" hidden="1" customHeight="1">
      <c r="A187" s="54">
        <v>101.0</v>
      </c>
      <c r="B187" s="56" t="s">
        <v>456</v>
      </c>
      <c r="C187" s="56" t="s">
        <v>315</v>
      </c>
      <c r="D187" s="56" t="s">
        <v>340</v>
      </c>
      <c r="E187" s="56" t="s">
        <v>457</v>
      </c>
      <c r="F187" s="57" t="s">
        <v>15</v>
      </c>
      <c r="G187" s="61"/>
      <c r="H187" s="61"/>
      <c r="I187" s="60"/>
      <c r="J187" s="53"/>
    </row>
    <row r="188" ht="24.75" hidden="1" customHeight="1">
      <c r="A188" s="54">
        <v>101.0</v>
      </c>
      <c r="B188" s="56" t="s">
        <v>458</v>
      </c>
      <c r="C188" s="56" t="s">
        <v>315</v>
      </c>
      <c r="D188" s="56" t="s">
        <v>351</v>
      </c>
      <c r="E188" s="56" t="s">
        <v>459</v>
      </c>
      <c r="F188" s="57" t="s">
        <v>15</v>
      </c>
      <c r="G188" s="61"/>
      <c r="H188" s="61"/>
      <c r="I188" s="60"/>
      <c r="J188" s="53"/>
    </row>
    <row r="189" ht="24.75" hidden="1" customHeight="1">
      <c r="A189" s="54">
        <v>102.0</v>
      </c>
      <c r="B189" s="56" t="s">
        <v>353</v>
      </c>
      <c r="C189" s="56" t="s">
        <v>315</v>
      </c>
      <c r="D189" s="56" t="s">
        <v>354</v>
      </c>
      <c r="E189" s="56" t="s">
        <v>461</v>
      </c>
      <c r="F189" s="57" t="s">
        <v>15</v>
      </c>
      <c r="G189" s="61"/>
      <c r="H189" s="61"/>
      <c r="I189" s="60"/>
      <c r="J189" s="53"/>
    </row>
    <row r="190" ht="24.75" hidden="1" customHeight="1">
      <c r="A190" s="54">
        <v>140.0</v>
      </c>
      <c r="B190" s="56" t="s">
        <v>462</v>
      </c>
      <c r="C190" s="56" t="s">
        <v>434</v>
      </c>
      <c r="D190" s="56" t="s">
        <v>463</v>
      </c>
      <c r="E190" s="56" t="s">
        <v>272</v>
      </c>
      <c r="F190" s="57" t="s">
        <v>15</v>
      </c>
      <c r="G190" s="61"/>
      <c r="H190" s="61"/>
      <c r="I190" s="60"/>
      <c r="J190" s="53"/>
    </row>
    <row r="191" ht="24.75" hidden="1" customHeight="1">
      <c r="A191" s="54">
        <v>140.0</v>
      </c>
      <c r="B191" s="56" t="s">
        <v>464</v>
      </c>
      <c r="C191" s="56" t="s">
        <v>270</v>
      </c>
      <c r="D191" s="56" t="s">
        <v>465</v>
      </c>
      <c r="E191" s="56" t="s">
        <v>272</v>
      </c>
      <c r="F191" s="57" t="s">
        <v>15</v>
      </c>
      <c r="G191" s="61"/>
      <c r="H191" s="61"/>
      <c r="I191" s="60"/>
      <c r="J191" s="53"/>
    </row>
    <row r="192" ht="24.75" hidden="1" customHeight="1">
      <c r="A192" s="54">
        <v>140.0</v>
      </c>
      <c r="B192" s="56" t="s">
        <v>466</v>
      </c>
      <c r="C192" s="56" t="s">
        <v>443</v>
      </c>
      <c r="D192" s="56" t="s">
        <v>467</v>
      </c>
      <c r="E192" s="56" t="s">
        <v>272</v>
      </c>
      <c r="F192" s="57" t="s">
        <v>15</v>
      </c>
      <c r="G192" s="61"/>
      <c r="H192" s="61"/>
      <c r="I192" s="60"/>
      <c r="J192" s="53"/>
    </row>
    <row r="193" ht="24.75" hidden="1" customHeight="1">
      <c r="A193" s="54">
        <v>140.0</v>
      </c>
      <c r="B193" s="56" t="s">
        <v>468</v>
      </c>
      <c r="C193" s="56" t="s">
        <v>446</v>
      </c>
      <c r="D193" s="56" t="s">
        <v>469</v>
      </c>
      <c r="E193" s="56" t="s">
        <v>272</v>
      </c>
      <c r="F193" s="57" t="s">
        <v>15</v>
      </c>
      <c r="G193" s="61"/>
      <c r="H193" s="61"/>
      <c r="I193" s="60"/>
      <c r="J193" s="53"/>
    </row>
    <row r="194" ht="24.75" hidden="1" customHeight="1">
      <c r="A194" s="54">
        <v>140.0</v>
      </c>
      <c r="B194" s="56" t="s">
        <v>470</v>
      </c>
      <c r="C194" s="56" t="s">
        <v>443</v>
      </c>
      <c r="D194" s="56" t="s">
        <v>471</v>
      </c>
      <c r="E194" s="56" t="s">
        <v>272</v>
      </c>
      <c r="F194" s="57" t="s">
        <v>15</v>
      </c>
      <c r="G194" s="61"/>
      <c r="H194" s="61"/>
      <c r="I194" s="60"/>
      <c r="J194" s="53"/>
    </row>
    <row r="195" ht="24.75" hidden="1" customHeight="1">
      <c r="A195" s="54">
        <v>140.0</v>
      </c>
      <c r="B195" s="56" t="s">
        <v>472</v>
      </c>
      <c r="C195" s="56" t="s">
        <v>446</v>
      </c>
      <c r="D195" s="56" t="s">
        <v>473</v>
      </c>
      <c r="E195" s="56" t="s">
        <v>272</v>
      </c>
      <c r="F195" s="57" t="s">
        <v>15</v>
      </c>
      <c r="G195" s="61"/>
      <c r="H195" s="61"/>
      <c r="I195" s="60"/>
      <c r="J195" s="53"/>
    </row>
    <row r="196" ht="24.75" hidden="1" customHeight="1">
      <c r="A196" s="54">
        <v>140.0</v>
      </c>
      <c r="B196" s="56" t="s">
        <v>474</v>
      </c>
      <c r="C196" s="56" t="s">
        <v>443</v>
      </c>
      <c r="D196" s="56" t="s">
        <v>475</v>
      </c>
      <c r="E196" s="56" t="s">
        <v>272</v>
      </c>
      <c r="F196" s="57" t="s">
        <v>15</v>
      </c>
      <c r="G196" s="61"/>
      <c r="H196" s="61"/>
      <c r="I196" s="60"/>
      <c r="J196" s="53"/>
    </row>
    <row r="197" ht="24.75" hidden="1" customHeight="1">
      <c r="A197" s="54">
        <v>140.0</v>
      </c>
      <c r="B197" s="56" t="s">
        <v>476</v>
      </c>
      <c r="C197" s="56" t="s">
        <v>270</v>
      </c>
      <c r="D197" s="56" t="s">
        <v>477</v>
      </c>
      <c r="E197" s="56" t="s">
        <v>272</v>
      </c>
      <c r="F197" s="57" t="s">
        <v>15</v>
      </c>
      <c r="G197" s="61"/>
      <c r="H197" s="61"/>
      <c r="I197" s="60"/>
      <c r="J197" s="53"/>
    </row>
    <row r="198" ht="24.75" hidden="1" customHeight="1">
      <c r="A198" s="54">
        <v>140.0</v>
      </c>
      <c r="B198" s="56" t="s">
        <v>478</v>
      </c>
      <c r="C198" s="56" t="s">
        <v>270</v>
      </c>
      <c r="D198" s="56" t="s">
        <v>479</v>
      </c>
      <c r="E198" s="56" t="s">
        <v>272</v>
      </c>
      <c r="F198" s="57" t="s">
        <v>15</v>
      </c>
      <c r="G198" s="61"/>
      <c r="H198" s="61"/>
      <c r="I198" s="60"/>
      <c r="J198" s="53"/>
    </row>
    <row r="199" ht="24.75" hidden="1" customHeight="1">
      <c r="A199" s="54">
        <v>140.0</v>
      </c>
      <c r="B199" s="56" t="s">
        <v>480</v>
      </c>
      <c r="C199" s="56" t="s">
        <v>270</v>
      </c>
      <c r="D199" s="56" t="s">
        <v>481</v>
      </c>
      <c r="E199" s="56" t="s">
        <v>272</v>
      </c>
      <c r="F199" s="57" t="s">
        <v>15</v>
      </c>
      <c r="G199" s="61"/>
      <c r="H199" s="61"/>
      <c r="I199" s="60"/>
      <c r="J199" s="53"/>
    </row>
    <row r="200" ht="24.75" hidden="1" customHeight="1">
      <c r="A200" s="54">
        <v>140.0</v>
      </c>
      <c r="B200" s="56" t="s">
        <v>482</v>
      </c>
      <c r="C200" s="56" t="s">
        <v>443</v>
      </c>
      <c r="D200" s="56" t="s">
        <v>483</v>
      </c>
      <c r="E200" s="56" t="s">
        <v>272</v>
      </c>
      <c r="F200" s="57" t="s">
        <v>15</v>
      </c>
      <c r="G200" s="61"/>
      <c r="H200" s="61"/>
      <c r="I200" s="60"/>
      <c r="J200" s="53"/>
    </row>
    <row r="201" ht="24.75" hidden="1" customHeight="1">
      <c r="A201" s="54">
        <v>140.0</v>
      </c>
      <c r="B201" s="56" t="s">
        <v>484</v>
      </c>
      <c r="C201" s="56" t="s">
        <v>446</v>
      </c>
      <c r="D201" s="56" t="s">
        <v>485</v>
      </c>
      <c r="E201" s="56" t="s">
        <v>272</v>
      </c>
      <c r="F201" s="57" t="s">
        <v>15</v>
      </c>
      <c r="G201" s="61"/>
      <c r="H201" s="61"/>
      <c r="I201" s="60"/>
      <c r="J201" s="53"/>
    </row>
    <row r="202" ht="24.75" hidden="1" customHeight="1">
      <c r="A202" s="54">
        <v>140.0</v>
      </c>
      <c r="B202" s="56" t="s">
        <v>269</v>
      </c>
      <c r="C202" s="56" t="s">
        <v>270</v>
      </c>
      <c r="D202" s="56" t="s">
        <v>486</v>
      </c>
      <c r="E202" s="56" t="s">
        <v>487</v>
      </c>
      <c r="F202" s="56"/>
      <c r="G202" s="61"/>
      <c r="H202" s="61"/>
      <c r="I202" s="62"/>
      <c r="J202" s="53"/>
    </row>
    <row r="203" ht="24.75" hidden="1" customHeight="1">
      <c r="A203" s="54">
        <v>140.0</v>
      </c>
      <c r="B203" s="56" t="s">
        <v>488</v>
      </c>
      <c r="C203" s="88" t="s">
        <v>449</v>
      </c>
      <c r="D203" s="56" t="s">
        <v>489</v>
      </c>
      <c r="E203" s="56" t="s">
        <v>272</v>
      </c>
      <c r="F203" s="57" t="s">
        <v>15</v>
      </c>
      <c r="G203" s="61"/>
      <c r="H203" s="61"/>
      <c r="I203" s="60"/>
      <c r="J203" s="53"/>
    </row>
    <row r="204" ht="24.75" hidden="1" customHeight="1">
      <c r="A204" s="54">
        <v>140.0</v>
      </c>
      <c r="B204" s="56" t="s">
        <v>490</v>
      </c>
      <c r="C204" s="56" t="s">
        <v>270</v>
      </c>
      <c r="D204" s="56" t="s">
        <v>491</v>
      </c>
      <c r="E204" s="56" t="s">
        <v>272</v>
      </c>
      <c r="F204" s="57" t="s">
        <v>15</v>
      </c>
      <c r="G204" s="61"/>
      <c r="H204" s="61"/>
      <c r="I204" s="60"/>
      <c r="J204" s="53"/>
    </row>
    <row r="205" ht="24.75" hidden="1" customHeight="1">
      <c r="A205" s="54">
        <v>140.0</v>
      </c>
      <c r="B205" s="56" t="s">
        <v>284</v>
      </c>
      <c r="C205" s="56" t="s">
        <v>270</v>
      </c>
      <c r="D205" s="56" t="s">
        <v>492</v>
      </c>
      <c r="E205" s="56" t="s">
        <v>487</v>
      </c>
      <c r="F205" s="56"/>
      <c r="G205" s="61"/>
      <c r="H205" s="61"/>
      <c r="I205" s="62"/>
      <c r="J205" s="53"/>
    </row>
    <row r="206" ht="24.75" hidden="1" customHeight="1">
      <c r="A206" s="54">
        <v>140.0</v>
      </c>
      <c r="B206" s="56" t="s">
        <v>493</v>
      </c>
      <c r="C206" s="56" t="s">
        <v>270</v>
      </c>
      <c r="D206" s="56" t="s">
        <v>494</v>
      </c>
      <c r="E206" s="56" t="s">
        <v>272</v>
      </c>
      <c r="F206" s="57" t="s">
        <v>15</v>
      </c>
      <c r="G206" s="61"/>
      <c r="H206" s="61"/>
      <c r="I206" s="60"/>
      <c r="J206" s="53"/>
    </row>
    <row r="207" ht="24.75" hidden="1" customHeight="1">
      <c r="A207" s="54">
        <v>140.0</v>
      </c>
      <c r="B207" s="56" t="s">
        <v>496</v>
      </c>
      <c r="C207" s="56" t="s">
        <v>497</v>
      </c>
      <c r="D207" s="56" t="s">
        <v>498</v>
      </c>
      <c r="E207" s="56" t="s">
        <v>272</v>
      </c>
      <c r="F207" s="57" t="s">
        <v>15</v>
      </c>
      <c r="G207" s="61"/>
      <c r="H207" s="61"/>
      <c r="I207" s="60"/>
      <c r="J207" s="53"/>
    </row>
    <row r="208" ht="24.75" hidden="1" customHeight="1">
      <c r="A208" s="54">
        <v>140.0</v>
      </c>
      <c r="B208" s="56" t="s">
        <v>499</v>
      </c>
      <c r="C208" s="56" t="s">
        <v>500</v>
      </c>
      <c r="D208" s="56" t="s">
        <v>501</v>
      </c>
      <c r="E208" s="56" t="s">
        <v>225</v>
      </c>
      <c r="F208" s="57" t="s">
        <v>34</v>
      </c>
      <c r="G208" s="61"/>
      <c r="H208" s="61"/>
      <c r="I208" s="62"/>
      <c r="J208" s="53"/>
    </row>
    <row r="209" ht="24.75" hidden="1" customHeight="1">
      <c r="A209" s="54">
        <v>140.0</v>
      </c>
      <c r="B209" s="56" t="s">
        <v>499</v>
      </c>
      <c r="C209" s="56" t="s">
        <v>500</v>
      </c>
      <c r="D209" s="56" t="s">
        <v>501</v>
      </c>
      <c r="E209" s="56" t="s">
        <v>167</v>
      </c>
      <c r="F209" s="57" t="s">
        <v>154</v>
      </c>
      <c r="G209" s="61"/>
      <c r="H209" s="61"/>
      <c r="I209" s="62"/>
      <c r="J209" s="53"/>
    </row>
    <row r="210" ht="24.75" hidden="1" customHeight="1">
      <c r="A210" s="54">
        <v>140.0</v>
      </c>
      <c r="B210" s="56" t="s">
        <v>499</v>
      </c>
      <c r="C210" s="56" t="s">
        <v>500</v>
      </c>
      <c r="D210" s="56" t="s">
        <v>501</v>
      </c>
      <c r="E210" s="56" t="s">
        <v>226</v>
      </c>
      <c r="F210" s="57" t="s">
        <v>154</v>
      </c>
      <c r="G210" s="61"/>
      <c r="H210" s="61"/>
      <c r="I210" s="62"/>
      <c r="J210" s="53"/>
    </row>
    <row r="211" ht="24.75" hidden="1" customHeight="1">
      <c r="A211" s="54">
        <v>140.0</v>
      </c>
      <c r="B211" s="56" t="s">
        <v>502</v>
      </c>
      <c r="C211" s="56" t="s">
        <v>497</v>
      </c>
      <c r="D211" s="56" t="s">
        <v>503</v>
      </c>
      <c r="E211" s="56" t="s">
        <v>272</v>
      </c>
      <c r="F211" s="57" t="s">
        <v>15</v>
      </c>
      <c r="G211" s="61"/>
      <c r="H211" s="61"/>
      <c r="I211" s="60"/>
      <c r="J211" s="53"/>
    </row>
    <row r="212" ht="24.75" hidden="1" customHeight="1">
      <c r="A212" s="54">
        <v>140.0</v>
      </c>
      <c r="B212" s="56" t="s">
        <v>504</v>
      </c>
      <c r="C212" s="56" t="s">
        <v>443</v>
      </c>
      <c r="D212" s="56" t="s">
        <v>505</v>
      </c>
      <c r="E212" s="56" t="s">
        <v>439</v>
      </c>
      <c r="F212" s="57" t="s">
        <v>154</v>
      </c>
      <c r="G212" s="61"/>
      <c r="H212" s="61"/>
      <c r="I212" s="62"/>
      <c r="J212" s="53"/>
    </row>
    <row r="213" ht="24.75" hidden="1" customHeight="1">
      <c r="A213" s="54">
        <v>140.0</v>
      </c>
      <c r="B213" s="56" t="s">
        <v>506</v>
      </c>
      <c r="C213" s="56" t="s">
        <v>507</v>
      </c>
      <c r="D213" s="56" t="s">
        <v>508</v>
      </c>
      <c r="E213" s="56" t="s">
        <v>336</v>
      </c>
      <c r="F213" s="57" t="s">
        <v>192</v>
      </c>
      <c r="G213" s="61"/>
      <c r="H213" s="61"/>
      <c r="I213" s="62"/>
      <c r="J213" s="53"/>
    </row>
    <row r="214" ht="24.75" hidden="1" customHeight="1">
      <c r="A214" s="54">
        <v>140.0</v>
      </c>
      <c r="B214" s="56" t="s">
        <v>506</v>
      </c>
      <c r="C214" s="56" t="s">
        <v>507</v>
      </c>
      <c r="D214" s="56" t="s">
        <v>508</v>
      </c>
      <c r="E214" s="56" t="s">
        <v>372</v>
      </c>
      <c r="F214" s="57" t="s">
        <v>34</v>
      </c>
      <c r="G214" s="61"/>
      <c r="H214" s="61"/>
      <c r="I214" s="62"/>
      <c r="J214" s="53"/>
    </row>
    <row r="215" ht="24.75" hidden="1" customHeight="1">
      <c r="A215" s="54">
        <v>140.0</v>
      </c>
      <c r="B215" s="56" t="s">
        <v>506</v>
      </c>
      <c r="C215" s="56" t="s">
        <v>507</v>
      </c>
      <c r="D215" s="56" t="s">
        <v>508</v>
      </c>
      <c r="E215" s="56" t="s">
        <v>158</v>
      </c>
      <c r="F215" s="57" t="s">
        <v>34</v>
      </c>
      <c r="G215" s="61"/>
      <c r="H215" s="61"/>
      <c r="I215" s="62"/>
      <c r="J215" s="53"/>
    </row>
    <row r="216" ht="24.75" hidden="1" customHeight="1">
      <c r="A216" s="54">
        <v>140.0</v>
      </c>
      <c r="B216" s="56" t="s">
        <v>502</v>
      </c>
      <c r="C216" s="56" t="s">
        <v>497</v>
      </c>
      <c r="D216" s="56" t="s">
        <v>509</v>
      </c>
      <c r="E216" s="56" t="s">
        <v>272</v>
      </c>
      <c r="F216" s="57" t="s">
        <v>15</v>
      </c>
      <c r="G216" s="61"/>
      <c r="H216" s="61"/>
      <c r="I216" s="60"/>
      <c r="J216" s="53"/>
    </row>
    <row r="217" ht="24.75" hidden="1" customHeight="1">
      <c r="A217" s="54">
        <v>140.0</v>
      </c>
      <c r="B217" s="56" t="s">
        <v>499</v>
      </c>
      <c r="C217" s="56" t="s">
        <v>500</v>
      </c>
      <c r="D217" s="56" t="s">
        <v>510</v>
      </c>
      <c r="E217" s="56" t="s">
        <v>272</v>
      </c>
      <c r="F217" s="57" t="s">
        <v>15</v>
      </c>
      <c r="G217" s="61"/>
      <c r="H217" s="61"/>
      <c r="I217" s="60"/>
      <c r="J217" s="53"/>
    </row>
    <row r="218" ht="24.75" hidden="1" customHeight="1">
      <c r="A218" s="54">
        <v>140.0</v>
      </c>
      <c r="B218" s="56" t="s">
        <v>511</v>
      </c>
      <c r="C218" s="56" t="s">
        <v>497</v>
      </c>
      <c r="D218" s="56" t="s">
        <v>512</v>
      </c>
      <c r="E218" s="56" t="s">
        <v>272</v>
      </c>
      <c r="F218" s="57" t="s">
        <v>15</v>
      </c>
      <c r="G218" s="61"/>
      <c r="H218" s="61"/>
      <c r="I218" s="60"/>
      <c r="J218" s="53"/>
    </row>
    <row r="219" ht="24.75" hidden="1" customHeight="1">
      <c r="A219" s="54">
        <v>140.0</v>
      </c>
      <c r="B219" s="56" t="s">
        <v>513</v>
      </c>
      <c r="C219" s="56" t="s">
        <v>437</v>
      </c>
      <c r="D219" s="56" t="s">
        <v>514</v>
      </c>
      <c r="E219" s="56" t="s">
        <v>272</v>
      </c>
      <c r="F219" s="57" t="s">
        <v>15</v>
      </c>
      <c r="G219" s="61"/>
      <c r="H219" s="61"/>
      <c r="I219" s="60"/>
      <c r="J219" s="53"/>
    </row>
    <row r="220" ht="24.75" hidden="1" customHeight="1">
      <c r="A220" s="54">
        <v>140.0</v>
      </c>
      <c r="B220" s="56" t="s">
        <v>515</v>
      </c>
      <c r="C220" s="56" t="s">
        <v>437</v>
      </c>
      <c r="D220" s="56" t="s">
        <v>516</v>
      </c>
      <c r="E220" s="56" t="s">
        <v>272</v>
      </c>
      <c r="F220" s="57" t="s">
        <v>15</v>
      </c>
      <c r="G220" s="61"/>
      <c r="H220" s="61"/>
      <c r="I220" s="60"/>
      <c r="J220" s="53"/>
    </row>
    <row r="221" ht="24.75" hidden="1" customHeight="1">
      <c r="A221" s="54">
        <v>140.0</v>
      </c>
      <c r="B221" s="56" t="s">
        <v>517</v>
      </c>
      <c r="C221" s="56" t="s">
        <v>437</v>
      </c>
      <c r="D221" s="56" t="s">
        <v>518</v>
      </c>
      <c r="E221" s="56" t="s">
        <v>272</v>
      </c>
      <c r="F221" s="57" t="s">
        <v>15</v>
      </c>
      <c r="G221" s="81"/>
      <c r="H221" s="81"/>
      <c r="I221" s="93"/>
      <c r="J221" s="53"/>
    </row>
    <row r="222" ht="24.75" hidden="1" customHeight="1">
      <c r="A222" s="54">
        <v>140.0</v>
      </c>
      <c r="B222" s="56" t="s">
        <v>519</v>
      </c>
      <c r="C222" s="56" t="s">
        <v>437</v>
      </c>
      <c r="D222" s="56" t="s">
        <v>520</v>
      </c>
      <c r="E222" s="56" t="s">
        <v>272</v>
      </c>
      <c r="F222" s="57" t="s">
        <v>15</v>
      </c>
      <c r="G222" s="61"/>
      <c r="H222" s="61"/>
      <c r="I222" s="60"/>
      <c r="J222" s="53"/>
    </row>
    <row r="223" ht="24.75" hidden="1" customHeight="1">
      <c r="A223" s="54">
        <v>140.0</v>
      </c>
      <c r="B223" s="56" t="s">
        <v>521</v>
      </c>
      <c r="C223" s="56" t="s">
        <v>443</v>
      </c>
      <c r="D223" s="56" t="s">
        <v>522</v>
      </c>
      <c r="E223" s="56" t="s">
        <v>272</v>
      </c>
      <c r="F223" s="57" t="s">
        <v>15</v>
      </c>
      <c r="G223" s="61"/>
      <c r="H223" s="61"/>
      <c r="I223" s="60"/>
      <c r="J223" s="53"/>
    </row>
    <row r="224" ht="24.75" hidden="1" customHeight="1">
      <c r="A224" s="54">
        <v>140.0</v>
      </c>
      <c r="B224" s="56" t="s">
        <v>523</v>
      </c>
      <c r="C224" s="56" t="s">
        <v>443</v>
      </c>
      <c r="D224" s="56" t="s">
        <v>524</v>
      </c>
      <c r="E224" s="56" t="s">
        <v>272</v>
      </c>
      <c r="F224" s="57" t="s">
        <v>15</v>
      </c>
      <c r="G224" s="61"/>
      <c r="H224" s="61"/>
      <c r="I224" s="60"/>
      <c r="J224" s="53"/>
    </row>
    <row r="225" ht="24.75" hidden="1" customHeight="1">
      <c r="A225" s="54">
        <v>140.0</v>
      </c>
      <c r="B225" s="56" t="s">
        <v>525</v>
      </c>
      <c r="C225" s="56" t="s">
        <v>443</v>
      </c>
      <c r="D225" s="56" t="s">
        <v>526</v>
      </c>
      <c r="E225" s="56" t="s">
        <v>272</v>
      </c>
      <c r="F225" s="57" t="s">
        <v>15</v>
      </c>
      <c r="G225" s="61"/>
      <c r="H225" s="61"/>
      <c r="I225" s="60"/>
      <c r="J225" s="53"/>
    </row>
    <row r="226" ht="24.75" hidden="1" customHeight="1">
      <c r="A226" s="54">
        <v>140.0</v>
      </c>
      <c r="B226" s="56" t="s">
        <v>527</v>
      </c>
      <c r="C226" s="56" t="s">
        <v>446</v>
      </c>
      <c r="D226" s="56" t="s">
        <v>528</v>
      </c>
      <c r="E226" s="56" t="s">
        <v>272</v>
      </c>
      <c r="F226" s="57" t="s">
        <v>15</v>
      </c>
      <c r="G226" s="61"/>
      <c r="H226" s="61"/>
      <c r="I226" s="60"/>
      <c r="J226" s="53"/>
    </row>
    <row r="227" ht="24.75" hidden="1" customHeight="1">
      <c r="A227" s="54">
        <v>140.0</v>
      </c>
      <c r="B227" s="56" t="s">
        <v>529</v>
      </c>
      <c r="C227" s="56" t="s">
        <v>446</v>
      </c>
      <c r="D227" s="56" t="s">
        <v>530</v>
      </c>
      <c r="E227" s="56" t="s">
        <v>272</v>
      </c>
      <c r="F227" s="57" t="s">
        <v>15</v>
      </c>
      <c r="G227" s="61"/>
      <c r="H227" s="61"/>
      <c r="I227" s="60"/>
      <c r="J227" s="53"/>
    </row>
    <row r="228" ht="24.75" hidden="1" customHeight="1">
      <c r="A228" s="54">
        <v>140.0</v>
      </c>
      <c r="B228" s="56" t="s">
        <v>531</v>
      </c>
      <c r="C228" s="88" t="s">
        <v>449</v>
      </c>
      <c r="D228" s="56" t="s">
        <v>532</v>
      </c>
      <c r="E228" s="56" t="s">
        <v>272</v>
      </c>
      <c r="F228" s="57" t="s">
        <v>15</v>
      </c>
      <c r="G228" s="61"/>
      <c r="H228" s="61"/>
      <c r="I228" s="60"/>
      <c r="J228" s="53"/>
    </row>
    <row r="229" ht="24.75" hidden="1" customHeight="1">
      <c r="A229" s="54">
        <v>140.0</v>
      </c>
      <c r="B229" s="56" t="s">
        <v>533</v>
      </c>
      <c r="C229" s="56" t="s">
        <v>497</v>
      </c>
      <c r="D229" s="56" t="s">
        <v>534</v>
      </c>
      <c r="E229" s="56" t="s">
        <v>439</v>
      </c>
      <c r="F229" s="57" t="s">
        <v>154</v>
      </c>
      <c r="G229" s="61"/>
      <c r="H229" s="61"/>
      <c r="I229" s="62"/>
      <c r="J229" s="53"/>
    </row>
    <row r="230" ht="24.75" hidden="1" customHeight="1">
      <c r="A230" s="54">
        <v>140.0</v>
      </c>
      <c r="B230" s="56" t="s">
        <v>535</v>
      </c>
      <c r="C230" s="56" t="s">
        <v>443</v>
      </c>
      <c r="D230" s="56" t="s">
        <v>537</v>
      </c>
      <c r="E230" s="56" t="s">
        <v>439</v>
      </c>
      <c r="F230" s="57" t="s">
        <v>154</v>
      </c>
      <c r="G230" s="61"/>
      <c r="H230" s="61"/>
      <c r="I230" s="62"/>
      <c r="J230" s="53"/>
    </row>
    <row r="231" ht="24.75" hidden="1" customHeight="1">
      <c r="A231" s="54">
        <v>140.0</v>
      </c>
      <c r="B231" s="56" t="s">
        <v>538</v>
      </c>
      <c r="C231" s="56" t="s">
        <v>446</v>
      </c>
      <c r="D231" s="56" t="s">
        <v>539</v>
      </c>
      <c r="E231" s="56" t="s">
        <v>439</v>
      </c>
      <c r="F231" s="57" t="s">
        <v>154</v>
      </c>
      <c r="G231" s="61"/>
      <c r="H231" s="61"/>
      <c r="I231" s="62"/>
      <c r="J231" s="53"/>
    </row>
    <row r="232" ht="24.75" hidden="1" customHeight="1">
      <c r="A232" s="54">
        <v>140.0</v>
      </c>
      <c r="B232" s="56" t="s">
        <v>540</v>
      </c>
      <c r="C232" s="56" t="s">
        <v>434</v>
      </c>
      <c r="D232" s="56" t="s">
        <v>541</v>
      </c>
      <c r="E232" s="56" t="s">
        <v>167</v>
      </c>
      <c r="F232" s="57" t="s">
        <v>154</v>
      </c>
      <c r="G232" s="61"/>
      <c r="H232" s="61"/>
      <c r="I232" s="62"/>
      <c r="J232" s="53"/>
    </row>
    <row r="233" ht="24.75" hidden="1" customHeight="1">
      <c r="A233" s="54">
        <v>140.0</v>
      </c>
      <c r="B233" s="56" t="s">
        <v>540</v>
      </c>
      <c r="C233" s="56" t="s">
        <v>434</v>
      </c>
      <c r="D233" s="56" t="s">
        <v>541</v>
      </c>
      <c r="E233" s="56" t="s">
        <v>176</v>
      </c>
      <c r="F233" s="57" t="s">
        <v>154</v>
      </c>
      <c r="G233" s="61"/>
      <c r="H233" s="61"/>
      <c r="I233" s="62"/>
      <c r="J233" s="53"/>
    </row>
    <row r="234" ht="24.75" hidden="1" customHeight="1">
      <c r="A234" s="54">
        <v>140.0</v>
      </c>
      <c r="B234" s="56" t="s">
        <v>543</v>
      </c>
      <c r="C234" s="56" t="s">
        <v>437</v>
      </c>
      <c r="D234" s="56" t="s">
        <v>544</v>
      </c>
      <c r="E234" s="56" t="s">
        <v>167</v>
      </c>
      <c r="F234" s="57" t="s">
        <v>154</v>
      </c>
      <c r="G234" s="61"/>
      <c r="H234" s="61"/>
      <c r="I234" s="62"/>
      <c r="J234" s="53"/>
    </row>
    <row r="235" ht="24.75" hidden="1" customHeight="1">
      <c r="A235" s="54">
        <v>140.0</v>
      </c>
      <c r="B235" s="56" t="s">
        <v>543</v>
      </c>
      <c r="C235" s="56" t="s">
        <v>437</v>
      </c>
      <c r="D235" s="56" t="s">
        <v>544</v>
      </c>
      <c r="E235" s="56" t="s">
        <v>176</v>
      </c>
      <c r="F235" s="57" t="s">
        <v>154</v>
      </c>
      <c r="G235" s="61"/>
      <c r="H235" s="61"/>
      <c r="I235" s="62"/>
      <c r="J235" s="53"/>
    </row>
    <row r="236" ht="24.75" hidden="1" customHeight="1">
      <c r="A236" s="54">
        <v>140.0</v>
      </c>
      <c r="B236" s="56" t="s">
        <v>545</v>
      </c>
      <c r="C236" s="56" t="s">
        <v>437</v>
      </c>
      <c r="D236" s="56" t="s">
        <v>546</v>
      </c>
      <c r="E236" s="56" t="s">
        <v>167</v>
      </c>
      <c r="F236" s="57" t="s">
        <v>154</v>
      </c>
      <c r="G236" s="61"/>
      <c r="H236" s="61"/>
      <c r="I236" s="62"/>
      <c r="J236" s="53"/>
    </row>
    <row r="237" ht="24.75" hidden="1" customHeight="1">
      <c r="A237" s="54">
        <v>140.0</v>
      </c>
      <c r="B237" s="56" t="s">
        <v>545</v>
      </c>
      <c r="C237" s="56" t="s">
        <v>437</v>
      </c>
      <c r="D237" s="56" t="s">
        <v>546</v>
      </c>
      <c r="E237" s="56" t="s">
        <v>176</v>
      </c>
      <c r="F237" s="57" t="s">
        <v>154</v>
      </c>
      <c r="G237" s="61"/>
      <c r="H237" s="61"/>
      <c r="I237" s="62"/>
      <c r="J237" s="53"/>
    </row>
    <row r="238" ht="24.75" hidden="1" customHeight="1">
      <c r="A238" s="54">
        <v>140.0</v>
      </c>
      <c r="B238" s="56" t="s">
        <v>547</v>
      </c>
      <c r="C238" s="56" t="s">
        <v>437</v>
      </c>
      <c r="D238" s="56" t="s">
        <v>548</v>
      </c>
      <c r="E238" s="56" t="s">
        <v>167</v>
      </c>
      <c r="F238" s="57" t="s">
        <v>154</v>
      </c>
      <c r="G238" s="61"/>
      <c r="H238" s="61"/>
      <c r="I238" s="62"/>
      <c r="J238" s="53"/>
    </row>
    <row r="239" ht="24.75" hidden="1" customHeight="1">
      <c r="A239" s="54">
        <v>140.0</v>
      </c>
      <c r="B239" s="56" t="s">
        <v>547</v>
      </c>
      <c r="C239" s="56" t="s">
        <v>437</v>
      </c>
      <c r="D239" s="56" t="s">
        <v>548</v>
      </c>
      <c r="E239" s="56" t="s">
        <v>176</v>
      </c>
      <c r="F239" s="57" t="s">
        <v>154</v>
      </c>
      <c r="G239" s="61"/>
      <c r="H239" s="61"/>
      <c r="I239" s="62"/>
      <c r="J239" s="53"/>
    </row>
    <row r="240" ht="24.75" hidden="1" customHeight="1">
      <c r="A240" s="54">
        <v>140.0</v>
      </c>
      <c r="B240" s="56" t="s">
        <v>549</v>
      </c>
      <c r="C240" s="56" t="s">
        <v>434</v>
      </c>
      <c r="D240" s="56" t="s">
        <v>550</v>
      </c>
      <c r="E240" s="56" t="s">
        <v>167</v>
      </c>
      <c r="F240" s="57" t="s">
        <v>154</v>
      </c>
      <c r="G240" s="61"/>
      <c r="H240" s="61"/>
      <c r="I240" s="62"/>
      <c r="J240" s="53"/>
    </row>
    <row r="241" ht="24.75" hidden="1" customHeight="1">
      <c r="A241" s="54">
        <v>140.0</v>
      </c>
      <c r="B241" s="56" t="s">
        <v>549</v>
      </c>
      <c r="C241" s="56" t="s">
        <v>434</v>
      </c>
      <c r="D241" s="56" t="s">
        <v>550</v>
      </c>
      <c r="E241" s="56" t="s">
        <v>176</v>
      </c>
      <c r="F241" s="57" t="s">
        <v>154</v>
      </c>
      <c r="G241" s="61"/>
      <c r="H241" s="61"/>
      <c r="I241" s="62"/>
      <c r="J241" s="53"/>
    </row>
    <row r="242" ht="24.75" hidden="1" customHeight="1">
      <c r="A242" s="54">
        <v>140.0</v>
      </c>
      <c r="B242" s="56" t="s">
        <v>551</v>
      </c>
      <c r="C242" s="56" t="s">
        <v>497</v>
      </c>
      <c r="D242" s="56" t="s">
        <v>552</v>
      </c>
      <c r="E242" s="56" t="s">
        <v>167</v>
      </c>
      <c r="F242" s="57" t="s">
        <v>154</v>
      </c>
      <c r="G242" s="61"/>
      <c r="H242" s="61"/>
      <c r="I242" s="62"/>
      <c r="J242" s="53"/>
    </row>
    <row r="243" ht="24.75" hidden="1" customHeight="1">
      <c r="A243" s="54">
        <v>140.0</v>
      </c>
      <c r="B243" s="56" t="s">
        <v>551</v>
      </c>
      <c r="C243" s="56" t="s">
        <v>497</v>
      </c>
      <c r="D243" s="56" t="s">
        <v>552</v>
      </c>
      <c r="E243" s="56" t="s">
        <v>176</v>
      </c>
      <c r="F243" s="57" t="s">
        <v>154</v>
      </c>
      <c r="G243" s="61"/>
      <c r="H243" s="61"/>
      <c r="I243" s="62"/>
      <c r="J243" s="53"/>
    </row>
    <row r="244" ht="24.75" hidden="1" customHeight="1">
      <c r="A244" s="54">
        <v>140.0</v>
      </c>
      <c r="B244" s="56" t="s">
        <v>553</v>
      </c>
      <c r="C244" s="56" t="s">
        <v>443</v>
      </c>
      <c r="D244" s="56" t="s">
        <v>554</v>
      </c>
      <c r="E244" s="56" t="s">
        <v>167</v>
      </c>
      <c r="F244" s="57" t="s">
        <v>154</v>
      </c>
      <c r="G244" s="61"/>
      <c r="H244" s="61"/>
      <c r="I244" s="62"/>
      <c r="J244" s="53"/>
    </row>
    <row r="245" ht="24.75" hidden="1" customHeight="1">
      <c r="A245" s="54">
        <v>140.0</v>
      </c>
      <c r="B245" s="56" t="s">
        <v>553</v>
      </c>
      <c r="C245" s="56" t="s">
        <v>443</v>
      </c>
      <c r="D245" s="56" t="s">
        <v>554</v>
      </c>
      <c r="E245" s="56" t="s">
        <v>176</v>
      </c>
      <c r="F245" s="57" t="s">
        <v>154</v>
      </c>
      <c r="G245" s="61"/>
      <c r="H245" s="61"/>
      <c r="I245" s="62"/>
      <c r="J245" s="53"/>
    </row>
    <row r="246" ht="24.75" hidden="1" customHeight="1">
      <c r="A246" s="54">
        <v>140.0</v>
      </c>
      <c r="B246" s="56" t="s">
        <v>555</v>
      </c>
      <c r="C246" s="56" t="s">
        <v>434</v>
      </c>
      <c r="D246" s="56" t="s">
        <v>556</v>
      </c>
      <c r="E246" s="56" t="s">
        <v>167</v>
      </c>
      <c r="F246" s="57" t="s">
        <v>154</v>
      </c>
      <c r="G246" s="61"/>
      <c r="H246" s="61"/>
      <c r="I246" s="62"/>
      <c r="J246" s="53"/>
    </row>
    <row r="247" ht="24.75" hidden="1" customHeight="1">
      <c r="A247" s="54">
        <v>140.0</v>
      </c>
      <c r="B247" s="56" t="s">
        <v>555</v>
      </c>
      <c r="C247" s="56" t="s">
        <v>434</v>
      </c>
      <c r="D247" s="56" t="s">
        <v>556</v>
      </c>
      <c r="E247" s="56" t="s">
        <v>176</v>
      </c>
      <c r="F247" s="57" t="s">
        <v>154</v>
      </c>
      <c r="G247" s="61"/>
      <c r="H247" s="61"/>
      <c r="I247" s="62"/>
      <c r="J247" s="53"/>
    </row>
    <row r="248" ht="24.75" hidden="1" customHeight="1">
      <c r="A248" s="54">
        <v>140.0</v>
      </c>
      <c r="B248" s="56" t="s">
        <v>558</v>
      </c>
      <c r="C248" s="56" t="s">
        <v>270</v>
      </c>
      <c r="D248" s="56" t="s">
        <v>559</v>
      </c>
      <c r="E248" s="56" t="s">
        <v>167</v>
      </c>
      <c r="F248" s="57" t="s">
        <v>154</v>
      </c>
      <c r="G248" s="61"/>
      <c r="H248" s="61"/>
      <c r="I248" s="62"/>
      <c r="J248" s="53"/>
    </row>
    <row r="249" ht="24.75" hidden="1" customHeight="1">
      <c r="A249" s="54">
        <v>140.0</v>
      </c>
      <c r="B249" s="56" t="s">
        <v>558</v>
      </c>
      <c r="C249" s="56" t="s">
        <v>270</v>
      </c>
      <c r="D249" s="56" t="s">
        <v>559</v>
      </c>
      <c r="E249" s="56" t="s">
        <v>176</v>
      </c>
      <c r="F249" s="57" t="s">
        <v>154</v>
      </c>
      <c r="G249" s="61"/>
      <c r="H249" s="61"/>
      <c r="I249" s="62"/>
      <c r="J249" s="53"/>
    </row>
    <row r="250" ht="24.75" hidden="1" customHeight="1">
      <c r="A250" s="54">
        <v>140.0</v>
      </c>
      <c r="B250" s="56" t="s">
        <v>560</v>
      </c>
      <c r="C250" s="56" t="s">
        <v>446</v>
      </c>
      <c r="D250" s="56" t="s">
        <v>561</v>
      </c>
      <c r="E250" s="56" t="s">
        <v>167</v>
      </c>
      <c r="F250" s="57" t="s">
        <v>154</v>
      </c>
      <c r="G250" s="61"/>
      <c r="H250" s="61"/>
      <c r="I250" s="62"/>
      <c r="J250" s="53"/>
    </row>
    <row r="251" ht="24.75" hidden="1" customHeight="1">
      <c r="A251" s="54">
        <v>140.0</v>
      </c>
      <c r="B251" s="56" t="s">
        <v>560</v>
      </c>
      <c r="C251" s="56" t="s">
        <v>446</v>
      </c>
      <c r="D251" s="56" t="s">
        <v>561</v>
      </c>
      <c r="E251" s="56" t="s">
        <v>176</v>
      </c>
      <c r="F251" s="57" t="s">
        <v>154</v>
      </c>
      <c r="G251" s="61"/>
      <c r="H251" s="61"/>
      <c r="I251" s="62"/>
      <c r="J251" s="53"/>
    </row>
    <row r="252" ht="24.75" hidden="1" customHeight="1">
      <c r="A252" s="54">
        <v>140.0</v>
      </c>
      <c r="B252" s="56" t="s">
        <v>562</v>
      </c>
      <c r="C252" s="56" t="s">
        <v>443</v>
      </c>
      <c r="D252" s="56" t="s">
        <v>563</v>
      </c>
      <c r="E252" s="56" t="s">
        <v>167</v>
      </c>
      <c r="F252" s="57" t="s">
        <v>154</v>
      </c>
      <c r="G252" s="61"/>
      <c r="H252" s="61"/>
      <c r="I252" s="62"/>
      <c r="J252" s="53"/>
    </row>
    <row r="253" ht="24.75" hidden="1" customHeight="1">
      <c r="A253" s="54">
        <v>140.0</v>
      </c>
      <c r="B253" s="56" t="s">
        <v>562</v>
      </c>
      <c r="C253" s="56" t="s">
        <v>443</v>
      </c>
      <c r="D253" s="56" t="s">
        <v>563</v>
      </c>
      <c r="E253" s="56" t="s">
        <v>176</v>
      </c>
      <c r="F253" s="57" t="s">
        <v>154</v>
      </c>
      <c r="G253" s="61"/>
      <c r="H253" s="61"/>
      <c r="I253" s="62"/>
      <c r="J253" s="53"/>
    </row>
    <row r="254" ht="24.75" hidden="1" customHeight="1">
      <c r="A254" s="54">
        <v>140.0</v>
      </c>
      <c r="B254" s="56" t="s">
        <v>564</v>
      </c>
      <c r="C254" s="56" t="s">
        <v>446</v>
      </c>
      <c r="D254" s="56" t="s">
        <v>565</v>
      </c>
      <c r="E254" s="56" t="s">
        <v>167</v>
      </c>
      <c r="F254" s="57" t="s">
        <v>154</v>
      </c>
      <c r="G254" s="61"/>
      <c r="H254" s="61"/>
      <c r="I254" s="62"/>
      <c r="J254" s="53"/>
    </row>
    <row r="255" ht="24.75" hidden="1" customHeight="1">
      <c r="A255" s="54">
        <v>140.0</v>
      </c>
      <c r="B255" s="56" t="s">
        <v>564</v>
      </c>
      <c r="C255" s="56" t="s">
        <v>446</v>
      </c>
      <c r="D255" s="56" t="s">
        <v>565</v>
      </c>
      <c r="E255" s="56" t="s">
        <v>176</v>
      </c>
      <c r="F255" s="57" t="s">
        <v>154</v>
      </c>
      <c r="G255" s="61"/>
      <c r="H255" s="61"/>
      <c r="I255" s="62"/>
      <c r="J255" s="53"/>
    </row>
    <row r="256" ht="24.75" hidden="1" customHeight="1">
      <c r="A256" s="54">
        <v>140.0</v>
      </c>
      <c r="B256" s="56" t="s">
        <v>566</v>
      </c>
      <c r="C256" s="88" t="s">
        <v>449</v>
      </c>
      <c r="D256" s="56" t="s">
        <v>567</v>
      </c>
      <c r="E256" s="56" t="s">
        <v>167</v>
      </c>
      <c r="F256" s="57" t="s">
        <v>154</v>
      </c>
      <c r="G256" s="61"/>
      <c r="H256" s="61"/>
      <c r="I256" s="62"/>
      <c r="J256" s="53"/>
    </row>
    <row r="257" ht="24.75" hidden="1" customHeight="1">
      <c r="A257" s="54">
        <v>140.0</v>
      </c>
      <c r="B257" s="56" t="s">
        <v>566</v>
      </c>
      <c r="C257" s="88" t="s">
        <v>449</v>
      </c>
      <c r="D257" s="56" t="s">
        <v>567</v>
      </c>
      <c r="E257" s="56" t="s">
        <v>176</v>
      </c>
      <c r="F257" s="57" t="s">
        <v>154</v>
      </c>
      <c r="G257" s="61"/>
      <c r="H257" s="61"/>
      <c r="I257" s="62"/>
      <c r="J257" s="53"/>
    </row>
    <row r="258" ht="24.75" hidden="1" customHeight="1">
      <c r="A258" s="54">
        <v>140.0</v>
      </c>
      <c r="B258" s="56" t="s">
        <v>568</v>
      </c>
      <c r="C258" s="56" t="s">
        <v>446</v>
      </c>
      <c r="D258" s="56" t="s">
        <v>569</v>
      </c>
      <c r="E258" s="56" t="s">
        <v>272</v>
      </c>
      <c r="F258" s="57" t="s">
        <v>15</v>
      </c>
      <c r="G258" s="61"/>
      <c r="H258" s="61"/>
      <c r="I258" s="60"/>
      <c r="J258" s="53"/>
    </row>
    <row r="259" ht="24.75" hidden="1" customHeight="1">
      <c r="A259" s="54">
        <v>140.0</v>
      </c>
      <c r="B259" s="56" t="s">
        <v>570</v>
      </c>
      <c r="C259" s="88" t="s">
        <v>449</v>
      </c>
      <c r="D259" s="56" t="s">
        <v>571</v>
      </c>
      <c r="E259" s="56" t="s">
        <v>167</v>
      </c>
      <c r="F259" s="57" t="s">
        <v>154</v>
      </c>
      <c r="G259" s="61"/>
      <c r="H259" s="61"/>
      <c r="I259" s="62"/>
      <c r="J259" s="53"/>
    </row>
    <row r="260" ht="24.75" hidden="1" customHeight="1">
      <c r="A260" s="54">
        <v>140.0</v>
      </c>
      <c r="B260" s="56" t="s">
        <v>570</v>
      </c>
      <c r="C260" s="88" t="s">
        <v>449</v>
      </c>
      <c r="D260" s="56" t="s">
        <v>571</v>
      </c>
      <c r="E260" s="56" t="s">
        <v>176</v>
      </c>
      <c r="F260" s="57" t="s">
        <v>154</v>
      </c>
      <c r="G260" s="61"/>
      <c r="H260" s="61"/>
      <c r="I260" s="62"/>
      <c r="J260" s="53"/>
    </row>
    <row r="261" ht="24.75" hidden="1" customHeight="1">
      <c r="A261" s="54" t="s">
        <v>572</v>
      </c>
      <c r="B261" s="56" t="s">
        <v>573</v>
      </c>
      <c r="C261" s="56" t="s">
        <v>574</v>
      </c>
      <c r="D261" s="56" t="s">
        <v>575</v>
      </c>
      <c r="E261" s="56" t="s">
        <v>239</v>
      </c>
      <c r="F261" s="57" t="s">
        <v>154</v>
      </c>
      <c r="G261" s="61"/>
      <c r="H261" s="61"/>
      <c r="I261" s="62" t="s">
        <v>207</v>
      </c>
      <c r="J261" s="53"/>
    </row>
    <row r="262" ht="24.75" hidden="1" customHeight="1">
      <c r="A262" s="54" t="s">
        <v>572</v>
      </c>
      <c r="B262" s="56" t="s">
        <v>576</v>
      </c>
      <c r="C262" s="56" t="s">
        <v>574</v>
      </c>
      <c r="D262" s="56" t="s">
        <v>577</v>
      </c>
      <c r="E262" s="56" t="s">
        <v>578</v>
      </c>
      <c r="F262" s="57" t="s">
        <v>154</v>
      </c>
      <c r="G262" s="61"/>
      <c r="H262" s="61"/>
      <c r="I262" s="62"/>
      <c r="J262" s="53"/>
    </row>
    <row r="263" ht="24.75" hidden="1" customHeight="1">
      <c r="A263" s="54" t="s">
        <v>572</v>
      </c>
      <c r="B263" s="56" t="s">
        <v>576</v>
      </c>
      <c r="C263" s="56" t="s">
        <v>574</v>
      </c>
      <c r="D263" s="56" t="s">
        <v>577</v>
      </c>
      <c r="E263" s="56" t="s">
        <v>196</v>
      </c>
      <c r="F263" s="57" t="s">
        <v>250</v>
      </c>
      <c r="G263" s="61"/>
      <c r="H263" s="61" t="s">
        <v>197</v>
      </c>
      <c r="I263" s="62" t="s">
        <v>581</v>
      </c>
      <c r="J263" s="53"/>
    </row>
    <row r="264" ht="24.75" hidden="1" customHeight="1">
      <c r="A264" s="54" t="s">
        <v>572</v>
      </c>
      <c r="B264" s="56" t="s">
        <v>579</v>
      </c>
      <c r="C264" s="56" t="s">
        <v>574</v>
      </c>
      <c r="D264" s="56" t="s">
        <v>580</v>
      </c>
      <c r="E264" s="56" t="s">
        <v>578</v>
      </c>
      <c r="F264" s="57" t="s">
        <v>154</v>
      </c>
      <c r="G264" s="61"/>
      <c r="H264" s="61"/>
      <c r="I264" s="62"/>
      <c r="J264" s="53"/>
    </row>
    <row r="265" ht="24.75" hidden="1" customHeight="1">
      <c r="A265" s="54" t="s">
        <v>572</v>
      </c>
      <c r="B265" s="56" t="s">
        <v>579</v>
      </c>
      <c r="C265" s="56" t="s">
        <v>574</v>
      </c>
      <c r="D265" s="56" t="s">
        <v>580</v>
      </c>
      <c r="E265" s="56" t="s">
        <v>196</v>
      </c>
      <c r="F265" s="57" t="s">
        <v>250</v>
      </c>
      <c r="G265" s="61"/>
      <c r="H265" s="61" t="s">
        <v>197</v>
      </c>
      <c r="I265" s="62" t="s">
        <v>581</v>
      </c>
      <c r="J265" s="53"/>
    </row>
    <row r="266" ht="24.75" hidden="1" customHeight="1">
      <c r="A266" s="54" t="s">
        <v>572</v>
      </c>
      <c r="B266" s="56" t="s">
        <v>582</v>
      </c>
      <c r="C266" s="56" t="s">
        <v>583</v>
      </c>
      <c r="D266" s="56" t="s">
        <v>584</v>
      </c>
      <c r="E266" s="56" t="s">
        <v>585</v>
      </c>
      <c r="F266" s="57" t="s">
        <v>154</v>
      </c>
      <c r="G266" s="61"/>
      <c r="H266" s="61"/>
      <c r="I266" s="62" t="s">
        <v>207</v>
      </c>
      <c r="J266" s="53"/>
    </row>
    <row r="267" ht="24.75" hidden="1" customHeight="1">
      <c r="A267" s="54" t="s">
        <v>572</v>
      </c>
      <c r="B267" s="56" t="s">
        <v>586</v>
      </c>
      <c r="C267" s="56" t="s">
        <v>583</v>
      </c>
      <c r="D267" s="56" t="s">
        <v>587</v>
      </c>
      <c r="E267" s="56" t="s">
        <v>588</v>
      </c>
      <c r="F267" s="57" t="s">
        <v>154</v>
      </c>
      <c r="G267" s="61"/>
      <c r="H267" s="61"/>
      <c r="I267" s="62"/>
      <c r="J267" s="53"/>
    </row>
    <row r="268" ht="24.75" hidden="1" customHeight="1">
      <c r="A268" s="54" t="s">
        <v>572</v>
      </c>
      <c r="B268" s="56" t="s">
        <v>586</v>
      </c>
      <c r="C268" s="56" t="s">
        <v>583</v>
      </c>
      <c r="D268" s="56" t="s">
        <v>587</v>
      </c>
      <c r="E268" s="56" t="s">
        <v>589</v>
      </c>
      <c r="F268" s="57" t="s">
        <v>154</v>
      </c>
      <c r="G268" s="61"/>
      <c r="H268" s="61"/>
      <c r="I268" s="62"/>
      <c r="J268" s="53"/>
    </row>
    <row r="269" ht="24.75" hidden="1" customHeight="1">
      <c r="A269" s="54" t="s">
        <v>572</v>
      </c>
      <c r="B269" s="56" t="s">
        <v>586</v>
      </c>
      <c r="C269" s="56" t="s">
        <v>583</v>
      </c>
      <c r="D269" s="56" t="s">
        <v>587</v>
      </c>
      <c r="E269" s="56" t="s">
        <v>590</v>
      </c>
      <c r="F269" s="57" t="s">
        <v>250</v>
      </c>
      <c r="G269" s="61"/>
      <c r="H269" s="61" t="s">
        <v>592</v>
      </c>
      <c r="I269" s="62" t="s">
        <v>593</v>
      </c>
      <c r="J269" s="53"/>
    </row>
    <row r="270" ht="24.75" hidden="1" customHeight="1">
      <c r="A270" s="54" t="s">
        <v>572</v>
      </c>
      <c r="B270" s="56" t="s">
        <v>591</v>
      </c>
      <c r="C270" s="56" t="s">
        <v>574</v>
      </c>
      <c r="D270" s="56" t="s">
        <v>594</v>
      </c>
      <c r="E270" s="56" t="s">
        <v>239</v>
      </c>
      <c r="F270" s="57" t="s">
        <v>154</v>
      </c>
      <c r="G270" s="61"/>
      <c r="H270" s="61"/>
      <c r="I270" s="62"/>
      <c r="J270" s="53"/>
    </row>
    <row r="271" ht="24.75" hidden="1" customHeight="1">
      <c r="A271" s="54" t="s">
        <v>572</v>
      </c>
      <c r="B271" s="56" t="s">
        <v>595</v>
      </c>
      <c r="C271" s="56" t="s">
        <v>574</v>
      </c>
      <c r="D271" s="56" t="s">
        <v>577</v>
      </c>
      <c r="E271" s="56" t="s">
        <v>578</v>
      </c>
      <c r="F271" s="57" t="s">
        <v>154</v>
      </c>
      <c r="G271" s="61"/>
      <c r="H271" s="61"/>
      <c r="I271" s="62"/>
      <c r="J271" s="53"/>
    </row>
    <row r="272" ht="24.75" hidden="1" customHeight="1">
      <c r="A272" s="54" t="s">
        <v>572</v>
      </c>
      <c r="B272" s="56" t="s">
        <v>595</v>
      </c>
      <c r="C272" s="56" t="s">
        <v>574</v>
      </c>
      <c r="D272" s="56" t="s">
        <v>577</v>
      </c>
      <c r="E272" s="56" t="s">
        <v>196</v>
      </c>
      <c r="F272" s="57" t="s">
        <v>250</v>
      </c>
      <c r="G272" s="61"/>
      <c r="H272" s="61" t="s">
        <v>197</v>
      </c>
      <c r="I272" s="62" t="s">
        <v>581</v>
      </c>
      <c r="J272" s="53"/>
    </row>
    <row r="273" ht="24.75" hidden="1" customHeight="1">
      <c r="A273" s="54" t="s">
        <v>572</v>
      </c>
      <c r="B273" s="56" t="s">
        <v>596</v>
      </c>
      <c r="C273" s="56" t="s">
        <v>574</v>
      </c>
      <c r="D273" s="56" t="s">
        <v>597</v>
      </c>
      <c r="E273" s="56" t="s">
        <v>239</v>
      </c>
      <c r="F273" s="57" t="s">
        <v>154</v>
      </c>
      <c r="G273" s="61"/>
      <c r="H273" s="61"/>
      <c r="I273" s="62"/>
      <c r="J273" s="53"/>
    </row>
    <row r="274" ht="24.75" hidden="1" customHeight="1">
      <c r="A274" s="54" t="s">
        <v>572</v>
      </c>
      <c r="B274" s="56" t="s">
        <v>598</v>
      </c>
      <c r="C274" s="56" t="s">
        <v>574</v>
      </c>
      <c r="D274" s="56" t="s">
        <v>577</v>
      </c>
      <c r="E274" s="56" t="s">
        <v>578</v>
      </c>
      <c r="F274" s="57" t="s">
        <v>154</v>
      </c>
      <c r="G274" s="61"/>
      <c r="H274" s="61"/>
      <c r="I274" s="62"/>
      <c r="J274" s="53"/>
    </row>
    <row r="275" ht="24.75" hidden="1" customHeight="1">
      <c r="A275" s="54" t="s">
        <v>572</v>
      </c>
      <c r="B275" s="56" t="s">
        <v>598</v>
      </c>
      <c r="C275" s="56" t="s">
        <v>574</v>
      </c>
      <c r="D275" s="56" t="s">
        <v>577</v>
      </c>
      <c r="E275" s="56" t="s">
        <v>196</v>
      </c>
      <c r="F275" s="57" t="s">
        <v>250</v>
      </c>
      <c r="G275" s="61"/>
      <c r="H275" s="61" t="s">
        <v>197</v>
      </c>
      <c r="I275" s="62" t="s">
        <v>581</v>
      </c>
      <c r="J275" s="53"/>
    </row>
    <row r="276" ht="24.75" hidden="1" customHeight="1">
      <c r="A276" s="54" t="s">
        <v>289</v>
      </c>
      <c r="B276" s="56" t="s">
        <v>599</v>
      </c>
      <c r="C276" s="56" t="s">
        <v>291</v>
      </c>
      <c r="D276" s="56" t="s">
        <v>600</v>
      </c>
      <c r="E276" s="56" t="s">
        <v>163</v>
      </c>
      <c r="F276" s="57" t="s">
        <v>154</v>
      </c>
      <c r="G276" s="61"/>
      <c r="H276" s="79"/>
      <c r="I276" s="62"/>
      <c r="J276" s="53"/>
    </row>
    <row r="277" ht="24.75" hidden="1" customHeight="1">
      <c r="A277" s="54" t="s">
        <v>289</v>
      </c>
      <c r="B277" s="56" t="s">
        <v>290</v>
      </c>
      <c r="C277" s="56" t="s">
        <v>291</v>
      </c>
      <c r="D277" s="56" t="s">
        <v>292</v>
      </c>
      <c r="E277" s="56" t="s">
        <v>196</v>
      </c>
      <c r="F277" s="57" t="s">
        <v>250</v>
      </c>
      <c r="G277" s="61"/>
      <c r="H277" s="61" t="s">
        <v>287</v>
      </c>
      <c r="I277" s="62" t="s">
        <v>288</v>
      </c>
      <c r="J277" s="53"/>
    </row>
    <row r="278" ht="24.75" hidden="1" customHeight="1">
      <c r="A278" s="54" t="s">
        <v>289</v>
      </c>
      <c r="B278" s="56" t="s">
        <v>290</v>
      </c>
      <c r="C278" s="56" t="s">
        <v>291</v>
      </c>
      <c r="D278" s="56" t="s">
        <v>292</v>
      </c>
      <c r="E278" s="56" t="s">
        <v>601</v>
      </c>
      <c r="F278" s="57" t="s">
        <v>154</v>
      </c>
      <c r="G278" s="61"/>
      <c r="H278" s="79"/>
      <c r="I278" s="62"/>
      <c r="J278" s="53"/>
    </row>
    <row r="279" ht="24.75" hidden="1" customHeight="1">
      <c r="A279" s="54">
        <v>140.0</v>
      </c>
      <c r="B279" s="56" t="s">
        <v>602</v>
      </c>
      <c r="C279" s="56" t="s">
        <v>500</v>
      </c>
      <c r="D279" s="56" t="s">
        <v>603</v>
      </c>
      <c r="E279" s="56" t="s">
        <v>272</v>
      </c>
      <c r="F279" s="57" t="s">
        <v>15</v>
      </c>
      <c r="G279" s="61"/>
      <c r="H279" s="61"/>
      <c r="I279" s="60"/>
      <c r="J279" s="53"/>
    </row>
    <row r="280" ht="24.75" hidden="1" customHeight="1">
      <c r="A280" s="54">
        <v>140.0</v>
      </c>
      <c r="B280" s="56" t="s">
        <v>566</v>
      </c>
      <c r="C280" s="56" t="s">
        <v>500</v>
      </c>
      <c r="D280" s="56" t="s">
        <v>604</v>
      </c>
      <c r="E280" s="56" t="s">
        <v>272</v>
      </c>
      <c r="F280" s="57" t="s">
        <v>15</v>
      </c>
      <c r="G280" s="61"/>
      <c r="H280" s="61"/>
      <c r="I280" s="60"/>
      <c r="J280" s="53"/>
    </row>
    <row r="281" ht="24.75" hidden="1" customHeight="1">
      <c r="A281" s="54" t="s">
        <v>289</v>
      </c>
      <c r="B281" s="56" t="s">
        <v>605</v>
      </c>
      <c r="C281" s="56" t="s">
        <v>606</v>
      </c>
      <c r="D281" s="56" t="s">
        <v>607</v>
      </c>
      <c r="E281" s="56" t="s">
        <v>608</v>
      </c>
      <c r="F281" s="57" t="s">
        <v>154</v>
      </c>
      <c r="G281" s="61"/>
      <c r="H281" s="79"/>
      <c r="I281" s="62"/>
      <c r="J281" s="53"/>
    </row>
    <row r="282" ht="24.75" hidden="1" customHeight="1">
      <c r="A282" s="54" t="s">
        <v>289</v>
      </c>
      <c r="B282" s="56" t="s">
        <v>609</v>
      </c>
      <c r="C282" s="56" t="s">
        <v>610</v>
      </c>
      <c r="D282" s="56" t="s">
        <v>611</v>
      </c>
      <c r="E282" s="56" t="s">
        <v>612</v>
      </c>
      <c r="F282" s="57" t="s">
        <v>34</v>
      </c>
      <c r="G282" s="61"/>
      <c r="H282" s="79"/>
      <c r="I282" s="62"/>
      <c r="J282" s="53"/>
    </row>
    <row r="283" ht="24.75" hidden="1" customHeight="1">
      <c r="A283" s="54" t="s">
        <v>289</v>
      </c>
      <c r="B283" s="56" t="s">
        <v>609</v>
      </c>
      <c r="C283" s="56" t="s">
        <v>610</v>
      </c>
      <c r="D283" s="56" t="s">
        <v>611</v>
      </c>
      <c r="E283" s="56" t="s">
        <v>613</v>
      </c>
      <c r="F283" s="57" t="s">
        <v>34</v>
      </c>
      <c r="G283" s="61"/>
      <c r="H283" s="79"/>
      <c r="I283" s="62"/>
      <c r="J283" s="53"/>
    </row>
    <row r="284" ht="24.75" hidden="1" customHeight="1">
      <c r="A284" s="54" t="s">
        <v>289</v>
      </c>
      <c r="B284" s="56" t="s">
        <v>609</v>
      </c>
      <c r="C284" s="56" t="s">
        <v>610</v>
      </c>
      <c r="D284" s="56" t="s">
        <v>611</v>
      </c>
      <c r="E284" s="56" t="s">
        <v>614</v>
      </c>
      <c r="F284" s="57" t="s">
        <v>34</v>
      </c>
      <c r="G284" s="61"/>
      <c r="H284" s="79"/>
      <c r="I284" s="62" t="s">
        <v>615</v>
      </c>
      <c r="J284" s="53"/>
    </row>
    <row r="285" ht="24.75" hidden="1" customHeight="1">
      <c r="A285" s="54" t="s">
        <v>289</v>
      </c>
      <c r="B285" s="56" t="s">
        <v>609</v>
      </c>
      <c r="C285" s="56" t="s">
        <v>610</v>
      </c>
      <c r="D285" s="56" t="s">
        <v>611</v>
      </c>
      <c r="E285" s="56" t="s">
        <v>616</v>
      </c>
      <c r="F285" s="57" t="s">
        <v>154</v>
      </c>
      <c r="G285" s="61"/>
      <c r="H285" s="79"/>
      <c r="I285" s="62" t="s">
        <v>617</v>
      </c>
      <c r="J285" s="53"/>
    </row>
    <row r="286" ht="24.75" hidden="1" customHeight="1">
      <c r="A286" s="54" t="s">
        <v>289</v>
      </c>
      <c r="B286" s="56" t="s">
        <v>609</v>
      </c>
      <c r="C286" s="56" t="s">
        <v>610</v>
      </c>
      <c r="D286" s="56" t="s">
        <v>611</v>
      </c>
      <c r="E286" s="80" t="s">
        <v>618</v>
      </c>
      <c r="F286" s="57" t="s">
        <v>154</v>
      </c>
      <c r="G286" s="61"/>
      <c r="H286" s="79"/>
      <c r="I286" s="62" t="s">
        <v>617</v>
      </c>
      <c r="J286" s="53"/>
    </row>
    <row r="287" ht="24.75" hidden="1" customHeight="1">
      <c r="A287" s="54" t="s">
        <v>289</v>
      </c>
      <c r="B287" s="56" t="s">
        <v>619</v>
      </c>
      <c r="C287" s="56" t="s">
        <v>610</v>
      </c>
      <c r="D287" s="56" t="s">
        <v>620</v>
      </c>
      <c r="E287" s="56" t="s">
        <v>196</v>
      </c>
      <c r="F287" s="57" t="s">
        <v>250</v>
      </c>
      <c r="G287" s="61"/>
      <c r="H287" s="61" t="s">
        <v>287</v>
      </c>
      <c r="I287" s="62" t="s">
        <v>288</v>
      </c>
      <c r="J287" s="53"/>
    </row>
    <row r="288" ht="24.75" hidden="1" customHeight="1">
      <c r="A288" s="54" t="s">
        <v>289</v>
      </c>
      <c r="B288" s="56" t="s">
        <v>619</v>
      </c>
      <c r="C288" s="56" t="s">
        <v>610</v>
      </c>
      <c r="D288" s="56" t="s">
        <v>620</v>
      </c>
      <c r="E288" s="56" t="s">
        <v>621</v>
      </c>
      <c r="F288" s="57" t="s">
        <v>192</v>
      </c>
      <c r="G288" s="61"/>
      <c r="H288" s="79"/>
      <c r="I288" s="62"/>
      <c r="J288" s="53"/>
    </row>
    <row r="289" ht="24.75" hidden="1" customHeight="1">
      <c r="A289" s="54" t="s">
        <v>289</v>
      </c>
      <c r="B289" s="56" t="s">
        <v>619</v>
      </c>
      <c r="C289" s="56" t="s">
        <v>610</v>
      </c>
      <c r="D289" s="56" t="s">
        <v>620</v>
      </c>
      <c r="E289" s="56" t="s">
        <v>622</v>
      </c>
      <c r="F289" s="57" t="s">
        <v>154</v>
      </c>
      <c r="G289" s="61"/>
      <c r="H289" s="79"/>
      <c r="I289" s="62" t="s">
        <v>617</v>
      </c>
      <c r="J289" s="53"/>
    </row>
    <row r="290" ht="24.75" hidden="1" customHeight="1">
      <c r="A290" s="54" t="s">
        <v>289</v>
      </c>
      <c r="B290" s="56" t="s">
        <v>623</v>
      </c>
      <c r="C290" s="56" t="s">
        <v>624</v>
      </c>
      <c r="D290" s="56" t="s">
        <v>611</v>
      </c>
      <c r="E290" s="56" t="s">
        <v>612</v>
      </c>
      <c r="F290" s="57" t="s">
        <v>34</v>
      </c>
      <c r="G290" s="61"/>
      <c r="H290" s="79"/>
      <c r="I290" s="62"/>
      <c r="J290" s="53"/>
    </row>
    <row r="291" ht="24.75" hidden="1" customHeight="1">
      <c r="A291" s="54" t="s">
        <v>289</v>
      </c>
      <c r="B291" s="56" t="s">
        <v>623</v>
      </c>
      <c r="C291" s="56" t="s">
        <v>624</v>
      </c>
      <c r="D291" s="56" t="s">
        <v>611</v>
      </c>
      <c r="E291" s="56" t="s">
        <v>613</v>
      </c>
      <c r="F291" s="57" t="s">
        <v>34</v>
      </c>
      <c r="G291" s="61"/>
      <c r="H291" s="79"/>
      <c r="I291" s="62"/>
      <c r="J291" s="53"/>
    </row>
    <row r="292" ht="24.75" hidden="1" customHeight="1">
      <c r="A292" s="54" t="s">
        <v>289</v>
      </c>
      <c r="B292" s="56" t="s">
        <v>623</v>
      </c>
      <c r="C292" s="56" t="s">
        <v>624</v>
      </c>
      <c r="D292" s="56" t="s">
        <v>611</v>
      </c>
      <c r="E292" s="56" t="s">
        <v>614</v>
      </c>
      <c r="F292" s="57" t="s">
        <v>34</v>
      </c>
      <c r="G292" s="61"/>
      <c r="H292" s="79"/>
      <c r="I292" s="62" t="s">
        <v>615</v>
      </c>
      <c r="J292" s="53"/>
    </row>
    <row r="293" ht="24.75" hidden="1" customHeight="1">
      <c r="A293" s="54" t="s">
        <v>289</v>
      </c>
      <c r="B293" s="56" t="s">
        <v>623</v>
      </c>
      <c r="C293" s="56" t="s">
        <v>624</v>
      </c>
      <c r="D293" s="56" t="s">
        <v>611</v>
      </c>
      <c r="E293" s="56" t="s">
        <v>616</v>
      </c>
      <c r="F293" s="57" t="s">
        <v>154</v>
      </c>
      <c r="G293" s="61"/>
      <c r="H293" s="79"/>
      <c r="I293" s="62" t="s">
        <v>617</v>
      </c>
      <c r="J293" s="53"/>
    </row>
    <row r="294" ht="24.75" hidden="1" customHeight="1">
      <c r="A294" s="54" t="s">
        <v>289</v>
      </c>
      <c r="B294" s="56" t="s">
        <v>623</v>
      </c>
      <c r="C294" s="56" t="s">
        <v>624</v>
      </c>
      <c r="D294" s="56" t="s">
        <v>611</v>
      </c>
      <c r="E294" s="80" t="s">
        <v>618</v>
      </c>
      <c r="F294" s="57" t="s">
        <v>154</v>
      </c>
      <c r="G294" s="61"/>
      <c r="H294" s="79"/>
      <c r="I294" s="62" t="s">
        <v>617</v>
      </c>
      <c r="J294" s="53"/>
    </row>
    <row r="295" ht="24.75" hidden="1" customHeight="1">
      <c r="A295" s="54" t="s">
        <v>289</v>
      </c>
      <c r="B295" s="56" t="s">
        <v>625</v>
      </c>
      <c r="C295" s="56" t="s">
        <v>624</v>
      </c>
      <c r="D295" s="56" t="s">
        <v>620</v>
      </c>
      <c r="E295" s="56" t="s">
        <v>196</v>
      </c>
      <c r="F295" s="57" t="s">
        <v>250</v>
      </c>
      <c r="G295" s="61"/>
      <c r="H295" s="61" t="s">
        <v>287</v>
      </c>
      <c r="I295" s="62" t="s">
        <v>288</v>
      </c>
      <c r="J295" s="53"/>
    </row>
    <row r="296" ht="24.75" hidden="1" customHeight="1">
      <c r="A296" s="54" t="s">
        <v>289</v>
      </c>
      <c r="B296" s="56" t="s">
        <v>625</v>
      </c>
      <c r="C296" s="56" t="s">
        <v>624</v>
      </c>
      <c r="D296" s="56" t="s">
        <v>620</v>
      </c>
      <c r="E296" s="56" t="s">
        <v>621</v>
      </c>
      <c r="F296" s="57" t="s">
        <v>192</v>
      </c>
      <c r="G296" s="61"/>
      <c r="H296" s="79"/>
      <c r="I296" s="62"/>
      <c r="J296" s="53"/>
    </row>
    <row r="297" ht="24.75" hidden="1" customHeight="1">
      <c r="A297" s="54" t="s">
        <v>289</v>
      </c>
      <c r="B297" s="56" t="s">
        <v>625</v>
      </c>
      <c r="C297" s="56" t="s">
        <v>624</v>
      </c>
      <c r="D297" s="56" t="s">
        <v>620</v>
      </c>
      <c r="E297" s="56" t="s">
        <v>622</v>
      </c>
      <c r="F297" s="57" t="s">
        <v>154</v>
      </c>
      <c r="G297" s="61"/>
      <c r="H297" s="79"/>
      <c r="I297" s="62" t="s">
        <v>617</v>
      </c>
      <c r="J297" s="53"/>
    </row>
    <row r="298" ht="24.75" hidden="1" customHeight="1">
      <c r="A298" s="54" t="s">
        <v>289</v>
      </c>
      <c r="B298" s="56" t="s">
        <v>626</v>
      </c>
      <c r="C298" s="56" t="s">
        <v>627</v>
      </c>
      <c r="D298" s="56" t="s">
        <v>611</v>
      </c>
      <c r="E298" s="56" t="s">
        <v>612</v>
      </c>
      <c r="F298" s="57" t="s">
        <v>34</v>
      </c>
      <c r="G298" s="61"/>
      <c r="H298" s="79"/>
      <c r="I298" s="62"/>
      <c r="J298" s="53"/>
    </row>
    <row r="299" ht="24.75" hidden="1" customHeight="1">
      <c r="A299" s="54" t="s">
        <v>289</v>
      </c>
      <c r="B299" s="56" t="s">
        <v>626</v>
      </c>
      <c r="C299" s="56" t="s">
        <v>627</v>
      </c>
      <c r="D299" s="56" t="s">
        <v>611</v>
      </c>
      <c r="E299" s="56" t="s">
        <v>613</v>
      </c>
      <c r="F299" s="57" t="s">
        <v>34</v>
      </c>
      <c r="G299" s="61"/>
      <c r="H299" s="79"/>
      <c r="I299" s="62"/>
      <c r="J299" s="53"/>
    </row>
    <row r="300" ht="24.75" hidden="1" customHeight="1">
      <c r="A300" s="54" t="s">
        <v>289</v>
      </c>
      <c r="B300" s="56" t="s">
        <v>626</v>
      </c>
      <c r="C300" s="56" t="s">
        <v>627</v>
      </c>
      <c r="D300" s="56" t="s">
        <v>611</v>
      </c>
      <c r="E300" s="56" t="s">
        <v>614</v>
      </c>
      <c r="F300" s="57" t="s">
        <v>34</v>
      </c>
      <c r="G300" s="61"/>
      <c r="H300" s="79"/>
      <c r="I300" s="62" t="s">
        <v>615</v>
      </c>
      <c r="J300" s="53"/>
    </row>
    <row r="301" ht="24.75" hidden="1" customHeight="1">
      <c r="A301" s="54" t="s">
        <v>289</v>
      </c>
      <c r="B301" s="56" t="s">
        <v>626</v>
      </c>
      <c r="C301" s="56" t="s">
        <v>627</v>
      </c>
      <c r="D301" s="56" t="s">
        <v>611</v>
      </c>
      <c r="E301" s="56" t="s">
        <v>616</v>
      </c>
      <c r="F301" s="57" t="s">
        <v>154</v>
      </c>
      <c r="G301" s="61"/>
      <c r="H301" s="79"/>
      <c r="I301" s="62" t="s">
        <v>617</v>
      </c>
      <c r="J301" s="53"/>
    </row>
    <row r="302" ht="24.75" hidden="1" customHeight="1">
      <c r="A302" s="54" t="s">
        <v>289</v>
      </c>
      <c r="B302" s="56" t="s">
        <v>626</v>
      </c>
      <c r="C302" s="56" t="s">
        <v>627</v>
      </c>
      <c r="D302" s="56" t="s">
        <v>611</v>
      </c>
      <c r="E302" s="56" t="s">
        <v>618</v>
      </c>
      <c r="F302" s="57" t="s">
        <v>154</v>
      </c>
      <c r="G302" s="61"/>
      <c r="H302" s="79"/>
      <c r="I302" s="62" t="s">
        <v>617</v>
      </c>
      <c r="J302" s="53"/>
    </row>
    <row r="303" ht="24.75" hidden="1" customHeight="1">
      <c r="A303" s="54" t="s">
        <v>289</v>
      </c>
      <c r="B303" s="56" t="s">
        <v>628</v>
      </c>
      <c r="C303" s="56" t="s">
        <v>627</v>
      </c>
      <c r="D303" s="56" t="s">
        <v>620</v>
      </c>
      <c r="E303" s="56" t="s">
        <v>196</v>
      </c>
      <c r="F303" s="57" t="s">
        <v>250</v>
      </c>
      <c r="G303" s="61"/>
      <c r="H303" s="61" t="s">
        <v>287</v>
      </c>
      <c r="I303" s="62" t="s">
        <v>288</v>
      </c>
      <c r="J303" s="53"/>
    </row>
    <row r="304" ht="24.75" hidden="1" customHeight="1">
      <c r="A304" s="54" t="s">
        <v>289</v>
      </c>
      <c r="B304" s="56" t="s">
        <v>628</v>
      </c>
      <c r="C304" s="56" t="s">
        <v>627</v>
      </c>
      <c r="D304" s="56" t="s">
        <v>620</v>
      </c>
      <c r="E304" s="56" t="s">
        <v>621</v>
      </c>
      <c r="F304" s="57" t="s">
        <v>192</v>
      </c>
      <c r="G304" s="61"/>
      <c r="H304" s="79"/>
      <c r="I304" s="62"/>
      <c r="J304" s="53"/>
    </row>
    <row r="305" ht="24.75" hidden="1" customHeight="1">
      <c r="A305" s="54" t="s">
        <v>289</v>
      </c>
      <c r="B305" s="56" t="s">
        <v>628</v>
      </c>
      <c r="C305" s="56" t="s">
        <v>627</v>
      </c>
      <c r="D305" s="56" t="s">
        <v>620</v>
      </c>
      <c r="E305" s="56" t="s">
        <v>622</v>
      </c>
      <c r="F305" s="57" t="s">
        <v>154</v>
      </c>
      <c r="G305" s="61"/>
      <c r="H305" s="79"/>
      <c r="I305" s="62" t="s">
        <v>617</v>
      </c>
      <c r="J305" s="53"/>
    </row>
    <row r="306" ht="24.75" hidden="1" customHeight="1">
      <c r="A306" s="54" t="s">
        <v>289</v>
      </c>
      <c r="B306" s="56" t="s">
        <v>629</v>
      </c>
      <c r="C306" s="56" t="s">
        <v>627</v>
      </c>
      <c r="D306" s="56" t="s">
        <v>631</v>
      </c>
      <c r="E306" s="56" t="s">
        <v>191</v>
      </c>
      <c r="F306" s="57" t="s">
        <v>192</v>
      </c>
      <c r="G306" s="61"/>
      <c r="H306" s="79"/>
      <c r="I306" s="62"/>
      <c r="J306" s="53"/>
    </row>
    <row r="307" ht="24.75" hidden="1" customHeight="1">
      <c r="A307" s="54" t="s">
        <v>289</v>
      </c>
      <c r="B307" s="56" t="s">
        <v>629</v>
      </c>
      <c r="C307" s="56" t="s">
        <v>627</v>
      </c>
      <c r="D307" s="56" t="s">
        <v>631</v>
      </c>
      <c r="E307" s="56" t="s">
        <v>632</v>
      </c>
      <c r="F307" s="57" t="s">
        <v>34</v>
      </c>
      <c r="G307" s="61"/>
      <c r="H307" s="61" t="s">
        <v>197</v>
      </c>
      <c r="I307" s="62"/>
      <c r="J307" s="53"/>
    </row>
    <row r="308" ht="24.75" hidden="1" customHeight="1">
      <c r="A308" s="54" t="s">
        <v>289</v>
      </c>
      <c r="B308" s="56" t="s">
        <v>629</v>
      </c>
      <c r="C308" s="56" t="s">
        <v>627</v>
      </c>
      <c r="D308" s="56" t="s">
        <v>631</v>
      </c>
      <c r="E308" s="56" t="s">
        <v>633</v>
      </c>
      <c r="F308" s="57" t="s">
        <v>154</v>
      </c>
      <c r="G308" s="61"/>
      <c r="H308" s="79"/>
      <c r="I308" s="62"/>
      <c r="J308" s="53"/>
    </row>
    <row r="309" ht="24.75" hidden="1" customHeight="1">
      <c r="A309" s="54" t="s">
        <v>289</v>
      </c>
      <c r="B309" s="56" t="s">
        <v>629</v>
      </c>
      <c r="C309" s="56" t="s">
        <v>627</v>
      </c>
      <c r="D309" s="56" t="s">
        <v>631</v>
      </c>
      <c r="E309" s="56" t="s">
        <v>196</v>
      </c>
      <c r="F309" s="57" t="s">
        <v>250</v>
      </c>
      <c r="G309" s="61"/>
      <c r="H309" s="61" t="s">
        <v>200</v>
      </c>
      <c r="I309" s="62" t="s">
        <v>201</v>
      </c>
      <c r="J309" s="53"/>
    </row>
    <row r="310" ht="24.75" hidden="1" customHeight="1">
      <c r="A310" s="54" t="s">
        <v>289</v>
      </c>
      <c r="B310" s="56" t="s">
        <v>635</v>
      </c>
      <c r="C310" s="56" t="s">
        <v>627</v>
      </c>
      <c r="D310" s="56" t="s">
        <v>636</v>
      </c>
      <c r="E310" s="56" t="s">
        <v>191</v>
      </c>
      <c r="F310" s="57" t="s">
        <v>192</v>
      </c>
      <c r="G310" s="61"/>
      <c r="H310" s="79"/>
      <c r="I310" s="62"/>
      <c r="J310" s="53"/>
    </row>
    <row r="311" ht="24.75" hidden="1" customHeight="1">
      <c r="A311" s="54" t="s">
        <v>289</v>
      </c>
      <c r="B311" s="56" t="s">
        <v>635</v>
      </c>
      <c r="C311" s="56" t="s">
        <v>627</v>
      </c>
      <c r="D311" s="56" t="s">
        <v>636</v>
      </c>
      <c r="E311" s="56" t="s">
        <v>632</v>
      </c>
      <c r="F311" s="57" t="s">
        <v>34</v>
      </c>
      <c r="G311" s="61"/>
      <c r="H311" s="61" t="s">
        <v>197</v>
      </c>
      <c r="I311" s="62"/>
      <c r="J311" s="53"/>
    </row>
    <row r="312" ht="24.75" hidden="1" customHeight="1">
      <c r="A312" s="54" t="s">
        <v>289</v>
      </c>
      <c r="B312" s="56" t="s">
        <v>635</v>
      </c>
      <c r="C312" s="56" t="s">
        <v>627</v>
      </c>
      <c r="D312" s="56" t="s">
        <v>636</v>
      </c>
      <c r="E312" s="56" t="s">
        <v>633</v>
      </c>
      <c r="F312" s="57" t="s">
        <v>154</v>
      </c>
      <c r="G312" s="61"/>
      <c r="H312" s="79"/>
      <c r="I312" s="62"/>
      <c r="J312" s="53"/>
    </row>
    <row r="313" ht="24.75" hidden="1" customHeight="1">
      <c r="A313" s="54" t="s">
        <v>289</v>
      </c>
      <c r="B313" s="56" t="s">
        <v>635</v>
      </c>
      <c r="C313" s="56" t="s">
        <v>627</v>
      </c>
      <c r="D313" s="56" t="s">
        <v>636</v>
      </c>
      <c r="E313" s="56" t="s">
        <v>196</v>
      </c>
      <c r="F313" s="57" t="s">
        <v>250</v>
      </c>
      <c r="G313" s="61"/>
      <c r="H313" s="61" t="s">
        <v>200</v>
      </c>
      <c r="I313" s="62" t="s">
        <v>201</v>
      </c>
      <c r="J313" s="53"/>
    </row>
    <row r="314" ht="24.75" hidden="1" customHeight="1">
      <c r="A314" s="54" t="s">
        <v>289</v>
      </c>
      <c r="B314" s="56" t="s">
        <v>639</v>
      </c>
      <c r="C314" s="56" t="s">
        <v>640</v>
      </c>
      <c r="D314" s="56" t="s">
        <v>611</v>
      </c>
      <c r="E314" s="56" t="s">
        <v>612</v>
      </c>
      <c r="F314" s="57" t="s">
        <v>34</v>
      </c>
      <c r="G314" s="61"/>
      <c r="H314" s="79"/>
      <c r="I314" s="62"/>
      <c r="J314" s="53"/>
    </row>
    <row r="315" ht="24.75" hidden="1" customHeight="1">
      <c r="A315" s="54" t="s">
        <v>289</v>
      </c>
      <c r="B315" s="56" t="s">
        <v>639</v>
      </c>
      <c r="C315" s="56" t="s">
        <v>640</v>
      </c>
      <c r="D315" s="56" t="s">
        <v>611</v>
      </c>
      <c r="E315" s="56" t="s">
        <v>613</v>
      </c>
      <c r="F315" s="57" t="s">
        <v>34</v>
      </c>
      <c r="G315" s="61"/>
      <c r="H315" s="79"/>
      <c r="I315" s="62"/>
      <c r="J315" s="53"/>
    </row>
    <row r="316" ht="24.75" hidden="1" customHeight="1">
      <c r="A316" s="54" t="s">
        <v>289</v>
      </c>
      <c r="B316" s="56" t="s">
        <v>639</v>
      </c>
      <c r="C316" s="56" t="s">
        <v>640</v>
      </c>
      <c r="D316" s="56" t="s">
        <v>611</v>
      </c>
      <c r="E316" s="56" t="s">
        <v>614</v>
      </c>
      <c r="F316" s="57" t="s">
        <v>34</v>
      </c>
      <c r="G316" s="61"/>
      <c r="H316" s="79"/>
      <c r="I316" s="62" t="s">
        <v>615</v>
      </c>
      <c r="J316" s="53"/>
    </row>
    <row r="317" ht="24.75" hidden="1" customHeight="1">
      <c r="A317" s="54" t="s">
        <v>289</v>
      </c>
      <c r="B317" s="56" t="s">
        <v>639</v>
      </c>
      <c r="C317" s="56" t="s">
        <v>640</v>
      </c>
      <c r="D317" s="56" t="s">
        <v>611</v>
      </c>
      <c r="E317" s="56" t="s">
        <v>616</v>
      </c>
      <c r="F317" s="57" t="s">
        <v>154</v>
      </c>
      <c r="G317" s="61"/>
      <c r="H317" s="79"/>
      <c r="I317" s="62" t="s">
        <v>617</v>
      </c>
      <c r="J317" s="53"/>
    </row>
    <row r="318" ht="24.75" hidden="1" customHeight="1">
      <c r="A318" s="54" t="s">
        <v>289</v>
      </c>
      <c r="B318" s="56" t="s">
        <v>639</v>
      </c>
      <c r="C318" s="56" t="s">
        <v>640</v>
      </c>
      <c r="D318" s="56" t="s">
        <v>611</v>
      </c>
      <c r="E318" s="56" t="s">
        <v>618</v>
      </c>
      <c r="F318" s="57" t="s">
        <v>154</v>
      </c>
      <c r="G318" s="61"/>
      <c r="H318" s="79"/>
      <c r="I318" s="62" t="s">
        <v>617</v>
      </c>
      <c r="J318" s="53"/>
    </row>
    <row r="319" ht="24.75" hidden="1" customHeight="1">
      <c r="A319" s="54" t="s">
        <v>289</v>
      </c>
      <c r="B319" s="56" t="s">
        <v>641</v>
      </c>
      <c r="C319" s="56" t="s">
        <v>640</v>
      </c>
      <c r="D319" s="56" t="s">
        <v>620</v>
      </c>
      <c r="E319" s="56" t="s">
        <v>196</v>
      </c>
      <c r="F319" s="57" t="s">
        <v>250</v>
      </c>
      <c r="G319" s="61"/>
      <c r="H319" s="61" t="s">
        <v>287</v>
      </c>
      <c r="I319" s="62" t="s">
        <v>288</v>
      </c>
      <c r="J319" s="53"/>
    </row>
    <row r="320" ht="24.75" hidden="1" customHeight="1">
      <c r="A320" s="54" t="s">
        <v>289</v>
      </c>
      <c r="B320" s="56" t="s">
        <v>641</v>
      </c>
      <c r="C320" s="56" t="s">
        <v>640</v>
      </c>
      <c r="D320" s="56" t="s">
        <v>620</v>
      </c>
      <c r="E320" s="56" t="s">
        <v>621</v>
      </c>
      <c r="F320" s="57" t="s">
        <v>192</v>
      </c>
      <c r="G320" s="61"/>
      <c r="H320" s="79"/>
      <c r="I320" s="62"/>
      <c r="J320" s="53"/>
    </row>
    <row r="321" ht="24.75" hidden="1" customHeight="1">
      <c r="A321" s="54" t="s">
        <v>289</v>
      </c>
      <c r="B321" s="56" t="s">
        <v>641</v>
      </c>
      <c r="C321" s="56" t="s">
        <v>640</v>
      </c>
      <c r="D321" s="56" t="s">
        <v>620</v>
      </c>
      <c r="E321" s="56" t="s">
        <v>622</v>
      </c>
      <c r="F321" s="57" t="s">
        <v>154</v>
      </c>
      <c r="G321" s="61"/>
      <c r="H321" s="79"/>
      <c r="I321" s="62" t="s">
        <v>617</v>
      </c>
      <c r="J321" s="53"/>
    </row>
    <row r="322" ht="24.75" hidden="1" customHeight="1">
      <c r="A322" s="54" t="s">
        <v>289</v>
      </c>
      <c r="B322" s="56" t="s">
        <v>642</v>
      </c>
      <c r="C322" s="56" t="s">
        <v>640</v>
      </c>
      <c r="D322" s="56" t="s">
        <v>631</v>
      </c>
      <c r="E322" s="56" t="s">
        <v>191</v>
      </c>
      <c r="F322" s="57" t="s">
        <v>192</v>
      </c>
      <c r="G322" s="61"/>
      <c r="H322" s="79"/>
      <c r="I322" s="62"/>
      <c r="J322" s="53"/>
    </row>
    <row r="323" ht="24.75" hidden="1" customHeight="1">
      <c r="A323" s="54" t="s">
        <v>289</v>
      </c>
      <c r="B323" s="56" t="s">
        <v>642</v>
      </c>
      <c r="C323" s="56" t="s">
        <v>640</v>
      </c>
      <c r="D323" s="56" t="s">
        <v>631</v>
      </c>
      <c r="E323" s="56" t="s">
        <v>632</v>
      </c>
      <c r="F323" s="57" t="s">
        <v>34</v>
      </c>
      <c r="G323" s="61"/>
      <c r="H323" s="61" t="s">
        <v>197</v>
      </c>
      <c r="I323" s="62"/>
      <c r="J323" s="53"/>
    </row>
    <row r="324" ht="24.75" hidden="1" customHeight="1">
      <c r="A324" s="54" t="s">
        <v>289</v>
      </c>
      <c r="B324" s="56" t="s">
        <v>642</v>
      </c>
      <c r="C324" s="56" t="s">
        <v>640</v>
      </c>
      <c r="D324" s="56" t="s">
        <v>631</v>
      </c>
      <c r="E324" s="56" t="s">
        <v>633</v>
      </c>
      <c r="F324" s="57" t="s">
        <v>154</v>
      </c>
      <c r="G324" s="61"/>
      <c r="H324" s="79"/>
      <c r="I324" s="62"/>
      <c r="J324" s="53"/>
    </row>
    <row r="325" ht="24.75" hidden="1" customHeight="1">
      <c r="A325" s="54" t="s">
        <v>289</v>
      </c>
      <c r="B325" s="56" t="s">
        <v>642</v>
      </c>
      <c r="C325" s="56" t="s">
        <v>640</v>
      </c>
      <c r="D325" s="56" t="s">
        <v>631</v>
      </c>
      <c r="E325" s="56" t="s">
        <v>196</v>
      </c>
      <c r="F325" s="57" t="s">
        <v>250</v>
      </c>
      <c r="G325" s="61"/>
      <c r="H325" s="61" t="s">
        <v>200</v>
      </c>
      <c r="I325" s="62" t="s">
        <v>201</v>
      </c>
      <c r="J325" s="53"/>
    </row>
    <row r="326" ht="24.75" hidden="1" customHeight="1">
      <c r="A326" s="54" t="s">
        <v>289</v>
      </c>
      <c r="B326" s="56" t="s">
        <v>643</v>
      </c>
      <c r="C326" s="56" t="s">
        <v>640</v>
      </c>
      <c r="D326" s="56" t="s">
        <v>636</v>
      </c>
      <c r="E326" s="56" t="s">
        <v>191</v>
      </c>
      <c r="F326" s="57" t="s">
        <v>192</v>
      </c>
      <c r="G326" s="61"/>
      <c r="H326" s="79"/>
      <c r="I326" s="62"/>
      <c r="J326" s="53"/>
    </row>
    <row r="327" ht="24.75" hidden="1" customHeight="1">
      <c r="A327" s="54" t="s">
        <v>289</v>
      </c>
      <c r="B327" s="56" t="s">
        <v>643</v>
      </c>
      <c r="C327" s="56" t="s">
        <v>640</v>
      </c>
      <c r="D327" s="56" t="s">
        <v>636</v>
      </c>
      <c r="E327" s="56" t="s">
        <v>632</v>
      </c>
      <c r="F327" s="57" t="s">
        <v>34</v>
      </c>
      <c r="G327" s="61"/>
      <c r="H327" s="61" t="s">
        <v>197</v>
      </c>
      <c r="I327" s="62"/>
      <c r="J327" s="53"/>
    </row>
    <row r="328" ht="24.75" hidden="1" customHeight="1">
      <c r="A328" s="54" t="s">
        <v>289</v>
      </c>
      <c r="B328" s="56" t="s">
        <v>643</v>
      </c>
      <c r="C328" s="56" t="s">
        <v>640</v>
      </c>
      <c r="D328" s="56" t="s">
        <v>636</v>
      </c>
      <c r="E328" s="56" t="s">
        <v>633</v>
      </c>
      <c r="F328" s="57" t="s">
        <v>154</v>
      </c>
      <c r="G328" s="61"/>
      <c r="H328" s="79"/>
      <c r="I328" s="62"/>
      <c r="J328" s="53"/>
    </row>
    <row r="329" ht="24.75" hidden="1" customHeight="1">
      <c r="A329" s="54" t="s">
        <v>289</v>
      </c>
      <c r="B329" s="56" t="s">
        <v>643</v>
      </c>
      <c r="C329" s="56" t="s">
        <v>640</v>
      </c>
      <c r="D329" s="56" t="s">
        <v>636</v>
      </c>
      <c r="E329" s="56" t="s">
        <v>196</v>
      </c>
      <c r="F329" s="57" t="s">
        <v>250</v>
      </c>
      <c r="G329" s="61"/>
      <c r="H329" s="61" t="s">
        <v>200</v>
      </c>
      <c r="I329" s="62" t="s">
        <v>201</v>
      </c>
      <c r="J329" s="53"/>
    </row>
    <row r="330" ht="24.75" hidden="1" customHeight="1">
      <c r="A330" s="54" t="s">
        <v>289</v>
      </c>
      <c r="B330" s="56" t="s">
        <v>644</v>
      </c>
      <c r="C330" s="56" t="s">
        <v>645</v>
      </c>
      <c r="D330" s="56" t="s">
        <v>611</v>
      </c>
      <c r="E330" s="56" t="s">
        <v>612</v>
      </c>
      <c r="F330" s="57" t="s">
        <v>34</v>
      </c>
      <c r="G330" s="61"/>
      <c r="H330" s="79"/>
      <c r="I330" s="62"/>
      <c r="J330" s="53"/>
    </row>
    <row r="331" ht="24.75" hidden="1" customHeight="1">
      <c r="A331" s="54" t="s">
        <v>289</v>
      </c>
      <c r="B331" s="56" t="s">
        <v>644</v>
      </c>
      <c r="C331" s="56" t="s">
        <v>645</v>
      </c>
      <c r="D331" s="56" t="s">
        <v>611</v>
      </c>
      <c r="E331" s="56" t="s">
        <v>613</v>
      </c>
      <c r="F331" s="57" t="s">
        <v>34</v>
      </c>
      <c r="G331" s="61"/>
      <c r="H331" s="79"/>
      <c r="I331" s="62"/>
      <c r="J331" s="53"/>
    </row>
    <row r="332" ht="24.75" hidden="1" customHeight="1">
      <c r="A332" s="54" t="s">
        <v>289</v>
      </c>
      <c r="B332" s="56" t="s">
        <v>644</v>
      </c>
      <c r="C332" s="56" t="s">
        <v>645</v>
      </c>
      <c r="D332" s="56" t="s">
        <v>611</v>
      </c>
      <c r="E332" s="56" t="s">
        <v>614</v>
      </c>
      <c r="F332" s="57" t="s">
        <v>34</v>
      </c>
      <c r="G332" s="61"/>
      <c r="H332" s="79"/>
      <c r="I332" s="62" t="s">
        <v>615</v>
      </c>
      <c r="J332" s="53"/>
    </row>
    <row r="333" ht="24.75" hidden="1" customHeight="1">
      <c r="A333" s="54" t="s">
        <v>289</v>
      </c>
      <c r="B333" s="56" t="s">
        <v>644</v>
      </c>
      <c r="C333" s="56" t="s">
        <v>645</v>
      </c>
      <c r="D333" s="56" t="s">
        <v>611</v>
      </c>
      <c r="E333" s="56" t="s">
        <v>616</v>
      </c>
      <c r="F333" s="57" t="s">
        <v>154</v>
      </c>
      <c r="G333" s="61"/>
      <c r="H333" s="79"/>
      <c r="I333" s="62" t="s">
        <v>617</v>
      </c>
      <c r="J333" s="53"/>
    </row>
    <row r="334" ht="24.75" hidden="1" customHeight="1">
      <c r="A334" s="54" t="s">
        <v>289</v>
      </c>
      <c r="B334" s="56" t="s">
        <v>644</v>
      </c>
      <c r="C334" s="56" t="s">
        <v>645</v>
      </c>
      <c r="D334" s="56" t="s">
        <v>611</v>
      </c>
      <c r="E334" s="56" t="s">
        <v>618</v>
      </c>
      <c r="F334" s="57" t="s">
        <v>154</v>
      </c>
      <c r="G334" s="61"/>
      <c r="H334" s="79"/>
      <c r="I334" s="62" t="s">
        <v>617</v>
      </c>
      <c r="J334" s="53"/>
    </row>
    <row r="335" ht="24.75" hidden="1" customHeight="1">
      <c r="A335" s="54" t="s">
        <v>289</v>
      </c>
      <c r="B335" s="56" t="s">
        <v>646</v>
      </c>
      <c r="C335" s="56" t="s">
        <v>645</v>
      </c>
      <c r="D335" s="56" t="s">
        <v>620</v>
      </c>
      <c r="E335" s="56" t="s">
        <v>196</v>
      </c>
      <c r="F335" s="57" t="s">
        <v>250</v>
      </c>
      <c r="G335" s="61"/>
      <c r="H335" s="61" t="s">
        <v>287</v>
      </c>
      <c r="I335" s="62" t="s">
        <v>288</v>
      </c>
      <c r="J335" s="53"/>
    </row>
    <row r="336" ht="24.75" hidden="1" customHeight="1">
      <c r="A336" s="54" t="s">
        <v>289</v>
      </c>
      <c r="B336" s="56" t="s">
        <v>646</v>
      </c>
      <c r="C336" s="56" t="s">
        <v>645</v>
      </c>
      <c r="D336" s="56" t="s">
        <v>620</v>
      </c>
      <c r="E336" s="56" t="s">
        <v>621</v>
      </c>
      <c r="F336" s="57" t="s">
        <v>192</v>
      </c>
      <c r="G336" s="61"/>
      <c r="H336" s="79"/>
      <c r="I336" s="62"/>
      <c r="J336" s="53"/>
    </row>
    <row r="337" ht="24.75" hidden="1" customHeight="1">
      <c r="A337" s="54" t="s">
        <v>289</v>
      </c>
      <c r="B337" s="56" t="s">
        <v>646</v>
      </c>
      <c r="C337" s="56" t="s">
        <v>645</v>
      </c>
      <c r="D337" s="56" t="s">
        <v>620</v>
      </c>
      <c r="E337" s="56" t="s">
        <v>622</v>
      </c>
      <c r="F337" s="57" t="s">
        <v>154</v>
      </c>
      <c r="G337" s="61"/>
      <c r="H337" s="79"/>
      <c r="I337" s="62" t="s">
        <v>617</v>
      </c>
      <c r="J337" s="53"/>
    </row>
    <row r="338" ht="24.75" hidden="1" customHeight="1">
      <c r="A338" s="54" t="s">
        <v>289</v>
      </c>
      <c r="B338" s="56" t="s">
        <v>647</v>
      </c>
      <c r="C338" s="56" t="s">
        <v>645</v>
      </c>
      <c r="D338" s="56" t="s">
        <v>631</v>
      </c>
      <c r="E338" s="56" t="s">
        <v>191</v>
      </c>
      <c r="F338" s="57" t="s">
        <v>192</v>
      </c>
      <c r="G338" s="61"/>
      <c r="H338" s="79"/>
      <c r="I338" s="62"/>
      <c r="J338" s="53"/>
    </row>
    <row r="339" ht="24.75" hidden="1" customHeight="1">
      <c r="A339" s="54" t="s">
        <v>289</v>
      </c>
      <c r="B339" s="56" t="s">
        <v>647</v>
      </c>
      <c r="C339" s="56" t="s">
        <v>645</v>
      </c>
      <c r="D339" s="56" t="s">
        <v>631</v>
      </c>
      <c r="E339" s="56" t="s">
        <v>632</v>
      </c>
      <c r="F339" s="57" t="s">
        <v>34</v>
      </c>
      <c r="G339" s="61"/>
      <c r="H339" s="61" t="s">
        <v>197</v>
      </c>
      <c r="I339" s="62"/>
      <c r="J339" s="53"/>
    </row>
    <row r="340" ht="24.75" hidden="1" customHeight="1">
      <c r="A340" s="54" t="s">
        <v>289</v>
      </c>
      <c r="B340" s="56" t="s">
        <v>647</v>
      </c>
      <c r="C340" s="56" t="s">
        <v>645</v>
      </c>
      <c r="D340" s="56" t="s">
        <v>631</v>
      </c>
      <c r="E340" s="56" t="s">
        <v>633</v>
      </c>
      <c r="F340" s="57" t="s">
        <v>154</v>
      </c>
      <c r="G340" s="50"/>
      <c r="H340" s="79"/>
      <c r="I340" s="62"/>
      <c r="J340" s="53"/>
    </row>
    <row r="341" ht="24.75" hidden="1" customHeight="1">
      <c r="A341" s="54" t="s">
        <v>289</v>
      </c>
      <c r="B341" s="56" t="s">
        <v>647</v>
      </c>
      <c r="C341" s="56" t="s">
        <v>645</v>
      </c>
      <c r="D341" s="56" t="s">
        <v>631</v>
      </c>
      <c r="E341" s="56" t="s">
        <v>196</v>
      </c>
      <c r="F341" s="57" t="s">
        <v>250</v>
      </c>
      <c r="G341" s="61"/>
      <c r="H341" s="61" t="s">
        <v>200</v>
      </c>
      <c r="I341" s="62" t="s">
        <v>201</v>
      </c>
      <c r="J341" s="53"/>
    </row>
    <row r="342" ht="24.75" hidden="1" customHeight="1">
      <c r="A342" s="54" t="s">
        <v>289</v>
      </c>
      <c r="B342" s="56" t="s">
        <v>648</v>
      </c>
      <c r="C342" s="56" t="s">
        <v>645</v>
      </c>
      <c r="D342" s="56" t="s">
        <v>636</v>
      </c>
      <c r="E342" s="56" t="s">
        <v>191</v>
      </c>
      <c r="F342" s="57" t="s">
        <v>192</v>
      </c>
      <c r="G342" s="61"/>
      <c r="H342" s="79"/>
      <c r="I342" s="62"/>
      <c r="J342" s="53"/>
    </row>
    <row r="343" ht="24.75" hidden="1" customHeight="1">
      <c r="A343" s="54" t="s">
        <v>289</v>
      </c>
      <c r="B343" s="56" t="s">
        <v>648</v>
      </c>
      <c r="C343" s="56" t="s">
        <v>645</v>
      </c>
      <c r="D343" s="56" t="s">
        <v>636</v>
      </c>
      <c r="E343" s="56" t="s">
        <v>632</v>
      </c>
      <c r="F343" s="57" t="s">
        <v>34</v>
      </c>
      <c r="G343" s="61"/>
      <c r="H343" s="61" t="s">
        <v>197</v>
      </c>
      <c r="I343" s="62"/>
      <c r="J343" s="53"/>
    </row>
    <row r="344" ht="24.75" hidden="1" customHeight="1">
      <c r="A344" s="54" t="s">
        <v>289</v>
      </c>
      <c r="B344" s="56" t="s">
        <v>648</v>
      </c>
      <c r="C344" s="56" t="s">
        <v>645</v>
      </c>
      <c r="D344" s="56" t="s">
        <v>636</v>
      </c>
      <c r="E344" s="56" t="s">
        <v>633</v>
      </c>
      <c r="F344" s="57" t="s">
        <v>154</v>
      </c>
      <c r="G344" s="61"/>
      <c r="H344" s="79"/>
      <c r="I344" s="62"/>
      <c r="J344" s="53"/>
    </row>
    <row r="345" ht="24.75" hidden="1" customHeight="1">
      <c r="A345" s="54" t="s">
        <v>289</v>
      </c>
      <c r="B345" s="56" t="s">
        <v>648</v>
      </c>
      <c r="C345" s="56" t="s">
        <v>645</v>
      </c>
      <c r="D345" s="56" t="s">
        <v>636</v>
      </c>
      <c r="E345" s="56" t="s">
        <v>196</v>
      </c>
      <c r="F345" s="57" t="s">
        <v>250</v>
      </c>
      <c r="G345" s="61"/>
      <c r="H345" s="61" t="s">
        <v>200</v>
      </c>
      <c r="I345" s="62" t="s">
        <v>201</v>
      </c>
      <c r="J345" s="53"/>
    </row>
    <row r="346" ht="24.75" hidden="1" customHeight="1">
      <c r="A346" s="54" t="s">
        <v>289</v>
      </c>
      <c r="B346" s="56" t="s">
        <v>649</v>
      </c>
      <c r="C346" s="56" t="s">
        <v>606</v>
      </c>
      <c r="D346" s="56" t="s">
        <v>611</v>
      </c>
      <c r="E346" s="56" t="s">
        <v>612</v>
      </c>
      <c r="F346" s="57" t="s">
        <v>34</v>
      </c>
      <c r="G346" s="61"/>
      <c r="H346" s="79"/>
      <c r="I346" s="62"/>
      <c r="J346" s="53"/>
    </row>
    <row r="347" ht="24.75" hidden="1" customHeight="1">
      <c r="A347" s="54" t="s">
        <v>289</v>
      </c>
      <c r="B347" s="56" t="s">
        <v>649</v>
      </c>
      <c r="C347" s="56" t="s">
        <v>606</v>
      </c>
      <c r="D347" s="56" t="s">
        <v>611</v>
      </c>
      <c r="E347" s="56" t="s">
        <v>613</v>
      </c>
      <c r="F347" s="57" t="s">
        <v>34</v>
      </c>
      <c r="G347" s="61"/>
      <c r="H347" s="79"/>
      <c r="I347" s="62"/>
      <c r="J347" s="53"/>
    </row>
    <row r="348" ht="24.75" hidden="1" customHeight="1">
      <c r="A348" s="54" t="s">
        <v>289</v>
      </c>
      <c r="B348" s="56" t="s">
        <v>649</v>
      </c>
      <c r="C348" s="56" t="s">
        <v>606</v>
      </c>
      <c r="D348" s="56" t="s">
        <v>611</v>
      </c>
      <c r="E348" s="56" t="s">
        <v>614</v>
      </c>
      <c r="F348" s="57" t="s">
        <v>34</v>
      </c>
      <c r="G348" s="61"/>
      <c r="H348" s="79"/>
      <c r="I348" s="62" t="s">
        <v>615</v>
      </c>
      <c r="J348" s="53"/>
    </row>
    <row r="349" ht="24.75" hidden="1" customHeight="1">
      <c r="A349" s="54" t="s">
        <v>289</v>
      </c>
      <c r="B349" s="56" t="s">
        <v>649</v>
      </c>
      <c r="C349" s="56" t="s">
        <v>606</v>
      </c>
      <c r="D349" s="56" t="s">
        <v>611</v>
      </c>
      <c r="E349" s="56" t="s">
        <v>616</v>
      </c>
      <c r="F349" s="57" t="s">
        <v>154</v>
      </c>
      <c r="G349" s="61"/>
      <c r="H349" s="79"/>
      <c r="I349" s="62" t="s">
        <v>617</v>
      </c>
      <c r="J349" s="53"/>
    </row>
    <row r="350" ht="24.75" hidden="1" customHeight="1">
      <c r="A350" s="54" t="s">
        <v>289</v>
      </c>
      <c r="B350" s="56" t="s">
        <v>649</v>
      </c>
      <c r="C350" s="56" t="s">
        <v>606</v>
      </c>
      <c r="D350" s="56" t="s">
        <v>611</v>
      </c>
      <c r="E350" s="56" t="s">
        <v>618</v>
      </c>
      <c r="F350" s="57" t="s">
        <v>154</v>
      </c>
      <c r="G350" s="61"/>
      <c r="H350" s="79"/>
      <c r="I350" s="62" t="s">
        <v>617</v>
      </c>
      <c r="J350" s="53"/>
    </row>
    <row r="351" ht="24.75" hidden="1" customHeight="1">
      <c r="A351" s="54" t="s">
        <v>289</v>
      </c>
      <c r="B351" s="56" t="s">
        <v>650</v>
      </c>
      <c r="C351" s="56" t="s">
        <v>606</v>
      </c>
      <c r="D351" s="56" t="s">
        <v>651</v>
      </c>
      <c r="E351" s="56" t="s">
        <v>196</v>
      </c>
      <c r="F351" s="57" t="s">
        <v>250</v>
      </c>
      <c r="G351" s="61"/>
      <c r="H351" s="61" t="s">
        <v>287</v>
      </c>
      <c r="I351" s="62" t="s">
        <v>288</v>
      </c>
      <c r="J351" s="53"/>
    </row>
    <row r="352" ht="24.75" hidden="1" customHeight="1">
      <c r="A352" s="54" t="s">
        <v>289</v>
      </c>
      <c r="B352" s="56" t="s">
        <v>650</v>
      </c>
      <c r="C352" s="56" t="s">
        <v>606</v>
      </c>
      <c r="D352" s="56" t="s">
        <v>651</v>
      </c>
      <c r="E352" s="56" t="s">
        <v>621</v>
      </c>
      <c r="F352" s="57" t="s">
        <v>192</v>
      </c>
      <c r="G352" s="61"/>
      <c r="H352" s="79"/>
      <c r="I352" s="62"/>
      <c r="J352" s="53"/>
    </row>
    <row r="353" ht="24.75" hidden="1" customHeight="1">
      <c r="A353" s="54" t="s">
        <v>289</v>
      </c>
      <c r="B353" s="56" t="s">
        <v>650</v>
      </c>
      <c r="C353" s="56" t="s">
        <v>606</v>
      </c>
      <c r="D353" s="56" t="s">
        <v>651</v>
      </c>
      <c r="E353" s="56" t="s">
        <v>622</v>
      </c>
      <c r="F353" s="57" t="s">
        <v>154</v>
      </c>
      <c r="G353" s="61"/>
      <c r="H353" s="79"/>
      <c r="I353" s="62" t="s">
        <v>617</v>
      </c>
      <c r="J353" s="53"/>
    </row>
    <row r="354" ht="24.75" hidden="1" customHeight="1">
      <c r="A354" s="54" t="s">
        <v>289</v>
      </c>
      <c r="B354" s="56" t="s">
        <v>654</v>
      </c>
      <c r="C354" s="56" t="s">
        <v>606</v>
      </c>
      <c r="D354" s="56" t="s">
        <v>655</v>
      </c>
      <c r="E354" s="56" t="s">
        <v>191</v>
      </c>
      <c r="F354" s="57" t="s">
        <v>192</v>
      </c>
      <c r="G354" s="61"/>
      <c r="H354" s="79"/>
      <c r="I354" s="62"/>
      <c r="J354" s="53"/>
    </row>
    <row r="355" ht="24.75" hidden="1" customHeight="1">
      <c r="A355" s="54" t="s">
        <v>289</v>
      </c>
      <c r="B355" s="56" t="s">
        <v>654</v>
      </c>
      <c r="C355" s="56" t="s">
        <v>606</v>
      </c>
      <c r="D355" s="56" t="s">
        <v>655</v>
      </c>
      <c r="E355" s="56" t="s">
        <v>632</v>
      </c>
      <c r="F355" s="57" t="s">
        <v>34</v>
      </c>
      <c r="G355" s="61"/>
      <c r="H355" s="61" t="s">
        <v>197</v>
      </c>
      <c r="I355" s="62"/>
      <c r="J355" s="53"/>
    </row>
    <row r="356" ht="24.75" hidden="1" customHeight="1">
      <c r="A356" s="54" t="s">
        <v>289</v>
      </c>
      <c r="B356" s="56" t="s">
        <v>654</v>
      </c>
      <c r="C356" s="56" t="s">
        <v>606</v>
      </c>
      <c r="D356" s="56" t="s">
        <v>655</v>
      </c>
      <c r="E356" s="56" t="s">
        <v>633</v>
      </c>
      <c r="F356" s="57" t="s">
        <v>154</v>
      </c>
      <c r="G356" s="61"/>
      <c r="H356" s="79"/>
      <c r="I356" s="62"/>
      <c r="J356" s="53"/>
    </row>
    <row r="357" ht="24.75" hidden="1" customHeight="1">
      <c r="A357" s="54" t="s">
        <v>289</v>
      </c>
      <c r="B357" s="56" t="s">
        <v>654</v>
      </c>
      <c r="C357" s="56" t="s">
        <v>606</v>
      </c>
      <c r="D357" s="56" t="s">
        <v>655</v>
      </c>
      <c r="E357" s="56" t="s">
        <v>196</v>
      </c>
      <c r="F357" s="57" t="s">
        <v>250</v>
      </c>
      <c r="G357" s="61"/>
      <c r="H357" s="61" t="s">
        <v>200</v>
      </c>
      <c r="I357" s="62" t="s">
        <v>201</v>
      </c>
      <c r="J357" s="53"/>
    </row>
    <row r="358" ht="24.75" hidden="1" customHeight="1">
      <c r="A358" s="54" t="s">
        <v>289</v>
      </c>
      <c r="B358" s="56" t="s">
        <v>656</v>
      </c>
      <c r="C358" s="56" t="s">
        <v>606</v>
      </c>
      <c r="D358" s="56" t="s">
        <v>657</v>
      </c>
      <c r="E358" s="56" t="s">
        <v>191</v>
      </c>
      <c r="F358" s="57" t="s">
        <v>192</v>
      </c>
      <c r="G358" s="61"/>
      <c r="H358" s="79"/>
      <c r="I358" s="62"/>
      <c r="J358" s="53"/>
    </row>
    <row r="359" ht="24.75" hidden="1" customHeight="1">
      <c r="A359" s="54" t="s">
        <v>289</v>
      </c>
      <c r="B359" s="56" t="s">
        <v>656</v>
      </c>
      <c r="C359" s="56" t="s">
        <v>606</v>
      </c>
      <c r="D359" s="56" t="s">
        <v>657</v>
      </c>
      <c r="E359" s="56" t="s">
        <v>632</v>
      </c>
      <c r="F359" s="57" t="s">
        <v>34</v>
      </c>
      <c r="G359" s="61"/>
      <c r="H359" s="61" t="s">
        <v>197</v>
      </c>
      <c r="I359" s="62"/>
      <c r="J359" s="53"/>
    </row>
    <row r="360" ht="24.75" hidden="1" customHeight="1">
      <c r="A360" s="54" t="s">
        <v>289</v>
      </c>
      <c r="B360" s="56" t="s">
        <v>656</v>
      </c>
      <c r="C360" s="56" t="s">
        <v>606</v>
      </c>
      <c r="D360" s="56" t="s">
        <v>657</v>
      </c>
      <c r="E360" s="56" t="s">
        <v>633</v>
      </c>
      <c r="F360" s="57" t="s">
        <v>154</v>
      </c>
      <c r="G360" s="61"/>
      <c r="H360" s="79"/>
      <c r="I360" s="62"/>
      <c r="J360" s="53"/>
    </row>
    <row r="361" ht="24.75" hidden="1" customHeight="1">
      <c r="A361" s="54" t="s">
        <v>289</v>
      </c>
      <c r="B361" s="56" t="s">
        <v>656</v>
      </c>
      <c r="C361" s="56" t="s">
        <v>606</v>
      </c>
      <c r="D361" s="56" t="s">
        <v>657</v>
      </c>
      <c r="E361" s="56" t="s">
        <v>196</v>
      </c>
      <c r="F361" s="57" t="s">
        <v>250</v>
      </c>
      <c r="G361" s="61"/>
      <c r="H361" s="61" t="s">
        <v>200</v>
      </c>
      <c r="I361" s="62" t="s">
        <v>201</v>
      </c>
      <c r="J361" s="53"/>
    </row>
    <row r="362" ht="24.75" hidden="1" customHeight="1">
      <c r="A362" s="54" t="s">
        <v>658</v>
      </c>
      <c r="B362" s="56" t="s">
        <v>659</v>
      </c>
      <c r="C362" s="56" t="s">
        <v>610</v>
      </c>
      <c r="D362" s="56" t="s">
        <v>660</v>
      </c>
      <c r="E362" s="56" t="s">
        <v>661</v>
      </c>
      <c r="F362" s="57" t="s">
        <v>34</v>
      </c>
      <c r="G362" s="61"/>
      <c r="H362" s="79"/>
      <c r="I362" s="62"/>
      <c r="J362" s="53"/>
    </row>
    <row r="363" ht="24.75" hidden="1" customHeight="1">
      <c r="A363" s="54" t="s">
        <v>658</v>
      </c>
      <c r="B363" s="56" t="s">
        <v>659</v>
      </c>
      <c r="C363" s="56" t="s">
        <v>610</v>
      </c>
      <c r="D363" s="56" t="s">
        <v>660</v>
      </c>
      <c r="E363" s="56" t="s">
        <v>662</v>
      </c>
      <c r="F363" s="57" t="s">
        <v>34</v>
      </c>
      <c r="G363" s="61"/>
      <c r="H363" s="79"/>
      <c r="I363" s="62"/>
      <c r="J363" s="53"/>
    </row>
    <row r="364" ht="24.75" hidden="1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663</v>
      </c>
      <c r="F364" s="57" t="s">
        <v>34</v>
      </c>
      <c r="G364" s="61"/>
      <c r="H364" s="79"/>
      <c r="I364" s="62"/>
      <c r="J364" s="53"/>
    </row>
    <row r="365" ht="24.75" hidden="1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664</v>
      </c>
      <c r="F365" s="57" t="s">
        <v>34</v>
      </c>
      <c r="G365" s="61"/>
      <c r="H365" s="79"/>
      <c r="I365" s="62"/>
      <c r="J365" s="53"/>
    </row>
    <row r="366" ht="24.75" hidden="1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665</v>
      </c>
      <c r="F366" s="57" t="s">
        <v>34</v>
      </c>
      <c r="G366" s="61"/>
      <c r="H366" s="79"/>
      <c r="I366" s="62"/>
      <c r="J366" s="53"/>
    </row>
    <row r="367" ht="24.75" hidden="1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614</v>
      </c>
      <c r="F367" s="57" t="s">
        <v>34</v>
      </c>
      <c r="G367" s="61"/>
      <c r="H367" s="79"/>
      <c r="I367" s="62"/>
      <c r="J367" s="53"/>
    </row>
    <row r="368" ht="24.75" hidden="1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666</v>
      </c>
      <c r="F368" s="57" t="s">
        <v>34</v>
      </c>
      <c r="G368" s="61"/>
      <c r="H368" s="79"/>
      <c r="I368" s="62"/>
      <c r="J368" s="53"/>
    </row>
    <row r="369" ht="24.75" hidden="1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667</v>
      </c>
      <c r="F369" s="57" t="s">
        <v>34</v>
      </c>
      <c r="G369" s="61"/>
      <c r="H369" s="79"/>
      <c r="I369" s="62"/>
      <c r="J369" s="53"/>
    </row>
    <row r="370" ht="24.75" hidden="1" customHeight="1">
      <c r="A370" s="54" t="s">
        <v>658</v>
      </c>
      <c r="B370" s="56" t="s">
        <v>659</v>
      </c>
      <c r="C370" s="56" t="s">
        <v>610</v>
      </c>
      <c r="D370" s="56" t="s">
        <v>660</v>
      </c>
      <c r="E370" s="56" t="s">
        <v>668</v>
      </c>
      <c r="F370" s="57" t="s">
        <v>154</v>
      </c>
      <c r="G370" s="61"/>
      <c r="H370" s="79"/>
      <c r="I370" s="62" t="s">
        <v>617</v>
      </c>
      <c r="J370" s="53"/>
    </row>
    <row r="371" ht="24.75" hidden="1" customHeight="1">
      <c r="A371" s="54" t="s">
        <v>658</v>
      </c>
      <c r="B371" s="56" t="s">
        <v>659</v>
      </c>
      <c r="C371" s="56" t="s">
        <v>610</v>
      </c>
      <c r="D371" s="56" t="s">
        <v>660</v>
      </c>
      <c r="E371" s="56" t="s">
        <v>669</v>
      </c>
      <c r="F371" s="57" t="s">
        <v>154</v>
      </c>
      <c r="G371" s="61"/>
      <c r="H371" s="79"/>
      <c r="I371" s="62" t="s">
        <v>617</v>
      </c>
      <c r="J371" s="53"/>
    </row>
    <row r="372" ht="24.75" hidden="1" customHeight="1">
      <c r="A372" s="54" t="s">
        <v>658</v>
      </c>
      <c r="B372" s="56" t="s">
        <v>659</v>
      </c>
      <c r="C372" s="56" t="s">
        <v>610</v>
      </c>
      <c r="D372" s="56" t="s">
        <v>660</v>
      </c>
      <c r="E372" s="56" t="s">
        <v>671</v>
      </c>
      <c r="F372" s="57" t="s">
        <v>154</v>
      </c>
      <c r="G372" s="61"/>
      <c r="H372" s="79"/>
      <c r="I372" s="62" t="s">
        <v>617</v>
      </c>
      <c r="J372" s="53"/>
    </row>
    <row r="373" ht="24.75" hidden="1" customHeight="1">
      <c r="A373" s="54" t="s">
        <v>658</v>
      </c>
      <c r="B373" s="56" t="s">
        <v>659</v>
      </c>
      <c r="C373" s="56" t="s">
        <v>610</v>
      </c>
      <c r="D373" s="56" t="s">
        <v>660</v>
      </c>
      <c r="E373" s="56" t="s">
        <v>672</v>
      </c>
      <c r="F373" s="57" t="s">
        <v>154</v>
      </c>
      <c r="G373" s="61"/>
      <c r="H373" s="79"/>
      <c r="I373" s="62" t="s">
        <v>617</v>
      </c>
      <c r="J373" s="53"/>
    </row>
    <row r="374" ht="24.75" hidden="1" customHeight="1">
      <c r="A374" s="54" t="s">
        <v>658</v>
      </c>
      <c r="B374" s="56" t="s">
        <v>659</v>
      </c>
      <c r="C374" s="56" t="s">
        <v>610</v>
      </c>
      <c r="D374" s="56" t="s">
        <v>660</v>
      </c>
      <c r="E374" s="56" t="s">
        <v>673</v>
      </c>
      <c r="F374" s="57" t="s">
        <v>154</v>
      </c>
      <c r="G374" s="61"/>
      <c r="H374" s="79"/>
      <c r="I374" s="62" t="s">
        <v>617</v>
      </c>
      <c r="J374" s="53"/>
    </row>
    <row r="375" ht="24.75" hidden="1" customHeight="1">
      <c r="A375" s="54" t="s">
        <v>658</v>
      </c>
      <c r="B375" s="56" t="s">
        <v>674</v>
      </c>
      <c r="C375" s="56" t="s">
        <v>610</v>
      </c>
      <c r="D375" s="56" t="s">
        <v>675</v>
      </c>
      <c r="E375" s="56" t="s">
        <v>676</v>
      </c>
      <c r="F375" s="57" t="s">
        <v>34</v>
      </c>
      <c r="G375" s="61"/>
      <c r="H375" s="79"/>
      <c r="I375" s="62"/>
      <c r="J375" s="53"/>
    </row>
    <row r="376" ht="24.75" hidden="1" customHeight="1">
      <c r="A376" s="54" t="s">
        <v>658</v>
      </c>
      <c r="B376" s="56" t="s">
        <v>677</v>
      </c>
      <c r="C376" s="56" t="s">
        <v>610</v>
      </c>
      <c r="D376" s="56" t="s">
        <v>678</v>
      </c>
      <c r="E376" s="56" t="s">
        <v>679</v>
      </c>
      <c r="F376" s="57" t="s">
        <v>34</v>
      </c>
      <c r="G376" s="61"/>
      <c r="H376" s="61" t="s">
        <v>681</v>
      </c>
      <c r="I376" s="62"/>
      <c r="J376" s="53"/>
    </row>
    <row r="377" ht="24.75" hidden="1" customHeight="1">
      <c r="A377" s="54" t="s">
        <v>658</v>
      </c>
      <c r="B377" s="56" t="s">
        <v>677</v>
      </c>
      <c r="C377" s="56" t="s">
        <v>610</v>
      </c>
      <c r="D377" s="56" t="s">
        <v>678</v>
      </c>
      <c r="E377" s="56" t="s">
        <v>680</v>
      </c>
      <c r="F377" s="57" t="s">
        <v>34</v>
      </c>
      <c r="G377" s="61"/>
      <c r="H377" s="79"/>
      <c r="I377" s="62"/>
      <c r="J377" s="53"/>
    </row>
    <row r="378" ht="24.75" hidden="1" customHeight="1">
      <c r="A378" s="54" t="s">
        <v>658</v>
      </c>
      <c r="B378" s="56" t="s">
        <v>677</v>
      </c>
      <c r="C378" s="56" t="s">
        <v>610</v>
      </c>
      <c r="D378" s="56" t="s">
        <v>678</v>
      </c>
      <c r="E378" s="56" t="s">
        <v>682</v>
      </c>
      <c r="F378" s="57" t="s">
        <v>34</v>
      </c>
      <c r="G378" s="61"/>
      <c r="H378" s="79"/>
      <c r="I378" s="62"/>
      <c r="J378" s="53"/>
    </row>
    <row r="379" ht="24.75" hidden="1" customHeight="1">
      <c r="A379" s="54" t="s">
        <v>658</v>
      </c>
      <c r="B379" s="56" t="s">
        <v>677</v>
      </c>
      <c r="C379" s="56" t="s">
        <v>610</v>
      </c>
      <c r="D379" s="56" t="s">
        <v>678</v>
      </c>
      <c r="E379" s="56" t="s">
        <v>683</v>
      </c>
      <c r="F379" s="57" t="s">
        <v>34</v>
      </c>
      <c r="G379" s="61"/>
      <c r="H379" s="79"/>
      <c r="I379" s="62"/>
      <c r="J379" s="53"/>
    </row>
    <row r="380" ht="24.75" hidden="1" customHeight="1">
      <c r="A380" s="54" t="s">
        <v>658</v>
      </c>
      <c r="B380" s="56" t="s">
        <v>677</v>
      </c>
      <c r="C380" s="56" t="s">
        <v>610</v>
      </c>
      <c r="D380" s="56" t="s">
        <v>678</v>
      </c>
      <c r="E380" s="56" t="s">
        <v>684</v>
      </c>
      <c r="F380" s="57" t="s">
        <v>250</v>
      </c>
      <c r="G380" s="61"/>
      <c r="H380" s="61" t="s">
        <v>686</v>
      </c>
      <c r="I380" s="62" t="s">
        <v>687</v>
      </c>
      <c r="J380" s="53"/>
    </row>
    <row r="381" ht="24.75" hidden="1" customHeight="1">
      <c r="A381" s="54" t="s">
        <v>658</v>
      </c>
      <c r="B381" s="56" t="s">
        <v>677</v>
      </c>
      <c r="C381" s="56" t="s">
        <v>610</v>
      </c>
      <c r="D381" s="56" t="s">
        <v>678</v>
      </c>
      <c r="E381" s="56" t="s">
        <v>685</v>
      </c>
      <c r="F381" s="57" t="s">
        <v>250</v>
      </c>
      <c r="G381" s="61"/>
      <c r="H381" s="61" t="s">
        <v>200</v>
      </c>
      <c r="I381" s="62" t="s">
        <v>689</v>
      </c>
      <c r="J381" s="53"/>
    </row>
    <row r="382" ht="24.75" hidden="1" customHeight="1">
      <c r="A382" s="54" t="s">
        <v>658</v>
      </c>
      <c r="B382" s="56" t="s">
        <v>688</v>
      </c>
      <c r="C382" s="56" t="s">
        <v>624</v>
      </c>
      <c r="D382" s="56" t="s">
        <v>660</v>
      </c>
      <c r="E382" s="56" t="s">
        <v>661</v>
      </c>
      <c r="F382" s="57" t="s">
        <v>34</v>
      </c>
      <c r="G382" s="61"/>
      <c r="H382" s="79"/>
      <c r="I382" s="62"/>
      <c r="J382" s="53"/>
    </row>
    <row r="383" ht="24.75" hidden="1" customHeight="1">
      <c r="A383" s="54" t="s">
        <v>658</v>
      </c>
      <c r="B383" s="56" t="s">
        <v>688</v>
      </c>
      <c r="C383" s="56" t="s">
        <v>624</v>
      </c>
      <c r="D383" s="56" t="s">
        <v>660</v>
      </c>
      <c r="E383" s="56" t="s">
        <v>662</v>
      </c>
      <c r="F383" s="57" t="s">
        <v>34</v>
      </c>
      <c r="G383" s="61"/>
      <c r="H383" s="79"/>
      <c r="I383" s="62"/>
      <c r="J383" s="53"/>
    </row>
    <row r="384" ht="24.75" hidden="1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663</v>
      </c>
      <c r="F384" s="57" t="s">
        <v>34</v>
      </c>
      <c r="G384" s="61"/>
      <c r="H384" s="79"/>
      <c r="I384" s="62"/>
      <c r="J384" s="53"/>
    </row>
    <row r="385" ht="24.75" hidden="1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664</v>
      </c>
      <c r="F385" s="57" t="s">
        <v>34</v>
      </c>
      <c r="G385" s="61"/>
      <c r="H385" s="79"/>
      <c r="I385" s="62"/>
      <c r="J385" s="53"/>
    </row>
    <row r="386" ht="24.75" hidden="1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665</v>
      </c>
      <c r="F386" s="57" t="s">
        <v>34</v>
      </c>
      <c r="G386" s="61"/>
      <c r="H386" s="79"/>
      <c r="I386" s="62"/>
      <c r="J386" s="53"/>
    </row>
    <row r="387" ht="24.75" hidden="1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614</v>
      </c>
      <c r="F387" s="57" t="s">
        <v>34</v>
      </c>
      <c r="G387" s="61"/>
      <c r="H387" s="79"/>
      <c r="I387" s="62"/>
      <c r="J387" s="53"/>
    </row>
    <row r="388" ht="24.75" hidden="1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666</v>
      </c>
      <c r="F388" s="57" t="s">
        <v>34</v>
      </c>
      <c r="G388" s="61"/>
      <c r="H388" s="79"/>
      <c r="I388" s="62"/>
      <c r="J388" s="53"/>
    </row>
    <row r="389" ht="24.75" hidden="1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667</v>
      </c>
      <c r="F389" s="57" t="s">
        <v>34</v>
      </c>
      <c r="G389" s="61"/>
      <c r="H389" s="79"/>
      <c r="I389" s="62"/>
      <c r="J389" s="53"/>
    </row>
    <row r="390" ht="24.75" hidden="1" customHeight="1">
      <c r="A390" s="54" t="s">
        <v>658</v>
      </c>
      <c r="B390" s="56" t="s">
        <v>688</v>
      </c>
      <c r="C390" s="56" t="s">
        <v>624</v>
      </c>
      <c r="D390" s="56" t="s">
        <v>660</v>
      </c>
      <c r="E390" s="56" t="s">
        <v>668</v>
      </c>
      <c r="F390" s="57" t="s">
        <v>154</v>
      </c>
      <c r="G390" s="61"/>
      <c r="H390" s="79"/>
      <c r="I390" s="62" t="s">
        <v>617</v>
      </c>
      <c r="J390" s="53"/>
    </row>
    <row r="391" ht="24.75" hidden="1" customHeight="1">
      <c r="A391" s="54" t="s">
        <v>658</v>
      </c>
      <c r="B391" s="56" t="s">
        <v>688</v>
      </c>
      <c r="C391" s="56" t="s">
        <v>624</v>
      </c>
      <c r="D391" s="56" t="s">
        <v>660</v>
      </c>
      <c r="E391" s="56" t="s">
        <v>669</v>
      </c>
      <c r="F391" s="57" t="s">
        <v>154</v>
      </c>
      <c r="G391" s="61"/>
      <c r="H391" s="79"/>
      <c r="I391" s="62" t="s">
        <v>617</v>
      </c>
      <c r="J391" s="53"/>
    </row>
    <row r="392" ht="24.75" hidden="1" customHeight="1">
      <c r="A392" s="54" t="s">
        <v>658</v>
      </c>
      <c r="B392" s="56" t="s">
        <v>688</v>
      </c>
      <c r="C392" s="56" t="s">
        <v>624</v>
      </c>
      <c r="D392" s="56" t="s">
        <v>660</v>
      </c>
      <c r="E392" s="56" t="s">
        <v>671</v>
      </c>
      <c r="F392" s="57" t="s">
        <v>154</v>
      </c>
      <c r="G392" s="61"/>
      <c r="H392" s="79"/>
      <c r="I392" s="62" t="s">
        <v>617</v>
      </c>
      <c r="J392" s="53"/>
    </row>
    <row r="393" ht="24.75" hidden="1" customHeight="1">
      <c r="A393" s="54" t="s">
        <v>658</v>
      </c>
      <c r="B393" s="56" t="s">
        <v>688</v>
      </c>
      <c r="C393" s="56" t="s">
        <v>624</v>
      </c>
      <c r="D393" s="56" t="s">
        <v>660</v>
      </c>
      <c r="E393" s="56" t="s">
        <v>672</v>
      </c>
      <c r="F393" s="57" t="s">
        <v>154</v>
      </c>
      <c r="G393" s="61"/>
      <c r="H393" s="79"/>
      <c r="I393" s="62" t="s">
        <v>617</v>
      </c>
      <c r="J393" s="53"/>
    </row>
    <row r="394" ht="24.75" hidden="1" customHeight="1">
      <c r="A394" s="54" t="s">
        <v>658</v>
      </c>
      <c r="B394" s="56" t="s">
        <v>688</v>
      </c>
      <c r="C394" s="56" t="s">
        <v>624</v>
      </c>
      <c r="D394" s="56" t="s">
        <v>660</v>
      </c>
      <c r="E394" s="56" t="s">
        <v>673</v>
      </c>
      <c r="F394" s="57" t="s">
        <v>154</v>
      </c>
      <c r="G394" s="61"/>
      <c r="H394" s="79"/>
      <c r="I394" s="62" t="s">
        <v>617</v>
      </c>
      <c r="J394" s="53"/>
    </row>
    <row r="395" ht="24.75" hidden="1" customHeight="1">
      <c r="A395" s="54" t="s">
        <v>658</v>
      </c>
      <c r="B395" s="56" t="s">
        <v>690</v>
      </c>
      <c r="C395" s="56" t="s">
        <v>624</v>
      </c>
      <c r="D395" s="56" t="s">
        <v>675</v>
      </c>
      <c r="E395" s="56" t="s">
        <v>676</v>
      </c>
      <c r="F395" s="57" t="s">
        <v>34</v>
      </c>
      <c r="G395" s="61"/>
      <c r="H395" s="79"/>
      <c r="I395" s="62"/>
      <c r="J395" s="53"/>
    </row>
    <row r="396" ht="24.75" hidden="1" customHeight="1">
      <c r="A396" s="54" t="s">
        <v>658</v>
      </c>
      <c r="B396" s="56" t="s">
        <v>691</v>
      </c>
      <c r="C396" s="56" t="s">
        <v>624</v>
      </c>
      <c r="D396" s="56" t="s">
        <v>678</v>
      </c>
      <c r="E396" s="56" t="s">
        <v>679</v>
      </c>
      <c r="F396" s="57" t="s">
        <v>34</v>
      </c>
      <c r="G396" s="61"/>
      <c r="H396" s="61" t="s">
        <v>681</v>
      </c>
      <c r="I396" s="62"/>
      <c r="J396" s="53"/>
    </row>
    <row r="397" ht="24.75" hidden="1" customHeight="1">
      <c r="A397" s="54" t="s">
        <v>658</v>
      </c>
      <c r="B397" s="56" t="s">
        <v>691</v>
      </c>
      <c r="C397" s="56" t="s">
        <v>624</v>
      </c>
      <c r="D397" s="56" t="s">
        <v>678</v>
      </c>
      <c r="E397" s="56" t="s">
        <v>680</v>
      </c>
      <c r="F397" s="57" t="s">
        <v>34</v>
      </c>
      <c r="G397" s="61"/>
      <c r="H397" s="79"/>
      <c r="I397" s="62"/>
      <c r="J397" s="53"/>
    </row>
    <row r="398" ht="24.75" hidden="1" customHeight="1">
      <c r="A398" s="54" t="s">
        <v>658</v>
      </c>
      <c r="B398" s="56" t="s">
        <v>691</v>
      </c>
      <c r="C398" s="56" t="s">
        <v>624</v>
      </c>
      <c r="D398" s="56" t="s">
        <v>678</v>
      </c>
      <c r="E398" s="56" t="s">
        <v>682</v>
      </c>
      <c r="F398" s="57" t="s">
        <v>34</v>
      </c>
      <c r="G398" s="61"/>
      <c r="H398" s="79"/>
      <c r="I398" s="62"/>
      <c r="J398" s="53"/>
    </row>
    <row r="399" ht="24.75" hidden="1" customHeight="1">
      <c r="A399" s="54" t="s">
        <v>658</v>
      </c>
      <c r="B399" s="56" t="s">
        <v>691</v>
      </c>
      <c r="C399" s="56" t="s">
        <v>624</v>
      </c>
      <c r="D399" s="56" t="s">
        <v>678</v>
      </c>
      <c r="E399" s="56" t="s">
        <v>683</v>
      </c>
      <c r="F399" s="57" t="s">
        <v>34</v>
      </c>
      <c r="G399" s="61"/>
      <c r="H399" s="79"/>
      <c r="I399" s="62"/>
      <c r="J399" s="53"/>
    </row>
    <row r="400" ht="24.75" hidden="1" customHeight="1">
      <c r="A400" s="54" t="s">
        <v>658</v>
      </c>
      <c r="B400" s="56" t="s">
        <v>691</v>
      </c>
      <c r="C400" s="56" t="s">
        <v>624</v>
      </c>
      <c r="D400" s="56" t="s">
        <v>678</v>
      </c>
      <c r="E400" s="56" t="s">
        <v>684</v>
      </c>
      <c r="F400" s="57" t="s">
        <v>250</v>
      </c>
      <c r="G400" s="61"/>
      <c r="H400" s="61" t="s">
        <v>686</v>
      </c>
      <c r="I400" s="62" t="s">
        <v>687</v>
      </c>
      <c r="J400" s="53"/>
    </row>
    <row r="401" ht="24.75" hidden="1" customHeight="1">
      <c r="A401" s="54" t="s">
        <v>658</v>
      </c>
      <c r="B401" s="56" t="s">
        <v>691</v>
      </c>
      <c r="C401" s="56" t="s">
        <v>624</v>
      </c>
      <c r="D401" s="56" t="s">
        <v>678</v>
      </c>
      <c r="E401" s="56" t="s">
        <v>685</v>
      </c>
      <c r="F401" s="57" t="s">
        <v>250</v>
      </c>
      <c r="G401" s="61"/>
      <c r="H401" s="61" t="s">
        <v>200</v>
      </c>
      <c r="I401" s="62" t="s">
        <v>689</v>
      </c>
      <c r="J401" s="53"/>
    </row>
    <row r="402" ht="24.75" hidden="1" customHeight="1">
      <c r="A402" s="54" t="s">
        <v>658</v>
      </c>
      <c r="B402" s="56" t="s">
        <v>692</v>
      </c>
      <c r="C402" s="56" t="s">
        <v>627</v>
      </c>
      <c r="D402" s="56" t="s">
        <v>660</v>
      </c>
      <c r="E402" s="56" t="s">
        <v>661</v>
      </c>
      <c r="F402" s="57" t="s">
        <v>34</v>
      </c>
      <c r="G402" s="61"/>
      <c r="H402" s="79"/>
      <c r="I402" s="62"/>
      <c r="J402" s="53"/>
    </row>
    <row r="403" ht="24.75" hidden="1" customHeight="1">
      <c r="A403" s="54" t="s">
        <v>658</v>
      </c>
      <c r="B403" s="56" t="s">
        <v>692</v>
      </c>
      <c r="C403" s="56" t="s">
        <v>627</v>
      </c>
      <c r="D403" s="56" t="s">
        <v>660</v>
      </c>
      <c r="E403" s="56" t="s">
        <v>662</v>
      </c>
      <c r="F403" s="57" t="s">
        <v>34</v>
      </c>
      <c r="G403" s="61"/>
      <c r="H403" s="79"/>
      <c r="I403" s="62"/>
      <c r="J403" s="53"/>
    </row>
    <row r="404" ht="24.75" hidden="1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663</v>
      </c>
      <c r="F404" s="57" t="s">
        <v>34</v>
      </c>
      <c r="G404" s="61"/>
      <c r="H404" s="79"/>
      <c r="I404" s="62"/>
      <c r="J404" s="53"/>
    </row>
    <row r="405" ht="24.75" hidden="1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664</v>
      </c>
      <c r="F405" s="57" t="s">
        <v>34</v>
      </c>
      <c r="G405" s="61"/>
      <c r="H405" s="79"/>
      <c r="I405" s="62"/>
      <c r="J405" s="53"/>
    </row>
    <row r="406" ht="24.75" hidden="1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665</v>
      </c>
      <c r="F406" s="57" t="s">
        <v>34</v>
      </c>
      <c r="G406" s="61"/>
      <c r="H406" s="79"/>
      <c r="I406" s="62"/>
      <c r="J406" s="53"/>
    </row>
    <row r="407" ht="24.75" hidden="1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614</v>
      </c>
      <c r="F407" s="57" t="s">
        <v>34</v>
      </c>
      <c r="G407" s="61"/>
      <c r="H407" s="79"/>
      <c r="I407" s="62"/>
      <c r="J407" s="53"/>
    </row>
    <row r="408" ht="24.75" hidden="1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666</v>
      </c>
      <c r="F408" s="57" t="s">
        <v>34</v>
      </c>
      <c r="G408" s="61"/>
      <c r="H408" s="79"/>
      <c r="I408" s="62"/>
      <c r="J408" s="53"/>
    </row>
    <row r="409" ht="24.75" hidden="1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667</v>
      </c>
      <c r="F409" s="57" t="s">
        <v>34</v>
      </c>
      <c r="G409" s="61"/>
      <c r="H409" s="79"/>
      <c r="I409" s="62"/>
      <c r="J409" s="53"/>
    </row>
    <row r="410" ht="24.75" hidden="1" customHeight="1">
      <c r="A410" s="54" t="s">
        <v>658</v>
      </c>
      <c r="B410" s="56" t="s">
        <v>692</v>
      </c>
      <c r="C410" s="56" t="s">
        <v>627</v>
      </c>
      <c r="D410" s="56" t="s">
        <v>660</v>
      </c>
      <c r="E410" s="56" t="s">
        <v>668</v>
      </c>
      <c r="F410" s="57" t="s">
        <v>154</v>
      </c>
      <c r="G410" s="61"/>
      <c r="H410" s="79"/>
      <c r="I410" s="62" t="s">
        <v>617</v>
      </c>
      <c r="J410" s="53"/>
    </row>
    <row r="411" ht="24.75" hidden="1" customHeight="1">
      <c r="A411" s="54" t="s">
        <v>658</v>
      </c>
      <c r="B411" s="56" t="s">
        <v>692</v>
      </c>
      <c r="C411" s="56" t="s">
        <v>627</v>
      </c>
      <c r="D411" s="56" t="s">
        <v>660</v>
      </c>
      <c r="E411" s="56" t="s">
        <v>669</v>
      </c>
      <c r="F411" s="57" t="s">
        <v>154</v>
      </c>
      <c r="G411" s="61"/>
      <c r="H411" s="79"/>
      <c r="I411" s="62" t="s">
        <v>617</v>
      </c>
      <c r="J411" s="53"/>
    </row>
    <row r="412" ht="24.75" hidden="1" customHeight="1">
      <c r="A412" s="54" t="s">
        <v>658</v>
      </c>
      <c r="B412" s="56" t="s">
        <v>692</v>
      </c>
      <c r="C412" s="56" t="s">
        <v>627</v>
      </c>
      <c r="D412" s="56" t="s">
        <v>660</v>
      </c>
      <c r="E412" s="56" t="s">
        <v>671</v>
      </c>
      <c r="F412" s="57" t="s">
        <v>154</v>
      </c>
      <c r="G412" s="61"/>
      <c r="H412" s="79"/>
      <c r="I412" s="62" t="s">
        <v>617</v>
      </c>
      <c r="J412" s="53"/>
    </row>
    <row r="413" ht="24.75" hidden="1" customHeight="1">
      <c r="A413" s="54" t="s">
        <v>658</v>
      </c>
      <c r="B413" s="56" t="s">
        <v>692</v>
      </c>
      <c r="C413" s="56" t="s">
        <v>627</v>
      </c>
      <c r="D413" s="56" t="s">
        <v>660</v>
      </c>
      <c r="E413" s="56" t="s">
        <v>672</v>
      </c>
      <c r="F413" s="57" t="s">
        <v>154</v>
      </c>
      <c r="G413" s="61"/>
      <c r="H413" s="79"/>
      <c r="I413" s="62" t="s">
        <v>617</v>
      </c>
      <c r="J413" s="53"/>
    </row>
    <row r="414" ht="24.75" hidden="1" customHeight="1">
      <c r="A414" s="54" t="s">
        <v>658</v>
      </c>
      <c r="B414" s="56" t="s">
        <v>692</v>
      </c>
      <c r="C414" s="56" t="s">
        <v>627</v>
      </c>
      <c r="D414" s="56" t="s">
        <v>660</v>
      </c>
      <c r="E414" s="56" t="s">
        <v>673</v>
      </c>
      <c r="F414" s="57" t="s">
        <v>154</v>
      </c>
      <c r="G414" s="61"/>
      <c r="H414" s="79"/>
      <c r="I414" s="62" t="s">
        <v>617</v>
      </c>
      <c r="J414" s="53"/>
    </row>
    <row r="415" ht="24.75" hidden="1" customHeight="1">
      <c r="A415" s="54" t="s">
        <v>658</v>
      </c>
      <c r="B415" s="56" t="s">
        <v>693</v>
      </c>
      <c r="C415" s="56" t="s">
        <v>627</v>
      </c>
      <c r="D415" s="56" t="s">
        <v>675</v>
      </c>
      <c r="E415" s="56" t="s">
        <v>676</v>
      </c>
      <c r="F415" s="57" t="s">
        <v>34</v>
      </c>
      <c r="G415" s="61"/>
      <c r="H415" s="79"/>
      <c r="I415" s="62"/>
      <c r="J415" s="53"/>
    </row>
    <row r="416" ht="24.75" hidden="1" customHeight="1">
      <c r="A416" s="54" t="s">
        <v>658</v>
      </c>
      <c r="B416" s="56" t="s">
        <v>694</v>
      </c>
      <c r="C416" s="56" t="s">
        <v>627</v>
      </c>
      <c r="D416" s="56" t="s">
        <v>678</v>
      </c>
      <c r="E416" s="56" t="s">
        <v>679</v>
      </c>
      <c r="F416" s="57" t="s">
        <v>34</v>
      </c>
      <c r="G416" s="61"/>
      <c r="H416" s="61" t="s">
        <v>197</v>
      </c>
      <c r="I416" s="62"/>
      <c r="J416" s="53"/>
    </row>
    <row r="417" ht="24.75" hidden="1" customHeight="1">
      <c r="A417" s="54" t="s">
        <v>658</v>
      </c>
      <c r="B417" s="56" t="s">
        <v>694</v>
      </c>
      <c r="C417" s="56" t="s">
        <v>627</v>
      </c>
      <c r="D417" s="56" t="s">
        <v>678</v>
      </c>
      <c r="E417" s="56" t="s">
        <v>680</v>
      </c>
      <c r="F417" s="57" t="s">
        <v>34</v>
      </c>
      <c r="G417" s="61"/>
      <c r="H417" s="79"/>
      <c r="I417" s="62"/>
      <c r="J417" s="53"/>
    </row>
    <row r="418" ht="24.75" hidden="1" customHeight="1">
      <c r="A418" s="54" t="s">
        <v>658</v>
      </c>
      <c r="B418" s="56" t="s">
        <v>694</v>
      </c>
      <c r="C418" s="56" t="s">
        <v>627</v>
      </c>
      <c r="D418" s="56" t="s">
        <v>678</v>
      </c>
      <c r="E418" s="56" t="s">
        <v>683</v>
      </c>
      <c r="F418" s="57" t="s">
        <v>34</v>
      </c>
      <c r="G418" s="61"/>
      <c r="H418" s="79"/>
      <c r="I418" s="62"/>
      <c r="J418" s="53"/>
    </row>
    <row r="419" ht="24.75" hidden="1" customHeight="1">
      <c r="A419" s="54" t="s">
        <v>658</v>
      </c>
      <c r="B419" s="56" t="s">
        <v>694</v>
      </c>
      <c r="C419" s="56" t="s">
        <v>627</v>
      </c>
      <c r="D419" s="56" t="s">
        <v>678</v>
      </c>
      <c r="E419" s="56" t="s">
        <v>684</v>
      </c>
      <c r="F419" s="57" t="s">
        <v>250</v>
      </c>
      <c r="G419" s="61"/>
      <c r="H419" s="61" t="s">
        <v>686</v>
      </c>
      <c r="I419" s="62" t="s">
        <v>687</v>
      </c>
      <c r="J419" s="53"/>
    </row>
    <row r="420" ht="24.75" hidden="1" customHeight="1">
      <c r="A420" s="54" t="s">
        <v>658</v>
      </c>
      <c r="B420" s="56" t="s">
        <v>694</v>
      </c>
      <c r="C420" s="56" t="s">
        <v>627</v>
      </c>
      <c r="D420" s="56" t="s">
        <v>678</v>
      </c>
      <c r="E420" s="56" t="s">
        <v>695</v>
      </c>
      <c r="F420" s="57" t="s">
        <v>250</v>
      </c>
      <c r="G420" s="61"/>
      <c r="H420" s="61" t="s">
        <v>346</v>
      </c>
      <c r="I420" s="62" t="s">
        <v>696</v>
      </c>
      <c r="J420" s="53"/>
    </row>
    <row r="421" ht="24.75" hidden="1" customHeight="1">
      <c r="A421" s="54" t="s">
        <v>658</v>
      </c>
      <c r="B421" s="56" t="s">
        <v>694</v>
      </c>
      <c r="C421" s="56" t="s">
        <v>627</v>
      </c>
      <c r="D421" s="56" t="s">
        <v>678</v>
      </c>
      <c r="E421" s="56" t="s">
        <v>685</v>
      </c>
      <c r="F421" s="57" t="s">
        <v>250</v>
      </c>
      <c r="G421" s="61"/>
      <c r="H421" s="61" t="s">
        <v>200</v>
      </c>
      <c r="I421" s="62" t="s">
        <v>689</v>
      </c>
      <c r="J421" s="53"/>
    </row>
    <row r="422" ht="24.75" hidden="1" customHeight="1">
      <c r="A422" s="54" t="s">
        <v>658</v>
      </c>
      <c r="B422" s="56" t="s">
        <v>697</v>
      </c>
      <c r="C422" s="56" t="s">
        <v>640</v>
      </c>
      <c r="D422" s="56" t="s">
        <v>660</v>
      </c>
      <c r="E422" s="56" t="s">
        <v>661</v>
      </c>
      <c r="F422" s="57" t="s">
        <v>34</v>
      </c>
      <c r="G422" s="61"/>
      <c r="H422" s="79"/>
      <c r="I422" s="62"/>
      <c r="J422" s="53"/>
    </row>
    <row r="423" ht="24.75" hidden="1" customHeight="1">
      <c r="A423" s="54" t="s">
        <v>658</v>
      </c>
      <c r="B423" s="56" t="s">
        <v>697</v>
      </c>
      <c r="C423" s="56" t="s">
        <v>640</v>
      </c>
      <c r="D423" s="56" t="s">
        <v>660</v>
      </c>
      <c r="E423" s="56" t="s">
        <v>662</v>
      </c>
      <c r="F423" s="57" t="s">
        <v>34</v>
      </c>
      <c r="G423" s="61"/>
      <c r="H423" s="79"/>
      <c r="I423" s="62"/>
      <c r="J423" s="53"/>
    </row>
    <row r="424" ht="24.75" hidden="1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663</v>
      </c>
      <c r="F424" s="57" t="s">
        <v>34</v>
      </c>
      <c r="G424" s="61"/>
      <c r="H424" s="79"/>
      <c r="I424" s="62"/>
      <c r="J424" s="53"/>
    </row>
    <row r="425" ht="24.75" hidden="1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664</v>
      </c>
      <c r="F425" s="57" t="s">
        <v>34</v>
      </c>
      <c r="G425" s="61"/>
      <c r="H425" s="79"/>
      <c r="I425" s="62"/>
      <c r="J425" s="53"/>
    </row>
    <row r="426" ht="24.75" hidden="1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665</v>
      </c>
      <c r="F426" s="57" t="s">
        <v>34</v>
      </c>
      <c r="G426" s="61"/>
      <c r="H426" s="79"/>
      <c r="I426" s="62"/>
      <c r="J426" s="53"/>
    </row>
    <row r="427" ht="24.75" hidden="1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614</v>
      </c>
      <c r="F427" s="57" t="s">
        <v>34</v>
      </c>
      <c r="G427" s="61"/>
      <c r="H427" s="79"/>
      <c r="I427" s="62"/>
      <c r="J427" s="53"/>
    </row>
    <row r="428" ht="24.75" hidden="1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666</v>
      </c>
      <c r="F428" s="57" t="s">
        <v>34</v>
      </c>
      <c r="G428" s="61"/>
      <c r="H428" s="79"/>
      <c r="I428" s="62"/>
      <c r="J428" s="53"/>
    </row>
    <row r="429" ht="24.75" hidden="1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667</v>
      </c>
      <c r="F429" s="57" t="s">
        <v>34</v>
      </c>
      <c r="G429" s="61"/>
      <c r="H429" s="79"/>
      <c r="I429" s="62"/>
      <c r="J429" s="53"/>
    </row>
    <row r="430" ht="24.75" hidden="1" customHeight="1">
      <c r="A430" s="54" t="s">
        <v>658</v>
      </c>
      <c r="B430" s="56" t="s">
        <v>697</v>
      </c>
      <c r="C430" s="56" t="s">
        <v>640</v>
      </c>
      <c r="D430" s="56" t="s">
        <v>660</v>
      </c>
      <c r="E430" s="56" t="s">
        <v>668</v>
      </c>
      <c r="F430" s="57" t="s">
        <v>154</v>
      </c>
      <c r="G430" s="61"/>
      <c r="H430" s="79"/>
      <c r="I430" s="62" t="s">
        <v>617</v>
      </c>
      <c r="J430" s="53"/>
    </row>
    <row r="431" ht="24.75" hidden="1" customHeight="1">
      <c r="A431" s="54" t="s">
        <v>658</v>
      </c>
      <c r="B431" s="56" t="s">
        <v>697</v>
      </c>
      <c r="C431" s="56" t="s">
        <v>640</v>
      </c>
      <c r="D431" s="56" t="s">
        <v>660</v>
      </c>
      <c r="E431" s="56" t="s">
        <v>669</v>
      </c>
      <c r="F431" s="57" t="s">
        <v>154</v>
      </c>
      <c r="G431" s="61"/>
      <c r="H431" s="79"/>
      <c r="I431" s="62" t="s">
        <v>617</v>
      </c>
      <c r="J431" s="53"/>
    </row>
    <row r="432" ht="24.75" hidden="1" customHeight="1">
      <c r="A432" s="54" t="s">
        <v>658</v>
      </c>
      <c r="B432" s="56" t="s">
        <v>697</v>
      </c>
      <c r="C432" s="56" t="s">
        <v>640</v>
      </c>
      <c r="D432" s="56" t="s">
        <v>660</v>
      </c>
      <c r="E432" s="56" t="s">
        <v>671</v>
      </c>
      <c r="F432" s="57" t="s">
        <v>154</v>
      </c>
      <c r="G432" s="61"/>
      <c r="H432" s="79"/>
      <c r="I432" s="62" t="s">
        <v>617</v>
      </c>
      <c r="J432" s="53"/>
    </row>
    <row r="433" ht="24.75" hidden="1" customHeight="1">
      <c r="A433" s="54" t="s">
        <v>658</v>
      </c>
      <c r="B433" s="56" t="s">
        <v>697</v>
      </c>
      <c r="C433" s="56" t="s">
        <v>640</v>
      </c>
      <c r="D433" s="56" t="s">
        <v>660</v>
      </c>
      <c r="E433" s="56" t="s">
        <v>672</v>
      </c>
      <c r="F433" s="57" t="s">
        <v>154</v>
      </c>
      <c r="G433" s="61"/>
      <c r="H433" s="79"/>
      <c r="I433" s="62" t="s">
        <v>617</v>
      </c>
      <c r="J433" s="53"/>
    </row>
    <row r="434" ht="24.75" hidden="1" customHeight="1">
      <c r="A434" s="54" t="s">
        <v>658</v>
      </c>
      <c r="B434" s="56" t="s">
        <v>697</v>
      </c>
      <c r="C434" s="56" t="s">
        <v>640</v>
      </c>
      <c r="D434" s="56" t="s">
        <v>660</v>
      </c>
      <c r="E434" s="56" t="s">
        <v>673</v>
      </c>
      <c r="F434" s="57" t="s">
        <v>154</v>
      </c>
      <c r="G434" s="61"/>
      <c r="H434" s="79"/>
      <c r="I434" s="62" t="s">
        <v>617</v>
      </c>
      <c r="J434" s="53"/>
    </row>
    <row r="435" ht="24.75" hidden="1" customHeight="1">
      <c r="A435" s="54" t="s">
        <v>658</v>
      </c>
      <c r="B435" s="56" t="s">
        <v>698</v>
      </c>
      <c r="C435" s="56" t="s">
        <v>640</v>
      </c>
      <c r="D435" s="56" t="s">
        <v>675</v>
      </c>
      <c r="E435" s="56" t="s">
        <v>676</v>
      </c>
      <c r="F435" s="57" t="s">
        <v>34</v>
      </c>
      <c r="G435" s="61"/>
      <c r="H435" s="79"/>
      <c r="I435" s="62"/>
      <c r="J435" s="53"/>
    </row>
    <row r="436" ht="24.75" hidden="1" customHeight="1">
      <c r="A436" s="54" t="s">
        <v>658</v>
      </c>
      <c r="B436" s="56" t="s">
        <v>699</v>
      </c>
      <c r="C436" s="56" t="s">
        <v>640</v>
      </c>
      <c r="D436" s="56" t="s">
        <v>678</v>
      </c>
      <c r="E436" s="56" t="s">
        <v>679</v>
      </c>
      <c r="F436" s="57" t="s">
        <v>34</v>
      </c>
      <c r="G436" s="61"/>
      <c r="H436" s="61" t="s">
        <v>197</v>
      </c>
      <c r="I436" s="62"/>
      <c r="J436" s="53"/>
    </row>
    <row r="437" ht="24.75" hidden="1" customHeight="1">
      <c r="A437" s="54" t="s">
        <v>658</v>
      </c>
      <c r="B437" s="56" t="s">
        <v>699</v>
      </c>
      <c r="C437" s="56" t="s">
        <v>640</v>
      </c>
      <c r="D437" s="56" t="s">
        <v>678</v>
      </c>
      <c r="E437" s="56" t="s">
        <v>680</v>
      </c>
      <c r="F437" s="57" t="s">
        <v>34</v>
      </c>
      <c r="G437" s="61"/>
      <c r="H437" s="79"/>
      <c r="I437" s="62"/>
      <c r="J437" s="53"/>
    </row>
    <row r="438" ht="24.75" hidden="1" customHeight="1">
      <c r="A438" s="54" t="s">
        <v>658</v>
      </c>
      <c r="B438" s="56" t="s">
        <v>699</v>
      </c>
      <c r="C438" s="56" t="s">
        <v>640</v>
      </c>
      <c r="D438" s="56" t="s">
        <v>678</v>
      </c>
      <c r="E438" s="56" t="s">
        <v>682</v>
      </c>
      <c r="F438" s="57" t="s">
        <v>34</v>
      </c>
      <c r="G438" s="61"/>
      <c r="H438" s="79"/>
      <c r="I438" s="62"/>
      <c r="J438" s="53"/>
    </row>
    <row r="439" ht="24.75" hidden="1" customHeight="1">
      <c r="A439" s="54" t="s">
        <v>658</v>
      </c>
      <c r="B439" s="56" t="s">
        <v>699</v>
      </c>
      <c r="C439" s="56" t="s">
        <v>640</v>
      </c>
      <c r="D439" s="56" t="s">
        <v>678</v>
      </c>
      <c r="E439" s="56" t="s">
        <v>683</v>
      </c>
      <c r="F439" s="57" t="s">
        <v>34</v>
      </c>
      <c r="G439" s="61"/>
      <c r="H439" s="79"/>
      <c r="I439" s="62"/>
      <c r="J439" s="53"/>
    </row>
    <row r="440" ht="24.75" hidden="1" customHeight="1">
      <c r="A440" s="54" t="s">
        <v>658</v>
      </c>
      <c r="B440" s="56" t="s">
        <v>699</v>
      </c>
      <c r="C440" s="56" t="s">
        <v>640</v>
      </c>
      <c r="D440" s="56" t="s">
        <v>678</v>
      </c>
      <c r="E440" s="56" t="s">
        <v>684</v>
      </c>
      <c r="F440" s="57" t="s">
        <v>250</v>
      </c>
      <c r="G440" s="61"/>
      <c r="H440" s="61" t="s">
        <v>686</v>
      </c>
      <c r="I440" s="62" t="s">
        <v>687</v>
      </c>
      <c r="J440" s="53"/>
    </row>
    <row r="441" ht="24.75" hidden="1" customHeight="1">
      <c r="A441" s="54" t="s">
        <v>658</v>
      </c>
      <c r="B441" s="56" t="s">
        <v>699</v>
      </c>
      <c r="C441" s="56" t="s">
        <v>640</v>
      </c>
      <c r="D441" s="56" t="s">
        <v>678</v>
      </c>
      <c r="E441" s="56" t="s">
        <v>695</v>
      </c>
      <c r="F441" s="57" t="s">
        <v>250</v>
      </c>
      <c r="G441" s="61"/>
      <c r="H441" s="61" t="s">
        <v>346</v>
      </c>
      <c r="I441" s="62" t="s">
        <v>696</v>
      </c>
      <c r="J441" s="53"/>
    </row>
    <row r="442" ht="24.75" hidden="1" customHeight="1">
      <c r="A442" s="54" t="s">
        <v>658</v>
      </c>
      <c r="B442" s="56" t="s">
        <v>699</v>
      </c>
      <c r="C442" s="56" t="s">
        <v>640</v>
      </c>
      <c r="D442" s="56" t="s">
        <v>678</v>
      </c>
      <c r="E442" s="56" t="s">
        <v>685</v>
      </c>
      <c r="F442" s="57" t="s">
        <v>250</v>
      </c>
      <c r="G442" s="61"/>
      <c r="H442" s="61" t="s">
        <v>200</v>
      </c>
      <c r="I442" s="62" t="s">
        <v>689</v>
      </c>
      <c r="J442" s="53"/>
    </row>
    <row r="443" ht="24.75" hidden="1" customHeight="1">
      <c r="A443" s="54" t="s">
        <v>658</v>
      </c>
      <c r="B443" s="56" t="s">
        <v>700</v>
      </c>
      <c r="C443" s="56" t="s">
        <v>645</v>
      </c>
      <c r="D443" s="56" t="s">
        <v>660</v>
      </c>
      <c r="E443" s="56" t="s">
        <v>661</v>
      </c>
      <c r="F443" s="57" t="s">
        <v>34</v>
      </c>
      <c r="G443" s="61"/>
      <c r="H443" s="79"/>
      <c r="I443" s="62"/>
      <c r="J443" s="53"/>
    </row>
    <row r="444" ht="24.75" hidden="1" customHeight="1">
      <c r="A444" s="54" t="s">
        <v>658</v>
      </c>
      <c r="B444" s="56" t="s">
        <v>700</v>
      </c>
      <c r="C444" s="56" t="s">
        <v>645</v>
      </c>
      <c r="D444" s="56" t="s">
        <v>660</v>
      </c>
      <c r="E444" s="56" t="s">
        <v>662</v>
      </c>
      <c r="F444" s="57" t="s">
        <v>34</v>
      </c>
      <c r="G444" s="61"/>
      <c r="H444" s="61"/>
      <c r="I444" s="62"/>
      <c r="J444" s="53"/>
    </row>
    <row r="445" ht="24.75" hidden="1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663</v>
      </c>
      <c r="F445" s="57" t="s">
        <v>34</v>
      </c>
      <c r="G445" s="61"/>
      <c r="H445" s="61"/>
      <c r="I445" s="62"/>
      <c r="J445" s="53"/>
    </row>
    <row r="446" ht="24.75" hidden="1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664</v>
      </c>
      <c r="F446" s="57" t="s">
        <v>34</v>
      </c>
      <c r="G446" s="61"/>
      <c r="H446" s="79"/>
      <c r="I446" s="62"/>
      <c r="J446" s="53"/>
    </row>
    <row r="447" ht="24.75" hidden="1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665</v>
      </c>
      <c r="F447" s="57" t="s">
        <v>34</v>
      </c>
      <c r="G447" s="61"/>
      <c r="H447" s="79"/>
      <c r="I447" s="62"/>
      <c r="J447" s="53"/>
    </row>
    <row r="448" ht="24.75" hidden="1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614</v>
      </c>
      <c r="F448" s="57" t="s">
        <v>34</v>
      </c>
      <c r="G448" s="61"/>
      <c r="H448" s="79"/>
      <c r="I448" s="62"/>
      <c r="J448" s="53"/>
    </row>
    <row r="449" ht="24.75" hidden="1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666</v>
      </c>
      <c r="F449" s="57" t="s">
        <v>34</v>
      </c>
      <c r="G449" s="61"/>
      <c r="H449" s="79"/>
      <c r="I449" s="62"/>
      <c r="J449" s="53"/>
    </row>
    <row r="450" ht="24.75" hidden="1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667</v>
      </c>
      <c r="F450" s="57" t="s">
        <v>34</v>
      </c>
      <c r="G450" s="61"/>
      <c r="H450" s="61"/>
      <c r="I450" s="62"/>
      <c r="J450" s="53"/>
    </row>
    <row r="451" ht="24.75" hidden="1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668</v>
      </c>
      <c r="F451" s="57" t="s">
        <v>154</v>
      </c>
      <c r="G451" s="61"/>
      <c r="H451" s="61"/>
      <c r="I451" s="62" t="s">
        <v>617</v>
      </c>
      <c r="J451" s="53"/>
    </row>
    <row r="452" ht="24.75" hidden="1" customHeight="1">
      <c r="A452" s="54" t="s">
        <v>658</v>
      </c>
      <c r="B452" s="56" t="s">
        <v>700</v>
      </c>
      <c r="C452" s="56" t="s">
        <v>645</v>
      </c>
      <c r="D452" s="56" t="s">
        <v>660</v>
      </c>
      <c r="E452" s="56" t="s">
        <v>669</v>
      </c>
      <c r="F452" s="57" t="s">
        <v>154</v>
      </c>
      <c r="G452" s="61"/>
      <c r="H452" s="61"/>
      <c r="I452" s="62" t="s">
        <v>617</v>
      </c>
      <c r="J452" s="53"/>
    </row>
    <row r="453" ht="24.75" hidden="1" customHeight="1">
      <c r="A453" s="54" t="s">
        <v>658</v>
      </c>
      <c r="B453" s="56" t="s">
        <v>700</v>
      </c>
      <c r="C453" s="56" t="s">
        <v>645</v>
      </c>
      <c r="D453" s="56" t="s">
        <v>660</v>
      </c>
      <c r="E453" s="56" t="s">
        <v>680</v>
      </c>
      <c r="F453" s="57" t="s">
        <v>154</v>
      </c>
      <c r="G453" s="61"/>
      <c r="H453" s="61"/>
      <c r="I453" s="62" t="s">
        <v>617</v>
      </c>
      <c r="J453" s="53"/>
    </row>
    <row r="454" ht="24.75" hidden="1" customHeight="1">
      <c r="A454" s="54" t="s">
        <v>658</v>
      </c>
      <c r="B454" s="56" t="s">
        <v>700</v>
      </c>
      <c r="C454" s="56" t="s">
        <v>645</v>
      </c>
      <c r="D454" s="56" t="s">
        <v>660</v>
      </c>
      <c r="E454" s="56" t="s">
        <v>671</v>
      </c>
      <c r="F454" s="57" t="s">
        <v>154</v>
      </c>
      <c r="G454" s="61"/>
      <c r="H454" s="79"/>
      <c r="I454" s="62" t="s">
        <v>617</v>
      </c>
      <c r="J454" s="53"/>
    </row>
    <row r="455" ht="24.75" hidden="1" customHeight="1">
      <c r="A455" s="54" t="s">
        <v>658</v>
      </c>
      <c r="B455" s="56" t="s">
        <v>700</v>
      </c>
      <c r="C455" s="56" t="s">
        <v>645</v>
      </c>
      <c r="D455" s="56" t="s">
        <v>660</v>
      </c>
      <c r="E455" s="56" t="s">
        <v>672</v>
      </c>
      <c r="F455" s="57" t="s">
        <v>154</v>
      </c>
      <c r="G455" s="61"/>
      <c r="H455" s="79"/>
      <c r="I455" s="62" t="s">
        <v>617</v>
      </c>
      <c r="J455" s="53"/>
    </row>
    <row r="456" ht="24.75" hidden="1" customHeight="1">
      <c r="A456" s="54" t="s">
        <v>658</v>
      </c>
      <c r="B456" s="56" t="s">
        <v>700</v>
      </c>
      <c r="C456" s="56" t="s">
        <v>645</v>
      </c>
      <c r="D456" s="56" t="s">
        <v>660</v>
      </c>
      <c r="E456" s="56" t="s">
        <v>673</v>
      </c>
      <c r="F456" s="57" t="s">
        <v>154</v>
      </c>
      <c r="G456" s="61"/>
      <c r="H456" s="79"/>
      <c r="I456" s="62" t="s">
        <v>617</v>
      </c>
      <c r="J456" s="53"/>
    </row>
    <row r="457" ht="24.75" hidden="1" customHeight="1">
      <c r="A457" s="54" t="s">
        <v>658</v>
      </c>
      <c r="B457" s="56" t="s">
        <v>703</v>
      </c>
      <c r="C457" s="56" t="s">
        <v>645</v>
      </c>
      <c r="D457" s="56" t="s">
        <v>675</v>
      </c>
      <c r="E457" s="56" t="s">
        <v>676</v>
      </c>
      <c r="F457" s="57" t="s">
        <v>34</v>
      </c>
      <c r="G457" s="61"/>
      <c r="H457" s="79"/>
      <c r="I457" s="62"/>
      <c r="J457" s="53"/>
    </row>
    <row r="458" ht="24.75" hidden="1" customHeight="1">
      <c r="A458" s="54" t="s">
        <v>658</v>
      </c>
      <c r="B458" s="56" t="s">
        <v>704</v>
      </c>
      <c r="C458" s="56" t="s">
        <v>645</v>
      </c>
      <c r="D458" s="56" t="s">
        <v>678</v>
      </c>
      <c r="E458" s="56" t="s">
        <v>679</v>
      </c>
      <c r="F458" s="57" t="s">
        <v>34</v>
      </c>
      <c r="G458" s="61"/>
      <c r="H458" s="61" t="s">
        <v>197</v>
      </c>
      <c r="I458" s="62"/>
      <c r="J458" s="53"/>
    </row>
    <row r="459" ht="24.75" hidden="1" customHeight="1">
      <c r="A459" s="54" t="s">
        <v>658</v>
      </c>
      <c r="B459" s="56" t="s">
        <v>704</v>
      </c>
      <c r="C459" s="56" t="s">
        <v>645</v>
      </c>
      <c r="D459" s="56" t="s">
        <v>678</v>
      </c>
      <c r="E459" s="56" t="s">
        <v>680</v>
      </c>
      <c r="F459" s="57" t="s">
        <v>34</v>
      </c>
      <c r="G459" s="61"/>
      <c r="H459" s="79"/>
      <c r="I459" s="62"/>
      <c r="J459" s="53"/>
    </row>
    <row r="460" ht="24.75" hidden="1" customHeight="1">
      <c r="A460" s="54" t="s">
        <v>658</v>
      </c>
      <c r="B460" s="56" t="s">
        <v>704</v>
      </c>
      <c r="C460" s="56" t="s">
        <v>645</v>
      </c>
      <c r="D460" s="56" t="s">
        <v>678</v>
      </c>
      <c r="E460" s="56" t="s">
        <v>682</v>
      </c>
      <c r="F460" s="57" t="s">
        <v>34</v>
      </c>
      <c r="G460" s="61"/>
      <c r="H460" s="79"/>
      <c r="I460" s="62"/>
      <c r="J460" s="53"/>
    </row>
    <row r="461" ht="24.75" hidden="1" customHeight="1">
      <c r="A461" s="54" t="s">
        <v>658</v>
      </c>
      <c r="B461" s="56" t="s">
        <v>704</v>
      </c>
      <c r="C461" s="56" t="s">
        <v>645</v>
      </c>
      <c r="D461" s="56" t="s">
        <v>678</v>
      </c>
      <c r="E461" s="56" t="s">
        <v>683</v>
      </c>
      <c r="F461" s="57" t="s">
        <v>34</v>
      </c>
      <c r="G461" s="61"/>
      <c r="H461" s="79"/>
      <c r="I461" s="62"/>
      <c r="J461" s="53"/>
    </row>
    <row r="462" ht="24.75" hidden="1" customHeight="1">
      <c r="A462" s="54" t="s">
        <v>658</v>
      </c>
      <c r="B462" s="56" t="s">
        <v>704</v>
      </c>
      <c r="C462" s="56" t="s">
        <v>645</v>
      </c>
      <c r="D462" s="56" t="s">
        <v>678</v>
      </c>
      <c r="E462" s="56" t="s">
        <v>684</v>
      </c>
      <c r="F462" s="57" t="s">
        <v>250</v>
      </c>
      <c r="G462" s="61"/>
      <c r="H462" s="61" t="s">
        <v>686</v>
      </c>
      <c r="I462" s="62" t="s">
        <v>687</v>
      </c>
      <c r="J462" s="53"/>
    </row>
    <row r="463" ht="24.75" hidden="1" customHeight="1">
      <c r="A463" s="54" t="s">
        <v>658</v>
      </c>
      <c r="B463" s="56" t="s">
        <v>704</v>
      </c>
      <c r="C463" s="56" t="s">
        <v>645</v>
      </c>
      <c r="D463" s="56" t="s">
        <v>678</v>
      </c>
      <c r="E463" s="56" t="s">
        <v>695</v>
      </c>
      <c r="F463" s="57" t="s">
        <v>250</v>
      </c>
      <c r="G463" s="61"/>
      <c r="H463" s="61" t="s">
        <v>346</v>
      </c>
      <c r="I463" s="62" t="s">
        <v>696</v>
      </c>
      <c r="J463" s="53"/>
    </row>
    <row r="464" ht="24.75" hidden="1" customHeight="1">
      <c r="A464" s="54" t="s">
        <v>658</v>
      </c>
      <c r="B464" s="56" t="s">
        <v>704</v>
      </c>
      <c r="C464" s="56" t="s">
        <v>645</v>
      </c>
      <c r="D464" s="56" t="s">
        <v>678</v>
      </c>
      <c r="E464" s="56" t="s">
        <v>685</v>
      </c>
      <c r="F464" s="57" t="s">
        <v>250</v>
      </c>
      <c r="G464" s="61"/>
      <c r="H464" s="61" t="s">
        <v>200</v>
      </c>
      <c r="I464" s="62" t="s">
        <v>689</v>
      </c>
      <c r="J464" s="53"/>
    </row>
    <row r="465" ht="24.75" hidden="1" customHeight="1">
      <c r="A465" s="54" t="s">
        <v>658</v>
      </c>
      <c r="B465" s="56" t="s">
        <v>705</v>
      </c>
      <c r="C465" s="56" t="s">
        <v>606</v>
      </c>
      <c r="D465" s="56" t="s">
        <v>660</v>
      </c>
      <c r="E465" s="56" t="s">
        <v>661</v>
      </c>
      <c r="F465" s="57" t="s">
        <v>34</v>
      </c>
      <c r="G465" s="61"/>
      <c r="H465" s="79"/>
      <c r="I465" s="62"/>
      <c r="J465" s="53"/>
    </row>
    <row r="466" ht="24.75" hidden="1" customHeight="1">
      <c r="A466" s="54" t="s">
        <v>658</v>
      </c>
      <c r="B466" s="56" t="s">
        <v>705</v>
      </c>
      <c r="C466" s="56" t="s">
        <v>606</v>
      </c>
      <c r="D466" s="56" t="s">
        <v>660</v>
      </c>
      <c r="E466" s="56" t="s">
        <v>662</v>
      </c>
      <c r="F466" s="57" t="s">
        <v>34</v>
      </c>
      <c r="G466" s="61"/>
      <c r="H466" s="61"/>
      <c r="I466" s="62"/>
      <c r="J466" s="53"/>
    </row>
    <row r="467" ht="24.75" hidden="1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663</v>
      </c>
      <c r="F467" s="57" t="s">
        <v>34</v>
      </c>
      <c r="G467" s="61"/>
      <c r="H467" s="61"/>
      <c r="I467" s="62"/>
      <c r="J467" s="53"/>
    </row>
    <row r="468" ht="24.75" hidden="1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664</v>
      </c>
      <c r="F468" s="57" t="s">
        <v>34</v>
      </c>
      <c r="G468" s="61"/>
      <c r="H468" s="79"/>
      <c r="I468" s="62"/>
      <c r="J468" s="53"/>
    </row>
    <row r="469" ht="24.75" hidden="1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665</v>
      </c>
      <c r="F469" s="57" t="s">
        <v>34</v>
      </c>
      <c r="G469" s="61"/>
      <c r="H469" s="79"/>
      <c r="I469" s="103"/>
      <c r="J469" s="53"/>
    </row>
    <row r="470" ht="24.75" hidden="1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614</v>
      </c>
      <c r="F470" s="57" t="s">
        <v>34</v>
      </c>
      <c r="G470" s="61"/>
      <c r="H470" s="79"/>
      <c r="I470" s="62"/>
      <c r="J470" s="53"/>
    </row>
    <row r="471" ht="24.75" hidden="1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666</v>
      </c>
      <c r="F471" s="57" t="s">
        <v>34</v>
      </c>
      <c r="G471" s="61"/>
      <c r="H471" s="79"/>
      <c r="I471" s="62"/>
      <c r="J471" s="53"/>
    </row>
    <row r="472" ht="24.75" hidden="1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667</v>
      </c>
      <c r="F472" s="57" t="s">
        <v>34</v>
      </c>
      <c r="G472" s="61"/>
      <c r="H472" s="61"/>
      <c r="I472" s="62"/>
      <c r="J472" s="53"/>
    </row>
    <row r="473" ht="24.75" hidden="1" customHeight="1">
      <c r="A473" s="54" t="s">
        <v>658</v>
      </c>
      <c r="B473" s="56" t="s">
        <v>705</v>
      </c>
      <c r="C473" s="56" t="s">
        <v>606</v>
      </c>
      <c r="D473" s="56" t="s">
        <v>660</v>
      </c>
      <c r="E473" s="56" t="s">
        <v>668</v>
      </c>
      <c r="F473" s="57" t="s">
        <v>154</v>
      </c>
      <c r="G473" s="61"/>
      <c r="H473" s="61"/>
      <c r="I473" s="62" t="s">
        <v>617</v>
      </c>
      <c r="J473" s="53"/>
    </row>
    <row r="474" ht="24.75" hidden="1" customHeight="1">
      <c r="A474" s="54" t="s">
        <v>658</v>
      </c>
      <c r="B474" s="56" t="s">
        <v>705</v>
      </c>
      <c r="C474" s="56" t="s">
        <v>606</v>
      </c>
      <c r="D474" s="56" t="s">
        <v>660</v>
      </c>
      <c r="E474" s="56" t="s">
        <v>669</v>
      </c>
      <c r="F474" s="57" t="s">
        <v>154</v>
      </c>
      <c r="G474" s="61"/>
      <c r="H474" s="61"/>
      <c r="I474" s="62" t="s">
        <v>617</v>
      </c>
      <c r="J474" s="53"/>
    </row>
    <row r="475" ht="24.75" hidden="1" customHeight="1">
      <c r="A475" s="54" t="s">
        <v>658</v>
      </c>
      <c r="B475" s="56" t="s">
        <v>705</v>
      </c>
      <c r="C475" s="56" t="s">
        <v>606</v>
      </c>
      <c r="D475" s="56" t="s">
        <v>660</v>
      </c>
      <c r="E475" s="56" t="s">
        <v>671</v>
      </c>
      <c r="F475" s="57" t="s">
        <v>154</v>
      </c>
      <c r="G475" s="61"/>
      <c r="H475" s="61"/>
      <c r="I475" s="62" t="s">
        <v>617</v>
      </c>
      <c r="J475" s="53"/>
    </row>
    <row r="476" ht="24.75" hidden="1" customHeight="1">
      <c r="A476" s="54" t="s">
        <v>658</v>
      </c>
      <c r="B476" s="56" t="s">
        <v>705</v>
      </c>
      <c r="C476" s="56" t="s">
        <v>606</v>
      </c>
      <c r="D476" s="56" t="s">
        <v>660</v>
      </c>
      <c r="E476" s="56" t="s">
        <v>672</v>
      </c>
      <c r="F476" s="57" t="s">
        <v>154</v>
      </c>
      <c r="G476" s="61"/>
      <c r="H476" s="61"/>
      <c r="I476" s="62" t="s">
        <v>617</v>
      </c>
      <c r="J476" s="53"/>
    </row>
    <row r="477" ht="24.75" hidden="1" customHeight="1">
      <c r="A477" s="54" t="s">
        <v>658</v>
      </c>
      <c r="B477" s="56" t="s">
        <v>705</v>
      </c>
      <c r="C477" s="56" t="s">
        <v>606</v>
      </c>
      <c r="D477" s="56" t="s">
        <v>660</v>
      </c>
      <c r="E477" s="56" t="s">
        <v>673</v>
      </c>
      <c r="F477" s="57" t="s">
        <v>154</v>
      </c>
      <c r="G477" s="61"/>
      <c r="H477" s="79"/>
      <c r="I477" s="62" t="s">
        <v>617</v>
      </c>
      <c r="J477" s="53"/>
    </row>
    <row r="478" ht="24.75" hidden="1" customHeight="1">
      <c r="A478" s="54" t="s">
        <v>658</v>
      </c>
      <c r="B478" s="56" t="s">
        <v>714</v>
      </c>
      <c r="C478" s="56" t="s">
        <v>606</v>
      </c>
      <c r="D478" s="56" t="s">
        <v>675</v>
      </c>
      <c r="E478" s="56" t="s">
        <v>676</v>
      </c>
      <c r="F478" s="57" t="s">
        <v>34</v>
      </c>
      <c r="G478" s="61"/>
      <c r="H478" s="79"/>
      <c r="I478" s="62"/>
      <c r="J478" s="53"/>
    </row>
    <row r="479" ht="24.75" hidden="1" customHeight="1">
      <c r="A479" s="54" t="s">
        <v>658</v>
      </c>
      <c r="B479" s="56" t="s">
        <v>715</v>
      </c>
      <c r="C479" s="56" t="s">
        <v>606</v>
      </c>
      <c r="D479" s="56" t="s">
        <v>716</v>
      </c>
      <c r="E479" s="56" t="s">
        <v>679</v>
      </c>
      <c r="F479" s="57" t="s">
        <v>34</v>
      </c>
      <c r="G479" s="61"/>
      <c r="H479" s="61" t="s">
        <v>197</v>
      </c>
      <c r="I479" s="62"/>
      <c r="J479" s="53"/>
    </row>
    <row r="480" ht="24.75" hidden="1" customHeight="1">
      <c r="A480" s="54" t="s">
        <v>658</v>
      </c>
      <c r="B480" s="56" t="s">
        <v>715</v>
      </c>
      <c r="C480" s="56" t="s">
        <v>606</v>
      </c>
      <c r="D480" s="56" t="s">
        <v>678</v>
      </c>
      <c r="E480" s="56" t="s">
        <v>680</v>
      </c>
      <c r="F480" s="57" t="s">
        <v>34</v>
      </c>
      <c r="G480" s="61"/>
      <c r="H480" s="79"/>
      <c r="I480" s="62"/>
      <c r="J480" s="53"/>
    </row>
    <row r="481" ht="24.75" hidden="1" customHeight="1">
      <c r="A481" s="54" t="s">
        <v>658</v>
      </c>
      <c r="B481" s="56" t="s">
        <v>715</v>
      </c>
      <c r="C481" s="56" t="s">
        <v>606</v>
      </c>
      <c r="D481" s="56" t="s">
        <v>716</v>
      </c>
      <c r="E481" s="56" t="s">
        <v>682</v>
      </c>
      <c r="F481" s="57" t="s">
        <v>34</v>
      </c>
      <c r="G481" s="61"/>
      <c r="H481" s="79"/>
      <c r="I481" s="62"/>
      <c r="J481" s="53"/>
    </row>
    <row r="482" ht="24.75" hidden="1" customHeight="1">
      <c r="A482" s="54" t="s">
        <v>658</v>
      </c>
      <c r="B482" s="56" t="s">
        <v>715</v>
      </c>
      <c r="C482" s="56" t="s">
        <v>606</v>
      </c>
      <c r="D482" s="56" t="s">
        <v>716</v>
      </c>
      <c r="E482" s="56" t="s">
        <v>683</v>
      </c>
      <c r="F482" s="57" t="s">
        <v>34</v>
      </c>
      <c r="G482" s="61"/>
      <c r="H482" s="79"/>
      <c r="I482" s="62"/>
      <c r="J482" s="53"/>
    </row>
    <row r="483" ht="24.75" hidden="1" customHeight="1">
      <c r="A483" s="54" t="s">
        <v>658</v>
      </c>
      <c r="B483" s="56" t="s">
        <v>715</v>
      </c>
      <c r="C483" s="56" t="s">
        <v>606</v>
      </c>
      <c r="D483" s="56" t="s">
        <v>716</v>
      </c>
      <c r="E483" s="56" t="s">
        <v>684</v>
      </c>
      <c r="F483" s="57" t="s">
        <v>250</v>
      </c>
      <c r="G483" s="61"/>
      <c r="H483" s="61" t="s">
        <v>686</v>
      </c>
      <c r="I483" s="62" t="s">
        <v>687</v>
      </c>
      <c r="J483" s="53"/>
    </row>
    <row r="484" ht="24.75" hidden="1" customHeight="1">
      <c r="A484" s="54" t="s">
        <v>658</v>
      </c>
      <c r="B484" s="56" t="s">
        <v>715</v>
      </c>
      <c r="C484" s="56" t="s">
        <v>606</v>
      </c>
      <c r="D484" s="56" t="s">
        <v>716</v>
      </c>
      <c r="E484" s="56" t="s">
        <v>695</v>
      </c>
      <c r="F484" s="57" t="s">
        <v>250</v>
      </c>
      <c r="G484" s="61"/>
      <c r="H484" s="61" t="s">
        <v>346</v>
      </c>
      <c r="I484" s="62" t="s">
        <v>696</v>
      </c>
      <c r="J484" s="53"/>
    </row>
    <row r="485" ht="24.75" hidden="1" customHeight="1">
      <c r="A485" s="54" t="s">
        <v>658</v>
      </c>
      <c r="B485" s="56" t="s">
        <v>715</v>
      </c>
      <c r="C485" s="56" t="s">
        <v>606</v>
      </c>
      <c r="D485" s="56" t="s">
        <v>716</v>
      </c>
      <c r="E485" s="56" t="s">
        <v>685</v>
      </c>
      <c r="F485" s="57" t="s">
        <v>250</v>
      </c>
      <c r="G485" s="61"/>
      <c r="H485" s="61" t="s">
        <v>200</v>
      </c>
      <c r="I485" s="62" t="s">
        <v>689</v>
      </c>
      <c r="J485" s="53"/>
    </row>
    <row r="486" ht="24.75" hidden="1" customHeight="1">
      <c r="A486" s="54" t="s">
        <v>658</v>
      </c>
      <c r="B486" s="56" t="s">
        <v>717</v>
      </c>
      <c r="C486" s="56" t="s">
        <v>718</v>
      </c>
      <c r="D486" s="56" t="s">
        <v>719</v>
      </c>
      <c r="E486" s="56" t="s">
        <v>239</v>
      </c>
      <c r="F486" s="57" t="s">
        <v>154</v>
      </c>
      <c r="G486" s="61"/>
      <c r="H486" s="79"/>
      <c r="I486" s="62" t="s">
        <v>207</v>
      </c>
      <c r="J486" s="53"/>
    </row>
    <row r="487" ht="24.75" hidden="1" customHeight="1">
      <c r="A487" s="54" t="s">
        <v>658</v>
      </c>
      <c r="B487" s="56" t="s">
        <v>720</v>
      </c>
      <c r="C487" s="56" t="s">
        <v>718</v>
      </c>
      <c r="D487" s="56" t="s">
        <v>721</v>
      </c>
      <c r="E487" s="56" t="s">
        <v>722</v>
      </c>
      <c r="F487" s="57" t="s">
        <v>154</v>
      </c>
      <c r="G487" s="61"/>
      <c r="H487" s="79"/>
      <c r="I487" s="62"/>
      <c r="J487" s="53"/>
    </row>
    <row r="488" ht="24.75" hidden="1" customHeight="1">
      <c r="A488" s="54" t="s">
        <v>658</v>
      </c>
      <c r="B488" s="56" t="s">
        <v>720</v>
      </c>
      <c r="C488" s="56" t="s">
        <v>718</v>
      </c>
      <c r="D488" s="56" t="s">
        <v>721</v>
      </c>
      <c r="E488" s="56" t="s">
        <v>723</v>
      </c>
      <c r="F488" s="57" t="s">
        <v>154</v>
      </c>
      <c r="G488" s="61"/>
      <c r="H488" s="79"/>
      <c r="I488" s="62"/>
      <c r="J488" s="53"/>
    </row>
    <row r="489" ht="24.75" hidden="1" customHeight="1">
      <c r="A489" s="54" t="s">
        <v>658</v>
      </c>
      <c r="B489" s="56" t="s">
        <v>724</v>
      </c>
      <c r="C489" s="56" t="s">
        <v>718</v>
      </c>
      <c r="D489" s="56" t="s">
        <v>725</v>
      </c>
      <c r="E489" s="56" t="s">
        <v>239</v>
      </c>
      <c r="F489" s="57" t="s">
        <v>154</v>
      </c>
      <c r="G489" s="61"/>
      <c r="H489" s="79"/>
      <c r="I489" s="62" t="s">
        <v>207</v>
      </c>
      <c r="J489" s="53"/>
    </row>
    <row r="490" ht="24.75" hidden="1" customHeight="1">
      <c r="A490" s="54" t="s">
        <v>658</v>
      </c>
      <c r="B490" s="56" t="s">
        <v>720</v>
      </c>
      <c r="C490" s="56" t="s">
        <v>718</v>
      </c>
      <c r="D490" s="56" t="s">
        <v>728</v>
      </c>
      <c r="E490" s="56" t="s">
        <v>722</v>
      </c>
      <c r="F490" s="57" t="s">
        <v>154</v>
      </c>
      <c r="G490" s="61"/>
      <c r="H490" s="79"/>
      <c r="I490" s="62"/>
      <c r="J490" s="53"/>
    </row>
    <row r="491" ht="24.75" hidden="1" customHeight="1">
      <c r="A491" s="54" t="s">
        <v>658</v>
      </c>
      <c r="B491" s="56" t="s">
        <v>720</v>
      </c>
      <c r="C491" s="56" t="s">
        <v>718</v>
      </c>
      <c r="D491" s="56" t="s">
        <v>728</v>
      </c>
      <c r="E491" s="56" t="s">
        <v>723</v>
      </c>
      <c r="F491" s="57" t="s">
        <v>154</v>
      </c>
      <c r="G491" s="61"/>
      <c r="H491" s="79"/>
      <c r="I491" s="62"/>
      <c r="J491" s="53"/>
    </row>
    <row r="492" ht="24.75" hidden="1" customHeight="1">
      <c r="A492" s="54" t="s">
        <v>729</v>
      </c>
      <c r="B492" s="56" t="s">
        <v>730</v>
      </c>
      <c r="C492" s="56" t="s">
        <v>731</v>
      </c>
      <c r="D492" s="56" t="s">
        <v>732</v>
      </c>
      <c r="E492" s="56" t="s">
        <v>167</v>
      </c>
      <c r="F492" s="57" t="s">
        <v>154</v>
      </c>
      <c r="G492" s="61"/>
      <c r="H492" s="61"/>
      <c r="I492" s="62"/>
      <c r="J492" s="53"/>
    </row>
    <row r="493" ht="24.75" hidden="1" customHeight="1">
      <c r="A493" s="54" t="s">
        <v>729</v>
      </c>
      <c r="B493" s="56" t="s">
        <v>730</v>
      </c>
      <c r="C493" s="56" t="s">
        <v>731</v>
      </c>
      <c r="D493" s="56" t="s">
        <v>732</v>
      </c>
      <c r="E493" s="56" t="s">
        <v>733</v>
      </c>
      <c r="F493" s="57" t="s">
        <v>154</v>
      </c>
      <c r="G493" s="61"/>
      <c r="H493" s="61"/>
      <c r="I493" s="62"/>
      <c r="J493" s="53"/>
    </row>
    <row r="494" ht="24.75" hidden="1" customHeight="1">
      <c r="A494" s="54" t="s">
        <v>729</v>
      </c>
      <c r="B494" s="56" t="s">
        <v>730</v>
      </c>
      <c r="C494" s="56" t="s">
        <v>731</v>
      </c>
      <c r="D494" s="56" t="s">
        <v>732</v>
      </c>
      <c r="E494" s="56" t="s">
        <v>176</v>
      </c>
      <c r="F494" s="57" t="s">
        <v>154</v>
      </c>
      <c r="G494" s="61"/>
      <c r="H494" s="61"/>
      <c r="I494" s="62"/>
      <c r="J494" s="53"/>
    </row>
    <row r="495" ht="24.75" hidden="1" customHeight="1">
      <c r="A495" s="54" t="s">
        <v>729</v>
      </c>
      <c r="B495" s="56" t="s">
        <v>734</v>
      </c>
      <c r="C495" s="56" t="s">
        <v>731</v>
      </c>
      <c r="D495" s="56" t="s">
        <v>735</v>
      </c>
      <c r="E495" s="56" t="s">
        <v>167</v>
      </c>
      <c r="F495" s="57" t="s">
        <v>154</v>
      </c>
      <c r="G495" s="61"/>
      <c r="H495" s="61"/>
      <c r="I495" s="62"/>
      <c r="J495" s="53"/>
    </row>
    <row r="496" ht="24.75" hidden="1" customHeight="1">
      <c r="A496" s="54" t="s">
        <v>729</v>
      </c>
      <c r="B496" s="56" t="s">
        <v>734</v>
      </c>
      <c r="C496" s="56" t="s">
        <v>731</v>
      </c>
      <c r="D496" s="56" t="s">
        <v>735</v>
      </c>
      <c r="E496" s="56" t="s">
        <v>733</v>
      </c>
      <c r="F496" s="57" t="s">
        <v>154</v>
      </c>
      <c r="G496" s="61"/>
      <c r="H496" s="61"/>
      <c r="I496" s="62"/>
      <c r="J496" s="53"/>
    </row>
    <row r="497" ht="24.75" hidden="1" customHeight="1">
      <c r="A497" s="54" t="s">
        <v>729</v>
      </c>
      <c r="B497" s="56" t="s">
        <v>734</v>
      </c>
      <c r="C497" s="56" t="s">
        <v>731</v>
      </c>
      <c r="D497" s="56" t="s">
        <v>735</v>
      </c>
      <c r="E497" s="56" t="s">
        <v>176</v>
      </c>
      <c r="F497" s="57" t="s">
        <v>154</v>
      </c>
      <c r="G497" s="61"/>
      <c r="H497" s="61"/>
      <c r="I497" s="62"/>
      <c r="J497" s="53"/>
    </row>
    <row r="498" ht="24.75" hidden="1" customHeight="1">
      <c r="A498" s="54" t="s">
        <v>729</v>
      </c>
      <c r="B498" s="56" t="s">
        <v>736</v>
      </c>
      <c r="C498" s="56" t="s">
        <v>731</v>
      </c>
      <c r="D498" s="56" t="s">
        <v>737</v>
      </c>
      <c r="E498" s="56" t="s">
        <v>167</v>
      </c>
      <c r="F498" s="57" t="s">
        <v>154</v>
      </c>
      <c r="G498" s="61"/>
      <c r="H498" s="61"/>
      <c r="I498" s="62"/>
      <c r="J498" s="53"/>
    </row>
    <row r="499" ht="24.75" hidden="1" customHeight="1">
      <c r="A499" s="54" t="s">
        <v>729</v>
      </c>
      <c r="B499" s="56" t="s">
        <v>736</v>
      </c>
      <c r="C499" s="56" t="s">
        <v>731</v>
      </c>
      <c r="D499" s="56" t="s">
        <v>737</v>
      </c>
      <c r="E499" s="56" t="s">
        <v>733</v>
      </c>
      <c r="F499" s="57" t="s">
        <v>154</v>
      </c>
      <c r="G499" s="61"/>
      <c r="H499" s="61"/>
      <c r="I499" s="62"/>
      <c r="J499" s="53"/>
    </row>
    <row r="500" ht="24.75" hidden="1" customHeight="1">
      <c r="A500" s="54" t="s">
        <v>729</v>
      </c>
      <c r="B500" s="56" t="s">
        <v>736</v>
      </c>
      <c r="C500" s="56" t="s">
        <v>731</v>
      </c>
      <c r="D500" s="56" t="s">
        <v>737</v>
      </c>
      <c r="E500" s="56" t="s">
        <v>176</v>
      </c>
      <c r="F500" s="57" t="s">
        <v>154</v>
      </c>
      <c r="G500" s="61"/>
      <c r="H500" s="61"/>
      <c r="I500" s="62"/>
      <c r="J500" s="53"/>
    </row>
    <row r="501" ht="24.75" hidden="1" customHeight="1">
      <c r="A501" s="54" t="s">
        <v>729</v>
      </c>
      <c r="B501" s="56" t="s">
        <v>738</v>
      </c>
      <c r="C501" s="56" t="s">
        <v>731</v>
      </c>
      <c r="D501" s="56" t="s">
        <v>175</v>
      </c>
      <c r="E501" s="56" t="s">
        <v>163</v>
      </c>
      <c r="F501" s="57" t="s">
        <v>154</v>
      </c>
      <c r="G501" s="61"/>
      <c r="H501" s="61"/>
      <c r="I501" s="62"/>
      <c r="J501" s="53"/>
    </row>
    <row r="502" ht="24.75" hidden="1" customHeight="1">
      <c r="A502" s="54" t="s">
        <v>729</v>
      </c>
      <c r="B502" s="56" t="s">
        <v>738</v>
      </c>
      <c r="C502" s="56" t="s">
        <v>731</v>
      </c>
      <c r="D502" s="56" t="s">
        <v>175</v>
      </c>
      <c r="E502" s="56" t="s">
        <v>176</v>
      </c>
      <c r="F502" s="57" t="s">
        <v>154</v>
      </c>
      <c r="G502" s="61"/>
      <c r="H502" s="61"/>
      <c r="I502" s="62"/>
      <c r="J502" s="53"/>
    </row>
    <row r="503" ht="24.75" hidden="1" customHeight="1">
      <c r="A503" s="54" t="s">
        <v>729</v>
      </c>
      <c r="B503" s="56" t="s">
        <v>739</v>
      </c>
      <c r="C503" s="56" t="s">
        <v>731</v>
      </c>
      <c r="D503" s="56" t="s">
        <v>186</v>
      </c>
      <c r="E503" s="56" t="s">
        <v>163</v>
      </c>
      <c r="F503" s="57" t="s">
        <v>154</v>
      </c>
      <c r="G503" s="61"/>
      <c r="H503" s="61"/>
      <c r="I503" s="62"/>
      <c r="J503" s="53"/>
    </row>
    <row r="504" ht="24.75" hidden="1" customHeight="1">
      <c r="A504" s="54" t="s">
        <v>729</v>
      </c>
      <c r="B504" s="56" t="s">
        <v>739</v>
      </c>
      <c r="C504" s="56" t="s">
        <v>731</v>
      </c>
      <c r="D504" s="56" t="s">
        <v>186</v>
      </c>
      <c r="E504" s="56" t="s">
        <v>176</v>
      </c>
      <c r="F504" s="57" t="s">
        <v>154</v>
      </c>
      <c r="G504" s="61"/>
      <c r="H504" s="61"/>
      <c r="I504" s="62"/>
      <c r="J504" s="53"/>
    </row>
    <row r="505" ht="24.75" hidden="1" customHeight="1">
      <c r="A505" s="54" t="s">
        <v>729</v>
      </c>
      <c r="B505" s="56" t="s">
        <v>740</v>
      </c>
      <c r="C505" s="56" t="s">
        <v>731</v>
      </c>
      <c r="D505" s="56" t="s">
        <v>183</v>
      </c>
      <c r="E505" s="56" t="s">
        <v>163</v>
      </c>
      <c r="F505" s="57" t="s">
        <v>154</v>
      </c>
      <c r="G505" s="61"/>
      <c r="H505" s="61"/>
      <c r="I505" s="62"/>
      <c r="J505" s="53"/>
    </row>
    <row r="506" ht="24.75" hidden="1" customHeight="1">
      <c r="A506" s="54" t="s">
        <v>729</v>
      </c>
      <c r="B506" s="56" t="s">
        <v>740</v>
      </c>
      <c r="C506" s="56" t="s">
        <v>731</v>
      </c>
      <c r="D506" s="56" t="s">
        <v>183</v>
      </c>
      <c r="E506" s="56" t="s">
        <v>176</v>
      </c>
      <c r="F506" s="57" t="s">
        <v>154</v>
      </c>
      <c r="G506" s="61"/>
      <c r="H506" s="61"/>
      <c r="I506" s="62"/>
      <c r="J506" s="53"/>
    </row>
    <row r="507" ht="24.75" hidden="1" customHeight="1">
      <c r="A507" s="54" t="s">
        <v>741</v>
      </c>
      <c r="B507" s="56" t="s">
        <v>742</v>
      </c>
      <c r="C507" s="56" t="s">
        <v>405</v>
      </c>
      <c r="D507" s="56" t="s">
        <v>743</v>
      </c>
      <c r="E507" s="56" t="s">
        <v>409</v>
      </c>
      <c r="F507" s="57" t="s">
        <v>154</v>
      </c>
      <c r="G507" s="61"/>
      <c r="H507" s="61"/>
      <c r="I507" s="62"/>
      <c r="J507" s="53"/>
    </row>
    <row r="508" ht="24.75" hidden="1" customHeight="1">
      <c r="A508" s="54" t="s">
        <v>741</v>
      </c>
      <c r="B508" s="56" t="s">
        <v>744</v>
      </c>
      <c r="C508" s="56" t="s">
        <v>745</v>
      </c>
      <c r="D508" s="56" t="s">
        <v>746</v>
      </c>
      <c r="E508" s="56" t="s">
        <v>747</v>
      </c>
      <c r="F508" s="57" t="s">
        <v>34</v>
      </c>
      <c r="G508" s="61"/>
      <c r="H508" s="61"/>
      <c r="I508" s="62"/>
      <c r="J508" s="53"/>
    </row>
    <row r="509" ht="24.75" hidden="1" customHeight="1">
      <c r="A509" s="54" t="s">
        <v>741</v>
      </c>
      <c r="B509" s="56" t="s">
        <v>744</v>
      </c>
      <c r="C509" s="56" t="s">
        <v>745</v>
      </c>
      <c r="D509" s="56" t="s">
        <v>746</v>
      </c>
      <c r="E509" s="56" t="s">
        <v>748</v>
      </c>
      <c r="F509" s="57" t="s">
        <v>154</v>
      </c>
      <c r="G509" s="61"/>
      <c r="H509" s="61"/>
      <c r="I509" s="62"/>
      <c r="J509" s="53"/>
    </row>
    <row r="510" ht="24.75" hidden="1" customHeight="1">
      <c r="A510" s="54" t="s">
        <v>741</v>
      </c>
      <c r="B510" s="56" t="s">
        <v>749</v>
      </c>
      <c r="C510" s="56" t="s">
        <v>745</v>
      </c>
      <c r="D510" s="56" t="s">
        <v>750</v>
      </c>
      <c r="E510" s="56" t="s">
        <v>747</v>
      </c>
      <c r="F510" s="57" t="s">
        <v>34</v>
      </c>
      <c r="G510" s="61"/>
      <c r="H510" s="61"/>
      <c r="I510" s="62" t="s">
        <v>617</v>
      </c>
      <c r="J510" s="53"/>
    </row>
    <row r="511" ht="24.75" hidden="1" customHeight="1">
      <c r="A511" s="54" t="s">
        <v>741</v>
      </c>
      <c r="B511" s="56" t="s">
        <v>749</v>
      </c>
      <c r="C511" s="56" t="s">
        <v>745</v>
      </c>
      <c r="D511" s="56" t="s">
        <v>750</v>
      </c>
      <c r="E511" s="56" t="s">
        <v>748</v>
      </c>
      <c r="F511" s="57" t="s">
        <v>154</v>
      </c>
      <c r="G511" s="61"/>
      <c r="H511" s="61"/>
      <c r="I511" s="62" t="s">
        <v>617</v>
      </c>
      <c r="J511" s="53"/>
    </row>
    <row r="512" ht="24.75" hidden="1" customHeight="1">
      <c r="A512" s="54" t="s">
        <v>741</v>
      </c>
      <c r="B512" s="56" t="s">
        <v>751</v>
      </c>
      <c r="C512" s="56" t="s">
        <v>610</v>
      </c>
      <c r="D512" s="56" t="s">
        <v>752</v>
      </c>
      <c r="E512" s="56" t="s">
        <v>753</v>
      </c>
      <c r="F512" s="57" t="s">
        <v>154</v>
      </c>
      <c r="G512" s="61"/>
      <c r="H512" s="61"/>
      <c r="I512" s="62" t="s">
        <v>617</v>
      </c>
      <c r="J512" s="53"/>
    </row>
    <row r="513" ht="24.75" hidden="1" customHeight="1">
      <c r="A513" s="54" t="s">
        <v>741</v>
      </c>
      <c r="B513" s="56" t="s">
        <v>751</v>
      </c>
      <c r="C513" s="56" t="s">
        <v>610</v>
      </c>
      <c r="D513" s="56" t="s">
        <v>752</v>
      </c>
      <c r="E513" s="56" t="s">
        <v>754</v>
      </c>
      <c r="F513" s="57" t="s">
        <v>154</v>
      </c>
      <c r="G513" s="61"/>
      <c r="H513" s="61"/>
      <c r="I513" s="62" t="s">
        <v>617</v>
      </c>
      <c r="J513" s="53"/>
    </row>
    <row r="514" ht="24.75" hidden="1" customHeight="1">
      <c r="A514" s="54" t="s">
        <v>741</v>
      </c>
      <c r="B514" s="56" t="s">
        <v>751</v>
      </c>
      <c r="C514" s="56" t="s">
        <v>610</v>
      </c>
      <c r="D514" s="56" t="s">
        <v>752</v>
      </c>
      <c r="E514" s="56" t="s">
        <v>755</v>
      </c>
      <c r="F514" s="57" t="s">
        <v>154</v>
      </c>
      <c r="G514" s="61"/>
      <c r="H514" s="61"/>
      <c r="I514" s="62" t="s">
        <v>617</v>
      </c>
      <c r="J514" s="53"/>
    </row>
    <row r="515" ht="24.75" hidden="1" customHeight="1">
      <c r="A515" s="54" t="s">
        <v>741</v>
      </c>
      <c r="B515" s="56" t="s">
        <v>756</v>
      </c>
      <c r="C515" s="56" t="s">
        <v>624</v>
      </c>
      <c r="D515" s="56" t="s">
        <v>752</v>
      </c>
      <c r="E515" s="56" t="s">
        <v>753</v>
      </c>
      <c r="F515" s="57" t="s">
        <v>154</v>
      </c>
      <c r="G515" s="61"/>
      <c r="H515" s="61"/>
      <c r="I515" s="62" t="s">
        <v>617</v>
      </c>
      <c r="J515" s="53"/>
    </row>
    <row r="516" ht="24.75" hidden="1" customHeight="1">
      <c r="A516" s="54" t="s">
        <v>741</v>
      </c>
      <c r="B516" s="56" t="s">
        <v>756</v>
      </c>
      <c r="C516" s="56" t="s">
        <v>624</v>
      </c>
      <c r="D516" s="56" t="s">
        <v>752</v>
      </c>
      <c r="E516" s="56" t="s">
        <v>754</v>
      </c>
      <c r="F516" s="57" t="s">
        <v>154</v>
      </c>
      <c r="G516" s="61"/>
      <c r="H516" s="61"/>
      <c r="I516" s="62" t="s">
        <v>617</v>
      </c>
      <c r="J516" s="53"/>
    </row>
    <row r="517" ht="24.75" hidden="1" customHeight="1">
      <c r="A517" s="54" t="s">
        <v>741</v>
      </c>
      <c r="B517" s="56" t="s">
        <v>756</v>
      </c>
      <c r="C517" s="56" t="s">
        <v>624</v>
      </c>
      <c r="D517" s="56" t="s">
        <v>752</v>
      </c>
      <c r="E517" s="56" t="s">
        <v>755</v>
      </c>
      <c r="F517" s="57" t="s">
        <v>154</v>
      </c>
      <c r="G517" s="61"/>
      <c r="H517" s="61"/>
      <c r="I517" s="62" t="s">
        <v>617</v>
      </c>
      <c r="J517" s="53"/>
    </row>
    <row r="518" ht="24.75" hidden="1" customHeight="1">
      <c r="A518" s="54" t="s">
        <v>741</v>
      </c>
      <c r="B518" s="56" t="s">
        <v>757</v>
      </c>
      <c r="C518" s="56" t="s">
        <v>627</v>
      </c>
      <c r="D518" s="56" t="s">
        <v>752</v>
      </c>
      <c r="E518" s="56" t="s">
        <v>753</v>
      </c>
      <c r="F518" s="57" t="s">
        <v>250</v>
      </c>
      <c r="G518" s="61"/>
      <c r="H518" s="61"/>
      <c r="I518" s="60" t="s">
        <v>88</v>
      </c>
      <c r="J518" s="53"/>
    </row>
    <row r="519" ht="24.75" hidden="1" customHeight="1">
      <c r="A519" s="54" t="s">
        <v>741</v>
      </c>
      <c r="B519" s="56" t="s">
        <v>757</v>
      </c>
      <c r="C519" s="56" t="s">
        <v>627</v>
      </c>
      <c r="D519" s="56" t="s">
        <v>752</v>
      </c>
      <c r="E519" s="56" t="s">
        <v>754</v>
      </c>
      <c r="F519" s="57" t="s">
        <v>250</v>
      </c>
      <c r="G519" s="61"/>
      <c r="H519" s="61"/>
      <c r="I519" s="60" t="s">
        <v>88</v>
      </c>
      <c r="J519" s="53"/>
    </row>
    <row r="520" ht="24.75" hidden="1" customHeight="1">
      <c r="A520" s="54" t="s">
        <v>741</v>
      </c>
      <c r="B520" s="56" t="s">
        <v>757</v>
      </c>
      <c r="C520" s="56" t="s">
        <v>627</v>
      </c>
      <c r="D520" s="56" t="s">
        <v>752</v>
      </c>
      <c r="E520" s="56" t="s">
        <v>755</v>
      </c>
      <c r="F520" s="57" t="s">
        <v>250</v>
      </c>
      <c r="G520" s="61"/>
      <c r="H520" s="61"/>
      <c r="I520" s="60" t="s">
        <v>88</v>
      </c>
      <c r="J520" s="53"/>
    </row>
    <row r="521" ht="24.75" hidden="1" customHeight="1">
      <c r="A521" s="54" t="s">
        <v>741</v>
      </c>
      <c r="B521" s="56" t="s">
        <v>758</v>
      </c>
      <c r="C521" s="56" t="s">
        <v>640</v>
      </c>
      <c r="D521" s="56" t="s">
        <v>752</v>
      </c>
      <c r="E521" s="56" t="s">
        <v>753</v>
      </c>
      <c r="F521" s="57" t="s">
        <v>250</v>
      </c>
      <c r="G521" s="61"/>
      <c r="H521" s="61"/>
      <c r="I521" s="60" t="s">
        <v>88</v>
      </c>
      <c r="J521" s="53"/>
    </row>
    <row r="522" ht="24.75" hidden="1" customHeight="1">
      <c r="A522" s="54" t="s">
        <v>741</v>
      </c>
      <c r="B522" s="56" t="s">
        <v>758</v>
      </c>
      <c r="C522" s="56" t="s">
        <v>640</v>
      </c>
      <c r="D522" s="56" t="s">
        <v>752</v>
      </c>
      <c r="E522" s="56" t="s">
        <v>754</v>
      </c>
      <c r="F522" s="57" t="s">
        <v>250</v>
      </c>
      <c r="G522" s="61"/>
      <c r="H522" s="61"/>
      <c r="I522" s="60" t="s">
        <v>88</v>
      </c>
      <c r="J522" s="53"/>
    </row>
    <row r="523" ht="24.75" hidden="1" customHeight="1">
      <c r="A523" s="54" t="s">
        <v>741</v>
      </c>
      <c r="B523" s="56" t="s">
        <v>758</v>
      </c>
      <c r="C523" s="56" t="s">
        <v>640</v>
      </c>
      <c r="D523" s="56" t="s">
        <v>752</v>
      </c>
      <c r="E523" s="56" t="s">
        <v>755</v>
      </c>
      <c r="F523" s="57" t="s">
        <v>250</v>
      </c>
      <c r="G523" s="61"/>
      <c r="H523" s="61"/>
      <c r="I523" s="60" t="s">
        <v>88</v>
      </c>
      <c r="J523" s="53"/>
    </row>
    <row r="524" ht="24.75" hidden="1" customHeight="1">
      <c r="A524" s="54" t="s">
        <v>741</v>
      </c>
      <c r="B524" s="56" t="s">
        <v>759</v>
      </c>
      <c r="C524" s="56" t="s">
        <v>645</v>
      </c>
      <c r="D524" s="56" t="s">
        <v>752</v>
      </c>
      <c r="E524" s="56" t="s">
        <v>753</v>
      </c>
      <c r="F524" s="57" t="s">
        <v>250</v>
      </c>
      <c r="G524" s="61"/>
      <c r="H524" s="61"/>
      <c r="I524" s="60" t="s">
        <v>88</v>
      </c>
      <c r="J524" s="53"/>
    </row>
    <row r="525" ht="24.75" hidden="1" customHeight="1">
      <c r="A525" s="54" t="s">
        <v>741</v>
      </c>
      <c r="B525" s="56" t="s">
        <v>759</v>
      </c>
      <c r="C525" s="56" t="s">
        <v>645</v>
      </c>
      <c r="D525" s="56" t="s">
        <v>752</v>
      </c>
      <c r="E525" s="56" t="s">
        <v>754</v>
      </c>
      <c r="F525" s="57" t="s">
        <v>250</v>
      </c>
      <c r="G525" s="61"/>
      <c r="H525" s="61"/>
      <c r="I525" s="60" t="s">
        <v>88</v>
      </c>
      <c r="J525" s="53"/>
    </row>
    <row r="526" ht="24.75" hidden="1" customHeight="1">
      <c r="A526" s="54" t="s">
        <v>741</v>
      </c>
      <c r="B526" s="56" t="s">
        <v>759</v>
      </c>
      <c r="C526" s="56" t="s">
        <v>645</v>
      </c>
      <c r="D526" s="56" t="s">
        <v>752</v>
      </c>
      <c r="E526" s="56" t="s">
        <v>755</v>
      </c>
      <c r="F526" s="57" t="s">
        <v>250</v>
      </c>
      <c r="G526" s="61"/>
      <c r="H526" s="61"/>
      <c r="I526" s="60" t="s">
        <v>88</v>
      </c>
      <c r="J526" s="53"/>
    </row>
    <row r="527" ht="24.75" hidden="1" customHeight="1">
      <c r="A527" s="54" t="s">
        <v>741</v>
      </c>
      <c r="B527" s="56" t="s">
        <v>760</v>
      </c>
      <c r="C527" s="56" t="s">
        <v>606</v>
      </c>
      <c r="D527" s="56" t="s">
        <v>752</v>
      </c>
      <c r="E527" s="56" t="s">
        <v>753</v>
      </c>
      <c r="F527" s="57" t="s">
        <v>250</v>
      </c>
      <c r="G527" s="61"/>
      <c r="H527" s="61"/>
      <c r="I527" s="60" t="s">
        <v>88</v>
      </c>
      <c r="J527" s="53"/>
    </row>
    <row r="528" ht="24.75" hidden="1" customHeight="1">
      <c r="A528" s="54" t="s">
        <v>741</v>
      </c>
      <c r="B528" s="56" t="s">
        <v>760</v>
      </c>
      <c r="C528" s="56" t="s">
        <v>606</v>
      </c>
      <c r="D528" s="56" t="s">
        <v>752</v>
      </c>
      <c r="E528" s="56" t="s">
        <v>754</v>
      </c>
      <c r="F528" s="57" t="s">
        <v>250</v>
      </c>
      <c r="G528" s="61"/>
      <c r="H528" s="61"/>
      <c r="I528" s="60" t="s">
        <v>88</v>
      </c>
      <c r="J528" s="53"/>
    </row>
    <row r="529" ht="24.75" hidden="1" customHeight="1">
      <c r="A529" s="54" t="s">
        <v>741</v>
      </c>
      <c r="B529" s="56" t="s">
        <v>760</v>
      </c>
      <c r="C529" s="56" t="s">
        <v>606</v>
      </c>
      <c r="D529" s="56" t="s">
        <v>752</v>
      </c>
      <c r="E529" s="56" t="s">
        <v>755</v>
      </c>
      <c r="F529" s="57" t="s">
        <v>250</v>
      </c>
      <c r="G529" s="61"/>
      <c r="H529" s="61"/>
      <c r="I529" s="60" t="s">
        <v>88</v>
      </c>
      <c r="J529" s="53"/>
    </row>
    <row r="530" ht="24.75" hidden="1" customHeight="1">
      <c r="A530" s="54" t="s">
        <v>761</v>
      </c>
      <c r="B530" s="56" t="s">
        <v>762</v>
      </c>
      <c r="C530" s="56" t="s">
        <v>763</v>
      </c>
      <c r="D530" s="56" t="s">
        <v>764</v>
      </c>
      <c r="E530" s="56" t="s">
        <v>195</v>
      </c>
      <c r="F530" s="57" t="s">
        <v>34</v>
      </c>
      <c r="G530" s="61"/>
      <c r="H530" s="61" t="s">
        <v>197</v>
      </c>
      <c r="I530" s="62"/>
      <c r="J530" s="53"/>
    </row>
    <row r="531" ht="24.75" hidden="1" customHeight="1">
      <c r="A531" s="54" t="s">
        <v>761</v>
      </c>
      <c r="B531" s="56" t="s">
        <v>762</v>
      </c>
      <c r="C531" s="56" t="s">
        <v>763</v>
      </c>
      <c r="D531" s="56" t="s">
        <v>764</v>
      </c>
      <c r="E531" s="56" t="s">
        <v>196</v>
      </c>
      <c r="F531" s="57" t="s">
        <v>250</v>
      </c>
      <c r="G531" s="61"/>
      <c r="H531" s="61" t="s">
        <v>200</v>
      </c>
      <c r="I531" s="62" t="s">
        <v>201</v>
      </c>
      <c r="J531" s="53"/>
    </row>
    <row r="532" ht="24.75" hidden="1" customHeight="1">
      <c r="A532" s="54" t="s">
        <v>761</v>
      </c>
      <c r="B532" s="56" t="s">
        <v>762</v>
      </c>
      <c r="C532" s="56" t="s">
        <v>763</v>
      </c>
      <c r="D532" s="56" t="s">
        <v>764</v>
      </c>
      <c r="E532" s="56" t="s">
        <v>191</v>
      </c>
      <c r="F532" s="57" t="s">
        <v>192</v>
      </c>
      <c r="G532" s="61"/>
      <c r="H532" s="61"/>
      <c r="I532" s="62"/>
      <c r="J532" s="53"/>
    </row>
    <row r="533" ht="24.75" hidden="1" customHeight="1">
      <c r="A533" s="54" t="s">
        <v>761</v>
      </c>
      <c r="B533" s="56" t="s">
        <v>762</v>
      </c>
      <c r="C533" s="56" t="s">
        <v>763</v>
      </c>
      <c r="D533" s="56" t="s">
        <v>764</v>
      </c>
      <c r="E533" s="56" t="s">
        <v>194</v>
      </c>
      <c r="F533" s="57" t="s">
        <v>192</v>
      </c>
      <c r="G533" s="61"/>
      <c r="H533" s="61"/>
      <c r="I533" s="62"/>
      <c r="J533" s="53"/>
    </row>
    <row r="534" ht="24.75" hidden="1" customHeight="1">
      <c r="A534" s="54" t="s">
        <v>761</v>
      </c>
      <c r="B534" s="56" t="s">
        <v>765</v>
      </c>
      <c r="C534" s="56" t="s">
        <v>766</v>
      </c>
      <c r="D534" s="56" t="s">
        <v>767</v>
      </c>
      <c r="E534" s="56" t="s">
        <v>768</v>
      </c>
      <c r="F534" s="57" t="s">
        <v>250</v>
      </c>
      <c r="G534" s="61"/>
      <c r="H534" s="61" t="s">
        <v>769</v>
      </c>
      <c r="I534" s="62" t="s">
        <v>770</v>
      </c>
      <c r="J534" s="53"/>
    </row>
    <row r="535" ht="24.75" hidden="1" customHeight="1">
      <c r="A535" s="54" t="s">
        <v>761</v>
      </c>
      <c r="B535" s="56" t="s">
        <v>765</v>
      </c>
      <c r="C535" s="56" t="s">
        <v>766</v>
      </c>
      <c r="D535" s="56" t="s">
        <v>767</v>
      </c>
      <c r="E535" s="56" t="s">
        <v>771</v>
      </c>
      <c r="F535" s="57" t="s">
        <v>250</v>
      </c>
      <c r="G535" s="61"/>
      <c r="H535" s="61" t="s">
        <v>769</v>
      </c>
      <c r="I535" s="62" t="s">
        <v>772</v>
      </c>
      <c r="J535" s="53"/>
    </row>
    <row r="536" ht="24.75" hidden="1" customHeight="1">
      <c r="A536" s="54" t="s">
        <v>761</v>
      </c>
      <c r="B536" s="56" t="s">
        <v>765</v>
      </c>
      <c r="C536" s="56" t="s">
        <v>766</v>
      </c>
      <c r="D536" s="56" t="s">
        <v>767</v>
      </c>
      <c r="E536" s="56" t="s">
        <v>773</v>
      </c>
      <c r="F536" s="57" t="s">
        <v>154</v>
      </c>
      <c r="G536" s="61"/>
      <c r="H536" s="61"/>
      <c r="I536" s="62"/>
      <c r="J536" s="53"/>
    </row>
    <row r="537" ht="24.75" hidden="1" customHeight="1">
      <c r="A537" s="54" t="s">
        <v>761</v>
      </c>
      <c r="B537" s="56" t="s">
        <v>765</v>
      </c>
      <c r="C537" s="56" t="s">
        <v>766</v>
      </c>
      <c r="D537" s="56" t="s">
        <v>767</v>
      </c>
      <c r="E537" s="56" t="s">
        <v>774</v>
      </c>
      <c r="F537" s="57" t="s">
        <v>154</v>
      </c>
      <c r="G537" s="61"/>
      <c r="H537" s="61"/>
      <c r="I537" s="62"/>
      <c r="J537" s="53"/>
    </row>
    <row r="538" ht="24.75" hidden="1" customHeight="1">
      <c r="A538" s="54" t="s">
        <v>761</v>
      </c>
      <c r="B538" s="56" t="s">
        <v>765</v>
      </c>
      <c r="C538" s="56" t="s">
        <v>766</v>
      </c>
      <c r="D538" s="56" t="s">
        <v>767</v>
      </c>
      <c r="E538" s="56" t="s">
        <v>775</v>
      </c>
      <c r="F538" s="57" t="s">
        <v>154</v>
      </c>
      <c r="G538" s="61"/>
      <c r="H538" s="61"/>
      <c r="I538" s="62"/>
      <c r="J538" s="53"/>
    </row>
    <row r="539" ht="24.75" hidden="1" customHeight="1">
      <c r="A539" s="54" t="s">
        <v>761</v>
      </c>
      <c r="B539" s="56" t="s">
        <v>765</v>
      </c>
      <c r="C539" s="56" t="s">
        <v>766</v>
      </c>
      <c r="D539" s="56" t="s">
        <v>776</v>
      </c>
      <c r="E539" s="56" t="s">
        <v>777</v>
      </c>
      <c r="F539" s="57" t="s">
        <v>15</v>
      </c>
      <c r="G539" s="61"/>
      <c r="H539" s="61"/>
      <c r="I539" s="60"/>
      <c r="J539" s="53"/>
    </row>
    <row r="540" ht="24.75" hidden="1" customHeight="1">
      <c r="A540" s="54" t="s">
        <v>761</v>
      </c>
      <c r="B540" s="56" t="s">
        <v>765</v>
      </c>
      <c r="C540" s="56" t="s">
        <v>766</v>
      </c>
      <c r="D540" s="56" t="s">
        <v>776</v>
      </c>
      <c r="E540" s="56" t="s">
        <v>778</v>
      </c>
      <c r="F540" s="57" t="s">
        <v>15</v>
      </c>
      <c r="G540" s="61"/>
      <c r="H540" s="61"/>
      <c r="I540" s="60"/>
      <c r="J540" s="53"/>
    </row>
    <row r="541" ht="24.75" hidden="1" customHeight="1">
      <c r="A541" s="54" t="s">
        <v>761</v>
      </c>
      <c r="B541" s="56" t="s">
        <v>779</v>
      </c>
      <c r="C541" s="56" t="s">
        <v>780</v>
      </c>
      <c r="D541" s="56" t="s">
        <v>781</v>
      </c>
      <c r="E541" s="56" t="s">
        <v>232</v>
      </c>
      <c r="F541" s="57" t="s">
        <v>250</v>
      </c>
      <c r="G541" s="61"/>
      <c r="H541" s="61" t="s">
        <v>769</v>
      </c>
      <c r="I541" s="62" t="s">
        <v>782</v>
      </c>
      <c r="J541" s="83"/>
    </row>
    <row r="542" ht="24.75" hidden="1" customHeight="1">
      <c r="A542" s="54" t="s">
        <v>761</v>
      </c>
      <c r="B542" s="56" t="s">
        <v>779</v>
      </c>
      <c r="C542" s="56" t="s">
        <v>780</v>
      </c>
      <c r="D542" s="56" t="s">
        <v>781</v>
      </c>
      <c r="E542" s="56" t="s">
        <v>783</v>
      </c>
      <c r="F542" s="57" t="s">
        <v>154</v>
      </c>
      <c r="G542" s="61"/>
      <c r="H542" s="61"/>
      <c r="I542" s="62"/>
      <c r="J542" s="53"/>
    </row>
    <row r="543" ht="24.75" hidden="1" customHeight="1">
      <c r="A543" s="54" t="s">
        <v>761</v>
      </c>
      <c r="B543" s="56" t="s">
        <v>779</v>
      </c>
      <c r="C543" s="56" t="s">
        <v>780</v>
      </c>
      <c r="D543" s="56" t="s">
        <v>781</v>
      </c>
      <c r="E543" s="56" t="s">
        <v>230</v>
      </c>
      <c r="F543" s="57" t="s">
        <v>154</v>
      </c>
      <c r="G543" s="61"/>
      <c r="H543" s="61"/>
      <c r="I543" s="62"/>
      <c r="J543" s="83"/>
    </row>
    <row r="544" ht="24.75" hidden="1" customHeight="1">
      <c r="A544" s="54" t="s">
        <v>761</v>
      </c>
      <c r="B544" s="56" t="s">
        <v>784</v>
      </c>
      <c r="C544" s="56" t="s">
        <v>763</v>
      </c>
      <c r="D544" s="56" t="s">
        <v>785</v>
      </c>
      <c r="E544" s="56" t="s">
        <v>216</v>
      </c>
      <c r="F544" s="57" t="s">
        <v>34</v>
      </c>
      <c r="G544" s="61"/>
      <c r="H544" s="61"/>
      <c r="I544" s="62"/>
      <c r="J544" s="53"/>
    </row>
    <row r="545" ht="24.75" hidden="1" customHeight="1">
      <c r="A545" s="54" t="s">
        <v>761</v>
      </c>
      <c r="B545" s="56" t="s">
        <v>784</v>
      </c>
      <c r="C545" s="56" t="s">
        <v>763</v>
      </c>
      <c r="D545" s="56" t="s">
        <v>785</v>
      </c>
      <c r="E545" s="56" t="s">
        <v>786</v>
      </c>
      <c r="F545" s="57" t="s">
        <v>34</v>
      </c>
      <c r="G545" s="61"/>
      <c r="H545" s="61"/>
      <c r="I545" s="62"/>
      <c r="J545" s="53"/>
    </row>
    <row r="546" ht="24.75" hidden="1" customHeight="1">
      <c r="A546" s="54" t="s">
        <v>761</v>
      </c>
      <c r="B546" s="56" t="s">
        <v>784</v>
      </c>
      <c r="C546" s="56" t="s">
        <v>763</v>
      </c>
      <c r="D546" s="56" t="s">
        <v>787</v>
      </c>
      <c r="E546" s="56" t="s">
        <v>163</v>
      </c>
      <c r="F546" s="57" t="s">
        <v>34</v>
      </c>
      <c r="G546" s="61"/>
      <c r="H546" s="61"/>
      <c r="I546" s="62"/>
      <c r="J546" s="53"/>
    </row>
    <row r="547" ht="24.75" hidden="1" customHeight="1">
      <c r="A547" s="54" t="s">
        <v>761</v>
      </c>
      <c r="B547" s="56" t="s">
        <v>784</v>
      </c>
      <c r="C547" s="56" t="s">
        <v>763</v>
      </c>
      <c r="D547" s="56" t="s">
        <v>787</v>
      </c>
      <c r="E547" s="56" t="s">
        <v>788</v>
      </c>
      <c r="F547" s="57" t="s">
        <v>154</v>
      </c>
      <c r="G547" s="61"/>
      <c r="H547" s="61"/>
      <c r="I547" s="62"/>
      <c r="J547" s="53"/>
    </row>
    <row r="548" ht="24.75" hidden="1" customHeight="1">
      <c r="A548" s="54" t="s">
        <v>761</v>
      </c>
      <c r="B548" s="56" t="s">
        <v>784</v>
      </c>
      <c r="C548" s="56" t="s">
        <v>763</v>
      </c>
      <c r="D548" s="56" t="s">
        <v>787</v>
      </c>
      <c r="E548" s="56" t="s">
        <v>213</v>
      </c>
      <c r="F548" s="57"/>
      <c r="G548" s="50"/>
      <c r="H548" s="50"/>
      <c r="I548" s="84"/>
      <c r="J548" s="53"/>
    </row>
    <row r="549" ht="24.75" hidden="1" customHeight="1">
      <c r="A549" s="54" t="s">
        <v>761</v>
      </c>
      <c r="B549" s="56" t="s">
        <v>784</v>
      </c>
      <c r="C549" s="56" t="s">
        <v>763</v>
      </c>
      <c r="D549" s="56" t="s">
        <v>789</v>
      </c>
      <c r="E549" s="56" t="s">
        <v>790</v>
      </c>
      <c r="F549" s="57" t="s">
        <v>250</v>
      </c>
      <c r="G549" s="61"/>
      <c r="H549" s="61"/>
      <c r="I549" s="62"/>
      <c r="J549" s="53"/>
    </row>
    <row r="550" ht="24.75" hidden="1" customHeight="1">
      <c r="A550" s="54" t="s">
        <v>761</v>
      </c>
      <c r="B550" s="56" t="s">
        <v>791</v>
      </c>
      <c r="C550" s="56" t="s">
        <v>792</v>
      </c>
      <c r="D550" s="56" t="s">
        <v>793</v>
      </c>
      <c r="E550" s="56" t="s">
        <v>794</v>
      </c>
      <c r="F550" s="57" t="s">
        <v>154</v>
      </c>
      <c r="G550" s="61"/>
      <c r="H550" s="61"/>
      <c r="I550" s="62"/>
      <c r="J550" s="53"/>
    </row>
    <row r="551" ht="24.75" hidden="1" customHeight="1">
      <c r="A551" s="54" t="s">
        <v>761</v>
      </c>
      <c r="B551" s="56" t="s">
        <v>795</v>
      </c>
      <c r="C551" s="56" t="s">
        <v>792</v>
      </c>
      <c r="D551" s="56" t="s">
        <v>796</v>
      </c>
      <c r="E551" s="56" t="s">
        <v>797</v>
      </c>
      <c r="F551" s="57" t="s">
        <v>250</v>
      </c>
      <c r="G551" s="81"/>
      <c r="H551" s="61" t="s">
        <v>769</v>
      </c>
      <c r="I551" s="62" t="s">
        <v>800</v>
      </c>
      <c r="J551" s="53"/>
    </row>
    <row r="552" ht="24.75" hidden="1" customHeight="1">
      <c r="A552" s="54" t="s">
        <v>761</v>
      </c>
      <c r="B552" s="56" t="s">
        <v>798</v>
      </c>
      <c r="C552" s="56" t="s">
        <v>792</v>
      </c>
      <c r="D552" s="56" t="s">
        <v>799</v>
      </c>
      <c r="E552" s="56" t="s">
        <v>790</v>
      </c>
      <c r="F552" s="57" t="s">
        <v>250</v>
      </c>
      <c r="G552" s="61"/>
      <c r="H552" s="61" t="s">
        <v>769</v>
      </c>
      <c r="I552" s="62" t="s">
        <v>803</v>
      </c>
      <c r="J552" s="53"/>
    </row>
    <row r="553" ht="24.75" hidden="1" customHeight="1">
      <c r="A553" s="54" t="s">
        <v>761</v>
      </c>
      <c r="B553" s="56" t="s">
        <v>801</v>
      </c>
      <c r="C553" s="56" t="s">
        <v>792</v>
      </c>
      <c r="D553" s="56" t="s">
        <v>802</v>
      </c>
      <c r="E553" s="56" t="s">
        <v>790</v>
      </c>
      <c r="F553" s="57" t="s">
        <v>250</v>
      </c>
      <c r="G553" s="61"/>
      <c r="H553" s="61" t="s">
        <v>769</v>
      </c>
      <c r="I553" s="62" t="s">
        <v>806</v>
      </c>
      <c r="J553" s="53"/>
    </row>
    <row r="554" ht="24.75" hidden="1" customHeight="1">
      <c r="A554" s="54" t="s">
        <v>761</v>
      </c>
      <c r="B554" s="56" t="s">
        <v>804</v>
      </c>
      <c r="C554" s="56" t="s">
        <v>792</v>
      </c>
      <c r="D554" s="56" t="s">
        <v>805</v>
      </c>
      <c r="E554" s="56" t="s">
        <v>790</v>
      </c>
      <c r="F554" s="57" t="s">
        <v>250</v>
      </c>
      <c r="G554" s="61"/>
      <c r="H554" s="61" t="s">
        <v>769</v>
      </c>
      <c r="I554" s="62" t="s">
        <v>810</v>
      </c>
      <c r="J554" s="53"/>
    </row>
    <row r="555" ht="24.75" hidden="1" customHeight="1">
      <c r="A555" s="54" t="s">
        <v>761</v>
      </c>
      <c r="B555" s="56" t="s">
        <v>807</v>
      </c>
      <c r="C555" s="56" t="s">
        <v>792</v>
      </c>
      <c r="D555" s="56" t="s">
        <v>808</v>
      </c>
      <c r="E555" s="56" t="s">
        <v>790</v>
      </c>
      <c r="F555" s="57" t="s">
        <v>250</v>
      </c>
      <c r="G555" s="61"/>
      <c r="H555" s="61" t="s">
        <v>769</v>
      </c>
      <c r="I555" s="62" t="s">
        <v>806</v>
      </c>
      <c r="J555" s="53"/>
    </row>
    <row r="556" ht="24.75" hidden="1" customHeight="1">
      <c r="A556" s="54" t="s">
        <v>761</v>
      </c>
      <c r="B556" s="56" t="s">
        <v>807</v>
      </c>
      <c r="C556" s="56" t="s">
        <v>792</v>
      </c>
      <c r="D556" s="56" t="s">
        <v>809</v>
      </c>
      <c r="E556" s="56" t="s">
        <v>790</v>
      </c>
      <c r="F556" s="57" t="s">
        <v>250</v>
      </c>
      <c r="G556" s="61"/>
      <c r="H556" s="61" t="s">
        <v>769</v>
      </c>
      <c r="I556" s="62" t="s">
        <v>806</v>
      </c>
      <c r="J556" s="53"/>
    </row>
    <row r="557" ht="24.75" hidden="1" customHeight="1">
      <c r="A557" s="54" t="s">
        <v>761</v>
      </c>
      <c r="B557" s="56" t="s">
        <v>811</v>
      </c>
      <c r="C557" s="56" t="s">
        <v>792</v>
      </c>
      <c r="D557" s="56" t="s">
        <v>812</v>
      </c>
      <c r="E557" s="56" t="s">
        <v>790</v>
      </c>
      <c r="F557" s="57" t="s">
        <v>250</v>
      </c>
      <c r="G557" s="61"/>
      <c r="H557" s="61" t="s">
        <v>769</v>
      </c>
      <c r="I557" s="62" t="s">
        <v>806</v>
      </c>
      <c r="J557" s="53"/>
    </row>
    <row r="558" ht="24.75" hidden="1" customHeight="1">
      <c r="A558" s="54" t="s">
        <v>761</v>
      </c>
      <c r="B558" s="56" t="s">
        <v>813</v>
      </c>
      <c r="C558" s="56" t="s">
        <v>792</v>
      </c>
      <c r="D558" s="56" t="s">
        <v>814</v>
      </c>
      <c r="E558" s="56" t="s">
        <v>790</v>
      </c>
      <c r="F558" s="57" t="s">
        <v>250</v>
      </c>
      <c r="G558" s="61"/>
      <c r="H558" s="61" t="s">
        <v>769</v>
      </c>
      <c r="I558" s="62" t="s">
        <v>810</v>
      </c>
      <c r="J558" s="53"/>
    </row>
    <row r="559" ht="24.75" hidden="1" customHeight="1">
      <c r="A559" s="54" t="s">
        <v>761</v>
      </c>
      <c r="B559" s="56" t="s">
        <v>815</v>
      </c>
      <c r="C559" s="56" t="s">
        <v>792</v>
      </c>
      <c r="D559" s="56" t="s">
        <v>816</v>
      </c>
      <c r="E559" s="56" t="s">
        <v>790</v>
      </c>
      <c r="F559" s="57" t="s">
        <v>250</v>
      </c>
      <c r="G559" s="61"/>
      <c r="H559" s="61" t="s">
        <v>769</v>
      </c>
      <c r="I559" s="62" t="s">
        <v>806</v>
      </c>
      <c r="J559" s="53"/>
    </row>
    <row r="560" ht="24.75" hidden="1" customHeight="1">
      <c r="A560" s="54" t="s">
        <v>761</v>
      </c>
      <c r="B560" s="56" t="s">
        <v>815</v>
      </c>
      <c r="C560" s="104" t="s">
        <v>792</v>
      </c>
      <c r="D560" s="56" t="s">
        <v>816</v>
      </c>
      <c r="E560" s="56" t="s">
        <v>817</v>
      </c>
      <c r="F560" s="57" t="s">
        <v>250</v>
      </c>
      <c r="G560" s="61"/>
      <c r="H560" s="61" t="s">
        <v>769</v>
      </c>
      <c r="I560" s="62" t="s">
        <v>823</v>
      </c>
      <c r="J560" s="53"/>
    </row>
    <row r="561" ht="24.75" hidden="1" customHeight="1">
      <c r="A561" s="54" t="s">
        <v>761</v>
      </c>
      <c r="B561" s="56" t="s">
        <v>818</v>
      </c>
      <c r="C561" s="104" t="s">
        <v>792</v>
      </c>
      <c r="D561" s="56" t="s">
        <v>819</v>
      </c>
      <c r="E561" s="56" t="s">
        <v>790</v>
      </c>
      <c r="F561" s="57" t="s">
        <v>250</v>
      </c>
      <c r="G561" s="61"/>
      <c r="H561" s="61" t="s">
        <v>769</v>
      </c>
      <c r="I561" s="62" t="s">
        <v>806</v>
      </c>
      <c r="J561" s="53"/>
    </row>
    <row r="562" ht="24.75" hidden="1" customHeight="1">
      <c r="A562" s="54" t="s">
        <v>761</v>
      </c>
      <c r="B562" s="56" t="s">
        <v>818</v>
      </c>
      <c r="C562" s="104" t="s">
        <v>792</v>
      </c>
      <c r="D562" s="56" t="s">
        <v>820</v>
      </c>
      <c r="E562" s="56" t="s">
        <v>817</v>
      </c>
      <c r="F562" s="57" t="s">
        <v>250</v>
      </c>
      <c r="G562" s="61"/>
      <c r="H562" s="61" t="s">
        <v>769</v>
      </c>
      <c r="I562" s="62" t="s">
        <v>823</v>
      </c>
      <c r="J562" s="53"/>
    </row>
    <row r="563" ht="24.75" hidden="1" customHeight="1">
      <c r="A563" s="54" t="s">
        <v>761</v>
      </c>
      <c r="B563" s="56" t="s">
        <v>818</v>
      </c>
      <c r="C563" s="104" t="s">
        <v>792</v>
      </c>
      <c r="D563" s="56" t="s">
        <v>821</v>
      </c>
      <c r="E563" s="56" t="s">
        <v>817</v>
      </c>
      <c r="F563" s="57" t="s">
        <v>250</v>
      </c>
      <c r="G563" s="61"/>
      <c r="H563" s="61" t="s">
        <v>769</v>
      </c>
      <c r="I563" s="62" t="s">
        <v>823</v>
      </c>
      <c r="J563" s="53"/>
    </row>
    <row r="564" ht="24.75" hidden="1" customHeight="1">
      <c r="A564" s="54" t="s">
        <v>761</v>
      </c>
      <c r="B564" s="56" t="s">
        <v>818</v>
      </c>
      <c r="C564" s="104" t="s">
        <v>792</v>
      </c>
      <c r="D564" s="56" t="s">
        <v>822</v>
      </c>
      <c r="E564" s="56" t="s">
        <v>790</v>
      </c>
      <c r="F564" s="57" t="s">
        <v>250</v>
      </c>
      <c r="G564" s="61"/>
      <c r="H564" s="61" t="s">
        <v>769</v>
      </c>
      <c r="I564" s="62" t="s">
        <v>823</v>
      </c>
      <c r="J564" s="53"/>
    </row>
    <row r="565" ht="24.75" hidden="1" customHeight="1">
      <c r="A565" s="54" t="s">
        <v>761</v>
      </c>
      <c r="B565" s="56" t="s">
        <v>791</v>
      </c>
      <c r="C565" s="104" t="s">
        <v>792</v>
      </c>
      <c r="D565" s="56" t="s">
        <v>793</v>
      </c>
      <c r="E565" s="56" t="s">
        <v>824</v>
      </c>
      <c r="F565" s="57" t="s">
        <v>192</v>
      </c>
      <c r="G565" s="61"/>
      <c r="H565" s="61"/>
      <c r="I565" s="62"/>
      <c r="J565" s="53"/>
    </row>
    <row r="566" ht="24.75" hidden="1" customHeight="1">
      <c r="A566" s="54" t="s">
        <v>761</v>
      </c>
      <c r="B566" s="56" t="s">
        <v>825</v>
      </c>
      <c r="C566" s="56" t="s">
        <v>792</v>
      </c>
      <c r="D566" s="56" t="s">
        <v>826</v>
      </c>
      <c r="E566" s="56" t="s">
        <v>794</v>
      </c>
      <c r="F566" s="57" t="s">
        <v>154</v>
      </c>
      <c r="G566" s="61"/>
      <c r="H566" s="61"/>
      <c r="I566" s="62"/>
      <c r="J566" s="53"/>
    </row>
    <row r="567" ht="24.75" hidden="1" customHeight="1">
      <c r="A567" s="54" t="s">
        <v>761</v>
      </c>
      <c r="B567" s="56" t="s">
        <v>825</v>
      </c>
      <c r="C567" s="56" t="s">
        <v>792</v>
      </c>
      <c r="D567" s="56" t="s">
        <v>826</v>
      </c>
      <c r="E567" s="56" t="s">
        <v>824</v>
      </c>
      <c r="F567" s="57" t="s">
        <v>192</v>
      </c>
      <c r="G567" s="61"/>
      <c r="H567" s="61"/>
      <c r="I567" s="62"/>
      <c r="J567" s="53"/>
    </row>
    <row r="568" ht="24.75" hidden="1" customHeight="1">
      <c r="A568" s="54" t="s">
        <v>761</v>
      </c>
      <c r="B568" s="56" t="s">
        <v>827</v>
      </c>
      <c r="C568" s="56" t="s">
        <v>792</v>
      </c>
      <c r="D568" s="56" t="s">
        <v>828</v>
      </c>
      <c r="E568" s="56" t="s">
        <v>830</v>
      </c>
      <c r="F568" s="57" t="s">
        <v>154</v>
      </c>
      <c r="G568" s="61"/>
      <c r="H568" s="61"/>
      <c r="I568" s="62"/>
      <c r="J568" s="53"/>
    </row>
    <row r="569" ht="24.75" hidden="1" customHeight="1">
      <c r="A569" s="54" t="s">
        <v>831</v>
      </c>
      <c r="B569" s="56" t="s">
        <v>832</v>
      </c>
      <c r="C569" s="56" t="s">
        <v>833</v>
      </c>
      <c r="D569" s="56" t="s">
        <v>834</v>
      </c>
      <c r="E569" s="56" t="s">
        <v>111</v>
      </c>
      <c r="F569" s="57" t="s">
        <v>34</v>
      </c>
      <c r="G569" s="61"/>
      <c r="H569" s="61"/>
      <c r="I569" s="62"/>
      <c r="J569" s="53"/>
    </row>
    <row r="570" ht="24.75" hidden="1" customHeight="1">
      <c r="A570" s="54" t="s">
        <v>831</v>
      </c>
      <c r="B570" s="56" t="s">
        <v>832</v>
      </c>
      <c r="C570" s="56" t="s">
        <v>833</v>
      </c>
      <c r="D570" s="56" t="s">
        <v>834</v>
      </c>
      <c r="E570" s="56" t="s">
        <v>835</v>
      </c>
      <c r="F570" s="57" t="s">
        <v>34</v>
      </c>
      <c r="G570" s="61"/>
      <c r="H570" s="61"/>
      <c r="I570" s="62"/>
      <c r="J570" s="53"/>
    </row>
    <row r="571" ht="24.75" hidden="1" customHeight="1">
      <c r="A571" s="54" t="s">
        <v>831</v>
      </c>
      <c r="B571" s="56" t="s">
        <v>832</v>
      </c>
      <c r="C571" s="56" t="s">
        <v>833</v>
      </c>
      <c r="D571" s="56" t="s">
        <v>834</v>
      </c>
      <c r="E571" s="56" t="s">
        <v>836</v>
      </c>
      <c r="F571" s="57" t="s">
        <v>250</v>
      </c>
      <c r="G571" s="61"/>
      <c r="H571" s="61" t="s">
        <v>159</v>
      </c>
      <c r="I571" s="62" t="s">
        <v>160</v>
      </c>
      <c r="J571" s="53"/>
    </row>
    <row r="572" ht="24.75" hidden="1" customHeight="1">
      <c r="A572" s="54" t="s">
        <v>831</v>
      </c>
      <c r="B572" s="56" t="s">
        <v>837</v>
      </c>
      <c r="C572" s="56" t="s">
        <v>838</v>
      </c>
      <c r="D572" s="56" t="s">
        <v>839</v>
      </c>
      <c r="E572" s="56" t="s">
        <v>771</v>
      </c>
      <c r="F572" s="57" t="s">
        <v>250</v>
      </c>
      <c r="G572" s="61"/>
      <c r="H572" s="61" t="s">
        <v>159</v>
      </c>
      <c r="I572" s="62" t="s">
        <v>772</v>
      </c>
      <c r="J572" s="53"/>
    </row>
    <row r="573" ht="24.75" hidden="1" customHeight="1">
      <c r="A573" s="54" t="s">
        <v>831</v>
      </c>
      <c r="B573" s="56" t="s">
        <v>837</v>
      </c>
      <c r="C573" s="56" t="s">
        <v>838</v>
      </c>
      <c r="D573" s="56" t="s">
        <v>839</v>
      </c>
      <c r="E573" s="56" t="s">
        <v>768</v>
      </c>
      <c r="F573" s="57" t="s">
        <v>250</v>
      </c>
      <c r="G573" s="61"/>
      <c r="H573" s="61" t="s">
        <v>592</v>
      </c>
      <c r="I573" s="62" t="s">
        <v>770</v>
      </c>
      <c r="J573" s="53"/>
    </row>
    <row r="574" ht="24.75" hidden="1" customHeight="1">
      <c r="A574" s="54" t="s">
        <v>831</v>
      </c>
      <c r="B574" s="56" t="s">
        <v>837</v>
      </c>
      <c r="C574" s="56" t="s">
        <v>838</v>
      </c>
      <c r="D574" s="56" t="s">
        <v>839</v>
      </c>
      <c r="E574" s="56" t="s">
        <v>773</v>
      </c>
      <c r="F574" s="57" t="s">
        <v>154</v>
      </c>
      <c r="G574" s="61"/>
      <c r="H574" s="61"/>
      <c r="I574" s="62"/>
      <c r="J574" s="53"/>
    </row>
    <row r="575" ht="24.75" hidden="1" customHeight="1">
      <c r="A575" s="54" t="s">
        <v>831</v>
      </c>
      <c r="B575" s="56" t="s">
        <v>837</v>
      </c>
      <c r="C575" s="56" t="s">
        <v>838</v>
      </c>
      <c r="D575" s="56" t="s">
        <v>839</v>
      </c>
      <c r="E575" s="56" t="s">
        <v>841</v>
      </c>
      <c r="F575" s="57" t="s">
        <v>154</v>
      </c>
      <c r="G575" s="61"/>
      <c r="H575" s="61"/>
      <c r="I575" s="62"/>
      <c r="J575" s="53"/>
    </row>
    <row r="576" ht="24.75" hidden="1" customHeight="1">
      <c r="A576" s="54" t="s">
        <v>831</v>
      </c>
      <c r="B576" s="56" t="s">
        <v>837</v>
      </c>
      <c r="C576" s="56" t="s">
        <v>838</v>
      </c>
      <c r="D576" s="56" t="s">
        <v>839</v>
      </c>
      <c r="E576" s="56" t="s">
        <v>777</v>
      </c>
      <c r="F576" s="57" t="s">
        <v>15</v>
      </c>
      <c r="G576" s="61"/>
      <c r="H576" s="61"/>
      <c r="I576" s="60"/>
      <c r="J576" s="53"/>
    </row>
    <row r="577" ht="24.75" hidden="1" customHeight="1">
      <c r="A577" s="54" t="s">
        <v>831</v>
      </c>
      <c r="B577" s="56" t="s">
        <v>837</v>
      </c>
      <c r="C577" s="56" t="s">
        <v>838</v>
      </c>
      <c r="D577" s="56" t="s">
        <v>839</v>
      </c>
      <c r="E577" s="56" t="s">
        <v>778</v>
      </c>
      <c r="F577" s="57" t="s">
        <v>15</v>
      </c>
      <c r="G577" s="61"/>
      <c r="H577" s="61"/>
      <c r="I577" s="60"/>
      <c r="J577" s="53"/>
    </row>
    <row r="578" ht="24.75" hidden="1" customHeight="1">
      <c r="A578" s="54" t="s">
        <v>831</v>
      </c>
      <c r="B578" s="56" t="s">
        <v>842</v>
      </c>
      <c r="C578" s="56" t="s">
        <v>838</v>
      </c>
      <c r="D578" s="56" t="s">
        <v>843</v>
      </c>
      <c r="E578" s="56" t="s">
        <v>111</v>
      </c>
      <c r="F578" s="57" t="s">
        <v>154</v>
      </c>
      <c r="G578" s="61"/>
      <c r="H578" s="61"/>
      <c r="I578" s="62"/>
      <c r="J578" s="53"/>
    </row>
    <row r="579" ht="24.75" hidden="1" customHeight="1">
      <c r="A579" s="54" t="s">
        <v>831</v>
      </c>
      <c r="B579" s="56" t="s">
        <v>842</v>
      </c>
      <c r="C579" s="56" t="s">
        <v>838</v>
      </c>
      <c r="D579" s="56" t="s">
        <v>843</v>
      </c>
      <c r="E579" s="56" t="s">
        <v>844</v>
      </c>
      <c r="F579" s="57" t="s">
        <v>154</v>
      </c>
      <c r="G579" s="61"/>
      <c r="H579" s="61"/>
      <c r="I579" s="62"/>
      <c r="J579" s="53"/>
    </row>
    <row r="580" ht="24.75" hidden="1" customHeight="1">
      <c r="A580" s="54" t="s">
        <v>831</v>
      </c>
      <c r="B580" s="56" t="s">
        <v>842</v>
      </c>
      <c r="C580" s="56" t="s">
        <v>838</v>
      </c>
      <c r="D580" s="56" t="s">
        <v>843</v>
      </c>
      <c r="E580" s="56" t="s">
        <v>797</v>
      </c>
      <c r="F580" s="57" t="s">
        <v>250</v>
      </c>
      <c r="G580" s="61"/>
      <c r="H580" s="61" t="s">
        <v>592</v>
      </c>
      <c r="I580" s="62" t="s">
        <v>855</v>
      </c>
      <c r="J580" s="53"/>
    </row>
    <row r="581" ht="24.75" hidden="1" customHeight="1">
      <c r="A581" s="54" t="s">
        <v>831</v>
      </c>
      <c r="B581" s="56" t="s">
        <v>845</v>
      </c>
      <c r="C581" s="56" t="s">
        <v>838</v>
      </c>
      <c r="D581" s="56" t="s">
        <v>846</v>
      </c>
      <c r="E581" s="56" t="s">
        <v>771</v>
      </c>
      <c r="F581" s="57" t="s">
        <v>250</v>
      </c>
      <c r="G581" s="61"/>
      <c r="H581" s="61" t="s">
        <v>159</v>
      </c>
      <c r="I581" s="62" t="s">
        <v>772</v>
      </c>
      <c r="J581" s="53"/>
    </row>
    <row r="582" ht="24.75" hidden="1" customHeight="1">
      <c r="A582" s="54" t="s">
        <v>831</v>
      </c>
      <c r="B582" s="56" t="s">
        <v>845</v>
      </c>
      <c r="C582" s="56" t="s">
        <v>838</v>
      </c>
      <c r="D582" s="56" t="s">
        <v>846</v>
      </c>
      <c r="E582" s="56" t="s">
        <v>768</v>
      </c>
      <c r="F582" s="57" t="s">
        <v>250</v>
      </c>
      <c r="G582" s="61"/>
      <c r="H582" s="61" t="s">
        <v>592</v>
      </c>
      <c r="I582" s="62" t="s">
        <v>770</v>
      </c>
      <c r="J582" s="53"/>
    </row>
    <row r="583" ht="24.75" hidden="1" customHeight="1">
      <c r="A583" s="54" t="s">
        <v>831</v>
      </c>
      <c r="B583" s="56" t="s">
        <v>845</v>
      </c>
      <c r="C583" s="56" t="s">
        <v>838</v>
      </c>
      <c r="D583" s="56" t="s">
        <v>846</v>
      </c>
      <c r="E583" s="56" t="s">
        <v>773</v>
      </c>
      <c r="F583" s="57" t="s">
        <v>154</v>
      </c>
      <c r="G583" s="61"/>
      <c r="H583" s="61"/>
      <c r="I583" s="62"/>
      <c r="J583" s="53"/>
    </row>
    <row r="584" ht="24.75" hidden="1" customHeight="1">
      <c r="A584" s="54" t="s">
        <v>831</v>
      </c>
      <c r="B584" s="56" t="s">
        <v>845</v>
      </c>
      <c r="C584" s="56" t="s">
        <v>838</v>
      </c>
      <c r="D584" s="56" t="s">
        <v>846</v>
      </c>
      <c r="E584" s="56" t="s">
        <v>841</v>
      </c>
      <c r="F584" s="57" t="s">
        <v>154</v>
      </c>
      <c r="G584" s="61"/>
      <c r="H584" s="61"/>
      <c r="I584" s="62"/>
      <c r="J584" s="53"/>
    </row>
    <row r="585" ht="24.75" hidden="1" customHeight="1">
      <c r="A585" s="54" t="s">
        <v>831</v>
      </c>
      <c r="B585" s="56" t="s">
        <v>845</v>
      </c>
      <c r="C585" s="56" t="s">
        <v>838</v>
      </c>
      <c r="D585" s="56" t="s">
        <v>846</v>
      </c>
      <c r="E585" s="56" t="s">
        <v>777</v>
      </c>
      <c r="F585" s="57" t="s">
        <v>15</v>
      </c>
      <c r="G585" s="61"/>
      <c r="H585" s="61"/>
      <c r="I585" s="60"/>
      <c r="J585" s="53"/>
    </row>
    <row r="586" ht="24.75" hidden="1" customHeight="1">
      <c r="A586" s="54" t="s">
        <v>831</v>
      </c>
      <c r="B586" s="56" t="s">
        <v>845</v>
      </c>
      <c r="C586" s="56" t="s">
        <v>838</v>
      </c>
      <c r="D586" s="56" t="s">
        <v>846</v>
      </c>
      <c r="E586" s="56" t="s">
        <v>778</v>
      </c>
      <c r="F586" s="57" t="s">
        <v>15</v>
      </c>
      <c r="G586" s="61"/>
      <c r="H586" s="61"/>
      <c r="I586" s="60"/>
      <c r="J586" s="53"/>
    </row>
    <row r="587" ht="24.75" hidden="1" customHeight="1">
      <c r="A587" s="54" t="s">
        <v>831</v>
      </c>
      <c r="B587" s="56" t="s">
        <v>847</v>
      </c>
      <c r="C587" s="56" t="s">
        <v>838</v>
      </c>
      <c r="D587" s="56" t="s">
        <v>848</v>
      </c>
      <c r="E587" s="56" t="s">
        <v>111</v>
      </c>
      <c r="F587" s="57" t="s">
        <v>154</v>
      </c>
      <c r="G587" s="61"/>
      <c r="H587" s="61"/>
      <c r="I587" s="62"/>
      <c r="J587" s="53"/>
    </row>
    <row r="588" ht="24.75" hidden="1" customHeight="1">
      <c r="A588" s="54" t="s">
        <v>831</v>
      </c>
      <c r="B588" s="56" t="s">
        <v>847</v>
      </c>
      <c r="C588" s="56" t="s">
        <v>838</v>
      </c>
      <c r="D588" s="56" t="s">
        <v>848</v>
      </c>
      <c r="E588" s="56" t="s">
        <v>844</v>
      </c>
      <c r="F588" s="57" t="s">
        <v>154</v>
      </c>
      <c r="G588" s="61"/>
      <c r="H588" s="61"/>
      <c r="I588" s="62"/>
      <c r="J588" s="53"/>
    </row>
    <row r="589" ht="24.75" hidden="1" customHeight="1">
      <c r="A589" s="54" t="s">
        <v>831</v>
      </c>
      <c r="B589" s="56" t="s">
        <v>847</v>
      </c>
      <c r="C589" s="56" t="s">
        <v>838</v>
      </c>
      <c r="D589" s="56" t="s">
        <v>848</v>
      </c>
      <c r="E589" s="56" t="s">
        <v>797</v>
      </c>
      <c r="F589" s="57" t="s">
        <v>250</v>
      </c>
      <c r="G589" s="61"/>
      <c r="H589" s="61" t="s">
        <v>592</v>
      </c>
      <c r="I589" s="62" t="s">
        <v>855</v>
      </c>
      <c r="J589" s="53"/>
    </row>
    <row r="590" ht="24.75" hidden="1" customHeight="1">
      <c r="A590" s="54" t="s">
        <v>831</v>
      </c>
      <c r="B590" s="56" t="s">
        <v>849</v>
      </c>
      <c r="C590" s="56" t="s">
        <v>833</v>
      </c>
      <c r="D590" s="56" t="s">
        <v>850</v>
      </c>
      <c r="E590" s="56" t="s">
        <v>336</v>
      </c>
      <c r="F590" s="57" t="s">
        <v>192</v>
      </c>
      <c r="G590" s="61"/>
      <c r="H590" s="61"/>
      <c r="I590" s="62"/>
      <c r="J590" s="53"/>
    </row>
    <row r="591" ht="24.75" hidden="1" customHeight="1">
      <c r="A591" s="54" t="s">
        <v>831</v>
      </c>
      <c r="B591" s="56" t="s">
        <v>851</v>
      </c>
      <c r="C591" s="56" t="s">
        <v>852</v>
      </c>
      <c r="D591" s="56" t="s">
        <v>853</v>
      </c>
      <c r="E591" s="56" t="s">
        <v>854</v>
      </c>
      <c r="F591" s="57" t="s">
        <v>250</v>
      </c>
      <c r="G591" s="61"/>
      <c r="H591" s="61" t="s">
        <v>592</v>
      </c>
      <c r="I591" s="62" t="s">
        <v>864</v>
      </c>
      <c r="J591" s="53"/>
    </row>
    <row r="592" ht="24.75" hidden="1" customHeight="1">
      <c r="A592" s="54" t="s">
        <v>831</v>
      </c>
      <c r="B592" s="56" t="s">
        <v>851</v>
      </c>
      <c r="C592" s="56" t="s">
        <v>852</v>
      </c>
      <c r="D592" s="56" t="s">
        <v>853</v>
      </c>
      <c r="E592" s="56" t="s">
        <v>824</v>
      </c>
      <c r="F592" s="57" t="s">
        <v>154</v>
      </c>
      <c r="G592" s="61"/>
      <c r="H592" s="61"/>
      <c r="I592" s="62"/>
      <c r="J592" s="53"/>
    </row>
    <row r="593" ht="24.75" hidden="1" customHeight="1">
      <c r="A593" s="54" t="s">
        <v>831</v>
      </c>
      <c r="B593" s="56" t="s">
        <v>851</v>
      </c>
      <c r="C593" s="56" t="s">
        <v>852</v>
      </c>
      <c r="D593" s="56" t="s">
        <v>853</v>
      </c>
      <c r="E593" s="56" t="s">
        <v>111</v>
      </c>
      <c r="F593" s="57" t="s">
        <v>192</v>
      </c>
      <c r="G593" s="61"/>
      <c r="H593" s="61"/>
      <c r="I593" s="62"/>
      <c r="J593" s="53"/>
    </row>
    <row r="594" ht="24.75" hidden="1" customHeight="1">
      <c r="A594" s="54" t="s">
        <v>831</v>
      </c>
      <c r="B594" s="56" t="s">
        <v>851</v>
      </c>
      <c r="C594" s="56" t="s">
        <v>852</v>
      </c>
      <c r="D594" s="56" t="s">
        <v>853</v>
      </c>
      <c r="E594" s="56" t="s">
        <v>856</v>
      </c>
      <c r="F594" s="57" t="s">
        <v>192</v>
      </c>
      <c r="G594" s="61"/>
      <c r="H594" s="61"/>
      <c r="I594" s="62"/>
      <c r="J594" s="53"/>
    </row>
    <row r="595" ht="24.75" hidden="1" customHeight="1">
      <c r="A595" s="54" t="s">
        <v>831</v>
      </c>
      <c r="B595" s="56" t="s">
        <v>851</v>
      </c>
      <c r="C595" s="56" t="s">
        <v>852</v>
      </c>
      <c r="D595" s="56" t="s">
        <v>853</v>
      </c>
      <c r="E595" s="56" t="s">
        <v>857</v>
      </c>
      <c r="F595" s="57" t="s">
        <v>192</v>
      </c>
      <c r="G595" s="61"/>
      <c r="H595" s="61"/>
      <c r="I595" s="62"/>
      <c r="J595" s="53"/>
    </row>
    <row r="596" ht="24.75" hidden="1" customHeight="1">
      <c r="A596" s="54" t="s">
        <v>831</v>
      </c>
      <c r="B596" s="56" t="s">
        <v>858</v>
      </c>
      <c r="C596" s="56" t="s">
        <v>838</v>
      </c>
      <c r="D596" s="56" t="s">
        <v>859</v>
      </c>
      <c r="E596" s="56" t="s">
        <v>111</v>
      </c>
      <c r="F596" s="57" t="s">
        <v>154</v>
      </c>
      <c r="G596" s="61"/>
      <c r="H596" s="61"/>
      <c r="I596" s="62"/>
      <c r="J596" s="53"/>
    </row>
    <row r="597" ht="24.75" hidden="1" customHeight="1">
      <c r="A597" s="54" t="s">
        <v>831</v>
      </c>
      <c r="B597" s="56" t="s">
        <v>858</v>
      </c>
      <c r="C597" s="56" t="s">
        <v>838</v>
      </c>
      <c r="D597" s="56" t="s">
        <v>859</v>
      </c>
      <c r="E597" s="56" t="s">
        <v>824</v>
      </c>
      <c r="F597" s="57" t="s">
        <v>154</v>
      </c>
      <c r="G597" s="61"/>
      <c r="H597" s="61"/>
      <c r="I597" s="62"/>
      <c r="J597" s="53"/>
    </row>
    <row r="598" ht="24.75" hidden="1" customHeight="1">
      <c r="A598" s="54" t="s">
        <v>831</v>
      </c>
      <c r="B598" s="56" t="s">
        <v>858</v>
      </c>
      <c r="C598" s="56" t="s">
        <v>838</v>
      </c>
      <c r="D598" s="56" t="s">
        <v>859</v>
      </c>
      <c r="E598" s="56" t="s">
        <v>797</v>
      </c>
      <c r="F598" s="57" t="s">
        <v>250</v>
      </c>
      <c r="G598" s="61"/>
      <c r="H598" s="61" t="s">
        <v>592</v>
      </c>
      <c r="I598" s="62" t="s">
        <v>872</v>
      </c>
      <c r="J598" s="53"/>
    </row>
    <row r="599" ht="24.75" hidden="1" customHeight="1">
      <c r="A599" s="54" t="s">
        <v>831</v>
      </c>
      <c r="B599" s="56" t="s">
        <v>860</v>
      </c>
      <c r="C599" s="56" t="s">
        <v>852</v>
      </c>
      <c r="D599" s="56" t="s">
        <v>861</v>
      </c>
      <c r="E599" s="56" t="s">
        <v>854</v>
      </c>
      <c r="F599" s="57" t="s">
        <v>250</v>
      </c>
      <c r="G599" s="61"/>
      <c r="H599" s="61" t="s">
        <v>592</v>
      </c>
      <c r="I599" s="62" t="s">
        <v>864</v>
      </c>
      <c r="J599" s="53"/>
    </row>
    <row r="600" ht="24.75" hidden="1" customHeight="1">
      <c r="A600" s="54" t="s">
        <v>831</v>
      </c>
      <c r="B600" s="56" t="s">
        <v>860</v>
      </c>
      <c r="C600" s="56" t="s">
        <v>852</v>
      </c>
      <c r="D600" s="56" t="s">
        <v>861</v>
      </c>
      <c r="E600" s="56" t="s">
        <v>824</v>
      </c>
      <c r="F600" s="57" t="s">
        <v>154</v>
      </c>
      <c r="G600" s="61"/>
      <c r="H600" s="61"/>
      <c r="I600" s="62"/>
      <c r="J600" s="53"/>
    </row>
    <row r="601" ht="24.75" hidden="1" customHeight="1">
      <c r="A601" s="54" t="s">
        <v>831</v>
      </c>
      <c r="B601" s="56" t="s">
        <v>860</v>
      </c>
      <c r="C601" s="56" t="s">
        <v>852</v>
      </c>
      <c r="D601" s="56" t="s">
        <v>861</v>
      </c>
      <c r="E601" s="56" t="s">
        <v>856</v>
      </c>
      <c r="F601" s="57" t="s">
        <v>154</v>
      </c>
      <c r="G601" s="61"/>
      <c r="H601" s="61"/>
      <c r="I601" s="62"/>
      <c r="J601" s="53"/>
    </row>
    <row r="602" ht="24.75" hidden="1" customHeight="1">
      <c r="A602" s="54" t="s">
        <v>831</v>
      </c>
      <c r="B602" s="56" t="s">
        <v>860</v>
      </c>
      <c r="C602" s="56" t="s">
        <v>852</v>
      </c>
      <c r="D602" s="56" t="s">
        <v>861</v>
      </c>
      <c r="E602" s="56" t="s">
        <v>111</v>
      </c>
      <c r="F602" s="57" t="s">
        <v>192</v>
      </c>
      <c r="G602" s="61"/>
      <c r="H602" s="61"/>
      <c r="I602" s="62"/>
      <c r="J602" s="53"/>
    </row>
    <row r="603" ht="24.75" hidden="1" customHeight="1">
      <c r="A603" s="54" t="s">
        <v>831</v>
      </c>
      <c r="B603" s="56" t="s">
        <v>860</v>
      </c>
      <c r="C603" s="56" t="s">
        <v>852</v>
      </c>
      <c r="D603" s="56" t="s">
        <v>861</v>
      </c>
      <c r="E603" s="56" t="s">
        <v>857</v>
      </c>
      <c r="F603" s="57" t="s">
        <v>192</v>
      </c>
      <c r="G603" s="61"/>
      <c r="H603" s="61"/>
      <c r="I603" s="62"/>
      <c r="J603" s="53"/>
    </row>
    <row r="604" ht="24.75" hidden="1" customHeight="1">
      <c r="A604" s="54" t="s">
        <v>831</v>
      </c>
      <c r="B604" s="56" t="s">
        <v>862</v>
      </c>
      <c r="C604" s="56" t="s">
        <v>838</v>
      </c>
      <c r="D604" s="56" t="s">
        <v>863</v>
      </c>
      <c r="E604" s="56" t="s">
        <v>111</v>
      </c>
      <c r="F604" s="57" t="s">
        <v>154</v>
      </c>
      <c r="G604" s="61"/>
      <c r="H604" s="61"/>
      <c r="I604" s="62"/>
      <c r="J604" s="53"/>
    </row>
    <row r="605" ht="24.75" hidden="1" customHeight="1">
      <c r="A605" s="54" t="s">
        <v>831</v>
      </c>
      <c r="B605" s="56" t="s">
        <v>862</v>
      </c>
      <c r="C605" s="56" t="s">
        <v>838</v>
      </c>
      <c r="D605" s="56" t="s">
        <v>863</v>
      </c>
      <c r="E605" s="56" t="s">
        <v>824</v>
      </c>
      <c r="F605" s="57" t="s">
        <v>154</v>
      </c>
      <c r="G605" s="61"/>
      <c r="H605" s="61"/>
      <c r="I605" s="62"/>
      <c r="J605" s="53"/>
    </row>
    <row r="606" ht="24.75" hidden="1" customHeight="1">
      <c r="A606" s="54" t="s">
        <v>831</v>
      </c>
      <c r="B606" s="56" t="s">
        <v>862</v>
      </c>
      <c r="C606" s="56" t="s">
        <v>838</v>
      </c>
      <c r="D606" s="56" t="s">
        <v>863</v>
      </c>
      <c r="E606" s="56" t="s">
        <v>797</v>
      </c>
      <c r="F606" s="57" t="s">
        <v>250</v>
      </c>
      <c r="G606" s="61"/>
      <c r="H606" s="61" t="s">
        <v>592</v>
      </c>
      <c r="I606" s="62" t="s">
        <v>872</v>
      </c>
      <c r="J606" s="53"/>
    </row>
    <row r="607" ht="24.75" hidden="1" customHeight="1">
      <c r="A607" s="54" t="s">
        <v>831</v>
      </c>
      <c r="B607" s="56" t="s">
        <v>865</v>
      </c>
      <c r="C607" s="56" t="s">
        <v>838</v>
      </c>
      <c r="D607" s="56" t="s">
        <v>866</v>
      </c>
      <c r="E607" s="56" t="s">
        <v>867</v>
      </c>
      <c r="F607" s="57" t="s">
        <v>154</v>
      </c>
      <c r="G607" s="61"/>
      <c r="H607" s="61"/>
      <c r="I607" s="62"/>
      <c r="J607" s="53"/>
    </row>
    <row r="608" ht="24.75" hidden="1" customHeight="1">
      <c r="A608" s="54" t="s">
        <v>831</v>
      </c>
      <c r="B608" s="56" t="s">
        <v>865</v>
      </c>
      <c r="C608" s="56" t="s">
        <v>838</v>
      </c>
      <c r="D608" s="56" t="s">
        <v>866</v>
      </c>
      <c r="E608" s="56" t="s">
        <v>868</v>
      </c>
      <c r="F608" s="57" t="s">
        <v>154</v>
      </c>
      <c r="G608" s="61"/>
      <c r="H608" s="61"/>
      <c r="I608" s="62"/>
      <c r="J608" s="53"/>
    </row>
    <row r="609" ht="24.75" hidden="1" customHeight="1">
      <c r="A609" s="54" t="s">
        <v>831</v>
      </c>
      <c r="B609" s="56" t="s">
        <v>869</v>
      </c>
      <c r="C609" s="56" t="s">
        <v>833</v>
      </c>
      <c r="D609" s="56" t="s">
        <v>850</v>
      </c>
      <c r="E609" s="56" t="s">
        <v>870</v>
      </c>
      <c r="F609" s="57" t="s">
        <v>154</v>
      </c>
      <c r="G609" s="61"/>
      <c r="H609" s="61"/>
      <c r="I609" s="62"/>
      <c r="J609" s="53"/>
    </row>
    <row r="610" ht="24.75" hidden="1" customHeight="1">
      <c r="A610" s="54" t="s">
        <v>831</v>
      </c>
      <c r="B610" s="56" t="s">
        <v>869</v>
      </c>
      <c r="C610" s="56" t="s">
        <v>833</v>
      </c>
      <c r="D610" s="56" t="s">
        <v>850</v>
      </c>
      <c r="E610" s="56" t="s">
        <v>871</v>
      </c>
      <c r="F610" s="57" t="s">
        <v>192</v>
      </c>
      <c r="G610" s="61"/>
      <c r="H610" s="61"/>
      <c r="I610" s="62"/>
      <c r="J610" s="53"/>
    </row>
    <row r="611" ht="15.75" hidden="1" customHeight="1">
      <c r="A611" s="54"/>
      <c r="B611" s="56"/>
      <c r="C611" s="56"/>
      <c r="D611" s="56"/>
      <c r="E611" s="56"/>
      <c r="F611" s="57"/>
      <c r="G611" s="61"/>
      <c r="H611" s="61"/>
      <c r="I611" s="62"/>
      <c r="J611" s="53"/>
    </row>
  </sheetData>
  <autoFilter ref="$A$4:$GF$611">
    <filterColumn colId="5">
      <filters>
        <filter val="JAN, FEV, MAR, ABR, MAI, JUN, JUL, AGO, SET, OUT, NOV, DEZ"/>
      </filters>
    </filterColumn>
    <sortState ref="A4:GF611">
      <sortCondition ref="A4:A611"/>
    </sortState>
  </autoFilter>
  <mergeCells count="2">
    <mergeCell ref="I1:J3"/>
    <mergeCell ref="H2:H3"/>
  </mergeCells>
  <printOptions/>
  <pageMargins bottom="0.7480314960629921" footer="0.0" header="0.0" left="0.2362204724409449" right="0.2362204724409449" top="0.35433070866141736"/>
  <pageSetup fitToHeight="0" paperSize="9" orientation="landscape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46.86"/>
    <col customWidth="1" min="6" max="6" width="12.0"/>
    <col customWidth="1" hidden="1" min="7" max="7" width="6.86"/>
    <col customWidth="1" min="8" max="8" width="26.57"/>
    <col customWidth="1" min="9" max="9" width="31.86"/>
    <col customWidth="1" min="10" max="10" width="15.71"/>
  </cols>
  <sheetData>
    <row r="1" ht="24.75" customHeight="1">
      <c r="I1" s="25" t="s">
        <v>9</v>
      </c>
    </row>
    <row r="2" ht="24.75" customHeight="1">
      <c r="A2" s="1"/>
      <c r="B2" s="2"/>
      <c r="C2" s="2"/>
      <c r="D2" s="2"/>
      <c r="E2" s="2"/>
      <c r="F2" s="3"/>
      <c r="G2" s="8"/>
      <c r="H2" s="10"/>
    </row>
    <row r="3" ht="24.75" customHeight="1">
      <c r="A3" s="8"/>
      <c r="B3" s="9"/>
      <c r="C3" s="9"/>
      <c r="D3" s="9"/>
      <c r="E3" s="9"/>
      <c r="F3" s="2"/>
      <c r="G3" s="8"/>
      <c r="H3" s="35"/>
      <c r="I3" s="35"/>
      <c r="J3" s="35"/>
    </row>
    <row r="4" ht="51.0" customHeight="1">
      <c r="A4" s="39" t="s">
        <v>17</v>
      </c>
      <c r="B4" s="39" t="s">
        <v>18</v>
      </c>
      <c r="C4" s="39" t="s">
        <v>19</v>
      </c>
      <c r="D4" s="39" t="s">
        <v>20</v>
      </c>
      <c r="E4" s="39" t="s">
        <v>21</v>
      </c>
      <c r="F4" s="39" t="s">
        <v>22</v>
      </c>
      <c r="G4" s="40" t="s">
        <v>23</v>
      </c>
      <c r="H4" s="39" t="s">
        <v>24</v>
      </c>
      <c r="I4" s="42" t="s">
        <v>26</v>
      </c>
      <c r="J4" s="39" t="s">
        <v>25</v>
      </c>
    </row>
    <row r="5" ht="24.75" customHeight="1">
      <c r="A5" s="44">
        <v>10.0</v>
      </c>
      <c r="B5" s="47" t="s">
        <v>27</v>
      </c>
      <c r="C5" s="47" t="s">
        <v>29</v>
      </c>
      <c r="D5" s="47" t="s">
        <v>29</v>
      </c>
      <c r="E5" s="47" t="s">
        <v>32</v>
      </c>
      <c r="F5" s="48" t="s">
        <v>34</v>
      </c>
      <c r="G5" s="50"/>
      <c r="H5" s="51"/>
      <c r="I5" s="108"/>
      <c r="J5" s="53"/>
    </row>
    <row r="6" ht="24.75" customHeight="1">
      <c r="A6" s="54">
        <v>20.0</v>
      </c>
      <c r="B6" s="56" t="s">
        <v>83</v>
      </c>
      <c r="C6" s="56" t="s">
        <v>84</v>
      </c>
      <c r="D6" s="56" t="s">
        <v>85</v>
      </c>
      <c r="E6" s="56" t="s">
        <v>86</v>
      </c>
      <c r="F6" s="57" t="s">
        <v>87</v>
      </c>
      <c r="G6" s="58"/>
      <c r="H6" s="58"/>
      <c r="I6" s="60" t="s">
        <v>88</v>
      </c>
      <c r="J6" s="59"/>
    </row>
    <row r="7" ht="24.75" customHeight="1">
      <c r="A7" s="54">
        <v>20.0</v>
      </c>
      <c r="B7" s="56" t="s">
        <v>89</v>
      </c>
      <c r="C7" s="56" t="s">
        <v>90</v>
      </c>
      <c r="D7" s="56" t="s">
        <v>91</v>
      </c>
      <c r="E7" s="56"/>
      <c r="F7" s="57" t="s">
        <v>34</v>
      </c>
      <c r="G7" s="61"/>
      <c r="H7" s="61"/>
      <c r="I7" s="60"/>
      <c r="J7" s="53"/>
    </row>
    <row r="8" ht="24.75" customHeight="1">
      <c r="A8" s="54">
        <v>20.0</v>
      </c>
      <c r="B8" s="56" t="s">
        <v>95</v>
      </c>
      <c r="C8" s="56" t="s">
        <v>90</v>
      </c>
      <c r="D8" s="56" t="s">
        <v>96</v>
      </c>
      <c r="E8" s="56" t="s">
        <v>97</v>
      </c>
      <c r="F8" s="57" t="s">
        <v>34</v>
      </c>
      <c r="G8" s="61"/>
      <c r="H8" s="61"/>
      <c r="I8" s="60"/>
      <c r="J8" s="53"/>
    </row>
    <row r="9" ht="24.75" customHeight="1">
      <c r="A9" s="54">
        <v>20.0</v>
      </c>
      <c r="B9" s="56" t="s">
        <v>98</v>
      </c>
      <c r="C9" s="56" t="s">
        <v>90</v>
      </c>
      <c r="D9" s="56" t="s">
        <v>99</v>
      </c>
      <c r="E9" s="56" t="s">
        <v>97</v>
      </c>
      <c r="F9" s="57" t="s">
        <v>34</v>
      </c>
      <c r="G9" s="61"/>
      <c r="H9" s="61"/>
      <c r="I9" s="60"/>
      <c r="J9" s="53"/>
    </row>
    <row r="10" ht="24.75" customHeight="1">
      <c r="A10" s="54">
        <v>20.0</v>
      </c>
      <c r="B10" s="56" t="s">
        <v>100</v>
      </c>
      <c r="C10" s="56" t="s">
        <v>101</v>
      </c>
      <c r="D10" s="56" t="s">
        <v>102</v>
      </c>
      <c r="E10" s="56" t="s">
        <v>103</v>
      </c>
      <c r="F10" s="57" t="s">
        <v>34</v>
      </c>
      <c r="G10" s="61"/>
      <c r="H10" s="61"/>
      <c r="I10" s="60"/>
      <c r="J10" s="53"/>
    </row>
    <row r="11" ht="24.75" customHeight="1">
      <c r="A11" s="54">
        <v>30.0</v>
      </c>
      <c r="B11" s="56" t="s">
        <v>108</v>
      </c>
      <c r="C11" s="56" t="s">
        <v>109</v>
      </c>
      <c r="D11" s="56" t="s">
        <v>110</v>
      </c>
      <c r="E11" s="56" t="s">
        <v>111</v>
      </c>
      <c r="F11" s="57" t="s">
        <v>87</v>
      </c>
      <c r="G11" s="61"/>
      <c r="H11" s="61"/>
      <c r="I11" s="60"/>
      <c r="J11" s="53"/>
    </row>
    <row r="12" ht="24.75" customHeight="1">
      <c r="A12" s="54">
        <v>30.0</v>
      </c>
      <c r="B12" s="56" t="s">
        <v>113</v>
      </c>
      <c r="C12" s="56" t="s">
        <v>109</v>
      </c>
      <c r="D12" s="56" t="s">
        <v>114</v>
      </c>
      <c r="E12" s="56" t="s">
        <v>111</v>
      </c>
      <c r="F12" s="57" t="s">
        <v>87</v>
      </c>
      <c r="G12" s="61"/>
      <c r="H12" s="61"/>
      <c r="I12" s="60"/>
      <c r="J12" s="53"/>
    </row>
    <row r="13" ht="24.75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118</v>
      </c>
      <c r="F13" s="57" t="s">
        <v>87</v>
      </c>
      <c r="G13" s="61"/>
      <c r="H13" s="61"/>
      <c r="I13" s="60"/>
      <c r="J13" s="53"/>
    </row>
    <row r="14" ht="24.75" customHeight="1">
      <c r="A14" s="54">
        <v>30.0</v>
      </c>
      <c r="B14" s="56" t="s">
        <v>116</v>
      </c>
      <c r="C14" s="56" t="s">
        <v>109</v>
      </c>
      <c r="D14" s="56" t="s">
        <v>117</v>
      </c>
      <c r="E14" s="56" t="s">
        <v>119</v>
      </c>
      <c r="F14" s="57" t="s">
        <v>34</v>
      </c>
      <c r="G14" s="61"/>
      <c r="H14" s="61"/>
      <c r="I14" s="60"/>
      <c r="J14" s="53"/>
    </row>
    <row r="15" ht="24.75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111</v>
      </c>
      <c r="F15" s="57" t="s">
        <v>87</v>
      </c>
      <c r="G15" s="61"/>
      <c r="H15" s="61"/>
      <c r="I15" s="60"/>
      <c r="J15" s="53"/>
    </row>
    <row r="16" ht="24.75" customHeight="1">
      <c r="A16" s="54">
        <v>30.0</v>
      </c>
      <c r="B16" s="56" t="s">
        <v>120</v>
      </c>
      <c r="C16" s="56" t="s">
        <v>109</v>
      </c>
      <c r="D16" s="56" t="s">
        <v>121</v>
      </c>
      <c r="E16" s="56" t="s">
        <v>122</v>
      </c>
      <c r="F16" s="57" t="s">
        <v>34</v>
      </c>
      <c r="G16" s="61"/>
      <c r="H16" s="61"/>
      <c r="I16" s="60"/>
      <c r="J16" s="53"/>
    </row>
    <row r="17" ht="24.75" customHeight="1">
      <c r="A17" s="54">
        <v>30.0</v>
      </c>
      <c r="B17" s="56" t="s">
        <v>123</v>
      </c>
      <c r="C17" s="56" t="s">
        <v>109</v>
      </c>
      <c r="D17" s="56" t="s">
        <v>124</v>
      </c>
      <c r="E17" s="56" t="s">
        <v>86</v>
      </c>
      <c r="F17" s="57" t="s">
        <v>87</v>
      </c>
      <c r="G17" s="61"/>
      <c r="H17" s="61"/>
      <c r="I17" s="60"/>
      <c r="J17" s="53"/>
    </row>
    <row r="18" ht="24.75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129</v>
      </c>
      <c r="F18" s="57" t="s">
        <v>34</v>
      </c>
      <c r="G18" s="61"/>
      <c r="H18" s="61"/>
      <c r="I18" s="60" t="s">
        <v>133</v>
      </c>
      <c r="J18" s="53"/>
    </row>
    <row r="19" ht="24.75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132</v>
      </c>
      <c r="F19" s="57" t="s">
        <v>34</v>
      </c>
      <c r="G19" s="61"/>
      <c r="H19" s="61"/>
      <c r="I19" s="60" t="s">
        <v>133</v>
      </c>
      <c r="J19" s="53"/>
    </row>
    <row r="20" ht="24.75" customHeight="1">
      <c r="A20" s="54">
        <v>31.0</v>
      </c>
      <c r="B20" s="56" t="s">
        <v>126</v>
      </c>
      <c r="C20" s="56" t="s">
        <v>127</v>
      </c>
      <c r="D20" s="56" t="s">
        <v>128</v>
      </c>
      <c r="E20" s="56" t="s">
        <v>134</v>
      </c>
      <c r="F20" s="57" t="s">
        <v>34</v>
      </c>
      <c r="G20" s="61"/>
      <c r="H20" s="61"/>
      <c r="I20" s="60" t="s">
        <v>133</v>
      </c>
      <c r="J20" s="53"/>
    </row>
    <row r="21" ht="24.75" customHeight="1">
      <c r="A21" s="54">
        <v>40.0</v>
      </c>
      <c r="B21" s="56" t="s">
        <v>135</v>
      </c>
      <c r="C21" s="56" t="s">
        <v>136</v>
      </c>
      <c r="D21" s="56" t="s">
        <v>137</v>
      </c>
      <c r="E21" s="56" t="s">
        <v>111</v>
      </c>
      <c r="F21" s="57" t="s">
        <v>34</v>
      </c>
      <c r="G21" s="61"/>
      <c r="H21" s="61"/>
      <c r="I21" s="60"/>
      <c r="J21" s="53"/>
    </row>
    <row r="22" ht="24.75" customHeight="1">
      <c r="A22" s="54">
        <v>40.0</v>
      </c>
      <c r="B22" s="56" t="s">
        <v>139</v>
      </c>
      <c r="C22" s="56" t="s">
        <v>101</v>
      </c>
      <c r="D22" s="56" t="s">
        <v>102</v>
      </c>
      <c r="E22" s="56" t="s">
        <v>111</v>
      </c>
      <c r="F22" s="57" t="s">
        <v>34</v>
      </c>
      <c r="G22" s="61"/>
      <c r="H22" s="61"/>
      <c r="I22" s="60"/>
      <c r="J22" s="53"/>
    </row>
    <row r="23" ht="24.75" customHeight="1">
      <c r="A23" s="54">
        <v>40.0</v>
      </c>
      <c r="B23" s="56" t="s">
        <v>140</v>
      </c>
      <c r="C23" s="56" t="s">
        <v>141</v>
      </c>
      <c r="D23" s="56" t="s">
        <v>142</v>
      </c>
      <c r="E23" s="56" t="s">
        <v>111</v>
      </c>
      <c r="F23" s="57" t="s">
        <v>34</v>
      </c>
      <c r="G23" s="61"/>
      <c r="H23" s="61"/>
      <c r="I23" s="60"/>
      <c r="J23" s="53"/>
    </row>
    <row r="24" ht="24.75" customHeight="1">
      <c r="A24" s="54">
        <v>40.0</v>
      </c>
      <c r="B24" s="56" t="s">
        <v>143</v>
      </c>
      <c r="C24" s="56" t="s">
        <v>144</v>
      </c>
      <c r="D24" s="56" t="s">
        <v>145</v>
      </c>
      <c r="E24" s="56" t="s">
        <v>111</v>
      </c>
      <c r="F24" s="57" t="s">
        <v>34</v>
      </c>
      <c r="G24" s="61"/>
      <c r="H24" s="61"/>
      <c r="I24" s="60"/>
      <c r="J24" s="53"/>
    </row>
    <row r="25" ht="24.75" customHeight="1">
      <c r="A25" s="54">
        <v>50.0</v>
      </c>
      <c r="B25" s="56" t="s">
        <v>147</v>
      </c>
      <c r="C25" s="56" t="s">
        <v>148</v>
      </c>
      <c r="D25" s="56" t="s">
        <v>149</v>
      </c>
      <c r="E25" s="56" t="s">
        <v>150</v>
      </c>
      <c r="F25" s="57" t="s">
        <v>34</v>
      </c>
      <c r="G25" s="61"/>
      <c r="H25" s="61"/>
      <c r="I25" s="60"/>
      <c r="J25" s="53"/>
    </row>
    <row r="26" ht="24.75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111</v>
      </c>
      <c r="F26" s="57" t="s">
        <v>34</v>
      </c>
      <c r="G26" s="61"/>
      <c r="H26" s="61"/>
      <c r="I26" s="60"/>
      <c r="J26" s="53"/>
    </row>
    <row r="27" ht="24.75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153</v>
      </c>
      <c r="F27" s="57" t="s">
        <v>154</v>
      </c>
      <c r="G27" s="61"/>
      <c r="H27" s="61"/>
      <c r="I27" s="60"/>
      <c r="J27" s="53"/>
    </row>
    <row r="28" ht="24.75" hidden="1" customHeight="1">
      <c r="A28" s="54">
        <v>50.0</v>
      </c>
      <c r="B28" s="56" t="s">
        <v>151</v>
      </c>
      <c r="C28" s="56" t="s">
        <v>152</v>
      </c>
      <c r="D28" s="56" t="s">
        <v>152</v>
      </c>
      <c r="E28" s="56" t="s">
        <v>155</v>
      </c>
      <c r="F28" s="57" t="s">
        <v>250</v>
      </c>
      <c r="G28" s="61"/>
      <c r="H28" s="61" t="s">
        <v>159</v>
      </c>
      <c r="I28" s="62" t="s">
        <v>160</v>
      </c>
      <c r="J28" s="53"/>
    </row>
    <row r="29" ht="24.75" customHeight="1">
      <c r="A29" s="54">
        <v>50.0</v>
      </c>
      <c r="B29" s="56" t="s">
        <v>156</v>
      </c>
      <c r="C29" s="56" t="s">
        <v>152</v>
      </c>
      <c r="D29" s="56" t="s">
        <v>157</v>
      </c>
      <c r="E29" s="56" t="s">
        <v>158</v>
      </c>
      <c r="F29" s="57" t="s">
        <v>34</v>
      </c>
      <c r="G29" s="61"/>
      <c r="H29" s="61"/>
      <c r="I29" s="60"/>
      <c r="J29" s="53"/>
    </row>
    <row r="30" ht="24.75" customHeight="1">
      <c r="A30" s="54">
        <v>50.0</v>
      </c>
      <c r="B30" s="56" t="s">
        <v>161</v>
      </c>
      <c r="C30" s="56" t="s">
        <v>152</v>
      </c>
      <c r="D30" s="56" t="s">
        <v>162</v>
      </c>
      <c r="E30" s="56" t="s">
        <v>163</v>
      </c>
      <c r="F30" s="57" t="s">
        <v>34</v>
      </c>
      <c r="G30" s="61"/>
      <c r="H30" s="61"/>
      <c r="I30" s="60"/>
      <c r="J30" s="53"/>
    </row>
    <row r="31" ht="24.75" customHeight="1">
      <c r="A31" s="54">
        <v>60.0</v>
      </c>
      <c r="B31" s="56" t="s">
        <v>164</v>
      </c>
      <c r="C31" s="56" t="s">
        <v>165</v>
      </c>
      <c r="D31" s="56" t="s">
        <v>166</v>
      </c>
      <c r="E31" s="56" t="s">
        <v>167</v>
      </c>
      <c r="F31" s="57" t="s">
        <v>154</v>
      </c>
      <c r="G31" s="61"/>
      <c r="H31" s="61"/>
      <c r="I31" s="60"/>
      <c r="J31" s="53"/>
    </row>
    <row r="32" ht="24.75" customHeight="1">
      <c r="A32" s="54">
        <v>60.0</v>
      </c>
      <c r="B32" s="56" t="s">
        <v>169</v>
      </c>
      <c r="C32" s="56" t="s">
        <v>165</v>
      </c>
      <c r="D32" s="56" t="s">
        <v>170</v>
      </c>
      <c r="E32" s="56" t="s">
        <v>167</v>
      </c>
      <c r="F32" s="57" t="s">
        <v>154</v>
      </c>
      <c r="G32" s="61"/>
      <c r="H32" s="61"/>
      <c r="I32" s="60"/>
      <c r="J32" s="53"/>
    </row>
    <row r="33" ht="24.75" customHeight="1">
      <c r="A33" s="54">
        <v>60.0</v>
      </c>
      <c r="B33" s="56" t="s">
        <v>171</v>
      </c>
      <c r="C33" s="56" t="s">
        <v>165</v>
      </c>
      <c r="D33" s="56" t="s">
        <v>172</v>
      </c>
      <c r="E33" s="56" t="s">
        <v>167</v>
      </c>
      <c r="F33" s="57" t="s">
        <v>154</v>
      </c>
      <c r="G33" s="61"/>
      <c r="H33" s="61"/>
      <c r="I33" s="60"/>
      <c r="J33" s="53"/>
    </row>
    <row r="34" ht="24.75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167</v>
      </c>
      <c r="F34" s="57" t="s">
        <v>154</v>
      </c>
      <c r="G34" s="61"/>
      <c r="H34" s="61"/>
      <c r="I34" s="60"/>
      <c r="J34" s="53"/>
    </row>
    <row r="35" ht="24.75" customHeight="1">
      <c r="A35" s="54">
        <v>60.0</v>
      </c>
      <c r="B35" s="56" t="s">
        <v>174</v>
      </c>
      <c r="C35" s="56" t="s">
        <v>165</v>
      </c>
      <c r="D35" s="56" t="s">
        <v>175</v>
      </c>
      <c r="E35" s="56" t="s">
        <v>176</v>
      </c>
      <c r="F35" s="57" t="s">
        <v>154</v>
      </c>
      <c r="G35" s="61"/>
      <c r="H35" s="61"/>
      <c r="I35" s="60"/>
      <c r="J35" s="53"/>
    </row>
    <row r="36" ht="24.75" customHeight="1">
      <c r="A36" s="54">
        <v>60.0</v>
      </c>
      <c r="B36" s="56" t="s">
        <v>177</v>
      </c>
      <c r="C36" s="56" t="s">
        <v>165</v>
      </c>
      <c r="D36" s="56" t="s">
        <v>178</v>
      </c>
      <c r="E36" s="56" t="s">
        <v>111</v>
      </c>
      <c r="F36" s="57" t="s">
        <v>154</v>
      </c>
      <c r="G36" s="61"/>
      <c r="H36" s="61"/>
      <c r="I36" s="60"/>
      <c r="J36" s="53"/>
    </row>
    <row r="37" ht="24.75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167</v>
      </c>
      <c r="F37" s="57" t="s">
        <v>154</v>
      </c>
      <c r="G37" s="61"/>
      <c r="H37" s="61"/>
      <c r="I37" s="60"/>
      <c r="J37" s="53"/>
    </row>
    <row r="38" ht="24.75" customHeight="1">
      <c r="A38" s="54">
        <v>60.0</v>
      </c>
      <c r="B38" s="56" t="s">
        <v>179</v>
      </c>
      <c r="C38" s="56" t="s">
        <v>165</v>
      </c>
      <c r="D38" s="56" t="s">
        <v>180</v>
      </c>
      <c r="E38" s="56" t="s">
        <v>176</v>
      </c>
      <c r="F38" s="57" t="s">
        <v>154</v>
      </c>
      <c r="G38" s="61"/>
      <c r="H38" s="61"/>
      <c r="I38" s="60"/>
      <c r="J38" s="53"/>
    </row>
    <row r="39" ht="24.75" customHeight="1">
      <c r="A39" s="54">
        <v>60.0</v>
      </c>
      <c r="B39" s="56" t="s">
        <v>181</v>
      </c>
      <c r="C39" s="56" t="s">
        <v>165</v>
      </c>
      <c r="D39" s="56" t="s">
        <v>178</v>
      </c>
      <c r="E39" s="56" t="s">
        <v>167</v>
      </c>
      <c r="F39" s="57" t="s">
        <v>154</v>
      </c>
      <c r="G39" s="61"/>
      <c r="H39" s="61"/>
      <c r="I39" s="60"/>
      <c r="J39" s="53"/>
    </row>
    <row r="40" ht="24.75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167</v>
      </c>
      <c r="F40" s="57" t="s">
        <v>154</v>
      </c>
      <c r="G40" s="61"/>
      <c r="H40" s="61"/>
      <c r="I40" s="60"/>
      <c r="J40" s="53"/>
    </row>
    <row r="41" ht="24.75" customHeight="1">
      <c r="A41" s="54">
        <v>60.0</v>
      </c>
      <c r="B41" s="56" t="s">
        <v>182</v>
      </c>
      <c r="C41" s="56" t="s">
        <v>165</v>
      </c>
      <c r="D41" s="56" t="s">
        <v>183</v>
      </c>
      <c r="E41" s="56" t="s">
        <v>176</v>
      </c>
      <c r="F41" s="57" t="s">
        <v>154</v>
      </c>
      <c r="G41" s="61"/>
      <c r="H41" s="61"/>
      <c r="I41" s="60"/>
      <c r="J41" s="53"/>
    </row>
    <row r="42" ht="24.75" customHeight="1">
      <c r="A42" s="54">
        <v>60.0</v>
      </c>
      <c r="B42" s="56" t="s">
        <v>184</v>
      </c>
      <c r="C42" s="56" t="s">
        <v>165</v>
      </c>
      <c r="D42" s="56" t="s">
        <v>178</v>
      </c>
      <c r="E42" s="56" t="s">
        <v>167</v>
      </c>
      <c r="F42" s="57" t="s">
        <v>154</v>
      </c>
      <c r="G42" s="61"/>
      <c r="H42" s="61"/>
      <c r="I42" s="60"/>
      <c r="J42" s="53"/>
    </row>
    <row r="43" ht="24.75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167</v>
      </c>
      <c r="F43" s="57" t="s">
        <v>154</v>
      </c>
      <c r="G43" s="61"/>
      <c r="H43" s="61"/>
      <c r="I43" s="60"/>
      <c r="J43" s="53"/>
    </row>
    <row r="44" ht="24.75" customHeight="1">
      <c r="A44" s="54">
        <v>60.0</v>
      </c>
      <c r="B44" s="56" t="s">
        <v>185</v>
      </c>
      <c r="C44" s="56" t="s">
        <v>165</v>
      </c>
      <c r="D44" s="56" t="s">
        <v>186</v>
      </c>
      <c r="E44" s="56" t="s">
        <v>176</v>
      </c>
      <c r="F44" s="57" t="s">
        <v>154</v>
      </c>
      <c r="G44" s="61"/>
      <c r="H44" s="61"/>
      <c r="I44" s="60"/>
      <c r="J44" s="53"/>
    </row>
    <row r="45" ht="24.75" customHeight="1">
      <c r="A45" s="54">
        <v>60.0</v>
      </c>
      <c r="B45" s="56" t="s">
        <v>187</v>
      </c>
      <c r="C45" s="56" t="s">
        <v>165</v>
      </c>
      <c r="D45" s="56" t="s">
        <v>178</v>
      </c>
      <c r="E45" s="56" t="s">
        <v>167</v>
      </c>
      <c r="F45" s="57" t="s">
        <v>154</v>
      </c>
      <c r="G45" s="61"/>
      <c r="H45" s="61"/>
      <c r="I45" s="60"/>
      <c r="J45" s="53"/>
    </row>
    <row r="46" ht="24.75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191</v>
      </c>
      <c r="F46" s="57" t="s">
        <v>192</v>
      </c>
      <c r="G46" s="61"/>
      <c r="H46" s="61"/>
      <c r="I46" s="60"/>
      <c r="J46" s="53"/>
    </row>
    <row r="47" ht="24.75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194</v>
      </c>
      <c r="F47" s="57" t="s">
        <v>192</v>
      </c>
      <c r="G47" s="61"/>
      <c r="H47" s="61"/>
      <c r="I47" s="60"/>
      <c r="J47" s="53"/>
    </row>
    <row r="48" ht="24.75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195</v>
      </c>
      <c r="F48" s="57" t="s">
        <v>34</v>
      </c>
      <c r="G48" s="61"/>
      <c r="H48" s="61" t="s">
        <v>197</v>
      </c>
      <c r="I48" s="60"/>
      <c r="J48" s="53"/>
    </row>
    <row r="49" ht="24.75" hidden="1" customHeight="1">
      <c r="A49" s="54">
        <v>80.0</v>
      </c>
      <c r="B49" s="56" t="s">
        <v>188</v>
      </c>
      <c r="C49" s="56" t="s">
        <v>189</v>
      </c>
      <c r="D49" s="56" t="s">
        <v>190</v>
      </c>
      <c r="E49" s="56" t="s">
        <v>196</v>
      </c>
      <c r="F49" s="57" t="s">
        <v>250</v>
      </c>
      <c r="G49" s="61"/>
      <c r="H49" s="61" t="s">
        <v>200</v>
      </c>
      <c r="I49" s="62" t="s">
        <v>201</v>
      </c>
      <c r="J49" s="53"/>
    </row>
    <row r="50" ht="24.75" customHeight="1">
      <c r="A50" s="54">
        <v>80.0</v>
      </c>
      <c r="B50" s="56" t="s">
        <v>198</v>
      </c>
      <c r="C50" s="56" t="s">
        <v>189</v>
      </c>
      <c r="D50" s="56" t="s">
        <v>199</v>
      </c>
      <c r="E50" s="56" t="s">
        <v>163</v>
      </c>
      <c r="F50" s="57" t="s">
        <v>154</v>
      </c>
      <c r="G50" s="61"/>
      <c r="H50" s="61"/>
      <c r="I50" s="60"/>
      <c r="J50" s="53"/>
    </row>
    <row r="51" ht="24.75" customHeight="1">
      <c r="A51" s="54">
        <v>80.0</v>
      </c>
      <c r="B51" s="56" t="s">
        <v>203</v>
      </c>
      <c r="C51" s="56" t="s">
        <v>204</v>
      </c>
      <c r="D51" s="56" t="s">
        <v>205</v>
      </c>
      <c r="E51" s="56" t="s">
        <v>208</v>
      </c>
      <c r="F51" s="57" t="s">
        <v>154</v>
      </c>
      <c r="G51" s="61"/>
      <c r="H51" s="61"/>
      <c r="I51" s="60"/>
      <c r="J51" s="53"/>
    </row>
    <row r="52" ht="24.75" hidden="1" customHeight="1">
      <c r="A52" s="54">
        <v>80.0</v>
      </c>
      <c r="B52" s="56" t="s">
        <v>210</v>
      </c>
      <c r="C52" s="56" t="s">
        <v>189</v>
      </c>
      <c r="D52" s="56" t="s">
        <v>212</v>
      </c>
      <c r="E52" s="56" t="s">
        <v>213</v>
      </c>
      <c r="F52" s="57"/>
      <c r="G52" s="61"/>
      <c r="H52" s="61"/>
      <c r="I52" s="62"/>
      <c r="J52" s="53"/>
    </row>
    <row r="53" ht="24.75" customHeight="1">
      <c r="A53" s="54">
        <v>80.0</v>
      </c>
      <c r="B53" s="56" t="s">
        <v>214</v>
      </c>
      <c r="C53" s="56" t="s">
        <v>204</v>
      </c>
      <c r="D53" s="56" t="s">
        <v>215</v>
      </c>
      <c r="E53" s="56" t="s">
        <v>216</v>
      </c>
      <c r="F53" s="57" t="s">
        <v>154</v>
      </c>
      <c r="G53" s="61"/>
      <c r="H53" s="61"/>
      <c r="I53" s="60"/>
      <c r="J53" s="53"/>
    </row>
    <row r="54" ht="24.75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217</v>
      </c>
      <c r="F54" s="57" t="s">
        <v>154</v>
      </c>
      <c r="G54" s="61"/>
      <c r="H54" s="61"/>
      <c r="I54" s="60"/>
      <c r="J54" s="53"/>
    </row>
    <row r="55" ht="24.75" customHeight="1">
      <c r="A55" s="54">
        <v>80.0</v>
      </c>
      <c r="B55" s="56" t="s">
        <v>214</v>
      </c>
      <c r="C55" s="56" t="s">
        <v>204</v>
      </c>
      <c r="D55" s="56" t="s">
        <v>215</v>
      </c>
      <c r="E55" s="56" t="s">
        <v>163</v>
      </c>
      <c r="F55" s="57" t="s">
        <v>154</v>
      </c>
      <c r="G55" s="61"/>
      <c r="H55" s="61"/>
      <c r="I55" s="60"/>
      <c r="J55" s="53"/>
    </row>
    <row r="56" ht="24.75" customHeight="1">
      <c r="A56" s="54">
        <v>80.0</v>
      </c>
      <c r="B56" s="56" t="s">
        <v>218</v>
      </c>
      <c r="C56" s="56" t="s">
        <v>204</v>
      </c>
      <c r="D56" s="56" t="s">
        <v>219</v>
      </c>
      <c r="E56" s="56" t="s">
        <v>191</v>
      </c>
      <c r="F56" s="57" t="s">
        <v>192</v>
      </c>
      <c r="G56" s="61"/>
      <c r="H56" s="61"/>
      <c r="I56" s="60"/>
      <c r="J56" s="53"/>
    </row>
    <row r="57" ht="24.75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194</v>
      </c>
      <c r="F57" s="57" t="s">
        <v>192</v>
      </c>
      <c r="G57" s="61"/>
      <c r="H57" s="61"/>
      <c r="I57" s="60"/>
      <c r="J57" s="53"/>
    </row>
    <row r="58" ht="24.75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195</v>
      </c>
      <c r="F58" s="57" t="s">
        <v>34</v>
      </c>
      <c r="G58" s="61"/>
      <c r="H58" s="61" t="s">
        <v>197</v>
      </c>
      <c r="I58" s="60"/>
      <c r="J58" s="53"/>
    </row>
    <row r="59" ht="24.75" hidden="1" customHeight="1">
      <c r="A59" s="54">
        <v>80.0</v>
      </c>
      <c r="B59" s="56" t="s">
        <v>218</v>
      </c>
      <c r="C59" s="56" t="s">
        <v>204</v>
      </c>
      <c r="D59" s="56" t="s">
        <v>219</v>
      </c>
      <c r="E59" s="56" t="s">
        <v>196</v>
      </c>
      <c r="F59" s="57" t="s">
        <v>250</v>
      </c>
      <c r="G59" s="61"/>
      <c r="H59" s="61" t="s">
        <v>200</v>
      </c>
      <c r="I59" s="62" t="s">
        <v>201</v>
      </c>
      <c r="J59" s="53"/>
    </row>
    <row r="60" ht="24.75" customHeight="1">
      <c r="A60" s="54">
        <v>80.0</v>
      </c>
      <c r="B60" s="56" t="s">
        <v>220</v>
      </c>
      <c r="C60" s="56" t="s">
        <v>204</v>
      </c>
      <c r="D60" s="56" t="s">
        <v>221</v>
      </c>
      <c r="E60" s="56" t="s">
        <v>222</v>
      </c>
      <c r="F60" s="57" t="s">
        <v>154</v>
      </c>
      <c r="G60" s="61"/>
      <c r="H60" s="61"/>
      <c r="I60" s="60"/>
      <c r="J60" s="53"/>
    </row>
    <row r="61" ht="24.75" customHeight="1">
      <c r="A61" s="54">
        <v>80.0</v>
      </c>
      <c r="B61" s="56" t="s">
        <v>223</v>
      </c>
      <c r="C61" s="56" t="s">
        <v>204</v>
      </c>
      <c r="D61" s="56" t="s">
        <v>224</v>
      </c>
      <c r="E61" s="56" t="s">
        <v>225</v>
      </c>
      <c r="F61" s="57" t="s">
        <v>34</v>
      </c>
      <c r="G61" s="61"/>
      <c r="H61" s="61"/>
      <c r="I61" s="60"/>
      <c r="J61" s="53"/>
    </row>
    <row r="62" ht="24.75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167</v>
      </c>
      <c r="F62" s="57" t="s">
        <v>154</v>
      </c>
      <c r="G62" s="61"/>
      <c r="H62" s="61"/>
      <c r="I62" s="60"/>
      <c r="J62" s="53"/>
    </row>
    <row r="63" ht="24.75" customHeight="1">
      <c r="A63" s="54">
        <v>80.0</v>
      </c>
      <c r="B63" s="56" t="s">
        <v>223</v>
      </c>
      <c r="C63" s="56" t="s">
        <v>204</v>
      </c>
      <c r="D63" s="56" t="s">
        <v>224</v>
      </c>
      <c r="E63" s="56" t="s">
        <v>226</v>
      </c>
      <c r="F63" s="57" t="s">
        <v>154</v>
      </c>
      <c r="G63" s="61"/>
      <c r="H63" s="61"/>
      <c r="I63" s="60"/>
      <c r="J63" s="53"/>
    </row>
    <row r="64" ht="24.75" customHeight="1">
      <c r="A64" s="54">
        <v>80.0</v>
      </c>
      <c r="B64" s="56" t="s">
        <v>227</v>
      </c>
      <c r="C64" s="56" t="s">
        <v>228</v>
      </c>
      <c r="D64" s="56" t="s">
        <v>229</v>
      </c>
      <c r="E64" s="56" t="s">
        <v>230</v>
      </c>
      <c r="F64" s="57" t="s">
        <v>154</v>
      </c>
      <c r="G64" s="61"/>
      <c r="H64" s="61"/>
      <c r="I64" s="60"/>
      <c r="J64" s="53"/>
    </row>
    <row r="65" ht="24.75" hidden="1" customHeight="1">
      <c r="A65" s="54">
        <v>80.0</v>
      </c>
      <c r="B65" s="56" t="s">
        <v>227</v>
      </c>
      <c r="C65" s="56" t="s">
        <v>228</v>
      </c>
      <c r="D65" s="56" t="s">
        <v>231</v>
      </c>
      <c r="E65" s="56" t="s">
        <v>232</v>
      </c>
      <c r="F65" s="57" t="s">
        <v>250</v>
      </c>
      <c r="G65" s="61"/>
      <c r="H65" s="61" t="s">
        <v>200</v>
      </c>
      <c r="I65" s="62" t="s">
        <v>240</v>
      </c>
      <c r="J65" s="53"/>
    </row>
    <row r="66" ht="24.75" customHeight="1">
      <c r="A66" s="54">
        <v>92.0</v>
      </c>
      <c r="B66" s="56" t="s">
        <v>233</v>
      </c>
      <c r="C66" s="56" t="s">
        <v>234</v>
      </c>
      <c r="D66" s="56" t="s">
        <v>235</v>
      </c>
      <c r="E66" s="56" t="s">
        <v>111</v>
      </c>
      <c r="F66" s="57" t="s">
        <v>87</v>
      </c>
      <c r="G66" s="61"/>
      <c r="H66" s="61"/>
      <c r="I66" s="60" t="s">
        <v>243</v>
      </c>
      <c r="J66" s="53"/>
    </row>
    <row r="67" ht="24.75" customHeight="1">
      <c r="A67" s="54">
        <v>90.0</v>
      </c>
      <c r="B67" s="56" t="s">
        <v>236</v>
      </c>
      <c r="C67" s="56" t="s">
        <v>237</v>
      </c>
      <c r="D67" s="56" t="s">
        <v>238</v>
      </c>
      <c r="E67" s="56" t="s">
        <v>239</v>
      </c>
      <c r="F67" s="57" t="s">
        <v>34</v>
      </c>
      <c r="G67" s="61"/>
      <c r="H67" s="61"/>
      <c r="I67" s="60" t="s">
        <v>245</v>
      </c>
      <c r="J67" s="53"/>
    </row>
    <row r="68" ht="24.75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241</v>
      </c>
      <c r="F68" s="57" t="s">
        <v>34</v>
      </c>
      <c r="G68" s="61"/>
      <c r="H68" s="61"/>
      <c r="I68" s="60" t="s">
        <v>245</v>
      </c>
      <c r="J68" s="53"/>
    </row>
    <row r="69" ht="24.75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242</v>
      </c>
      <c r="F69" s="57" t="s">
        <v>34</v>
      </c>
      <c r="G69" s="61"/>
      <c r="H69" s="61"/>
      <c r="I69" s="60" t="s">
        <v>245</v>
      </c>
      <c r="J69" s="53"/>
    </row>
    <row r="70" ht="24.75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244</v>
      </c>
      <c r="F70" s="57" t="s">
        <v>34</v>
      </c>
      <c r="G70" s="61"/>
      <c r="H70" s="61"/>
      <c r="I70" s="60" t="s">
        <v>245</v>
      </c>
      <c r="J70" s="53"/>
    </row>
    <row r="71" ht="24.75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247</v>
      </c>
      <c r="F71" s="57" t="s">
        <v>34</v>
      </c>
      <c r="G71" s="61"/>
      <c r="H71" s="61"/>
      <c r="I71" s="60" t="s">
        <v>245</v>
      </c>
      <c r="J71" s="53"/>
    </row>
    <row r="72" ht="24.75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248</v>
      </c>
      <c r="F72" s="57" t="s">
        <v>34</v>
      </c>
      <c r="G72" s="61"/>
      <c r="H72" s="61"/>
      <c r="I72" s="60"/>
      <c r="J72" s="53"/>
    </row>
    <row r="73" ht="24.75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252</v>
      </c>
      <c r="F73" s="57" t="s">
        <v>34</v>
      </c>
      <c r="G73" s="61"/>
      <c r="H73" s="61"/>
      <c r="I73" s="60" t="s">
        <v>245</v>
      </c>
      <c r="J73" s="53"/>
    </row>
    <row r="74" ht="24.75" customHeight="1">
      <c r="A74" s="54">
        <v>92.0</v>
      </c>
      <c r="B74" s="56" t="s">
        <v>253</v>
      </c>
      <c r="C74" s="56" t="s">
        <v>234</v>
      </c>
      <c r="D74" s="56" t="s">
        <v>254</v>
      </c>
      <c r="E74" s="56" t="s">
        <v>111</v>
      </c>
      <c r="F74" s="57" t="s">
        <v>87</v>
      </c>
      <c r="G74" s="61"/>
      <c r="H74" s="61"/>
      <c r="I74" s="60" t="s">
        <v>243</v>
      </c>
      <c r="J74" s="53"/>
    </row>
    <row r="75" ht="24.75" customHeight="1">
      <c r="A75" s="54">
        <v>92.0</v>
      </c>
      <c r="B75" s="56" t="s">
        <v>255</v>
      </c>
      <c r="C75" s="56" t="s">
        <v>234</v>
      </c>
      <c r="D75" s="56" t="s">
        <v>256</v>
      </c>
      <c r="E75" s="56" t="s">
        <v>257</v>
      </c>
      <c r="F75" s="57" t="s">
        <v>87</v>
      </c>
      <c r="G75" s="61"/>
      <c r="H75" s="61"/>
      <c r="I75" s="60"/>
      <c r="J75" s="53"/>
    </row>
    <row r="76" ht="24.75" customHeight="1">
      <c r="A76" s="54">
        <v>110.0</v>
      </c>
      <c r="B76" s="56" t="s">
        <v>258</v>
      </c>
      <c r="C76" s="56" t="s">
        <v>259</v>
      </c>
      <c r="D76" s="56" t="s">
        <v>85</v>
      </c>
      <c r="E76" s="56" t="s">
        <v>86</v>
      </c>
      <c r="F76" s="57" t="s">
        <v>87</v>
      </c>
      <c r="G76" s="61"/>
      <c r="H76" s="61"/>
      <c r="I76" s="60" t="s">
        <v>88</v>
      </c>
      <c r="J76" s="53"/>
    </row>
    <row r="77" ht="24.75" customHeight="1">
      <c r="A77" s="54">
        <v>110.0</v>
      </c>
      <c r="B77" s="56" t="s">
        <v>260</v>
      </c>
      <c r="C77" s="56" t="s">
        <v>259</v>
      </c>
      <c r="D77" s="56" t="s">
        <v>261</v>
      </c>
      <c r="E77" s="56" t="s">
        <v>86</v>
      </c>
      <c r="F77" s="57" t="s">
        <v>87</v>
      </c>
      <c r="G77" s="61"/>
      <c r="H77" s="61"/>
      <c r="I77" s="60" t="s">
        <v>88</v>
      </c>
      <c r="J77" s="53"/>
    </row>
    <row r="78" ht="24.75" customHeight="1">
      <c r="A78" s="54">
        <v>120.0</v>
      </c>
      <c r="B78" s="56" t="s">
        <v>262</v>
      </c>
      <c r="C78" s="56" t="s">
        <v>263</v>
      </c>
      <c r="D78" s="56" t="s">
        <v>263</v>
      </c>
      <c r="E78" s="56" t="s">
        <v>264</v>
      </c>
      <c r="F78" s="57" t="s">
        <v>87</v>
      </c>
      <c r="G78" s="61"/>
      <c r="H78" s="61"/>
      <c r="I78" s="60" t="s">
        <v>273</v>
      </c>
      <c r="J78" s="53"/>
    </row>
    <row r="79" ht="24.75" customHeight="1">
      <c r="A79" s="54">
        <v>90.0</v>
      </c>
      <c r="B79" s="56" t="s">
        <v>265</v>
      </c>
      <c r="C79" s="56" t="s">
        <v>237</v>
      </c>
      <c r="D79" s="56" t="s">
        <v>266</v>
      </c>
      <c r="E79" s="56" t="s">
        <v>267</v>
      </c>
      <c r="F79" s="57" t="s">
        <v>192</v>
      </c>
      <c r="G79" s="61"/>
      <c r="H79" s="61"/>
      <c r="I79" s="60" t="s">
        <v>245</v>
      </c>
      <c r="J79" s="53"/>
    </row>
    <row r="80" ht="24.75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268</v>
      </c>
      <c r="F80" s="57" t="s">
        <v>34</v>
      </c>
      <c r="G80" s="61"/>
      <c r="H80" s="61"/>
      <c r="I80" s="60" t="s">
        <v>245</v>
      </c>
      <c r="J80" s="53"/>
    </row>
    <row r="81" ht="24.75" customHeight="1">
      <c r="A81" s="54">
        <v>140.0</v>
      </c>
      <c r="B81" s="56" t="s">
        <v>269</v>
      </c>
      <c r="C81" s="56" t="s">
        <v>270</v>
      </c>
      <c r="D81" s="56" t="s">
        <v>271</v>
      </c>
      <c r="E81" s="56" t="s">
        <v>272</v>
      </c>
      <c r="F81" s="57" t="s">
        <v>87</v>
      </c>
      <c r="G81" s="61"/>
      <c r="H81" s="61"/>
      <c r="I81" s="60"/>
      <c r="J81" s="53"/>
    </row>
    <row r="82" ht="24.75" customHeight="1">
      <c r="A82" s="54">
        <v>90.0</v>
      </c>
      <c r="B82" s="56" t="s">
        <v>274</v>
      </c>
      <c r="C82" s="56" t="s">
        <v>237</v>
      </c>
      <c r="D82" s="56" t="s">
        <v>275</v>
      </c>
      <c r="E82" s="56" t="s">
        <v>239</v>
      </c>
      <c r="F82" s="57" t="s">
        <v>34</v>
      </c>
      <c r="G82" s="61"/>
      <c r="H82" s="61"/>
      <c r="I82" s="60" t="s">
        <v>245</v>
      </c>
      <c r="J82" s="53"/>
    </row>
    <row r="83" ht="24.75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248</v>
      </c>
      <c r="F83" s="57" t="s">
        <v>34</v>
      </c>
      <c r="G83" s="61"/>
      <c r="H83" s="61"/>
      <c r="I83" s="60"/>
      <c r="J83" s="53"/>
    </row>
    <row r="84" ht="24.75" customHeight="1">
      <c r="A84" s="54">
        <v>140.0</v>
      </c>
      <c r="B84" s="56" t="s">
        <v>269</v>
      </c>
      <c r="C84" s="56" t="s">
        <v>270</v>
      </c>
      <c r="D84" s="56" t="s">
        <v>271</v>
      </c>
      <c r="E84" s="56" t="s">
        <v>276</v>
      </c>
      <c r="F84" s="57" t="s">
        <v>87</v>
      </c>
      <c r="G84" s="61"/>
      <c r="H84" s="61"/>
      <c r="I84" s="60" t="s">
        <v>88</v>
      </c>
      <c r="J84" s="53"/>
    </row>
    <row r="85" ht="24.75" customHeight="1">
      <c r="A85" s="54">
        <v>90.0</v>
      </c>
      <c r="B85" s="56" t="s">
        <v>277</v>
      </c>
      <c r="C85" s="56" t="s">
        <v>278</v>
      </c>
      <c r="D85" s="56" t="s">
        <v>279</v>
      </c>
      <c r="E85" s="56" t="s">
        <v>239</v>
      </c>
      <c r="F85" s="57" t="s">
        <v>34</v>
      </c>
      <c r="G85" s="61"/>
      <c r="H85" s="61"/>
      <c r="I85" s="60" t="s">
        <v>283</v>
      </c>
      <c r="J85" s="53"/>
    </row>
    <row r="86" ht="24.75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163</v>
      </c>
      <c r="F86" s="57" t="s">
        <v>34</v>
      </c>
      <c r="G86" s="61"/>
      <c r="H86" s="61"/>
      <c r="I86" s="60" t="s">
        <v>283</v>
      </c>
      <c r="J86" s="53"/>
    </row>
    <row r="87" ht="24.75" customHeight="1">
      <c r="A87" s="54">
        <v>90.0</v>
      </c>
      <c r="B87" s="56" t="s">
        <v>277</v>
      </c>
      <c r="C87" s="56" t="s">
        <v>278</v>
      </c>
      <c r="D87" s="56" t="s">
        <v>279</v>
      </c>
      <c r="E87" s="56" t="s">
        <v>241</v>
      </c>
      <c r="F87" s="57" t="s">
        <v>34</v>
      </c>
      <c r="G87" s="61"/>
      <c r="H87" s="61"/>
      <c r="I87" s="60" t="s">
        <v>283</v>
      </c>
      <c r="J87" s="53"/>
    </row>
    <row r="88" ht="24.75" hidden="1" customHeight="1">
      <c r="A88" s="54">
        <v>90.0</v>
      </c>
      <c r="B88" s="56" t="s">
        <v>280</v>
      </c>
      <c r="C88" s="56" t="s">
        <v>278</v>
      </c>
      <c r="D88" s="56" t="s">
        <v>281</v>
      </c>
      <c r="E88" s="56" t="s">
        <v>196</v>
      </c>
      <c r="F88" s="57" t="s">
        <v>250</v>
      </c>
      <c r="G88" s="61"/>
      <c r="H88" s="61" t="s">
        <v>287</v>
      </c>
      <c r="I88" s="62" t="s">
        <v>288</v>
      </c>
      <c r="J88" s="53"/>
    </row>
    <row r="89" ht="24.75" customHeight="1">
      <c r="A89" s="54">
        <v>140.0</v>
      </c>
      <c r="B89" s="56" t="s">
        <v>284</v>
      </c>
      <c r="C89" s="56" t="s">
        <v>270</v>
      </c>
      <c r="D89" s="56" t="s">
        <v>285</v>
      </c>
      <c r="E89" s="56" t="s">
        <v>272</v>
      </c>
      <c r="F89" s="57" t="s">
        <v>87</v>
      </c>
      <c r="G89" s="61"/>
      <c r="H89" s="61"/>
      <c r="I89" s="60"/>
      <c r="J89" s="53"/>
    </row>
    <row r="90" ht="24.75" customHeight="1">
      <c r="A90" s="54">
        <v>140.0</v>
      </c>
      <c r="B90" s="56" t="s">
        <v>284</v>
      </c>
      <c r="C90" s="56" t="s">
        <v>270</v>
      </c>
      <c r="D90" s="56" t="s">
        <v>285</v>
      </c>
      <c r="E90" s="56" t="s">
        <v>276</v>
      </c>
      <c r="F90" s="57" t="s">
        <v>87</v>
      </c>
      <c r="G90" s="61"/>
      <c r="H90" s="61"/>
      <c r="I90" s="60" t="s">
        <v>88</v>
      </c>
      <c r="J90" s="53"/>
    </row>
    <row r="91" ht="24.75" customHeight="1">
      <c r="A91" s="54">
        <v>90.0</v>
      </c>
      <c r="B91" s="56" t="s">
        <v>286</v>
      </c>
      <c r="C91" s="56" t="s">
        <v>278</v>
      </c>
      <c r="D91" s="56" t="s">
        <v>266</v>
      </c>
      <c r="E91" s="56" t="s">
        <v>268</v>
      </c>
      <c r="F91" s="57" t="s">
        <v>34</v>
      </c>
      <c r="G91" s="61"/>
      <c r="H91" s="61"/>
      <c r="I91" s="60" t="s">
        <v>283</v>
      </c>
      <c r="J91" s="53"/>
    </row>
    <row r="92" ht="24.75" customHeight="1">
      <c r="A92" s="54" t="s">
        <v>289</v>
      </c>
      <c r="B92" s="56" t="s">
        <v>290</v>
      </c>
      <c r="C92" s="56" t="s">
        <v>291</v>
      </c>
      <c r="D92" s="56" t="s">
        <v>292</v>
      </c>
      <c r="E92" s="56" t="s">
        <v>167</v>
      </c>
      <c r="F92" s="57" t="s">
        <v>87</v>
      </c>
      <c r="G92" s="61"/>
      <c r="H92" s="79"/>
      <c r="I92" s="60"/>
      <c r="J92" s="53"/>
    </row>
    <row r="93" ht="24.75" customHeight="1">
      <c r="A93" s="54">
        <v>90.0</v>
      </c>
      <c r="B93" s="56" t="s">
        <v>294</v>
      </c>
      <c r="C93" s="56" t="s">
        <v>278</v>
      </c>
      <c r="D93" s="56" t="s">
        <v>275</v>
      </c>
      <c r="E93" s="56" t="s">
        <v>239</v>
      </c>
      <c r="F93" s="57" t="s">
        <v>34</v>
      </c>
      <c r="G93" s="61"/>
      <c r="H93" s="61"/>
      <c r="I93" s="60"/>
      <c r="J93" s="53"/>
    </row>
    <row r="94" ht="24.75" customHeight="1">
      <c r="A94" s="54" t="s">
        <v>289</v>
      </c>
      <c r="B94" s="56" t="s">
        <v>290</v>
      </c>
      <c r="C94" s="56" t="s">
        <v>291</v>
      </c>
      <c r="D94" s="56" t="s">
        <v>292</v>
      </c>
      <c r="E94" s="56" t="s">
        <v>295</v>
      </c>
      <c r="F94" s="57" t="s">
        <v>87</v>
      </c>
      <c r="G94" s="61"/>
      <c r="H94" s="79"/>
      <c r="I94" s="60"/>
      <c r="J94" s="53"/>
    </row>
    <row r="95" ht="24.75" hidden="1" customHeight="1">
      <c r="A95" s="54">
        <v>92.0</v>
      </c>
      <c r="B95" s="56" t="s">
        <v>233</v>
      </c>
      <c r="C95" s="56" t="s">
        <v>234</v>
      </c>
      <c r="D95" s="56" t="s">
        <v>296</v>
      </c>
      <c r="E95" s="56" t="s">
        <v>297</v>
      </c>
      <c r="F95" s="57"/>
      <c r="G95" s="61"/>
      <c r="H95" s="61"/>
      <c r="I95" s="62" t="s">
        <v>283</v>
      </c>
      <c r="J95" s="53"/>
    </row>
    <row r="96" ht="24.75" hidden="1" customHeight="1">
      <c r="A96" s="54">
        <v>90.0</v>
      </c>
      <c r="B96" s="56" t="s">
        <v>298</v>
      </c>
      <c r="C96" s="56" t="s">
        <v>278</v>
      </c>
      <c r="D96" s="56" t="s">
        <v>299</v>
      </c>
      <c r="E96" s="56" t="s">
        <v>167</v>
      </c>
      <c r="F96" s="57" t="s">
        <v>15</v>
      </c>
      <c r="G96" s="61"/>
      <c r="H96" s="61"/>
      <c r="I96" s="60"/>
      <c r="J96" s="53"/>
    </row>
    <row r="97" ht="24.75" hidden="1" customHeight="1">
      <c r="A97" s="54">
        <v>92.0</v>
      </c>
      <c r="B97" s="56" t="s">
        <v>253</v>
      </c>
      <c r="C97" s="56" t="s">
        <v>234</v>
      </c>
      <c r="D97" s="56" t="s">
        <v>300</v>
      </c>
      <c r="E97" s="56" t="s">
        <v>297</v>
      </c>
      <c r="F97" s="57"/>
      <c r="G97" s="61"/>
      <c r="H97" s="61"/>
      <c r="I97" s="62" t="s">
        <v>283</v>
      </c>
      <c r="J97" s="53"/>
    </row>
    <row r="98" ht="24.75" customHeight="1">
      <c r="A98" s="54">
        <v>92.0</v>
      </c>
      <c r="B98" s="56" t="s">
        <v>301</v>
      </c>
      <c r="C98" s="56" t="s">
        <v>234</v>
      </c>
      <c r="D98" s="56" t="s">
        <v>302</v>
      </c>
      <c r="E98" s="56" t="s">
        <v>163</v>
      </c>
      <c r="F98" s="57" t="s">
        <v>34</v>
      </c>
      <c r="G98" s="61"/>
      <c r="H98" s="61"/>
      <c r="I98" s="60"/>
      <c r="J98" s="53"/>
    </row>
    <row r="99" ht="24.75" customHeight="1">
      <c r="A99" s="54">
        <v>92.0</v>
      </c>
      <c r="B99" s="56" t="s">
        <v>301</v>
      </c>
      <c r="C99" s="56" t="s">
        <v>234</v>
      </c>
      <c r="D99" s="56" t="s">
        <v>302</v>
      </c>
      <c r="E99" s="56" t="s">
        <v>111</v>
      </c>
      <c r="F99" s="57" t="s">
        <v>154</v>
      </c>
      <c r="G99" s="61"/>
      <c r="H99" s="61"/>
      <c r="I99" s="60"/>
      <c r="J99" s="53"/>
    </row>
    <row r="100" ht="24.75" hidden="1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248</v>
      </c>
      <c r="F100" s="57" t="s">
        <v>303</v>
      </c>
      <c r="G100" s="61"/>
      <c r="H100" s="61"/>
      <c r="I100" s="62"/>
      <c r="J100" s="53"/>
    </row>
    <row r="101" ht="24.75" hidden="1" customHeight="1">
      <c r="A101" s="54">
        <v>92.0</v>
      </c>
      <c r="B101" s="56" t="s">
        <v>301</v>
      </c>
      <c r="C101" s="56" t="s">
        <v>234</v>
      </c>
      <c r="D101" s="56" t="s">
        <v>302</v>
      </c>
      <c r="E101" s="56" t="s">
        <v>247</v>
      </c>
      <c r="F101" s="57" t="s">
        <v>303</v>
      </c>
      <c r="G101" s="61"/>
      <c r="H101" s="61"/>
      <c r="I101" s="62"/>
      <c r="J101" s="53"/>
    </row>
    <row r="102" ht="24.75" customHeight="1">
      <c r="A102" s="54">
        <v>92.0</v>
      </c>
      <c r="B102" s="56" t="s">
        <v>304</v>
      </c>
      <c r="C102" s="56" t="s">
        <v>234</v>
      </c>
      <c r="D102" s="56" t="s">
        <v>305</v>
      </c>
      <c r="E102" s="56" t="s">
        <v>163</v>
      </c>
      <c r="F102" s="57" t="s">
        <v>34</v>
      </c>
      <c r="G102" s="61"/>
      <c r="H102" s="61"/>
      <c r="I102" s="60"/>
      <c r="J102" s="53"/>
    </row>
    <row r="103" ht="24.75" customHeight="1">
      <c r="A103" s="54">
        <v>92.0</v>
      </c>
      <c r="B103" s="56" t="s">
        <v>304</v>
      </c>
      <c r="C103" s="56" t="s">
        <v>234</v>
      </c>
      <c r="D103" s="56" t="s">
        <v>305</v>
      </c>
      <c r="E103" s="56" t="s">
        <v>111</v>
      </c>
      <c r="F103" s="57" t="s">
        <v>154</v>
      </c>
      <c r="G103" s="61"/>
      <c r="H103" s="61"/>
      <c r="I103" s="60"/>
      <c r="J103" s="53"/>
    </row>
    <row r="104" ht="24.75" hidden="1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248</v>
      </c>
      <c r="F104" s="57" t="s">
        <v>303</v>
      </c>
      <c r="G104" s="61"/>
      <c r="H104" s="61"/>
      <c r="I104" s="62"/>
      <c r="J104" s="53"/>
    </row>
    <row r="105" ht="24.75" hidden="1" customHeight="1">
      <c r="A105" s="54">
        <v>92.0</v>
      </c>
      <c r="B105" s="56" t="s">
        <v>304</v>
      </c>
      <c r="C105" s="56" t="s">
        <v>234</v>
      </c>
      <c r="D105" s="56" t="s">
        <v>305</v>
      </c>
      <c r="E105" s="56" t="s">
        <v>247</v>
      </c>
      <c r="F105" s="57" t="s">
        <v>303</v>
      </c>
      <c r="G105" s="61"/>
      <c r="H105" s="61"/>
      <c r="I105" s="62"/>
      <c r="J105" s="53"/>
    </row>
    <row r="106" ht="24.75" customHeight="1">
      <c r="A106" s="54">
        <v>92.0</v>
      </c>
      <c r="B106" s="56" t="s">
        <v>306</v>
      </c>
      <c r="C106" s="56" t="s">
        <v>234</v>
      </c>
      <c r="D106" s="56" t="s">
        <v>307</v>
      </c>
      <c r="E106" s="56" t="s">
        <v>163</v>
      </c>
      <c r="F106" s="57" t="s">
        <v>34</v>
      </c>
      <c r="G106" s="61"/>
      <c r="H106" s="61"/>
      <c r="I106" s="60"/>
      <c r="J106" s="53"/>
    </row>
    <row r="107" ht="24.75" customHeight="1">
      <c r="A107" s="54">
        <v>92.0</v>
      </c>
      <c r="B107" s="56" t="s">
        <v>306</v>
      </c>
      <c r="C107" s="56" t="s">
        <v>234</v>
      </c>
      <c r="D107" s="56" t="s">
        <v>307</v>
      </c>
      <c r="E107" s="56" t="s">
        <v>111</v>
      </c>
      <c r="F107" s="57" t="s">
        <v>154</v>
      </c>
      <c r="G107" s="61"/>
      <c r="H107" s="61"/>
      <c r="I107" s="60"/>
      <c r="J107" s="53"/>
    </row>
    <row r="108" ht="24.75" hidden="1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248</v>
      </c>
      <c r="F108" s="57" t="s">
        <v>303</v>
      </c>
      <c r="G108" s="61"/>
      <c r="H108" s="61"/>
      <c r="I108" s="62"/>
      <c r="J108" s="53"/>
    </row>
    <row r="109" ht="24.75" hidden="1" customHeight="1">
      <c r="A109" s="54">
        <v>92.0</v>
      </c>
      <c r="B109" s="56" t="s">
        <v>306</v>
      </c>
      <c r="C109" s="56" t="s">
        <v>234</v>
      </c>
      <c r="D109" s="56" t="s">
        <v>307</v>
      </c>
      <c r="E109" s="56" t="s">
        <v>247</v>
      </c>
      <c r="F109" s="57" t="s">
        <v>303</v>
      </c>
      <c r="G109" s="61"/>
      <c r="H109" s="61"/>
      <c r="I109" s="62"/>
      <c r="J109" s="53"/>
    </row>
    <row r="110" ht="24.75" hidden="1" customHeight="1">
      <c r="A110" s="54">
        <v>90.0</v>
      </c>
      <c r="B110" s="56" t="s">
        <v>236</v>
      </c>
      <c r="C110" s="56" t="s">
        <v>237</v>
      </c>
      <c r="D110" s="56" t="s">
        <v>238</v>
      </c>
      <c r="E110" s="56" t="s">
        <v>308</v>
      </c>
      <c r="F110" s="57" t="s">
        <v>15</v>
      </c>
      <c r="G110" s="61"/>
      <c r="H110" s="61"/>
      <c r="I110" s="60"/>
      <c r="J110" s="53"/>
    </row>
    <row r="111" ht="24.75" hidden="1" customHeight="1">
      <c r="A111" s="54">
        <v>92.0</v>
      </c>
      <c r="B111" s="56" t="s">
        <v>309</v>
      </c>
      <c r="C111" s="56" t="s">
        <v>234</v>
      </c>
      <c r="D111" s="80" t="s">
        <v>310</v>
      </c>
      <c r="E111" s="56" t="s">
        <v>297</v>
      </c>
      <c r="F111" s="57"/>
      <c r="G111" s="61"/>
      <c r="H111" s="61"/>
      <c r="I111" s="62"/>
      <c r="J111" s="53"/>
    </row>
    <row r="112" ht="24.75" hidden="1" customHeight="1">
      <c r="A112" s="54">
        <v>90.0</v>
      </c>
      <c r="B112" s="56" t="s">
        <v>236</v>
      </c>
      <c r="C112" s="56" t="s">
        <v>237</v>
      </c>
      <c r="D112" s="56" t="s">
        <v>238</v>
      </c>
      <c r="E112" s="56" t="s">
        <v>311</v>
      </c>
      <c r="F112" s="57" t="s">
        <v>15</v>
      </c>
      <c r="G112" s="61"/>
      <c r="H112" s="61"/>
      <c r="I112" s="60"/>
      <c r="J112" s="53"/>
    </row>
    <row r="113" ht="24.75" hidden="1" customHeight="1">
      <c r="A113" s="54">
        <v>90.0</v>
      </c>
      <c r="B113" s="56" t="s">
        <v>236</v>
      </c>
      <c r="C113" s="56" t="s">
        <v>237</v>
      </c>
      <c r="D113" s="56" t="s">
        <v>238</v>
      </c>
      <c r="E113" s="56" t="s">
        <v>312</v>
      </c>
      <c r="F113" s="57" t="s">
        <v>15</v>
      </c>
      <c r="G113" s="61"/>
      <c r="H113" s="61"/>
      <c r="I113" s="60"/>
      <c r="J113" s="53"/>
    </row>
    <row r="114" ht="24.75" customHeight="1">
      <c r="A114" s="54">
        <v>100.0</v>
      </c>
      <c r="B114" s="56" t="s">
        <v>314</v>
      </c>
      <c r="C114" s="56" t="s">
        <v>315</v>
      </c>
      <c r="D114" s="56" t="s">
        <v>316</v>
      </c>
      <c r="E114" s="56" t="s">
        <v>317</v>
      </c>
      <c r="F114" s="57" t="s">
        <v>34</v>
      </c>
      <c r="G114" s="81"/>
      <c r="H114" s="81"/>
      <c r="I114" s="93"/>
      <c r="J114" s="53"/>
    </row>
    <row r="115" ht="24.75" customHeight="1">
      <c r="A115" s="54">
        <v>100.0</v>
      </c>
      <c r="B115" s="56" t="s">
        <v>318</v>
      </c>
      <c r="C115" s="56" t="s">
        <v>315</v>
      </c>
      <c r="D115" s="56" t="s">
        <v>319</v>
      </c>
      <c r="E115" s="56" t="s">
        <v>320</v>
      </c>
      <c r="F115" s="57" t="s">
        <v>34</v>
      </c>
      <c r="G115" s="81"/>
      <c r="H115" s="81"/>
      <c r="I115" s="93"/>
      <c r="J115" s="5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82"/>
      <c r="EB115" s="82"/>
      <c r="EC115" s="82"/>
      <c r="ED115" s="82"/>
      <c r="EE115" s="82"/>
      <c r="EF115" s="82"/>
      <c r="EG115" s="82"/>
      <c r="EH115" s="82"/>
      <c r="EI115" s="82"/>
      <c r="EJ115" s="82"/>
      <c r="EK115" s="82"/>
      <c r="EL115" s="82"/>
      <c r="EM115" s="82"/>
      <c r="EN115" s="82"/>
      <c r="EO115" s="82"/>
      <c r="EP115" s="82"/>
      <c r="EQ115" s="82"/>
      <c r="ER115" s="82"/>
      <c r="ES115" s="82"/>
      <c r="ET115" s="82"/>
      <c r="EU115" s="82"/>
      <c r="EV115" s="82"/>
      <c r="EW115" s="82"/>
      <c r="EX115" s="82"/>
      <c r="EY115" s="82"/>
      <c r="EZ115" s="82"/>
      <c r="FA115" s="82"/>
      <c r="FB115" s="82"/>
      <c r="FC115" s="82"/>
      <c r="FD115" s="82"/>
      <c r="FE115" s="82"/>
      <c r="FF115" s="82"/>
      <c r="FG115" s="82"/>
      <c r="FH115" s="82"/>
      <c r="FI115" s="82"/>
      <c r="FJ115" s="82"/>
      <c r="FK115" s="82"/>
      <c r="FL115" s="82"/>
      <c r="FM115" s="82"/>
      <c r="FN115" s="82"/>
      <c r="FO115" s="82"/>
      <c r="FP115" s="82"/>
      <c r="FQ115" s="82"/>
      <c r="FR115" s="82"/>
      <c r="FS115" s="82"/>
      <c r="FT115" s="82"/>
      <c r="FU115" s="82"/>
      <c r="FV115" s="82"/>
      <c r="FW115" s="82"/>
      <c r="FX115" s="82"/>
      <c r="FY115" s="82"/>
      <c r="FZ115" s="82"/>
      <c r="GA115" s="82"/>
      <c r="GB115" s="82"/>
      <c r="GC115" s="82"/>
      <c r="GD115" s="82"/>
      <c r="GE115" s="82"/>
      <c r="GF115" s="82"/>
    </row>
    <row r="116" ht="24.75" customHeight="1">
      <c r="A116" s="54">
        <v>100.0</v>
      </c>
      <c r="B116" s="56" t="s">
        <v>318</v>
      </c>
      <c r="C116" s="56" t="s">
        <v>315</v>
      </c>
      <c r="D116" s="56" t="s">
        <v>319</v>
      </c>
      <c r="E116" s="56" t="s">
        <v>325</v>
      </c>
      <c r="F116" s="57" t="s">
        <v>34</v>
      </c>
      <c r="G116" s="53"/>
      <c r="H116" s="53"/>
      <c r="I116" s="109"/>
      <c r="J116" s="5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F116" s="82"/>
      <c r="EG116" s="82"/>
      <c r="EH116" s="82"/>
      <c r="EI116" s="82"/>
      <c r="EJ116" s="82"/>
      <c r="EK116" s="82"/>
      <c r="EL116" s="82"/>
      <c r="EM116" s="82"/>
      <c r="EN116" s="82"/>
      <c r="EO116" s="82"/>
      <c r="EP116" s="82"/>
      <c r="EQ116" s="82"/>
      <c r="ER116" s="82"/>
      <c r="ES116" s="82"/>
      <c r="ET116" s="82"/>
      <c r="EU116" s="82"/>
      <c r="EV116" s="82"/>
      <c r="EW116" s="82"/>
      <c r="EX116" s="82"/>
      <c r="EY116" s="82"/>
      <c r="EZ116" s="82"/>
      <c r="FA116" s="82"/>
      <c r="FB116" s="82"/>
      <c r="FC116" s="82"/>
      <c r="FD116" s="82"/>
      <c r="FE116" s="82"/>
      <c r="FF116" s="82"/>
      <c r="FG116" s="82"/>
      <c r="FH116" s="82"/>
      <c r="FI116" s="82"/>
      <c r="FJ116" s="82"/>
      <c r="FK116" s="82"/>
      <c r="FL116" s="82"/>
      <c r="FM116" s="82"/>
      <c r="FN116" s="82"/>
      <c r="FO116" s="82"/>
      <c r="FP116" s="82"/>
      <c r="FQ116" s="82"/>
      <c r="FR116" s="82"/>
      <c r="FS116" s="82"/>
      <c r="FT116" s="82"/>
      <c r="FU116" s="82"/>
      <c r="FV116" s="82"/>
      <c r="FW116" s="82"/>
      <c r="FX116" s="82"/>
      <c r="FY116" s="82"/>
      <c r="FZ116" s="82"/>
      <c r="GA116" s="82"/>
      <c r="GB116" s="82"/>
      <c r="GC116" s="82"/>
      <c r="GD116" s="82"/>
      <c r="GE116" s="82"/>
      <c r="GF116" s="82"/>
    </row>
    <row r="117" ht="24.75" customHeight="1">
      <c r="A117" s="54">
        <v>100.0</v>
      </c>
      <c r="B117" s="56" t="s">
        <v>328</v>
      </c>
      <c r="C117" s="56" t="s">
        <v>315</v>
      </c>
      <c r="D117" s="56" t="s">
        <v>329</v>
      </c>
      <c r="E117" s="56" t="s">
        <v>320</v>
      </c>
      <c r="F117" s="57" t="s">
        <v>34</v>
      </c>
      <c r="G117" s="53"/>
      <c r="H117" s="53"/>
      <c r="I117" s="109"/>
      <c r="J117" s="5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  <c r="FU117" s="82"/>
      <c r="FV117" s="82"/>
      <c r="FW117" s="82"/>
      <c r="FX117" s="82"/>
      <c r="FY117" s="82"/>
      <c r="FZ117" s="82"/>
      <c r="GA117" s="82"/>
      <c r="GB117" s="82"/>
      <c r="GC117" s="82"/>
      <c r="GD117" s="82"/>
      <c r="GE117" s="82"/>
      <c r="GF117" s="82"/>
    </row>
    <row r="118" ht="24.75" customHeight="1">
      <c r="A118" s="54">
        <v>100.0</v>
      </c>
      <c r="B118" s="56" t="s">
        <v>328</v>
      </c>
      <c r="C118" s="56" t="s">
        <v>315</v>
      </c>
      <c r="D118" s="56" t="s">
        <v>329</v>
      </c>
      <c r="E118" s="56" t="s">
        <v>325</v>
      </c>
      <c r="F118" s="57" t="s">
        <v>34</v>
      </c>
      <c r="G118" s="53"/>
      <c r="H118" s="53"/>
      <c r="I118" s="109"/>
      <c r="J118" s="5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  <c r="FU118" s="82"/>
      <c r="FV118" s="82"/>
      <c r="FW118" s="82"/>
      <c r="FX118" s="82"/>
      <c r="FY118" s="82"/>
      <c r="FZ118" s="82"/>
      <c r="GA118" s="82"/>
      <c r="GB118" s="82"/>
      <c r="GC118" s="82"/>
      <c r="GD118" s="82"/>
      <c r="GE118" s="82"/>
      <c r="GF118" s="82"/>
    </row>
    <row r="119" ht="24.75" hidden="1" customHeight="1">
      <c r="A119" s="54">
        <v>100.0</v>
      </c>
      <c r="B119" s="56" t="s">
        <v>331</v>
      </c>
      <c r="C119" s="56" t="s">
        <v>315</v>
      </c>
      <c r="D119" s="56" t="s">
        <v>332</v>
      </c>
      <c r="E119" s="56" t="s">
        <v>333</v>
      </c>
      <c r="F119" s="57" t="s">
        <v>250</v>
      </c>
      <c r="G119" s="50"/>
      <c r="H119" s="61" t="s">
        <v>346</v>
      </c>
      <c r="I119" s="84" t="s">
        <v>347</v>
      </c>
      <c r="J119" s="53"/>
    </row>
    <row r="120" ht="24.75" customHeight="1">
      <c r="A120" s="54">
        <v>100.0</v>
      </c>
      <c r="B120" s="56" t="s">
        <v>334</v>
      </c>
      <c r="C120" s="56" t="s">
        <v>315</v>
      </c>
      <c r="D120" s="56" t="s">
        <v>335</v>
      </c>
      <c r="E120" s="56" t="s">
        <v>336</v>
      </c>
      <c r="F120" s="57" t="s">
        <v>192</v>
      </c>
      <c r="G120" s="50"/>
      <c r="H120" s="50"/>
      <c r="I120" s="110"/>
      <c r="J120" s="53"/>
    </row>
    <row r="121" ht="24.75" hidden="1" customHeight="1">
      <c r="A121" s="54">
        <v>90.0</v>
      </c>
      <c r="B121" s="56" t="s">
        <v>337</v>
      </c>
      <c r="C121" s="56" t="s">
        <v>237</v>
      </c>
      <c r="D121" s="56" t="s">
        <v>338</v>
      </c>
      <c r="E121" s="56" t="s">
        <v>111</v>
      </c>
      <c r="F121" s="57" t="s">
        <v>15</v>
      </c>
      <c r="G121" s="61"/>
      <c r="H121" s="61"/>
      <c r="I121" s="60"/>
      <c r="J121" s="53"/>
    </row>
    <row r="122" ht="24.75" customHeight="1">
      <c r="A122" s="54">
        <v>101.0</v>
      </c>
      <c r="B122" s="56" t="s">
        <v>339</v>
      </c>
      <c r="C122" s="56" t="s">
        <v>315</v>
      </c>
      <c r="D122" s="56" t="s">
        <v>340</v>
      </c>
      <c r="E122" s="56" t="s">
        <v>341</v>
      </c>
      <c r="F122" s="57" t="s">
        <v>154</v>
      </c>
      <c r="G122" s="61"/>
      <c r="H122" s="61"/>
      <c r="I122" s="60"/>
      <c r="J122" s="53"/>
    </row>
    <row r="123" ht="24.75" hidden="1" customHeight="1">
      <c r="A123" s="54">
        <v>101.0</v>
      </c>
      <c r="B123" s="56" t="s">
        <v>342</v>
      </c>
      <c r="C123" s="56" t="s">
        <v>315</v>
      </c>
      <c r="D123" s="56" t="s">
        <v>340</v>
      </c>
      <c r="E123" s="56" t="s">
        <v>333</v>
      </c>
      <c r="F123" s="57" t="s">
        <v>250</v>
      </c>
      <c r="G123" s="61"/>
      <c r="H123" s="61" t="s">
        <v>346</v>
      </c>
      <c r="I123" s="62" t="s">
        <v>347</v>
      </c>
      <c r="J123" s="53"/>
    </row>
    <row r="124" ht="24.75" hidden="1" customHeight="1">
      <c r="A124" s="54">
        <v>101.0</v>
      </c>
      <c r="B124" s="56" t="s">
        <v>343</v>
      </c>
      <c r="C124" s="56" t="s">
        <v>315</v>
      </c>
      <c r="D124" s="56" t="s">
        <v>340</v>
      </c>
      <c r="E124" s="56" t="s">
        <v>333</v>
      </c>
      <c r="F124" s="57" t="s">
        <v>250</v>
      </c>
      <c r="G124" s="61"/>
      <c r="H124" s="61" t="s">
        <v>346</v>
      </c>
      <c r="I124" s="62" t="s">
        <v>347</v>
      </c>
      <c r="J124" s="53"/>
    </row>
    <row r="125" ht="24.75" customHeight="1">
      <c r="A125" s="54">
        <v>101.0</v>
      </c>
      <c r="B125" s="56" t="s">
        <v>344</v>
      </c>
      <c r="C125" s="56" t="s">
        <v>315</v>
      </c>
      <c r="D125" s="56" t="s">
        <v>340</v>
      </c>
      <c r="E125" s="56" t="s">
        <v>345</v>
      </c>
      <c r="F125" s="57" t="s">
        <v>154</v>
      </c>
      <c r="G125" s="61"/>
      <c r="H125" s="61"/>
      <c r="I125" s="60"/>
      <c r="J125" s="53"/>
    </row>
    <row r="126" ht="24.75" hidden="1" customHeight="1">
      <c r="A126" s="54">
        <v>90.0</v>
      </c>
      <c r="B126" s="56" t="s">
        <v>348</v>
      </c>
      <c r="C126" s="56" t="s">
        <v>237</v>
      </c>
      <c r="D126" s="56" t="s">
        <v>349</v>
      </c>
      <c r="E126" s="56" t="s">
        <v>111</v>
      </c>
      <c r="F126" s="57" t="s">
        <v>15</v>
      </c>
      <c r="G126" s="61"/>
      <c r="H126" s="61"/>
      <c r="I126" s="60"/>
      <c r="J126" s="53"/>
    </row>
    <row r="127" ht="24.75" customHeight="1">
      <c r="A127" s="54">
        <v>101.0</v>
      </c>
      <c r="B127" s="56" t="s">
        <v>350</v>
      </c>
      <c r="C127" s="56" t="s">
        <v>315</v>
      </c>
      <c r="D127" s="56" t="s">
        <v>351</v>
      </c>
      <c r="E127" s="56" t="s">
        <v>352</v>
      </c>
      <c r="F127" s="57" t="s">
        <v>154</v>
      </c>
      <c r="G127" s="61"/>
      <c r="H127" s="61"/>
      <c r="I127" s="60"/>
      <c r="J127" s="53"/>
    </row>
    <row r="128" ht="24.75" hidden="1" customHeight="1">
      <c r="A128" s="54">
        <v>102.0</v>
      </c>
      <c r="B128" s="56" t="s">
        <v>353</v>
      </c>
      <c r="C128" s="56" t="s">
        <v>315</v>
      </c>
      <c r="D128" s="56" t="s">
        <v>354</v>
      </c>
      <c r="E128" s="56" t="s">
        <v>355</v>
      </c>
      <c r="F128" s="57" t="s">
        <v>250</v>
      </c>
      <c r="G128" s="61"/>
      <c r="H128" s="61" t="s">
        <v>346</v>
      </c>
      <c r="I128" s="62" t="s">
        <v>363</v>
      </c>
      <c r="J128" s="53"/>
    </row>
    <row r="129" ht="24.75" hidden="1" customHeight="1">
      <c r="A129" s="54">
        <v>90.0</v>
      </c>
      <c r="B129" s="56" t="s">
        <v>265</v>
      </c>
      <c r="C129" s="56" t="s">
        <v>237</v>
      </c>
      <c r="D129" s="56" t="s">
        <v>266</v>
      </c>
      <c r="E129" s="56" t="s">
        <v>111</v>
      </c>
      <c r="F129" s="57" t="s">
        <v>15</v>
      </c>
      <c r="G129" s="61"/>
      <c r="H129" s="61"/>
      <c r="I129" s="60" t="s">
        <v>283</v>
      </c>
      <c r="J129" s="53"/>
    </row>
    <row r="130" ht="24.75" customHeight="1">
      <c r="A130" s="54">
        <v>110.0</v>
      </c>
      <c r="B130" s="56" t="s">
        <v>356</v>
      </c>
      <c r="C130" s="56" t="s">
        <v>259</v>
      </c>
      <c r="D130" s="56" t="s">
        <v>357</v>
      </c>
      <c r="E130" s="56" t="s">
        <v>358</v>
      </c>
      <c r="F130" s="57" t="s">
        <v>34</v>
      </c>
      <c r="G130" s="61"/>
      <c r="H130" s="61"/>
      <c r="I130" s="60"/>
      <c r="J130" s="53"/>
    </row>
    <row r="131" ht="24.75" customHeight="1">
      <c r="A131" s="54">
        <v>110.0</v>
      </c>
      <c r="B131" s="56" t="s">
        <v>359</v>
      </c>
      <c r="C131" s="56" t="s">
        <v>259</v>
      </c>
      <c r="D131" s="56" t="s">
        <v>360</v>
      </c>
      <c r="E131" s="56" t="s">
        <v>358</v>
      </c>
      <c r="F131" s="57" t="s">
        <v>34</v>
      </c>
      <c r="G131" s="61"/>
      <c r="H131" s="61"/>
      <c r="I131" s="60"/>
      <c r="J131" s="53"/>
    </row>
    <row r="132" ht="24.75" hidden="1" customHeight="1">
      <c r="A132" s="54">
        <v>90.0</v>
      </c>
      <c r="B132" s="56" t="s">
        <v>274</v>
      </c>
      <c r="C132" s="56" t="s">
        <v>237</v>
      </c>
      <c r="D132" s="56" t="s">
        <v>275</v>
      </c>
      <c r="E132" s="56" t="s">
        <v>111</v>
      </c>
      <c r="F132" s="57" t="s">
        <v>15</v>
      </c>
      <c r="G132" s="61"/>
      <c r="H132" s="61"/>
      <c r="I132" s="60"/>
      <c r="J132" s="53"/>
    </row>
    <row r="133" ht="24.75" hidden="1" customHeight="1">
      <c r="A133" s="54">
        <v>90.0</v>
      </c>
      <c r="B133" s="56" t="s">
        <v>280</v>
      </c>
      <c r="C133" s="56" t="s">
        <v>278</v>
      </c>
      <c r="D133" s="56" t="s">
        <v>281</v>
      </c>
      <c r="E133" s="56" t="s">
        <v>272</v>
      </c>
      <c r="F133" s="57" t="s">
        <v>15</v>
      </c>
      <c r="G133" s="61"/>
      <c r="H133" s="61"/>
      <c r="I133" s="60"/>
      <c r="J133" s="53"/>
    </row>
    <row r="134" ht="24.75" customHeight="1">
      <c r="A134" s="54">
        <v>110.0</v>
      </c>
      <c r="B134" s="56" t="s">
        <v>361</v>
      </c>
      <c r="C134" s="56" t="s">
        <v>259</v>
      </c>
      <c r="D134" s="56" t="s">
        <v>362</v>
      </c>
      <c r="E134" s="56" t="s">
        <v>358</v>
      </c>
      <c r="F134" s="57" t="s">
        <v>34</v>
      </c>
      <c r="G134" s="61"/>
      <c r="H134" s="61"/>
      <c r="I134" s="60"/>
      <c r="J134" s="53"/>
    </row>
    <row r="135" ht="24.75" customHeight="1">
      <c r="A135" s="54">
        <v>110.0</v>
      </c>
      <c r="B135" s="56" t="s">
        <v>364</v>
      </c>
      <c r="C135" s="56" t="s">
        <v>259</v>
      </c>
      <c r="D135" s="56" t="s">
        <v>365</v>
      </c>
      <c r="E135" s="56" t="s">
        <v>358</v>
      </c>
      <c r="F135" s="57" t="s">
        <v>34</v>
      </c>
      <c r="G135" s="61"/>
      <c r="H135" s="61"/>
      <c r="I135" s="60"/>
      <c r="J135" s="53"/>
    </row>
    <row r="136" ht="24.75" customHeight="1">
      <c r="A136" s="54">
        <v>110.0</v>
      </c>
      <c r="B136" s="56" t="s">
        <v>366</v>
      </c>
      <c r="C136" s="56" t="s">
        <v>259</v>
      </c>
      <c r="D136" s="56" t="s">
        <v>367</v>
      </c>
      <c r="E136" s="56" t="s">
        <v>358</v>
      </c>
      <c r="F136" s="57" t="s">
        <v>34</v>
      </c>
      <c r="G136" s="61"/>
      <c r="H136" s="61"/>
      <c r="I136" s="60"/>
      <c r="J136" s="53"/>
    </row>
    <row r="137" ht="24.75" customHeight="1">
      <c r="A137" s="54">
        <v>110.0</v>
      </c>
      <c r="B137" s="56" t="s">
        <v>368</v>
      </c>
      <c r="C137" s="56" t="s">
        <v>259</v>
      </c>
      <c r="D137" s="56" t="s">
        <v>369</v>
      </c>
      <c r="E137" s="56" t="s">
        <v>358</v>
      </c>
      <c r="F137" s="57" t="s">
        <v>34</v>
      </c>
      <c r="G137" s="61"/>
      <c r="H137" s="61"/>
      <c r="I137" s="60"/>
      <c r="J137" s="53"/>
    </row>
    <row r="138" ht="24.75" customHeight="1">
      <c r="A138" s="54">
        <v>110.0</v>
      </c>
      <c r="B138" s="56" t="s">
        <v>370</v>
      </c>
      <c r="C138" s="56" t="s">
        <v>259</v>
      </c>
      <c r="D138" s="56" t="s">
        <v>371</v>
      </c>
      <c r="E138" s="56" t="s">
        <v>336</v>
      </c>
      <c r="F138" s="57" t="s">
        <v>192</v>
      </c>
      <c r="G138" s="61"/>
      <c r="H138" s="61"/>
      <c r="I138" s="60"/>
      <c r="J138" s="53"/>
    </row>
    <row r="139" ht="24.75" customHeight="1">
      <c r="A139" s="54">
        <v>110.0</v>
      </c>
      <c r="B139" s="56" t="s">
        <v>370</v>
      </c>
      <c r="C139" s="56" t="s">
        <v>259</v>
      </c>
      <c r="D139" s="56" t="s">
        <v>371</v>
      </c>
      <c r="E139" s="56" t="s">
        <v>372</v>
      </c>
      <c r="F139" s="57" t="s">
        <v>34</v>
      </c>
      <c r="G139" s="61"/>
      <c r="H139" s="61"/>
      <c r="I139" s="60"/>
      <c r="J139" s="53"/>
    </row>
    <row r="140" ht="24.75" customHeight="1">
      <c r="A140" s="54">
        <v>110.0</v>
      </c>
      <c r="B140" s="56" t="s">
        <v>370</v>
      </c>
      <c r="C140" s="56" t="s">
        <v>259</v>
      </c>
      <c r="D140" s="56" t="s">
        <v>371</v>
      </c>
      <c r="E140" s="56" t="s">
        <v>158</v>
      </c>
      <c r="F140" s="57" t="s">
        <v>34</v>
      </c>
      <c r="G140" s="61"/>
      <c r="H140" s="61"/>
      <c r="I140" s="60"/>
      <c r="J140" s="53"/>
    </row>
    <row r="141" ht="24.75" customHeight="1">
      <c r="A141" s="54">
        <v>110.0</v>
      </c>
      <c r="B141" s="56" t="s">
        <v>373</v>
      </c>
      <c r="C141" s="56" t="s">
        <v>259</v>
      </c>
      <c r="D141" s="56" t="s">
        <v>374</v>
      </c>
      <c r="E141" s="56" t="s">
        <v>336</v>
      </c>
      <c r="F141" s="57" t="s">
        <v>192</v>
      </c>
      <c r="G141" s="61"/>
      <c r="H141" s="61"/>
      <c r="I141" s="60"/>
      <c r="J141" s="53"/>
    </row>
    <row r="142" ht="24.75" customHeight="1">
      <c r="A142" s="54">
        <v>110.0</v>
      </c>
      <c r="B142" s="56" t="s">
        <v>375</v>
      </c>
      <c r="C142" s="56" t="s">
        <v>259</v>
      </c>
      <c r="D142" s="56" t="s">
        <v>376</v>
      </c>
      <c r="E142" s="56" t="s">
        <v>336</v>
      </c>
      <c r="F142" s="57" t="s">
        <v>192</v>
      </c>
      <c r="G142" s="61"/>
      <c r="H142" s="61"/>
      <c r="I142" s="60"/>
      <c r="J142" s="53"/>
    </row>
    <row r="143" ht="24.75" customHeight="1">
      <c r="A143" s="54">
        <v>110.0</v>
      </c>
      <c r="B143" s="56" t="s">
        <v>375</v>
      </c>
      <c r="C143" s="56" t="s">
        <v>259</v>
      </c>
      <c r="D143" s="56" t="s">
        <v>376</v>
      </c>
      <c r="E143" s="56" t="s">
        <v>372</v>
      </c>
      <c r="F143" s="57" t="s">
        <v>34</v>
      </c>
      <c r="G143" s="61"/>
      <c r="H143" s="61"/>
      <c r="I143" s="60"/>
      <c r="J143" s="53"/>
    </row>
    <row r="144" ht="24.75" customHeight="1">
      <c r="A144" s="54">
        <v>110.0</v>
      </c>
      <c r="B144" s="56" t="s">
        <v>375</v>
      </c>
      <c r="C144" s="56" t="s">
        <v>259</v>
      </c>
      <c r="D144" s="56" t="s">
        <v>376</v>
      </c>
      <c r="E144" s="56" t="s">
        <v>158</v>
      </c>
      <c r="F144" s="57" t="s">
        <v>34</v>
      </c>
      <c r="G144" s="61"/>
      <c r="H144" s="61"/>
      <c r="I144" s="60"/>
      <c r="J144" s="53"/>
    </row>
    <row r="145" ht="24.75" customHeight="1">
      <c r="A145" s="54">
        <v>110.0</v>
      </c>
      <c r="B145" s="56" t="s">
        <v>377</v>
      </c>
      <c r="C145" s="56" t="s">
        <v>259</v>
      </c>
      <c r="D145" s="56" t="s">
        <v>378</v>
      </c>
      <c r="E145" s="56" t="s">
        <v>336</v>
      </c>
      <c r="F145" s="57" t="s">
        <v>192</v>
      </c>
      <c r="G145" s="61"/>
      <c r="H145" s="61"/>
      <c r="I145" s="60"/>
      <c r="J145" s="53"/>
    </row>
    <row r="146" ht="24.75" customHeight="1">
      <c r="A146" s="54">
        <v>110.0</v>
      </c>
      <c r="B146" s="56" t="s">
        <v>380</v>
      </c>
      <c r="C146" s="56" t="s">
        <v>259</v>
      </c>
      <c r="D146" s="56" t="s">
        <v>381</v>
      </c>
      <c r="E146" s="56" t="s">
        <v>336</v>
      </c>
      <c r="F146" s="57" t="s">
        <v>192</v>
      </c>
      <c r="G146" s="61"/>
      <c r="H146" s="61"/>
      <c r="I146" s="60"/>
      <c r="J146" s="53"/>
    </row>
    <row r="147" ht="24.75" customHeight="1">
      <c r="A147" s="54">
        <v>110.0</v>
      </c>
      <c r="B147" s="56" t="s">
        <v>382</v>
      </c>
      <c r="C147" s="56" t="s">
        <v>259</v>
      </c>
      <c r="D147" s="56" t="s">
        <v>383</v>
      </c>
      <c r="E147" s="56" t="s">
        <v>336</v>
      </c>
      <c r="F147" s="57" t="s">
        <v>192</v>
      </c>
      <c r="G147" s="61"/>
      <c r="H147" s="61"/>
      <c r="I147" s="60"/>
      <c r="J147" s="53"/>
    </row>
    <row r="148" ht="24.75" customHeight="1">
      <c r="A148" s="54">
        <v>110.0</v>
      </c>
      <c r="B148" s="56" t="s">
        <v>385</v>
      </c>
      <c r="C148" s="56" t="s">
        <v>259</v>
      </c>
      <c r="D148" s="56" t="s">
        <v>386</v>
      </c>
      <c r="E148" s="56" t="s">
        <v>336</v>
      </c>
      <c r="F148" s="57" t="s">
        <v>192</v>
      </c>
      <c r="G148" s="61"/>
      <c r="H148" s="61"/>
      <c r="I148" s="60"/>
      <c r="J148" s="53"/>
    </row>
    <row r="149" ht="24.75" customHeight="1">
      <c r="A149" s="54">
        <v>110.0</v>
      </c>
      <c r="B149" s="56" t="s">
        <v>385</v>
      </c>
      <c r="C149" s="56" t="s">
        <v>259</v>
      </c>
      <c r="D149" s="56" t="s">
        <v>386</v>
      </c>
      <c r="E149" s="56" t="s">
        <v>372</v>
      </c>
      <c r="F149" s="57" t="s">
        <v>34</v>
      </c>
      <c r="G149" s="61"/>
      <c r="H149" s="61"/>
      <c r="I149" s="60"/>
      <c r="J149" s="53"/>
    </row>
    <row r="150" ht="24.75" customHeight="1">
      <c r="A150" s="54">
        <v>110.0</v>
      </c>
      <c r="B150" s="56" t="s">
        <v>385</v>
      </c>
      <c r="C150" s="56" t="s">
        <v>259</v>
      </c>
      <c r="D150" s="56" t="s">
        <v>386</v>
      </c>
      <c r="E150" s="56" t="s">
        <v>158</v>
      </c>
      <c r="F150" s="57" t="s">
        <v>34</v>
      </c>
      <c r="G150" s="61"/>
      <c r="H150" s="61"/>
      <c r="I150" s="60"/>
      <c r="J150" s="53"/>
    </row>
    <row r="151" ht="24.75" customHeight="1">
      <c r="A151" s="54">
        <v>110.0</v>
      </c>
      <c r="B151" s="56" t="s">
        <v>388</v>
      </c>
      <c r="C151" s="56" t="s">
        <v>259</v>
      </c>
      <c r="D151" s="56" t="s">
        <v>389</v>
      </c>
      <c r="E151" s="56" t="s">
        <v>336</v>
      </c>
      <c r="F151" s="57" t="s">
        <v>192</v>
      </c>
      <c r="G151" s="61"/>
      <c r="H151" s="61"/>
      <c r="I151" s="60"/>
      <c r="J151" s="53"/>
    </row>
    <row r="152" ht="24.75" customHeight="1">
      <c r="A152" s="54">
        <v>110.0</v>
      </c>
      <c r="B152" s="56" t="s">
        <v>388</v>
      </c>
      <c r="C152" s="56" t="s">
        <v>259</v>
      </c>
      <c r="D152" s="56" t="s">
        <v>389</v>
      </c>
      <c r="E152" s="56" t="s">
        <v>372</v>
      </c>
      <c r="F152" s="57" t="s">
        <v>34</v>
      </c>
      <c r="G152" s="61"/>
      <c r="H152" s="61"/>
      <c r="I152" s="60"/>
      <c r="J152" s="53"/>
    </row>
    <row r="153" ht="24.75" customHeight="1">
      <c r="A153" s="54">
        <v>110.0</v>
      </c>
      <c r="B153" s="56" t="s">
        <v>388</v>
      </c>
      <c r="C153" s="56" t="s">
        <v>259</v>
      </c>
      <c r="D153" s="56" t="s">
        <v>389</v>
      </c>
      <c r="E153" s="56" t="s">
        <v>158</v>
      </c>
      <c r="F153" s="57" t="s">
        <v>34</v>
      </c>
      <c r="G153" s="61"/>
      <c r="H153" s="61"/>
      <c r="I153" s="60"/>
      <c r="J153" s="53"/>
    </row>
    <row r="154" ht="24.75" customHeight="1">
      <c r="A154" s="54">
        <v>110.0</v>
      </c>
      <c r="B154" s="56" t="s">
        <v>390</v>
      </c>
      <c r="C154" s="56" t="s">
        <v>259</v>
      </c>
      <c r="D154" s="56" t="s">
        <v>391</v>
      </c>
      <c r="E154" s="56" t="s">
        <v>372</v>
      </c>
      <c r="F154" s="57" t="s">
        <v>34</v>
      </c>
      <c r="G154" s="61"/>
      <c r="H154" s="61"/>
      <c r="I154" s="60"/>
      <c r="J154" s="53"/>
    </row>
    <row r="155" ht="24.75" customHeight="1">
      <c r="A155" s="54">
        <v>110.0</v>
      </c>
      <c r="B155" s="56" t="s">
        <v>390</v>
      </c>
      <c r="C155" s="56" t="s">
        <v>259</v>
      </c>
      <c r="D155" s="56" t="s">
        <v>391</v>
      </c>
      <c r="E155" s="56" t="s">
        <v>158</v>
      </c>
      <c r="F155" s="57" t="s">
        <v>34</v>
      </c>
      <c r="G155" s="61"/>
      <c r="H155" s="61"/>
      <c r="I155" s="60"/>
      <c r="J155" s="53"/>
    </row>
    <row r="156" ht="24.75" customHeight="1">
      <c r="A156" s="54">
        <v>110.0</v>
      </c>
      <c r="B156" s="56" t="s">
        <v>392</v>
      </c>
      <c r="C156" s="56" t="s">
        <v>101</v>
      </c>
      <c r="D156" s="56" t="s">
        <v>102</v>
      </c>
      <c r="E156" s="56" t="s">
        <v>111</v>
      </c>
      <c r="F156" s="57" t="s">
        <v>34</v>
      </c>
      <c r="G156" s="61"/>
      <c r="H156" s="61"/>
      <c r="I156" s="60"/>
      <c r="J156" s="53"/>
    </row>
    <row r="157" ht="24.75" customHeight="1">
      <c r="A157" s="54">
        <v>120.0</v>
      </c>
      <c r="B157" s="56" t="s">
        <v>393</v>
      </c>
      <c r="C157" s="56" t="s">
        <v>394</v>
      </c>
      <c r="D157" s="56" t="s">
        <v>299</v>
      </c>
      <c r="E157" s="56" t="s">
        <v>163</v>
      </c>
      <c r="F157" s="57" t="s">
        <v>154</v>
      </c>
      <c r="G157" s="61"/>
      <c r="H157" s="61"/>
      <c r="I157" s="60"/>
      <c r="J157" s="53"/>
    </row>
    <row r="158" ht="24.75" customHeight="1">
      <c r="A158" s="54">
        <v>120.0</v>
      </c>
      <c r="B158" s="56" t="s">
        <v>395</v>
      </c>
      <c r="C158" s="56" t="s">
        <v>394</v>
      </c>
      <c r="D158" s="56" t="s">
        <v>172</v>
      </c>
      <c r="E158" s="56" t="s">
        <v>163</v>
      </c>
      <c r="F158" s="57" t="s">
        <v>154</v>
      </c>
      <c r="G158" s="61"/>
      <c r="H158" s="61"/>
      <c r="I158" s="60"/>
      <c r="J158" s="53"/>
    </row>
    <row r="159" ht="24.75" customHeight="1">
      <c r="A159" s="54">
        <v>120.0</v>
      </c>
      <c r="B159" s="56" t="s">
        <v>396</v>
      </c>
      <c r="C159" s="56" t="s">
        <v>394</v>
      </c>
      <c r="D159" s="56" t="s">
        <v>397</v>
      </c>
      <c r="E159" s="56" t="s">
        <v>163</v>
      </c>
      <c r="F159" s="57" t="s">
        <v>154</v>
      </c>
      <c r="G159" s="61"/>
      <c r="H159" s="61"/>
      <c r="I159" s="60"/>
      <c r="J159" s="53"/>
    </row>
    <row r="160" ht="24.75" customHeight="1">
      <c r="A160" s="54">
        <v>120.0</v>
      </c>
      <c r="B160" s="56" t="s">
        <v>398</v>
      </c>
      <c r="C160" s="56" t="s">
        <v>394</v>
      </c>
      <c r="D160" s="56" t="s">
        <v>399</v>
      </c>
      <c r="E160" s="56" t="s">
        <v>163</v>
      </c>
      <c r="F160" s="57" t="s">
        <v>154</v>
      </c>
      <c r="G160" s="61"/>
      <c r="H160" s="61"/>
      <c r="I160" s="60"/>
      <c r="J160" s="53"/>
    </row>
    <row r="161" ht="24.75" customHeight="1">
      <c r="A161" s="54">
        <v>120.0</v>
      </c>
      <c r="B161" s="56" t="s">
        <v>400</v>
      </c>
      <c r="C161" s="56" t="s">
        <v>394</v>
      </c>
      <c r="D161" s="56" t="s">
        <v>401</v>
      </c>
      <c r="E161" s="56" t="s">
        <v>163</v>
      </c>
      <c r="F161" s="57" t="s">
        <v>154</v>
      </c>
      <c r="G161" s="61"/>
      <c r="H161" s="61"/>
      <c r="I161" s="60"/>
      <c r="J161" s="53"/>
    </row>
    <row r="162" ht="24.75" hidden="1" customHeight="1">
      <c r="A162" s="54">
        <v>90.0</v>
      </c>
      <c r="B162" s="56" t="s">
        <v>402</v>
      </c>
      <c r="C162" s="56" t="s">
        <v>278</v>
      </c>
      <c r="D162" s="56" t="s">
        <v>403</v>
      </c>
      <c r="E162" s="56" t="s">
        <v>111</v>
      </c>
      <c r="F162" s="57" t="s">
        <v>15</v>
      </c>
      <c r="G162" s="61"/>
      <c r="H162" s="61"/>
      <c r="I162" s="86"/>
      <c r="J162" s="53"/>
    </row>
    <row r="163" ht="24.75" hidden="1" customHeight="1">
      <c r="A163" s="54">
        <v>130.0</v>
      </c>
      <c r="B163" s="56" t="s">
        <v>404</v>
      </c>
      <c r="C163" s="56" t="s">
        <v>405</v>
      </c>
      <c r="D163" s="56" t="s">
        <v>406</v>
      </c>
      <c r="E163" s="56" t="s">
        <v>407</v>
      </c>
      <c r="F163" s="57" t="s">
        <v>250</v>
      </c>
      <c r="G163" s="61"/>
      <c r="H163" s="61" t="s">
        <v>346</v>
      </c>
      <c r="I163" s="62" t="s">
        <v>414</v>
      </c>
      <c r="J163" s="53"/>
    </row>
    <row r="164" ht="24.75" hidden="1" customHeight="1">
      <c r="A164" s="54">
        <v>130.0</v>
      </c>
      <c r="B164" s="56" t="s">
        <v>404</v>
      </c>
      <c r="C164" s="56" t="s">
        <v>405</v>
      </c>
      <c r="D164" s="56" t="s">
        <v>406</v>
      </c>
      <c r="E164" s="56" t="s">
        <v>408</v>
      </c>
      <c r="F164" s="57" t="s">
        <v>250</v>
      </c>
      <c r="G164" s="61"/>
      <c r="H164" s="61" t="s">
        <v>346</v>
      </c>
      <c r="I164" s="62" t="s">
        <v>417</v>
      </c>
      <c r="J164" s="53"/>
    </row>
    <row r="165" ht="24.75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111</v>
      </c>
      <c r="F165" s="57" t="s">
        <v>154</v>
      </c>
      <c r="G165" s="61"/>
      <c r="H165" s="61"/>
      <c r="I165" s="60"/>
      <c r="J165" s="53"/>
    </row>
    <row r="166" ht="24.75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409</v>
      </c>
      <c r="F166" s="57" t="s">
        <v>154</v>
      </c>
      <c r="G166" s="61"/>
      <c r="H166" s="61"/>
      <c r="I166" s="60"/>
      <c r="J166" s="53"/>
    </row>
    <row r="167" ht="24.75" customHeight="1">
      <c r="A167" s="54">
        <v>130.0</v>
      </c>
      <c r="B167" s="56" t="s">
        <v>404</v>
      </c>
      <c r="C167" s="56" t="s">
        <v>405</v>
      </c>
      <c r="D167" s="56" t="s">
        <v>406</v>
      </c>
      <c r="E167" s="56" t="s">
        <v>410</v>
      </c>
      <c r="F167" s="57" t="s">
        <v>154</v>
      </c>
      <c r="G167" s="61"/>
      <c r="H167" s="61"/>
      <c r="I167" s="60"/>
      <c r="J167" s="53"/>
    </row>
    <row r="168" ht="24.75" customHeight="1">
      <c r="A168" s="54">
        <v>130.0</v>
      </c>
      <c r="B168" s="56" t="s">
        <v>404</v>
      </c>
      <c r="C168" s="56" t="s">
        <v>405</v>
      </c>
      <c r="D168" s="56" t="s">
        <v>406</v>
      </c>
      <c r="E168" s="56" t="s">
        <v>411</v>
      </c>
      <c r="F168" s="57" t="s">
        <v>154</v>
      </c>
      <c r="G168" s="61"/>
      <c r="H168" s="61"/>
      <c r="I168" s="60"/>
      <c r="J168" s="53"/>
    </row>
    <row r="169" ht="24.75" customHeight="1">
      <c r="A169" s="54">
        <v>130.0</v>
      </c>
      <c r="B169" s="56" t="s">
        <v>412</v>
      </c>
      <c r="C169" s="56"/>
      <c r="D169" s="56" t="s">
        <v>413</v>
      </c>
      <c r="E169" s="56" t="s">
        <v>336</v>
      </c>
      <c r="F169" s="57" t="s">
        <v>192</v>
      </c>
      <c r="G169" s="61"/>
      <c r="H169" s="61"/>
      <c r="I169" s="60"/>
      <c r="J169" s="53"/>
    </row>
    <row r="170" ht="24.75" customHeight="1">
      <c r="A170" s="54">
        <v>130.0</v>
      </c>
      <c r="B170" s="56" t="s">
        <v>415</v>
      </c>
      <c r="C170" s="56" t="s">
        <v>148</v>
      </c>
      <c r="D170" s="56" t="s">
        <v>416</v>
      </c>
      <c r="E170" s="56" t="s">
        <v>150</v>
      </c>
      <c r="F170" s="57" t="s">
        <v>34</v>
      </c>
      <c r="G170" s="61"/>
      <c r="H170" s="61"/>
      <c r="I170" s="60"/>
      <c r="J170" s="53"/>
    </row>
    <row r="171" ht="24.75" customHeight="1">
      <c r="A171" s="54">
        <v>130.0</v>
      </c>
      <c r="B171" s="56" t="s">
        <v>418</v>
      </c>
      <c r="C171" s="56" t="s">
        <v>148</v>
      </c>
      <c r="D171" s="56" t="s">
        <v>419</v>
      </c>
      <c r="E171" s="56" t="s">
        <v>150</v>
      </c>
      <c r="F171" s="57" t="s">
        <v>34</v>
      </c>
      <c r="G171" s="61"/>
      <c r="H171" s="61"/>
      <c r="I171" s="60"/>
      <c r="J171" s="53"/>
    </row>
    <row r="172" ht="24.75" customHeight="1">
      <c r="A172" s="54">
        <v>136.0</v>
      </c>
      <c r="B172" s="56" t="s">
        <v>421</v>
      </c>
      <c r="C172" s="56" t="s">
        <v>422</v>
      </c>
      <c r="D172" s="56" t="s">
        <v>422</v>
      </c>
      <c r="E172" s="56" t="s">
        <v>423</v>
      </c>
      <c r="F172" s="57" t="s">
        <v>154</v>
      </c>
      <c r="G172" s="61"/>
      <c r="H172" s="61"/>
      <c r="I172" s="60"/>
      <c r="J172" s="53"/>
    </row>
    <row r="173" ht="24.75" hidden="1" customHeight="1">
      <c r="A173" s="54">
        <v>136.0</v>
      </c>
      <c r="B173" s="56" t="s">
        <v>421</v>
      </c>
      <c r="C173" s="56" t="s">
        <v>422</v>
      </c>
      <c r="D173" s="56" t="s">
        <v>422</v>
      </c>
      <c r="E173" s="80" t="s">
        <v>213</v>
      </c>
      <c r="F173" s="57"/>
      <c r="G173" s="61"/>
      <c r="H173" s="61"/>
      <c r="I173" s="62"/>
      <c r="J173" s="53"/>
    </row>
    <row r="174" ht="24.75" customHeight="1">
      <c r="A174" s="54">
        <v>136.0</v>
      </c>
      <c r="B174" s="56" t="s">
        <v>424</v>
      </c>
      <c r="C174" s="56" t="s">
        <v>422</v>
      </c>
      <c r="D174" s="56" t="s">
        <v>425</v>
      </c>
      <c r="E174" s="56" t="s">
        <v>111</v>
      </c>
      <c r="F174" s="57" t="s">
        <v>154</v>
      </c>
      <c r="G174" s="61"/>
      <c r="H174" s="61"/>
      <c r="I174" s="60"/>
      <c r="J174" s="53"/>
    </row>
    <row r="175" ht="24.75" customHeight="1">
      <c r="A175" s="54">
        <v>136.0</v>
      </c>
      <c r="B175" s="56" t="s">
        <v>426</v>
      </c>
      <c r="C175" s="56" t="s">
        <v>422</v>
      </c>
      <c r="D175" s="56" t="s">
        <v>427</v>
      </c>
      <c r="E175" s="56" t="s">
        <v>111</v>
      </c>
      <c r="F175" s="57" t="s">
        <v>154</v>
      </c>
      <c r="G175" s="61"/>
      <c r="H175" s="61"/>
      <c r="I175" s="60"/>
      <c r="J175" s="53"/>
    </row>
    <row r="176" ht="24.75" customHeight="1">
      <c r="A176" s="54">
        <v>136.0</v>
      </c>
      <c r="B176" s="56" t="s">
        <v>428</v>
      </c>
      <c r="C176" s="56" t="s">
        <v>422</v>
      </c>
      <c r="D176" s="56" t="s">
        <v>429</v>
      </c>
      <c r="E176" s="56" t="s">
        <v>111</v>
      </c>
      <c r="F176" s="57" t="s">
        <v>154</v>
      </c>
      <c r="G176" s="61"/>
      <c r="H176" s="61"/>
      <c r="I176" s="60"/>
      <c r="J176" s="53"/>
    </row>
    <row r="177" ht="24.75" customHeight="1">
      <c r="A177" s="54">
        <v>136.0</v>
      </c>
      <c r="B177" s="56" t="s">
        <v>430</v>
      </c>
      <c r="C177" s="56" t="s">
        <v>422</v>
      </c>
      <c r="D177" s="56" t="s">
        <v>431</v>
      </c>
      <c r="E177" s="56" t="s">
        <v>432</v>
      </c>
      <c r="F177" s="57" t="s">
        <v>154</v>
      </c>
      <c r="G177" s="61"/>
      <c r="H177" s="61"/>
      <c r="I177" s="60"/>
      <c r="J177" s="53"/>
    </row>
    <row r="178" ht="24.75" customHeight="1">
      <c r="A178" s="54">
        <v>140.0</v>
      </c>
      <c r="B178" s="56" t="s">
        <v>433</v>
      </c>
      <c r="C178" s="56" t="s">
        <v>434</v>
      </c>
      <c r="D178" s="56" t="s">
        <v>435</v>
      </c>
      <c r="E178" s="56" t="s">
        <v>167</v>
      </c>
      <c r="F178" s="57" t="s">
        <v>154</v>
      </c>
      <c r="G178" s="61"/>
      <c r="H178" s="61"/>
      <c r="I178" s="60"/>
      <c r="J178" s="53"/>
    </row>
    <row r="179" ht="24.75" customHeight="1">
      <c r="A179" s="54">
        <v>140.0</v>
      </c>
      <c r="B179" s="56" t="s">
        <v>436</v>
      </c>
      <c r="C179" s="56" t="s">
        <v>437</v>
      </c>
      <c r="D179" s="56" t="s">
        <v>438</v>
      </c>
      <c r="E179" s="56" t="s">
        <v>439</v>
      </c>
      <c r="F179" s="57" t="s">
        <v>154</v>
      </c>
      <c r="G179" s="61"/>
      <c r="H179" s="61"/>
      <c r="I179" s="60"/>
      <c r="J179" s="53"/>
    </row>
    <row r="180" ht="24.75" customHeight="1">
      <c r="A180" s="54">
        <v>140.0</v>
      </c>
      <c r="B180" s="56" t="s">
        <v>440</v>
      </c>
      <c r="C180" s="56" t="s">
        <v>437</v>
      </c>
      <c r="D180" s="56" t="s">
        <v>441</v>
      </c>
      <c r="E180" s="56" t="s">
        <v>439</v>
      </c>
      <c r="F180" s="57" t="s">
        <v>154</v>
      </c>
      <c r="G180" s="61"/>
      <c r="H180" s="61"/>
      <c r="I180" s="60"/>
      <c r="J180" s="53"/>
    </row>
    <row r="181" ht="24.75" customHeight="1">
      <c r="A181" s="54">
        <v>140.0</v>
      </c>
      <c r="B181" s="56" t="s">
        <v>442</v>
      </c>
      <c r="C181" s="56" t="s">
        <v>443</v>
      </c>
      <c r="D181" s="56" t="s">
        <v>444</v>
      </c>
      <c r="E181" s="56" t="s">
        <v>439</v>
      </c>
      <c r="F181" s="57" t="s">
        <v>154</v>
      </c>
      <c r="G181" s="61"/>
      <c r="H181" s="61"/>
      <c r="I181" s="60"/>
      <c r="J181" s="53"/>
    </row>
    <row r="182" ht="24.75" customHeight="1">
      <c r="A182" s="54">
        <v>140.0</v>
      </c>
      <c r="B182" s="56" t="s">
        <v>445</v>
      </c>
      <c r="C182" s="56" t="s">
        <v>446</v>
      </c>
      <c r="D182" s="56" t="s">
        <v>447</v>
      </c>
      <c r="E182" s="56" t="s">
        <v>439</v>
      </c>
      <c r="F182" s="57" t="s">
        <v>154</v>
      </c>
      <c r="G182" s="61"/>
      <c r="H182" s="61"/>
      <c r="I182" s="60"/>
      <c r="J182" s="53"/>
    </row>
    <row r="183" ht="24.75" customHeight="1">
      <c r="A183" s="54">
        <v>140.0</v>
      </c>
      <c r="B183" s="56" t="s">
        <v>448</v>
      </c>
      <c r="C183" s="88" t="s">
        <v>449</v>
      </c>
      <c r="D183" s="56" t="s">
        <v>450</v>
      </c>
      <c r="E183" s="56" t="s">
        <v>439</v>
      </c>
      <c r="F183" s="57" t="s">
        <v>154</v>
      </c>
      <c r="G183" s="61"/>
      <c r="H183" s="61"/>
      <c r="I183" s="60"/>
      <c r="J183" s="53"/>
    </row>
    <row r="184" ht="24.75" hidden="1" customHeight="1">
      <c r="A184" s="54">
        <v>90.0</v>
      </c>
      <c r="B184" s="56" t="s">
        <v>286</v>
      </c>
      <c r="C184" s="56" t="s">
        <v>278</v>
      </c>
      <c r="D184" s="56" t="s">
        <v>266</v>
      </c>
      <c r="E184" s="56" t="s">
        <v>111</v>
      </c>
      <c r="F184" s="57" t="s">
        <v>15</v>
      </c>
      <c r="G184" s="61"/>
      <c r="H184" s="61"/>
      <c r="I184" s="60"/>
      <c r="J184" s="53"/>
    </row>
    <row r="185" ht="24.75" hidden="1" customHeight="1">
      <c r="A185" s="54">
        <v>100.0</v>
      </c>
      <c r="B185" s="56" t="s">
        <v>451</v>
      </c>
      <c r="C185" s="56" t="s">
        <v>315</v>
      </c>
      <c r="D185" s="56" t="s">
        <v>452</v>
      </c>
      <c r="E185" s="56" t="s">
        <v>453</v>
      </c>
      <c r="F185" s="57" t="s">
        <v>15</v>
      </c>
      <c r="G185" s="61"/>
      <c r="H185" s="61"/>
      <c r="I185" s="60"/>
      <c r="J185" s="53"/>
    </row>
    <row r="186" ht="24.75" hidden="1" customHeight="1">
      <c r="A186" s="54">
        <v>100.0</v>
      </c>
      <c r="B186" s="56" t="s">
        <v>454</v>
      </c>
      <c r="C186" s="56" t="s">
        <v>315</v>
      </c>
      <c r="D186" s="56" t="s">
        <v>316</v>
      </c>
      <c r="E186" s="56" t="s">
        <v>455</v>
      </c>
      <c r="F186" s="57" t="s">
        <v>15</v>
      </c>
      <c r="G186" s="61"/>
      <c r="H186" s="61"/>
      <c r="I186" s="60"/>
      <c r="J186" s="53"/>
    </row>
    <row r="187" ht="24.75" hidden="1" customHeight="1">
      <c r="A187" s="54">
        <v>101.0</v>
      </c>
      <c r="B187" s="56" t="s">
        <v>456</v>
      </c>
      <c r="C187" s="56" t="s">
        <v>315</v>
      </c>
      <c r="D187" s="56" t="s">
        <v>340</v>
      </c>
      <c r="E187" s="56" t="s">
        <v>457</v>
      </c>
      <c r="F187" s="57" t="s">
        <v>15</v>
      </c>
      <c r="G187" s="61"/>
      <c r="H187" s="61"/>
      <c r="I187" s="60"/>
      <c r="J187" s="53"/>
    </row>
    <row r="188" ht="24.75" hidden="1" customHeight="1">
      <c r="A188" s="54">
        <v>101.0</v>
      </c>
      <c r="B188" s="56" t="s">
        <v>458</v>
      </c>
      <c r="C188" s="56" t="s">
        <v>315</v>
      </c>
      <c r="D188" s="56" t="s">
        <v>351</v>
      </c>
      <c r="E188" s="56" t="s">
        <v>459</v>
      </c>
      <c r="F188" s="57" t="s">
        <v>15</v>
      </c>
      <c r="G188" s="61"/>
      <c r="H188" s="61"/>
      <c r="I188" s="60"/>
      <c r="J188" s="53"/>
    </row>
    <row r="189" ht="24.75" hidden="1" customHeight="1">
      <c r="A189" s="54">
        <v>102.0</v>
      </c>
      <c r="B189" s="56" t="s">
        <v>353</v>
      </c>
      <c r="C189" s="56" t="s">
        <v>315</v>
      </c>
      <c r="D189" s="56" t="s">
        <v>354</v>
      </c>
      <c r="E189" s="56" t="s">
        <v>461</v>
      </c>
      <c r="F189" s="57" t="s">
        <v>15</v>
      </c>
      <c r="G189" s="61"/>
      <c r="H189" s="61"/>
      <c r="I189" s="60"/>
      <c r="J189" s="53"/>
    </row>
    <row r="190" ht="24.75" hidden="1" customHeight="1">
      <c r="A190" s="54">
        <v>140.0</v>
      </c>
      <c r="B190" s="56" t="s">
        <v>462</v>
      </c>
      <c r="C190" s="56" t="s">
        <v>434</v>
      </c>
      <c r="D190" s="56" t="s">
        <v>463</v>
      </c>
      <c r="E190" s="56" t="s">
        <v>272</v>
      </c>
      <c r="F190" s="57" t="s">
        <v>15</v>
      </c>
      <c r="G190" s="61"/>
      <c r="H190" s="61"/>
      <c r="I190" s="60"/>
      <c r="J190" s="53"/>
    </row>
    <row r="191" ht="24.75" hidden="1" customHeight="1">
      <c r="A191" s="54">
        <v>140.0</v>
      </c>
      <c r="B191" s="56" t="s">
        <v>464</v>
      </c>
      <c r="C191" s="56" t="s">
        <v>270</v>
      </c>
      <c r="D191" s="56" t="s">
        <v>465</v>
      </c>
      <c r="E191" s="56" t="s">
        <v>272</v>
      </c>
      <c r="F191" s="57" t="s">
        <v>15</v>
      </c>
      <c r="G191" s="61"/>
      <c r="H191" s="61"/>
      <c r="I191" s="60"/>
      <c r="J191" s="53"/>
    </row>
    <row r="192" ht="24.75" hidden="1" customHeight="1">
      <c r="A192" s="54">
        <v>140.0</v>
      </c>
      <c r="B192" s="56" t="s">
        <v>466</v>
      </c>
      <c r="C192" s="56" t="s">
        <v>443</v>
      </c>
      <c r="D192" s="56" t="s">
        <v>467</v>
      </c>
      <c r="E192" s="56" t="s">
        <v>272</v>
      </c>
      <c r="F192" s="57" t="s">
        <v>15</v>
      </c>
      <c r="G192" s="61"/>
      <c r="H192" s="61"/>
      <c r="I192" s="60"/>
      <c r="J192" s="53"/>
    </row>
    <row r="193" ht="24.75" hidden="1" customHeight="1">
      <c r="A193" s="54">
        <v>140.0</v>
      </c>
      <c r="B193" s="56" t="s">
        <v>468</v>
      </c>
      <c r="C193" s="56" t="s">
        <v>446</v>
      </c>
      <c r="D193" s="56" t="s">
        <v>469</v>
      </c>
      <c r="E193" s="56" t="s">
        <v>272</v>
      </c>
      <c r="F193" s="57" t="s">
        <v>15</v>
      </c>
      <c r="G193" s="61"/>
      <c r="H193" s="61"/>
      <c r="I193" s="60"/>
      <c r="J193" s="53"/>
    </row>
    <row r="194" ht="24.75" hidden="1" customHeight="1">
      <c r="A194" s="54">
        <v>140.0</v>
      </c>
      <c r="B194" s="56" t="s">
        <v>470</v>
      </c>
      <c r="C194" s="56" t="s">
        <v>443</v>
      </c>
      <c r="D194" s="56" t="s">
        <v>471</v>
      </c>
      <c r="E194" s="56" t="s">
        <v>272</v>
      </c>
      <c r="F194" s="57" t="s">
        <v>15</v>
      </c>
      <c r="G194" s="61"/>
      <c r="H194" s="61"/>
      <c r="I194" s="60"/>
      <c r="J194" s="53"/>
    </row>
    <row r="195" ht="24.75" hidden="1" customHeight="1">
      <c r="A195" s="54">
        <v>140.0</v>
      </c>
      <c r="B195" s="56" t="s">
        <v>472</v>
      </c>
      <c r="C195" s="56" t="s">
        <v>446</v>
      </c>
      <c r="D195" s="56" t="s">
        <v>473</v>
      </c>
      <c r="E195" s="56" t="s">
        <v>272</v>
      </c>
      <c r="F195" s="57" t="s">
        <v>15</v>
      </c>
      <c r="G195" s="61"/>
      <c r="H195" s="61"/>
      <c r="I195" s="60"/>
      <c r="J195" s="53"/>
    </row>
    <row r="196" ht="24.75" hidden="1" customHeight="1">
      <c r="A196" s="54">
        <v>140.0</v>
      </c>
      <c r="B196" s="56" t="s">
        <v>474</v>
      </c>
      <c r="C196" s="56" t="s">
        <v>443</v>
      </c>
      <c r="D196" s="56" t="s">
        <v>475</v>
      </c>
      <c r="E196" s="56" t="s">
        <v>272</v>
      </c>
      <c r="F196" s="57" t="s">
        <v>15</v>
      </c>
      <c r="G196" s="61"/>
      <c r="H196" s="61"/>
      <c r="I196" s="60"/>
      <c r="J196" s="53"/>
    </row>
    <row r="197" ht="24.75" hidden="1" customHeight="1">
      <c r="A197" s="54">
        <v>140.0</v>
      </c>
      <c r="B197" s="56" t="s">
        <v>476</v>
      </c>
      <c r="C197" s="56" t="s">
        <v>270</v>
      </c>
      <c r="D197" s="56" t="s">
        <v>477</v>
      </c>
      <c r="E197" s="56" t="s">
        <v>272</v>
      </c>
      <c r="F197" s="57" t="s">
        <v>15</v>
      </c>
      <c r="G197" s="61"/>
      <c r="H197" s="61"/>
      <c r="I197" s="60"/>
      <c r="J197" s="53"/>
    </row>
    <row r="198" ht="24.75" hidden="1" customHeight="1">
      <c r="A198" s="54">
        <v>140.0</v>
      </c>
      <c r="B198" s="56" t="s">
        <v>478</v>
      </c>
      <c r="C198" s="56" t="s">
        <v>270</v>
      </c>
      <c r="D198" s="56" t="s">
        <v>479</v>
      </c>
      <c r="E198" s="56" t="s">
        <v>272</v>
      </c>
      <c r="F198" s="57" t="s">
        <v>15</v>
      </c>
      <c r="G198" s="61"/>
      <c r="H198" s="61"/>
      <c r="I198" s="60"/>
      <c r="J198" s="53"/>
    </row>
    <row r="199" ht="24.75" hidden="1" customHeight="1">
      <c r="A199" s="54">
        <v>140.0</v>
      </c>
      <c r="B199" s="56" t="s">
        <v>480</v>
      </c>
      <c r="C199" s="56" t="s">
        <v>270</v>
      </c>
      <c r="D199" s="56" t="s">
        <v>481</v>
      </c>
      <c r="E199" s="56" t="s">
        <v>272</v>
      </c>
      <c r="F199" s="57" t="s">
        <v>15</v>
      </c>
      <c r="G199" s="61"/>
      <c r="H199" s="61"/>
      <c r="I199" s="60"/>
      <c r="J199" s="53"/>
    </row>
    <row r="200" ht="24.75" hidden="1" customHeight="1">
      <c r="A200" s="54">
        <v>140.0</v>
      </c>
      <c r="B200" s="56" t="s">
        <v>482</v>
      </c>
      <c r="C200" s="56" t="s">
        <v>443</v>
      </c>
      <c r="D200" s="56" t="s">
        <v>483</v>
      </c>
      <c r="E200" s="56" t="s">
        <v>272</v>
      </c>
      <c r="F200" s="57" t="s">
        <v>15</v>
      </c>
      <c r="G200" s="61"/>
      <c r="H200" s="61"/>
      <c r="I200" s="60"/>
      <c r="J200" s="53"/>
    </row>
    <row r="201" ht="24.75" hidden="1" customHeight="1">
      <c r="A201" s="54">
        <v>140.0</v>
      </c>
      <c r="B201" s="56" t="s">
        <v>484</v>
      </c>
      <c r="C201" s="56" t="s">
        <v>446</v>
      </c>
      <c r="D201" s="56" t="s">
        <v>485</v>
      </c>
      <c r="E201" s="56" t="s">
        <v>272</v>
      </c>
      <c r="F201" s="57" t="s">
        <v>15</v>
      </c>
      <c r="G201" s="61"/>
      <c r="H201" s="61"/>
      <c r="I201" s="60"/>
      <c r="J201" s="53"/>
    </row>
    <row r="202" ht="24.75" hidden="1" customHeight="1">
      <c r="A202" s="54">
        <v>140.0</v>
      </c>
      <c r="B202" s="56" t="s">
        <v>269</v>
      </c>
      <c r="C202" s="56" t="s">
        <v>270</v>
      </c>
      <c r="D202" s="56" t="s">
        <v>486</v>
      </c>
      <c r="E202" s="56" t="s">
        <v>487</v>
      </c>
      <c r="F202" s="56"/>
      <c r="G202" s="61"/>
      <c r="H202" s="61"/>
      <c r="I202" s="62"/>
      <c r="J202" s="53"/>
    </row>
    <row r="203" ht="24.75" hidden="1" customHeight="1">
      <c r="A203" s="54">
        <v>140.0</v>
      </c>
      <c r="B203" s="56" t="s">
        <v>488</v>
      </c>
      <c r="C203" s="88" t="s">
        <v>449</v>
      </c>
      <c r="D203" s="56" t="s">
        <v>489</v>
      </c>
      <c r="E203" s="56" t="s">
        <v>272</v>
      </c>
      <c r="F203" s="57" t="s">
        <v>15</v>
      </c>
      <c r="G203" s="61"/>
      <c r="H203" s="61"/>
      <c r="I203" s="60"/>
      <c r="J203" s="53"/>
    </row>
    <row r="204" ht="24.75" hidden="1" customHeight="1">
      <c r="A204" s="54">
        <v>140.0</v>
      </c>
      <c r="B204" s="56" t="s">
        <v>490</v>
      </c>
      <c r="C204" s="56" t="s">
        <v>270</v>
      </c>
      <c r="D204" s="56" t="s">
        <v>491</v>
      </c>
      <c r="E204" s="56" t="s">
        <v>272</v>
      </c>
      <c r="F204" s="57" t="s">
        <v>15</v>
      </c>
      <c r="G204" s="61"/>
      <c r="H204" s="61"/>
      <c r="I204" s="60"/>
      <c r="J204" s="53"/>
    </row>
    <row r="205" ht="24.75" hidden="1" customHeight="1">
      <c r="A205" s="54">
        <v>140.0</v>
      </c>
      <c r="B205" s="56" t="s">
        <v>284</v>
      </c>
      <c r="C205" s="56" t="s">
        <v>270</v>
      </c>
      <c r="D205" s="56" t="s">
        <v>492</v>
      </c>
      <c r="E205" s="56" t="s">
        <v>487</v>
      </c>
      <c r="F205" s="56"/>
      <c r="G205" s="61"/>
      <c r="H205" s="61"/>
      <c r="I205" s="62"/>
      <c r="J205" s="53"/>
    </row>
    <row r="206" ht="24.75" hidden="1" customHeight="1">
      <c r="A206" s="54">
        <v>140.0</v>
      </c>
      <c r="B206" s="56" t="s">
        <v>493</v>
      </c>
      <c r="C206" s="56" t="s">
        <v>270</v>
      </c>
      <c r="D206" s="56" t="s">
        <v>494</v>
      </c>
      <c r="E206" s="56" t="s">
        <v>272</v>
      </c>
      <c r="F206" s="57" t="s">
        <v>15</v>
      </c>
      <c r="G206" s="61"/>
      <c r="H206" s="61"/>
      <c r="I206" s="60"/>
      <c r="J206" s="53"/>
    </row>
    <row r="207" ht="24.75" hidden="1" customHeight="1">
      <c r="A207" s="54">
        <v>140.0</v>
      </c>
      <c r="B207" s="56" t="s">
        <v>496</v>
      </c>
      <c r="C207" s="56" t="s">
        <v>497</v>
      </c>
      <c r="D207" s="56" t="s">
        <v>498</v>
      </c>
      <c r="E207" s="56" t="s">
        <v>272</v>
      </c>
      <c r="F207" s="57" t="s">
        <v>15</v>
      </c>
      <c r="G207" s="61"/>
      <c r="H207" s="61"/>
      <c r="I207" s="60"/>
      <c r="J207" s="53"/>
    </row>
    <row r="208" ht="24.75" customHeight="1">
      <c r="A208" s="54">
        <v>140.0</v>
      </c>
      <c r="B208" s="56" t="s">
        <v>499</v>
      </c>
      <c r="C208" s="56" t="s">
        <v>500</v>
      </c>
      <c r="D208" s="56" t="s">
        <v>501</v>
      </c>
      <c r="E208" s="56" t="s">
        <v>225</v>
      </c>
      <c r="F208" s="57" t="s">
        <v>34</v>
      </c>
      <c r="G208" s="61"/>
      <c r="H208" s="61"/>
      <c r="I208" s="60"/>
      <c r="J208" s="53"/>
    </row>
    <row r="209" ht="24.75" customHeight="1">
      <c r="A209" s="54">
        <v>140.0</v>
      </c>
      <c r="B209" s="56" t="s">
        <v>499</v>
      </c>
      <c r="C209" s="56" t="s">
        <v>500</v>
      </c>
      <c r="D209" s="56" t="s">
        <v>501</v>
      </c>
      <c r="E209" s="56" t="s">
        <v>167</v>
      </c>
      <c r="F209" s="57" t="s">
        <v>154</v>
      </c>
      <c r="G209" s="61"/>
      <c r="H209" s="61"/>
      <c r="I209" s="60"/>
      <c r="J209" s="53"/>
    </row>
    <row r="210" ht="24.75" customHeight="1">
      <c r="A210" s="54">
        <v>140.0</v>
      </c>
      <c r="B210" s="56" t="s">
        <v>499</v>
      </c>
      <c r="C210" s="56" t="s">
        <v>500</v>
      </c>
      <c r="D210" s="56" t="s">
        <v>501</v>
      </c>
      <c r="E210" s="56" t="s">
        <v>226</v>
      </c>
      <c r="F210" s="57" t="s">
        <v>154</v>
      </c>
      <c r="G210" s="61"/>
      <c r="H210" s="61"/>
      <c r="I210" s="60"/>
      <c r="J210" s="53"/>
    </row>
    <row r="211" ht="24.75" hidden="1" customHeight="1">
      <c r="A211" s="54">
        <v>140.0</v>
      </c>
      <c r="B211" s="56" t="s">
        <v>502</v>
      </c>
      <c r="C211" s="56" t="s">
        <v>497</v>
      </c>
      <c r="D211" s="56" t="s">
        <v>503</v>
      </c>
      <c r="E211" s="56" t="s">
        <v>272</v>
      </c>
      <c r="F211" s="57" t="s">
        <v>15</v>
      </c>
      <c r="G211" s="61"/>
      <c r="H211" s="61"/>
      <c r="I211" s="60"/>
      <c r="J211" s="53"/>
    </row>
    <row r="212" ht="24.75" customHeight="1">
      <c r="A212" s="54">
        <v>140.0</v>
      </c>
      <c r="B212" s="56" t="s">
        <v>504</v>
      </c>
      <c r="C212" s="56" t="s">
        <v>443</v>
      </c>
      <c r="D212" s="56" t="s">
        <v>505</v>
      </c>
      <c r="E212" s="56" t="s">
        <v>439</v>
      </c>
      <c r="F212" s="57" t="s">
        <v>154</v>
      </c>
      <c r="G212" s="61"/>
      <c r="H212" s="61"/>
      <c r="I212" s="60"/>
      <c r="J212" s="53"/>
    </row>
    <row r="213" ht="24.75" customHeight="1">
      <c r="A213" s="54">
        <v>140.0</v>
      </c>
      <c r="B213" s="56" t="s">
        <v>506</v>
      </c>
      <c r="C213" s="56" t="s">
        <v>507</v>
      </c>
      <c r="D213" s="56" t="s">
        <v>508</v>
      </c>
      <c r="E213" s="56" t="s">
        <v>336</v>
      </c>
      <c r="F213" s="57" t="s">
        <v>192</v>
      </c>
      <c r="G213" s="61"/>
      <c r="H213" s="61"/>
      <c r="I213" s="60"/>
      <c r="J213" s="53"/>
    </row>
    <row r="214" ht="24.75" customHeight="1">
      <c r="A214" s="54">
        <v>140.0</v>
      </c>
      <c r="B214" s="56" t="s">
        <v>506</v>
      </c>
      <c r="C214" s="56" t="s">
        <v>507</v>
      </c>
      <c r="D214" s="56" t="s">
        <v>508</v>
      </c>
      <c r="E214" s="56" t="s">
        <v>372</v>
      </c>
      <c r="F214" s="57" t="s">
        <v>34</v>
      </c>
      <c r="G214" s="61"/>
      <c r="H214" s="61"/>
      <c r="I214" s="60"/>
      <c r="J214" s="53"/>
    </row>
    <row r="215" ht="24.75" customHeight="1">
      <c r="A215" s="54">
        <v>140.0</v>
      </c>
      <c r="B215" s="56" t="s">
        <v>506</v>
      </c>
      <c r="C215" s="56" t="s">
        <v>507</v>
      </c>
      <c r="D215" s="56" t="s">
        <v>508</v>
      </c>
      <c r="E215" s="56" t="s">
        <v>158</v>
      </c>
      <c r="F215" s="57" t="s">
        <v>34</v>
      </c>
      <c r="G215" s="61"/>
      <c r="H215" s="61"/>
      <c r="I215" s="60"/>
      <c r="J215" s="53"/>
    </row>
    <row r="216" ht="24.75" hidden="1" customHeight="1">
      <c r="A216" s="54">
        <v>140.0</v>
      </c>
      <c r="B216" s="56" t="s">
        <v>502</v>
      </c>
      <c r="C216" s="56" t="s">
        <v>497</v>
      </c>
      <c r="D216" s="56" t="s">
        <v>509</v>
      </c>
      <c r="E216" s="56" t="s">
        <v>272</v>
      </c>
      <c r="F216" s="57" t="s">
        <v>15</v>
      </c>
      <c r="G216" s="61"/>
      <c r="H216" s="61"/>
      <c r="I216" s="60"/>
      <c r="J216" s="53"/>
    </row>
    <row r="217" ht="24.75" hidden="1" customHeight="1">
      <c r="A217" s="54">
        <v>140.0</v>
      </c>
      <c r="B217" s="56" t="s">
        <v>499</v>
      </c>
      <c r="C217" s="56" t="s">
        <v>500</v>
      </c>
      <c r="D217" s="56" t="s">
        <v>510</v>
      </c>
      <c r="E217" s="56" t="s">
        <v>272</v>
      </c>
      <c r="F217" s="57" t="s">
        <v>15</v>
      </c>
      <c r="G217" s="61"/>
      <c r="H217" s="61"/>
      <c r="I217" s="60"/>
      <c r="J217" s="53"/>
    </row>
    <row r="218" ht="24.75" hidden="1" customHeight="1">
      <c r="A218" s="54">
        <v>140.0</v>
      </c>
      <c r="B218" s="56" t="s">
        <v>511</v>
      </c>
      <c r="C218" s="56" t="s">
        <v>497</v>
      </c>
      <c r="D218" s="56" t="s">
        <v>512</v>
      </c>
      <c r="E218" s="56" t="s">
        <v>272</v>
      </c>
      <c r="F218" s="57" t="s">
        <v>15</v>
      </c>
      <c r="G218" s="61"/>
      <c r="H218" s="61"/>
      <c r="I218" s="60"/>
      <c r="J218" s="53"/>
    </row>
    <row r="219" ht="24.75" hidden="1" customHeight="1">
      <c r="A219" s="54">
        <v>140.0</v>
      </c>
      <c r="B219" s="56" t="s">
        <v>513</v>
      </c>
      <c r="C219" s="56" t="s">
        <v>437</v>
      </c>
      <c r="D219" s="56" t="s">
        <v>514</v>
      </c>
      <c r="E219" s="56" t="s">
        <v>272</v>
      </c>
      <c r="F219" s="57" t="s">
        <v>15</v>
      </c>
      <c r="G219" s="61"/>
      <c r="H219" s="61"/>
      <c r="I219" s="60"/>
      <c r="J219" s="53"/>
    </row>
    <row r="220" ht="24.75" hidden="1" customHeight="1">
      <c r="A220" s="54">
        <v>140.0</v>
      </c>
      <c r="B220" s="56" t="s">
        <v>515</v>
      </c>
      <c r="C220" s="56" t="s">
        <v>437</v>
      </c>
      <c r="D220" s="56" t="s">
        <v>516</v>
      </c>
      <c r="E220" s="56" t="s">
        <v>272</v>
      </c>
      <c r="F220" s="57" t="s">
        <v>15</v>
      </c>
      <c r="G220" s="61"/>
      <c r="H220" s="61"/>
      <c r="I220" s="60"/>
      <c r="J220" s="53"/>
    </row>
    <row r="221" ht="24.75" hidden="1" customHeight="1">
      <c r="A221" s="54">
        <v>140.0</v>
      </c>
      <c r="B221" s="56" t="s">
        <v>517</v>
      </c>
      <c r="C221" s="56" t="s">
        <v>437</v>
      </c>
      <c r="D221" s="56" t="s">
        <v>518</v>
      </c>
      <c r="E221" s="56" t="s">
        <v>272</v>
      </c>
      <c r="F221" s="57" t="s">
        <v>15</v>
      </c>
      <c r="G221" s="81"/>
      <c r="H221" s="81"/>
      <c r="I221" s="93"/>
      <c r="J221" s="53"/>
    </row>
    <row r="222" ht="24.75" hidden="1" customHeight="1">
      <c r="A222" s="54">
        <v>140.0</v>
      </c>
      <c r="B222" s="56" t="s">
        <v>519</v>
      </c>
      <c r="C222" s="56" t="s">
        <v>437</v>
      </c>
      <c r="D222" s="56" t="s">
        <v>520</v>
      </c>
      <c r="E222" s="56" t="s">
        <v>272</v>
      </c>
      <c r="F222" s="57" t="s">
        <v>15</v>
      </c>
      <c r="G222" s="61"/>
      <c r="H222" s="61"/>
      <c r="I222" s="60"/>
      <c r="J222" s="53"/>
    </row>
    <row r="223" ht="24.75" hidden="1" customHeight="1">
      <c r="A223" s="54">
        <v>140.0</v>
      </c>
      <c r="B223" s="56" t="s">
        <v>521</v>
      </c>
      <c r="C223" s="56" t="s">
        <v>443</v>
      </c>
      <c r="D223" s="56" t="s">
        <v>522</v>
      </c>
      <c r="E223" s="56" t="s">
        <v>272</v>
      </c>
      <c r="F223" s="57" t="s">
        <v>15</v>
      </c>
      <c r="G223" s="61"/>
      <c r="H223" s="61"/>
      <c r="I223" s="60"/>
      <c r="J223" s="53"/>
    </row>
    <row r="224" ht="24.75" hidden="1" customHeight="1">
      <c r="A224" s="54">
        <v>140.0</v>
      </c>
      <c r="B224" s="56" t="s">
        <v>523</v>
      </c>
      <c r="C224" s="56" t="s">
        <v>443</v>
      </c>
      <c r="D224" s="56" t="s">
        <v>524</v>
      </c>
      <c r="E224" s="56" t="s">
        <v>272</v>
      </c>
      <c r="F224" s="57" t="s">
        <v>15</v>
      </c>
      <c r="G224" s="61"/>
      <c r="H224" s="61"/>
      <c r="I224" s="60"/>
      <c r="J224" s="53"/>
    </row>
    <row r="225" ht="24.75" hidden="1" customHeight="1">
      <c r="A225" s="54">
        <v>140.0</v>
      </c>
      <c r="B225" s="56" t="s">
        <v>525</v>
      </c>
      <c r="C225" s="56" t="s">
        <v>443</v>
      </c>
      <c r="D225" s="56" t="s">
        <v>526</v>
      </c>
      <c r="E225" s="56" t="s">
        <v>272</v>
      </c>
      <c r="F225" s="57" t="s">
        <v>15</v>
      </c>
      <c r="G225" s="61"/>
      <c r="H225" s="61"/>
      <c r="I225" s="60"/>
      <c r="J225" s="53"/>
    </row>
    <row r="226" ht="24.75" hidden="1" customHeight="1">
      <c r="A226" s="54">
        <v>140.0</v>
      </c>
      <c r="B226" s="56" t="s">
        <v>527</v>
      </c>
      <c r="C226" s="56" t="s">
        <v>446</v>
      </c>
      <c r="D226" s="56" t="s">
        <v>528</v>
      </c>
      <c r="E226" s="56" t="s">
        <v>272</v>
      </c>
      <c r="F226" s="57" t="s">
        <v>15</v>
      </c>
      <c r="G226" s="61"/>
      <c r="H226" s="61"/>
      <c r="I226" s="60"/>
      <c r="J226" s="53"/>
    </row>
    <row r="227" ht="24.75" hidden="1" customHeight="1">
      <c r="A227" s="54">
        <v>140.0</v>
      </c>
      <c r="B227" s="56" t="s">
        <v>529</v>
      </c>
      <c r="C227" s="56" t="s">
        <v>446</v>
      </c>
      <c r="D227" s="56" t="s">
        <v>530</v>
      </c>
      <c r="E227" s="56" t="s">
        <v>272</v>
      </c>
      <c r="F227" s="57" t="s">
        <v>15</v>
      </c>
      <c r="G227" s="61"/>
      <c r="H227" s="61"/>
      <c r="I227" s="60"/>
      <c r="J227" s="53"/>
    </row>
    <row r="228" ht="24.75" hidden="1" customHeight="1">
      <c r="A228" s="54">
        <v>140.0</v>
      </c>
      <c r="B228" s="56" t="s">
        <v>531</v>
      </c>
      <c r="C228" s="88" t="s">
        <v>449</v>
      </c>
      <c r="D228" s="56" t="s">
        <v>532</v>
      </c>
      <c r="E228" s="56" t="s">
        <v>272</v>
      </c>
      <c r="F228" s="57" t="s">
        <v>15</v>
      </c>
      <c r="G228" s="61"/>
      <c r="H228" s="61"/>
      <c r="I228" s="60"/>
      <c r="J228" s="53"/>
    </row>
    <row r="229" ht="24.75" customHeight="1">
      <c r="A229" s="54">
        <v>140.0</v>
      </c>
      <c r="B229" s="56" t="s">
        <v>533</v>
      </c>
      <c r="C229" s="56" t="s">
        <v>497</v>
      </c>
      <c r="D229" s="56" t="s">
        <v>534</v>
      </c>
      <c r="E229" s="56" t="s">
        <v>439</v>
      </c>
      <c r="F229" s="57" t="s">
        <v>154</v>
      </c>
      <c r="G229" s="61"/>
      <c r="H229" s="61"/>
      <c r="I229" s="60"/>
      <c r="J229" s="53"/>
    </row>
    <row r="230" ht="24.75" customHeight="1">
      <c r="A230" s="54">
        <v>140.0</v>
      </c>
      <c r="B230" s="56" t="s">
        <v>535</v>
      </c>
      <c r="C230" s="56" t="s">
        <v>443</v>
      </c>
      <c r="D230" s="56" t="s">
        <v>537</v>
      </c>
      <c r="E230" s="56" t="s">
        <v>439</v>
      </c>
      <c r="F230" s="57" t="s">
        <v>154</v>
      </c>
      <c r="G230" s="61"/>
      <c r="H230" s="61"/>
      <c r="I230" s="60"/>
      <c r="J230" s="53"/>
    </row>
    <row r="231" ht="24.75" customHeight="1">
      <c r="A231" s="54">
        <v>140.0</v>
      </c>
      <c r="B231" s="56" t="s">
        <v>538</v>
      </c>
      <c r="C231" s="56" t="s">
        <v>446</v>
      </c>
      <c r="D231" s="56" t="s">
        <v>539</v>
      </c>
      <c r="E231" s="56" t="s">
        <v>439</v>
      </c>
      <c r="F231" s="57" t="s">
        <v>154</v>
      </c>
      <c r="G231" s="61"/>
      <c r="H231" s="61"/>
      <c r="I231" s="60"/>
      <c r="J231" s="53"/>
    </row>
    <row r="232" ht="24.75" customHeight="1">
      <c r="A232" s="54">
        <v>140.0</v>
      </c>
      <c r="B232" s="56" t="s">
        <v>540</v>
      </c>
      <c r="C232" s="56" t="s">
        <v>434</v>
      </c>
      <c r="D232" s="56" t="s">
        <v>541</v>
      </c>
      <c r="E232" s="56" t="s">
        <v>167</v>
      </c>
      <c r="F232" s="57" t="s">
        <v>154</v>
      </c>
      <c r="G232" s="61"/>
      <c r="H232" s="61"/>
      <c r="I232" s="60"/>
      <c r="J232" s="53"/>
    </row>
    <row r="233" ht="24.75" customHeight="1">
      <c r="A233" s="54">
        <v>140.0</v>
      </c>
      <c r="B233" s="56" t="s">
        <v>540</v>
      </c>
      <c r="C233" s="56" t="s">
        <v>434</v>
      </c>
      <c r="D233" s="56" t="s">
        <v>541</v>
      </c>
      <c r="E233" s="56" t="s">
        <v>176</v>
      </c>
      <c r="F233" s="57" t="s">
        <v>154</v>
      </c>
      <c r="G233" s="61"/>
      <c r="H233" s="61"/>
      <c r="I233" s="60"/>
      <c r="J233" s="53"/>
    </row>
    <row r="234" ht="24.75" customHeight="1">
      <c r="A234" s="54">
        <v>140.0</v>
      </c>
      <c r="B234" s="56" t="s">
        <v>543</v>
      </c>
      <c r="C234" s="56" t="s">
        <v>437</v>
      </c>
      <c r="D234" s="56" t="s">
        <v>544</v>
      </c>
      <c r="E234" s="56" t="s">
        <v>167</v>
      </c>
      <c r="F234" s="57" t="s">
        <v>154</v>
      </c>
      <c r="G234" s="61"/>
      <c r="H234" s="61"/>
      <c r="I234" s="60"/>
      <c r="J234" s="53"/>
    </row>
    <row r="235" ht="24.75" customHeight="1">
      <c r="A235" s="54">
        <v>140.0</v>
      </c>
      <c r="B235" s="56" t="s">
        <v>543</v>
      </c>
      <c r="C235" s="56" t="s">
        <v>437</v>
      </c>
      <c r="D235" s="56" t="s">
        <v>544</v>
      </c>
      <c r="E235" s="56" t="s">
        <v>176</v>
      </c>
      <c r="F235" s="57" t="s">
        <v>154</v>
      </c>
      <c r="G235" s="61"/>
      <c r="H235" s="61"/>
      <c r="I235" s="60"/>
      <c r="J235" s="53"/>
    </row>
    <row r="236" ht="24.75" customHeight="1">
      <c r="A236" s="54">
        <v>140.0</v>
      </c>
      <c r="B236" s="56" t="s">
        <v>545</v>
      </c>
      <c r="C236" s="56" t="s">
        <v>437</v>
      </c>
      <c r="D236" s="56" t="s">
        <v>546</v>
      </c>
      <c r="E236" s="56" t="s">
        <v>167</v>
      </c>
      <c r="F236" s="57" t="s">
        <v>154</v>
      </c>
      <c r="G236" s="61"/>
      <c r="H236" s="61"/>
      <c r="I236" s="60"/>
      <c r="J236" s="53"/>
    </row>
    <row r="237" ht="24.75" customHeight="1">
      <c r="A237" s="54">
        <v>140.0</v>
      </c>
      <c r="B237" s="56" t="s">
        <v>545</v>
      </c>
      <c r="C237" s="56" t="s">
        <v>437</v>
      </c>
      <c r="D237" s="56" t="s">
        <v>546</v>
      </c>
      <c r="E237" s="56" t="s">
        <v>176</v>
      </c>
      <c r="F237" s="57" t="s">
        <v>154</v>
      </c>
      <c r="G237" s="61"/>
      <c r="H237" s="61"/>
      <c r="I237" s="60"/>
      <c r="J237" s="53"/>
    </row>
    <row r="238" ht="24.75" customHeight="1">
      <c r="A238" s="54">
        <v>140.0</v>
      </c>
      <c r="B238" s="56" t="s">
        <v>547</v>
      </c>
      <c r="C238" s="56" t="s">
        <v>437</v>
      </c>
      <c r="D238" s="56" t="s">
        <v>548</v>
      </c>
      <c r="E238" s="56" t="s">
        <v>167</v>
      </c>
      <c r="F238" s="57" t="s">
        <v>154</v>
      </c>
      <c r="G238" s="61"/>
      <c r="H238" s="61"/>
      <c r="I238" s="60"/>
      <c r="J238" s="53"/>
    </row>
    <row r="239" ht="24.75" customHeight="1">
      <c r="A239" s="54">
        <v>140.0</v>
      </c>
      <c r="B239" s="56" t="s">
        <v>547</v>
      </c>
      <c r="C239" s="56" t="s">
        <v>437</v>
      </c>
      <c r="D239" s="56" t="s">
        <v>548</v>
      </c>
      <c r="E239" s="56" t="s">
        <v>176</v>
      </c>
      <c r="F239" s="57" t="s">
        <v>154</v>
      </c>
      <c r="G239" s="61"/>
      <c r="H239" s="61"/>
      <c r="I239" s="60"/>
      <c r="J239" s="53"/>
    </row>
    <row r="240" ht="24.75" customHeight="1">
      <c r="A240" s="54">
        <v>140.0</v>
      </c>
      <c r="B240" s="56" t="s">
        <v>549</v>
      </c>
      <c r="C240" s="56" t="s">
        <v>434</v>
      </c>
      <c r="D240" s="56" t="s">
        <v>550</v>
      </c>
      <c r="E240" s="56" t="s">
        <v>167</v>
      </c>
      <c r="F240" s="57" t="s">
        <v>154</v>
      </c>
      <c r="G240" s="61"/>
      <c r="H240" s="61"/>
      <c r="I240" s="60"/>
      <c r="J240" s="53"/>
    </row>
    <row r="241" ht="24.75" customHeight="1">
      <c r="A241" s="54">
        <v>140.0</v>
      </c>
      <c r="B241" s="56" t="s">
        <v>549</v>
      </c>
      <c r="C241" s="56" t="s">
        <v>434</v>
      </c>
      <c r="D241" s="56" t="s">
        <v>550</v>
      </c>
      <c r="E241" s="56" t="s">
        <v>176</v>
      </c>
      <c r="F241" s="57" t="s">
        <v>154</v>
      </c>
      <c r="G241" s="61"/>
      <c r="H241" s="61"/>
      <c r="I241" s="60"/>
      <c r="J241" s="53"/>
    </row>
    <row r="242" ht="24.75" customHeight="1">
      <c r="A242" s="54">
        <v>140.0</v>
      </c>
      <c r="B242" s="56" t="s">
        <v>551</v>
      </c>
      <c r="C242" s="56" t="s">
        <v>497</v>
      </c>
      <c r="D242" s="56" t="s">
        <v>552</v>
      </c>
      <c r="E242" s="56" t="s">
        <v>167</v>
      </c>
      <c r="F242" s="57" t="s">
        <v>154</v>
      </c>
      <c r="G242" s="61"/>
      <c r="H242" s="61"/>
      <c r="I242" s="60"/>
      <c r="J242" s="53"/>
    </row>
    <row r="243" ht="24.75" customHeight="1">
      <c r="A243" s="54">
        <v>140.0</v>
      </c>
      <c r="B243" s="56" t="s">
        <v>551</v>
      </c>
      <c r="C243" s="56" t="s">
        <v>497</v>
      </c>
      <c r="D243" s="56" t="s">
        <v>552</v>
      </c>
      <c r="E243" s="56" t="s">
        <v>176</v>
      </c>
      <c r="F243" s="57" t="s">
        <v>154</v>
      </c>
      <c r="G243" s="61"/>
      <c r="H243" s="61"/>
      <c r="I243" s="60"/>
      <c r="J243" s="53"/>
    </row>
    <row r="244" ht="24.75" customHeight="1">
      <c r="A244" s="54">
        <v>140.0</v>
      </c>
      <c r="B244" s="56" t="s">
        <v>553</v>
      </c>
      <c r="C244" s="56" t="s">
        <v>443</v>
      </c>
      <c r="D244" s="56" t="s">
        <v>554</v>
      </c>
      <c r="E244" s="56" t="s">
        <v>167</v>
      </c>
      <c r="F244" s="57" t="s">
        <v>154</v>
      </c>
      <c r="G244" s="61"/>
      <c r="H244" s="61"/>
      <c r="I244" s="60"/>
      <c r="J244" s="53"/>
    </row>
    <row r="245" ht="24.75" customHeight="1">
      <c r="A245" s="54">
        <v>140.0</v>
      </c>
      <c r="B245" s="56" t="s">
        <v>553</v>
      </c>
      <c r="C245" s="56" t="s">
        <v>443</v>
      </c>
      <c r="D245" s="56" t="s">
        <v>554</v>
      </c>
      <c r="E245" s="56" t="s">
        <v>176</v>
      </c>
      <c r="F245" s="57" t="s">
        <v>154</v>
      </c>
      <c r="G245" s="61"/>
      <c r="H245" s="61"/>
      <c r="I245" s="60"/>
      <c r="J245" s="53"/>
    </row>
    <row r="246" ht="24.75" customHeight="1">
      <c r="A246" s="54">
        <v>140.0</v>
      </c>
      <c r="B246" s="56" t="s">
        <v>555</v>
      </c>
      <c r="C246" s="56" t="s">
        <v>434</v>
      </c>
      <c r="D246" s="56" t="s">
        <v>556</v>
      </c>
      <c r="E246" s="56" t="s">
        <v>167</v>
      </c>
      <c r="F246" s="57" t="s">
        <v>154</v>
      </c>
      <c r="G246" s="61"/>
      <c r="H246" s="61"/>
      <c r="I246" s="60"/>
      <c r="J246" s="53"/>
    </row>
    <row r="247" ht="24.75" customHeight="1">
      <c r="A247" s="54">
        <v>140.0</v>
      </c>
      <c r="B247" s="56" t="s">
        <v>555</v>
      </c>
      <c r="C247" s="56" t="s">
        <v>434</v>
      </c>
      <c r="D247" s="56" t="s">
        <v>556</v>
      </c>
      <c r="E247" s="56" t="s">
        <v>176</v>
      </c>
      <c r="F247" s="57" t="s">
        <v>154</v>
      </c>
      <c r="G247" s="61"/>
      <c r="H247" s="61"/>
      <c r="I247" s="60"/>
      <c r="J247" s="53"/>
    </row>
    <row r="248" ht="24.75" customHeight="1">
      <c r="A248" s="54">
        <v>140.0</v>
      </c>
      <c r="B248" s="56" t="s">
        <v>558</v>
      </c>
      <c r="C248" s="56" t="s">
        <v>270</v>
      </c>
      <c r="D248" s="56" t="s">
        <v>559</v>
      </c>
      <c r="E248" s="56" t="s">
        <v>167</v>
      </c>
      <c r="F248" s="57" t="s">
        <v>154</v>
      </c>
      <c r="G248" s="61"/>
      <c r="H248" s="61"/>
      <c r="I248" s="60"/>
      <c r="J248" s="53"/>
    </row>
    <row r="249" ht="24.75" customHeight="1">
      <c r="A249" s="54">
        <v>140.0</v>
      </c>
      <c r="B249" s="56" t="s">
        <v>558</v>
      </c>
      <c r="C249" s="56" t="s">
        <v>270</v>
      </c>
      <c r="D249" s="56" t="s">
        <v>559</v>
      </c>
      <c r="E249" s="56" t="s">
        <v>176</v>
      </c>
      <c r="F249" s="57" t="s">
        <v>154</v>
      </c>
      <c r="G249" s="61"/>
      <c r="H249" s="61"/>
      <c r="I249" s="60"/>
      <c r="J249" s="53"/>
    </row>
    <row r="250" ht="24.75" customHeight="1">
      <c r="A250" s="54">
        <v>140.0</v>
      </c>
      <c r="B250" s="56" t="s">
        <v>560</v>
      </c>
      <c r="C250" s="56" t="s">
        <v>446</v>
      </c>
      <c r="D250" s="56" t="s">
        <v>561</v>
      </c>
      <c r="E250" s="56" t="s">
        <v>167</v>
      </c>
      <c r="F250" s="57" t="s">
        <v>154</v>
      </c>
      <c r="G250" s="61"/>
      <c r="H250" s="61"/>
      <c r="I250" s="60"/>
      <c r="J250" s="53"/>
    </row>
    <row r="251" ht="24.75" customHeight="1">
      <c r="A251" s="54">
        <v>140.0</v>
      </c>
      <c r="B251" s="56" t="s">
        <v>560</v>
      </c>
      <c r="C251" s="56" t="s">
        <v>446</v>
      </c>
      <c r="D251" s="56" t="s">
        <v>561</v>
      </c>
      <c r="E251" s="56" t="s">
        <v>176</v>
      </c>
      <c r="F251" s="57" t="s">
        <v>154</v>
      </c>
      <c r="G251" s="61"/>
      <c r="H251" s="61"/>
      <c r="I251" s="60"/>
      <c r="J251" s="53"/>
    </row>
    <row r="252" ht="24.75" customHeight="1">
      <c r="A252" s="54">
        <v>140.0</v>
      </c>
      <c r="B252" s="56" t="s">
        <v>562</v>
      </c>
      <c r="C252" s="56" t="s">
        <v>443</v>
      </c>
      <c r="D252" s="56" t="s">
        <v>563</v>
      </c>
      <c r="E252" s="56" t="s">
        <v>167</v>
      </c>
      <c r="F252" s="57" t="s">
        <v>154</v>
      </c>
      <c r="G252" s="61"/>
      <c r="H252" s="61"/>
      <c r="I252" s="60"/>
      <c r="J252" s="53"/>
    </row>
    <row r="253" ht="24.75" customHeight="1">
      <c r="A253" s="54">
        <v>140.0</v>
      </c>
      <c r="B253" s="56" t="s">
        <v>562</v>
      </c>
      <c r="C253" s="56" t="s">
        <v>443</v>
      </c>
      <c r="D253" s="56" t="s">
        <v>563</v>
      </c>
      <c r="E253" s="56" t="s">
        <v>176</v>
      </c>
      <c r="F253" s="57" t="s">
        <v>154</v>
      </c>
      <c r="G253" s="61"/>
      <c r="H253" s="61"/>
      <c r="I253" s="60"/>
      <c r="J253" s="53"/>
    </row>
    <row r="254" ht="24.75" customHeight="1">
      <c r="A254" s="54">
        <v>140.0</v>
      </c>
      <c r="B254" s="56" t="s">
        <v>564</v>
      </c>
      <c r="C254" s="56" t="s">
        <v>446</v>
      </c>
      <c r="D254" s="56" t="s">
        <v>565</v>
      </c>
      <c r="E254" s="56" t="s">
        <v>167</v>
      </c>
      <c r="F254" s="57" t="s">
        <v>154</v>
      </c>
      <c r="G254" s="61"/>
      <c r="H254" s="61"/>
      <c r="I254" s="60"/>
      <c r="J254" s="53"/>
    </row>
    <row r="255" ht="24.75" customHeight="1">
      <c r="A255" s="54">
        <v>140.0</v>
      </c>
      <c r="B255" s="56" t="s">
        <v>564</v>
      </c>
      <c r="C255" s="56" t="s">
        <v>446</v>
      </c>
      <c r="D255" s="56" t="s">
        <v>565</v>
      </c>
      <c r="E255" s="56" t="s">
        <v>176</v>
      </c>
      <c r="F255" s="57" t="s">
        <v>154</v>
      </c>
      <c r="G255" s="61"/>
      <c r="H255" s="61"/>
      <c r="I255" s="60"/>
      <c r="J255" s="53"/>
    </row>
    <row r="256" ht="24.75" customHeight="1">
      <c r="A256" s="54">
        <v>140.0</v>
      </c>
      <c r="B256" s="56" t="s">
        <v>566</v>
      </c>
      <c r="C256" s="88" t="s">
        <v>449</v>
      </c>
      <c r="D256" s="56" t="s">
        <v>567</v>
      </c>
      <c r="E256" s="56" t="s">
        <v>167</v>
      </c>
      <c r="F256" s="57" t="s">
        <v>154</v>
      </c>
      <c r="G256" s="61"/>
      <c r="H256" s="61"/>
      <c r="I256" s="60"/>
      <c r="J256" s="53"/>
    </row>
    <row r="257" ht="24.75" customHeight="1">
      <c r="A257" s="54">
        <v>140.0</v>
      </c>
      <c r="B257" s="56" t="s">
        <v>566</v>
      </c>
      <c r="C257" s="88" t="s">
        <v>449</v>
      </c>
      <c r="D257" s="56" t="s">
        <v>567</v>
      </c>
      <c r="E257" s="56" t="s">
        <v>176</v>
      </c>
      <c r="F257" s="57" t="s">
        <v>154</v>
      </c>
      <c r="G257" s="61"/>
      <c r="H257" s="61"/>
      <c r="I257" s="60"/>
      <c r="J257" s="53"/>
    </row>
    <row r="258" ht="24.75" hidden="1" customHeight="1">
      <c r="A258" s="54">
        <v>140.0</v>
      </c>
      <c r="B258" s="56" t="s">
        <v>568</v>
      </c>
      <c r="C258" s="56" t="s">
        <v>446</v>
      </c>
      <c r="D258" s="56" t="s">
        <v>569</v>
      </c>
      <c r="E258" s="56" t="s">
        <v>272</v>
      </c>
      <c r="F258" s="57" t="s">
        <v>15</v>
      </c>
      <c r="G258" s="61"/>
      <c r="H258" s="61"/>
      <c r="I258" s="60"/>
      <c r="J258" s="53"/>
    </row>
    <row r="259" ht="24.75" customHeight="1">
      <c r="A259" s="54">
        <v>140.0</v>
      </c>
      <c r="B259" s="56" t="s">
        <v>570</v>
      </c>
      <c r="C259" s="88" t="s">
        <v>449</v>
      </c>
      <c r="D259" s="56" t="s">
        <v>571</v>
      </c>
      <c r="E259" s="56" t="s">
        <v>167</v>
      </c>
      <c r="F259" s="57" t="s">
        <v>154</v>
      </c>
      <c r="G259" s="61"/>
      <c r="H259" s="61"/>
      <c r="I259" s="60"/>
      <c r="J259" s="53"/>
    </row>
    <row r="260" ht="24.75" customHeight="1">
      <c r="A260" s="54">
        <v>140.0</v>
      </c>
      <c r="B260" s="56" t="s">
        <v>570</v>
      </c>
      <c r="C260" s="88" t="s">
        <v>449</v>
      </c>
      <c r="D260" s="56" t="s">
        <v>571</v>
      </c>
      <c r="E260" s="56" t="s">
        <v>176</v>
      </c>
      <c r="F260" s="57" t="s">
        <v>154</v>
      </c>
      <c r="G260" s="61"/>
      <c r="H260" s="61"/>
      <c r="I260" s="60"/>
      <c r="J260" s="53"/>
    </row>
    <row r="261" ht="24.75" customHeight="1">
      <c r="A261" s="54" t="s">
        <v>572</v>
      </c>
      <c r="B261" s="56" t="s">
        <v>573</v>
      </c>
      <c r="C261" s="56" t="s">
        <v>574</v>
      </c>
      <c r="D261" s="56" t="s">
        <v>575</v>
      </c>
      <c r="E261" s="56" t="s">
        <v>239</v>
      </c>
      <c r="F261" s="57" t="s">
        <v>154</v>
      </c>
      <c r="G261" s="61"/>
      <c r="H261" s="61"/>
      <c r="I261" s="60"/>
      <c r="J261" s="53"/>
    </row>
    <row r="262" ht="24.75" customHeight="1">
      <c r="A262" s="54" t="s">
        <v>572</v>
      </c>
      <c r="B262" s="56" t="s">
        <v>576</v>
      </c>
      <c r="C262" s="56" t="s">
        <v>574</v>
      </c>
      <c r="D262" s="56" t="s">
        <v>577</v>
      </c>
      <c r="E262" s="56" t="s">
        <v>578</v>
      </c>
      <c r="F262" s="57" t="s">
        <v>154</v>
      </c>
      <c r="G262" s="61"/>
      <c r="H262" s="61"/>
      <c r="I262" s="60"/>
      <c r="J262" s="53"/>
    </row>
    <row r="263" ht="24.75" hidden="1" customHeight="1">
      <c r="A263" s="54" t="s">
        <v>572</v>
      </c>
      <c r="B263" s="56" t="s">
        <v>576</v>
      </c>
      <c r="C263" s="56" t="s">
        <v>574</v>
      </c>
      <c r="D263" s="56" t="s">
        <v>577</v>
      </c>
      <c r="E263" s="56" t="s">
        <v>196</v>
      </c>
      <c r="F263" s="57" t="s">
        <v>250</v>
      </c>
      <c r="G263" s="61"/>
      <c r="H263" s="61" t="s">
        <v>197</v>
      </c>
      <c r="I263" s="62" t="s">
        <v>581</v>
      </c>
      <c r="J263" s="53"/>
    </row>
    <row r="264" ht="24.75" customHeight="1">
      <c r="A264" s="54" t="s">
        <v>572</v>
      </c>
      <c r="B264" s="56" t="s">
        <v>579</v>
      </c>
      <c r="C264" s="56" t="s">
        <v>574</v>
      </c>
      <c r="D264" s="56" t="s">
        <v>580</v>
      </c>
      <c r="E264" s="56" t="s">
        <v>578</v>
      </c>
      <c r="F264" s="57" t="s">
        <v>154</v>
      </c>
      <c r="G264" s="61"/>
      <c r="H264" s="61"/>
      <c r="I264" s="60"/>
      <c r="J264" s="53"/>
    </row>
    <row r="265" ht="24.75" hidden="1" customHeight="1">
      <c r="A265" s="54" t="s">
        <v>572</v>
      </c>
      <c r="B265" s="56" t="s">
        <v>579</v>
      </c>
      <c r="C265" s="56" t="s">
        <v>574</v>
      </c>
      <c r="D265" s="56" t="s">
        <v>580</v>
      </c>
      <c r="E265" s="56" t="s">
        <v>196</v>
      </c>
      <c r="F265" s="57" t="s">
        <v>250</v>
      </c>
      <c r="G265" s="61"/>
      <c r="H265" s="61" t="s">
        <v>197</v>
      </c>
      <c r="I265" s="62" t="s">
        <v>581</v>
      </c>
      <c r="J265" s="53"/>
    </row>
    <row r="266" ht="24.75" customHeight="1">
      <c r="A266" s="54" t="s">
        <v>572</v>
      </c>
      <c r="B266" s="56" t="s">
        <v>582</v>
      </c>
      <c r="C266" s="56" t="s">
        <v>583</v>
      </c>
      <c r="D266" s="56" t="s">
        <v>584</v>
      </c>
      <c r="E266" s="56" t="s">
        <v>585</v>
      </c>
      <c r="F266" s="57" t="s">
        <v>154</v>
      </c>
      <c r="G266" s="61"/>
      <c r="H266" s="61"/>
      <c r="I266" s="60"/>
      <c r="J266" s="53"/>
    </row>
    <row r="267" ht="24.75" customHeight="1">
      <c r="A267" s="54" t="s">
        <v>572</v>
      </c>
      <c r="B267" s="56" t="s">
        <v>586</v>
      </c>
      <c r="C267" s="56" t="s">
        <v>583</v>
      </c>
      <c r="D267" s="56" t="s">
        <v>587</v>
      </c>
      <c r="E267" s="56" t="s">
        <v>588</v>
      </c>
      <c r="F267" s="57" t="s">
        <v>154</v>
      </c>
      <c r="G267" s="61"/>
      <c r="H267" s="61"/>
      <c r="I267" s="60"/>
      <c r="J267" s="53"/>
    </row>
    <row r="268" ht="24.75" customHeight="1">
      <c r="A268" s="54" t="s">
        <v>572</v>
      </c>
      <c r="B268" s="56" t="s">
        <v>586</v>
      </c>
      <c r="C268" s="56" t="s">
        <v>583</v>
      </c>
      <c r="D268" s="56" t="s">
        <v>587</v>
      </c>
      <c r="E268" s="56" t="s">
        <v>589</v>
      </c>
      <c r="F268" s="57" t="s">
        <v>154</v>
      </c>
      <c r="G268" s="61"/>
      <c r="H268" s="61"/>
      <c r="I268" s="60"/>
      <c r="J268" s="53"/>
    </row>
    <row r="269" ht="24.75" hidden="1" customHeight="1">
      <c r="A269" s="54" t="s">
        <v>572</v>
      </c>
      <c r="B269" s="56" t="s">
        <v>586</v>
      </c>
      <c r="C269" s="56" t="s">
        <v>583</v>
      </c>
      <c r="D269" s="56" t="s">
        <v>587</v>
      </c>
      <c r="E269" s="56" t="s">
        <v>590</v>
      </c>
      <c r="F269" s="57" t="s">
        <v>250</v>
      </c>
      <c r="G269" s="61"/>
      <c r="H269" s="61" t="s">
        <v>592</v>
      </c>
      <c r="I269" s="62" t="s">
        <v>593</v>
      </c>
      <c r="J269" s="53"/>
    </row>
    <row r="270" ht="24.75" customHeight="1">
      <c r="A270" s="54" t="s">
        <v>572</v>
      </c>
      <c r="B270" s="56" t="s">
        <v>591</v>
      </c>
      <c r="C270" s="56" t="s">
        <v>574</v>
      </c>
      <c r="D270" s="56" t="s">
        <v>594</v>
      </c>
      <c r="E270" s="56" t="s">
        <v>239</v>
      </c>
      <c r="F270" s="57" t="s">
        <v>154</v>
      </c>
      <c r="G270" s="61"/>
      <c r="H270" s="61"/>
      <c r="I270" s="60"/>
      <c r="J270" s="53"/>
    </row>
    <row r="271" ht="24.75" customHeight="1">
      <c r="A271" s="54" t="s">
        <v>572</v>
      </c>
      <c r="B271" s="56" t="s">
        <v>595</v>
      </c>
      <c r="C271" s="56" t="s">
        <v>574</v>
      </c>
      <c r="D271" s="56" t="s">
        <v>577</v>
      </c>
      <c r="E271" s="56" t="s">
        <v>578</v>
      </c>
      <c r="F271" s="57" t="s">
        <v>154</v>
      </c>
      <c r="G271" s="61"/>
      <c r="H271" s="61"/>
      <c r="I271" s="60"/>
      <c r="J271" s="53"/>
    </row>
    <row r="272" ht="24.75" hidden="1" customHeight="1">
      <c r="A272" s="54" t="s">
        <v>572</v>
      </c>
      <c r="B272" s="56" t="s">
        <v>595</v>
      </c>
      <c r="C272" s="56" t="s">
        <v>574</v>
      </c>
      <c r="D272" s="56" t="s">
        <v>577</v>
      </c>
      <c r="E272" s="56" t="s">
        <v>196</v>
      </c>
      <c r="F272" s="57" t="s">
        <v>250</v>
      </c>
      <c r="G272" s="61"/>
      <c r="H272" s="61" t="s">
        <v>197</v>
      </c>
      <c r="I272" s="62" t="s">
        <v>581</v>
      </c>
      <c r="J272" s="53"/>
    </row>
    <row r="273" ht="24.75" customHeight="1">
      <c r="A273" s="54" t="s">
        <v>572</v>
      </c>
      <c r="B273" s="56" t="s">
        <v>596</v>
      </c>
      <c r="C273" s="56" t="s">
        <v>574</v>
      </c>
      <c r="D273" s="56" t="s">
        <v>597</v>
      </c>
      <c r="E273" s="56" t="s">
        <v>239</v>
      </c>
      <c r="F273" s="57" t="s">
        <v>154</v>
      </c>
      <c r="G273" s="61"/>
      <c r="H273" s="61"/>
      <c r="I273" s="60"/>
      <c r="J273" s="53"/>
    </row>
    <row r="274" ht="24.75" customHeight="1">
      <c r="A274" s="54" t="s">
        <v>572</v>
      </c>
      <c r="B274" s="56" t="s">
        <v>598</v>
      </c>
      <c r="C274" s="56" t="s">
        <v>574</v>
      </c>
      <c r="D274" s="56" t="s">
        <v>577</v>
      </c>
      <c r="E274" s="56" t="s">
        <v>578</v>
      </c>
      <c r="F274" s="57" t="s">
        <v>154</v>
      </c>
      <c r="G274" s="61"/>
      <c r="H274" s="61"/>
      <c r="I274" s="60"/>
      <c r="J274" s="53"/>
    </row>
    <row r="275" ht="24.75" hidden="1" customHeight="1">
      <c r="A275" s="54" t="s">
        <v>572</v>
      </c>
      <c r="B275" s="56" t="s">
        <v>598</v>
      </c>
      <c r="C275" s="56" t="s">
        <v>574</v>
      </c>
      <c r="D275" s="56" t="s">
        <v>577</v>
      </c>
      <c r="E275" s="56" t="s">
        <v>196</v>
      </c>
      <c r="F275" s="57" t="s">
        <v>250</v>
      </c>
      <c r="G275" s="61"/>
      <c r="H275" s="61" t="s">
        <v>197</v>
      </c>
      <c r="I275" s="62" t="s">
        <v>581</v>
      </c>
      <c r="J275" s="53"/>
    </row>
    <row r="276" ht="24.75" customHeight="1">
      <c r="A276" s="54" t="s">
        <v>289</v>
      </c>
      <c r="B276" s="56" t="s">
        <v>599</v>
      </c>
      <c r="C276" s="56" t="s">
        <v>291</v>
      </c>
      <c r="D276" s="56" t="s">
        <v>600</v>
      </c>
      <c r="E276" s="56" t="s">
        <v>163</v>
      </c>
      <c r="F276" s="57" t="s">
        <v>154</v>
      </c>
      <c r="G276" s="61"/>
      <c r="H276" s="79"/>
      <c r="I276" s="60"/>
      <c r="J276" s="53"/>
    </row>
    <row r="277" ht="24.75" hidden="1" customHeight="1">
      <c r="A277" s="54" t="s">
        <v>289</v>
      </c>
      <c r="B277" s="56" t="s">
        <v>290</v>
      </c>
      <c r="C277" s="56" t="s">
        <v>291</v>
      </c>
      <c r="D277" s="56" t="s">
        <v>292</v>
      </c>
      <c r="E277" s="56" t="s">
        <v>196</v>
      </c>
      <c r="F277" s="57" t="s">
        <v>250</v>
      </c>
      <c r="G277" s="61"/>
      <c r="H277" s="61" t="s">
        <v>287</v>
      </c>
      <c r="I277" s="62" t="s">
        <v>288</v>
      </c>
      <c r="J277" s="53"/>
    </row>
    <row r="278" ht="24.75" customHeight="1">
      <c r="A278" s="54" t="s">
        <v>289</v>
      </c>
      <c r="B278" s="56" t="s">
        <v>290</v>
      </c>
      <c r="C278" s="56" t="s">
        <v>291</v>
      </c>
      <c r="D278" s="56" t="s">
        <v>292</v>
      </c>
      <c r="E278" s="56" t="s">
        <v>601</v>
      </c>
      <c r="F278" s="57" t="s">
        <v>154</v>
      </c>
      <c r="G278" s="61"/>
      <c r="H278" s="79"/>
      <c r="I278" s="60"/>
      <c r="J278" s="53"/>
    </row>
    <row r="279" ht="24.75" hidden="1" customHeight="1">
      <c r="A279" s="54">
        <v>140.0</v>
      </c>
      <c r="B279" s="56" t="s">
        <v>602</v>
      </c>
      <c r="C279" s="56" t="s">
        <v>500</v>
      </c>
      <c r="D279" s="56" t="s">
        <v>603</v>
      </c>
      <c r="E279" s="56" t="s">
        <v>272</v>
      </c>
      <c r="F279" s="57" t="s">
        <v>15</v>
      </c>
      <c r="G279" s="61"/>
      <c r="H279" s="61"/>
      <c r="I279" s="60"/>
      <c r="J279" s="53"/>
    </row>
    <row r="280" ht="24.75" hidden="1" customHeight="1">
      <c r="A280" s="54">
        <v>140.0</v>
      </c>
      <c r="B280" s="56" t="s">
        <v>566</v>
      </c>
      <c r="C280" s="56" t="s">
        <v>500</v>
      </c>
      <c r="D280" s="56" t="s">
        <v>604</v>
      </c>
      <c r="E280" s="56" t="s">
        <v>272</v>
      </c>
      <c r="F280" s="57" t="s">
        <v>15</v>
      </c>
      <c r="G280" s="61"/>
      <c r="H280" s="61"/>
      <c r="I280" s="60"/>
      <c r="J280" s="53"/>
    </row>
    <row r="281" ht="24.75" customHeight="1">
      <c r="A281" s="54" t="s">
        <v>289</v>
      </c>
      <c r="B281" s="56" t="s">
        <v>605</v>
      </c>
      <c r="C281" s="56" t="s">
        <v>606</v>
      </c>
      <c r="D281" s="56" t="s">
        <v>607</v>
      </c>
      <c r="E281" s="56" t="s">
        <v>608</v>
      </c>
      <c r="F281" s="57" t="s">
        <v>154</v>
      </c>
      <c r="G281" s="61"/>
      <c r="H281" s="79"/>
      <c r="I281" s="60"/>
      <c r="J281" s="53"/>
    </row>
    <row r="282" ht="24.75" customHeight="1">
      <c r="A282" s="54" t="s">
        <v>289</v>
      </c>
      <c r="B282" s="56" t="s">
        <v>609</v>
      </c>
      <c r="C282" s="56" t="s">
        <v>610</v>
      </c>
      <c r="D282" s="56" t="s">
        <v>611</v>
      </c>
      <c r="E282" s="56" t="s">
        <v>612</v>
      </c>
      <c r="F282" s="57" t="s">
        <v>34</v>
      </c>
      <c r="G282" s="61"/>
      <c r="H282" s="79"/>
      <c r="I282" s="60"/>
      <c r="J282" s="53"/>
    </row>
    <row r="283" ht="24.75" customHeight="1">
      <c r="A283" s="54" t="s">
        <v>289</v>
      </c>
      <c r="B283" s="56" t="s">
        <v>609</v>
      </c>
      <c r="C283" s="56" t="s">
        <v>610</v>
      </c>
      <c r="D283" s="56" t="s">
        <v>611</v>
      </c>
      <c r="E283" s="56" t="s">
        <v>613</v>
      </c>
      <c r="F283" s="57" t="s">
        <v>34</v>
      </c>
      <c r="G283" s="61"/>
      <c r="H283" s="79"/>
      <c r="I283" s="60"/>
      <c r="J283" s="53"/>
    </row>
    <row r="284" ht="24.75" customHeight="1">
      <c r="A284" s="54" t="s">
        <v>289</v>
      </c>
      <c r="B284" s="56" t="s">
        <v>609</v>
      </c>
      <c r="C284" s="56" t="s">
        <v>610</v>
      </c>
      <c r="D284" s="56" t="s">
        <v>611</v>
      </c>
      <c r="E284" s="56" t="s">
        <v>614</v>
      </c>
      <c r="F284" s="57" t="s">
        <v>34</v>
      </c>
      <c r="G284" s="61"/>
      <c r="H284" s="79"/>
      <c r="I284" s="60"/>
      <c r="J284" s="53"/>
    </row>
    <row r="285" ht="24.75" customHeight="1">
      <c r="A285" s="54" t="s">
        <v>289</v>
      </c>
      <c r="B285" s="56" t="s">
        <v>609</v>
      </c>
      <c r="C285" s="56" t="s">
        <v>610</v>
      </c>
      <c r="D285" s="56" t="s">
        <v>611</v>
      </c>
      <c r="E285" s="56" t="s">
        <v>616</v>
      </c>
      <c r="F285" s="57" t="s">
        <v>154</v>
      </c>
      <c r="G285" s="61"/>
      <c r="H285" s="79"/>
      <c r="I285" s="60"/>
      <c r="J285" s="53"/>
    </row>
    <row r="286" ht="24.75" hidden="1" customHeight="1">
      <c r="A286" s="54" t="s">
        <v>289</v>
      </c>
      <c r="B286" s="56" t="s">
        <v>619</v>
      </c>
      <c r="C286" s="56" t="s">
        <v>610</v>
      </c>
      <c r="D286" s="56" t="s">
        <v>620</v>
      </c>
      <c r="E286" s="56" t="s">
        <v>196</v>
      </c>
      <c r="F286" s="57" t="s">
        <v>250</v>
      </c>
      <c r="G286" s="61"/>
      <c r="H286" s="61" t="s">
        <v>287</v>
      </c>
      <c r="I286" s="62" t="s">
        <v>288</v>
      </c>
      <c r="J286" s="53"/>
    </row>
    <row r="287" ht="24.75" customHeight="1">
      <c r="A287" s="54" t="s">
        <v>289</v>
      </c>
      <c r="B287" s="56" t="s">
        <v>619</v>
      </c>
      <c r="C287" s="56" t="s">
        <v>610</v>
      </c>
      <c r="D287" s="56" t="s">
        <v>620</v>
      </c>
      <c r="E287" s="56" t="s">
        <v>621</v>
      </c>
      <c r="F287" s="57" t="s">
        <v>192</v>
      </c>
      <c r="G287" s="61"/>
      <c r="H287" s="79"/>
      <c r="I287" s="60"/>
      <c r="J287" s="53"/>
    </row>
    <row r="288" ht="24.75" customHeight="1">
      <c r="A288" s="54" t="s">
        <v>289</v>
      </c>
      <c r="B288" s="56" t="s">
        <v>619</v>
      </c>
      <c r="C288" s="56" t="s">
        <v>610</v>
      </c>
      <c r="D288" s="56" t="s">
        <v>620</v>
      </c>
      <c r="E288" s="56" t="s">
        <v>622</v>
      </c>
      <c r="F288" s="57" t="s">
        <v>154</v>
      </c>
      <c r="G288" s="61"/>
      <c r="H288" s="79"/>
      <c r="I288" s="60"/>
      <c r="J288" s="53"/>
    </row>
    <row r="289" ht="24.75" customHeight="1">
      <c r="A289" s="54" t="s">
        <v>289</v>
      </c>
      <c r="B289" s="56" t="s">
        <v>623</v>
      </c>
      <c r="C289" s="56" t="s">
        <v>624</v>
      </c>
      <c r="D289" s="56" t="s">
        <v>611</v>
      </c>
      <c r="E289" s="56" t="s">
        <v>612</v>
      </c>
      <c r="F289" s="57" t="s">
        <v>34</v>
      </c>
      <c r="G289" s="61"/>
      <c r="H289" s="79"/>
      <c r="I289" s="60"/>
      <c r="J289" s="53"/>
    </row>
    <row r="290" ht="24.75" customHeight="1">
      <c r="A290" s="54" t="s">
        <v>289</v>
      </c>
      <c r="B290" s="56" t="s">
        <v>623</v>
      </c>
      <c r="C290" s="56" t="s">
        <v>624</v>
      </c>
      <c r="D290" s="56" t="s">
        <v>611</v>
      </c>
      <c r="E290" s="56" t="s">
        <v>613</v>
      </c>
      <c r="F290" s="57" t="s">
        <v>34</v>
      </c>
      <c r="G290" s="61"/>
      <c r="H290" s="79"/>
      <c r="I290" s="60"/>
      <c r="J290" s="53"/>
    </row>
    <row r="291" ht="24.75" customHeight="1">
      <c r="A291" s="54" t="s">
        <v>289</v>
      </c>
      <c r="B291" s="56" t="s">
        <v>623</v>
      </c>
      <c r="C291" s="56" t="s">
        <v>624</v>
      </c>
      <c r="D291" s="56" t="s">
        <v>611</v>
      </c>
      <c r="E291" s="56" t="s">
        <v>614</v>
      </c>
      <c r="F291" s="57" t="s">
        <v>34</v>
      </c>
      <c r="G291" s="61"/>
      <c r="H291" s="79"/>
      <c r="I291" s="60"/>
      <c r="J291" s="53"/>
    </row>
    <row r="292" ht="24.75" customHeight="1">
      <c r="A292" s="54" t="s">
        <v>289</v>
      </c>
      <c r="B292" s="56" t="s">
        <v>623</v>
      </c>
      <c r="C292" s="56" t="s">
        <v>624</v>
      </c>
      <c r="D292" s="56" t="s">
        <v>611</v>
      </c>
      <c r="E292" s="56" t="s">
        <v>616</v>
      </c>
      <c r="F292" s="57" t="s">
        <v>154</v>
      </c>
      <c r="G292" s="61"/>
      <c r="H292" s="79"/>
      <c r="I292" s="60"/>
      <c r="J292" s="53"/>
    </row>
    <row r="293" ht="24.75" hidden="1" customHeight="1">
      <c r="A293" s="54" t="s">
        <v>289</v>
      </c>
      <c r="B293" s="56" t="s">
        <v>625</v>
      </c>
      <c r="C293" s="56" t="s">
        <v>624</v>
      </c>
      <c r="D293" s="56" t="s">
        <v>620</v>
      </c>
      <c r="E293" s="56" t="s">
        <v>196</v>
      </c>
      <c r="F293" s="57" t="s">
        <v>250</v>
      </c>
      <c r="G293" s="61"/>
      <c r="H293" s="61" t="s">
        <v>287</v>
      </c>
      <c r="I293" s="62" t="s">
        <v>288</v>
      </c>
      <c r="J293" s="53"/>
    </row>
    <row r="294" ht="24.75" customHeight="1">
      <c r="A294" s="54" t="s">
        <v>289</v>
      </c>
      <c r="B294" s="56" t="s">
        <v>625</v>
      </c>
      <c r="C294" s="56" t="s">
        <v>624</v>
      </c>
      <c r="D294" s="56" t="s">
        <v>620</v>
      </c>
      <c r="E294" s="56" t="s">
        <v>621</v>
      </c>
      <c r="F294" s="57" t="s">
        <v>192</v>
      </c>
      <c r="G294" s="61"/>
      <c r="H294" s="79"/>
      <c r="I294" s="60"/>
      <c r="J294" s="53"/>
    </row>
    <row r="295" ht="24.75" customHeight="1">
      <c r="A295" s="54" t="s">
        <v>289</v>
      </c>
      <c r="B295" s="56" t="s">
        <v>625</v>
      </c>
      <c r="C295" s="56" t="s">
        <v>624</v>
      </c>
      <c r="D295" s="56" t="s">
        <v>620</v>
      </c>
      <c r="E295" s="56" t="s">
        <v>622</v>
      </c>
      <c r="F295" s="57" t="s">
        <v>154</v>
      </c>
      <c r="G295" s="61"/>
      <c r="H295" s="79"/>
      <c r="I295" s="60"/>
      <c r="J295" s="53"/>
    </row>
    <row r="296" ht="24.75" customHeight="1">
      <c r="A296" s="54" t="s">
        <v>289</v>
      </c>
      <c r="B296" s="56" t="s">
        <v>626</v>
      </c>
      <c r="C296" s="56" t="s">
        <v>627</v>
      </c>
      <c r="D296" s="56" t="s">
        <v>611</v>
      </c>
      <c r="E296" s="56" t="s">
        <v>612</v>
      </c>
      <c r="F296" s="57" t="s">
        <v>34</v>
      </c>
      <c r="G296" s="61"/>
      <c r="H296" s="79"/>
      <c r="I296" s="60"/>
      <c r="J296" s="53"/>
    </row>
    <row r="297" ht="24.75" customHeight="1">
      <c r="A297" s="54" t="s">
        <v>289</v>
      </c>
      <c r="B297" s="56" t="s">
        <v>626</v>
      </c>
      <c r="C297" s="56" t="s">
        <v>627</v>
      </c>
      <c r="D297" s="56" t="s">
        <v>611</v>
      </c>
      <c r="E297" s="56" t="s">
        <v>613</v>
      </c>
      <c r="F297" s="57" t="s">
        <v>34</v>
      </c>
      <c r="G297" s="61"/>
      <c r="H297" s="79"/>
      <c r="I297" s="60"/>
      <c r="J297" s="53"/>
    </row>
    <row r="298" ht="24.75" customHeight="1">
      <c r="A298" s="54" t="s">
        <v>289</v>
      </c>
      <c r="B298" s="56" t="s">
        <v>626</v>
      </c>
      <c r="C298" s="56" t="s">
        <v>627</v>
      </c>
      <c r="D298" s="56" t="s">
        <v>611</v>
      </c>
      <c r="E298" s="56" t="s">
        <v>614</v>
      </c>
      <c r="F298" s="57" t="s">
        <v>34</v>
      </c>
      <c r="G298" s="61"/>
      <c r="H298" s="79"/>
      <c r="I298" s="60"/>
      <c r="J298" s="53"/>
    </row>
    <row r="299" ht="24.75" customHeight="1">
      <c r="A299" s="54" t="s">
        <v>289</v>
      </c>
      <c r="B299" s="56" t="s">
        <v>626</v>
      </c>
      <c r="C299" s="56" t="s">
        <v>627</v>
      </c>
      <c r="D299" s="56" t="s">
        <v>611</v>
      </c>
      <c r="E299" s="56" t="s">
        <v>616</v>
      </c>
      <c r="F299" s="57" t="s">
        <v>154</v>
      </c>
      <c r="G299" s="61"/>
      <c r="H299" s="79"/>
      <c r="I299" s="60"/>
      <c r="J299" s="53"/>
    </row>
    <row r="300" ht="24.75" customHeight="1">
      <c r="A300" s="54" t="s">
        <v>289</v>
      </c>
      <c r="B300" s="56" t="s">
        <v>626</v>
      </c>
      <c r="C300" s="56" t="s">
        <v>627</v>
      </c>
      <c r="D300" s="56" t="s">
        <v>611</v>
      </c>
      <c r="E300" s="56" t="s">
        <v>618</v>
      </c>
      <c r="F300" s="57" t="s">
        <v>154</v>
      </c>
      <c r="G300" s="61"/>
      <c r="H300" s="79"/>
      <c r="I300" s="60"/>
      <c r="J300" s="53"/>
    </row>
    <row r="301" ht="24.75" hidden="1" customHeight="1">
      <c r="A301" s="54" t="s">
        <v>289</v>
      </c>
      <c r="B301" s="56" t="s">
        <v>628</v>
      </c>
      <c r="C301" s="56" t="s">
        <v>627</v>
      </c>
      <c r="D301" s="56" t="s">
        <v>620</v>
      </c>
      <c r="E301" s="56" t="s">
        <v>196</v>
      </c>
      <c r="F301" s="57" t="s">
        <v>250</v>
      </c>
      <c r="G301" s="61"/>
      <c r="H301" s="61" t="s">
        <v>287</v>
      </c>
      <c r="I301" s="62" t="s">
        <v>288</v>
      </c>
      <c r="J301" s="53"/>
    </row>
    <row r="302" ht="24.75" customHeight="1">
      <c r="A302" s="54" t="s">
        <v>289</v>
      </c>
      <c r="B302" s="56" t="s">
        <v>628</v>
      </c>
      <c r="C302" s="56" t="s">
        <v>627</v>
      </c>
      <c r="D302" s="56" t="s">
        <v>620</v>
      </c>
      <c r="E302" s="56" t="s">
        <v>621</v>
      </c>
      <c r="F302" s="57" t="s">
        <v>192</v>
      </c>
      <c r="G302" s="61"/>
      <c r="H302" s="79"/>
      <c r="I302" s="60"/>
      <c r="J302" s="53"/>
    </row>
    <row r="303" ht="24.75" customHeight="1">
      <c r="A303" s="54" t="s">
        <v>289</v>
      </c>
      <c r="B303" s="56" t="s">
        <v>628</v>
      </c>
      <c r="C303" s="56" t="s">
        <v>627</v>
      </c>
      <c r="D303" s="56" t="s">
        <v>620</v>
      </c>
      <c r="E303" s="56" t="s">
        <v>622</v>
      </c>
      <c r="F303" s="57" t="s">
        <v>154</v>
      </c>
      <c r="G303" s="61"/>
      <c r="H303" s="79"/>
      <c r="I303" s="60"/>
      <c r="J303" s="53"/>
    </row>
    <row r="304" ht="24.75" customHeight="1">
      <c r="A304" s="54" t="s">
        <v>289</v>
      </c>
      <c r="B304" s="56" t="s">
        <v>629</v>
      </c>
      <c r="C304" s="56" t="s">
        <v>627</v>
      </c>
      <c r="D304" s="56" t="s">
        <v>631</v>
      </c>
      <c r="E304" s="56" t="s">
        <v>191</v>
      </c>
      <c r="F304" s="57" t="s">
        <v>192</v>
      </c>
      <c r="G304" s="61"/>
      <c r="H304" s="79"/>
      <c r="I304" s="60"/>
      <c r="J304" s="53"/>
    </row>
    <row r="305" ht="24.75" customHeight="1">
      <c r="A305" s="54" t="s">
        <v>289</v>
      </c>
      <c r="B305" s="56" t="s">
        <v>629</v>
      </c>
      <c r="C305" s="56" t="s">
        <v>627</v>
      </c>
      <c r="D305" s="56" t="s">
        <v>631</v>
      </c>
      <c r="E305" s="56" t="s">
        <v>632</v>
      </c>
      <c r="F305" s="57" t="s">
        <v>34</v>
      </c>
      <c r="G305" s="61"/>
      <c r="H305" s="61" t="s">
        <v>197</v>
      </c>
      <c r="I305" s="60"/>
      <c r="J305" s="53"/>
    </row>
    <row r="306" ht="24.75" customHeight="1">
      <c r="A306" s="54" t="s">
        <v>289</v>
      </c>
      <c r="B306" s="56" t="s">
        <v>629</v>
      </c>
      <c r="C306" s="56" t="s">
        <v>627</v>
      </c>
      <c r="D306" s="56" t="s">
        <v>631</v>
      </c>
      <c r="E306" s="56" t="s">
        <v>633</v>
      </c>
      <c r="F306" s="57" t="s">
        <v>154</v>
      </c>
      <c r="G306" s="61"/>
      <c r="H306" s="79"/>
      <c r="I306" s="60"/>
      <c r="J306" s="53"/>
    </row>
    <row r="307" ht="24.75" hidden="1" customHeight="1">
      <c r="A307" s="54" t="s">
        <v>289</v>
      </c>
      <c r="B307" s="56" t="s">
        <v>629</v>
      </c>
      <c r="C307" s="56" t="s">
        <v>627</v>
      </c>
      <c r="D307" s="56" t="s">
        <v>631</v>
      </c>
      <c r="E307" s="56" t="s">
        <v>196</v>
      </c>
      <c r="F307" s="57" t="s">
        <v>250</v>
      </c>
      <c r="G307" s="61"/>
      <c r="H307" s="61" t="s">
        <v>200</v>
      </c>
      <c r="I307" s="62" t="s">
        <v>201</v>
      </c>
      <c r="J307" s="53"/>
    </row>
    <row r="308" ht="24.75" customHeight="1">
      <c r="A308" s="54" t="s">
        <v>289</v>
      </c>
      <c r="B308" s="56" t="s">
        <v>635</v>
      </c>
      <c r="C308" s="56" t="s">
        <v>627</v>
      </c>
      <c r="D308" s="56" t="s">
        <v>636</v>
      </c>
      <c r="E308" s="56" t="s">
        <v>191</v>
      </c>
      <c r="F308" s="57" t="s">
        <v>192</v>
      </c>
      <c r="G308" s="61"/>
      <c r="H308" s="79"/>
      <c r="I308" s="60"/>
      <c r="J308" s="53"/>
    </row>
    <row r="309" ht="24.75" customHeight="1">
      <c r="A309" s="54" t="s">
        <v>289</v>
      </c>
      <c r="B309" s="56" t="s">
        <v>635</v>
      </c>
      <c r="C309" s="56" t="s">
        <v>627</v>
      </c>
      <c r="D309" s="56" t="s">
        <v>636</v>
      </c>
      <c r="E309" s="56" t="s">
        <v>632</v>
      </c>
      <c r="F309" s="57" t="s">
        <v>34</v>
      </c>
      <c r="G309" s="61"/>
      <c r="H309" s="61" t="s">
        <v>197</v>
      </c>
      <c r="I309" s="60"/>
      <c r="J309" s="53"/>
    </row>
    <row r="310" ht="24.75" customHeight="1">
      <c r="A310" s="54" t="s">
        <v>289</v>
      </c>
      <c r="B310" s="56" t="s">
        <v>635</v>
      </c>
      <c r="C310" s="56" t="s">
        <v>627</v>
      </c>
      <c r="D310" s="56" t="s">
        <v>636</v>
      </c>
      <c r="E310" s="56" t="s">
        <v>633</v>
      </c>
      <c r="F310" s="57" t="s">
        <v>154</v>
      </c>
      <c r="G310" s="61"/>
      <c r="H310" s="79"/>
      <c r="I310" s="60"/>
      <c r="J310" s="53"/>
    </row>
    <row r="311" ht="24.75" hidden="1" customHeight="1">
      <c r="A311" s="54" t="s">
        <v>289</v>
      </c>
      <c r="B311" s="56" t="s">
        <v>635</v>
      </c>
      <c r="C311" s="56" t="s">
        <v>627</v>
      </c>
      <c r="D311" s="56" t="s">
        <v>636</v>
      </c>
      <c r="E311" s="56" t="s">
        <v>196</v>
      </c>
      <c r="F311" s="57" t="s">
        <v>250</v>
      </c>
      <c r="G311" s="61"/>
      <c r="H311" s="61" t="s">
        <v>200</v>
      </c>
      <c r="I311" s="62" t="s">
        <v>201</v>
      </c>
      <c r="J311" s="53"/>
    </row>
    <row r="312" ht="24.75" customHeight="1">
      <c r="A312" s="54" t="s">
        <v>289</v>
      </c>
      <c r="B312" s="56" t="s">
        <v>639</v>
      </c>
      <c r="C312" s="56" t="s">
        <v>640</v>
      </c>
      <c r="D312" s="56" t="s">
        <v>611</v>
      </c>
      <c r="E312" s="56" t="s">
        <v>612</v>
      </c>
      <c r="F312" s="57" t="s">
        <v>34</v>
      </c>
      <c r="G312" s="61"/>
      <c r="H312" s="79"/>
      <c r="I312" s="60"/>
      <c r="J312" s="53"/>
    </row>
    <row r="313" ht="24.75" customHeight="1">
      <c r="A313" s="54" t="s">
        <v>289</v>
      </c>
      <c r="B313" s="56" t="s">
        <v>639</v>
      </c>
      <c r="C313" s="56" t="s">
        <v>640</v>
      </c>
      <c r="D313" s="56" t="s">
        <v>611</v>
      </c>
      <c r="E313" s="56" t="s">
        <v>613</v>
      </c>
      <c r="F313" s="57" t="s">
        <v>34</v>
      </c>
      <c r="G313" s="61"/>
      <c r="H313" s="79"/>
      <c r="I313" s="60"/>
      <c r="J313" s="53"/>
    </row>
    <row r="314" ht="24.75" customHeight="1">
      <c r="A314" s="54" t="s">
        <v>289</v>
      </c>
      <c r="B314" s="56" t="s">
        <v>639</v>
      </c>
      <c r="C314" s="56" t="s">
        <v>640</v>
      </c>
      <c r="D314" s="56" t="s">
        <v>611</v>
      </c>
      <c r="E314" s="56" t="s">
        <v>614</v>
      </c>
      <c r="F314" s="57" t="s">
        <v>34</v>
      </c>
      <c r="G314" s="61"/>
      <c r="H314" s="79"/>
      <c r="I314" s="60"/>
      <c r="J314" s="53"/>
    </row>
    <row r="315" ht="24.75" customHeight="1">
      <c r="A315" s="54" t="s">
        <v>289</v>
      </c>
      <c r="B315" s="56" t="s">
        <v>639</v>
      </c>
      <c r="C315" s="56" t="s">
        <v>640</v>
      </c>
      <c r="D315" s="56" t="s">
        <v>611</v>
      </c>
      <c r="E315" s="56" t="s">
        <v>616</v>
      </c>
      <c r="F315" s="57" t="s">
        <v>154</v>
      </c>
      <c r="G315" s="61"/>
      <c r="H315" s="79"/>
      <c r="I315" s="60"/>
      <c r="J315" s="53"/>
    </row>
    <row r="316" ht="24.75" customHeight="1">
      <c r="A316" s="54" t="s">
        <v>289</v>
      </c>
      <c r="B316" s="56" t="s">
        <v>639</v>
      </c>
      <c r="C316" s="56" t="s">
        <v>640</v>
      </c>
      <c r="D316" s="56" t="s">
        <v>611</v>
      </c>
      <c r="E316" s="56" t="s">
        <v>618</v>
      </c>
      <c r="F316" s="57" t="s">
        <v>154</v>
      </c>
      <c r="G316" s="61"/>
      <c r="H316" s="79"/>
      <c r="I316" s="60"/>
      <c r="J316" s="53"/>
    </row>
    <row r="317" ht="24.75" hidden="1" customHeight="1">
      <c r="A317" s="54" t="s">
        <v>289</v>
      </c>
      <c r="B317" s="56" t="s">
        <v>641</v>
      </c>
      <c r="C317" s="56" t="s">
        <v>640</v>
      </c>
      <c r="D317" s="56" t="s">
        <v>620</v>
      </c>
      <c r="E317" s="56" t="s">
        <v>196</v>
      </c>
      <c r="F317" s="57" t="s">
        <v>250</v>
      </c>
      <c r="G317" s="61"/>
      <c r="H317" s="61" t="s">
        <v>287</v>
      </c>
      <c r="I317" s="62" t="s">
        <v>288</v>
      </c>
      <c r="J317" s="53"/>
    </row>
    <row r="318" ht="24.75" customHeight="1">
      <c r="A318" s="54" t="s">
        <v>289</v>
      </c>
      <c r="B318" s="56" t="s">
        <v>641</v>
      </c>
      <c r="C318" s="56" t="s">
        <v>640</v>
      </c>
      <c r="D318" s="56" t="s">
        <v>620</v>
      </c>
      <c r="E318" s="56" t="s">
        <v>621</v>
      </c>
      <c r="F318" s="57" t="s">
        <v>192</v>
      </c>
      <c r="G318" s="61"/>
      <c r="H318" s="79"/>
      <c r="I318" s="60"/>
      <c r="J318" s="53"/>
    </row>
    <row r="319" ht="24.75" customHeight="1">
      <c r="A319" s="54" t="s">
        <v>289</v>
      </c>
      <c r="B319" s="56" t="s">
        <v>641</v>
      </c>
      <c r="C319" s="56" t="s">
        <v>640</v>
      </c>
      <c r="D319" s="56" t="s">
        <v>620</v>
      </c>
      <c r="E319" s="56" t="s">
        <v>622</v>
      </c>
      <c r="F319" s="57" t="s">
        <v>154</v>
      </c>
      <c r="G319" s="61"/>
      <c r="H319" s="79"/>
      <c r="I319" s="60"/>
      <c r="J319" s="53"/>
    </row>
    <row r="320" ht="24.75" customHeight="1">
      <c r="A320" s="54" t="s">
        <v>289</v>
      </c>
      <c r="B320" s="56" t="s">
        <v>642</v>
      </c>
      <c r="C320" s="56" t="s">
        <v>640</v>
      </c>
      <c r="D320" s="56" t="s">
        <v>631</v>
      </c>
      <c r="E320" s="56" t="s">
        <v>191</v>
      </c>
      <c r="F320" s="57" t="s">
        <v>192</v>
      </c>
      <c r="G320" s="61"/>
      <c r="H320" s="79"/>
      <c r="I320" s="60"/>
      <c r="J320" s="53"/>
    </row>
    <row r="321" ht="24.75" customHeight="1">
      <c r="A321" s="54" t="s">
        <v>289</v>
      </c>
      <c r="B321" s="56" t="s">
        <v>642</v>
      </c>
      <c r="C321" s="56" t="s">
        <v>640</v>
      </c>
      <c r="D321" s="56" t="s">
        <v>631</v>
      </c>
      <c r="E321" s="56" t="s">
        <v>632</v>
      </c>
      <c r="F321" s="57" t="s">
        <v>34</v>
      </c>
      <c r="G321" s="61"/>
      <c r="H321" s="61" t="s">
        <v>197</v>
      </c>
      <c r="I321" s="60"/>
      <c r="J321" s="53"/>
    </row>
    <row r="322" ht="24.75" customHeight="1">
      <c r="A322" s="54" t="s">
        <v>289</v>
      </c>
      <c r="B322" s="56" t="s">
        <v>642</v>
      </c>
      <c r="C322" s="56" t="s">
        <v>640</v>
      </c>
      <c r="D322" s="56" t="s">
        <v>631</v>
      </c>
      <c r="E322" s="56" t="s">
        <v>633</v>
      </c>
      <c r="F322" s="57" t="s">
        <v>154</v>
      </c>
      <c r="G322" s="61"/>
      <c r="H322" s="79"/>
      <c r="I322" s="60"/>
      <c r="J322" s="53"/>
    </row>
    <row r="323" ht="24.75" hidden="1" customHeight="1">
      <c r="A323" s="54" t="s">
        <v>289</v>
      </c>
      <c r="B323" s="56" t="s">
        <v>642</v>
      </c>
      <c r="C323" s="56" t="s">
        <v>640</v>
      </c>
      <c r="D323" s="56" t="s">
        <v>631</v>
      </c>
      <c r="E323" s="56" t="s">
        <v>196</v>
      </c>
      <c r="F323" s="57" t="s">
        <v>250</v>
      </c>
      <c r="G323" s="61"/>
      <c r="H323" s="61" t="s">
        <v>200</v>
      </c>
      <c r="I323" s="62" t="s">
        <v>201</v>
      </c>
      <c r="J323" s="53"/>
    </row>
    <row r="324" ht="24.75" customHeight="1">
      <c r="A324" s="54" t="s">
        <v>289</v>
      </c>
      <c r="B324" s="56" t="s">
        <v>643</v>
      </c>
      <c r="C324" s="56" t="s">
        <v>640</v>
      </c>
      <c r="D324" s="56" t="s">
        <v>636</v>
      </c>
      <c r="E324" s="56" t="s">
        <v>191</v>
      </c>
      <c r="F324" s="57" t="s">
        <v>192</v>
      </c>
      <c r="G324" s="61"/>
      <c r="H324" s="79"/>
      <c r="I324" s="60"/>
      <c r="J324" s="53"/>
    </row>
    <row r="325" ht="24.75" customHeight="1">
      <c r="A325" s="54" t="s">
        <v>289</v>
      </c>
      <c r="B325" s="56" t="s">
        <v>643</v>
      </c>
      <c r="C325" s="56" t="s">
        <v>640</v>
      </c>
      <c r="D325" s="56" t="s">
        <v>636</v>
      </c>
      <c r="E325" s="56" t="s">
        <v>632</v>
      </c>
      <c r="F325" s="57" t="s">
        <v>34</v>
      </c>
      <c r="G325" s="61"/>
      <c r="H325" s="61" t="s">
        <v>197</v>
      </c>
      <c r="I325" s="60"/>
      <c r="J325" s="53"/>
    </row>
    <row r="326" ht="24.75" customHeight="1">
      <c r="A326" s="54" t="s">
        <v>289</v>
      </c>
      <c r="B326" s="56" t="s">
        <v>643</v>
      </c>
      <c r="C326" s="56" t="s">
        <v>640</v>
      </c>
      <c r="D326" s="56" t="s">
        <v>636</v>
      </c>
      <c r="E326" s="56" t="s">
        <v>633</v>
      </c>
      <c r="F326" s="57" t="s">
        <v>154</v>
      </c>
      <c r="G326" s="61"/>
      <c r="H326" s="79"/>
      <c r="I326" s="60"/>
      <c r="J326" s="53"/>
    </row>
    <row r="327" ht="24.75" hidden="1" customHeight="1">
      <c r="A327" s="54" t="s">
        <v>289</v>
      </c>
      <c r="B327" s="56" t="s">
        <v>643</v>
      </c>
      <c r="C327" s="56" t="s">
        <v>640</v>
      </c>
      <c r="D327" s="56" t="s">
        <v>636</v>
      </c>
      <c r="E327" s="56" t="s">
        <v>196</v>
      </c>
      <c r="F327" s="57" t="s">
        <v>250</v>
      </c>
      <c r="G327" s="61"/>
      <c r="H327" s="61" t="s">
        <v>200</v>
      </c>
      <c r="I327" s="62" t="s">
        <v>201</v>
      </c>
      <c r="J327" s="53"/>
    </row>
    <row r="328" ht="24.75" customHeight="1">
      <c r="A328" s="54" t="s">
        <v>289</v>
      </c>
      <c r="B328" s="56" t="s">
        <v>644</v>
      </c>
      <c r="C328" s="56" t="s">
        <v>645</v>
      </c>
      <c r="D328" s="56" t="s">
        <v>611</v>
      </c>
      <c r="E328" s="56" t="s">
        <v>612</v>
      </c>
      <c r="F328" s="57" t="s">
        <v>34</v>
      </c>
      <c r="G328" s="61"/>
      <c r="H328" s="79"/>
      <c r="I328" s="60"/>
      <c r="J328" s="53"/>
    </row>
    <row r="329" ht="24.75" customHeight="1">
      <c r="A329" s="54" t="s">
        <v>289</v>
      </c>
      <c r="B329" s="56" t="s">
        <v>644</v>
      </c>
      <c r="C329" s="56" t="s">
        <v>645</v>
      </c>
      <c r="D329" s="56" t="s">
        <v>611</v>
      </c>
      <c r="E329" s="56" t="s">
        <v>613</v>
      </c>
      <c r="F329" s="57" t="s">
        <v>34</v>
      </c>
      <c r="G329" s="61"/>
      <c r="H329" s="79"/>
      <c r="I329" s="60"/>
      <c r="J329" s="53"/>
    </row>
    <row r="330" ht="24.75" customHeight="1">
      <c r="A330" s="54" t="s">
        <v>289</v>
      </c>
      <c r="B330" s="56" t="s">
        <v>644</v>
      </c>
      <c r="C330" s="56" t="s">
        <v>645</v>
      </c>
      <c r="D330" s="56" t="s">
        <v>611</v>
      </c>
      <c r="E330" s="56" t="s">
        <v>614</v>
      </c>
      <c r="F330" s="57" t="s">
        <v>34</v>
      </c>
      <c r="G330" s="61"/>
      <c r="H330" s="79"/>
      <c r="I330" s="60"/>
      <c r="J330" s="53"/>
    </row>
    <row r="331" ht="24.75" customHeight="1">
      <c r="A331" s="54" t="s">
        <v>289</v>
      </c>
      <c r="B331" s="56" t="s">
        <v>644</v>
      </c>
      <c r="C331" s="56" t="s">
        <v>645</v>
      </c>
      <c r="D331" s="56" t="s">
        <v>611</v>
      </c>
      <c r="E331" s="56" t="s">
        <v>616</v>
      </c>
      <c r="F331" s="57" t="s">
        <v>154</v>
      </c>
      <c r="G331" s="61"/>
      <c r="H331" s="79"/>
      <c r="I331" s="60"/>
      <c r="J331" s="53"/>
    </row>
    <row r="332" ht="24.75" customHeight="1">
      <c r="A332" s="54" t="s">
        <v>289</v>
      </c>
      <c r="B332" s="56" t="s">
        <v>644</v>
      </c>
      <c r="C332" s="56" t="s">
        <v>645</v>
      </c>
      <c r="D332" s="56" t="s">
        <v>611</v>
      </c>
      <c r="E332" s="56" t="s">
        <v>618</v>
      </c>
      <c r="F332" s="57" t="s">
        <v>154</v>
      </c>
      <c r="G332" s="61"/>
      <c r="H332" s="79"/>
      <c r="I332" s="60"/>
      <c r="J332" s="53"/>
    </row>
    <row r="333" ht="24.75" hidden="1" customHeight="1">
      <c r="A333" s="54" t="s">
        <v>289</v>
      </c>
      <c r="B333" s="56" t="s">
        <v>646</v>
      </c>
      <c r="C333" s="56" t="s">
        <v>645</v>
      </c>
      <c r="D333" s="56" t="s">
        <v>620</v>
      </c>
      <c r="E333" s="56" t="s">
        <v>196</v>
      </c>
      <c r="F333" s="57" t="s">
        <v>250</v>
      </c>
      <c r="G333" s="61"/>
      <c r="H333" s="61" t="s">
        <v>287</v>
      </c>
      <c r="I333" s="62" t="s">
        <v>288</v>
      </c>
      <c r="J333" s="53"/>
    </row>
    <row r="334" ht="24.75" customHeight="1">
      <c r="A334" s="54" t="s">
        <v>289</v>
      </c>
      <c r="B334" s="56" t="s">
        <v>646</v>
      </c>
      <c r="C334" s="56" t="s">
        <v>645</v>
      </c>
      <c r="D334" s="56" t="s">
        <v>620</v>
      </c>
      <c r="E334" s="56" t="s">
        <v>621</v>
      </c>
      <c r="F334" s="57" t="s">
        <v>192</v>
      </c>
      <c r="G334" s="61"/>
      <c r="H334" s="79"/>
      <c r="I334" s="60"/>
      <c r="J334" s="53"/>
    </row>
    <row r="335" ht="24.75" customHeight="1">
      <c r="A335" s="54" t="s">
        <v>289</v>
      </c>
      <c r="B335" s="56" t="s">
        <v>646</v>
      </c>
      <c r="C335" s="56" t="s">
        <v>645</v>
      </c>
      <c r="D335" s="56" t="s">
        <v>620</v>
      </c>
      <c r="E335" s="56" t="s">
        <v>622</v>
      </c>
      <c r="F335" s="57" t="s">
        <v>154</v>
      </c>
      <c r="G335" s="61"/>
      <c r="H335" s="79"/>
      <c r="I335" s="60"/>
      <c r="J335" s="53"/>
    </row>
    <row r="336" ht="24.75" customHeight="1">
      <c r="A336" s="54" t="s">
        <v>289</v>
      </c>
      <c r="B336" s="56" t="s">
        <v>647</v>
      </c>
      <c r="C336" s="56" t="s">
        <v>645</v>
      </c>
      <c r="D336" s="56" t="s">
        <v>631</v>
      </c>
      <c r="E336" s="56" t="s">
        <v>191</v>
      </c>
      <c r="F336" s="57" t="s">
        <v>192</v>
      </c>
      <c r="G336" s="61"/>
      <c r="H336" s="79"/>
      <c r="I336" s="60"/>
      <c r="J336" s="53"/>
    </row>
    <row r="337" ht="24.75" customHeight="1">
      <c r="A337" s="54" t="s">
        <v>289</v>
      </c>
      <c r="B337" s="56" t="s">
        <v>647</v>
      </c>
      <c r="C337" s="56" t="s">
        <v>645</v>
      </c>
      <c r="D337" s="56" t="s">
        <v>631</v>
      </c>
      <c r="E337" s="56" t="s">
        <v>632</v>
      </c>
      <c r="F337" s="57" t="s">
        <v>34</v>
      </c>
      <c r="G337" s="61"/>
      <c r="H337" s="61" t="s">
        <v>197</v>
      </c>
      <c r="I337" s="60"/>
      <c r="J337" s="53"/>
    </row>
    <row r="338" ht="24.75" customHeight="1">
      <c r="A338" s="54" t="s">
        <v>289</v>
      </c>
      <c r="B338" s="56" t="s">
        <v>647</v>
      </c>
      <c r="C338" s="56" t="s">
        <v>645</v>
      </c>
      <c r="D338" s="56" t="s">
        <v>631</v>
      </c>
      <c r="E338" s="56" t="s">
        <v>633</v>
      </c>
      <c r="F338" s="57" t="s">
        <v>154</v>
      </c>
      <c r="G338" s="50"/>
      <c r="H338" s="79"/>
      <c r="I338" s="60"/>
      <c r="J338" s="53"/>
    </row>
    <row r="339" ht="24.75" hidden="1" customHeight="1">
      <c r="A339" s="54" t="s">
        <v>289</v>
      </c>
      <c r="B339" s="56" t="s">
        <v>647</v>
      </c>
      <c r="C339" s="56" t="s">
        <v>645</v>
      </c>
      <c r="D339" s="56" t="s">
        <v>631</v>
      </c>
      <c r="E339" s="56" t="s">
        <v>196</v>
      </c>
      <c r="F339" s="57" t="s">
        <v>250</v>
      </c>
      <c r="G339" s="61"/>
      <c r="H339" s="61" t="s">
        <v>200</v>
      </c>
      <c r="I339" s="62" t="s">
        <v>201</v>
      </c>
      <c r="J339" s="53"/>
    </row>
    <row r="340" ht="24.75" customHeight="1">
      <c r="A340" s="54" t="s">
        <v>289</v>
      </c>
      <c r="B340" s="56" t="s">
        <v>648</v>
      </c>
      <c r="C340" s="56" t="s">
        <v>645</v>
      </c>
      <c r="D340" s="56" t="s">
        <v>636</v>
      </c>
      <c r="E340" s="56" t="s">
        <v>191</v>
      </c>
      <c r="F340" s="57" t="s">
        <v>192</v>
      </c>
      <c r="G340" s="61"/>
      <c r="H340" s="79"/>
      <c r="I340" s="60"/>
      <c r="J340" s="53"/>
    </row>
    <row r="341" ht="24.75" customHeight="1">
      <c r="A341" s="54" t="s">
        <v>289</v>
      </c>
      <c r="B341" s="56" t="s">
        <v>648</v>
      </c>
      <c r="C341" s="56" t="s">
        <v>645</v>
      </c>
      <c r="D341" s="56" t="s">
        <v>636</v>
      </c>
      <c r="E341" s="56" t="s">
        <v>632</v>
      </c>
      <c r="F341" s="57" t="s">
        <v>34</v>
      </c>
      <c r="G341" s="61"/>
      <c r="H341" s="61" t="s">
        <v>197</v>
      </c>
      <c r="I341" s="60"/>
      <c r="J341" s="53"/>
    </row>
    <row r="342" ht="24.75" customHeight="1">
      <c r="A342" s="54" t="s">
        <v>289</v>
      </c>
      <c r="B342" s="56" t="s">
        <v>648</v>
      </c>
      <c r="C342" s="56" t="s">
        <v>645</v>
      </c>
      <c r="D342" s="56" t="s">
        <v>636</v>
      </c>
      <c r="E342" s="56" t="s">
        <v>633</v>
      </c>
      <c r="F342" s="57" t="s">
        <v>154</v>
      </c>
      <c r="G342" s="61"/>
      <c r="H342" s="79"/>
      <c r="I342" s="60"/>
      <c r="J342" s="53"/>
    </row>
    <row r="343" ht="24.75" hidden="1" customHeight="1">
      <c r="A343" s="54" t="s">
        <v>289</v>
      </c>
      <c r="B343" s="56" t="s">
        <v>648</v>
      </c>
      <c r="C343" s="56" t="s">
        <v>645</v>
      </c>
      <c r="D343" s="56" t="s">
        <v>636</v>
      </c>
      <c r="E343" s="56" t="s">
        <v>196</v>
      </c>
      <c r="F343" s="57" t="s">
        <v>250</v>
      </c>
      <c r="G343" s="61"/>
      <c r="H343" s="61" t="s">
        <v>200</v>
      </c>
      <c r="I343" s="62" t="s">
        <v>201</v>
      </c>
      <c r="J343" s="53"/>
    </row>
    <row r="344" ht="24.75" customHeight="1">
      <c r="A344" s="54" t="s">
        <v>289</v>
      </c>
      <c r="B344" s="56" t="s">
        <v>649</v>
      </c>
      <c r="C344" s="56" t="s">
        <v>606</v>
      </c>
      <c r="D344" s="56" t="s">
        <v>611</v>
      </c>
      <c r="E344" s="56" t="s">
        <v>612</v>
      </c>
      <c r="F344" s="57" t="s">
        <v>34</v>
      </c>
      <c r="G344" s="61"/>
      <c r="H344" s="79"/>
      <c r="I344" s="60"/>
      <c r="J344" s="53"/>
    </row>
    <row r="345" ht="24.75" customHeight="1">
      <c r="A345" s="54" t="s">
        <v>289</v>
      </c>
      <c r="B345" s="56" t="s">
        <v>649</v>
      </c>
      <c r="C345" s="56" t="s">
        <v>606</v>
      </c>
      <c r="D345" s="56" t="s">
        <v>611</v>
      </c>
      <c r="E345" s="56" t="s">
        <v>613</v>
      </c>
      <c r="F345" s="57" t="s">
        <v>34</v>
      </c>
      <c r="G345" s="61"/>
      <c r="H345" s="79"/>
      <c r="I345" s="60"/>
      <c r="J345" s="53"/>
    </row>
    <row r="346" ht="24.75" customHeight="1">
      <c r="A346" s="54" t="s">
        <v>289</v>
      </c>
      <c r="B346" s="56" t="s">
        <v>649</v>
      </c>
      <c r="C346" s="56" t="s">
        <v>606</v>
      </c>
      <c r="D346" s="56" t="s">
        <v>611</v>
      </c>
      <c r="E346" s="56" t="s">
        <v>614</v>
      </c>
      <c r="F346" s="57" t="s">
        <v>34</v>
      </c>
      <c r="G346" s="61"/>
      <c r="H346" s="79"/>
      <c r="I346" s="60"/>
      <c r="J346" s="53"/>
    </row>
    <row r="347" ht="24.75" customHeight="1">
      <c r="A347" s="54" t="s">
        <v>289</v>
      </c>
      <c r="B347" s="56" t="s">
        <v>649</v>
      </c>
      <c r="C347" s="56" t="s">
        <v>606</v>
      </c>
      <c r="D347" s="56" t="s">
        <v>611</v>
      </c>
      <c r="E347" s="56" t="s">
        <v>616</v>
      </c>
      <c r="F347" s="57" t="s">
        <v>154</v>
      </c>
      <c r="G347" s="61"/>
      <c r="H347" s="79"/>
      <c r="I347" s="60"/>
      <c r="J347" s="53"/>
    </row>
    <row r="348" ht="24.75" customHeight="1">
      <c r="A348" s="54" t="s">
        <v>289</v>
      </c>
      <c r="B348" s="56" t="s">
        <v>649</v>
      </c>
      <c r="C348" s="56" t="s">
        <v>606</v>
      </c>
      <c r="D348" s="56" t="s">
        <v>611</v>
      </c>
      <c r="E348" s="56" t="s">
        <v>618</v>
      </c>
      <c r="F348" s="57" t="s">
        <v>154</v>
      </c>
      <c r="G348" s="61"/>
      <c r="H348" s="79"/>
      <c r="I348" s="60"/>
      <c r="J348" s="53"/>
    </row>
    <row r="349" ht="24.75" hidden="1" customHeight="1">
      <c r="A349" s="54" t="s">
        <v>289</v>
      </c>
      <c r="B349" s="56" t="s">
        <v>650</v>
      </c>
      <c r="C349" s="56" t="s">
        <v>606</v>
      </c>
      <c r="D349" s="56" t="s">
        <v>651</v>
      </c>
      <c r="E349" s="56" t="s">
        <v>196</v>
      </c>
      <c r="F349" s="57" t="s">
        <v>250</v>
      </c>
      <c r="G349" s="61"/>
      <c r="H349" s="61" t="s">
        <v>287</v>
      </c>
      <c r="I349" s="62" t="s">
        <v>288</v>
      </c>
      <c r="J349" s="53"/>
    </row>
    <row r="350" ht="24.75" customHeight="1">
      <c r="A350" s="54" t="s">
        <v>289</v>
      </c>
      <c r="B350" s="56" t="s">
        <v>650</v>
      </c>
      <c r="C350" s="56" t="s">
        <v>606</v>
      </c>
      <c r="D350" s="56" t="s">
        <v>651</v>
      </c>
      <c r="E350" s="56" t="s">
        <v>621</v>
      </c>
      <c r="F350" s="57" t="s">
        <v>192</v>
      </c>
      <c r="G350" s="61"/>
      <c r="H350" s="79"/>
      <c r="I350" s="60"/>
      <c r="J350" s="53"/>
    </row>
    <row r="351" ht="24.75" customHeight="1">
      <c r="A351" s="54" t="s">
        <v>289</v>
      </c>
      <c r="B351" s="56" t="s">
        <v>650</v>
      </c>
      <c r="C351" s="56" t="s">
        <v>606</v>
      </c>
      <c r="D351" s="56" t="s">
        <v>651</v>
      </c>
      <c r="E351" s="56" t="s">
        <v>622</v>
      </c>
      <c r="F351" s="57" t="s">
        <v>154</v>
      </c>
      <c r="G351" s="61"/>
      <c r="H351" s="79"/>
      <c r="I351" s="60"/>
      <c r="J351" s="53"/>
    </row>
    <row r="352" ht="24.75" customHeight="1">
      <c r="A352" s="54" t="s">
        <v>289</v>
      </c>
      <c r="B352" s="56" t="s">
        <v>654</v>
      </c>
      <c r="C352" s="56" t="s">
        <v>606</v>
      </c>
      <c r="D352" s="56" t="s">
        <v>655</v>
      </c>
      <c r="E352" s="56" t="s">
        <v>191</v>
      </c>
      <c r="F352" s="57" t="s">
        <v>192</v>
      </c>
      <c r="G352" s="61"/>
      <c r="H352" s="79"/>
      <c r="I352" s="60"/>
      <c r="J352" s="53"/>
    </row>
    <row r="353" ht="24.75" customHeight="1">
      <c r="A353" s="54" t="s">
        <v>289</v>
      </c>
      <c r="B353" s="56" t="s">
        <v>654</v>
      </c>
      <c r="C353" s="56" t="s">
        <v>606</v>
      </c>
      <c r="D353" s="56" t="s">
        <v>655</v>
      </c>
      <c r="E353" s="56" t="s">
        <v>632</v>
      </c>
      <c r="F353" s="57" t="s">
        <v>34</v>
      </c>
      <c r="G353" s="61"/>
      <c r="H353" s="61" t="s">
        <v>197</v>
      </c>
      <c r="I353" s="60"/>
      <c r="J353" s="53"/>
    </row>
    <row r="354" ht="24.75" customHeight="1">
      <c r="A354" s="54" t="s">
        <v>289</v>
      </c>
      <c r="B354" s="56" t="s">
        <v>654</v>
      </c>
      <c r="C354" s="56" t="s">
        <v>606</v>
      </c>
      <c r="D354" s="56" t="s">
        <v>655</v>
      </c>
      <c r="E354" s="56" t="s">
        <v>633</v>
      </c>
      <c r="F354" s="57" t="s">
        <v>154</v>
      </c>
      <c r="G354" s="61"/>
      <c r="H354" s="79"/>
      <c r="I354" s="60"/>
      <c r="J354" s="53"/>
    </row>
    <row r="355" ht="24.75" hidden="1" customHeight="1">
      <c r="A355" s="54" t="s">
        <v>289</v>
      </c>
      <c r="B355" s="56" t="s">
        <v>654</v>
      </c>
      <c r="C355" s="56" t="s">
        <v>606</v>
      </c>
      <c r="D355" s="56" t="s">
        <v>655</v>
      </c>
      <c r="E355" s="56" t="s">
        <v>196</v>
      </c>
      <c r="F355" s="57" t="s">
        <v>250</v>
      </c>
      <c r="G355" s="61"/>
      <c r="H355" s="61" t="s">
        <v>200</v>
      </c>
      <c r="I355" s="62" t="s">
        <v>201</v>
      </c>
      <c r="J355" s="53"/>
    </row>
    <row r="356" ht="24.75" customHeight="1">
      <c r="A356" s="54" t="s">
        <v>289</v>
      </c>
      <c r="B356" s="56" t="s">
        <v>656</v>
      </c>
      <c r="C356" s="56" t="s">
        <v>606</v>
      </c>
      <c r="D356" s="56" t="s">
        <v>657</v>
      </c>
      <c r="E356" s="56" t="s">
        <v>191</v>
      </c>
      <c r="F356" s="57" t="s">
        <v>192</v>
      </c>
      <c r="G356" s="61"/>
      <c r="H356" s="79"/>
      <c r="I356" s="60"/>
      <c r="J356" s="53"/>
    </row>
    <row r="357" ht="24.75" customHeight="1">
      <c r="A357" s="54" t="s">
        <v>289</v>
      </c>
      <c r="B357" s="56" t="s">
        <v>656</v>
      </c>
      <c r="C357" s="56" t="s">
        <v>606</v>
      </c>
      <c r="D357" s="56" t="s">
        <v>657</v>
      </c>
      <c r="E357" s="56" t="s">
        <v>632</v>
      </c>
      <c r="F357" s="57" t="s">
        <v>34</v>
      </c>
      <c r="G357" s="61"/>
      <c r="H357" s="61" t="s">
        <v>197</v>
      </c>
      <c r="I357" s="60"/>
      <c r="J357" s="53"/>
    </row>
    <row r="358" ht="24.75" customHeight="1">
      <c r="A358" s="54" t="s">
        <v>289</v>
      </c>
      <c r="B358" s="56" t="s">
        <v>656</v>
      </c>
      <c r="C358" s="56" t="s">
        <v>606</v>
      </c>
      <c r="D358" s="56" t="s">
        <v>657</v>
      </c>
      <c r="E358" s="56" t="s">
        <v>633</v>
      </c>
      <c r="F358" s="57" t="s">
        <v>154</v>
      </c>
      <c r="G358" s="61"/>
      <c r="H358" s="79"/>
      <c r="I358" s="60"/>
      <c r="J358" s="53"/>
    </row>
    <row r="359" ht="24.75" hidden="1" customHeight="1">
      <c r="A359" s="54" t="s">
        <v>289</v>
      </c>
      <c r="B359" s="56" t="s">
        <v>656</v>
      </c>
      <c r="C359" s="56" t="s">
        <v>606</v>
      </c>
      <c r="D359" s="56" t="s">
        <v>657</v>
      </c>
      <c r="E359" s="56" t="s">
        <v>196</v>
      </c>
      <c r="F359" s="57" t="s">
        <v>250</v>
      </c>
      <c r="G359" s="61"/>
      <c r="H359" s="61" t="s">
        <v>200</v>
      </c>
      <c r="I359" s="62" t="s">
        <v>201</v>
      </c>
      <c r="J359" s="53"/>
    </row>
    <row r="360" ht="24.75" customHeight="1">
      <c r="A360" s="54" t="s">
        <v>658</v>
      </c>
      <c r="B360" s="56" t="s">
        <v>659</v>
      </c>
      <c r="C360" s="56" t="s">
        <v>610</v>
      </c>
      <c r="D360" s="56" t="s">
        <v>660</v>
      </c>
      <c r="E360" s="56" t="s">
        <v>661</v>
      </c>
      <c r="F360" s="57" t="s">
        <v>34</v>
      </c>
      <c r="G360" s="61"/>
      <c r="H360" s="79"/>
      <c r="I360" s="60"/>
      <c r="J360" s="53"/>
    </row>
    <row r="361" ht="24.75" customHeight="1">
      <c r="A361" s="54" t="s">
        <v>658</v>
      </c>
      <c r="B361" s="56" t="s">
        <v>659</v>
      </c>
      <c r="C361" s="56" t="s">
        <v>610</v>
      </c>
      <c r="D361" s="56" t="s">
        <v>660</v>
      </c>
      <c r="E361" s="56" t="s">
        <v>662</v>
      </c>
      <c r="F361" s="57" t="s">
        <v>34</v>
      </c>
      <c r="G361" s="61"/>
      <c r="H361" s="79"/>
      <c r="I361" s="60"/>
      <c r="J361" s="53"/>
    </row>
    <row r="362" ht="24.75" customHeight="1">
      <c r="A362" s="54" t="s">
        <v>658</v>
      </c>
      <c r="B362" s="56" t="s">
        <v>659</v>
      </c>
      <c r="C362" s="56" t="s">
        <v>610</v>
      </c>
      <c r="D362" s="56" t="s">
        <v>660</v>
      </c>
      <c r="E362" s="56" t="s">
        <v>663</v>
      </c>
      <c r="F362" s="57" t="s">
        <v>34</v>
      </c>
      <c r="G362" s="61"/>
      <c r="H362" s="79"/>
      <c r="I362" s="60"/>
      <c r="J362" s="53"/>
    </row>
    <row r="363" ht="24.75" customHeight="1">
      <c r="A363" s="54" t="s">
        <v>658</v>
      </c>
      <c r="B363" s="56" t="s">
        <v>659</v>
      </c>
      <c r="C363" s="56" t="s">
        <v>610</v>
      </c>
      <c r="D363" s="56" t="s">
        <v>660</v>
      </c>
      <c r="E363" s="56" t="s">
        <v>664</v>
      </c>
      <c r="F363" s="57" t="s">
        <v>34</v>
      </c>
      <c r="G363" s="61"/>
      <c r="H363" s="79"/>
      <c r="I363" s="60"/>
      <c r="J363" s="53"/>
    </row>
    <row r="364" ht="24.75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665</v>
      </c>
      <c r="F364" s="57" t="s">
        <v>34</v>
      </c>
      <c r="G364" s="61"/>
      <c r="H364" s="79"/>
      <c r="I364" s="60"/>
      <c r="J364" s="53"/>
    </row>
    <row r="365" ht="24.75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614</v>
      </c>
      <c r="F365" s="57" t="s">
        <v>34</v>
      </c>
      <c r="G365" s="61"/>
      <c r="H365" s="79"/>
      <c r="I365" s="60"/>
      <c r="J365" s="53"/>
    </row>
    <row r="366" ht="24.75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666</v>
      </c>
      <c r="F366" s="57" t="s">
        <v>34</v>
      </c>
      <c r="G366" s="61"/>
      <c r="H366" s="79"/>
      <c r="I366" s="60"/>
      <c r="J366" s="53"/>
    </row>
    <row r="367" ht="24.75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667</v>
      </c>
      <c r="F367" s="57" t="s">
        <v>34</v>
      </c>
      <c r="G367" s="61"/>
      <c r="H367" s="79"/>
      <c r="I367" s="60"/>
      <c r="J367" s="53"/>
    </row>
    <row r="368" ht="24.75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668</v>
      </c>
      <c r="F368" s="57" t="s">
        <v>154</v>
      </c>
      <c r="G368" s="61"/>
      <c r="H368" s="79"/>
      <c r="I368" s="60"/>
      <c r="J368" s="53"/>
    </row>
    <row r="369" ht="24.75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669</v>
      </c>
      <c r="F369" s="57" t="s">
        <v>154</v>
      </c>
      <c r="G369" s="61"/>
      <c r="H369" s="79"/>
      <c r="I369" s="60"/>
      <c r="J369" s="53"/>
    </row>
    <row r="370" ht="24.75" customHeight="1">
      <c r="A370" s="54" t="s">
        <v>658</v>
      </c>
      <c r="B370" s="56" t="s">
        <v>659</v>
      </c>
      <c r="C370" s="56" t="s">
        <v>610</v>
      </c>
      <c r="D370" s="56" t="s">
        <v>660</v>
      </c>
      <c r="E370" s="56" t="s">
        <v>671</v>
      </c>
      <c r="F370" s="57" t="s">
        <v>154</v>
      </c>
      <c r="G370" s="61"/>
      <c r="H370" s="79"/>
      <c r="I370" s="60"/>
      <c r="J370" s="53"/>
    </row>
    <row r="371" ht="24.75" customHeight="1">
      <c r="A371" s="54" t="s">
        <v>658</v>
      </c>
      <c r="B371" s="56" t="s">
        <v>659</v>
      </c>
      <c r="C371" s="56" t="s">
        <v>610</v>
      </c>
      <c r="D371" s="56" t="s">
        <v>660</v>
      </c>
      <c r="E371" s="56" t="s">
        <v>672</v>
      </c>
      <c r="F371" s="57" t="s">
        <v>154</v>
      </c>
      <c r="G371" s="61"/>
      <c r="H371" s="79"/>
      <c r="I371" s="60"/>
      <c r="J371" s="53"/>
    </row>
    <row r="372" ht="24.75" customHeight="1">
      <c r="A372" s="54" t="s">
        <v>658</v>
      </c>
      <c r="B372" s="56" t="s">
        <v>659</v>
      </c>
      <c r="C372" s="56" t="s">
        <v>610</v>
      </c>
      <c r="D372" s="56" t="s">
        <v>660</v>
      </c>
      <c r="E372" s="56" t="s">
        <v>673</v>
      </c>
      <c r="F372" s="57" t="s">
        <v>154</v>
      </c>
      <c r="G372" s="61"/>
      <c r="H372" s="79"/>
      <c r="I372" s="60"/>
      <c r="J372" s="53"/>
    </row>
    <row r="373" ht="24.75" customHeight="1">
      <c r="A373" s="54" t="s">
        <v>658</v>
      </c>
      <c r="B373" s="56" t="s">
        <v>674</v>
      </c>
      <c r="C373" s="56" t="s">
        <v>610</v>
      </c>
      <c r="D373" s="56" t="s">
        <v>675</v>
      </c>
      <c r="E373" s="56" t="s">
        <v>676</v>
      </c>
      <c r="F373" s="57" t="s">
        <v>34</v>
      </c>
      <c r="G373" s="61"/>
      <c r="H373" s="79"/>
      <c r="I373" s="60"/>
      <c r="J373" s="53"/>
    </row>
    <row r="374" ht="24.75" customHeight="1">
      <c r="A374" s="54" t="s">
        <v>658</v>
      </c>
      <c r="B374" s="56" t="s">
        <v>677</v>
      </c>
      <c r="C374" s="56" t="s">
        <v>610</v>
      </c>
      <c r="D374" s="56" t="s">
        <v>678</v>
      </c>
      <c r="E374" s="56" t="s">
        <v>679</v>
      </c>
      <c r="F374" s="57" t="s">
        <v>34</v>
      </c>
      <c r="G374" s="61"/>
      <c r="H374" s="61" t="s">
        <v>681</v>
      </c>
      <c r="I374" s="60"/>
      <c r="J374" s="53"/>
    </row>
    <row r="375" ht="24.75" customHeight="1">
      <c r="A375" s="54" t="s">
        <v>658</v>
      </c>
      <c r="B375" s="56" t="s">
        <v>677</v>
      </c>
      <c r="C375" s="56" t="s">
        <v>610</v>
      </c>
      <c r="D375" s="56" t="s">
        <v>678</v>
      </c>
      <c r="E375" s="56" t="s">
        <v>680</v>
      </c>
      <c r="F375" s="57" t="s">
        <v>34</v>
      </c>
      <c r="G375" s="61"/>
      <c r="H375" s="79"/>
      <c r="I375" s="60"/>
      <c r="J375" s="53"/>
    </row>
    <row r="376" ht="24.75" customHeight="1">
      <c r="A376" s="54" t="s">
        <v>658</v>
      </c>
      <c r="B376" s="56" t="s">
        <v>677</v>
      </c>
      <c r="C376" s="56" t="s">
        <v>610</v>
      </c>
      <c r="D376" s="56" t="s">
        <v>678</v>
      </c>
      <c r="E376" s="56" t="s">
        <v>682</v>
      </c>
      <c r="F376" s="57" t="s">
        <v>34</v>
      </c>
      <c r="G376" s="61"/>
      <c r="H376" s="79"/>
      <c r="I376" s="60"/>
      <c r="J376" s="53"/>
    </row>
    <row r="377" ht="24.75" customHeight="1">
      <c r="A377" s="54" t="s">
        <v>658</v>
      </c>
      <c r="B377" s="56" t="s">
        <v>677</v>
      </c>
      <c r="C377" s="56" t="s">
        <v>610</v>
      </c>
      <c r="D377" s="56" t="s">
        <v>678</v>
      </c>
      <c r="E377" s="56" t="s">
        <v>683</v>
      </c>
      <c r="F377" s="57" t="s">
        <v>34</v>
      </c>
      <c r="G377" s="61"/>
      <c r="H377" s="79"/>
      <c r="I377" s="60"/>
      <c r="J377" s="53"/>
    </row>
    <row r="378" ht="24.75" hidden="1" customHeight="1">
      <c r="A378" s="54" t="s">
        <v>658</v>
      </c>
      <c r="B378" s="56" t="s">
        <v>677</v>
      </c>
      <c r="C378" s="56" t="s">
        <v>610</v>
      </c>
      <c r="D378" s="56" t="s">
        <v>678</v>
      </c>
      <c r="E378" s="56" t="s">
        <v>684</v>
      </c>
      <c r="F378" s="57" t="s">
        <v>250</v>
      </c>
      <c r="G378" s="61"/>
      <c r="H378" s="61" t="s">
        <v>686</v>
      </c>
      <c r="I378" s="62" t="s">
        <v>687</v>
      </c>
      <c r="J378" s="53"/>
    </row>
    <row r="379" ht="24.75" hidden="1" customHeight="1">
      <c r="A379" s="54" t="s">
        <v>658</v>
      </c>
      <c r="B379" s="56" t="s">
        <v>677</v>
      </c>
      <c r="C379" s="56" t="s">
        <v>610</v>
      </c>
      <c r="D379" s="56" t="s">
        <v>678</v>
      </c>
      <c r="E379" s="56" t="s">
        <v>685</v>
      </c>
      <c r="F379" s="57" t="s">
        <v>250</v>
      </c>
      <c r="G379" s="61"/>
      <c r="H379" s="61" t="s">
        <v>200</v>
      </c>
      <c r="I379" s="62" t="s">
        <v>689</v>
      </c>
      <c r="J379" s="53"/>
    </row>
    <row r="380" ht="24.75" customHeight="1">
      <c r="A380" s="54" t="s">
        <v>658</v>
      </c>
      <c r="B380" s="56" t="s">
        <v>688</v>
      </c>
      <c r="C380" s="56" t="s">
        <v>624</v>
      </c>
      <c r="D380" s="56" t="s">
        <v>660</v>
      </c>
      <c r="E380" s="56" t="s">
        <v>661</v>
      </c>
      <c r="F380" s="57" t="s">
        <v>34</v>
      </c>
      <c r="G380" s="61"/>
      <c r="H380" s="79"/>
      <c r="I380" s="60"/>
      <c r="J380" s="53"/>
    </row>
    <row r="381" ht="24.75" customHeight="1">
      <c r="A381" s="54" t="s">
        <v>658</v>
      </c>
      <c r="B381" s="56" t="s">
        <v>688</v>
      </c>
      <c r="C381" s="56" t="s">
        <v>624</v>
      </c>
      <c r="D381" s="56" t="s">
        <v>660</v>
      </c>
      <c r="E381" s="56" t="s">
        <v>662</v>
      </c>
      <c r="F381" s="57" t="s">
        <v>34</v>
      </c>
      <c r="G381" s="61"/>
      <c r="H381" s="79"/>
      <c r="I381" s="60"/>
      <c r="J381" s="53"/>
    </row>
    <row r="382" ht="24.75" customHeight="1">
      <c r="A382" s="54" t="s">
        <v>658</v>
      </c>
      <c r="B382" s="56" t="s">
        <v>688</v>
      </c>
      <c r="C382" s="56" t="s">
        <v>624</v>
      </c>
      <c r="D382" s="56" t="s">
        <v>660</v>
      </c>
      <c r="E382" s="56" t="s">
        <v>663</v>
      </c>
      <c r="F382" s="57" t="s">
        <v>34</v>
      </c>
      <c r="G382" s="61"/>
      <c r="H382" s="79"/>
      <c r="I382" s="60"/>
      <c r="J382" s="53"/>
    </row>
    <row r="383" ht="24.75" customHeight="1">
      <c r="A383" s="54" t="s">
        <v>658</v>
      </c>
      <c r="B383" s="56" t="s">
        <v>688</v>
      </c>
      <c r="C383" s="56" t="s">
        <v>624</v>
      </c>
      <c r="D383" s="56" t="s">
        <v>660</v>
      </c>
      <c r="E383" s="56" t="s">
        <v>664</v>
      </c>
      <c r="F383" s="57" t="s">
        <v>34</v>
      </c>
      <c r="G383" s="61"/>
      <c r="H383" s="79"/>
      <c r="I383" s="60"/>
      <c r="J383" s="53"/>
    </row>
    <row r="384" ht="24.75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665</v>
      </c>
      <c r="F384" s="57" t="s">
        <v>34</v>
      </c>
      <c r="G384" s="61"/>
      <c r="H384" s="79"/>
      <c r="I384" s="60"/>
      <c r="J384" s="53"/>
    </row>
    <row r="385" ht="24.75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614</v>
      </c>
      <c r="F385" s="57" t="s">
        <v>34</v>
      </c>
      <c r="G385" s="61"/>
      <c r="H385" s="79"/>
      <c r="I385" s="60"/>
      <c r="J385" s="53"/>
    </row>
    <row r="386" ht="24.75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666</v>
      </c>
      <c r="F386" s="57" t="s">
        <v>34</v>
      </c>
      <c r="G386" s="61"/>
      <c r="H386" s="79"/>
      <c r="I386" s="60"/>
      <c r="J386" s="53"/>
    </row>
    <row r="387" ht="24.75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667</v>
      </c>
      <c r="F387" s="57" t="s">
        <v>34</v>
      </c>
      <c r="G387" s="61"/>
      <c r="H387" s="79"/>
      <c r="I387" s="60"/>
      <c r="J387" s="53"/>
    </row>
    <row r="388" ht="24.75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668</v>
      </c>
      <c r="F388" s="57" t="s">
        <v>154</v>
      </c>
      <c r="G388" s="61"/>
      <c r="H388" s="79"/>
      <c r="I388" s="60"/>
      <c r="J388" s="53"/>
    </row>
    <row r="389" ht="24.75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669</v>
      </c>
      <c r="F389" s="57" t="s">
        <v>154</v>
      </c>
      <c r="G389" s="61"/>
      <c r="H389" s="79"/>
      <c r="I389" s="60"/>
      <c r="J389" s="53"/>
    </row>
    <row r="390" ht="24.75" customHeight="1">
      <c r="A390" s="54" t="s">
        <v>658</v>
      </c>
      <c r="B390" s="56" t="s">
        <v>688</v>
      </c>
      <c r="C390" s="56" t="s">
        <v>624</v>
      </c>
      <c r="D390" s="56" t="s">
        <v>660</v>
      </c>
      <c r="E390" s="56" t="s">
        <v>671</v>
      </c>
      <c r="F390" s="57" t="s">
        <v>154</v>
      </c>
      <c r="G390" s="61"/>
      <c r="H390" s="79"/>
      <c r="I390" s="60"/>
      <c r="J390" s="53"/>
    </row>
    <row r="391" ht="24.75" customHeight="1">
      <c r="A391" s="54" t="s">
        <v>658</v>
      </c>
      <c r="B391" s="56" t="s">
        <v>688</v>
      </c>
      <c r="C391" s="56" t="s">
        <v>624</v>
      </c>
      <c r="D391" s="56" t="s">
        <v>660</v>
      </c>
      <c r="E391" s="56" t="s">
        <v>672</v>
      </c>
      <c r="F391" s="57" t="s">
        <v>154</v>
      </c>
      <c r="G391" s="61"/>
      <c r="H391" s="79"/>
      <c r="I391" s="60"/>
      <c r="J391" s="53"/>
    </row>
    <row r="392" ht="24.75" customHeight="1">
      <c r="A392" s="54" t="s">
        <v>658</v>
      </c>
      <c r="B392" s="56" t="s">
        <v>688</v>
      </c>
      <c r="C392" s="56" t="s">
        <v>624</v>
      </c>
      <c r="D392" s="56" t="s">
        <v>660</v>
      </c>
      <c r="E392" s="56" t="s">
        <v>673</v>
      </c>
      <c r="F392" s="57" t="s">
        <v>154</v>
      </c>
      <c r="G392" s="61"/>
      <c r="H392" s="79"/>
      <c r="I392" s="60"/>
      <c r="J392" s="53"/>
    </row>
    <row r="393" ht="24.75" customHeight="1">
      <c r="A393" s="54" t="s">
        <v>658</v>
      </c>
      <c r="B393" s="56" t="s">
        <v>690</v>
      </c>
      <c r="C393" s="56" t="s">
        <v>624</v>
      </c>
      <c r="D393" s="56" t="s">
        <v>675</v>
      </c>
      <c r="E393" s="56" t="s">
        <v>676</v>
      </c>
      <c r="F393" s="57" t="s">
        <v>34</v>
      </c>
      <c r="G393" s="61"/>
      <c r="H393" s="79"/>
      <c r="I393" s="60"/>
      <c r="J393" s="53"/>
    </row>
    <row r="394" ht="24.75" customHeight="1">
      <c r="A394" s="54" t="s">
        <v>658</v>
      </c>
      <c r="B394" s="56" t="s">
        <v>691</v>
      </c>
      <c r="C394" s="56" t="s">
        <v>624</v>
      </c>
      <c r="D394" s="56" t="s">
        <v>678</v>
      </c>
      <c r="E394" s="56" t="s">
        <v>679</v>
      </c>
      <c r="F394" s="57" t="s">
        <v>34</v>
      </c>
      <c r="G394" s="61"/>
      <c r="H394" s="61" t="s">
        <v>681</v>
      </c>
      <c r="I394" s="60"/>
      <c r="J394" s="53"/>
    </row>
    <row r="395" ht="24.75" customHeight="1">
      <c r="A395" s="54" t="s">
        <v>658</v>
      </c>
      <c r="B395" s="56" t="s">
        <v>691</v>
      </c>
      <c r="C395" s="56" t="s">
        <v>624</v>
      </c>
      <c r="D395" s="56" t="s">
        <v>678</v>
      </c>
      <c r="E395" s="56" t="s">
        <v>680</v>
      </c>
      <c r="F395" s="57" t="s">
        <v>34</v>
      </c>
      <c r="G395" s="61"/>
      <c r="H395" s="79"/>
      <c r="I395" s="60"/>
      <c r="J395" s="53"/>
    </row>
    <row r="396" ht="24.75" customHeight="1">
      <c r="A396" s="54" t="s">
        <v>658</v>
      </c>
      <c r="B396" s="56" t="s">
        <v>691</v>
      </c>
      <c r="C396" s="56" t="s">
        <v>624</v>
      </c>
      <c r="D396" s="56" t="s">
        <v>678</v>
      </c>
      <c r="E396" s="56" t="s">
        <v>682</v>
      </c>
      <c r="F396" s="57" t="s">
        <v>34</v>
      </c>
      <c r="G396" s="61"/>
      <c r="H396" s="79"/>
      <c r="I396" s="60"/>
      <c r="J396" s="53"/>
    </row>
    <row r="397" ht="24.75" customHeight="1">
      <c r="A397" s="54" t="s">
        <v>658</v>
      </c>
      <c r="B397" s="56" t="s">
        <v>691</v>
      </c>
      <c r="C397" s="56" t="s">
        <v>624</v>
      </c>
      <c r="D397" s="56" t="s">
        <v>678</v>
      </c>
      <c r="E397" s="56" t="s">
        <v>683</v>
      </c>
      <c r="F397" s="57" t="s">
        <v>34</v>
      </c>
      <c r="G397" s="61"/>
      <c r="H397" s="79"/>
      <c r="I397" s="60"/>
      <c r="J397" s="53"/>
    </row>
    <row r="398" ht="24.75" hidden="1" customHeight="1">
      <c r="A398" s="54" t="s">
        <v>658</v>
      </c>
      <c r="B398" s="56" t="s">
        <v>691</v>
      </c>
      <c r="C398" s="56" t="s">
        <v>624</v>
      </c>
      <c r="D398" s="56" t="s">
        <v>678</v>
      </c>
      <c r="E398" s="56" t="s">
        <v>684</v>
      </c>
      <c r="F398" s="57" t="s">
        <v>250</v>
      </c>
      <c r="G398" s="61"/>
      <c r="H398" s="61" t="s">
        <v>686</v>
      </c>
      <c r="I398" s="62" t="s">
        <v>687</v>
      </c>
      <c r="J398" s="53"/>
    </row>
    <row r="399" ht="24.75" hidden="1" customHeight="1">
      <c r="A399" s="54" t="s">
        <v>658</v>
      </c>
      <c r="B399" s="56" t="s">
        <v>691</v>
      </c>
      <c r="C399" s="56" t="s">
        <v>624</v>
      </c>
      <c r="D399" s="56" t="s">
        <v>678</v>
      </c>
      <c r="E399" s="56" t="s">
        <v>685</v>
      </c>
      <c r="F399" s="57" t="s">
        <v>250</v>
      </c>
      <c r="G399" s="61"/>
      <c r="H399" s="61" t="s">
        <v>200</v>
      </c>
      <c r="I399" s="62" t="s">
        <v>689</v>
      </c>
      <c r="J399" s="53"/>
    </row>
    <row r="400" ht="24.75" customHeight="1">
      <c r="A400" s="54" t="s">
        <v>658</v>
      </c>
      <c r="B400" s="56" t="s">
        <v>692</v>
      </c>
      <c r="C400" s="56" t="s">
        <v>627</v>
      </c>
      <c r="D400" s="56" t="s">
        <v>660</v>
      </c>
      <c r="E400" s="56" t="s">
        <v>661</v>
      </c>
      <c r="F400" s="57" t="s">
        <v>34</v>
      </c>
      <c r="G400" s="61"/>
      <c r="H400" s="79"/>
      <c r="I400" s="60"/>
      <c r="J400" s="53"/>
    </row>
    <row r="401" ht="24.75" customHeight="1">
      <c r="A401" s="54" t="s">
        <v>658</v>
      </c>
      <c r="B401" s="56" t="s">
        <v>692</v>
      </c>
      <c r="C401" s="56" t="s">
        <v>627</v>
      </c>
      <c r="D401" s="56" t="s">
        <v>660</v>
      </c>
      <c r="E401" s="56" t="s">
        <v>662</v>
      </c>
      <c r="F401" s="57" t="s">
        <v>34</v>
      </c>
      <c r="G401" s="61"/>
      <c r="H401" s="79"/>
      <c r="I401" s="60"/>
      <c r="J401" s="53"/>
    </row>
    <row r="402" ht="24.75" customHeight="1">
      <c r="A402" s="54" t="s">
        <v>658</v>
      </c>
      <c r="B402" s="56" t="s">
        <v>692</v>
      </c>
      <c r="C402" s="56" t="s">
        <v>627</v>
      </c>
      <c r="D402" s="56" t="s">
        <v>660</v>
      </c>
      <c r="E402" s="56" t="s">
        <v>663</v>
      </c>
      <c r="F402" s="57" t="s">
        <v>34</v>
      </c>
      <c r="G402" s="61"/>
      <c r="H402" s="79"/>
      <c r="I402" s="60"/>
      <c r="J402" s="53"/>
    </row>
    <row r="403" ht="24.75" customHeight="1">
      <c r="A403" s="54" t="s">
        <v>658</v>
      </c>
      <c r="B403" s="56" t="s">
        <v>692</v>
      </c>
      <c r="C403" s="56" t="s">
        <v>627</v>
      </c>
      <c r="D403" s="56" t="s">
        <v>660</v>
      </c>
      <c r="E403" s="56" t="s">
        <v>664</v>
      </c>
      <c r="F403" s="57" t="s">
        <v>34</v>
      </c>
      <c r="G403" s="61"/>
      <c r="H403" s="79"/>
      <c r="I403" s="60"/>
      <c r="J403" s="53"/>
    </row>
    <row r="404" ht="24.75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665</v>
      </c>
      <c r="F404" s="57" t="s">
        <v>34</v>
      </c>
      <c r="G404" s="61"/>
      <c r="H404" s="79"/>
      <c r="I404" s="60"/>
      <c r="J404" s="53"/>
    </row>
    <row r="405" ht="24.75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614</v>
      </c>
      <c r="F405" s="57" t="s">
        <v>34</v>
      </c>
      <c r="G405" s="61"/>
      <c r="H405" s="79"/>
      <c r="I405" s="60"/>
      <c r="J405" s="53"/>
    </row>
    <row r="406" ht="24.75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666</v>
      </c>
      <c r="F406" s="57" t="s">
        <v>34</v>
      </c>
      <c r="G406" s="61"/>
      <c r="H406" s="79"/>
      <c r="I406" s="60"/>
      <c r="J406" s="53"/>
    </row>
    <row r="407" ht="24.75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667</v>
      </c>
      <c r="F407" s="57" t="s">
        <v>34</v>
      </c>
      <c r="G407" s="61"/>
      <c r="H407" s="79"/>
      <c r="I407" s="60"/>
      <c r="J407" s="53"/>
    </row>
    <row r="408" ht="24.75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668</v>
      </c>
      <c r="F408" s="57" t="s">
        <v>154</v>
      </c>
      <c r="G408" s="61"/>
      <c r="H408" s="79"/>
      <c r="I408" s="60"/>
      <c r="J408" s="53"/>
    </row>
    <row r="409" ht="24.75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669</v>
      </c>
      <c r="F409" s="57" t="s">
        <v>154</v>
      </c>
      <c r="G409" s="61"/>
      <c r="H409" s="79"/>
      <c r="I409" s="60"/>
      <c r="J409" s="53"/>
    </row>
    <row r="410" ht="24.75" customHeight="1">
      <c r="A410" s="54" t="s">
        <v>658</v>
      </c>
      <c r="B410" s="56" t="s">
        <v>692</v>
      </c>
      <c r="C410" s="56" t="s">
        <v>627</v>
      </c>
      <c r="D410" s="56" t="s">
        <v>660</v>
      </c>
      <c r="E410" s="56" t="s">
        <v>671</v>
      </c>
      <c r="F410" s="57" t="s">
        <v>154</v>
      </c>
      <c r="G410" s="61"/>
      <c r="H410" s="79"/>
      <c r="I410" s="60"/>
      <c r="J410" s="53"/>
    </row>
    <row r="411" ht="24.75" customHeight="1">
      <c r="A411" s="54" t="s">
        <v>658</v>
      </c>
      <c r="B411" s="56" t="s">
        <v>692</v>
      </c>
      <c r="C411" s="56" t="s">
        <v>627</v>
      </c>
      <c r="D411" s="56" t="s">
        <v>660</v>
      </c>
      <c r="E411" s="56" t="s">
        <v>672</v>
      </c>
      <c r="F411" s="57" t="s">
        <v>154</v>
      </c>
      <c r="G411" s="61"/>
      <c r="H411" s="79"/>
      <c r="I411" s="60"/>
      <c r="J411" s="53"/>
    </row>
    <row r="412" ht="24.75" customHeight="1">
      <c r="A412" s="54" t="s">
        <v>658</v>
      </c>
      <c r="B412" s="56" t="s">
        <v>692</v>
      </c>
      <c r="C412" s="56" t="s">
        <v>627</v>
      </c>
      <c r="D412" s="56" t="s">
        <v>660</v>
      </c>
      <c r="E412" s="56" t="s">
        <v>673</v>
      </c>
      <c r="F412" s="57" t="s">
        <v>154</v>
      </c>
      <c r="G412" s="61"/>
      <c r="H412" s="79"/>
      <c r="I412" s="60"/>
      <c r="J412" s="53"/>
    </row>
    <row r="413" ht="24.75" customHeight="1">
      <c r="A413" s="54" t="s">
        <v>658</v>
      </c>
      <c r="B413" s="56" t="s">
        <v>693</v>
      </c>
      <c r="C413" s="56" t="s">
        <v>627</v>
      </c>
      <c r="D413" s="56" t="s">
        <v>675</v>
      </c>
      <c r="E413" s="56" t="s">
        <v>676</v>
      </c>
      <c r="F413" s="57" t="s">
        <v>34</v>
      </c>
      <c r="G413" s="61"/>
      <c r="H413" s="79"/>
      <c r="I413" s="60"/>
      <c r="J413" s="53"/>
    </row>
    <row r="414" ht="24.75" customHeight="1">
      <c r="A414" s="54" t="s">
        <v>658</v>
      </c>
      <c r="B414" s="56" t="s">
        <v>694</v>
      </c>
      <c r="C414" s="56" t="s">
        <v>627</v>
      </c>
      <c r="D414" s="56" t="s">
        <v>678</v>
      </c>
      <c r="E414" s="56" t="s">
        <v>679</v>
      </c>
      <c r="F414" s="57" t="s">
        <v>34</v>
      </c>
      <c r="G414" s="61"/>
      <c r="H414" s="61" t="s">
        <v>197</v>
      </c>
      <c r="I414" s="60"/>
      <c r="J414" s="53"/>
    </row>
    <row r="415" ht="24.75" customHeight="1">
      <c r="A415" s="54" t="s">
        <v>658</v>
      </c>
      <c r="B415" s="56" t="s">
        <v>694</v>
      </c>
      <c r="C415" s="56" t="s">
        <v>627</v>
      </c>
      <c r="D415" s="56" t="s">
        <v>678</v>
      </c>
      <c r="E415" s="56" t="s">
        <v>680</v>
      </c>
      <c r="F415" s="57" t="s">
        <v>34</v>
      </c>
      <c r="G415" s="61"/>
      <c r="H415" s="79"/>
      <c r="I415" s="60"/>
      <c r="J415" s="53"/>
    </row>
    <row r="416" ht="24.75" customHeight="1">
      <c r="A416" s="54" t="s">
        <v>658</v>
      </c>
      <c r="B416" s="56" t="s">
        <v>694</v>
      </c>
      <c r="C416" s="56" t="s">
        <v>627</v>
      </c>
      <c r="D416" s="56" t="s">
        <v>678</v>
      </c>
      <c r="E416" s="56" t="s">
        <v>683</v>
      </c>
      <c r="F416" s="57" t="s">
        <v>34</v>
      </c>
      <c r="G416" s="61"/>
      <c r="H416" s="79"/>
      <c r="I416" s="60"/>
      <c r="J416" s="53"/>
    </row>
    <row r="417" ht="24.75" hidden="1" customHeight="1">
      <c r="A417" s="54" t="s">
        <v>658</v>
      </c>
      <c r="B417" s="56" t="s">
        <v>694</v>
      </c>
      <c r="C417" s="56" t="s">
        <v>627</v>
      </c>
      <c r="D417" s="56" t="s">
        <v>678</v>
      </c>
      <c r="E417" s="56" t="s">
        <v>684</v>
      </c>
      <c r="F417" s="57" t="s">
        <v>250</v>
      </c>
      <c r="G417" s="61"/>
      <c r="H417" s="61" t="s">
        <v>686</v>
      </c>
      <c r="I417" s="62" t="s">
        <v>687</v>
      </c>
      <c r="J417" s="53"/>
    </row>
    <row r="418" ht="24.75" hidden="1" customHeight="1">
      <c r="A418" s="54" t="s">
        <v>658</v>
      </c>
      <c r="B418" s="56" t="s">
        <v>694</v>
      </c>
      <c r="C418" s="56" t="s">
        <v>627</v>
      </c>
      <c r="D418" s="56" t="s">
        <v>678</v>
      </c>
      <c r="E418" s="56" t="s">
        <v>695</v>
      </c>
      <c r="F418" s="57" t="s">
        <v>250</v>
      </c>
      <c r="G418" s="61"/>
      <c r="H418" s="61" t="s">
        <v>346</v>
      </c>
      <c r="I418" s="62" t="s">
        <v>696</v>
      </c>
      <c r="J418" s="53"/>
    </row>
    <row r="419" ht="24.75" hidden="1" customHeight="1">
      <c r="A419" s="54" t="s">
        <v>658</v>
      </c>
      <c r="B419" s="56" t="s">
        <v>694</v>
      </c>
      <c r="C419" s="56" t="s">
        <v>627</v>
      </c>
      <c r="D419" s="56" t="s">
        <v>678</v>
      </c>
      <c r="E419" s="56" t="s">
        <v>685</v>
      </c>
      <c r="F419" s="57" t="s">
        <v>250</v>
      </c>
      <c r="G419" s="61"/>
      <c r="H419" s="61" t="s">
        <v>200</v>
      </c>
      <c r="I419" s="62" t="s">
        <v>689</v>
      </c>
      <c r="J419" s="53"/>
    </row>
    <row r="420" ht="24.75" customHeight="1">
      <c r="A420" s="54" t="s">
        <v>658</v>
      </c>
      <c r="B420" s="56" t="s">
        <v>697</v>
      </c>
      <c r="C420" s="56" t="s">
        <v>640</v>
      </c>
      <c r="D420" s="56" t="s">
        <v>660</v>
      </c>
      <c r="E420" s="56" t="s">
        <v>661</v>
      </c>
      <c r="F420" s="57" t="s">
        <v>34</v>
      </c>
      <c r="G420" s="61"/>
      <c r="H420" s="79"/>
      <c r="I420" s="60"/>
      <c r="J420" s="53"/>
    </row>
    <row r="421" ht="24.75" customHeight="1">
      <c r="A421" s="54" t="s">
        <v>658</v>
      </c>
      <c r="B421" s="56" t="s">
        <v>697</v>
      </c>
      <c r="C421" s="56" t="s">
        <v>640</v>
      </c>
      <c r="D421" s="56" t="s">
        <v>660</v>
      </c>
      <c r="E421" s="56" t="s">
        <v>662</v>
      </c>
      <c r="F421" s="57" t="s">
        <v>34</v>
      </c>
      <c r="G421" s="61"/>
      <c r="H421" s="79"/>
      <c r="I421" s="60"/>
      <c r="J421" s="53"/>
    </row>
    <row r="422" ht="24.75" customHeight="1">
      <c r="A422" s="54" t="s">
        <v>658</v>
      </c>
      <c r="B422" s="56" t="s">
        <v>697</v>
      </c>
      <c r="C422" s="56" t="s">
        <v>640</v>
      </c>
      <c r="D422" s="56" t="s">
        <v>660</v>
      </c>
      <c r="E422" s="56" t="s">
        <v>663</v>
      </c>
      <c r="F422" s="57" t="s">
        <v>34</v>
      </c>
      <c r="G422" s="61"/>
      <c r="H422" s="79"/>
      <c r="I422" s="60"/>
      <c r="J422" s="53"/>
    </row>
    <row r="423" ht="24.75" customHeight="1">
      <c r="A423" s="54" t="s">
        <v>658</v>
      </c>
      <c r="B423" s="56" t="s">
        <v>697</v>
      </c>
      <c r="C423" s="56" t="s">
        <v>640</v>
      </c>
      <c r="D423" s="56" t="s">
        <v>660</v>
      </c>
      <c r="E423" s="56" t="s">
        <v>664</v>
      </c>
      <c r="F423" s="57" t="s">
        <v>34</v>
      </c>
      <c r="G423" s="61"/>
      <c r="H423" s="79"/>
      <c r="I423" s="60"/>
      <c r="J423" s="53"/>
    </row>
    <row r="424" ht="24.75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665</v>
      </c>
      <c r="F424" s="57" t="s">
        <v>34</v>
      </c>
      <c r="G424" s="61"/>
      <c r="H424" s="79"/>
      <c r="I424" s="60"/>
      <c r="J424" s="53"/>
    </row>
    <row r="425" ht="24.75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614</v>
      </c>
      <c r="F425" s="57" t="s">
        <v>34</v>
      </c>
      <c r="G425" s="61"/>
      <c r="H425" s="79"/>
      <c r="I425" s="60"/>
      <c r="J425" s="53"/>
    </row>
    <row r="426" ht="24.75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666</v>
      </c>
      <c r="F426" s="57" t="s">
        <v>34</v>
      </c>
      <c r="G426" s="61"/>
      <c r="H426" s="79"/>
      <c r="I426" s="60"/>
      <c r="J426" s="53"/>
    </row>
    <row r="427" ht="24.75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667</v>
      </c>
      <c r="F427" s="57" t="s">
        <v>34</v>
      </c>
      <c r="G427" s="61"/>
      <c r="H427" s="79"/>
      <c r="I427" s="60"/>
      <c r="J427" s="53"/>
    </row>
    <row r="428" ht="24.75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668</v>
      </c>
      <c r="F428" s="57" t="s">
        <v>154</v>
      </c>
      <c r="G428" s="61"/>
      <c r="H428" s="79"/>
      <c r="I428" s="60"/>
      <c r="J428" s="53"/>
    </row>
    <row r="429" ht="24.75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669</v>
      </c>
      <c r="F429" s="57" t="s">
        <v>154</v>
      </c>
      <c r="G429" s="61"/>
      <c r="H429" s="79"/>
      <c r="I429" s="60"/>
      <c r="J429" s="53"/>
    </row>
    <row r="430" ht="24.75" customHeight="1">
      <c r="A430" s="54" t="s">
        <v>658</v>
      </c>
      <c r="B430" s="56" t="s">
        <v>697</v>
      </c>
      <c r="C430" s="56" t="s">
        <v>640</v>
      </c>
      <c r="D430" s="56" t="s">
        <v>660</v>
      </c>
      <c r="E430" s="56" t="s">
        <v>671</v>
      </c>
      <c r="F430" s="57" t="s">
        <v>154</v>
      </c>
      <c r="G430" s="61"/>
      <c r="H430" s="79"/>
      <c r="I430" s="60"/>
      <c r="J430" s="53"/>
    </row>
    <row r="431" ht="24.75" customHeight="1">
      <c r="A431" s="54" t="s">
        <v>658</v>
      </c>
      <c r="B431" s="56" t="s">
        <v>697</v>
      </c>
      <c r="C431" s="56" t="s">
        <v>640</v>
      </c>
      <c r="D431" s="56" t="s">
        <v>660</v>
      </c>
      <c r="E431" s="56" t="s">
        <v>672</v>
      </c>
      <c r="F431" s="57" t="s">
        <v>154</v>
      </c>
      <c r="G431" s="61"/>
      <c r="H431" s="79"/>
      <c r="I431" s="60"/>
      <c r="J431" s="53"/>
    </row>
    <row r="432" ht="24.75" customHeight="1">
      <c r="A432" s="54" t="s">
        <v>658</v>
      </c>
      <c r="B432" s="56" t="s">
        <v>697</v>
      </c>
      <c r="C432" s="56" t="s">
        <v>640</v>
      </c>
      <c r="D432" s="56" t="s">
        <v>660</v>
      </c>
      <c r="E432" s="56" t="s">
        <v>673</v>
      </c>
      <c r="F432" s="57" t="s">
        <v>154</v>
      </c>
      <c r="G432" s="61"/>
      <c r="H432" s="79"/>
      <c r="I432" s="60"/>
      <c r="J432" s="53"/>
    </row>
    <row r="433" ht="24.75" customHeight="1">
      <c r="A433" s="54" t="s">
        <v>658</v>
      </c>
      <c r="B433" s="56" t="s">
        <v>698</v>
      </c>
      <c r="C433" s="56" t="s">
        <v>640</v>
      </c>
      <c r="D433" s="56" t="s">
        <v>675</v>
      </c>
      <c r="E433" s="56" t="s">
        <v>676</v>
      </c>
      <c r="F433" s="57" t="s">
        <v>34</v>
      </c>
      <c r="G433" s="61"/>
      <c r="H433" s="79"/>
      <c r="I433" s="60"/>
      <c r="J433" s="53"/>
    </row>
    <row r="434" ht="24.75" customHeight="1">
      <c r="A434" s="54" t="s">
        <v>658</v>
      </c>
      <c r="B434" s="56" t="s">
        <v>699</v>
      </c>
      <c r="C434" s="56" t="s">
        <v>640</v>
      </c>
      <c r="D434" s="56" t="s">
        <v>678</v>
      </c>
      <c r="E434" s="56" t="s">
        <v>679</v>
      </c>
      <c r="F434" s="57" t="s">
        <v>34</v>
      </c>
      <c r="G434" s="61"/>
      <c r="H434" s="61" t="s">
        <v>197</v>
      </c>
      <c r="I434" s="60"/>
      <c r="J434" s="53"/>
    </row>
    <row r="435" ht="24.75" customHeight="1">
      <c r="A435" s="54" t="s">
        <v>658</v>
      </c>
      <c r="B435" s="56" t="s">
        <v>699</v>
      </c>
      <c r="C435" s="56" t="s">
        <v>640</v>
      </c>
      <c r="D435" s="56" t="s">
        <v>678</v>
      </c>
      <c r="E435" s="56" t="s">
        <v>680</v>
      </c>
      <c r="F435" s="57" t="s">
        <v>34</v>
      </c>
      <c r="G435" s="61"/>
      <c r="H435" s="79"/>
      <c r="I435" s="60"/>
      <c r="J435" s="53"/>
    </row>
    <row r="436" ht="24.75" customHeight="1">
      <c r="A436" s="54" t="s">
        <v>658</v>
      </c>
      <c r="B436" s="56" t="s">
        <v>699</v>
      </c>
      <c r="C436" s="56" t="s">
        <v>640</v>
      </c>
      <c r="D436" s="56" t="s">
        <v>678</v>
      </c>
      <c r="E436" s="56" t="s">
        <v>682</v>
      </c>
      <c r="F436" s="57" t="s">
        <v>34</v>
      </c>
      <c r="G436" s="61"/>
      <c r="H436" s="79"/>
      <c r="I436" s="60"/>
      <c r="J436" s="53"/>
    </row>
    <row r="437" ht="24.75" customHeight="1">
      <c r="A437" s="54" t="s">
        <v>658</v>
      </c>
      <c r="B437" s="56" t="s">
        <v>699</v>
      </c>
      <c r="C437" s="56" t="s">
        <v>640</v>
      </c>
      <c r="D437" s="56" t="s">
        <v>678</v>
      </c>
      <c r="E437" s="56" t="s">
        <v>683</v>
      </c>
      <c r="F437" s="57" t="s">
        <v>34</v>
      </c>
      <c r="G437" s="61"/>
      <c r="H437" s="79"/>
      <c r="I437" s="60"/>
      <c r="J437" s="53"/>
    </row>
    <row r="438" ht="24.75" hidden="1" customHeight="1">
      <c r="A438" s="54" t="s">
        <v>658</v>
      </c>
      <c r="B438" s="56" t="s">
        <v>699</v>
      </c>
      <c r="C438" s="56" t="s">
        <v>640</v>
      </c>
      <c r="D438" s="56" t="s">
        <v>678</v>
      </c>
      <c r="E438" s="56" t="s">
        <v>684</v>
      </c>
      <c r="F438" s="57" t="s">
        <v>250</v>
      </c>
      <c r="G438" s="61"/>
      <c r="H438" s="61" t="s">
        <v>686</v>
      </c>
      <c r="I438" s="62" t="s">
        <v>687</v>
      </c>
      <c r="J438" s="53"/>
    </row>
    <row r="439" ht="24.75" hidden="1" customHeight="1">
      <c r="A439" s="54" t="s">
        <v>658</v>
      </c>
      <c r="B439" s="56" t="s">
        <v>699</v>
      </c>
      <c r="C439" s="56" t="s">
        <v>640</v>
      </c>
      <c r="D439" s="56" t="s">
        <v>678</v>
      </c>
      <c r="E439" s="56" t="s">
        <v>695</v>
      </c>
      <c r="F439" s="57" t="s">
        <v>250</v>
      </c>
      <c r="G439" s="61"/>
      <c r="H439" s="61" t="s">
        <v>346</v>
      </c>
      <c r="I439" s="62" t="s">
        <v>696</v>
      </c>
      <c r="J439" s="53"/>
    </row>
    <row r="440" ht="24.75" hidden="1" customHeight="1">
      <c r="A440" s="54" t="s">
        <v>658</v>
      </c>
      <c r="B440" s="56" t="s">
        <v>699</v>
      </c>
      <c r="C440" s="56" t="s">
        <v>640</v>
      </c>
      <c r="D440" s="56" t="s">
        <v>678</v>
      </c>
      <c r="E440" s="56" t="s">
        <v>685</v>
      </c>
      <c r="F440" s="57" t="s">
        <v>250</v>
      </c>
      <c r="G440" s="61"/>
      <c r="H440" s="61" t="s">
        <v>200</v>
      </c>
      <c r="I440" s="62" t="s">
        <v>689</v>
      </c>
      <c r="J440" s="53"/>
    </row>
    <row r="441" ht="24.75" customHeight="1">
      <c r="A441" s="54" t="s">
        <v>658</v>
      </c>
      <c r="B441" s="56" t="s">
        <v>700</v>
      </c>
      <c r="C441" s="56" t="s">
        <v>645</v>
      </c>
      <c r="D441" s="56" t="s">
        <v>660</v>
      </c>
      <c r="E441" s="56" t="s">
        <v>661</v>
      </c>
      <c r="F441" s="57" t="s">
        <v>34</v>
      </c>
      <c r="G441" s="61"/>
      <c r="H441" s="79"/>
      <c r="I441" s="60"/>
      <c r="J441" s="53"/>
    </row>
    <row r="442" ht="24.75" customHeight="1">
      <c r="A442" s="54" t="s">
        <v>658</v>
      </c>
      <c r="B442" s="56" t="s">
        <v>700</v>
      </c>
      <c r="C442" s="56" t="s">
        <v>645</v>
      </c>
      <c r="D442" s="56" t="s">
        <v>660</v>
      </c>
      <c r="E442" s="56" t="s">
        <v>662</v>
      </c>
      <c r="F442" s="57" t="s">
        <v>34</v>
      </c>
      <c r="G442" s="61"/>
      <c r="H442" s="61"/>
      <c r="I442" s="60"/>
      <c r="J442" s="53"/>
    </row>
    <row r="443" ht="24.75" customHeight="1">
      <c r="A443" s="54" t="s">
        <v>658</v>
      </c>
      <c r="B443" s="56" t="s">
        <v>700</v>
      </c>
      <c r="C443" s="56" t="s">
        <v>645</v>
      </c>
      <c r="D443" s="56" t="s">
        <v>660</v>
      </c>
      <c r="E443" s="56" t="s">
        <v>663</v>
      </c>
      <c r="F443" s="57" t="s">
        <v>34</v>
      </c>
      <c r="G443" s="61"/>
      <c r="H443" s="61"/>
      <c r="I443" s="60"/>
      <c r="J443" s="53"/>
    </row>
    <row r="444" ht="24.75" customHeight="1">
      <c r="A444" s="54" t="s">
        <v>658</v>
      </c>
      <c r="B444" s="56" t="s">
        <v>700</v>
      </c>
      <c r="C444" s="56" t="s">
        <v>645</v>
      </c>
      <c r="D444" s="56" t="s">
        <v>660</v>
      </c>
      <c r="E444" s="56" t="s">
        <v>664</v>
      </c>
      <c r="F444" s="57" t="s">
        <v>34</v>
      </c>
      <c r="G444" s="61"/>
      <c r="H444" s="79"/>
      <c r="I444" s="60"/>
      <c r="J444" s="53"/>
    </row>
    <row r="445" ht="24.75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665</v>
      </c>
      <c r="F445" s="57" t="s">
        <v>34</v>
      </c>
      <c r="G445" s="61"/>
      <c r="H445" s="79"/>
      <c r="I445" s="60"/>
      <c r="J445" s="53"/>
    </row>
    <row r="446" ht="24.75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614</v>
      </c>
      <c r="F446" s="57" t="s">
        <v>34</v>
      </c>
      <c r="G446" s="61"/>
      <c r="H446" s="79"/>
      <c r="I446" s="60"/>
      <c r="J446" s="53"/>
    </row>
    <row r="447" ht="24.75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666</v>
      </c>
      <c r="F447" s="57" t="s">
        <v>34</v>
      </c>
      <c r="G447" s="61"/>
      <c r="H447" s="79"/>
      <c r="I447" s="60"/>
      <c r="J447" s="53"/>
    </row>
    <row r="448" ht="24.75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667</v>
      </c>
      <c r="F448" s="57" t="s">
        <v>34</v>
      </c>
      <c r="G448" s="61"/>
      <c r="H448" s="61"/>
      <c r="I448" s="60"/>
      <c r="J448" s="53"/>
    </row>
    <row r="449" ht="24.75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668</v>
      </c>
      <c r="F449" s="57" t="s">
        <v>154</v>
      </c>
      <c r="G449" s="61"/>
      <c r="H449" s="61"/>
      <c r="I449" s="60"/>
      <c r="J449" s="53"/>
    </row>
    <row r="450" ht="24.75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669</v>
      </c>
      <c r="F450" s="57" t="s">
        <v>154</v>
      </c>
      <c r="G450" s="61"/>
      <c r="H450" s="61"/>
      <c r="I450" s="60"/>
      <c r="J450" s="53"/>
    </row>
    <row r="451" ht="24.75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680</v>
      </c>
      <c r="F451" s="57" t="s">
        <v>154</v>
      </c>
      <c r="G451" s="61"/>
      <c r="H451" s="61"/>
      <c r="I451" s="60"/>
      <c r="J451" s="53"/>
    </row>
    <row r="452" ht="24.75" customHeight="1">
      <c r="A452" s="54" t="s">
        <v>658</v>
      </c>
      <c r="B452" s="56" t="s">
        <v>700</v>
      </c>
      <c r="C452" s="56" t="s">
        <v>645</v>
      </c>
      <c r="D452" s="56" t="s">
        <v>660</v>
      </c>
      <c r="E452" s="56" t="s">
        <v>671</v>
      </c>
      <c r="F452" s="57" t="s">
        <v>154</v>
      </c>
      <c r="G452" s="61"/>
      <c r="H452" s="79"/>
      <c r="I452" s="60"/>
      <c r="J452" s="53"/>
    </row>
    <row r="453" ht="24.75" customHeight="1">
      <c r="A453" s="54" t="s">
        <v>658</v>
      </c>
      <c r="B453" s="56" t="s">
        <v>700</v>
      </c>
      <c r="C453" s="56" t="s">
        <v>645</v>
      </c>
      <c r="D453" s="56" t="s">
        <v>660</v>
      </c>
      <c r="E453" s="56" t="s">
        <v>672</v>
      </c>
      <c r="F453" s="57" t="s">
        <v>154</v>
      </c>
      <c r="G453" s="61"/>
      <c r="H453" s="79"/>
      <c r="I453" s="60"/>
      <c r="J453" s="53"/>
    </row>
    <row r="454" ht="24.75" customHeight="1">
      <c r="A454" s="54" t="s">
        <v>658</v>
      </c>
      <c r="B454" s="56" t="s">
        <v>700</v>
      </c>
      <c r="C454" s="56" t="s">
        <v>645</v>
      </c>
      <c r="D454" s="56" t="s">
        <v>660</v>
      </c>
      <c r="E454" s="56" t="s">
        <v>673</v>
      </c>
      <c r="F454" s="57" t="s">
        <v>154</v>
      </c>
      <c r="G454" s="61"/>
      <c r="H454" s="79"/>
      <c r="I454" s="60"/>
      <c r="J454" s="53"/>
    </row>
    <row r="455" ht="24.75" customHeight="1">
      <c r="A455" s="54" t="s">
        <v>658</v>
      </c>
      <c r="B455" s="56" t="s">
        <v>703</v>
      </c>
      <c r="C455" s="56" t="s">
        <v>645</v>
      </c>
      <c r="D455" s="56" t="s">
        <v>675</v>
      </c>
      <c r="E455" s="56" t="s">
        <v>676</v>
      </c>
      <c r="F455" s="57" t="s">
        <v>34</v>
      </c>
      <c r="G455" s="61"/>
      <c r="H455" s="79"/>
      <c r="I455" s="60"/>
      <c r="J455" s="53"/>
    </row>
    <row r="456" ht="24.75" customHeight="1">
      <c r="A456" s="54" t="s">
        <v>658</v>
      </c>
      <c r="B456" s="56" t="s">
        <v>704</v>
      </c>
      <c r="C456" s="56" t="s">
        <v>645</v>
      </c>
      <c r="D456" s="56" t="s">
        <v>678</v>
      </c>
      <c r="E456" s="56" t="s">
        <v>679</v>
      </c>
      <c r="F456" s="57" t="s">
        <v>34</v>
      </c>
      <c r="G456" s="61"/>
      <c r="H456" s="61" t="s">
        <v>197</v>
      </c>
      <c r="I456" s="60"/>
      <c r="J456" s="53"/>
    </row>
    <row r="457" ht="24.75" customHeight="1">
      <c r="A457" s="54" t="s">
        <v>658</v>
      </c>
      <c r="B457" s="56" t="s">
        <v>704</v>
      </c>
      <c r="C457" s="56" t="s">
        <v>645</v>
      </c>
      <c r="D457" s="56" t="s">
        <v>678</v>
      </c>
      <c r="E457" s="56" t="s">
        <v>680</v>
      </c>
      <c r="F457" s="57" t="s">
        <v>34</v>
      </c>
      <c r="G457" s="61"/>
      <c r="H457" s="79"/>
      <c r="I457" s="60"/>
      <c r="J457" s="53"/>
    </row>
    <row r="458" ht="24.75" customHeight="1">
      <c r="A458" s="54" t="s">
        <v>658</v>
      </c>
      <c r="B458" s="56" t="s">
        <v>704</v>
      </c>
      <c r="C458" s="56" t="s">
        <v>645</v>
      </c>
      <c r="D458" s="56" t="s">
        <v>678</v>
      </c>
      <c r="E458" s="56" t="s">
        <v>682</v>
      </c>
      <c r="F458" s="57" t="s">
        <v>34</v>
      </c>
      <c r="G458" s="61"/>
      <c r="H458" s="79"/>
      <c r="I458" s="60"/>
      <c r="J458" s="53"/>
    </row>
    <row r="459" ht="24.75" customHeight="1">
      <c r="A459" s="54" t="s">
        <v>658</v>
      </c>
      <c r="B459" s="56" t="s">
        <v>704</v>
      </c>
      <c r="C459" s="56" t="s">
        <v>645</v>
      </c>
      <c r="D459" s="56" t="s">
        <v>678</v>
      </c>
      <c r="E459" s="56" t="s">
        <v>683</v>
      </c>
      <c r="F459" s="57" t="s">
        <v>34</v>
      </c>
      <c r="G459" s="61"/>
      <c r="H459" s="79"/>
      <c r="I459" s="60"/>
      <c r="J459" s="53"/>
    </row>
    <row r="460" ht="24.75" hidden="1" customHeight="1">
      <c r="A460" s="54" t="s">
        <v>658</v>
      </c>
      <c r="B460" s="56" t="s">
        <v>704</v>
      </c>
      <c r="C460" s="56" t="s">
        <v>645</v>
      </c>
      <c r="D460" s="56" t="s">
        <v>678</v>
      </c>
      <c r="E460" s="56" t="s">
        <v>684</v>
      </c>
      <c r="F460" s="57" t="s">
        <v>250</v>
      </c>
      <c r="G460" s="61"/>
      <c r="H460" s="61" t="s">
        <v>686</v>
      </c>
      <c r="I460" s="62" t="s">
        <v>687</v>
      </c>
      <c r="J460" s="53"/>
    </row>
    <row r="461" ht="24.75" hidden="1" customHeight="1">
      <c r="A461" s="54" t="s">
        <v>658</v>
      </c>
      <c r="B461" s="56" t="s">
        <v>704</v>
      </c>
      <c r="C461" s="56" t="s">
        <v>645</v>
      </c>
      <c r="D461" s="56" t="s">
        <v>678</v>
      </c>
      <c r="E461" s="56" t="s">
        <v>695</v>
      </c>
      <c r="F461" s="57" t="s">
        <v>250</v>
      </c>
      <c r="G461" s="61"/>
      <c r="H461" s="61" t="s">
        <v>346</v>
      </c>
      <c r="I461" s="62" t="s">
        <v>696</v>
      </c>
      <c r="J461" s="53"/>
    </row>
    <row r="462" ht="24.75" hidden="1" customHeight="1">
      <c r="A462" s="54" t="s">
        <v>658</v>
      </c>
      <c r="B462" s="56" t="s">
        <v>704</v>
      </c>
      <c r="C462" s="56" t="s">
        <v>645</v>
      </c>
      <c r="D462" s="56" t="s">
        <v>678</v>
      </c>
      <c r="E462" s="56" t="s">
        <v>685</v>
      </c>
      <c r="F462" s="57" t="s">
        <v>250</v>
      </c>
      <c r="G462" s="61"/>
      <c r="H462" s="61" t="s">
        <v>200</v>
      </c>
      <c r="I462" s="62" t="s">
        <v>689</v>
      </c>
      <c r="J462" s="53"/>
    </row>
    <row r="463" ht="24.75" customHeight="1">
      <c r="A463" s="54" t="s">
        <v>658</v>
      </c>
      <c r="B463" s="56" t="s">
        <v>705</v>
      </c>
      <c r="C463" s="56" t="s">
        <v>606</v>
      </c>
      <c r="D463" s="56" t="s">
        <v>660</v>
      </c>
      <c r="E463" s="56" t="s">
        <v>661</v>
      </c>
      <c r="F463" s="57" t="s">
        <v>34</v>
      </c>
      <c r="G463" s="61"/>
      <c r="H463" s="79"/>
      <c r="I463" s="60"/>
      <c r="J463" s="53"/>
    </row>
    <row r="464" ht="24.75" customHeight="1">
      <c r="A464" s="54" t="s">
        <v>658</v>
      </c>
      <c r="B464" s="56" t="s">
        <v>705</v>
      </c>
      <c r="C464" s="56" t="s">
        <v>606</v>
      </c>
      <c r="D464" s="56" t="s">
        <v>660</v>
      </c>
      <c r="E464" s="56" t="s">
        <v>662</v>
      </c>
      <c r="F464" s="57" t="s">
        <v>34</v>
      </c>
      <c r="G464" s="61"/>
      <c r="H464" s="61"/>
      <c r="I464" s="60"/>
      <c r="J464" s="53"/>
    </row>
    <row r="465" ht="24.75" customHeight="1">
      <c r="A465" s="54" t="s">
        <v>658</v>
      </c>
      <c r="B465" s="56" t="s">
        <v>705</v>
      </c>
      <c r="C465" s="56" t="s">
        <v>606</v>
      </c>
      <c r="D465" s="56" t="s">
        <v>660</v>
      </c>
      <c r="E465" s="56" t="s">
        <v>663</v>
      </c>
      <c r="F465" s="57" t="s">
        <v>34</v>
      </c>
      <c r="G465" s="61"/>
      <c r="H465" s="61"/>
      <c r="I465" s="60"/>
      <c r="J465" s="53"/>
    </row>
    <row r="466" ht="24.75" customHeight="1">
      <c r="A466" s="54" t="s">
        <v>658</v>
      </c>
      <c r="B466" s="56" t="s">
        <v>705</v>
      </c>
      <c r="C466" s="56" t="s">
        <v>606</v>
      </c>
      <c r="D466" s="56" t="s">
        <v>660</v>
      </c>
      <c r="E466" s="56" t="s">
        <v>664</v>
      </c>
      <c r="F466" s="57" t="s">
        <v>34</v>
      </c>
      <c r="G466" s="61"/>
      <c r="H466" s="79"/>
      <c r="I466" s="60"/>
      <c r="J466" s="53"/>
    </row>
    <row r="467" ht="24.75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665</v>
      </c>
      <c r="F467" s="57" t="s">
        <v>34</v>
      </c>
      <c r="G467" s="61"/>
      <c r="H467" s="79"/>
      <c r="I467" s="86"/>
      <c r="J467" s="53"/>
    </row>
    <row r="468" ht="24.75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614</v>
      </c>
      <c r="F468" s="57" t="s">
        <v>34</v>
      </c>
      <c r="G468" s="61"/>
      <c r="H468" s="79"/>
      <c r="I468" s="60"/>
      <c r="J468" s="53"/>
    </row>
    <row r="469" ht="24.75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666</v>
      </c>
      <c r="F469" s="57" t="s">
        <v>34</v>
      </c>
      <c r="G469" s="61"/>
      <c r="H469" s="79"/>
      <c r="I469" s="60"/>
      <c r="J469" s="53"/>
    </row>
    <row r="470" ht="24.75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667</v>
      </c>
      <c r="F470" s="57" t="s">
        <v>34</v>
      </c>
      <c r="G470" s="61"/>
      <c r="H470" s="61"/>
      <c r="I470" s="60"/>
      <c r="J470" s="53"/>
    </row>
    <row r="471" ht="24.75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668</v>
      </c>
      <c r="F471" s="57" t="s">
        <v>154</v>
      </c>
      <c r="G471" s="61"/>
      <c r="H471" s="61"/>
      <c r="I471" s="60"/>
      <c r="J471" s="53"/>
    </row>
    <row r="472" ht="24.75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669</v>
      </c>
      <c r="F472" s="57" t="s">
        <v>154</v>
      </c>
      <c r="G472" s="61"/>
      <c r="H472" s="61"/>
      <c r="I472" s="60"/>
      <c r="J472" s="53"/>
    </row>
    <row r="473" ht="24.75" customHeight="1">
      <c r="A473" s="54" t="s">
        <v>658</v>
      </c>
      <c r="B473" s="56" t="s">
        <v>705</v>
      </c>
      <c r="C473" s="56" t="s">
        <v>606</v>
      </c>
      <c r="D473" s="56" t="s">
        <v>660</v>
      </c>
      <c r="E473" s="56" t="s">
        <v>671</v>
      </c>
      <c r="F473" s="57" t="s">
        <v>154</v>
      </c>
      <c r="G473" s="61"/>
      <c r="H473" s="61"/>
      <c r="I473" s="60"/>
      <c r="J473" s="53"/>
    </row>
    <row r="474" ht="24.75" customHeight="1">
      <c r="A474" s="54" t="s">
        <v>658</v>
      </c>
      <c r="B474" s="56" t="s">
        <v>705</v>
      </c>
      <c r="C474" s="56" t="s">
        <v>606</v>
      </c>
      <c r="D474" s="56" t="s">
        <v>660</v>
      </c>
      <c r="E474" s="56" t="s">
        <v>672</v>
      </c>
      <c r="F474" s="57" t="s">
        <v>154</v>
      </c>
      <c r="G474" s="61"/>
      <c r="H474" s="61"/>
      <c r="I474" s="60"/>
      <c r="J474" s="53"/>
    </row>
    <row r="475" ht="24.75" customHeight="1">
      <c r="A475" s="54" t="s">
        <v>658</v>
      </c>
      <c r="B475" s="56" t="s">
        <v>705</v>
      </c>
      <c r="C475" s="56" t="s">
        <v>606</v>
      </c>
      <c r="D475" s="56" t="s">
        <v>660</v>
      </c>
      <c r="E475" s="56" t="s">
        <v>673</v>
      </c>
      <c r="F475" s="57" t="s">
        <v>154</v>
      </c>
      <c r="G475" s="61"/>
      <c r="H475" s="79"/>
      <c r="I475" s="60"/>
      <c r="J475" s="53"/>
    </row>
    <row r="476" ht="24.75" customHeight="1">
      <c r="A476" s="54" t="s">
        <v>658</v>
      </c>
      <c r="B476" s="56" t="s">
        <v>714</v>
      </c>
      <c r="C476" s="56" t="s">
        <v>606</v>
      </c>
      <c r="D476" s="56" t="s">
        <v>675</v>
      </c>
      <c r="E476" s="56" t="s">
        <v>676</v>
      </c>
      <c r="F476" s="57" t="s">
        <v>34</v>
      </c>
      <c r="G476" s="61"/>
      <c r="H476" s="79"/>
      <c r="I476" s="60"/>
      <c r="J476" s="53"/>
    </row>
    <row r="477" ht="24.75" customHeight="1">
      <c r="A477" s="54" t="s">
        <v>658</v>
      </c>
      <c r="B477" s="56" t="s">
        <v>715</v>
      </c>
      <c r="C477" s="56" t="s">
        <v>606</v>
      </c>
      <c r="D477" s="56" t="s">
        <v>716</v>
      </c>
      <c r="E477" s="56" t="s">
        <v>679</v>
      </c>
      <c r="F477" s="57" t="s">
        <v>34</v>
      </c>
      <c r="G477" s="61"/>
      <c r="H477" s="61" t="s">
        <v>197</v>
      </c>
      <c r="I477" s="60"/>
      <c r="J477" s="53"/>
    </row>
    <row r="478" ht="24.75" customHeight="1">
      <c r="A478" s="54" t="s">
        <v>658</v>
      </c>
      <c r="B478" s="56" t="s">
        <v>715</v>
      </c>
      <c r="C478" s="56" t="s">
        <v>606</v>
      </c>
      <c r="D478" s="56" t="s">
        <v>678</v>
      </c>
      <c r="E478" s="56" t="s">
        <v>680</v>
      </c>
      <c r="F478" s="57" t="s">
        <v>34</v>
      </c>
      <c r="G478" s="61"/>
      <c r="H478" s="79"/>
      <c r="I478" s="60"/>
      <c r="J478" s="53"/>
    </row>
    <row r="479" ht="24.75" customHeight="1">
      <c r="A479" s="54" t="s">
        <v>658</v>
      </c>
      <c r="B479" s="56" t="s">
        <v>715</v>
      </c>
      <c r="C479" s="56" t="s">
        <v>606</v>
      </c>
      <c r="D479" s="56" t="s">
        <v>716</v>
      </c>
      <c r="E479" s="56" t="s">
        <v>682</v>
      </c>
      <c r="F479" s="57" t="s">
        <v>34</v>
      </c>
      <c r="G479" s="61"/>
      <c r="H479" s="79"/>
      <c r="I479" s="60"/>
      <c r="J479" s="53"/>
    </row>
    <row r="480" ht="24.75" customHeight="1">
      <c r="A480" s="54" t="s">
        <v>658</v>
      </c>
      <c r="B480" s="56" t="s">
        <v>715</v>
      </c>
      <c r="C480" s="56" t="s">
        <v>606</v>
      </c>
      <c r="D480" s="56" t="s">
        <v>716</v>
      </c>
      <c r="E480" s="56" t="s">
        <v>683</v>
      </c>
      <c r="F480" s="57" t="s">
        <v>34</v>
      </c>
      <c r="G480" s="61"/>
      <c r="H480" s="79"/>
      <c r="I480" s="60"/>
      <c r="J480" s="53"/>
    </row>
    <row r="481" ht="24.75" hidden="1" customHeight="1">
      <c r="A481" s="54" t="s">
        <v>658</v>
      </c>
      <c r="B481" s="56" t="s">
        <v>715</v>
      </c>
      <c r="C481" s="56" t="s">
        <v>606</v>
      </c>
      <c r="D481" s="56" t="s">
        <v>716</v>
      </c>
      <c r="E481" s="56" t="s">
        <v>684</v>
      </c>
      <c r="F481" s="57" t="s">
        <v>250</v>
      </c>
      <c r="G481" s="61"/>
      <c r="H481" s="61" t="s">
        <v>686</v>
      </c>
      <c r="I481" s="62" t="s">
        <v>687</v>
      </c>
      <c r="J481" s="53"/>
    </row>
    <row r="482" ht="24.75" hidden="1" customHeight="1">
      <c r="A482" s="54" t="s">
        <v>658</v>
      </c>
      <c r="B482" s="56" t="s">
        <v>715</v>
      </c>
      <c r="C482" s="56" t="s">
        <v>606</v>
      </c>
      <c r="D482" s="56" t="s">
        <v>716</v>
      </c>
      <c r="E482" s="56" t="s">
        <v>695</v>
      </c>
      <c r="F482" s="57" t="s">
        <v>250</v>
      </c>
      <c r="G482" s="61"/>
      <c r="H482" s="61" t="s">
        <v>346</v>
      </c>
      <c r="I482" s="62" t="s">
        <v>696</v>
      </c>
      <c r="J482" s="53"/>
    </row>
    <row r="483" ht="24.75" hidden="1" customHeight="1">
      <c r="A483" s="54" t="s">
        <v>658</v>
      </c>
      <c r="B483" s="56" t="s">
        <v>715</v>
      </c>
      <c r="C483" s="56" t="s">
        <v>606</v>
      </c>
      <c r="D483" s="56" t="s">
        <v>716</v>
      </c>
      <c r="E483" s="56" t="s">
        <v>685</v>
      </c>
      <c r="F483" s="57" t="s">
        <v>250</v>
      </c>
      <c r="G483" s="61"/>
      <c r="H483" s="61" t="s">
        <v>200</v>
      </c>
      <c r="I483" s="62" t="s">
        <v>689</v>
      </c>
      <c r="J483" s="53"/>
    </row>
    <row r="484" ht="24.75" customHeight="1">
      <c r="A484" s="54" t="s">
        <v>658</v>
      </c>
      <c r="B484" s="56" t="s">
        <v>717</v>
      </c>
      <c r="C484" s="56" t="s">
        <v>718</v>
      </c>
      <c r="D484" s="56" t="s">
        <v>719</v>
      </c>
      <c r="E484" s="56" t="s">
        <v>239</v>
      </c>
      <c r="F484" s="57" t="s">
        <v>154</v>
      </c>
      <c r="G484" s="61"/>
      <c r="H484" s="79"/>
      <c r="I484" s="60"/>
      <c r="J484" s="53"/>
    </row>
    <row r="485" ht="24.75" customHeight="1">
      <c r="A485" s="54" t="s">
        <v>658</v>
      </c>
      <c r="B485" s="56" t="s">
        <v>720</v>
      </c>
      <c r="C485" s="56" t="s">
        <v>718</v>
      </c>
      <c r="D485" s="56" t="s">
        <v>721</v>
      </c>
      <c r="E485" s="56" t="s">
        <v>722</v>
      </c>
      <c r="F485" s="57" t="s">
        <v>154</v>
      </c>
      <c r="G485" s="61"/>
      <c r="H485" s="79"/>
      <c r="I485" s="60"/>
      <c r="J485" s="53"/>
    </row>
    <row r="486" ht="24.75" customHeight="1">
      <c r="A486" s="54" t="s">
        <v>658</v>
      </c>
      <c r="B486" s="56" t="s">
        <v>720</v>
      </c>
      <c r="C486" s="56" t="s">
        <v>718</v>
      </c>
      <c r="D486" s="56" t="s">
        <v>721</v>
      </c>
      <c r="E486" s="56" t="s">
        <v>723</v>
      </c>
      <c r="F486" s="57" t="s">
        <v>154</v>
      </c>
      <c r="G486" s="61"/>
      <c r="H486" s="79"/>
      <c r="I486" s="60"/>
      <c r="J486" s="53"/>
    </row>
    <row r="487" ht="24.75" customHeight="1">
      <c r="A487" s="54" t="s">
        <v>658</v>
      </c>
      <c r="B487" s="56" t="s">
        <v>724</v>
      </c>
      <c r="C487" s="56" t="s">
        <v>718</v>
      </c>
      <c r="D487" s="56" t="s">
        <v>725</v>
      </c>
      <c r="E487" s="56" t="s">
        <v>239</v>
      </c>
      <c r="F487" s="57" t="s">
        <v>154</v>
      </c>
      <c r="G487" s="61"/>
      <c r="H487" s="79"/>
      <c r="I487" s="60"/>
      <c r="J487" s="53"/>
    </row>
    <row r="488" ht="24.75" customHeight="1">
      <c r="A488" s="54" t="s">
        <v>658</v>
      </c>
      <c r="B488" s="56" t="s">
        <v>720</v>
      </c>
      <c r="C488" s="56" t="s">
        <v>718</v>
      </c>
      <c r="D488" s="56" t="s">
        <v>728</v>
      </c>
      <c r="E488" s="56" t="s">
        <v>722</v>
      </c>
      <c r="F488" s="57" t="s">
        <v>154</v>
      </c>
      <c r="G488" s="61"/>
      <c r="H488" s="79"/>
      <c r="I488" s="60"/>
      <c r="J488" s="53"/>
    </row>
    <row r="489" ht="24.75" customHeight="1">
      <c r="A489" s="54" t="s">
        <v>658</v>
      </c>
      <c r="B489" s="56" t="s">
        <v>720</v>
      </c>
      <c r="C489" s="56" t="s">
        <v>718</v>
      </c>
      <c r="D489" s="56" t="s">
        <v>728</v>
      </c>
      <c r="E489" s="56" t="s">
        <v>723</v>
      </c>
      <c r="F489" s="57" t="s">
        <v>154</v>
      </c>
      <c r="G489" s="61"/>
      <c r="H489" s="79"/>
      <c r="I489" s="60"/>
      <c r="J489" s="53"/>
    </row>
    <row r="490" ht="24.75" customHeight="1">
      <c r="A490" s="54" t="s">
        <v>729</v>
      </c>
      <c r="B490" s="56" t="s">
        <v>730</v>
      </c>
      <c r="C490" s="56" t="s">
        <v>731</v>
      </c>
      <c r="D490" s="56" t="s">
        <v>732</v>
      </c>
      <c r="E490" s="56" t="s">
        <v>167</v>
      </c>
      <c r="F490" s="57" t="s">
        <v>154</v>
      </c>
      <c r="G490" s="61"/>
      <c r="H490" s="61"/>
      <c r="I490" s="60"/>
      <c r="J490" s="53"/>
    </row>
    <row r="491" ht="24.75" customHeight="1">
      <c r="A491" s="54" t="s">
        <v>729</v>
      </c>
      <c r="B491" s="56" t="s">
        <v>730</v>
      </c>
      <c r="C491" s="56" t="s">
        <v>731</v>
      </c>
      <c r="D491" s="56" t="s">
        <v>732</v>
      </c>
      <c r="E491" s="56" t="s">
        <v>733</v>
      </c>
      <c r="F491" s="57" t="s">
        <v>154</v>
      </c>
      <c r="G491" s="61"/>
      <c r="H491" s="61"/>
      <c r="I491" s="60"/>
      <c r="J491" s="53"/>
    </row>
    <row r="492" ht="24.75" customHeight="1">
      <c r="A492" s="54" t="s">
        <v>729</v>
      </c>
      <c r="B492" s="56" t="s">
        <v>730</v>
      </c>
      <c r="C492" s="56" t="s">
        <v>731</v>
      </c>
      <c r="D492" s="56" t="s">
        <v>732</v>
      </c>
      <c r="E492" s="56" t="s">
        <v>176</v>
      </c>
      <c r="F492" s="57" t="s">
        <v>154</v>
      </c>
      <c r="G492" s="61"/>
      <c r="H492" s="61"/>
      <c r="I492" s="60"/>
      <c r="J492" s="53"/>
    </row>
    <row r="493" ht="24.75" customHeight="1">
      <c r="A493" s="54" t="s">
        <v>729</v>
      </c>
      <c r="B493" s="56" t="s">
        <v>734</v>
      </c>
      <c r="C493" s="56" t="s">
        <v>731</v>
      </c>
      <c r="D493" s="56" t="s">
        <v>735</v>
      </c>
      <c r="E493" s="56" t="s">
        <v>167</v>
      </c>
      <c r="F493" s="57" t="s">
        <v>154</v>
      </c>
      <c r="G493" s="61"/>
      <c r="H493" s="61"/>
      <c r="I493" s="60"/>
      <c r="J493" s="53"/>
    </row>
    <row r="494" ht="24.75" customHeight="1">
      <c r="A494" s="54" t="s">
        <v>729</v>
      </c>
      <c r="B494" s="56" t="s">
        <v>734</v>
      </c>
      <c r="C494" s="56" t="s">
        <v>731</v>
      </c>
      <c r="D494" s="56" t="s">
        <v>735</v>
      </c>
      <c r="E494" s="56" t="s">
        <v>733</v>
      </c>
      <c r="F494" s="57" t="s">
        <v>154</v>
      </c>
      <c r="G494" s="61"/>
      <c r="H494" s="61"/>
      <c r="I494" s="60"/>
      <c r="J494" s="53"/>
    </row>
    <row r="495" ht="24.75" customHeight="1">
      <c r="A495" s="54" t="s">
        <v>729</v>
      </c>
      <c r="B495" s="56" t="s">
        <v>734</v>
      </c>
      <c r="C495" s="56" t="s">
        <v>731</v>
      </c>
      <c r="D495" s="56" t="s">
        <v>735</v>
      </c>
      <c r="E495" s="56" t="s">
        <v>176</v>
      </c>
      <c r="F495" s="57" t="s">
        <v>154</v>
      </c>
      <c r="G495" s="61"/>
      <c r="H495" s="61"/>
      <c r="I495" s="60"/>
      <c r="J495" s="53"/>
    </row>
    <row r="496" ht="24.75" customHeight="1">
      <c r="A496" s="54" t="s">
        <v>729</v>
      </c>
      <c r="B496" s="56" t="s">
        <v>736</v>
      </c>
      <c r="C496" s="56" t="s">
        <v>731</v>
      </c>
      <c r="D496" s="56" t="s">
        <v>737</v>
      </c>
      <c r="E496" s="56" t="s">
        <v>167</v>
      </c>
      <c r="F496" s="57" t="s">
        <v>154</v>
      </c>
      <c r="G496" s="61"/>
      <c r="H496" s="61"/>
      <c r="I496" s="60"/>
      <c r="J496" s="53"/>
    </row>
    <row r="497" ht="24.75" customHeight="1">
      <c r="A497" s="54" t="s">
        <v>729</v>
      </c>
      <c r="B497" s="56" t="s">
        <v>736</v>
      </c>
      <c r="C497" s="56" t="s">
        <v>731</v>
      </c>
      <c r="D497" s="56" t="s">
        <v>737</v>
      </c>
      <c r="E497" s="56" t="s">
        <v>733</v>
      </c>
      <c r="F497" s="57" t="s">
        <v>154</v>
      </c>
      <c r="G497" s="61"/>
      <c r="H497" s="61"/>
      <c r="I497" s="60"/>
      <c r="J497" s="53"/>
    </row>
    <row r="498" ht="24.75" customHeight="1">
      <c r="A498" s="54" t="s">
        <v>729</v>
      </c>
      <c r="B498" s="56" t="s">
        <v>736</v>
      </c>
      <c r="C498" s="56" t="s">
        <v>731</v>
      </c>
      <c r="D498" s="56" t="s">
        <v>737</v>
      </c>
      <c r="E498" s="56" t="s">
        <v>176</v>
      </c>
      <c r="F498" s="57" t="s">
        <v>154</v>
      </c>
      <c r="G498" s="61"/>
      <c r="H498" s="61"/>
      <c r="I498" s="60"/>
      <c r="J498" s="53"/>
    </row>
    <row r="499" ht="24.75" customHeight="1">
      <c r="A499" s="54" t="s">
        <v>729</v>
      </c>
      <c r="B499" s="56" t="s">
        <v>738</v>
      </c>
      <c r="C499" s="56" t="s">
        <v>731</v>
      </c>
      <c r="D499" s="56" t="s">
        <v>175</v>
      </c>
      <c r="E499" s="56" t="s">
        <v>163</v>
      </c>
      <c r="F499" s="57" t="s">
        <v>154</v>
      </c>
      <c r="G499" s="61"/>
      <c r="H499" s="61"/>
      <c r="I499" s="60"/>
      <c r="J499" s="53"/>
    </row>
    <row r="500" ht="24.75" customHeight="1">
      <c r="A500" s="54" t="s">
        <v>729</v>
      </c>
      <c r="B500" s="56" t="s">
        <v>738</v>
      </c>
      <c r="C500" s="56" t="s">
        <v>731</v>
      </c>
      <c r="D500" s="56" t="s">
        <v>175</v>
      </c>
      <c r="E500" s="56" t="s">
        <v>176</v>
      </c>
      <c r="F500" s="57" t="s">
        <v>154</v>
      </c>
      <c r="G500" s="61"/>
      <c r="H500" s="61"/>
      <c r="I500" s="60"/>
      <c r="J500" s="53"/>
    </row>
    <row r="501" ht="24.75" customHeight="1">
      <c r="A501" s="54" t="s">
        <v>729</v>
      </c>
      <c r="B501" s="56" t="s">
        <v>739</v>
      </c>
      <c r="C501" s="56" t="s">
        <v>731</v>
      </c>
      <c r="D501" s="56" t="s">
        <v>186</v>
      </c>
      <c r="E501" s="56" t="s">
        <v>163</v>
      </c>
      <c r="F501" s="57" t="s">
        <v>154</v>
      </c>
      <c r="G501" s="61"/>
      <c r="H501" s="61"/>
      <c r="I501" s="60"/>
      <c r="J501" s="53"/>
    </row>
    <row r="502" ht="24.75" customHeight="1">
      <c r="A502" s="54" t="s">
        <v>729</v>
      </c>
      <c r="B502" s="56" t="s">
        <v>739</v>
      </c>
      <c r="C502" s="56" t="s">
        <v>731</v>
      </c>
      <c r="D502" s="56" t="s">
        <v>186</v>
      </c>
      <c r="E502" s="56" t="s">
        <v>176</v>
      </c>
      <c r="F502" s="57" t="s">
        <v>154</v>
      </c>
      <c r="G502" s="61"/>
      <c r="H502" s="61"/>
      <c r="I502" s="60"/>
      <c r="J502" s="53"/>
    </row>
    <row r="503" ht="24.75" customHeight="1">
      <c r="A503" s="54" t="s">
        <v>729</v>
      </c>
      <c r="B503" s="56" t="s">
        <v>740</v>
      </c>
      <c r="C503" s="56" t="s">
        <v>731</v>
      </c>
      <c r="D503" s="56" t="s">
        <v>183</v>
      </c>
      <c r="E503" s="56" t="s">
        <v>163</v>
      </c>
      <c r="F503" s="57" t="s">
        <v>154</v>
      </c>
      <c r="G503" s="61"/>
      <c r="H503" s="61"/>
      <c r="I503" s="60"/>
      <c r="J503" s="53"/>
    </row>
    <row r="504" ht="24.75" customHeight="1">
      <c r="A504" s="54" t="s">
        <v>729</v>
      </c>
      <c r="B504" s="56" t="s">
        <v>740</v>
      </c>
      <c r="C504" s="56" t="s">
        <v>731</v>
      </c>
      <c r="D504" s="56" t="s">
        <v>183</v>
      </c>
      <c r="E504" s="56" t="s">
        <v>176</v>
      </c>
      <c r="F504" s="57" t="s">
        <v>154</v>
      </c>
      <c r="G504" s="61"/>
      <c r="H504" s="61"/>
      <c r="I504" s="60"/>
      <c r="J504" s="53"/>
    </row>
    <row r="505" ht="24.75" customHeight="1">
      <c r="A505" s="54" t="s">
        <v>741</v>
      </c>
      <c r="B505" s="56" t="s">
        <v>742</v>
      </c>
      <c r="C505" s="56" t="s">
        <v>405</v>
      </c>
      <c r="D505" s="56" t="s">
        <v>743</v>
      </c>
      <c r="E505" s="56" t="s">
        <v>409</v>
      </c>
      <c r="F505" s="57" t="s">
        <v>154</v>
      </c>
      <c r="G505" s="61"/>
      <c r="H505" s="61"/>
      <c r="I505" s="60"/>
      <c r="J505" s="53"/>
    </row>
    <row r="506" ht="24.75" customHeight="1">
      <c r="A506" s="54" t="s">
        <v>741</v>
      </c>
      <c r="B506" s="56" t="s">
        <v>744</v>
      </c>
      <c r="C506" s="56" t="s">
        <v>745</v>
      </c>
      <c r="D506" s="56" t="s">
        <v>746</v>
      </c>
      <c r="E506" s="56" t="s">
        <v>747</v>
      </c>
      <c r="F506" s="57" t="s">
        <v>34</v>
      </c>
      <c r="G506" s="61"/>
      <c r="H506" s="61"/>
      <c r="I506" s="60"/>
      <c r="J506" s="53"/>
    </row>
    <row r="507" ht="24.75" customHeight="1">
      <c r="A507" s="54" t="s">
        <v>741</v>
      </c>
      <c r="B507" s="56" t="s">
        <v>744</v>
      </c>
      <c r="C507" s="56" t="s">
        <v>745</v>
      </c>
      <c r="D507" s="56" t="s">
        <v>746</v>
      </c>
      <c r="E507" s="56" t="s">
        <v>748</v>
      </c>
      <c r="F507" s="57" t="s">
        <v>154</v>
      </c>
      <c r="G507" s="61"/>
      <c r="H507" s="61"/>
      <c r="I507" s="60"/>
      <c r="J507" s="53"/>
    </row>
    <row r="508" ht="24.75" customHeight="1">
      <c r="A508" s="54" t="s">
        <v>741</v>
      </c>
      <c r="B508" s="56" t="s">
        <v>749</v>
      </c>
      <c r="C508" s="56" t="s">
        <v>745</v>
      </c>
      <c r="D508" s="56" t="s">
        <v>750</v>
      </c>
      <c r="E508" s="56" t="s">
        <v>747</v>
      </c>
      <c r="F508" s="57" t="s">
        <v>34</v>
      </c>
      <c r="G508" s="61"/>
      <c r="H508" s="61"/>
      <c r="I508" s="60"/>
      <c r="J508" s="53"/>
    </row>
    <row r="509" ht="24.75" customHeight="1">
      <c r="A509" s="54" t="s">
        <v>741</v>
      </c>
      <c r="B509" s="56" t="s">
        <v>749</v>
      </c>
      <c r="C509" s="56" t="s">
        <v>745</v>
      </c>
      <c r="D509" s="56" t="s">
        <v>750</v>
      </c>
      <c r="E509" s="56" t="s">
        <v>748</v>
      </c>
      <c r="F509" s="57" t="s">
        <v>154</v>
      </c>
      <c r="G509" s="61"/>
      <c r="H509" s="61"/>
      <c r="I509" s="60"/>
      <c r="J509" s="53"/>
    </row>
    <row r="510" ht="24.75" customHeight="1">
      <c r="A510" s="54" t="s">
        <v>741</v>
      </c>
      <c r="B510" s="56" t="s">
        <v>751</v>
      </c>
      <c r="C510" s="56" t="s">
        <v>610</v>
      </c>
      <c r="D510" s="56" t="s">
        <v>752</v>
      </c>
      <c r="E510" s="56" t="s">
        <v>753</v>
      </c>
      <c r="F510" s="57" t="s">
        <v>154</v>
      </c>
      <c r="G510" s="61"/>
      <c r="H510" s="61"/>
      <c r="I510" s="60"/>
      <c r="J510" s="53"/>
    </row>
    <row r="511" ht="24.75" customHeight="1">
      <c r="A511" s="54" t="s">
        <v>741</v>
      </c>
      <c r="B511" s="56" t="s">
        <v>751</v>
      </c>
      <c r="C511" s="56" t="s">
        <v>610</v>
      </c>
      <c r="D511" s="56" t="s">
        <v>752</v>
      </c>
      <c r="E511" s="56" t="s">
        <v>754</v>
      </c>
      <c r="F511" s="57" t="s">
        <v>154</v>
      </c>
      <c r="G511" s="61"/>
      <c r="H511" s="61"/>
      <c r="I511" s="60"/>
      <c r="J511" s="53"/>
    </row>
    <row r="512" ht="24.75" customHeight="1">
      <c r="A512" s="54" t="s">
        <v>741</v>
      </c>
      <c r="B512" s="56" t="s">
        <v>751</v>
      </c>
      <c r="C512" s="56" t="s">
        <v>610</v>
      </c>
      <c r="D512" s="56" t="s">
        <v>752</v>
      </c>
      <c r="E512" s="56" t="s">
        <v>755</v>
      </c>
      <c r="F512" s="57" t="s">
        <v>154</v>
      </c>
      <c r="G512" s="61"/>
      <c r="H512" s="61"/>
      <c r="I512" s="60"/>
      <c r="J512" s="53"/>
    </row>
    <row r="513" ht="24.75" customHeight="1">
      <c r="A513" s="54" t="s">
        <v>741</v>
      </c>
      <c r="B513" s="56" t="s">
        <v>756</v>
      </c>
      <c r="C513" s="56" t="s">
        <v>624</v>
      </c>
      <c r="D513" s="56" t="s">
        <v>752</v>
      </c>
      <c r="E513" s="56" t="s">
        <v>753</v>
      </c>
      <c r="F513" s="57" t="s">
        <v>154</v>
      </c>
      <c r="G513" s="61"/>
      <c r="H513" s="61"/>
      <c r="I513" s="60"/>
      <c r="J513" s="53"/>
    </row>
    <row r="514" ht="24.75" customHeight="1">
      <c r="A514" s="54" t="s">
        <v>741</v>
      </c>
      <c r="B514" s="56" t="s">
        <v>756</v>
      </c>
      <c r="C514" s="56" t="s">
        <v>624</v>
      </c>
      <c r="D514" s="56" t="s">
        <v>752</v>
      </c>
      <c r="E514" s="56" t="s">
        <v>754</v>
      </c>
      <c r="F514" s="57" t="s">
        <v>154</v>
      </c>
      <c r="G514" s="61"/>
      <c r="H514" s="61"/>
      <c r="I514" s="60"/>
      <c r="J514" s="53"/>
    </row>
    <row r="515" ht="24.75" customHeight="1">
      <c r="A515" s="54" t="s">
        <v>741</v>
      </c>
      <c r="B515" s="56" t="s">
        <v>756</v>
      </c>
      <c r="C515" s="56" t="s">
        <v>624</v>
      </c>
      <c r="D515" s="56" t="s">
        <v>752</v>
      </c>
      <c r="E515" s="56" t="s">
        <v>755</v>
      </c>
      <c r="F515" s="57" t="s">
        <v>154</v>
      </c>
      <c r="G515" s="61"/>
      <c r="H515" s="61"/>
      <c r="I515" s="60"/>
      <c r="J515" s="53"/>
    </row>
    <row r="516" ht="24.75" hidden="1" customHeight="1">
      <c r="A516" s="54" t="s">
        <v>741</v>
      </c>
      <c r="B516" s="56" t="s">
        <v>757</v>
      </c>
      <c r="C516" s="56" t="s">
        <v>627</v>
      </c>
      <c r="D516" s="56" t="s">
        <v>752</v>
      </c>
      <c r="E516" s="56" t="s">
        <v>753</v>
      </c>
      <c r="F516" s="57" t="s">
        <v>250</v>
      </c>
      <c r="G516" s="61"/>
      <c r="H516" s="61"/>
      <c r="I516" s="60" t="s">
        <v>88</v>
      </c>
      <c r="J516" s="53"/>
    </row>
    <row r="517" ht="24.75" hidden="1" customHeight="1">
      <c r="A517" s="54" t="s">
        <v>741</v>
      </c>
      <c r="B517" s="56" t="s">
        <v>757</v>
      </c>
      <c r="C517" s="56" t="s">
        <v>627</v>
      </c>
      <c r="D517" s="56" t="s">
        <v>752</v>
      </c>
      <c r="E517" s="56" t="s">
        <v>754</v>
      </c>
      <c r="F517" s="57" t="s">
        <v>250</v>
      </c>
      <c r="G517" s="61"/>
      <c r="H517" s="61"/>
      <c r="I517" s="60" t="s">
        <v>88</v>
      </c>
      <c r="J517" s="53"/>
    </row>
    <row r="518" ht="24.75" hidden="1" customHeight="1">
      <c r="A518" s="54" t="s">
        <v>741</v>
      </c>
      <c r="B518" s="56" t="s">
        <v>757</v>
      </c>
      <c r="C518" s="56" t="s">
        <v>627</v>
      </c>
      <c r="D518" s="56" t="s">
        <v>752</v>
      </c>
      <c r="E518" s="56" t="s">
        <v>755</v>
      </c>
      <c r="F518" s="57" t="s">
        <v>250</v>
      </c>
      <c r="G518" s="61"/>
      <c r="H518" s="61"/>
      <c r="I518" s="60" t="s">
        <v>88</v>
      </c>
      <c r="J518" s="53"/>
    </row>
    <row r="519" ht="24.75" hidden="1" customHeight="1">
      <c r="A519" s="54" t="s">
        <v>741</v>
      </c>
      <c r="B519" s="56" t="s">
        <v>758</v>
      </c>
      <c r="C519" s="56" t="s">
        <v>640</v>
      </c>
      <c r="D519" s="56" t="s">
        <v>752</v>
      </c>
      <c r="E519" s="56" t="s">
        <v>753</v>
      </c>
      <c r="F519" s="57" t="s">
        <v>250</v>
      </c>
      <c r="G519" s="61"/>
      <c r="H519" s="61"/>
      <c r="I519" s="60" t="s">
        <v>88</v>
      </c>
      <c r="J519" s="53"/>
    </row>
    <row r="520" ht="24.75" hidden="1" customHeight="1">
      <c r="A520" s="54" t="s">
        <v>741</v>
      </c>
      <c r="B520" s="56" t="s">
        <v>758</v>
      </c>
      <c r="C520" s="56" t="s">
        <v>640</v>
      </c>
      <c r="D520" s="56" t="s">
        <v>752</v>
      </c>
      <c r="E520" s="56" t="s">
        <v>754</v>
      </c>
      <c r="F520" s="57" t="s">
        <v>250</v>
      </c>
      <c r="G520" s="61"/>
      <c r="H520" s="61"/>
      <c r="I520" s="60" t="s">
        <v>88</v>
      </c>
      <c r="J520" s="53"/>
    </row>
    <row r="521" ht="24.75" hidden="1" customHeight="1">
      <c r="A521" s="54" t="s">
        <v>741</v>
      </c>
      <c r="B521" s="56" t="s">
        <v>758</v>
      </c>
      <c r="C521" s="56" t="s">
        <v>640</v>
      </c>
      <c r="D521" s="56" t="s">
        <v>752</v>
      </c>
      <c r="E521" s="56" t="s">
        <v>755</v>
      </c>
      <c r="F521" s="57" t="s">
        <v>250</v>
      </c>
      <c r="G521" s="61"/>
      <c r="H521" s="61"/>
      <c r="I521" s="60" t="s">
        <v>88</v>
      </c>
      <c r="J521" s="53"/>
    </row>
    <row r="522" ht="24.75" hidden="1" customHeight="1">
      <c r="A522" s="54" t="s">
        <v>741</v>
      </c>
      <c r="B522" s="56" t="s">
        <v>759</v>
      </c>
      <c r="C522" s="56" t="s">
        <v>645</v>
      </c>
      <c r="D522" s="56" t="s">
        <v>752</v>
      </c>
      <c r="E522" s="56" t="s">
        <v>753</v>
      </c>
      <c r="F522" s="57" t="s">
        <v>250</v>
      </c>
      <c r="G522" s="61"/>
      <c r="H522" s="61"/>
      <c r="I522" s="60" t="s">
        <v>88</v>
      </c>
      <c r="J522" s="53"/>
    </row>
    <row r="523" ht="24.75" hidden="1" customHeight="1">
      <c r="A523" s="54" t="s">
        <v>741</v>
      </c>
      <c r="B523" s="56" t="s">
        <v>759</v>
      </c>
      <c r="C523" s="56" t="s">
        <v>645</v>
      </c>
      <c r="D523" s="56" t="s">
        <v>752</v>
      </c>
      <c r="E523" s="56" t="s">
        <v>754</v>
      </c>
      <c r="F523" s="57" t="s">
        <v>250</v>
      </c>
      <c r="G523" s="61"/>
      <c r="H523" s="61"/>
      <c r="I523" s="60" t="s">
        <v>88</v>
      </c>
      <c r="J523" s="53"/>
    </row>
    <row r="524" ht="24.75" hidden="1" customHeight="1">
      <c r="A524" s="54" t="s">
        <v>741</v>
      </c>
      <c r="B524" s="56" t="s">
        <v>759</v>
      </c>
      <c r="C524" s="56" t="s">
        <v>645</v>
      </c>
      <c r="D524" s="56" t="s">
        <v>752</v>
      </c>
      <c r="E524" s="56" t="s">
        <v>755</v>
      </c>
      <c r="F524" s="57" t="s">
        <v>250</v>
      </c>
      <c r="G524" s="61"/>
      <c r="H524" s="61"/>
      <c r="I524" s="60" t="s">
        <v>88</v>
      </c>
      <c r="J524" s="53"/>
    </row>
    <row r="525" ht="24.75" hidden="1" customHeight="1">
      <c r="A525" s="54" t="s">
        <v>741</v>
      </c>
      <c r="B525" s="56" t="s">
        <v>760</v>
      </c>
      <c r="C525" s="56" t="s">
        <v>606</v>
      </c>
      <c r="D525" s="56" t="s">
        <v>752</v>
      </c>
      <c r="E525" s="56" t="s">
        <v>753</v>
      </c>
      <c r="F525" s="57" t="s">
        <v>250</v>
      </c>
      <c r="G525" s="61"/>
      <c r="H525" s="61"/>
      <c r="I525" s="60" t="s">
        <v>88</v>
      </c>
      <c r="J525" s="53"/>
    </row>
    <row r="526" ht="24.75" hidden="1" customHeight="1">
      <c r="A526" s="54" t="s">
        <v>741</v>
      </c>
      <c r="B526" s="56" t="s">
        <v>760</v>
      </c>
      <c r="C526" s="56" t="s">
        <v>606</v>
      </c>
      <c r="D526" s="56" t="s">
        <v>752</v>
      </c>
      <c r="E526" s="56" t="s">
        <v>754</v>
      </c>
      <c r="F526" s="57" t="s">
        <v>250</v>
      </c>
      <c r="G526" s="61"/>
      <c r="H526" s="61"/>
      <c r="I526" s="60" t="s">
        <v>88</v>
      </c>
      <c r="J526" s="53"/>
    </row>
    <row r="527" ht="24.75" hidden="1" customHeight="1">
      <c r="A527" s="54" t="s">
        <v>741</v>
      </c>
      <c r="B527" s="56" t="s">
        <v>760</v>
      </c>
      <c r="C527" s="56" t="s">
        <v>606</v>
      </c>
      <c r="D527" s="56" t="s">
        <v>752</v>
      </c>
      <c r="E527" s="56" t="s">
        <v>755</v>
      </c>
      <c r="F527" s="57" t="s">
        <v>250</v>
      </c>
      <c r="G527" s="61"/>
      <c r="H527" s="61"/>
      <c r="I527" s="60" t="s">
        <v>88</v>
      </c>
      <c r="J527" s="53"/>
    </row>
    <row r="528" ht="24.75" customHeight="1">
      <c r="A528" s="54" t="s">
        <v>761</v>
      </c>
      <c r="B528" s="56" t="s">
        <v>762</v>
      </c>
      <c r="C528" s="56" t="s">
        <v>763</v>
      </c>
      <c r="D528" s="56" t="s">
        <v>764</v>
      </c>
      <c r="E528" s="56" t="s">
        <v>195</v>
      </c>
      <c r="F528" s="57" t="s">
        <v>34</v>
      </c>
      <c r="G528" s="61"/>
      <c r="H528" s="61" t="s">
        <v>197</v>
      </c>
      <c r="I528" s="60"/>
      <c r="J528" s="53"/>
    </row>
    <row r="529" ht="24.75" hidden="1" customHeight="1">
      <c r="A529" s="54" t="s">
        <v>761</v>
      </c>
      <c r="B529" s="56" t="s">
        <v>762</v>
      </c>
      <c r="C529" s="56" t="s">
        <v>763</v>
      </c>
      <c r="D529" s="56" t="s">
        <v>764</v>
      </c>
      <c r="E529" s="56" t="s">
        <v>196</v>
      </c>
      <c r="F529" s="57" t="s">
        <v>250</v>
      </c>
      <c r="G529" s="61"/>
      <c r="H529" s="61" t="s">
        <v>200</v>
      </c>
      <c r="I529" s="62" t="s">
        <v>201</v>
      </c>
      <c r="J529" s="53"/>
    </row>
    <row r="530" ht="24.75" customHeight="1">
      <c r="A530" s="54" t="s">
        <v>761</v>
      </c>
      <c r="B530" s="56" t="s">
        <v>762</v>
      </c>
      <c r="C530" s="56" t="s">
        <v>763</v>
      </c>
      <c r="D530" s="56" t="s">
        <v>764</v>
      </c>
      <c r="E530" s="56" t="s">
        <v>191</v>
      </c>
      <c r="F530" s="57" t="s">
        <v>192</v>
      </c>
      <c r="G530" s="61"/>
      <c r="H530" s="61"/>
      <c r="I530" s="60"/>
      <c r="J530" s="53"/>
    </row>
    <row r="531" ht="24.75" customHeight="1">
      <c r="A531" s="54" t="s">
        <v>761</v>
      </c>
      <c r="B531" s="56" t="s">
        <v>762</v>
      </c>
      <c r="C531" s="56" t="s">
        <v>763</v>
      </c>
      <c r="D531" s="56" t="s">
        <v>764</v>
      </c>
      <c r="E531" s="56" t="s">
        <v>194</v>
      </c>
      <c r="F531" s="57" t="s">
        <v>192</v>
      </c>
      <c r="G531" s="61"/>
      <c r="H531" s="61"/>
      <c r="I531" s="60"/>
      <c r="J531" s="53"/>
    </row>
    <row r="532" ht="24.75" hidden="1" customHeight="1">
      <c r="A532" s="54" t="s">
        <v>761</v>
      </c>
      <c r="B532" s="56" t="s">
        <v>765</v>
      </c>
      <c r="C532" s="56" t="s">
        <v>766</v>
      </c>
      <c r="D532" s="56" t="s">
        <v>767</v>
      </c>
      <c r="E532" s="56" t="s">
        <v>768</v>
      </c>
      <c r="F532" s="57" t="s">
        <v>250</v>
      </c>
      <c r="G532" s="61"/>
      <c r="H532" s="61" t="s">
        <v>769</v>
      </c>
      <c r="I532" s="62" t="s">
        <v>770</v>
      </c>
      <c r="J532" s="53"/>
    </row>
    <row r="533" ht="24.75" hidden="1" customHeight="1">
      <c r="A533" s="54" t="s">
        <v>761</v>
      </c>
      <c r="B533" s="56" t="s">
        <v>765</v>
      </c>
      <c r="C533" s="56" t="s">
        <v>766</v>
      </c>
      <c r="D533" s="56" t="s">
        <v>767</v>
      </c>
      <c r="E533" s="56" t="s">
        <v>771</v>
      </c>
      <c r="F533" s="57" t="s">
        <v>250</v>
      </c>
      <c r="G533" s="61"/>
      <c r="H533" s="61" t="s">
        <v>769</v>
      </c>
      <c r="I533" s="62" t="s">
        <v>772</v>
      </c>
      <c r="J533" s="53"/>
    </row>
    <row r="534" ht="24.75" customHeight="1">
      <c r="A534" s="54" t="s">
        <v>761</v>
      </c>
      <c r="B534" s="56" t="s">
        <v>765</v>
      </c>
      <c r="C534" s="56" t="s">
        <v>766</v>
      </c>
      <c r="D534" s="56" t="s">
        <v>767</v>
      </c>
      <c r="E534" s="56" t="s">
        <v>773</v>
      </c>
      <c r="F534" s="57" t="s">
        <v>154</v>
      </c>
      <c r="G534" s="61"/>
      <c r="H534" s="61"/>
      <c r="I534" s="60"/>
      <c r="J534" s="53"/>
    </row>
    <row r="535" ht="24.75" customHeight="1">
      <c r="A535" s="54" t="s">
        <v>761</v>
      </c>
      <c r="B535" s="56" t="s">
        <v>765</v>
      </c>
      <c r="C535" s="56" t="s">
        <v>766</v>
      </c>
      <c r="D535" s="56" t="s">
        <v>767</v>
      </c>
      <c r="E535" s="56" t="s">
        <v>774</v>
      </c>
      <c r="F535" s="57" t="s">
        <v>154</v>
      </c>
      <c r="G535" s="61"/>
      <c r="H535" s="61"/>
      <c r="I535" s="60"/>
      <c r="J535" s="53"/>
    </row>
    <row r="536" ht="24.75" customHeight="1">
      <c r="A536" s="54" t="s">
        <v>761</v>
      </c>
      <c r="B536" s="56" t="s">
        <v>765</v>
      </c>
      <c r="C536" s="56" t="s">
        <v>766</v>
      </c>
      <c r="D536" s="56" t="s">
        <v>767</v>
      </c>
      <c r="E536" s="56" t="s">
        <v>775</v>
      </c>
      <c r="F536" s="57" t="s">
        <v>154</v>
      </c>
      <c r="G536" s="61"/>
      <c r="H536" s="61"/>
      <c r="I536" s="60"/>
      <c r="J536" s="53"/>
    </row>
    <row r="537" ht="24.75" hidden="1" customHeight="1">
      <c r="A537" s="54" t="s">
        <v>761</v>
      </c>
      <c r="B537" s="56" t="s">
        <v>765</v>
      </c>
      <c r="C537" s="56" t="s">
        <v>766</v>
      </c>
      <c r="D537" s="56" t="s">
        <v>776</v>
      </c>
      <c r="E537" s="56" t="s">
        <v>777</v>
      </c>
      <c r="F537" s="57" t="s">
        <v>15</v>
      </c>
      <c r="G537" s="61"/>
      <c r="H537" s="61"/>
      <c r="I537" s="60"/>
      <c r="J537" s="53"/>
    </row>
    <row r="538" ht="24.75" hidden="1" customHeight="1">
      <c r="A538" s="54" t="s">
        <v>761</v>
      </c>
      <c r="B538" s="56" t="s">
        <v>765</v>
      </c>
      <c r="C538" s="56" t="s">
        <v>766</v>
      </c>
      <c r="D538" s="56" t="s">
        <v>776</v>
      </c>
      <c r="E538" s="56" t="s">
        <v>778</v>
      </c>
      <c r="F538" s="57" t="s">
        <v>15</v>
      </c>
      <c r="G538" s="61"/>
      <c r="H538" s="61"/>
      <c r="I538" s="60"/>
      <c r="J538" s="53"/>
    </row>
    <row r="539" ht="24.75" hidden="1" customHeight="1">
      <c r="A539" s="54" t="s">
        <v>761</v>
      </c>
      <c r="B539" s="56" t="s">
        <v>779</v>
      </c>
      <c r="C539" s="56" t="s">
        <v>780</v>
      </c>
      <c r="D539" s="56" t="s">
        <v>781</v>
      </c>
      <c r="E539" s="56" t="s">
        <v>232</v>
      </c>
      <c r="F539" s="57" t="s">
        <v>250</v>
      </c>
      <c r="G539" s="61"/>
      <c r="H539" s="61" t="s">
        <v>769</v>
      </c>
      <c r="I539" s="62" t="s">
        <v>782</v>
      </c>
      <c r="J539" s="83"/>
    </row>
    <row r="540" ht="24.75" customHeight="1">
      <c r="A540" s="54" t="s">
        <v>761</v>
      </c>
      <c r="B540" s="56" t="s">
        <v>779</v>
      </c>
      <c r="C540" s="56" t="s">
        <v>780</v>
      </c>
      <c r="D540" s="56" t="s">
        <v>781</v>
      </c>
      <c r="E540" s="56" t="s">
        <v>783</v>
      </c>
      <c r="F540" s="57" t="s">
        <v>154</v>
      </c>
      <c r="G540" s="61"/>
      <c r="H540" s="61"/>
      <c r="I540" s="60"/>
      <c r="J540" s="53"/>
    </row>
    <row r="541" ht="24.75" customHeight="1">
      <c r="A541" s="54" t="s">
        <v>761</v>
      </c>
      <c r="B541" s="56" t="s">
        <v>779</v>
      </c>
      <c r="C541" s="56" t="s">
        <v>780</v>
      </c>
      <c r="D541" s="56" t="s">
        <v>781</v>
      </c>
      <c r="E541" s="56" t="s">
        <v>230</v>
      </c>
      <c r="F541" s="57" t="s">
        <v>154</v>
      </c>
      <c r="G541" s="61"/>
      <c r="H541" s="61"/>
      <c r="I541" s="60"/>
      <c r="J541" s="83"/>
    </row>
    <row r="542" ht="24.75" customHeight="1">
      <c r="A542" s="54" t="s">
        <v>761</v>
      </c>
      <c r="B542" s="56" t="s">
        <v>784</v>
      </c>
      <c r="C542" s="56" t="s">
        <v>763</v>
      </c>
      <c r="D542" s="56" t="s">
        <v>785</v>
      </c>
      <c r="E542" s="56" t="s">
        <v>216</v>
      </c>
      <c r="F542" s="57" t="s">
        <v>34</v>
      </c>
      <c r="G542" s="61"/>
      <c r="H542" s="61"/>
      <c r="I542" s="60"/>
      <c r="J542" s="53"/>
    </row>
    <row r="543" ht="24.75" customHeight="1">
      <c r="A543" s="54" t="s">
        <v>761</v>
      </c>
      <c r="B543" s="56" t="s">
        <v>784</v>
      </c>
      <c r="C543" s="56" t="s">
        <v>763</v>
      </c>
      <c r="D543" s="56" t="s">
        <v>785</v>
      </c>
      <c r="E543" s="56" t="s">
        <v>786</v>
      </c>
      <c r="F543" s="57" t="s">
        <v>34</v>
      </c>
      <c r="G543" s="61"/>
      <c r="H543" s="61"/>
      <c r="I543" s="60"/>
      <c r="J543" s="53"/>
    </row>
    <row r="544" ht="24.75" customHeight="1">
      <c r="A544" s="54" t="s">
        <v>761</v>
      </c>
      <c r="B544" s="56" t="s">
        <v>784</v>
      </c>
      <c r="C544" s="56" t="s">
        <v>763</v>
      </c>
      <c r="D544" s="56" t="s">
        <v>787</v>
      </c>
      <c r="E544" s="56" t="s">
        <v>163</v>
      </c>
      <c r="F544" s="57" t="s">
        <v>34</v>
      </c>
      <c r="G544" s="61"/>
      <c r="H544" s="61"/>
      <c r="I544" s="60"/>
      <c r="J544" s="53"/>
    </row>
    <row r="545" ht="24.75" customHeight="1">
      <c r="A545" s="54" t="s">
        <v>761</v>
      </c>
      <c r="B545" s="56" t="s">
        <v>784</v>
      </c>
      <c r="C545" s="56" t="s">
        <v>763</v>
      </c>
      <c r="D545" s="56" t="s">
        <v>787</v>
      </c>
      <c r="E545" s="56" t="s">
        <v>788</v>
      </c>
      <c r="F545" s="57" t="s">
        <v>154</v>
      </c>
      <c r="G545" s="61"/>
      <c r="H545" s="61"/>
      <c r="I545" s="60"/>
      <c r="J545" s="53"/>
    </row>
    <row r="546" ht="24.75" hidden="1" customHeight="1">
      <c r="A546" s="54" t="s">
        <v>761</v>
      </c>
      <c r="B546" s="56" t="s">
        <v>784</v>
      </c>
      <c r="C546" s="56" t="s">
        <v>763</v>
      </c>
      <c r="D546" s="56" t="s">
        <v>787</v>
      </c>
      <c r="E546" s="56" t="s">
        <v>213</v>
      </c>
      <c r="F546" s="57"/>
      <c r="G546" s="50"/>
      <c r="H546" s="50"/>
      <c r="I546" s="84"/>
      <c r="J546" s="53"/>
    </row>
    <row r="547" ht="24.75" hidden="1" customHeight="1">
      <c r="A547" s="54" t="s">
        <v>761</v>
      </c>
      <c r="B547" s="56" t="s">
        <v>784</v>
      </c>
      <c r="C547" s="56" t="s">
        <v>763</v>
      </c>
      <c r="D547" s="56" t="s">
        <v>789</v>
      </c>
      <c r="E547" s="56" t="s">
        <v>790</v>
      </c>
      <c r="F547" s="57" t="s">
        <v>250</v>
      </c>
      <c r="G547" s="61"/>
      <c r="H547" s="61"/>
      <c r="I547" s="62"/>
      <c r="J547" s="53"/>
    </row>
    <row r="548" ht="24.75" customHeight="1">
      <c r="A548" s="54" t="s">
        <v>761</v>
      </c>
      <c r="B548" s="56" t="s">
        <v>791</v>
      </c>
      <c r="C548" s="56" t="s">
        <v>792</v>
      </c>
      <c r="D548" s="56" t="s">
        <v>793</v>
      </c>
      <c r="E548" s="56" t="s">
        <v>794</v>
      </c>
      <c r="F548" s="57" t="s">
        <v>154</v>
      </c>
      <c r="G548" s="61"/>
      <c r="H548" s="61"/>
      <c r="I548" s="60"/>
      <c r="J548" s="53"/>
    </row>
    <row r="549" ht="24.75" hidden="1" customHeight="1">
      <c r="A549" s="54" t="s">
        <v>761</v>
      </c>
      <c r="B549" s="56" t="s">
        <v>795</v>
      </c>
      <c r="C549" s="56" t="s">
        <v>792</v>
      </c>
      <c r="D549" s="56" t="s">
        <v>796</v>
      </c>
      <c r="E549" s="56" t="s">
        <v>797</v>
      </c>
      <c r="F549" s="57" t="s">
        <v>250</v>
      </c>
      <c r="G549" s="81"/>
      <c r="H549" s="61" t="s">
        <v>769</v>
      </c>
      <c r="I549" s="62" t="s">
        <v>800</v>
      </c>
      <c r="J549" s="53"/>
    </row>
    <row r="550" ht="24.75" hidden="1" customHeight="1">
      <c r="A550" s="54" t="s">
        <v>761</v>
      </c>
      <c r="B550" s="56" t="s">
        <v>798</v>
      </c>
      <c r="C550" s="56" t="s">
        <v>792</v>
      </c>
      <c r="D550" s="56" t="s">
        <v>799</v>
      </c>
      <c r="E550" s="56" t="s">
        <v>790</v>
      </c>
      <c r="F550" s="57" t="s">
        <v>250</v>
      </c>
      <c r="G550" s="61"/>
      <c r="H550" s="61" t="s">
        <v>769</v>
      </c>
      <c r="I550" s="62" t="s">
        <v>803</v>
      </c>
      <c r="J550" s="53"/>
    </row>
    <row r="551" ht="24.75" hidden="1" customHeight="1">
      <c r="A551" s="54" t="s">
        <v>761</v>
      </c>
      <c r="B551" s="56" t="s">
        <v>801</v>
      </c>
      <c r="C551" s="56" t="s">
        <v>792</v>
      </c>
      <c r="D551" s="56" t="s">
        <v>802</v>
      </c>
      <c r="E551" s="56" t="s">
        <v>790</v>
      </c>
      <c r="F551" s="57" t="s">
        <v>250</v>
      </c>
      <c r="G551" s="61"/>
      <c r="H551" s="61" t="s">
        <v>769</v>
      </c>
      <c r="I551" s="62" t="s">
        <v>806</v>
      </c>
      <c r="J551" s="53"/>
    </row>
    <row r="552" ht="24.75" hidden="1" customHeight="1">
      <c r="A552" s="54" t="s">
        <v>761</v>
      </c>
      <c r="B552" s="56" t="s">
        <v>804</v>
      </c>
      <c r="C552" s="56" t="s">
        <v>792</v>
      </c>
      <c r="D552" s="56" t="s">
        <v>805</v>
      </c>
      <c r="E552" s="56" t="s">
        <v>790</v>
      </c>
      <c r="F552" s="57" t="s">
        <v>250</v>
      </c>
      <c r="G552" s="61"/>
      <c r="H552" s="61" t="s">
        <v>769</v>
      </c>
      <c r="I552" s="62" t="s">
        <v>810</v>
      </c>
      <c r="J552" s="53"/>
    </row>
    <row r="553" ht="24.75" hidden="1" customHeight="1">
      <c r="A553" s="54" t="s">
        <v>761</v>
      </c>
      <c r="B553" s="56" t="s">
        <v>807</v>
      </c>
      <c r="C553" s="56" t="s">
        <v>792</v>
      </c>
      <c r="D553" s="56" t="s">
        <v>808</v>
      </c>
      <c r="E553" s="56" t="s">
        <v>790</v>
      </c>
      <c r="F553" s="57" t="s">
        <v>250</v>
      </c>
      <c r="G553" s="61"/>
      <c r="H553" s="61" t="s">
        <v>769</v>
      </c>
      <c r="I553" s="62" t="s">
        <v>806</v>
      </c>
      <c r="J553" s="53"/>
    </row>
    <row r="554" ht="24.75" hidden="1" customHeight="1">
      <c r="A554" s="54" t="s">
        <v>761</v>
      </c>
      <c r="B554" s="56" t="s">
        <v>807</v>
      </c>
      <c r="C554" s="56" t="s">
        <v>792</v>
      </c>
      <c r="D554" s="56" t="s">
        <v>809</v>
      </c>
      <c r="E554" s="56" t="s">
        <v>790</v>
      </c>
      <c r="F554" s="57" t="s">
        <v>250</v>
      </c>
      <c r="G554" s="61"/>
      <c r="H554" s="61" t="s">
        <v>769</v>
      </c>
      <c r="I554" s="62" t="s">
        <v>806</v>
      </c>
      <c r="J554" s="53"/>
    </row>
    <row r="555" ht="24.75" hidden="1" customHeight="1">
      <c r="A555" s="54" t="s">
        <v>761</v>
      </c>
      <c r="B555" s="56" t="s">
        <v>811</v>
      </c>
      <c r="C555" s="56" t="s">
        <v>792</v>
      </c>
      <c r="D555" s="56" t="s">
        <v>812</v>
      </c>
      <c r="E555" s="56" t="s">
        <v>790</v>
      </c>
      <c r="F555" s="57" t="s">
        <v>250</v>
      </c>
      <c r="G555" s="61"/>
      <c r="H555" s="61" t="s">
        <v>769</v>
      </c>
      <c r="I555" s="62" t="s">
        <v>806</v>
      </c>
      <c r="J555" s="53"/>
    </row>
    <row r="556" ht="24.75" hidden="1" customHeight="1">
      <c r="A556" s="54" t="s">
        <v>761</v>
      </c>
      <c r="B556" s="56" t="s">
        <v>813</v>
      </c>
      <c r="C556" s="56" t="s">
        <v>792</v>
      </c>
      <c r="D556" s="56" t="s">
        <v>814</v>
      </c>
      <c r="E556" s="56" t="s">
        <v>790</v>
      </c>
      <c r="F556" s="57" t="s">
        <v>250</v>
      </c>
      <c r="G556" s="61"/>
      <c r="H556" s="61" t="s">
        <v>769</v>
      </c>
      <c r="I556" s="62" t="s">
        <v>810</v>
      </c>
      <c r="J556" s="53"/>
    </row>
    <row r="557" ht="24.75" hidden="1" customHeight="1">
      <c r="A557" s="54" t="s">
        <v>761</v>
      </c>
      <c r="B557" s="56" t="s">
        <v>815</v>
      </c>
      <c r="C557" s="56" t="s">
        <v>792</v>
      </c>
      <c r="D557" s="56" t="s">
        <v>816</v>
      </c>
      <c r="E557" s="56" t="s">
        <v>790</v>
      </c>
      <c r="F557" s="57" t="s">
        <v>250</v>
      </c>
      <c r="G557" s="61"/>
      <c r="H557" s="61" t="s">
        <v>769</v>
      </c>
      <c r="I557" s="62" t="s">
        <v>806</v>
      </c>
      <c r="J557" s="53"/>
    </row>
    <row r="558" ht="24.75" hidden="1" customHeight="1">
      <c r="A558" s="54" t="s">
        <v>761</v>
      </c>
      <c r="B558" s="56" t="s">
        <v>815</v>
      </c>
      <c r="C558" s="104" t="s">
        <v>792</v>
      </c>
      <c r="D558" s="56" t="s">
        <v>816</v>
      </c>
      <c r="E558" s="56" t="s">
        <v>817</v>
      </c>
      <c r="F558" s="57" t="s">
        <v>250</v>
      </c>
      <c r="G558" s="61"/>
      <c r="H558" s="61" t="s">
        <v>769</v>
      </c>
      <c r="I558" s="62" t="s">
        <v>823</v>
      </c>
      <c r="J558" s="53"/>
    </row>
    <row r="559" ht="24.75" hidden="1" customHeight="1">
      <c r="A559" s="54" t="s">
        <v>761</v>
      </c>
      <c r="B559" s="56" t="s">
        <v>818</v>
      </c>
      <c r="C559" s="104" t="s">
        <v>792</v>
      </c>
      <c r="D559" s="56" t="s">
        <v>819</v>
      </c>
      <c r="E559" s="56" t="s">
        <v>790</v>
      </c>
      <c r="F559" s="57" t="s">
        <v>250</v>
      </c>
      <c r="G559" s="61"/>
      <c r="H559" s="61" t="s">
        <v>769</v>
      </c>
      <c r="I559" s="62" t="s">
        <v>806</v>
      </c>
      <c r="J559" s="53"/>
    </row>
    <row r="560" ht="24.75" hidden="1" customHeight="1">
      <c r="A560" s="54" t="s">
        <v>761</v>
      </c>
      <c r="B560" s="56" t="s">
        <v>818</v>
      </c>
      <c r="C560" s="104" t="s">
        <v>792</v>
      </c>
      <c r="D560" s="56" t="s">
        <v>820</v>
      </c>
      <c r="E560" s="56" t="s">
        <v>817</v>
      </c>
      <c r="F560" s="57" t="s">
        <v>250</v>
      </c>
      <c r="G560" s="61"/>
      <c r="H560" s="61" t="s">
        <v>769</v>
      </c>
      <c r="I560" s="62" t="s">
        <v>823</v>
      </c>
      <c r="J560" s="53"/>
    </row>
    <row r="561" ht="24.75" hidden="1" customHeight="1">
      <c r="A561" s="54" t="s">
        <v>761</v>
      </c>
      <c r="B561" s="56" t="s">
        <v>818</v>
      </c>
      <c r="C561" s="104" t="s">
        <v>792</v>
      </c>
      <c r="D561" s="56" t="s">
        <v>821</v>
      </c>
      <c r="E561" s="56" t="s">
        <v>817</v>
      </c>
      <c r="F561" s="57" t="s">
        <v>250</v>
      </c>
      <c r="G561" s="61"/>
      <c r="H561" s="61" t="s">
        <v>769</v>
      </c>
      <c r="I561" s="62" t="s">
        <v>823</v>
      </c>
      <c r="J561" s="53"/>
    </row>
    <row r="562" ht="24.75" hidden="1" customHeight="1">
      <c r="A562" s="54" t="s">
        <v>761</v>
      </c>
      <c r="B562" s="56" t="s">
        <v>818</v>
      </c>
      <c r="C562" s="104" t="s">
        <v>792</v>
      </c>
      <c r="D562" s="56" t="s">
        <v>822</v>
      </c>
      <c r="E562" s="56" t="s">
        <v>790</v>
      </c>
      <c r="F562" s="57" t="s">
        <v>250</v>
      </c>
      <c r="G562" s="61"/>
      <c r="H562" s="61" t="s">
        <v>769</v>
      </c>
      <c r="I562" s="62" t="s">
        <v>823</v>
      </c>
      <c r="J562" s="53"/>
    </row>
    <row r="563" ht="24.75" customHeight="1">
      <c r="A563" s="54" t="s">
        <v>761</v>
      </c>
      <c r="B563" s="56" t="s">
        <v>791</v>
      </c>
      <c r="C563" s="104" t="s">
        <v>792</v>
      </c>
      <c r="D563" s="56" t="s">
        <v>793</v>
      </c>
      <c r="E563" s="56" t="s">
        <v>824</v>
      </c>
      <c r="F563" s="57" t="s">
        <v>192</v>
      </c>
      <c r="G563" s="61"/>
      <c r="H563" s="61"/>
      <c r="I563" s="60"/>
      <c r="J563" s="53"/>
    </row>
    <row r="564" ht="24.75" customHeight="1">
      <c r="A564" s="54" t="s">
        <v>761</v>
      </c>
      <c r="B564" s="56" t="s">
        <v>825</v>
      </c>
      <c r="C564" s="56" t="s">
        <v>792</v>
      </c>
      <c r="D564" s="56" t="s">
        <v>826</v>
      </c>
      <c r="E564" s="56" t="s">
        <v>794</v>
      </c>
      <c r="F564" s="57" t="s">
        <v>154</v>
      </c>
      <c r="G564" s="61"/>
      <c r="H564" s="61"/>
      <c r="I564" s="60"/>
      <c r="J564" s="53"/>
    </row>
    <row r="565" ht="24.75" customHeight="1">
      <c r="A565" s="54" t="s">
        <v>761</v>
      </c>
      <c r="B565" s="56" t="s">
        <v>825</v>
      </c>
      <c r="C565" s="56" t="s">
        <v>792</v>
      </c>
      <c r="D565" s="56" t="s">
        <v>826</v>
      </c>
      <c r="E565" s="56" t="s">
        <v>824</v>
      </c>
      <c r="F565" s="57" t="s">
        <v>192</v>
      </c>
      <c r="G565" s="61"/>
      <c r="H565" s="61"/>
      <c r="I565" s="60"/>
      <c r="J565" s="53"/>
    </row>
    <row r="566" ht="24.75" customHeight="1">
      <c r="A566" s="54" t="s">
        <v>761</v>
      </c>
      <c r="B566" s="56" t="s">
        <v>827</v>
      </c>
      <c r="C566" s="56" t="s">
        <v>792</v>
      </c>
      <c r="D566" s="56" t="s">
        <v>828</v>
      </c>
      <c r="E566" s="56" t="s">
        <v>830</v>
      </c>
      <c r="F566" s="57" t="s">
        <v>154</v>
      </c>
      <c r="G566" s="61"/>
      <c r="H566" s="61"/>
      <c r="I566" s="60"/>
      <c r="J566" s="53"/>
    </row>
    <row r="567" ht="24.75" customHeight="1">
      <c r="A567" s="54" t="s">
        <v>831</v>
      </c>
      <c r="B567" s="56" t="s">
        <v>832</v>
      </c>
      <c r="C567" s="56" t="s">
        <v>833</v>
      </c>
      <c r="D567" s="56" t="s">
        <v>834</v>
      </c>
      <c r="E567" s="56" t="s">
        <v>111</v>
      </c>
      <c r="F567" s="57" t="s">
        <v>34</v>
      </c>
      <c r="G567" s="61"/>
      <c r="H567" s="61"/>
      <c r="I567" s="60"/>
      <c r="J567" s="53"/>
    </row>
    <row r="568" ht="24.75" customHeight="1">
      <c r="A568" s="54" t="s">
        <v>831</v>
      </c>
      <c r="B568" s="56" t="s">
        <v>832</v>
      </c>
      <c r="C568" s="56" t="s">
        <v>833</v>
      </c>
      <c r="D568" s="56" t="s">
        <v>834</v>
      </c>
      <c r="E568" s="56" t="s">
        <v>835</v>
      </c>
      <c r="F568" s="57" t="s">
        <v>34</v>
      </c>
      <c r="G568" s="61"/>
      <c r="H568" s="61"/>
      <c r="I568" s="60"/>
      <c r="J568" s="53"/>
    </row>
    <row r="569" ht="24.75" hidden="1" customHeight="1">
      <c r="A569" s="54" t="s">
        <v>831</v>
      </c>
      <c r="B569" s="56" t="s">
        <v>832</v>
      </c>
      <c r="C569" s="56" t="s">
        <v>833</v>
      </c>
      <c r="D569" s="56" t="s">
        <v>834</v>
      </c>
      <c r="E569" s="56" t="s">
        <v>836</v>
      </c>
      <c r="F569" s="57" t="s">
        <v>250</v>
      </c>
      <c r="G569" s="61"/>
      <c r="H569" s="61" t="s">
        <v>159</v>
      </c>
      <c r="I569" s="62" t="s">
        <v>160</v>
      </c>
      <c r="J569" s="53"/>
    </row>
    <row r="570" ht="24.75" hidden="1" customHeight="1">
      <c r="A570" s="54" t="s">
        <v>831</v>
      </c>
      <c r="B570" s="56" t="s">
        <v>837</v>
      </c>
      <c r="C570" s="56" t="s">
        <v>838</v>
      </c>
      <c r="D570" s="56" t="s">
        <v>839</v>
      </c>
      <c r="E570" s="56" t="s">
        <v>771</v>
      </c>
      <c r="F570" s="57" t="s">
        <v>250</v>
      </c>
      <c r="G570" s="61"/>
      <c r="H570" s="61" t="s">
        <v>159</v>
      </c>
      <c r="I570" s="62" t="s">
        <v>772</v>
      </c>
      <c r="J570" s="53"/>
    </row>
    <row r="571" ht="24.75" hidden="1" customHeight="1">
      <c r="A571" s="54" t="s">
        <v>831</v>
      </c>
      <c r="B571" s="56" t="s">
        <v>837</v>
      </c>
      <c r="C571" s="56" t="s">
        <v>838</v>
      </c>
      <c r="D571" s="56" t="s">
        <v>839</v>
      </c>
      <c r="E571" s="56" t="s">
        <v>768</v>
      </c>
      <c r="F571" s="57" t="s">
        <v>250</v>
      </c>
      <c r="G571" s="61"/>
      <c r="H571" s="61" t="s">
        <v>592</v>
      </c>
      <c r="I571" s="62" t="s">
        <v>770</v>
      </c>
      <c r="J571" s="53"/>
    </row>
    <row r="572" ht="24.75" customHeight="1">
      <c r="A572" s="54" t="s">
        <v>831</v>
      </c>
      <c r="B572" s="56" t="s">
        <v>837</v>
      </c>
      <c r="C572" s="56" t="s">
        <v>838</v>
      </c>
      <c r="D572" s="56" t="s">
        <v>839</v>
      </c>
      <c r="E572" s="56" t="s">
        <v>773</v>
      </c>
      <c r="F572" s="57" t="s">
        <v>154</v>
      </c>
      <c r="G572" s="61"/>
      <c r="H572" s="61"/>
      <c r="I572" s="60"/>
      <c r="J572" s="53"/>
    </row>
    <row r="573" ht="24.75" customHeight="1">
      <c r="A573" s="54" t="s">
        <v>831</v>
      </c>
      <c r="B573" s="56" t="s">
        <v>837</v>
      </c>
      <c r="C573" s="56" t="s">
        <v>838</v>
      </c>
      <c r="D573" s="56" t="s">
        <v>839</v>
      </c>
      <c r="E573" s="56" t="s">
        <v>841</v>
      </c>
      <c r="F573" s="57" t="s">
        <v>154</v>
      </c>
      <c r="G573" s="61"/>
      <c r="H573" s="61"/>
      <c r="I573" s="60"/>
      <c r="J573" s="53"/>
    </row>
    <row r="574" ht="24.75" hidden="1" customHeight="1">
      <c r="A574" s="54" t="s">
        <v>831</v>
      </c>
      <c r="B574" s="56" t="s">
        <v>837</v>
      </c>
      <c r="C574" s="56" t="s">
        <v>838</v>
      </c>
      <c r="D574" s="56" t="s">
        <v>839</v>
      </c>
      <c r="E574" s="56" t="s">
        <v>777</v>
      </c>
      <c r="F574" s="57" t="s">
        <v>15</v>
      </c>
      <c r="G574" s="61"/>
      <c r="H574" s="61"/>
      <c r="I574" s="60"/>
      <c r="J574" s="53"/>
    </row>
    <row r="575" ht="24.75" hidden="1" customHeight="1">
      <c r="A575" s="54" t="s">
        <v>831</v>
      </c>
      <c r="B575" s="56" t="s">
        <v>837</v>
      </c>
      <c r="C575" s="56" t="s">
        <v>838</v>
      </c>
      <c r="D575" s="56" t="s">
        <v>839</v>
      </c>
      <c r="E575" s="56" t="s">
        <v>778</v>
      </c>
      <c r="F575" s="57" t="s">
        <v>15</v>
      </c>
      <c r="G575" s="61"/>
      <c r="H575" s="61"/>
      <c r="I575" s="60"/>
      <c r="J575" s="53"/>
    </row>
    <row r="576" ht="24.75" customHeight="1">
      <c r="A576" s="54" t="s">
        <v>831</v>
      </c>
      <c r="B576" s="56" t="s">
        <v>842</v>
      </c>
      <c r="C576" s="56" t="s">
        <v>838</v>
      </c>
      <c r="D576" s="56" t="s">
        <v>843</v>
      </c>
      <c r="E576" s="56" t="s">
        <v>111</v>
      </c>
      <c r="F576" s="57" t="s">
        <v>154</v>
      </c>
      <c r="G576" s="61"/>
      <c r="H576" s="61"/>
      <c r="I576" s="60"/>
      <c r="J576" s="53"/>
    </row>
    <row r="577" ht="24.75" customHeight="1">
      <c r="A577" s="54" t="s">
        <v>831</v>
      </c>
      <c r="B577" s="56" t="s">
        <v>842</v>
      </c>
      <c r="C577" s="56" t="s">
        <v>838</v>
      </c>
      <c r="D577" s="56" t="s">
        <v>843</v>
      </c>
      <c r="E577" s="56" t="s">
        <v>844</v>
      </c>
      <c r="F577" s="57" t="s">
        <v>154</v>
      </c>
      <c r="G577" s="61"/>
      <c r="H577" s="61"/>
      <c r="I577" s="60"/>
      <c r="J577" s="53"/>
    </row>
    <row r="578" ht="24.75" hidden="1" customHeight="1">
      <c r="A578" s="54" t="s">
        <v>831</v>
      </c>
      <c r="B578" s="56" t="s">
        <v>842</v>
      </c>
      <c r="C578" s="56" t="s">
        <v>838</v>
      </c>
      <c r="D578" s="56" t="s">
        <v>843</v>
      </c>
      <c r="E578" s="56" t="s">
        <v>797</v>
      </c>
      <c r="F578" s="57" t="s">
        <v>250</v>
      </c>
      <c r="G578" s="61"/>
      <c r="H578" s="61" t="s">
        <v>592</v>
      </c>
      <c r="I578" s="62" t="s">
        <v>855</v>
      </c>
      <c r="J578" s="53"/>
    </row>
    <row r="579" ht="24.75" hidden="1" customHeight="1">
      <c r="A579" s="54" t="s">
        <v>831</v>
      </c>
      <c r="B579" s="56" t="s">
        <v>845</v>
      </c>
      <c r="C579" s="56" t="s">
        <v>838</v>
      </c>
      <c r="D579" s="56" t="s">
        <v>846</v>
      </c>
      <c r="E579" s="56" t="s">
        <v>771</v>
      </c>
      <c r="F579" s="57" t="s">
        <v>250</v>
      </c>
      <c r="G579" s="61"/>
      <c r="H579" s="61" t="s">
        <v>159</v>
      </c>
      <c r="I579" s="62" t="s">
        <v>772</v>
      </c>
      <c r="J579" s="53"/>
    </row>
    <row r="580" ht="24.75" hidden="1" customHeight="1">
      <c r="A580" s="54" t="s">
        <v>831</v>
      </c>
      <c r="B580" s="56" t="s">
        <v>845</v>
      </c>
      <c r="C580" s="56" t="s">
        <v>838</v>
      </c>
      <c r="D580" s="56" t="s">
        <v>846</v>
      </c>
      <c r="E580" s="56" t="s">
        <v>768</v>
      </c>
      <c r="F580" s="57" t="s">
        <v>250</v>
      </c>
      <c r="G580" s="61"/>
      <c r="H580" s="61" t="s">
        <v>592</v>
      </c>
      <c r="I580" s="62" t="s">
        <v>770</v>
      </c>
      <c r="J580" s="53"/>
    </row>
    <row r="581" ht="24.75" customHeight="1">
      <c r="A581" s="54" t="s">
        <v>831</v>
      </c>
      <c r="B581" s="56" t="s">
        <v>845</v>
      </c>
      <c r="C581" s="56" t="s">
        <v>838</v>
      </c>
      <c r="D581" s="56" t="s">
        <v>846</v>
      </c>
      <c r="E581" s="56" t="s">
        <v>773</v>
      </c>
      <c r="F581" s="57" t="s">
        <v>154</v>
      </c>
      <c r="G581" s="61"/>
      <c r="H581" s="61"/>
      <c r="I581" s="60"/>
      <c r="J581" s="53"/>
    </row>
    <row r="582" ht="24.75" customHeight="1">
      <c r="A582" s="54" t="s">
        <v>831</v>
      </c>
      <c r="B582" s="56" t="s">
        <v>845</v>
      </c>
      <c r="C582" s="56" t="s">
        <v>838</v>
      </c>
      <c r="D582" s="56" t="s">
        <v>846</v>
      </c>
      <c r="E582" s="56" t="s">
        <v>841</v>
      </c>
      <c r="F582" s="57" t="s">
        <v>154</v>
      </c>
      <c r="G582" s="61"/>
      <c r="H582" s="61"/>
      <c r="I582" s="60"/>
      <c r="J582" s="53"/>
    </row>
    <row r="583" ht="24.75" hidden="1" customHeight="1">
      <c r="A583" s="54" t="s">
        <v>831</v>
      </c>
      <c r="B583" s="56" t="s">
        <v>845</v>
      </c>
      <c r="C583" s="56" t="s">
        <v>838</v>
      </c>
      <c r="D583" s="56" t="s">
        <v>846</v>
      </c>
      <c r="E583" s="56" t="s">
        <v>777</v>
      </c>
      <c r="F583" s="57" t="s">
        <v>15</v>
      </c>
      <c r="G583" s="61"/>
      <c r="H583" s="61"/>
      <c r="I583" s="60"/>
      <c r="J583" s="53"/>
    </row>
    <row r="584" ht="24.75" hidden="1" customHeight="1">
      <c r="A584" s="54" t="s">
        <v>831</v>
      </c>
      <c r="B584" s="56" t="s">
        <v>845</v>
      </c>
      <c r="C584" s="56" t="s">
        <v>838</v>
      </c>
      <c r="D584" s="56" t="s">
        <v>846</v>
      </c>
      <c r="E584" s="56" t="s">
        <v>778</v>
      </c>
      <c r="F584" s="57" t="s">
        <v>15</v>
      </c>
      <c r="G584" s="61"/>
      <c r="H584" s="61"/>
      <c r="I584" s="60"/>
      <c r="J584" s="53"/>
    </row>
    <row r="585" ht="24.75" customHeight="1">
      <c r="A585" s="54" t="s">
        <v>831</v>
      </c>
      <c r="B585" s="56" t="s">
        <v>847</v>
      </c>
      <c r="C585" s="56" t="s">
        <v>838</v>
      </c>
      <c r="D585" s="56" t="s">
        <v>848</v>
      </c>
      <c r="E585" s="56" t="s">
        <v>111</v>
      </c>
      <c r="F585" s="57" t="s">
        <v>154</v>
      </c>
      <c r="G585" s="61"/>
      <c r="H585" s="61"/>
      <c r="I585" s="60"/>
      <c r="J585" s="53"/>
    </row>
    <row r="586" ht="24.75" customHeight="1">
      <c r="A586" s="54" t="s">
        <v>831</v>
      </c>
      <c r="B586" s="56" t="s">
        <v>847</v>
      </c>
      <c r="C586" s="56" t="s">
        <v>838</v>
      </c>
      <c r="D586" s="56" t="s">
        <v>848</v>
      </c>
      <c r="E586" s="56" t="s">
        <v>844</v>
      </c>
      <c r="F586" s="57" t="s">
        <v>154</v>
      </c>
      <c r="G586" s="61"/>
      <c r="H586" s="61"/>
      <c r="I586" s="60"/>
      <c r="J586" s="53"/>
    </row>
    <row r="587" ht="24.75" hidden="1" customHeight="1">
      <c r="A587" s="54" t="s">
        <v>831</v>
      </c>
      <c r="B587" s="56" t="s">
        <v>847</v>
      </c>
      <c r="C587" s="56" t="s">
        <v>838</v>
      </c>
      <c r="D587" s="56" t="s">
        <v>848</v>
      </c>
      <c r="E587" s="56" t="s">
        <v>797</v>
      </c>
      <c r="F587" s="57" t="s">
        <v>250</v>
      </c>
      <c r="G587" s="61"/>
      <c r="H587" s="61" t="s">
        <v>592</v>
      </c>
      <c r="I587" s="62" t="s">
        <v>855</v>
      </c>
      <c r="J587" s="53"/>
    </row>
    <row r="588" ht="24.75" customHeight="1">
      <c r="A588" s="54" t="s">
        <v>831</v>
      </c>
      <c r="B588" s="56" t="s">
        <v>849</v>
      </c>
      <c r="C588" s="56" t="s">
        <v>833</v>
      </c>
      <c r="D588" s="56" t="s">
        <v>850</v>
      </c>
      <c r="E588" s="56" t="s">
        <v>336</v>
      </c>
      <c r="F588" s="57" t="s">
        <v>192</v>
      </c>
      <c r="G588" s="61"/>
      <c r="H588" s="61"/>
      <c r="I588" s="60"/>
      <c r="J588" s="53"/>
    </row>
    <row r="589" ht="24.75" hidden="1" customHeight="1">
      <c r="A589" s="54" t="s">
        <v>831</v>
      </c>
      <c r="B589" s="56" t="s">
        <v>851</v>
      </c>
      <c r="C589" s="56" t="s">
        <v>852</v>
      </c>
      <c r="D589" s="56" t="s">
        <v>853</v>
      </c>
      <c r="E589" s="56" t="s">
        <v>854</v>
      </c>
      <c r="F589" s="57" t="s">
        <v>250</v>
      </c>
      <c r="G589" s="61"/>
      <c r="H589" s="61" t="s">
        <v>592</v>
      </c>
      <c r="I589" s="62" t="s">
        <v>864</v>
      </c>
      <c r="J589" s="53"/>
    </row>
    <row r="590" ht="24.75" customHeight="1">
      <c r="A590" s="54" t="s">
        <v>831</v>
      </c>
      <c r="B590" s="56" t="s">
        <v>851</v>
      </c>
      <c r="C590" s="56" t="s">
        <v>852</v>
      </c>
      <c r="D590" s="56" t="s">
        <v>853</v>
      </c>
      <c r="E590" s="56" t="s">
        <v>824</v>
      </c>
      <c r="F590" s="57" t="s">
        <v>154</v>
      </c>
      <c r="G590" s="61"/>
      <c r="H590" s="61"/>
      <c r="I590" s="60"/>
      <c r="J590" s="53"/>
    </row>
    <row r="591" ht="24.75" customHeight="1">
      <c r="A591" s="54" t="s">
        <v>831</v>
      </c>
      <c r="B591" s="56" t="s">
        <v>851</v>
      </c>
      <c r="C591" s="56" t="s">
        <v>852</v>
      </c>
      <c r="D591" s="56" t="s">
        <v>853</v>
      </c>
      <c r="E591" s="56" t="s">
        <v>111</v>
      </c>
      <c r="F591" s="57" t="s">
        <v>192</v>
      </c>
      <c r="G591" s="61"/>
      <c r="H591" s="61"/>
      <c r="I591" s="60"/>
      <c r="J591" s="53"/>
    </row>
    <row r="592" ht="24.75" customHeight="1">
      <c r="A592" s="54" t="s">
        <v>831</v>
      </c>
      <c r="B592" s="56" t="s">
        <v>851</v>
      </c>
      <c r="C592" s="56" t="s">
        <v>852</v>
      </c>
      <c r="D592" s="56" t="s">
        <v>853</v>
      </c>
      <c r="E592" s="56" t="s">
        <v>856</v>
      </c>
      <c r="F592" s="57" t="s">
        <v>192</v>
      </c>
      <c r="G592" s="61"/>
      <c r="H592" s="61"/>
      <c r="I592" s="60"/>
      <c r="J592" s="53"/>
    </row>
    <row r="593" ht="24.75" customHeight="1">
      <c r="A593" s="54" t="s">
        <v>831</v>
      </c>
      <c r="B593" s="56" t="s">
        <v>851</v>
      </c>
      <c r="C593" s="56" t="s">
        <v>852</v>
      </c>
      <c r="D593" s="56" t="s">
        <v>853</v>
      </c>
      <c r="E593" s="56" t="s">
        <v>857</v>
      </c>
      <c r="F593" s="57" t="s">
        <v>192</v>
      </c>
      <c r="G593" s="61"/>
      <c r="H593" s="61"/>
      <c r="I593" s="60"/>
      <c r="J593" s="53"/>
    </row>
    <row r="594" ht="24.75" customHeight="1">
      <c r="A594" s="54" t="s">
        <v>831</v>
      </c>
      <c r="B594" s="56" t="s">
        <v>858</v>
      </c>
      <c r="C594" s="56" t="s">
        <v>838</v>
      </c>
      <c r="D594" s="56" t="s">
        <v>859</v>
      </c>
      <c r="E594" s="56" t="s">
        <v>111</v>
      </c>
      <c r="F594" s="57" t="s">
        <v>154</v>
      </c>
      <c r="G594" s="61"/>
      <c r="H594" s="61"/>
      <c r="I594" s="60"/>
      <c r="J594" s="53"/>
    </row>
    <row r="595" ht="24.75" customHeight="1">
      <c r="A595" s="54" t="s">
        <v>831</v>
      </c>
      <c r="B595" s="56" t="s">
        <v>858</v>
      </c>
      <c r="C595" s="56" t="s">
        <v>838</v>
      </c>
      <c r="D595" s="56" t="s">
        <v>859</v>
      </c>
      <c r="E595" s="56" t="s">
        <v>824</v>
      </c>
      <c r="F595" s="57" t="s">
        <v>154</v>
      </c>
      <c r="G595" s="61"/>
      <c r="H595" s="61"/>
      <c r="I595" s="60"/>
      <c r="J595" s="53"/>
    </row>
    <row r="596" ht="24.75" hidden="1" customHeight="1">
      <c r="A596" s="54" t="s">
        <v>831</v>
      </c>
      <c r="B596" s="56" t="s">
        <v>858</v>
      </c>
      <c r="C596" s="56" t="s">
        <v>838</v>
      </c>
      <c r="D596" s="56" t="s">
        <v>859</v>
      </c>
      <c r="E596" s="56" t="s">
        <v>797</v>
      </c>
      <c r="F596" s="57" t="s">
        <v>250</v>
      </c>
      <c r="G596" s="61"/>
      <c r="H596" s="61" t="s">
        <v>592</v>
      </c>
      <c r="I596" s="62" t="s">
        <v>872</v>
      </c>
      <c r="J596" s="53"/>
    </row>
    <row r="597" ht="24.75" hidden="1" customHeight="1">
      <c r="A597" s="54" t="s">
        <v>831</v>
      </c>
      <c r="B597" s="56" t="s">
        <v>860</v>
      </c>
      <c r="C597" s="56" t="s">
        <v>852</v>
      </c>
      <c r="D597" s="56" t="s">
        <v>861</v>
      </c>
      <c r="E597" s="56" t="s">
        <v>854</v>
      </c>
      <c r="F597" s="57" t="s">
        <v>250</v>
      </c>
      <c r="G597" s="61"/>
      <c r="H597" s="61" t="s">
        <v>592</v>
      </c>
      <c r="I597" s="62" t="s">
        <v>864</v>
      </c>
      <c r="J597" s="53"/>
    </row>
    <row r="598" ht="24.75" customHeight="1">
      <c r="A598" s="54" t="s">
        <v>831</v>
      </c>
      <c r="B598" s="56" t="s">
        <v>860</v>
      </c>
      <c r="C598" s="56" t="s">
        <v>852</v>
      </c>
      <c r="D598" s="56" t="s">
        <v>861</v>
      </c>
      <c r="E598" s="56" t="s">
        <v>824</v>
      </c>
      <c r="F598" s="57" t="s">
        <v>154</v>
      </c>
      <c r="G598" s="61"/>
      <c r="H598" s="61"/>
      <c r="I598" s="60"/>
      <c r="J598" s="53"/>
    </row>
    <row r="599" ht="24.75" customHeight="1">
      <c r="A599" s="54" t="s">
        <v>831</v>
      </c>
      <c r="B599" s="56" t="s">
        <v>860</v>
      </c>
      <c r="C599" s="56" t="s">
        <v>852</v>
      </c>
      <c r="D599" s="56" t="s">
        <v>861</v>
      </c>
      <c r="E599" s="56" t="s">
        <v>856</v>
      </c>
      <c r="F599" s="57" t="s">
        <v>154</v>
      </c>
      <c r="G599" s="61"/>
      <c r="H599" s="61"/>
      <c r="I599" s="60"/>
      <c r="J599" s="53"/>
    </row>
    <row r="600" ht="24.75" customHeight="1">
      <c r="A600" s="54" t="s">
        <v>831</v>
      </c>
      <c r="B600" s="56" t="s">
        <v>860</v>
      </c>
      <c r="C600" s="56" t="s">
        <v>852</v>
      </c>
      <c r="D600" s="56" t="s">
        <v>861</v>
      </c>
      <c r="E600" s="56" t="s">
        <v>111</v>
      </c>
      <c r="F600" s="57" t="s">
        <v>192</v>
      </c>
      <c r="G600" s="61"/>
      <c r="H600" s="61"/>
      <c r="I600" s="60"/>
      <c r="J600" s="53"/>
    </row>
    <row r="601" ht="24.75" customHeight="1">
      <c r="A601" s="54" t="s">
        <v>831</v>
      </c>
      <c r="B601" s="56" t="s">
        <v>860</v>
      </c>
      <c r="C601" s="56" t="s">
        <v>852</v>
      </c>
      <c r="D601" s="56" t="s">
        <v>861</v>
      </c>
      <c r="E601" s="56" t="s">
        <v>857</v>
      </c>
      <c r="F601" s="57" t="s">
        <v>192</v>
      </c>
      <c r="G601" s="61"/>
      <c r="H601" s="61"/>
      <c r="I601" s="60"/>
      <c r="J601" s="53"/>
    </row>
    <row r="602" ht="24.75" customHeight="1">
      <c r="A602" s="54" t="s">
        <v>831</v>
      </c>
      <c r="B602" s="56" t="s">
        <v>862</v>
      </c>
      <c r="C602" s="56" t="s">
        <v>838</v>
      </c>
      <c r="D602" s="56" t="s">
        <v>863</v>
      </c>
      <c r="E602" s="56" t="s">
        <v>111</v>
      </c>
      <c r="F602" s="57" t="s">
        <v>154</v>
      </c>
      <c r="G602" s="61"/>
      <c r="H602" s="61"/>
      <c r="I602" s="60"/>
      <c r="J602" s="53"/>
    </row>
    <row r="603" ht="24.75" customHeight="1">
      <c r="A603" s="54" t="s">
        <v>831</v>
      </c>
      <c r="B603" s="56" t="s">
        <v>862</v>
      </c>
      <c r="C603" s="56" t="s">
        <v>838</v>
      </c>
      <c r="D603" s="56" t="s">
        <v>863</v>
      </c>
      <c r="E603" s="56" t="s">
        <v>824</v>
      </c>
      <c r="F603" s="57" t="s">
        <v>154</v>
      </c>
      <c r="G603" s="61"/>
      <c r="H603" s="61"/>
      <c r="I603" s="60"/>
      <c r="J603" s="53"/>
    </row>
    <row r="604" ht="24.75" hidden="1" customHeight="1">
      <c r="A604" s="54" t="s">
        <v>831</v>
      </c>
      <c r="B604" s="56" t="s">
        <v>862</v>
      </c>
      <c r="C604" s="56" t="s">
        <v>838</v>
      </c>
      <c r="D604" s="56" t="s">
        <v>863</v>
      </c>
      <c r="E604" s="56" t="s">
        <v>797</v>
      </c>
      <c r="F604" s="57" t="s">
        <v>250</v>
      </c>
      <c r="G604" s="61"/>
      <c r="H604" s="61" t="s">
        <v>592</v>
      </c>
      <c r="I604" s="62" t="s">
        <v>872</v>
      </c>
      <c r="J604" s="53"/>
    </row>
    <row r="605" ht="24.75" customHeight="1">
      <c r="A605" s="54" t="s">
        <v>831</v>
      </c>
      <c r="B605" s="56" t="s">
        <v>865</v>
      </c>
      <c r="C605" s="56" t="s">
        <v>838</v>
      </c>
      <c r="D605" s="56" t="s">
        <v>866</v>
      </c>
      <c r="E605" s="56" t="s">
        <v>867</v>
      </c>
      <c r="F605" s="57" t="s">
        <v>154</v>
      </c>
      <c r="G605" s="61"/>
      <c r="H605" s="61"/>
      <c r="I605" s="60"/>
      <c r="J605" s="53"/>
    </row>
    <row r="606" ht="24.75" customHeight="1">
      <c r="A606" s="54" t="s">
        <v>831</v>
      </c>
      <c r="B606" s="56" t="s">
        <v>865</v>
      </c>
      <c r="C606" s="56" t="s">
        <v>838</v>
      </c>
      <c r="D606" s="56" t="s">
        <v>866</v>
      </c>
      <c r="E606" s="56" t="s">
        <v>868</v>
      </c>
      <c r="F606" s="57" t="s">
        <v>154</v>
      </c>
      <c r="G606" s="61"/>
      <c r="H606" s="61"/>
      <c r="I606" s="60"/>
      <c r="J606" s="53"/>
    </row>
    <row r="607" ht="24.75" customHeight="1">
      <c r="A607" s="54" t="s">
        <v>831</v>
      </c>
      <c r="B607" s="56" t="s">
        <v>869</v>
      </c>
      <c r="C607" s="56" t="s">
        <v>833</v>
      </c>
      <c r="D607" s="56" t="s">
        <v>850</v>
      </c>
      <c r="E607" s="56" t="s">
        <v>870</v>
      </c>
      <c r="F607" s="57" t="s">
        <v>154</v>
      </c>
      <c r="G607" s="61"/>
      <c r="H607" s="61"/>
      <c r="I607" s="60"/>
      <c r="J607" s="53"/>
    </row>
    <row r="608" ht="24.75" customHeight="1">
      <c r="A608" s="54" t="s">
        <v>831</v>
      </c>
      <c r="B608" s="56" t="s">
        <v>869</v>
      </c>
      <c r="C608" s="56" t="s">
        <v>833</v>
      </c>
      <c r="D608" s="56" t="s">
        <v>850</v>
      </c>
      <c r="E608" s="56" t="s">
        <v>871</v>
      </c>
      <c r="F608" s="57" t="s">
        <v>192</v>
      </c>
      <c r="G608" s="61"/>
      <c r="H608" s="61"/>
      <c r="I608" s="60"/>
      <c r="J608" s="53"/>
    </row>
    <row r="609" ht="15.75" hidden="1" customHeight="1">
      <c r="A609" s="54"/>
      <c r="B609" s="56"/>
      <c r="C609" s="56"/>
      <c r="D609" s="56"/>
      <c r="E609" s="56"/>
      <c r="F609" s="57"/>
      <c r="G609" s="61"/>
      <c r="H609" s="61"/>
      <c r="I609" s="62"/>
      <c r="J609" s="53"/>
    </row>
  </sheetData>
  <autoFilter ref="$A$4:$GF$609">
    <filterColumn colId="5">
      <filters>
        <filter val="ABR, AGO, DEZ"/>
        <filter val="AGO"/>
        <filter val="JAN, FEV, MAR, ABR, MAI, JUN, JUL, AGO, SET, OUT, NOV, DEZ"/>
        <filter val="AGO, DEZ"/>
      </filters>
    </filterColumn>
    <sortState ref="A4:GF609">
      <sortCondition ref="A4:A609"/>
    </sortState>
  </autoFilter>
  <mergeCells count="2">
    <mergeCell ref="I1:J3"/>
    <mergeCell ref="H2:H3"/>
  </mergeCells>
  <printOptions/>
  <pageMargins bottom="0.7480314960629921" footer="0.0" header="0.0" left="0.2362204724409449" right="0.2362204724409449" top="0.35433070866141736"/>
  <pageSetup fitToHeight="0" paperSize="9" orientation="landscape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46.86"/>
    <col customWidth="1" min="6" max="6" width="12.0"/>
    <col customWidth="1" hidden="1" min="7" max="7" width="6.86"/>
    <col customWidth="1" min="8" max="8" width="26.57"/>
    <col customWidth="1" min="9" max="9" width="31.86"/>
    <col customWidth="1" min="10" max="10" width="15.71"/>
  </cols>
  <sheetData>
    <row r="1" ht="24.75" customHeight="1">
      <c r="I1" s="25" t="s">
        <v>10</v>
      </c>
    </row>
    <row r="2" ht="24.75" customHeight="1">
      <c r="A2" s="1"/>
      <c r="B2" s="2"/>
      <c r="C2" s="2"/>
      <c r="D2" s="2"/>
      <c r="E2" s="2"/>
      <c r="F2" s="3"/>
      <c r="G2" s="8"/>
      <c r="H2" s="10"/>
    </row>
    <row r="3" ht="24.75" customHeight="1">
      <c r="A3" s="8"/>
      <c r="B3" s="9"/>
      <c r="C3" s="9"/>
      <c r="D3" s="9"/>
      <c r="E3" s="9"/>
      <c r="F3" s="2"/>
      <c r="G3" s="8"/>
      <c r="H3" s="35"/>
      <c r="I3" s="35"/>
      <c r="J3" s="35"/>
    </row>
    <row r="4" ht="51.0" customHeight="1">
      <c r="A4" s="39" t="s">
        <v>17</v>
      </c>
      <c r="B4" s="39" t="s">
        <v>18</v>
      </c>
      <c r="C4" s="39" t="s">
        <v>19</v>
      </c>
      <c r="D4" s="39" t="s">
        <v>20</v>
      </c>
      <c r="E4" s="39" t="s">
        <v>21</v>
      </c>
      <c r="F4" s="39" t="s">
        <v>22</v>
      </c>
      <c r="G4" s="40" t="s">
        <v>23</v>
      </c>
      <c r="H4" s="39" t="s">
        <v>24</v>
      </c>
      <c r="I4" s="42" t="s">
        <v>26</v>
      </c>
      <c r="J4" s="39" t="s">
        <v>25</v>
      </c>
    </row>
    <row r="5" ht="24.75" hidden="1" customHeight="1">
      <c r="A5" s="44">
        <v>10.0</v>
      </c>
      <c r="B5" s="47" t="s">
        <v>27</v>
      </c>
      <c r="C5" s="47" t="s">
        <v>29</v>
      </c>
      <c r="D5" s="47" t="s">
        <v>29</v>
      </c>
      <c r="E5" s="47" t="s">
        <v>32</v>
      </c>
      <c r="F5" s="48" t="s">
        <v>34</v>
      </c>
      <c r="G5" s="50"/>
      <c r="H5" s="51"/>
      <c r="I5" s="52"/>
      <c r="J5" s="53"/>
    </row>
    <row r="6" ht="24.75" customHeight="1">
      <c r="A6" s="54">
        <v>20.0</v>
      </c>
      <c r="B6" s="56" t="s">
        <v>83</v>
      </c>
      <c r="C6" s="56" t="s">
        <v>84</v>
      </c>
      <c r="D6" s="56" t="s">
        <v>85</v>
      </c>
      <c r="E6" s="56" t="s">
        <v>86</v>
      </c>
      <c r="F6" s="57" t="s">
        <v>87</v>
      </c>
      <c r="G6" s="58"/>
      <c r="H6" s="58"/>
      <c r="I6" s="60" t="s">
        <v>88</v>
      </c>
      <c r="J6" s="59"/>
    </row>
    <row r="7" ht="24.75" hidden="1" customHeight="1">
      <c r="A7" s="54">
        <v>20.0</v>
      </c>
      <c r="B7" s="56" t="s">
        <v>89</v>
      </c>
      <c r="C7" s="56" t="s">
        <v>90</v>
      </c>
      <c r="D7" s="56" t="s">
        <v>91</v>
      </c>
      <c r="E7" s="56"/>
      <c r="F7" s="57" t="s">
        <v>34</v>
      </c>
      <c r="G7" s="61"/>
      <c r="H7" s="61"/>
      <c r="I7" s="62"/>
      <c r="J7" s="53"/>
    </row>
    <row r="8" ht="24.75" hidden="1" customHeight="1">
      <c r="A8" s="54">
        <v>20.0</v>
      </c>
      <c r="B8" s="56" t="s">
        <v>95</v>
      </c>
      <c r="C8" s="56" t="s">
        <v>90</v>
      </c>
      <c r="D8" s="56" t="s">
        <v>96</v>
      </c>
      <c r="E8" s="56" t="s">
        <v>97</v>
      </c>
      <c r="F8" s="57" t="s">
        <v>34</v>
      </c>
      <c r="G8" s="61"/>
      <c r="H8" s="61"/>
      <c r="I8" s="62"/>
      <c r="J8" s="53"/>
    </row>
    <row r="9" ht="24.75" hidden="1" customHeight="1">
      <c r="A9" s="54">
        <v>20.0</v>
      </c>
      <c r="B9" s="56" t="s">
        <v>98</v>
      </c>
      <c r="C9" s="56" t="s">
        <v>90</v>
      </c>
      <c r="D9" s="56" t="s">
        <v>99</v>
      </c>
      <c r="E9" s="56" t="s">
        <v>97</v>
      </c>
      <c r="F9" s="57" t="s">
        <v>34</v>
      </c>
      <c r="G9" s="61"/>
      <c r="H9" s="61"/>
      <c r="I9" s="62"/>
      <c r="J9" s="53"/>
    </row>
    <row r="10" ht="24.75" hidden="1" customHeight="1">
      <c r="A10" s="54">
        <v>20.0</v>
      </c>
      <c r="B10" s="56" t="s">
        <v>100</v>
      </c>
      <c r="C10" s="56" t="s">
        <v>101</v>
      </c>
      <c r="D10" s="56" t="s">
        <v>102</v>
      </c>
      <c r="E10" s="56" t="s">
        <v>103</v>
      </c>
      <c r="F10" s="57" t="s">
        <v>34</v>
      </c>
      <c r="G10" s="61"/>
      <c r="H10" s="61"/>
      <c r="I10" s="62"/>
      <c r="J10" s="53"/>
    </row>
    <row r="11" ht="24.75" customHeight="1">
      <c r="A11" s="54">
        <v>30.0</v>
      </c>
      <c r="B11" s="56" t="s">
        <v>108</v>
      </c>
      <c r="C11" s="56" t="s">
        <v>109</v>
      </c>
      <c r="D11" s="56" t="s">
        <v>110</v>
      </c>
      <c r="E11" s="56" t="s">
        <v>111</v>
      </c>
      <c r="F11" s="57" t="s">
        <v>87</v>
      </c>
      <c r="G11" s="61"/>
      <c r="H11" s="61"/>
      <c r="I11" s="60"/>
      <c r="J11" s="53"/>
    </row>
    <row r="12" ht="24.75" customHeight="1">
      <c r="A12" s="54">
        <v>30.0</v>
      </c>
      <c r="B12" s="56" t="s">
        <v>113</v>
      </c>
      <c r="C12" s="56" t="s">
        <v>109</v>
      </c>
      <c r="D12" s="56" t="s">
        <v>114</v>
      </c>
      <c r="E12" s="56" t="s">
        <v>111</v>
      </c>
      <c r="F12" s="57" t="s">
        <v>87</v>
      </c>
      <c r="G12" s="61"/>
      <c r="H12" s="61"/>
      <c r="I12" s="60"/>
      <c r="J12" s="53"/>
    </row>
    <row r="13" ht="24.75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118</v>
      </c>
      <c r="F13" s="57" t="s">
        <v>87</v>
      </c>
      <c r="G13" s="61"/>
      <c r="H13" s="61"/>
      <c r="I13" s="60"/>
      <c r="J13" s="53"/>
    </row>
    <row r="14" ht="24.75" hidden="1" customHeight="1">
      <c r="A14" s="54">
        <v>30.0</v>
      </c>
      <c r="B14" s="56" t="s">
        <v>116</v>
      </c>
      <c r="C14" s="56" t="s">
        <v>109</v>
      </c>
      <c r="D14" s="56" t="s">
        <v>117</v>
      </c>
      <c r="E14" s="56" t="s">
        <v>119</v>
      </c>
      <c r="F14" s="57" t="s">
        <v>34</v>
      </c>
      <c r="G14" s="61"/>
      <c r="H14" s="61"/>
      <c r="I14" s="62"/>
      <c r="J14" s="53"/>
    </row>
    <row r="15" ht="24.75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111</v>
      </c>
      <c r="F15" s="57" t="s">
        <v>87</v>
      </c>
      <c r="G15" s="61"/>
      <c r="H15" s="61"/>
      <c r="I15" s="60"/>
      <c r="J15" s="53"/>
    </row>
    <row r="16" ht="24.75" hidden="1" customHeight="1">
      <c r="A16" s="54">
        <v>30.0</v>
      </c>
      <c r="B16" s="56" t="s">
        <v>120</v>
      </c>
      <c r="C16" s="56" t="s">
        <v>109</v>
      </c>
      <c r="D16" s="56" t="s">
        <v>121</v>
      </c>
      <c r="E16" s="56" t="s">
        <v>122</v>
      </c>
      <c r="F16" s="57" t="s">
        <v>34</v>
      </c>
      <c r="G16" s="61"/>
      <c r="H16" s="61"/>
      <c r="I16" s="62"/>
      <c r="J16" s="53"/>
    </row>
    <row r="17" ht="24.75" customHeight="1">
      <c r="A17" s="54">
        <v>30.0</v>
      </c>
      <c r="B17" s="56" t="s">
        <v>123</v>
      </c>
      <c r="C17" s="56" t="s">
        <v>109</v>
      </c>
      <c r="D17" s="56" t="s">
        <v>124</v>
      </c>
      <c r="E17" s="56" t="s">
        <v>86</v>
      </c>
      <c r="F17" s="57" t="s">
        <v>87</v>
      </c>
      <c r="G17" s="61"/>
      <c r="H17" s="61"/>
      <c r="I17" s="60"/>
      <c r="J17" s="53"/>
    </row>
    <row r="18" ht="24.75" hidden="1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129</v>
      </c>
      <c r="F18" s="57" t="s">
        <v>34</v>
      </c>
      <c r="G18" s="61"/>
      <c r="H18" s="61"/>
      <c r="I18" s="62" t="s">
        <v>133</v>
      </c>
      <c r="J18" s="53"/>
    </row>
    <row r="19" ht="24.75" hidden="1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132</v>
      </c>
      <c r="F19" s="57" t="s">
        <v>34</v>
      </c>
      <c r="G19" s="61"/>
      <c r="H19" s="61"/>
      <c r="I19" s="62" t="s">
        <v>133</v>
      </c>
      <c r="J19" s="53"/>
    </row>
    <row r="20" ht="24.75" hidden="1" customHeight="1">
      <c r="A20" s="54">
        <v>31.0</v>
      </c>
      <c r="B20" s="56" t="s">
        <v>126</v>
      </c>
      <c r="C20" s="56" t="s">
        <v>127</v>
      </c>
      <c r="D20" s="56" t="s">
        <v>128</v>
      </c>
      <c r="E20" s="56" t="s">
        <v>134</v>
      </c>
      <c r="F20" s="57" t="s">
        <v>34</v>
      </c>
      <c r="G20" s="61"/>
      <c r="H20" s="61"/>
      <c r="I20" s="62" t="s">
        <v>133</v>
      </c>
      <c r="J20" s="53"/>
    </row>
    <row r="21" ht="24.75" hidden="1" customHeight="1">
      <c r="A21" s="54">
        <v>40.0</v>
      </c>
      <c r="B21" s="56" t="s">
        <v>135</v>
      </c>
      <c r="C21" s="56" t="s">
        <v>136</v>
      </c>
      <c r="D21" s="56" t="s">
        <v>137</v>
      </c>
      <c r="E21" s="56" t="s">
        <v>111</v>
      </c>
      <c r="F21" s="57" t="s">
        <v>34</v>
      </c>
      <c r="G21" s="61"/>
      <c r="H21" s="61"/>
      <c r="I21" s="62"/>
      <c r="J21" s="53"/>
    </row>
    <row r="22" ht="24.75" hidden="1" customHeight="1">
      <c r="A22" s="54">
        <v>40.0</v>
      </c>
      <c r="B22" s="56" t="s">
        <v>139</v>
      </c>
      <c r="C22" s="56" t="s">
        <v>101</v>
      </c>
      <c r="D22" s="56" t="s">
        <v>102</v>
      </c>
      <c r="E22" s="56" t="s">
        <v>111</v>
      </c>
      <c r="F22" s="57" t="s">
        <v>34</v>
      </c>
      <c r="G22" s="61"/>
      <c r="H22" s="61"/>
      <c r="I22" s="62"/>
      <c r="J22" s="53"/>
    </row>
    <row r="23" ht="24.75" hidden="1" customHeight="1">
      <c r="A23" s="54">
        <v>40.0</v>
      </c>
      <c r="B23" s="56" t="s">
        <v>140</v>
      </c>
      <c r="C23" s="56" t="s">
        <v>141</v>
      </c>
      <c r="D23" s="56" t="s">
        <v>142</v>
      </c>
      <c r="E23" s="56" t="s">
        <v>111</v>
      </c>
      <c r="F23" s="57" t="s">
        <v>34</v>
      </c>
      <c r="G23" s="61"/>
      <c r="H23" s="61"/>
      <c r="I23" s="62"/>
      <c r="J23" s="53"/>
    </row>
    <row r="24" ht="24.75" hidden="1" customHeight="1">
      <c r="A24" s="54">
        <v>40.0</v>
      </c>
      <c r="B24" s="56" t="s">
        <v>143</v>
      </c>
      <c r="C24" s="56" t="s">
        <v>144</v>
      </c>
      <c r="D24" s="56" t="s">
        <v>145</v>
      </c>
      <c r="E24" s="56" t="s">
        <v>111</v>
      </c>
      <c r="F24" s="57" t="s">
        <v>34</v>
      </c>
      <c r="G24" s="61"/>
      <c r="H24" s="61"/>
      <c r="I24" s="62"/>
      <c r="J24" s="53"/>
    </row>
    <row r="25" ht="24.75" hidden="1" customHeight="1">
      <c r="A25" s="54">
        <v>50.0</v>
      </c>
      <c r="B25" s="56" t="s">
        <v>147</v>
      </c>
      <c r="C25" s="56" t="s">
        <v>148</v>
      </c>
      <c r="D25" s="56" t="s">
        <v>149</v>
      </c>
      <c r="E25" s="56" t="s">
        <v>150</v>
      </c>
      <c r="F25" s="57" t="s">
        <v>34</v>
      </c>
      <c r="G25" s="61"/>
      <c r="H25" s="61"/>
      <c r="I25" s="62"/>
      <c r="J25" s="53"/>
    </row>
    <row r="26" ht="24.75" hidden="1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111</v>
      </c>
      <c r="F26" s="57" t="s">
        <v>34</v>
      </c>
      <c r="G26" s="61"/>
      <c r="H26" s="61"/>
      <c r="I26" s="62"/>
      <c r="J26" s="53"/>
    </row>
    <row r="27" ht="24.75" hidden="1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153</v>
      </c>
      <c r="F27" s="57" t="s">
        <v>154</v>
      </c>
      <c r="G27" s="61"/>
      <c r="H27" s="61"/>
      <c r="I27" s="62"/>
      <c r="J27" s="53"/>
    </row>
    <row r="28" ht="24.75" customHeight="1">
      <c r="A28" s="54">
        <v>50.0</v>
      </c>
      <c r="B28" s="56" t="s">
        <v>151</v>
      </c>
      <c r="C28" s="56" t="s">
        <v>152</v>
      </c>
      <c r="D28" s="56" t="s">
        <v>152</v>
      </c>
      <c r="E28" s="56" t="s">
        <v>155</v>
      </c>
      <c r="F28" s="57" t="s">
        <v>250</v>
      </c>
      <c r="G28" s="61"/>
      <c r="H28" s="61" t="s">
        <v>159</v>
      </c>
      <c r="I28" s="62" t="s">
        <v>160</v>
      </c>
      <c r="J28" s="53"/>
    </row>
    <row r="29" ht="24.75" hidden="1" customHeight="1">
      <c r="A29" s="54">
        <v>50.0</v>
      </c>
      <c r="B29" s="56" t="s">
        <v>156</v>
      </c>
      <c r="C29" s="56" t="s">
        <v>152</v>
      </c>
      <c r="D29" s="56" t="s">
        <v>157</v>
      </c>
      <c r="E29" s="56" t="s">
        <v>158</v>
      </c>
      <c r="F29" s="57" t="s">
        <v>34</v>
      </c>
      <c r="G29" s="61"/>
      <c r="H29" s="61"/>
      <c r="I29" s="62"/>
      <c r="J29" s="53"/>
    </row>
    <row r="30" ht="24.75" hidden="1" customHeight="1">
      <c r="A30" s="54">
        <v>50.0</v>
      </c>
      <c r="B30" s="56" t="s">
        <v>161</v>
      </c>
      <c r="C30" s="56" t="s">
        <v>152</v>
      </c>
      <c r="D30" s="56" t="s">
        <v>162</v>
      </c>
      <c r="E30" s="56" t="s">
        <v>163</v>
      </c>
      <c r="F30" s="57" t="s">
        <v>34</v>
      </c>
      <c r="G30" s="61"/>
      <c r="H30" s="61"/>
      <c r="I30" s="62"/>
      <c r="J30" s="53"/>
    </row>
    <row r="31" ht="24.75" hidden="1" customHeight="1">
      <c r="A31" s="54">
        <v>60.0</v>
      </c>
      <c r="B31" s="56" t="s">
        <v>164</v>
      </c>
      <c r="C31" s="56" t="s">
        <v>165</v>
      </c>
      <c r="D31" s="56" t="s">
        <v>166</v>
      </c>
      <c r="E31" s="56" t="s">
        <v>167</v>
      </c>
      <c r="F31" s="57" t="s">
        <v>154</v>
      </c>
      <c r="G31" s="61"/>
      <c r="H31" s="61"/>
      <c r="I31" s="62"/>
      <c r="J31" s="53"/>
    </row>
    <row r="32" ht="24.75" hidden="1" customHeight="1">
      <c r="A32" s="54">
        <v>60.0</v>
      </c>
      <c r="B32" s="56" t="s">
        <v>169</v>
      </c>
      <c r="C32" s="56" t="s">
        <v>165</v>
      </c>
      <c r="D32" s="56" t="s">
        <v>170</v>
      </c>
      <c r="E32" s="56" t="s">
        <v>167</v>
      </c>
      <c r="F32" s="57" t="s">
        <v>154</v>
      </c>
      <c r="G32" s="61"/>
      <c r="H32" s="61"/>
      <c r="I32" s="62"/>
      <c r="J32" s="53"/>
    </row>
    <row r="33" ht="24.75" hidden="1" customHeight="1">
      <c r="A33" s="54">
        <v>60.0</v>
      </c>
      <c r="B33" s="56" t="s">
        <v>171</v>
      </c>
      <c r="C33" s="56" t="s">
        <v>165</v>
      </c>
      <c r="D33" s="56" t="s">
        <v>172</v>
      </c>
      <c r="E33" s="56" t="s">
        <v>167</v>
      </c>
      <c r="F33" s="57" t="s">
        <v>154</v>
      </c>
      <c r="G33" s="61"/>
      <c r="H33" s="61"/>
      <c r="I33" s="62"/>
      <c r="J33" s="53"/>
    </row>
    <row r="34" ht="24.75" hidden="1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167</v>
      </c>
      <c r="F34" s="57" t="s">
        <v>154</v>
      </c>
      <c r="G34" s="61"/>
      <c r="H34" s="61"/>
      <c r="I34" s="62"/>
      <c r="J34" s="53"/>
    </row>
    <row r="35" ht="24.75" hidden="1" customHeight="1">
      <c r="A35" s="54">
        <v>60.0</v>
      </c>
      <c r="B35" s="56" t="s">
        <v>174</v>
      </c>
      <c r="C35" s="56" t="s">
        <v>165</v>
      </c>
      <c r="D35" s="56" t="s">
        <v>175</v>
      </c>
      <c r="E35" s="56" t="s">
        <v>176</v>
      </c>
      <c r="F35" s="57" t="s">
        <v>154</v>
      </c>
      <c r="G35" s="61"/>
      <c r="H35" s="61"/>
      <c r="I35" s="62"/>
      <c r="J35" s="53"/>
    </row>
    <row r="36" ht="24.75" hidden="1" customHeight="1">
      <c r="A36" s="54">
        <v>60.0</v>
      </c>
      <c r="B36" s="56" t="s">
        <v>177</v>
      </c>
      <c r="C36" s="56" t="s">
        <v>165</v>
      </c>
      <c r="D36" s="56" t="s">
        <v>178</v>
      </c>
      <c r="E36" s="56" t="s">
        <v>111</v>
      </c>
      <c r="F36" s="57" t="s">
        <v>154</v>
      </c>
      <c r="G36" s="61"/>
      <c r="H36" s="61"/>
      <c r="I36" s="62"/>
      <c r="J36" s="53"/>
    </row>
    <row r="37" ht="24.75" hidden="1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167</v>
      </c>
      <c r="F37" s="57" t="s">
        <v>154</v>
      </c>
      <c r="G37" s="61"/>
      <c r="H37" s="61"/>
      <c r="I37" s="62"/>
      <c r="J37" s="53"/>
    </row>
    <row r="38" ht="24.75" hidden="1" customHeight="1">
      <c r="A38" s="54">
        <v>60.0</v>
      </c>
      <c r="B38" s="56" t="s">
        <v>179</v>
      </c>
      <c r="C38" s="56" t="s">
        <v>165</v>
      </c>
      <c r="D38" s="56" t="s">
        <v>180</v>
      </c>
      <c r="E38" s="56" t="s">
        <v>176</v>
      </c>
      <c r="F38" s="57" t="s">
        <v>154</v>
      </c>
      <c r="G38" s="61"/>
      <c r="H38" s="61"/>
      <c r="I38" s="62"/>
      <c r="J38" s="53"/>
    </row>
    <row r="39" ht="24.75" hidden="1" customHeight="1">
      <c r="A39" s="54">
        <v>60.0</v>
      </c>
      <c r="B39" s="56" t="s">
        <v>181</v>
      </c>
      <c r="C39" s="56" t="s">
        <v>165</v>
      </c>
      <c r="D39" s="56" t="s">
        <v>178</v>
      </c>
      <c r="E39" s="56" t="s">
        <v>167</v>
      </c>
      <c r="F39" s="57" t="s">
        <v>154</v>
      </c>
      <c r="G39" s="61"/>
      <c r="H39" s="61"/>
      <c r="I39" s="62" t="s">
        <v>14</v>
      </c>
      <c r="J39" s="53"/>
    </row>
    <row r="40" ht="24.75" hidden="1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167</v>
      </c>
      <c r="F40" s="57" t="s">
        <v>154</v>
      </c>
      <c r="G40" s="61"/>
      <c r="H40" s="61"/>
      <c r="I40" s="62"/>
      <c r="J40" s="53"/>
    </row>
    <row r="41" ht="24.75" hidden="1" customHeight="1">
      <c r="A41" s="54">
        <v>60.0</v>
      </c>
      <c r="B41" s="56" t="s">
        <v>182</v>
      </c>
      <c r="C41" s="56" t="s">
        <v>165</v>
      </c>
      <c r="D41" s="56" t="s">
        <v>183</v>
      </c>
      <c r="E41" s="56" t="s">
        <v>176</v>
      </c>
      <c r="F41" s="57" t="s">
        <v>154</v>
      </c>
      <c r="G41" s="61"/>
      <c r="H41" s="61"/>
      <c r="I41" s="62"/>
      <c r="J41" s="53"/>
    </row>
    <row r="42" ht="24.75" hidden="1" customHeight="1">
      <c r="A42" s="54">
        <v>60.0</v>
      </c>
      <c r="B42" s="56" t="s">
        <v>184</v>
      </c>
      <c r="C42" s="56" t="s">
        <v>165</v>
      </c>
      <c r="D42" s="56" t="s">
        <v>178</v>
      </c>
      <c r="E42" s="56" t="s">
        <v>167</v>
      </c>
      <c r="F42" s="57" t="s">
        <v>154</v>
      </c>
      <c r="G42" s="61"/>
      <c r="H42" s="61"/>
      <c r="I42" s="62"/>
      <c r="J42" s="53"/>
    </row>
    <row r="43" ht="24.75" hidden="1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167</v>
      </c>
      <c r="F43" s="57" t="s">
        <v>154</v>
      </c>
      <c r="G43" s="61"/>
      <c r="H43" s="61"/>
      <c r="I43" s="62"/>
      <c r="J43" s="53"/>
    </row>
    <row r="44" ht="24.75" hidden="1" customHeight="1">
      <c r="A44" s="54">
        <v>60.0</v>
      </c>
      <c r="B44" s="56" t="s">
        <v>185</v>
      </c>
      <c r="C44" s="56" t="s">
        <v>165</v>
      </c>
      <c r="D44" s="56" t="s">
        <v>186</v>
      </c>
      <c r="E44" s="56" t="s">
        <v>176</v>
      </c>
      <c r="F44" s="57" t="s">
        <v>154</v>
      </c>
      <c r="G44" s="61"/>
      <c r="H44" s="61"/>
      <c r="I44" s="62"/>
      <c r="J44" s="53"/>
    </row>
    <row r="45" ht="24.75" hidden="1" customHeight="1">
      <c r="A45" s="54">
        <v>60.0</v>
      </c>
      <c r="B45" s="56" t="s">
        <v>187</v>
      </c>
      <c r="C45" s="56" t="s">
        <v>165</v>
      </c>
      <c r="D45" s="56" t="s">
        <v>178</v>
      </c>
      <c r="E45" s="56" t="s">
        <v>167</v>
      </c>
      <c r="F45" s="57" t="s">
        <v>154</v>
      </c>
      <c r="G45" s="61"/>
      <c r="H45" s="61"/>
      <c r="I45" s="62"/>
      <c r="J45" s="53"/>
    </row>
    <row r="46" ht="24.75" hidden="1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191</v>
      </c>
      <c r="F46" s="57" t="s">
        <v>192</v>
      </c>
      <c r="G46" s="61"/>
      <c r="H46" s="61"/>
      <c r="I46" s="62"/>
      <c r="J46" s="53"/>
    </row>
    <row r="47" ht="24.75" hidden="1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194</v>
      </c>
      <c r="F47" s="57" t="s">
        <v>192</v>
      </c>
      <c r="G47" s="61"/>
      <c r="H47" s="61"/>
      <c r="I47" s="62"/>
      <c r="J47" s="53"/>
    </row>
    <row r="48" ht="24.75" hidden="1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195</v>
      </c>
      <c r="F48" s="57" t="s">
        <v>34</v>
      </c>
      <c r="G48" s="61"/>
      <c r="H48" s="61" t="s">
        <v>197</v>
      </c>
      <c r="I48" s="62"/>
      <c r="J48" s="53"/>
    </row>
    <row r="49" ht="24.75" customHeight="1">
      <c r="A49" s="54">
        <v>80.0</v>
      </c>
      <c r="B49" s="56" t="s">
        <v>188</v>
      </c>
      <c r="C49" s="56" t="s">
        <v>189</v>
      </c>
      <c r="D49" s="56" t="s">
        <v>190</v>
      </c>
      <c r="E49" s="56" t="s">
        <v>196</v>
      </c>
      <c r="F49" s="57" t="s">
        <v>250</v>
      </c>
      <c r="G49" s="61"/>
      <c r="H49" s="61" t="s">
        <v>200</v>
      </c>
      <c r="I49" s="62" t="s">
        <v>201</v>
      </c>
      <c r="J49" s="53"/>
    </row>
    <row r="50" ht="24.75" hidden="1" customHeight="1">
      <c r="A50" s="54">
        <v>80.0</v>
      </c>
      <c r="B50" s="56" t="s">
        <v>198</v>
      </c>
      <c r="C50" s="56" t="s">
        <v>189</v>
      </c>
      <c r="D50" s="56" t="s">
        <v>199</v>
      </c>
      <c r="E50" s="56" t="s">
        <v>163</v>
      </c>
      <c r="F50" s="57" t="s">
        <v>154</v>
      </c>
      <c r="G50" s="61"/>
      <c r="H50" s="61"/>
      <c r="I50" s="62" t="s">
        <v>207</v>
      </c>
      <c r="J50" s="53"/>
    </row>
    <row r="51" ht="24.75" hidden="1" customHeight="1">
      <c r="A51" s="54">
        <v>80.0</v>
      </c>
      <c r="B51" s="56" t="s">
        <v>203</v>
      </c>
      <c r="C51" s="56" t="s">
        <v>204</v>
      </c>
      <c r="D51" s="56" t="s">
        <v>205</v>
      </c>
      <c r="E51" s="56" t="s">
        <v>208</v>
      </c>
      <c r="F51" s="57" t="s">
        <v>154</v>
      </c>
      <c r="G51" s="61"/>
      <c r="H51" s="61"/>
      <c r="I51" s="62" t="s">
        <v>207</v>
      </c>
      <c r="J51" s="53"/>
    </row>
    <row r="52" ht="24.75" hidden="1" customHeight="1">
      <c r="A52" s="54">
        <v>80.0</v>
      </c>
      <c r="B52" s="56" t="s">
        <v>210</v>
      </c>
      <c r="C52" s="56" t="s">
        <v>189</v>
      </c>
      <c r="D52" s="56" t="s">
        <v>212</v>
      </c>
      <c r="E52" s="56" t="s">
        <v>213</v>
      </c>
      <c r="F52" s="57"/>
      <c r="G52" s="61"/>
      <c r="H52" s="61"/>
      <c r="I52" s="62"/>
      <c r="J52" s="53"/>
    </row>
    <row r="53" ht="24.75" hidden="1" customHeight="1">
      <c r="A53" s="54">
        <v>80.0</v>
      </c>
      <c r="B53" s="56" t="s">
        <v>214</v>
      </c>
      <c r="C53" s="56" t="s">
        <v>204</v>
      </c>
      <c r="D53" s="56" t="s">
        <v>215</v>
      </c>
      <c r="E53" s="56" t="s">
        <v>216</v>
      </c>
      <c r="F53" s="57" t="s">
        <v>154</v>
      </c>
      <c r="G53" s="61"/>
      <c r="H53" s="61"/>
      <c r="I53" s="62" t="s">
        <v>207</v>
      </c>
      <c r="J53" s="53"/>
    </row>
    <row r="54" ht="24.75" hidden="1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217</v>
      </c>
      <c r="F54" s="57" t="s">
        <v>154</v>
      </c>
      <c r="G54" s="61"/>
      <c r="H54" s="61"/>
      <c r="I54" s="62" t="s">
        <v>207</v>
      </c>
      <c r="J54" s="53"/>
    </row>
    <row r="55" ht="24.75" hidden="1" customHeight="1">
      <c r="A55" s="54">
        <v>80.0</v>
      </c>
      <c r="B55" s="56" t="s">
        <v>214</v>
      </c>
      <c r="C55" s="56" t="s">
        <v>204</v>
      </c>
      <c r="D55" s="56" t="s">
        <v>215</v>
      </c>
      <c r="E55" s="56" t="s">
        <v>163</v>
      </c>
      <c r="F55" s="57" t="s">
        <v>154</v>
      </c>
      <c r="G55" s="61"/>
      <c r="H55" s="61"/>
      <c r="I55" s="62" t="s">
        <v>207</v>
      </c>
      <c r="J55" s="53"/>
    </row>
    <row r="56" ht="24.75" hidden="1" customHeight="1">
      <c r="A56" s="54">
        <v>80.0</v>
      </c>
      <c r="B56" s="56" t="s">
        <v>218</v>
      </c>
      <c r="C56" s="56" t="s">
        <v>204</v>
      </c>
      <c r="D56" s="56" t="s">
        <v>219</v>
      </c>
      <c r="E56" s="56" t="s">
        <v>191</v>
      </c>
      <c r="F56" s="57" t="s">
        <v>192</v>
      </c>
      <c r="G56" s="61"/>
      <c r="H56" s="61"/>
      <c r="I56" s="62"/>
      <c r="J56" s="53"/>
    </row>
    <row r="57" ht="24.75" hidden="1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194</v>
      </c>
      <c r="F57" s="57" t="s">
        <v>192</v>
      </c>
      <c r="G57" s="61"/>
      <c r="H57" s="61"/>
      <c r="I57" s="62"/>
      <c r="J57" s="53"/>
    </row>
    <row r="58" ht="24.75" hidden="1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195</v>
      </c>
      <c r="F58" s="57" t="s">
        <v>34</v>
      </c>
      <c r="G58" s="61"/>
      <c r="H58" s="61" t="s">
        <v>197</v>
      </c>
      <c r="I58" s="62"/>
      <c r="J58" s="53"/>
    </row>
    <row r="59" ht="24.75" customHeight="1">
      <c r="A59" s="54">
        <v>80.0</v>
      </c>
      <c r="B59" s="56" t="s">
        <v>218</v>
      </c>
      <c r="C59" s="56" t="s">
        <v>204</v>
      </c>
      <c r="D59" s="56" t="s">
        <v>219</v>
      </c>
      <c r="E59" s="56" t="s">
        <v>196</v>
      </c>
      <c r="F59" s="57" t="s">
        <v>250</v>
      </c>
      <c r="G59" s="61"/>
      <c r="H59" s="61" t="s">
        <v>200</v>
      </c>
      <c r="I59" s="62" t="s">
        <v>201</v>
      </c>
      <c r="J59" s="53"/>
    </row>
    <row r="60" ht="24.75" hidden="1" customHeight="1">
      <c r="A60" s="54">
        <v>80.0</v>
      </c>
      <c r="B60" s="56" t="s">
        <v>220</v>
      </c>
      <c r="C60" s="56" t="s">
        <v>204</v>
      </c>
      <c r="D60" s="56" t="s">
        <v>221</v>
      </c>
      <c r="E60" s="56" t="s">
        <v>222</v>
      </c>
      <c r="F60" s="57" t="s">
        <v>154</v>
      </c>
      <c r="G60" s="61"/>
      <c r="H60" s="61"/>
      <c r="I60" s="62"/>
      <c r="J60" s="53"/>
    </row>
    <row r="61" ht="24.75" hidden="1" customHeight="1">
      <c r="A61" s="54">
        <v>80.0</v>
      </c>
      <c r="B61" s="56" t="s">
        <v>223</v>
      </c>
      <c r="C61" s="56" t="s">
        <v>204</v>
      </c>
      <c r="D61" s="56" t="s">
        <v>224</v>
      </c>
      <c r="E61" s="56" t="s">
        <v>225</v>
      </c>
      <c r="F61" s="57" t="s">
        <v>34</v>
      </c>
      <c r="G61" s="61"/>
      <c r="H61" s="61"/>
      <c r="I61" s="62"/>
      <c r="J61" s="53"/>
    </row>
    <row r="62" ht="24.75" hidden="1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167</v>
      </c>
      <c r="F62" s="57" t="s">
        <v>154</v>
      </c>
      <c r="G62" s="61"/>
      <c r="H62" s="61"/>
      <c r="I62" s="62"/>
      <c r="J62" s="53"/>
    </row>
    <row r="63" ht="24.75" hidden="1" customHeight="1">
      <c r="A63" s="54">
        <v>80.0</v>
      </c>
      <c r="B63" s="56" t="s">
        <v>223</v>
      </c>
      <c r="C63" s="56" t="s">
        <v>204</v>
      </c>
      <c r="D63" s="56" t="s">
        <v>224</v>
      </c>
      <c r="E63" s="56" t="s">
        <v>226</v>
      </c>
      <c r="F63" s="57" t="s">
        <v>154</v>
      </c>
      <c r="G63" s="61"/>
      <c r="H63" s="61"/>
      <c r="I63" s="62"/>
      <c r="J63" s="53"/>
    </row>
    <row r="64" ht="24.75" hidden="1" customHeight="1">
      <c r="A64" s="54">
        <v>80.0</v>
      </c>
      <c r="B64" s="56" t="s">
        <v>227</v>
      </c>
      <c r="C64" s="56" t="s">
        <v>228</v>
      </c>
      <c r="D64" s="56" t="s">
        <v>229</v>
      </c>
      <c r="E64" s="56" t="s">
        <v>230</v>
      </c>
      <c r="F64" s="57" t="s">
        <v>154</v>
      </c>
      <c r="G64" s="61"/>
      <c r="H64" s="61"/>
      <c r="I64" s="62"/>
      <c r="J64" s="53"/>
    </row>
    <row r="65" ht="24.75" customHeight="1">
      <c r="A65" s="54">
        <v>80.0</v>
      </c>
      <c r="B65" s="56" t="s">
        <v>227</v>
      </c>
      <c r="C65" s="56" t="s">
        <v>228</v>
      </c>
      <c r="D65" s="56" t="s">
        <v>231</v>
      </c>
      <c r="E65" s="56" t="s">
        <v>232</v>
      </c>
      <c r="F65" s="57" t="s">
        <v>250</v>
      </c>
      <c r="G65" s="61"/>
      <c r="H65" s="61" t="s">
        <v>200</v>
      </c>
      <c r="I65" s="62" t="s">
        <v>240</v>
      </c>
      <c r="J65" s="53"/>
    </row>
    <row r="66" ht="24.75" customHeight="1">
      <c r="A66" s="54">
        <v>92.0</v>
      </c>
      <c r="B66" s="56" t="s">
        <v>233</v>
      </c>
      <c r="C66" s="56" t="s">
        <v>234</v>
      </c>
      <c r="D66" s="56" t="s">
        <v>235</v>
      </c>
      <c r="E66" s="56" t="s">
        <v>111</v>
      </c>
      <c r="F66" s="57" t="s">
        <v>87</v>
      </c>
      <c r="G66" s="61"/>
      <c r="H66" s="61"/>
      <c r="I66" s="60" t="s">
        <v>243</v>
      </c>
      <c r="J66" s="53"/>
    </row>
    <row r="67" ht="24.75" hidden="1" customHeight="1">
      <c r="A67" s="54">
        <v>90.0</v>
      </c>
      <c r="B67" s="56" t="s">
        <v>236</v>
      </c>
      <c r="C67" s="56" t="s">
        <v>237</v>
      </c>
      <c r="D67" s="56" t="s">
        <v>238</v>
      </c>
      <c r="E67" s="56" t="s">
        <v>239</v>
      </c>
      <c r="F67" s="57" t="s">
        <v>34</v>
      </c>
      <c r="G67" s="61"/>
      <c r="H67" s="61"/>
      <c r="I67" s="62" t="s">
        <v>245</v>
      </c>
      <c r="J67" s="53"/>
    </row>
    <row r="68" ht="24.75" hidden="1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241</v>
      </c>
      <c r="F68" s="57" t="s">
        <v>34</v>
      </c>
      <c r="G68" s="61"/>
      <c r="H68" s="61"/>
      <c r="I68" s="62" t="s">
        <v>245</v>
      </c>
      <c r="J68" s="53"/>
    </row>
    <row r="69" ht="24.75" hidden="1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242</v>
      </c>
      <c r="F69" s="57" t="s">
        <v>34</v>
      </c>
      <c r="G69" s="61"/>
      <c r="H69" s="61"/>
      <c r="I69" s="62" t="s">
        <v>245</v>
      </c>
      <c r="J69" s="53"/>
    </row>
    <row r="70" ht="24.75" hidden="1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244</v>
      </c>
      <c r="F70" s="57" t="s">
        <v>34</v>
      </c>
      <c r="G70" s="61"/>
      <c r="H70" s="61"/>
      <c r="I70" s="62" t="s">
        <v>245</v>
      </c>
      <c r="J70" s="53"/>
    </row>
    <row r="71" ht="24.75" hidden="1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247</v>
      </c>
      <c r="F71" s="57" t="s">
        <v>34</v>
      </c>
      <c r="G71" s="61"/>
      <c r="H71" s="61"/>
      <c r="I71" s="62" t="s">
        <v>245</v>
      </c>
      <c r="J71" s="53"/>
    </row>
    <row r="72" ht="24.75" hidden="1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248</v>
      </c>
      <c r="F72" s="57" t="s">
        <v>34</v>
      </c>
      <c r="G72" s="61"/>
      <c r="H72" s="61"/>
      <c r="I72" s="62"/>
      <c r="J72" s="53"/>
    </row>
    <row r="73" ht="24.75" hidden="1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252</v>
      </c>
      <c r="F73" s="57" t="s">
        <v>34</v>
      </c>
      <c r="G73" s="61"/>
      <c r="H73" s="61"/>
      <c r="I73" s="62" t="s">
        <v>245</v>
      </c>
      <c r="J73" s="53"/>
    </row>
    <row r="74" ht="24.75" customHeight="1">
      <c r="A74" s="54">
        <v>92.0</v>
      </c>
      <c r="B74" s="56" t="s">
        <v>253</v>
      </c>
      <c r="C74" s="56" t="s">
        <v>234</v>
      </c>
      <c r="D74" s="56" t="s">
        <v>254</v>
      </c>
      <c r="E74" s="56" t="s">
        <v>111</v>
      </c>
      <c r="F74" s="57" t="s">
        <v>87</v>
      </c>
      <c r="G74" s="61"/>
      <c r="H74" s="61"/>
      <c r="I74" s="60" t="s">
        <v>243</v>
      </c>
      <c r="J74" s="53"/>
    </row>
    <row r="75" ht="24.75" customHeight="1">
      <c r="A75" s="54">
        <v>92.0</v>
      </c>
      <c r="B75" s="56" t="s">
        <v>255</v>
      </c>
      <c r="C75" s="56" t="s">
        <v>234</v>
      </c>
      <c r="D75" s="56" t="s">
        <v>256</v>
      </c>
      <c r="E75" s="56" t="s">
        <v>257</v>
      </c>
      <c r="F75" s="57" t="s">
        <v>87</v>
      </c>
      <c r="G75" s="61"/>
      <c r="H75" s="61"/>
      <c r="I75" s="60"/>
      <c r="J75" s="53"/>
    </row>
    <row r="76" ht="24.75" customHeight="1">
      <c r="A76" s="54">
        <v>110.0</v>
      </c>
      <c r="B76" s="56" t="s">
        <v>258</v>
      </c>
      <c r="C76" s="56" t="s">
        <v>259</v>
      </c>
      <c r="D76" s="56" t="s">
        <v>85</v>
      </c>
      <c r="E76" s="56" t="s">
        <v>86</v>
      </c>
      <c r="F76" s="57" t="s">
        <v>87</v>
      </c>
      <c r="G76" s="61"/>
      <c r="H76" s="61"/>
      <c r="I76" s="60" t="s">
        <v>88</v>
      </c>
      <c r="J76" s="53"/>
    </row>
    <row r="77" ht="24.75" customHeight="1">
      <c r="A77" s="54">
        <v>110.0</v>
      </c>
      <c r="B77" s="56" t="s">
        <v>260</v>
      </c>
      <c r="C77" s="56" t="s">
        <v>259</v>
      </c>
      <c r="D77" s="56" t="s">
        <v>261</v>
      </c>
      <c r="E77" s="56" t="s">
        <v>86</v>
      </c>
      <c r="F77" s="57" t="s">
        <v>87</v>
      </c>
      <c r="G77" s="61"/>
      <c r="H77" s="61"/>
      <c r="I77" s="60" t="s">
        <v>88</v>
      </c>
      <c r="J77" s="53"/>
    </row>
    <row r="78" ht="24.75" customHeight="1">
      <c r="A78" s="54">
        <v>120.0</v>
      </c>
      <c r="B78" s="56" t="s">
        <v>262</v>
      </c>
      <c r="C78" s="56" t="s">
        <v>263</v>
      </c>
      <c r="D78" s="56" t="s">
        <v>263</v>
      </c>
      <c r="E78" s="56" t="s">
        <v>264</v>
      </c>
      <c r="F78" s="57" t="s">
        <v>87</v>
      </c>
      <c r="G78" s="61"/>
      <c r="H78" s="61"/>
      <c r="I78" s="60" t="s">
        <v>273</v>
      </c>
      <c r="J78" s="53"/>
    </row>
    <row r="79" ht="24.75" hidden="1" customHeight="1">
      <c r="A79" s="54">
        <v>90.0</v>
      </c>
      <c r="B79" s="56" t="s">
        <v>265</v>
      </c>
      <c r="C79" s="56" t="s">
        <v>237</v>
      </c>
      <c r="D79" s="56" t="s">
        <v>266</v>
      </c>
      <c r="E79" s="56" t="s">
        <v>267</v>
      </c>
      <c r="F79" s="57" t="s">
        <v>192</v>
      </c>
      <c r="G79" s="61"/>
      <c r="H79" s="61"/>
      <c r="I79" s="62" t="s">
        <v>245</v>
      </c>
      <c r="J79" s="53"/>
    </row>
    <row r="80" ht="24.75" hidden="1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268</v>
      </c>
      <c r="F80" s="57" t="s">
        <v>34</v>
      </c>
      <c r="G80" s="61"/>
      <c r="H80" s="61"/>
      <c r="I80" s="62" t="s">
        <v>245</v>
      </c>
      <c r="J80" s="53"/>
    </row>
    <row r="81" ht="24.75" customHeight="1">
      <c r="A81" s="54">
        <v>140.0</v>
      </c>
      <c r="B81" s="56" t="s">
        <v>269</v>
      </c>
      <c r="C81" s="56" t="s">
        <v>270</v>
      </c>
      <c r="D81" s="56" t="s">
        <v>271</v>
      </c>
      <c r="E81" s="56" t="s">
        <v>272</v>
      </c>
      <c r="F81" s="57" t="s">
        <v>87</v>
      </c>
      <c r="G81" s="61"/>
      <c r="H81" s="61"/>
      <c r="I81" s="60"/>
      <c r="J81" s="53"/>
    </row>
    <row r="82" ht="24.75" hidden="1" customHeight="1">
      <c r="A82" s="54">
        <v>90.0</v>
      </c>
      <c r="B82" s="56" t="s">
        <v>274</v>
      </c>
      <c r="C82" s="56" t="s">
        <v>237</v>
      </c>
      <c r="D82" s="56" t="s">
        <v>275</v>
      </c>
      <c r="E82" s="56" t="s">
        <v>239</v>
      </c>
      <c r="F82" s="57" t="s">
        <v>34</v>
      </c>
      <c r="G82" s="61"/>
      <c r="H82" s="61"/>
      <c r="I82" s="62" t="s">
        <v>245</v>
      </c>
      <c r="J82" s="53"/>
    </row>
    <row r="83" ht="24.75" hidden="1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248</v>
      </c>
      <c r="F83" s="57" t="s">
        <v>34</v>
      </c>
      <c r="G83" s="61"/>
      <c r="H83" s="61"/>
      <c r="I83" s="62"/>
      <c r="J83" s="53"/>
    </row>
    <row r="84" ht="24.75" customHeight="1">
      <c r="A84" s="54">
        <v>140.0</v>
      </c>
      <c r="B84" s="56" t="s">
        <v>269</v>
      </c>
      <c r="C84" s="56" t="s">
        <v>270</v>
      </c>
      <c r="D84" s="56" t="s">
        <v>271</v>
      </c>
      <c r="E84" s="56" t="s">
        <v>276</v>
      </c>
      <c r="F84" s="57" t="s">
        <v>87</v>
      </c>
      <c r="G84" s="61"/>
      <c r="H84" s="61"/>
      <c r="I84" s="60" t="s">
        <v>88</v>
      </c>
      <c r="J84" s="53"/>
    </row>
    <row r="85" ht="24.75" hidden="1" customHeight="1">
      <c r="A85" s="54">
        <v>90.0</v>
      </c>
      <c r="B85" s="56" t="s">
        <v>277</v>
      </c>
      <c r="C85" s="56" t="s">
        <v>278</v>
      </c>
      <c r="D85" s="56" t="s">
        <v>279</v>
      </c>
      <c r="E85" s="56" t="s">
        <v>239</v>
      </c>
      <c r="F85" s="57" t="s">
        <v>34</v>
      </c>
      <c r="G85" s="61"/>
      <c r="H85" s="61"/>
      <c r="I85" s="62" t="s">
        <v>283</v>
      </c>
      <c r="J85" s="53"/>
    </row>
    <row r="86" ht="24.75" hidden="1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163</v>
      </c>
      <c r="F86" s="57" t="s">
        <v>34</v>
      </c>
      <c r="G86" s="61"/>
      <c r="H86" s="61"/>
      <c r="I86" s="62" t="s">
        <v>283</v>
      </c>
      <c r="J86" s="53"/>
    </row>
    <row r="87" ht="24.75" hidden="1" customHeight="1">
      <c r="A87" s="54">
        <v>90.0</v>
      </c>
      <c r="B87" s="56" t="s">
        <v>277</v>
      </c>
      <c r="C87" s="56" t="s">
        <v>278</v>
      </c>
      <c r="D87" s="56" t="s">
        <v>279</v>
      </c>
      <c r="E87" s="56" t="s">
        <v>241</v>
      </c>
      <c r="F87" s="57" t="s">
        <v>34</v>
      </c>
      <c r="G87" s="61"/>
      <c r="H87" s="61"/>
      <c r="I87" s="62" t="s">
        <v>283</v>
      </c>
      <c r="J87" s="53"/>
    </row>
    <row r="88" ht="24.75" customHeight="1">
      <c r="A88" s="54">
        <v>90.0</v>
      </c>
      <c r="B88" s="56" t="s">
        <v>280</v>
      </c>
      <c r="C88" s="56" t="s">
        <v>278</v>
      </c>
      <c r="D88" s="56" t="s">
        <v>281</v>
      </c>
      <c r="E88" s="56" t="s">
        <v>196</v>
      </c>
      <c r="F88" s="57" t="s">
        <v>250</v>
      </c>
      <c r="G88" s="61"/>
      <c r="H88" s="61" t="s">
        <v>287</v>
      </c>
      <c r="I88" s="62" t="s">
        <v>288</v>
      </c>
      <c r="J88" s="53"/>
    </row>
    <row r="89" ht="24.75" customHeight="1">
      <c r="A89" s="54">
        <v>140.0</v>
      </c>
      <c r="B89" s="56" t="s">
        <v>284</v>
      </c>
      <c r="C89" s="56" t="s">
        <v>270</v>
      </c>
      <c r="D89" s="56" t="s">
        <v>285</v>
      </c>
      <c r="E89" s="56" t="s">
        <v>272</v>
      </c>
      <c r="F89" s="57" t="s">
        <v>87</v>
      </c>
      <c r="G89" s="61"/>
      <c r="H89" s="61"/>
      <c r="I89" s="60"/>
      <c r="J89" s="53"/>
    </row>
    <row r="90" ht="24.75" customHeight="1">
      <c r="A90" s="54">
        <v>140.0</v>
      </c>
      <c r="B90" s="56" t="s">
        <v>284</v>
      </c>
      <c r="C90" s="56" t="s">
        <v>270</v>
      </c>
      <c r="D90" s="56" t="s">
        <v>285</v>
      </c>
      <c r="E90" s="56" t="s">
        <v>276</v>
      </c>
      <c r="F90" s="57" t="s">
        <v>87</v>
      </c>
      <c r="G90" s="61"/>
      <c r="H90" s="61"/>
      <c r="I90" s="60" t="s">
        <v>88</v>
      </c>
      <c r="J90" s="53"/>
    </row>
    <row r="91" ht="24.75" hidden="1" customHeight="1">
      <c r="A91" s="54">
        <v>90.0</v>
      </c>
      <c r="B91" s="56" t="s">
        <v>286</v>
      </c>
      <c r="C91" s="56" t="s">
        <v>278</v>
      </c>
      <c r="D91" s="56" t="s">
        <v>266</v>
      </c>
      <c r="E91" s="56" t="s">
        <v>268</v>
      </c>
      <c r="F91" s="57" t="s">
        <v>34</v>
      </c>
      <c r="G91" s="61"/>
      <c r="H91" s="61"/>
      <c r="I91" s="62" t="s">
        <v>283</v>
      </c>
      <c r="J91" s="53"/>
    </row>
    <row r="92" ht="24.75" customHeight="1">
      <c r="A92" s="54" t="s">
        <v>289</v>
      </c>
      <c r="B92" s="56" t="s">
        <v>290</v>
      </c>
      <c r="C92" s="56" t="s">
        <v>291</v>
      </c>
      <c r="D92" s="56" t="s">
        <v>292</v>
      </c>
      <c r="E92" s="56" t="s">
        <v>167</v>
      </c>
      <c r="F92" s="57" t="s">
        <v>87</v>
      </c>
      <c r="G92" s="61"/>
      <c r="H92" s="79"/>
      <c r="I92" s="60"/>
      <c r="J92" s="53"/>
    </row>
    <row r="93" ht="24.75" hidden="1" customHeight="1">
      <c r="A93" s="54">
        <v>90.0</v>
      </c>
      <c r="B93" s="56" t="s">
        <v>294</v>
      </c>
      <c r="C93" s="56" t="s">
        <v>278</v>
      </c>
      <c r="D93" s="56" t="s">
        <v>275</v>
      </c>
      <c r="E93" s="56" t="s">
        <v>239</v>
      </c>
      <c r="F93" s="57" t="s">
        <v>34</v>
      </c>
      <c r="G93" s="61"/>
      <c r="H93" s="61"/>
      <c r="I93" s="62"/>
      <c r="J93" s="53"/>
    </row>
    <row r="94" ht="24.75" customHeight="1">
      <c r="A94" s="54" t="s">
        <v>289</v>
      </c>
      <c r="B94" s="56" t="s">
        <v>290</v>
      </c>
      <c r="C94" s="56" t="s">
        <v>291</v>
      </c>
      <c r="D94" s="56" t="s">
        <v>292</v>
      </c>
      <c r="E94" s="56" t="s">
        <v>295</v>
      </c>
      <c r="F94" s="57" t="s">
        <v>87</v>
      </c>
      <c r="G94" s="61"/>
      <c r="H94" s="79"/>
      <c r="I94" s="60"/>
      <c r="J94" s="53"/>
    </row>
    <row r="95" ht="24.75" hidden="1" customHeight="1">
      <c r="A95" s="54">
        <v>92.0</v>
      </c>
      <c r="B95" s="56" t="s">
        <v>233</v>
      </c>
      <c r="C95" s="56" t="s">
        <v>234</v>
      </c>
      <c r="D95" s="56" t="s">
        <v>296</v>
      </c>
      <c r="E95" s="56" t="s">
        <v>297</v>
      </c>
      <c r="F95" s="57"/>
      <c r="G95" s="61"/>
      <c r="H95" s="61"/>
      <c r="I95" s="62" t="s">
        <v>283</v>
      </c>
      <c r="J95" s="53"/>
    </row>
    <row r="96" ht="24.75" hidden="1" customHeight="1">
      <c r="A96" s="54">
        <v>90.0</v>
      </c>
      <c r="B96" s="56" t="s">
        <v>298</v>
      </c>
      <c r="C96" s="56" t="s">
        <v>278</v>
      </c>
      <c r="D96" s="56" t="s">
        <v>299</v>
      </c>
      <c r="E96" s="56" t="s">
        <v>167</v>
      </c>
      <c r="F96" s="57" t="s">
        <v>15</v>
      </c>
      <c r="G96" s="61"/>
      <c r="H96" s="61"/>
      <c r="I96" s="60"/>
      <c r="J96" s="53"/>
    </row>
    <row r="97" ht="24.75" hidden="1" customHeight="1">
      <c r="A97" s="54">
        <v>92.0</v>
      </c>
      <c r="B97" s="56" t="s">
        <v>253</v>
      </c>
      <c r="C97" s="56" t="s">
        <v>234</v>
      </c>
      <c r="D97" s="56" t="s">
        <v>300</v>
      </c>
      <c r="E97" s="56" t="s">
        <v>297</v>
      </c>
      <c r="F97" s="57"/>
      <c r="G97" s="61"/>
      <c r="H97" s="61"/>
      <c r="I97" s="62" t="s">
        <v>283</v>
      </c>
      <c r="J97" s="53"/>
    </row>
    <row r="98" ht="24.75" hidden="1" customHeight="1">
      <c r="A98" s="54">
        <v>92.0</v>
      </c>
      <c r="B98" s="56" t="s">
        <v>301</v>
      </c>
      <c r="C98" s="56" t="s">
        <v>234</v>
      </c>
      <c r="D98" s="56" t="s">
        <v>302</v>
      </c>
      <c r="E98" s="56" t="s">
        <v>163</v>
      </c>
      <c r="F98" s="57" t="s">
        <v>34</v>
      </c>
      <c r="G98" s="61"/>
      <c r="H98" s="61"/>
      <c r="I98" s="62"/>
      <c r="J98" s="53"/>
    </row>
    <row r="99" ht="24.75" hidden="1" customHeight="1">
      <c r="A99" s="54">
        <v>92.0</v>
      </c>
      <c r="B99" s="56" t="s">
        <v>301</v>
      </c>
      <c r="C99" s="56" t="s">
        <v>234</v>
      </c>
      <c r="D99" s="56" t="s">
        <v>302</v>
      </c>
      <c r="E99" s="56" t="s">
        <v>111</v>
      </c>
      <c r="F99" s="57" t="s">
        <v>154</v>
      </c>
      <c r="G99" s="61"/>
      <c r="H99" s="61"/>
      <c r="I99" s="62"/>
      <c r="J99" s="53"/>
    </row>
    <row r="100" ht="24.75" hidden="1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248</v>
      </c>
      <c r="F100" s="57" t="s">
        <v>303</v>
      </c>
      <c r="G100" s="61"/>
      <c r="H100" s="61"/>
      <c r="I100" s="62"/>
      <c r="J100" s="53"/>
    </row>
    <row r="101" ht="24.75" hidden="1" customHeight="1">
      <c r="A101" s="54">
        <v>92.0</v>
      </c>
      <c r="B101" s="56" t="s">
        <v>301</v>
      </c>
      <c r="C101" s="56" t="s">
        <v>234</v>
      </c>
      <c r="D101" s="56" t="s">
        <v>302</v>
      </c>
      <c r="E101" s="56" t="s">
        <v>247</v>
      </c>
      <c r="F101" s="57" t="s">
        <v>303</v>
      </c>
      <c r="G101" s="61"/>
      <c r="H101" s="61"/>
      <c r="I101" s="62"/>
      <c r="J101" s="53"/>
    </row>
    <row r="102" ht="24.75" hidden="1" customHeight="1">
      <c r="A102" s="54">
        <v>92.0</v>
      </c>
      <c r="B102" s="56" t="s">
        <v>304</v>
      </c>
      <c r="C102" s="56" t="s">
        <v>234</v>
      </c>
      <c r="D102" s="56" t="s">
        <v>305</v>
      </c>
      <c r="E102" s="56" t="s">
        <v>163</v>
      </c>
      <c r="F102" s="57" t="s">
        <v>34</v>
      </c>
      <c r="G102" s="61"/>
      <c r="H102" s="61"/>
      <c r="I102" s="62"/>
      <c r="J102" s="53"/>
    </row>
    <row r="103" ht="24.75" hidden="1" customHeight="1">
      <c r="A103" s="54">
        <v>92.0</v>
      </c>
      <c r="B103" s="56" t="s">
        <v>304</v>
      </c>
      <c r="C103" s="56" t="s">
        <v>234</v>
      </c>
      <c r="D103" s="56" t="s">
        <v>305</v>
      </c>
      <c r="E103" s="56" t="s">
        <v>111</v>
      </c>
      <c r="F103" s="57" t="s">
        <v>154</v>
      </c>
      <c r="G103" s="61"/>
      <c r="H103" s="61"/>
      <c r="I103" s="62"/>
      <c r="J103" s="53"/>
    </row>
    <row r="104" ht="24.75" hidden="1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248</v>
      </c>
      <c r="F104" s="57" t="s">
        <v>303</v>
      </c>
      <c r="G104" s="61"/>
      <c r="H104" s="61"/>
      <c r="I104" s="62"/>
      <c r="J104" s="53"/>
    </row>
    <row r="105" ht="24.75" hidden="1" customHeight="1">
      <c r="A105" s="54">
        <v>92.0</v>
      </c>
      <c r="B105" s="56" t="s">
        <v>304</v>
      </c>
      <c r="C105" s="56" t="s">
        <v>234</v>
      </c>
      <c r="D105" s="56" t="s">
        <v>305</v>
      </c>
      <c r="E105" s="56" t="s">
        <v>247</v>
      </c>
      <c r="F105" s="57" t="s">
        <v>303</v>
      </c>
      <c r="G105" s="61"/>
      <c r="H105" s="61"/>
      <c r="I105" s="62"/>
      <c r="J105" s="53"/>
    </row>
    <row r="106" ht="24.75" hidden="1" customHeight="1">
      <c r="A106" s="54">
        <v>92.0</v>
      </c>
      <c r="B106" s="56" t="s">
        <v>306</v>
      </c>
      <c r="C106" s="56" t="s">
        <v>234</v>
      </c>
      <c r="D106" s="56" t="s">
        <v>307</v>
      </c>
      <c r="E106" s="56" t="s">
        <v>163</v>
      </c>
      <c r="F106" s="57" t="s">
        <v>34</v>
      </c>
      <c r="G106" s="61"/>
      <c r="H106" s="61"/>
      <c r="I106" s="62"/>
      <c r="J106" s="53"/>
    </row>
    <row r="107" ht="24.75" hidden="1" customHeight="1">
      <c r="A107" s="54">
        <v>92.0</v>
      </c>
      <c r="B107" s="56" t="s">
        <v>306</v>
      </c>
      <c r="C107" s="56" t="s">
        <v>234</v>
      </c>
      <c r="D107" s="56" t="s">
        <v>307</v>
      </c>
      <c r="E107" s="56" t="s">
        <v>111</v>
      </c>
      <c r="F107" s="57" t="s">
        <v>154</v>
      </c>
      <c r="G107" s="61"/>
      <c r="H107" s="61"/>
      <c r="I107" s="62"/>
      <c r="J107" s="53"/>
    </row>
    <row r="108" ht="24.75" hidden="1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248</v>
      </c>
      <c r="F108" s="57" t="s">
        <v>303</v>
      </c>
      <c r="G108" s="61"/>
      <c r="H108" s="61"/>
      <c r="I108" s="62"/>
      <c r="J108" s="53"/>
    </row>
    <row r="109" ht="24.75" hidden="1" customHeight="1">
      <c r="A109" s="54">
        <v>92.0</v>
      </c>
      <c r="B109" s="56" t="s">
        <v>306</v>
      </c>
      <c r="C109" s="56" t="s">
        <v>234</v>
      </c>
      <c r="D109" s="56" t="s">
        <v>307</v>
      </c>
      <c r="E109" s="56" t="s">
        <v>247</v>
      </c>
      <c r="F109" s="57" t="s">
        <v>303</v>
      </c>
      <c r="G109" s="61"/>
      <c r="H109" s="61"/>
      <c r="I109" s="62"/>
      <c r="J109" s="53"/>
    </row>
    <row r="110" ht="24.75" hidden="1" customHeight="1">
      <c r="A110" s="54">
        <v>90.0</v>
      </c>
      <c r="B110" s="56" t="s">
        <v>236</v>
      </c>
      <c r="C110" s="56" t="s">
        <v>237</v>
      </c>
      <c r="D110" s="56" t="s">
        <v>238</v>
      </c>
      <c r="E110" s="56" t="s">
        <v>308</v>
      </c>
      <c r="F110" s="57" t="s">
        <v>15</v>
      </c>
      <c r="G110" s="61"/>
      <c r="H110" s="61"/>
      <c r="I110" s="60"/>
      <c r="J110" s="53"/>
    </row>
    <row r="111" ht="24.75" hidden="1" customHeight="1">
      <c r="A111" s="54">
        <v>92.0</v>
      </c>
      <c r="B111" s="56" t="s">
        <v>309</v>
      </c>
      <c r="C111" s="56" t="s">
        <v>234</v>
      </c>
      <c r="D111" s="80" t="s">
        <v>310</v>
      </c>
      <c r="E111" s="56" t="s">
        <v>297</v>
      </c>
      <c r="F111" s="57"/>
      <c r="G111" s="61"/>
      <c r="H111" s="61"/>
      <c r="I111" s="62"/>
      <c r="J111" s="53"/>
    </row>
    <row r="112" ht="24.75" hidden="1" customHeight="1">
      <c r="A112" s="54">
        <v>90.0</v>
      </c>
      <c r="B112" s="56" t="s">
        <v>236</v>
      </c>
      <c r="C112" s="56" t="s">
        <v>237</v>
      </c>
      <c r="D112" s="56" t="s">
        <v>238</v>
      </c>
      <c r="E112" s="56" t="s">
        <v>311</v>
      </c>
      <c r="F112" s="57" t="s">
        <v>15</v>
      </c>
      <c r="G112" s="61"/>
      <c r="H112" s="61"/>
      <c r="I112" s="60"/>
      <c r="J112" s="53"/>
    </row>
    <row r="113" ht="24.75" hidden="1" customHeight="1">
      <c r="A113" s="54">
        <v>90.0</v>
      </c>
      <c r="B113" s="56" t="s">
        <v>236</v>
      </c>
      <c r="C113" s="56" t="s">
        <v>237</v>
      </c>
      <c r="D113" s="56" t="s">
        <v>238</v>
      </c>
      <c r="E113" s="56" t="s">
        <v>312</v>
      </c>
      <c r="F113" s="57" t="s">
        <v>15</v>
      </c>
      <c r="G113" s="61"/>
      <c r="H113" s="61"/>
      <c r="I113" s="60"/>
      <c r="J113" s="53"/>
    </row>
    <row r="114" ht="24.75" hidden="1" customHeight="1">
      <c r="A114" s="54">
        <v>100.0</v>
      </c>
      <c r="B114" s="56" t="s">
        <v>314</v>
      </c>
      <c r="C114" s="56" t="s">
        <v>315</v>
      </c>
      <c r="D114" s="56" t="s">
        <v>316</v>
      </c>
      <c r="E114" s="56" t="s">
        <v>317</v>
      </c>
      <c r="F114" s="57" t="s">
        <v>34</v>
      </c>
      <c r="G114" s="81"/>
      <c r="H114" s="81"/>
      <c r="I114" s="57"/>
      <c r="J114" s="53"/>
    </row>
    <row r="115" ht="24.75" hidden="1" customHeight="1">
      <c r="A115" s="54">
        <v>100.0</v>
      </c>
      <c r="B115" s="56" t="s">
        <v>318</v>
      </c>
      <c r="C115" s="56" t="s">
        <v>315</v>
      </c>
      <c r="D115" s="56" t="s">
        <v>319</v>
      </c>
      <c r="E115" s="56" t="s">
        <v>320</v>
      </c>
      <c r="F115" s="57" t="s">
        <v>34</v>
      </c>
      <c r="G115" s="81"/>
      <c r="H115" s="81"/>
      <c r="I115" s="57"/>
      <c r="J115" s="5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82"/>
      <c r="EB115" s="82"/>
      <c r="EC115" s="82"/>
      <c r="ED115" s="82"/>
      <c r="EE115" s="82"/>
      <c r="EF115" s="82"/>
      <c r="EG115" s="82"/>
      <c r="EH115" s="82"/>
      <c r="EI115" s="82"/>
      <c r="EJ115" s="82"/>
      <c r="EK115" s="82"/>
      <c r="EL115" s="82"/>
      <c r="EM115" s="82"/>
      <c r="EN115" s="82"/>
      <c r="EO115" s="82"/>
      <c r="EP115" s="82"/>
      <c r="EQ115" s="82"/>
      <c r="ER115" s="82"/>
      <c r="ES115" s="82"/>
      <c r="ET115" s="82"/>
      <c r="EU115" s="82"/>
      <c r="EV115" s="82"/>
      <c r="EW115" s="82"/>
      <c r="EX115" s="82"/>
      <c r="EY115" s="82"/>
      <c r="EZ115" s="82"/>
      <c r="FA115" s="82"/>
      <c r="FB115" s="82"/>
      <c r="FC115" s="82"/>
      <c r="FD115" s="82"/>
      <c r="FE115" s="82"/>
      <c r="FF115" s="82"/>
      <c r="FG115" s="82"/>
      <c r="FH115" s="82"/>
      <c r="FI115" s="82"/>
      <c r="FJ115" s="82"/>
      <c r="FK115" s="82"/>
      <c r="FL115" s="82"/>
      <c r="FM115" s="82"/>
      <c r="FN115" s="82"/>
      <c r="FO115" s="82"/>
      <c r="FP115" s="82"/>
      <c r="FQ115" s="82"/>
      <c r="FR115" s="82"/>
      <c r="FS115" s="82"/>
      <c r="FT115" s="82"/>
      <c r="FU115" s="82"/>
      <c r="FV115" s="82"/>
      <c r="FW115" s="82"/>
      <c r="FX115" s="82"/>
      <c r="FY115" s="82"/>
      <c r="FZ115" s="82"/>
      <c r="GA115" s="82"/>
      <c r="GB115" s="82"/>
      <c r="GC115" s="82"/>
      <c r="GD115" s="82"/>
      <c r="GE115" s="82"/>
      <c r="GF115" s="82"/>
    </row>
    <row r="116" ht="24.75" hidden="1" customHeight="1">
      <c r="A116" s="54">
        <v>100.0</v>
      </c>
      <c r="B116" s="56" t="s">
        <v>318</v>
      </c>
      <c r="C116" s="56" t="s">
        <v>315</v>
      </c>
      <c r="D116" s="56" t="s">
        <v>319</v>
      </c>
      <c r="E116" s="56" t="s">
        <v>325</v>
      </c>
      <c r="F116" s="57" t="s">
        <v>34</v>
      </c>
      <c r="G116" s="53"/>
      <c r="H116" s="53"/>
      <c r="I116" s="53"/>
      <c r="J116" s="5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F116" s="82"/>
      <c r="EG116" s="82"/>
      <c r="EH116" s="82"/>
      <c r="EI116" s="82"/>
      <c r="EJ116" s="82"/>
      <c r="EK116" s="82"/>
      <c r="EL116" s="82"/>
      <c r="EM116" s="82"/>
      <c r="EN116" s="82"/>
      <c r="EO116" s="82"/>
      <c r="EP116" s="82"/>
      <c r="EQ116" s="82"/>
      <c r="ER116" s="82"/>
      <c r="ES116" s="82"/>
      <c r="ET116" s="82"/>
      <c r="EU116" s="82"/>
      <c r="EV116" s="82"/>
      <c r="EW116" s="82"/>
      <c r="EX116" s="82"/>
      <c r="EY116" s="82"/>
      <c r="EZ116" s="82"/>
      <c r="FA116" s="82"/>
      <c r="FB116" s="82"/>
      <c r="FC116" s="82"/>
      <c r="FD116" s="82"/>
      <c r="FE116" s="82"/>
      <c r="FF116" s="82"/>
      <c r="FG116" s="82"/>
      <c r="FH116" s="82"/>
      <c r="FI116" s="82"/>
      <c r="FJ116" s="82"/>
      <c r="FK116" s="82"/>
      <c r="FL116" s="82"/>
      <c r="FM116" s="82"/>
      <c r="FN116" s="82"/>
      <c r="FO116" s="82"/>
      <c r="FP116" s="82"/>
      <c r="FQ116" s="82"/>
      <c r="FR116" s="82"/>
      <c r="FS116" s="82"/>
      <c r="FT116" s="82"/>
      <c r="FU116" s="82"/>
      <c r="FV116" s="82"/>
      <c r="FW116" s="82"/>
      <c r="FX116" s="82"/>
      <c r="FY116" s="82"/>
      <c r="FZ116" s="82"/>
      <c r="GA116" s="82"/>
      <c r="GB116" s="82"/>
      <c r="GC116" s="82"/>
      <c r="GD116" s="82"/>
      <c r="GE116" s="82"/>
      <c r="GF116" s="82"/>
    </row>
    <row r="117" ht="24.75" hidden="1" customHeight="1">
      <c r="A117" s="54">
        <v>100.0</v>
      </c>
      <c r="B117" s="56" t="s">
        <v>328</v>
      </c>
      <c r="C117" s="56" t="s">
        <v>315</v>
      </c>
      <c r="D117" s="56" t="s">
        <v>329</v>
      </c>
      <c r="E117" s="56" t="s">
        <v>320</v>
      </c>
      <c r="F117" s="57" t="s">
        <v>34</v>
      </c>
      <c r="G117" s="53"/>
      <c r="H117" s="53"/>
      <c r="I117" s="53"/>
      <c r="J117" s="5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  <c r="FU117" s="82"/>
      <c r="FV117" s="82"/>
      <c r="FW117" s="82"/>
      <c r="FX117" s="82"/>
      <c r="FY117" s="82"/>
      <c r="FZ117" s="82"/>
      <c r="GA117" s="82"/>
      <c r="GB117" s="82"/>
      <c r="GC117" s="82"/>
      <c r="GD117" s="82"/>
      <c r="GE117" s="82"/>
      <c r="GF117" s="82"/>
    </row>
    <row r="118" ht="24.75" hidden="1" customHeight="1">
      <c r="A118" s="54">
        <v>100.0</v>
      </c>
      <c r="B118" s="56" t="s">
        <v>328</v>
      </c>
      <c r="C118" s="56" t="s">
        <v>315</v>
      </c>
      <c r="D118" s="56" t="s">
        <v>329</v>
      </c>
      <c r="E118" s="56" t="s">
        <v>325</v>
      </c>
      <c r="F118" s="57" t="s">
        <v>34</v>
      </c>
      <c r="G118" s="53"/>
      <c r="H118" s="53"/>
      <c r="I118" s="53"/>
      <c r="J118" s="5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  <c r="FU118" s="82"/>
      <c r="FV118" s="82"/>
      <c r="FW118" s="82"/>
      <c r="FX118" s="82"/>
      <c r="FY118" s="82"/>
      <c r="FZ118" s="82"/>
      <c r="GA118" s="82"/>
      <c r="GB118" s="82"/>
      <c r="GC118" s="82"/>
      <c r="GD118" s="82"/>
      <c r="GE118" s="82"/>
      <c r="GF118" s="82"/>
    </row>
    <row r="119" ht="24.75" customHeight="1">
      <c r="A119" s="54">
        <v>100.0</v>
      </c>
      <c r="B119" s="56" t="s">
        <v>331</v>
      </c>
      <c r="C119" s="56" t="s">
        <v>315</v>
      </c>
      <c r="D119" s="56" t="s">
        <v>332</v>
      </c>
      <c r="E119" s="56" t="s">
        <v>333</v>
      </c>
      <c r="F119" s="57" t="s">
        <v>250</v>
      </c>
      <c r="G119" s="50"/>
      <c r="H119" s="61" t="s">
        <v>346</v>
      </c>
      <c r="I119" s="84" t="s">
        <v>347</v>
      </c>
      <c r="J119" s="53"/>
    </row>
    <row r="120" ht="24.75" hidden="1" customHeight="1">
      <c r="A120" s="54">
        <v>100.0</v>
      </c>
      <c r="B120" s="56" t="s">
        <v>334</v>
      </c>
      <c r="C120" s="56" t="s">
        <v>315</v>
      </c>
      <c r="D120" s="56" t="s">
        <v>335</v>
      </c>
      <c r="E120" s="56" t="s">
        <v>336</v>
      </c>
      <c r="F120" s="57" t="s">
        <v>192</v>
      </c>
      <c r="G120" s="50"/>
      <c r="H120" s="50"/>
      <c r="I120" s="84"/>
      <c r="J120" s="53"/>
    </row>
    <row r="121" ht="24.75" hidden="1" customHeight="1">
      <c r="A121" s="54">
        <v>90.0</v>
      </c>
      <c r="B121" s="56" t="s">
        <v>337</v>
      </c>
      <c r="C121" s="56" t="s">
        <v>237</v>
      </c>
      <c r="D121" s="56" t="s">
        <v>338</v>
      </c>
      <c r="E121" s="56" t="s">
        <v>111</v>
      </c>
      <c r="F121" s="57" t="s">
        <v>15</v>
      </c>
      <c r="G121" s="61"/>
      <c r="H121" s="61"/>
      <c r="I121" s="60"/>
      <c r="J121" s="53"/>
    </row>
    <row r="122" ht="24.75" hidden="1" customHeight="1">
      <c r="A122" s="54">
        <v>101.0</v>
      </c>
      <c r="B122" s="56" t="s">
        <v>339</v>
      </c>
      <c r="C122" s="56" t="s">
        <v>315</v>
      </c>
      <c r="D122" s="56" t="s">
        <v>340</v>
      </c>
      <c r="E122" s="56" t="s">
        <v>341</v>
      </c>
      <c r="F122" s="57" t="s">
        <v>154</v>
      </c>
      <c r="G122" s="61"/>
      <c r="H122" s="61"/>
      <c r="I122" s="62"/>
      <c r="J122" s="53"/>
    </row>
    <row r="123" ht="24.75" customHeight="1">
      <c r="A123" s="54">
        <v>101.0</v>
      </c>
      <c r="B123" s="56" t="s">
        <v>342</v>
      </c>
      <c r="C123" s="56" t="s">
        <v>315</v>
      </c>
      <c r="D123" s="56" t="s">
        <v>340</v>
      </c>
      <c r="E123" s="56" t="s">
        <v>333</v>
      </c>
      <c r="F123" s="57" t="s">
        <v>250</v>
      </c>
      <c r="G123" s="61"/>
      <c r="H123" s="61" t="s">
        <v>346</v>
      </c>
      <c r="I123" s="62" t="s">
        <v>347</v>
      </c>
      <c r="J123" s="53"/>
    </row>
    <row r="124" ht="24.75" customHeight="1">
      <c r="A124" s="54">
        <v>101.0</v>
      </c>
      <c r="B124" s="56" t="s">
        <v>343</v>
      </c>
      <c r="C124" s="56" t="s">
        <v>315</v>
      </c>
      <c r="D124" s="56" t="s">
        <v>340</v>
      </c>
      <c r="E124" s="56" t="s">
        <v>333</v>
      </c>
      <c r="F124" s="57" t="s">
        <v>250</v>
      </c>
      <c r="G124" s="61"/>
      <c r="H124" s="61" t="s">
        <v>346</v>
      </c>
      <c r="I124" s="62" t="s">
        <v>347</v>
      </c>
      <c r="J124" s="53"/>
    </row>
    <row r="125" ht="24.75" hidden="1" customHeight="1">
      <c r="A125" s="54">
        <v>101.0</v>
      </c>
      <c r="B125" s="56" t="s">
        <v>344</v>
      </c>
      <c r="C125" s="56" t="s">
        <v>315</v>
      </c>
      <c r="D125" s="56" t="s">
        <v>340</v>
      </c>
      <c r="E125" s="56" t="s">
        <v>345</v>
      </c>
      <c r="F125" s="57" t="s">
        <v>154</v>
      </c>
      <c r="G125" s="61"/>
      <c r="H125" s="61"/>
      <c r="I125" s="62"/>
      <c r="J125" s="53"/>
    </row>
    <row r="126" ht="24.75" hidden="1" customHeight="1">
      <c r="A126" s="54">
        <v>90.0</v>
      </c>
      <c r="B126" s="56" t="s">
        <v>348</v>
      </c>
      <c r="C126" s="56" t="s">
        <v>237</v>
      </c>
      <c r="D126" s="56" t="s">
        <v>349</v>
      </c>
      <c r="E126" s="56" t="s">
        <v>111</v>
      </c>
      <c r="F126" s="57" t="s">
        <v>15</v>
      </c>
      <c r="G126" s="61"/>
      <c r="H126" s="61"/>
      <c r="I126" s="60"/>
      <c r="J126" s="53"/>
    </row>
    <row r="127" ht="24.75" hidden="1" customHeight="1">
      <c r="A127" s="54">
        <v>101.0</v>
      </c>
      <c r="B127" s="56" t="s">
        <v>350</v>
      </c>
      <c r="C127" s="56" t="s">
        <v>315</v>
      </c>
      <c r="D127" s="56" t="s">
        <v>351</v>
      </c>
      <c r="E127" s="56" t="s">
        <v>352</v>
      </c>
      <c r="F127" s="57" t="s">
        <v>154</v>
      </c>
      <c r="G127" s="61"/>
      <c r="H127" s="61"/>
      <c r="I127" s="62"/>
      <c r="J127" s="53"/>
    </row>
    <row r="128" ht="24.75" customHeight="1">
      <c r="A128" s="54">
        <v>102.0</v>
      </c>
      <c r="B128" s="56" t="s">
        <v>353</v>
      </c>
      <c r="C128" s="56" t="s">
        <v>315</v>
      </c>
      <c r="D128" s="56" t="s">
        <v>354</v>
      </c>
      <c r="E128" s="56" t="s">
        <v>355</v>
      </c>
      <c r="F128" s="57" t="s">
        <v>250</v>
      </c>
      <c r="G128" s="61"/>
      <c r="H128" s="61" t="s">
        <v>346</v>
      </c>
      <c r="I128" s="62" t="s">
        <v>363</v>
      </c>
      <c r="J128" s="53"/>
    </row>
    <row r="129" ht="24.75" hidden="1" customHeight="1">
      <c r="A129" s="54">
        <v>90.0</v>
      </c>
      <c r="B129" s="56" t="s">
        <v>265</v>
      </c>
      <c r="C129" s="56" t="s">
        <v>237</v>
      </c>
      <c r="D129" s="56" t="s">
        <v>266</v>
      </c>
      <c r="E129" s="56" t="s">
        <v>111</v>
      </c>
      <c r="F129" s="57" t="s">
        <v>15</v>
      </c>
      <c r="G129" s="61"/>
      <c r="H129" s="61"/>
      <c r="I129" s="60" t="s">
        <v>283</v>
      </c>
      <c r="J129" s="53"/>
    </row>
    <row r="130" ht="24.75" hidden="1" customHeight="1">
      <c r="A130" s="54">
        <v>110.0</v>
      </c>
      <c r="B130" s="56" t="s">
        <v>356</v>
      </c>
      <c r="C130" s="56" t="s">
        <v>259</v>
      </c>
      <c r="D130" s="56" t="s">
        <v>357</v>
      </c>
      <c r="E130" s="56" t="s">
        <v>358</v>
      </c>
      <c r="F130" s="57" t="s">
        <v>34</v>
      </c>
      <c r="G130" s="61"/>
      <c r="H130" s="61"/>
      <c r="I130" s="62"/>
      <c r="J130" s="53"/>
    </row>
    <row r="131" ht="24.75" hidden="1" customHeight="1">
      <c r="A131" s="54">
        <v>110.0</v>
      </c>
      <c r="B131" s="56" t="s">
        <v>359</v>
      </c>
      <c r="C131" s="56" t="s">
        <v>259</v>
      </c>
      <c r="D131" s="56" t="s">
        <v>360</v>
      </c>
      <c r="E131" s="56" t="s">
        <v>358</v>
      </c>
      <c r="F131" s="57" t="s">
        <v>34</v>
      </c>
      <c r="G131" s="61"/>
      <c r="H131" s="61"/>
      <c r="I131" s="62"/>
      <c r="J131" s="53"/>
    </row>
    <row r="132" ht="24.75" hidden="1" customHeight="1">
      <c r="A132" s="54">
        <v>90.0</v>
      </c>
      <c r="B132" s="56" t="s">
        <v>274</v>
      </c>
      <c r="C132" s="56" t="s">
        <v>237</v>
      </c>
      <c r="D132" s="56" t="s">
        <v>275</v>
      </c>
      <c r="E132" s="56" t="s">
        <v>111</v>
      </c>
      <c r="F132" s="57" t="s">
        <v>15</v>
      </c>
      <c r="G132" s="61"/>
      <c r="H132" s="61"/>
      <c r="I132" s="60"/>
      <c r="J132" s="53"/>
    </row>
    <row r="133" ht="24.75" hidden="1" customHeight="1">
      <c r="A133" s="54">
        <v>90.0</v>
      </c>
      <c r="B133" s="56" t="s">
        <v>280</v>
      </c>
      <c r="C133" s="56" t="s">
        <v>278</v>
      </c>
      <c r="D133" s="56" t="s">
        <v>281</v>
      </c>
      <c r="E133" s="56" t="s">
        <v>272</v>
      </c>
      <c r="F133" s="57" t="s">
        <v>15</v>
      </c>
      <c r="G133" s="61"/>
      <c r="H133" s="61"/>
      <c r="I133" s="60"/>
      <c r="J133" s="53"/>
    </row>
    <row r="134" ht="24.75" hidden="1" customHeight="1">
      <c r="A134" s="54">
        <v>110.0</v>
      </c>
      <c r="B134" s="56" t="s">
        <v>361</v>
      </c>
      <c r="C134" s="56" t="s">
        <v>259</v>
      </c>
      <c r="D134" s="56" t="s">
        <v>362</v>
      </c>
      <c r="E134" s="56" t="s">
        <v>358</v>
      </c>
      <c r="F134" s="57" t="s">
        <v>34</v>
      </c>
      <c r="G134" s="61"/>
      <c r="H134" s="61"/>
      <c r="I134" s="62"/>
      <c r="J134" s="53"/>
    </row>
    <row r="135" ht="24.75" hidden="1" customHeight="1">
      <c r="A135" s="54">
        <v>110.0</v>
      </c>
      <c r="B135" s="56" t="s">
        <v>364</v>
      </c>
      <c r="C135" s="56" t="s">
        <v>259</v>
      </c>
      <c r="D135" s="56" t="s">
        <v>365</v>
      </c>
      <c r="E135" s="56" t="s">
        <v>358</v>
      </c>
      <c r="F135" s="57" t="s">
        <v>34</v>
      </c>
      <c r="G135" s="61"/>
      <c r="H135" s="61"/>
      <c r="I135" s="62"/>
      <c r="J135" s="53"/>
    </row>
    <row r="136" ht="24.75" hidden="1" customHeight="1">
      <c r="A136" s="54">
        <v>110.0</v>
      </c>
      <c r="B136" s="56" t="s">
        <v>366</v>
      </c>
      <c r="C136" s="56" t="s">
        <v>259</v>
      </c>
      <c r="D136" s="56" t="s">
        <v>367</v>
      </c>
      <c r="E136" s="56" t="s">
        <v>358</v>
      </c>
      <c r="F136" s="57" t="s">
        <v>34</v>
      </c>
      <c r="G136" s="61"/>
      <c r="H136" s="61"/>
      <c r="I136" s="62"/>
      <c r="J136" s="53"/>
    </row>
    <row r="137" ht="24.75" hidden="1" customHeight="1">
      <c r="A137" s="54">
        <v>110.0</v>
      </c>
      <c r="B137" s="56" t="s">
        <v>368</v>
      </c>
      <c r="C137" s="56" t="s">
        <v>259</v>
      </c>
      <c r="D137" s="56" t="s">
        <v>369</v>
      </c>
      <c r="E137" s="56" t="s">
        <v>358</v>
      </c>
      <c r="F137" s="57" t="s">
        <v>34</v>
      </c>
      <c r="G137" s="61"/>
      <c r="H137" s="61"/>
      <c r="I137" s="62"/>
      <c r="J137" s="53"/>
    </row>
    <row r="138" ht="24.75" hidden="1" customHeight="1">
      <c r="A138" s="54">
        <v>110.0</v>
      </c>
      <c r="B138" s="56" t="s">
        <v>370</v>
      </c>
      <c r="C138" s="56" t="s">
        <v>259</v>
      </c>
      <c r="D138" s="56" t="s">
        <v>371</v>
      </c>
      <c r="E138" s="56" t="s">
        <v>336</v>
      </c>
      <c r="F138" s="57" t="s">
        <v>192</v>
      </c>
      <c r="G138" s="61"/>
      <c r="H138" s="61"/>
      <c r="I138" s="62"/>
      <c r="J138" s="53"/>
    </row>
    <row r="139" ht="24.75" hidden="1" customHeight="1">
      <c r="A139" s="54">
        <v>110.0</v>
      </c>
      <c r="B139" s="56" t="s">
        <v>370</v>
      </c>
      <c r="C139" s="56" t="s">
        <v>259</v>
      </c>
      <c r="D139" s="56" t="s">
        <v>371</v>
      </c>
      <c r="E139" s="56" t="s">
        <v>372</v>
      </c>
      <c r="F139" s="57" t="s">
        <v>34</v>
      </c>
      <c r="G139" s="61"/>
      <c r="H139" s="61"/>
      <c r="I139" s="62"/>
      <c r="J139" s="53"/>
    </row>
    <row r="140" ht="24.75" hidden="1" customHeight="1">
      <c r="A140" s="54">
        <v>110.0</v>
      </c>
      <c r="B140" s="56" t="s">
        <v>370</v>
      </c>
      <c r="C140" s="56" t="s">
        <v>259</v>
      </c>
      <c r="D140" s="56" t="s">
        <v>371</v>
      </c>
      <c r="E140" s="56" t="s">
        <v>158</v>
      </c>
      <c r="F140" s="57" t="s">
        <v>34</v>
      </c>
      <c r="G140" s="61"/>
      <c r="H140" s="61"/>
      <c r="I140" s="62"/>
      <c r="J140" s="53"/>
    </row>
    <row r="141" ht="24.75" hidden="1" customHeight="1">
      <c r="A141" s="54">
        <v>110.0</v>
      </c>
      <c r="B141" s="56" t="s">
        <v>373</v>
      </c>
      <c r="C141" s="56" t="s">
        <v>259</v>
      </c>
      <c r="D141" s="56" t="s">
        <v>374</v>
      </c>
      <c r="E141" s="56" t="s">
        <v>336</v>
      </c>
      <c r="F141" s="57" t="s">
        <v>192</v>
      </c>
      <c r="G141" s="61"/>
      <c r="H141" s="61"/>
      <c r="I141" s="62"/>
      <c r="J141" s="53"/>
    </row>
    <row r="142" ht="24.75" hidden="1" customHeight="1">
      <c r="A142" s="54">
        <v>110.0</v>
      </c>
      <c r="B142" s="56" t="s">
        <v>375</v>
      </c>
      <c r="C142" s="56" t="s">
        <v>259</v>
      </c>
      <c r="D142" s="56" t="s">
        <v>376</v>
      </c>
      <c r="E142" s="56" t="s">
        <v>336</v>
      </c>
      <c r="F142" s="57" t="s">
        <v>192</v>
      </c>
      <c r="G142" s="61"/>
      <c r="H142" s="61"/>
      <c r="I142" s="62"/>
      <c r="J142" s="53"/>
    </row>
    <row r="143" ht="24.75" hidden="1" customHeight="1">
      <c r="A143" s="54">
        <v>110.0</v>
      </c>
      <c r="B143" s="56" t="s">
        <v>375</v>
      </c>
      <c r="C143" s="56" t="s">
        <v>259</v>
      </c>
      <c r="D143" s="56" t="s">
        <v>376</v>
      </c>
      <c r="E143" s="56" t="s">
        <v>372</v>
      </c>
      <c r="F143" s="57" t="s">
        <v>34</v>
      </c>
      <c r="G143" s="61"/>
      <c r="H143" s="61"/>
      <c r="I143" s="62"/>
      <c r="J143" s="53"/>
    </row>
    <row r="144" ht="24.75" hidden="1" customHeight="1">
      <c r="A144" s="54">
        <v>110.0</v>
      </c>
      <c r="B144" s="56" t="s">
        <v>375</v>
      </c>
      <c r="C144" s="56" t="s">
        <v>259</v>
      </c>
      <c r="D144" s="56" t="s">
        <v>376</v>
      </c>
      <c r="E144" s="56" t="s">
        <v>158</v>
      </c>
      <c r="F144" s="57" t="s">
        <v>34</v>
      </c>
      <c r="G144" s="61"/>
      <c r="H144" s="61"/>
      <c r="I144" s="62"/>
      <c r="J144" s="53"/>
    </row>
    <row r="145" ht="24.75" hidden="1" customHeight="1">
      <c r="A145" s="54">
        <v>110.0</v>
      </c>
      <c r="B145" s="56" t="s">
        <v>377</v>
      </c>
      <c r="C145" s="56" t="s">
        <v>259</v>
      </c>
      <c r="D145" s="56" t="s">
        <v>378</v>
      </c>
      <c r="E145" s="56" t="s">
        <v>336</v>
      </c>
      <c r="F145" s="57" t="s">
        <v>192</v>
      </c>
      <c r="G145" s="61"/>
      <c r="H145" s="61"/>
      <c r="I145" s="62"/>
      <c r="J145" s="53"/>
    </row>
    <row r="146" ht="24.75" hidden="1" customHeight="1">
      <c r="A146" s="54">
        <v>110.0</v>
      </c>
      <c r="B146" s="56" t="s">
        <v>380</v>
      </c>
      <c r="C146" s="56" t="s">
        <v>259</v>
      </c>
      <c r="D146" s="56" t="s">
        <v>381</v>
      </c>
      <c r="E146" s="56" t="s">
        <v>336</v>
      </c>
      <c r="F146" s="57" t="s">
        <v>192</v>
      </c>
      <c r="G146" s="61"/>
      <c r="H146" s="61"/>
      <c r="I146" s="62"/>
      <c r="J146" s="53"/>
    </row>
    <row r="147" ht="24.75" hidden="1" customHeight="1">
      <c r="A147" s="54">
        <v>110.0</v>
      </c>
      <c r="B147" s="56" t="s">
        <v>382</v>
      </c>
      <c r="C147" s="56" t="s">
        <v>259</v>
      </c>
      <c r="D147" s="56" t="s">
        <v>383</v>
      </c>
      <c r="E147" s="56" t="s">
        <v>336</v>
      </c>
      <c r="F147" s="57" t="s">
        <v>192</v>
      </c>
      <c r="G147" s="61"/>
      <c r="H147" s="61"/>
      <c r="I147" s="62"/>
      <c r="J147" s="53"/>
    </row>
    <row r="148" ht="24.75" hidden="1" customHeight="1">
      <c r="A148" s="54">
        <v>110.0</v>
      </c>
      <c r="B148" s="56" t="s">
        <v>385</v>
      </c>
      <c r="C148" s="56" t="s">
        <v>259</v>
      </c>
      <c r="D148" s="56" t="s">
        <v>386</v>
      </c>
      <c r="E148" s="56" t="s">
        <v>336</v>
      </c>
      <c r="F148" s="57" t="s">
        <v>192</v>
      </c>
      <c r="G148" s="61"/>
      <c r="H148" s="61"/>
      <c r="I148" s="62"/>
      <c r="J148" s="53"/>
    </row>
    <row r="149" ht="24.75" hidden="1" customHeight="1">
      <c r="A149" s="54">
        <v>110.0</v>
      </c>
      <c r="B149" s="56" t="s">
        <v>385</v>
      </c>
      <c r="C149" s="56" t="s">
        <v>259</v>
      </c>
      <c r="D149" s="56" t="s">
        <v>386</v>
      </c>
      <c r="E149" s="56" t="s">
        <v>372</v>
      </c>
      <c r="F149" s="57" t="s">
        <v>34</v>
      </c>
      <c r="G149" s="61"/>
      <c r="H149" s="61"/>
      <c r="I149" s="62"/>
      <c r="J149" s="53"/>
    </row>
    <row r="150" ht="24.75" hidden="1" customHeight="1">
      <c r="A150" s="54">
        <v>110.0</v>
      </c>
      <c r="B150" s="56" t="s">
        <v>385</v>
      </c>
      <c r="C150" s="56" t="s">
        <v>259</v>
      </c>
      <c r="D150" s="56" t="s">
        <v>386</v>
      </c>
      <c r="E150" s="56" t="s">
        <v>158</v>
      </c>
      <c r="F150" s="57" t="s">
        <v>34</v>
      </c>
      <c r="G150" s="61"/>
      <c r="H150" s="61"/>
      <c r="I150" s="62"/>
      <c r="J150" s="53"/>
    </row>
    <row r="151" ht="24.75" hidden="1" customHeight="1">
      <c r="A151" s="54">
        <v>110.0</v>
      </c>
      <c r="B151" s="56" t="s">
        <v>388</v>
      </c>
      <c r="C151" s="56" t="s">
        <v>259</v>
      </c>
      <c r="D151" s="56" t="s">
        <v>389</v>
      </c>
      <c r="E151" s="56" t="s">
        <v>336</v>
      </c>
      <c r="F151" s="57" t="s">
        <v>192</v>
      </c>
      <c r="G151" s="61"/>
      <c r="H151" s="61"/>
      <c r="I151" s="62"/>
      <c r="J151" s="53"/>
    </row>
    <row r="152" ht="24.75" hidden="1" customHeight="1">
      <c r="A152" s="54">
        <v>110.0</v>
      </c>
      <c r="B152" s="56" t="s">
        <v>388</v>
      </c>
      <c r="C152" s="56" t="s">
        <v>259</v>
      </c>
      <c r="D152" s="56" t="s">
        <v>389</v>
      </c>
      <c r="E152" s="56" t="s">
        <v>372</v>
      </c>
      <c r="F152" s="57" t="s">
        <v>34</v>
      </c>
      <c r="G152" s="61"/>
      <c r="H152" s="61"/>
      <c r="I152" s="62"/>
      <c r="J152" s="53"/>
    </row>
    <row r="153" ht="24.75" hidden="1" customHeight="1">
      <c r="A153" s="54">
        <v>110.0</v>
      </c>
      <c r="B153" s="56" t="s">
        <v>388</v>
      </c>
      <c r="C153" s="56" t="s">
        <v>259</v>
      </c>
      <c r="D153" s="56" t="s">
        <v>389</v>
      </c>
      <c r="E153" s="56" t="s">
        <v>158</v>
      </c>
      <c r="F153" s="57" t="s">
        <v>34</v>
      </c>
      <c r="G153" s="61"/>
      <c r="H153" s="61"/>
      <c r="I153" s="62"/>
      <c r="J153" s="53"/>
    </row>
    <row r="154" ht="24.75" hidden="1" customHeight="1">
      <c r="A154" s="54">
        <v>110.0</v>
      </c>
      <c r="B154" s="56" t="s">
        <v>390</v>
      </c>
      <c r="C154" s="56" t="s">
        <v>259</v>
      </c>
      <c r="D154" s="56" t="s">
        <v>391</v>
      </c>
      <c r="E154" s="56" t="s">
        <v>372</v>
      </c>
      <c r="F154" s="57" t="s">
        <v>34</v>
      </c>
      <c r="G154" s="61"/>
      <c r="H154" s="61"/>
      <c r="I154" s="62"/>
      <c r="J154" s="53"/>
    </row>
    <row r="155" ht="24.75" hidden="1" customHeight="1">
      <c r="A155" s="54">
        <v>110.0</v>
      </c>
      <c r="B155" s="56" t="s">
        <v>390</v>
      </c>
      <c r="C155" s="56" t="s">
        <v>259</v>
      </c>
      <c r="D155" s="56" t="s">
        <v>391</v>
      </c>
      <c r="E155" s="56" t="s">
        <v>158</v>
      </c>
      <c r="F155" s="57" t="s">
        <v>34</v>
      </c>
      <c r="G155" s="61"/>
      <c r="H155" s="61"/>
      <c r="I155" s="62"/>
      <c r="J155" s="53"/>
    </row>
    <row r="156" ht="24.75" hidden="1" customHeight="1">
      <c r="A156" s="54">
        <v>110.0</v>
      </c>
      <c r="B156" s="56" t="s">
        <v>392</v>
      </c>
      <c r="C156" s="56" t="s">
        <v>101</v>
      </c>
      <c r="D156" s="56" t="s">
        <v>102</v>
      </c>
      <c r="E156" s="56" t="s">
        <v>111</v>
      </c>
      <c r="F156" s="57" t="s">
        <v>34</v>
      </c>
      <c r="G156" s="61"/>
      <c r="H156" s="61"/>
      <c r="I156" s="62"/>
      <c r="J156" s="53"/>
    </row>
    <row r="157" ht="24.75" hidden="1" customHeight="1">
      <c r="A157" s="54">
        <v>120.0</v>
      </c>
      <c r="B157" s="56" t="s">
        <v>393</v>
      </c>
      <c r="C157" s="56" t="s">
        <v>394</v>
      </c>
      <c r="D157" s="56" t="s">
        <v>299</v>
      </c>
      <c r="E157" s="56" t="s">
        <v>163</v>
      </c>
      <c r="F157" s="57" t="s">
        <v>154</v>
      </c>
      <c r="G157" s="61"/>
      <c r="H157" s="61"/>
      <c r="I157" s="62" t="s">
        <v>207</v>
      </c>
      <c r="J157" s="53"/>
    </row>
    <row r="158" ht="24.75" hidden="1" customHeight="1">
      <c r="A158" s="54">
        <v>120.0</v>
      </c>
      <c r="B158" s="56" t="s">
        <v>395</v>
      </c>
      <c r="C158" s="56" t="s">
        <v>394</v>
      </c>
      <c r="D158" s="56" t="s">
        <v>172</v>
      </c>
      <c r="E158" s="56" t="s">
        <v>163</v>
      </c>
      <c r="F158" s="57" t="s">
        <v>154</v>
      </c>
      <c r="G158" s="61"/>
      <c r="H158" s="61"/>
      <c r="I158" s="62"/>
      <c r="J158" s="53"/>
    </row>
    <row r="159" ht="24.75" hidden="1" customHeight="1">
      <c r="A159" s="54">
        <v>120.0</v>
      </c>
      <c r="B159" s="56" t="s">
        <v>396</v>
      </c>
      <c r="C159" s="56" t="s">
        <v>394</v>
      </c>
      <c r="D159" s="56" t="s">
        <v>397</v>
      </c>
      <c r="E159" s="56" t="s">
        <v>163</v>
      </c>
      <c r="F159" s="57" t="s">
        <v>154</v>
      </c>
      <c r="G159" s="61"/>
      <c r="H159" s="61"/>
      <c r="I159" s="62"/>
      <c r="J159" s="53"/>
    </row>
    <row r="160" ht="24.75" hidden="1" customHeight="1">
      <c r="A160" s="54">
        <v>120.0</v>
      </c>
      <c r="B160" s="56" t="s">
        <v>398</v>
      </c>
      <c r="C160" s="56" t="s">
        <v>394</v>
      </c>
      <c r="D160" s="56" t="s">
        <v>399</v>
      </c>
      <c r="E160" s="56" t="s">
        <v>163</v>
      </c>
      <c r="F160" s="57" t="s">
        <v>154</v>
      </c>
      <c r="G160" s="61"/>
      <c r="H160" s="61"/>
      <c r="I160" s="62"/>
      <c r="J160" s="53"/>
    </row>
    <row r="161" ht="24.75" hidden="1" customHeight="1">
      <c r="A161" s="54">
        <v>120.0</v>
      </c>
      <c r="B161" s="56" t="s">
        <v>400</v>
      </c>
      <c r="C161" s="56" t="s">
        <v>394</v>
      </c>
      <c r="D161" s="56" t="s">
        <v>401</v>
      </c>
      <c r="E161" s="56" t="s">
        <v>163</v>
      </c>
      <c r="F161" s="57" t="s">
        <v>154</v>
      </c>
      <c r="G161" s="61"/>
      <c r="H161" s="61"/>
      <c r="I161" s="62"/>
      <c r="J161" s="53"/>
    </row>
    <row r="162" ht="24.75" hidden="1" customHeight="1">
      <c r="A162" s="54">
        <v>90.0</v>
      </c>
      <c r="B162" s="56" t="s">
        <v>402</v>
      </c>
      <c r="C162" s="56" t="s">
        <v>278</v>
      </c>
      <c r="D162" s="56" t="s">
        <v>403</v>
      </c>
      <c r="E162" s="56" t="s">
        <v>111</v>
      </c>
      <c r="F162" s="57" t="s">
        <v>15</v>
      </c>
      <c r="G162" s="61"/>
      <c r="H162" s="61"/>
      <c r="I162" s="86"/>
      <c r="J162" s="53"/>
    </row>
    <row r="163" ht="24.75" customHeight="1">
      <c r="A163" s="54">
        <v>130.0</v>
      </c>
      <c r="B163" s="56" t="s">
        <v>404</v>
      </c>
      <c r="C163" s="56" t="s">
        <v>405</v>
      </c>
      <c r="D163" s="56" t="s">
        <v>406</v>
      </c>
      <c r="E163" s="56" t="s">
        <v>407</v>
      </c>
      <c r="F163" s="57" t="s">
        <v>250</v>
      </c>
      <c r="G163" s="61"/>
      <c r="H163" s="61" t="s">
        <v>346</v>
      </c>
      <c r="I163" s="62" t="s">
        <v>414</v>
      </c>
      <c r="J163" s="53"/>
    </row>
    <row r="164" ht="24.75" customHeight="1">
      <c r="A164" s="54">
        <v>130.0</v>
      </c>
      <c r="B164" s="56" t="s">
        <v>404</v>
      </c>
      <c r="C164" s="56" t="s">
        <v>405</v>
      </c>
      <c r="D164" s="56" t="s">
        <v>406</v>
      </c>
      <c r="E164" s="56" t="s">
        <v>408</v>
      </c>
      <c r="F164" s="57" t="s">
        <v>250</v>
      </c>
      <c r="G164" s="61"/>
      <c r="H164" s="61" t="s">
        <v>346</v>
      </c>
      <c r="I164" s="62" t="s">
        <v>417</v>
      </c>
      <c r="J164" s="53"/>
    </row>
    <row r="165" ht="24.75" hidden="1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111</v>
      </c>
      <c r="F165" s="57" t="s">
        <v>154</v>
      </c>
      <c r="G165" s="61"/>
      <c r="H165" s="61"/>
      <c r="I165" s="62"/>
      <c r="J165" s="53"/>
    </row>
    <row r="166" ht="24.75" hidden="1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409</v>
      </c>
      <c r="F166" s="57" t="s">
        <v>154</v>
      </c>
      <c r="G166" s="61"/>
      <c r="H166" s="61"/>
      <c r="I166" s="62"/>
      <c r="J166" s="53"/>
    </row>
    <row r="167" ht="24.75" hidden="1" customHeight="1">
      <c r="A167" s="54">
        <v>130.0</v>
      </c>
      <c r="B167" s="56" t="s">
        <v>404</v>
      </c>
      <c r="C167" s="56" t="s">
        <v>405</v>
      </c>
      <c r="D167" s="56" t="s">
        <v>406</v>
      </c>
      <c r="E167" s="56" t="s">
        <v>410</v>
      </c>
      <c r="F167" s="57" t="s">
        <v>154</v>
      </c>
      <c r="G167" s="61"/>
      <c r="H167" s="61"/>
      <c r="I167" s="62"/>
      <c r="J167" s="53"/>
    </row>
    <row r="168" ht="24.75" hidden="1" customHeight="1">
      <c r="A168" s="54">
        <v>130.0</v>
      </c>
      <c r="B168" s="56" t="s">
        <v>404</v>
      </c>
      <c r="C168" s="56" t="s">
        <v>405</v>
      </c>
      <c r="D168" s="56" t="s">
        <v>406</v>
      </c>
      <c r="E168" s="56" t="s">
        <v>411</v>
      </c>
      <c r="F168" s="57" t="s">
        <v>154</v>
      </c>
      <c r="G168" s="61"/>
      <c r="H168" s="61"/>
      <c r="I168" s="62"/>
      <c r="J168" s="53"/>
    </row>
    <row r="169" ht="24.75" hidden="1" customHeight="1">
      <c r="A169" s="54">
        <v>130.0</v>
      </c>
      <c r="B169" s="56" t="s">
        <v>412</v>
      </c>
      <c r="C169" s="56"/>
      <c r="D169" s="56" t="s">
        <v>413</v>
      </c>
      <c r="E169" s="56" t="s">
        <v>336</v>
      </c>
      <c r="F169" s="57" t="s">
        <v>192</v>
      </c>
      <c r="G169" s="61"/>
      <c r="H169" s="61"/>
      <c r="I169" s="62"/>
      <c r="J169" s="53"/>
    </row>
    <row r="170" ht="24.75" hidden="1" customHeight="1">
      <c r="A170" s="54">
        <v>130.0</v>
      </c>
      <c r="B170" s="56" t="s">
        <v>415</v>
      </c>
      <c r="C170" s="56" t="s">
        <v>148</v>
      </c>
      <c r="D170" s="56" t="s">
        <v>416</v>
      </c>
      <c r="E170" s="56" t="s">
        <v>150</v>
      </c>
      <c r="F170" s="57" t="s">
        <v>34</v>
      </c>
      <c r="G170" s="61"/>
      <c r="H170" s="61"/>
      <c r="I170" s="62"/>
      <c r="J170" s="53"/>
    </row>
    <row r="171" ht="24.75" hidden="1" customHeight="1">
      <c r="A171" s="54">
        <v>130.0</v>
      </c>
      <c r="B171" s="56" t="s">
        <v>418</v>
      </c>
      <c r="C171" s="56" t="s">
        <v>148</v>
      </c>
      <c r="D171" s="56" t="s">
        <v>419</v>
      </c>
      <c r="E171" s="56" t="s">
        <v>150</v>
      </c>
      <c r="F171" s="57" t="s">
        <v>34</v>
      </c>
      <c r="G171" s="61"/>
      <c r="H171" s="61"/>
      <c r="I171" s="62"/>
      <c r="J171" s="53"/>
    </row>
    <row r="172" ht="24.75" hidden="1" customHeight="1">
      <c r="A172" s="54">
        <v>136.0</v>
      </c>
      <c r="B172" s="56" t="s">
        <v>421</v>
      </c>
      <c r="C172" s="56" t="s">
        <v>422</v>
      </c>
      <c r="D172" s="56" t="s">
        <v>422</v>
      </c>
      <c r="E172" s="56" t="s">
        <v>423</v>
      </c>
      <c r="F172" s="57" t="s">
        <v>154</v>
      </c>
      <c r="G172" s="61"/>
      <c r="H172" s="61"/>
      <c r="I172" s="62" t="s">
        <v>207</v>
      </c>
      <c r="J172" s="53"/>
    </row>
    <row r="173" ht="24.75" hidden="1" customHeight="1">
      <c r="A173" s="54">
        <v>136.0</v>
      </c>
      <c r="B173" s="56" t="s">
        <v>421</v>
      </c>
      <c r="C173" s="56" t="s">
        <v>422</v>
      </c>
      <c r="D173" s="56" t="s">
        <v>422</v>
      </c>
      <c r="E173" s="80" t="s">
        <v>213</v>
      </c>
      <c r="F173" s="57"/>
      <c r="G173" s="61"/>
      <c r="H173" s="61"/>
      <c r="I173" s="62"/>
      <c r="J173" s="53"/>
    </row>
    <row r="174" ht="24.75" hidden="1" customHeight="1">
      <c r="A174" s="54">
        <v>136.0</v>
      </c>
      <c r="B174" s="56" t="s">
        <v>424</v>
      </c>
      <c r="C174" s="56" t="s">
        <v>422</v>
      </c>
      <c r="D174" s="56" t="s">
        <v>425</v>
      </c>
      <c r="E174" s="56" t="s">
        <v>111</v>
      </c>
      <c r="F174" s="57" t="s">
        <v>154</v>
      </c>
      <c r="G174" s="61"/>
      <c r="H174" s="61"/>
      <c r="I174" s="62"/>
      <c r="J174" s="53"/>
    </row>
    <row r="175" ht="24.75" hidden="1" customHeight="1">
      <c r="A175" s="54">
        <v>136.0</v>
      </c>
      <c r="B175" s="56" t="s">
        <v>426</v>
      </c>
      <c r="C175" s="56" t="s">
        <v>422</v>
      </c>
      <c r="D175" s="56" t="s">
        <v>427</v>
      </c>
      <c r="E175" s="56" t="s">
        <v>111</v>
      </c>
      <c r="F175" s="57" t="s">
        <v>154</v>
      </c>
      <c r="G175" s="61"/>
      <c r="H175" s="61"/>
      <c r="I175" s="62"/>
      <c r="J175" s="53"/>
    </row>
    <row r="176" ht="24.75" hidden="1" customHeight="1">
      <c r="A176" s="54">
        <v>136.0</v>
      </c>
      <c r="B176" s="56" t="s">
        <v>428</v>
      </c>
      <c r="C176" s="56" t="s">
        <v>422</v>
      </c>
      <c r="D176" s="56" t="s">
        <v>429</v>
      </c>
      <c r="E176" s="56" t="s">
        <v>111</v>
      </c>
      <c r="F176" s="57" t="s">
        <v>154</v>
      </c>
      <c r="G176" s="61"/>
      <c r="H176" s="61"/>
      <c r="I176" s="62"/>
      <c r="J176" s="53"/>
    </row>
    <row r="177" ht="24.75" hidden="1" customHeight="1">
      <c r="A177" s="54">
        <v>136.0</v>
      </c>
      <c r="B177" s="56" t="s">
        <v>430</v>
      </c>
      <c r="C177" s="56" t="s">
        <v>422</v>
      </c>
      <c r="D177" s="56" t="s">
        <v>431</v>
      </c>
      <c r="E177" s="56" t="s">
        <v>432</v>
      </c>
      <c r="F177" s="57" t="s">
        <v>154</v>
      </c>
      <c r="G177" s="61"/>
      <c r="H177" s="61"/>
      <c r="I177" s="62"/>
      <c r="J177" s="53"/>
    </row>
    <row r="178" ht="24.75" hidden="1" customHeight="1">
      <c r="A178" s="54">
        <v>140.0</v>
      </c>
      <c r="B178" s="56" t="s">
        <v>433</v>
      </c>
      <c r="C178" s="56" t="s">
        <v>434</v>
      </c>
      <c r="D178" s="56" t="s">
        <v>435</v>
      </c>
      <c r="E178" s="56" t="s">
        <v>167</v>
      </c>
      <c r="F178" s="57" t="s">
        <v>154</v>
      </c>
      <c r="G178" s="61"/>
      <c r="H178" s="61"/>
      <c r="I178" s="62"/>
      <c r="J178" s="53"/>
    </row>
    <row r="179" ht="24.75" hidden="1" customHeight="1">
      <c r="A179" s="54">
        <v>140.0</v>
      </c>
      <c r="B179" s="56" t="s">
        <v>436</v>
      </c>
      <c r="C179" s="56" t="s">
        <v>437</v>
      </c>
      <c r="D179" s="56" t="s">
        <v>438</v>
      </c>
      <c r="E179" s="56" t="s">
        <v>439</v>
      </c>
      <c r="F179" s="57" t="s">
        <v>154</v>
      </c>
      <c r="G179" s="61"/>
      <c r="H179" s="61"/>
      <c r="I179" s="62"/>
      <c r="J179" s="53"/>
    </row>
    <row r="180" ht="24.75" hidden="1" customHeight="1">
      <c r="A180" s="54">
        <v>140.0</v>
      </c>
      <c r="B180" s="56" t="s">
        <v>440</v>
      </c>
      <c r="C180" s="56" t="s">
        <v>437</v>
      </c>
      <c r="D180" s="56" t="s">
        <v>441</v>
      </c>
      <c r="E180" s="56" t="s">
        <v>439</v>
      </c>
      <c r="F180" s="57" t="s">
        <v>154</v>
      </c>
      <c r="G180" s="61"/>
      <c r="H180" s="61"/>
      <c r="I180" s="62"/>
      <c r="J180" s="53"/>
    </row>
    <row r="181" ht="24.75" hidden="1" customHeight="1">
      <c r="A181" s="54">
        <v>140.0</v>
      </c>
      <c r="B181" s="56" t="s">
        <v>442</v>
      </c>
      <c r="C181" s="56" t="s">
        <v>443</v>
      </c>
      <c r="D181" s="56" t="s">
        <v>444</v>
      </c>
      <c r="E181" s="56" t="s">
        <v>439</v>
      </c>
      <c r="F181" s="57" t="s">
        <v>154</v>
      </c>
      <c r="G181" s="61"/>
      <c r="H181" s="61"/>
      <c r="I181" s="62"/>
      <c r="J181" s="53"/>
    </row>
    <row r="182" ht="24.75" hidden="1" customHeight="1">
      <c r="A182" s="54">
        <v>140.0</v>
      </c>
      <c r="B182" s="56" t="s">
        <v>445</v>
      </c>
      <c r="C182" s="56" t="s">
        <v>446</v>
      </c>
      <c r="D182" s="56" t="s">
        <v>447</v>
      </c>
      <c r="E182" s="56" t="s">
        <v>439</v>
      </c>
      <c r="F182" s="57" t="s">
        <v>154</v>
      </c>
      <c r="G182" s="61"/>
      <c r="H182" s="61"/>
      <c r="I182" s="62"/>
      <c r="J182" s="53"/>
    </row>
    <row r="183" ht="24.75" hidden="1" customHeight="1">
      <c r="A183" s="54">
        <v>140.0</v>
      </c>
      <c r="B183" s="56" t="s">
        <v>448</v>
      </c>
      <c r="C183" s="88" t="s">
        <v>449</v>
      </c>
      <c r="D183" s="56" t="s">
        <v>450</v>
      </c>
      <c r="E183" s="56" t="s">
        <v>439</v>
      </c>
      <c r="F183" s="57" t="s">
        <v>154</v>
      </c>
      <c r="G183" s="61"/>
      <c r="H183" s="61"/>
      <c r="I183" s="62"/>
      <c r="J183" s="53"/>
    </row>
    <row r="184" ht="24.75" hidden="1" customHeight="1">
      <c r="A184" s="54">
        <v>90.0</v>
      </c>
      <c r="B184" s="56" t="s">
        <v>286</v>
      </c>
      <c r="C184" s="56" t="s">
        <v>278</v>
      </c>
      <c r="D184" s="56" t="s">
        <v>266</v>
      </c>
      <c r="E184" s="56" t="s">
        <v>111</v>
      </c>
      <c r="F184" s="57" t="s">
        <v>15</v>
      </c>
      <c r="G184" s="61"/>
      <c r="H184" s="61"/>
      <c r="I184" s="60"/>
      <c r="J184" s="53"/>
    </row>
    <row r="185" ht="24.75" hidden="1" customHeight="1">
      <c r="A185" s="54">
        <v>100.0</v>
      </c>
      <c r="B185" s="56" t="s">
        <v>451</v>
      </c>
      <c r="C185" s="56" t="s">
        <v>315</v>
      </c>
      <c r="D185" s="56" t="s">
        <v>452</v>
      </c>
      <c r="E185" s="56" t="s">
        <v>453</v>
      </c>
      <c r="F185" s="57" t="s">
        <v>15</v>
      </c>
      <c r="G185" s="61"/>
      <c r="H185" s="61"/>
      <c r="I185" s="60"/>
      <c r="J185" s="53"/>
    </row>
    <row r="186" ht="24.75" hidden="1" customHeight="1">
      <c r="A186" s="54">
        <v>100.0</v>
      </c>
      <c r="B186" s="56" t="s">
        <v>454</v>
      </c>
      <c r="C186" s="56" t="s">
        <v>315</v>
      </c>
      <c r="D186" s="56" t="s">
        <v>316</v>
      </c>
      <c r="E186" s="56" t="s">
        <v>455</v>
      </c>
      <c r="F186" s="57" t="s">
        <v>15</v>
      </c>
      <c r="G186" s="61"/>
      <c r="H186" s="61"/>
      <c r="I186" s="60"/>
      <c r="J186" s="53"/>
    </row>
    <row r="187" ht="24.75" hidden="1" customHeight="1">
      <c r="A187" s="54">
        <v>101.0</v>
      </c>
      <c r="B187" s="56" t="s">
        <v>456</v>
      </c>
      <c r="C187" s="56" t="s">
        <v>315</v>
      </c>
      <c r="D187" s="56" t="s">
        <v>340</v>
      </c>
      <c r="E187" s="56" t="s">
        <v>457</v>
      </c>
      <c r="F187" s="57" t="s">
        <v>15</v>
      </c>
      <c r="G187" s="61"/>
      <c r="H187" s="61"/>
      <c r="I187" s="60"/>
      <c r="J187" s="53"/>
    </row>
    <row r="188" ht="24.75" hidden="1" customHeight="1">
      <c r="A188" s="54">
        <v>101.0</v>
      </c>
      <c r="B188" s="56" t="s">
        <v>458</v>
      </c>
      <c r="C188" s="56" t="s">
        <v>315</v>
      </c>
      <c r="D188" s="56" t="s">
        <v>351</v>
      </c>
      <c r="E188" s="56" t="s">
        <v>459</v>
      </c>
      <c r="F188" s="57" t="s">
        <v>15</v>
      </c>
      <c r="G188" s="61"/>
      <c r="H188" s="61"/>
      <c r="I188" s="60"/>
      <c r="J188" s="53"/>
    </row>
    <row r="189" ht="24.75" hidden="1" customHeight="1">
      <c r="A189" s="54">
        <v>102.0</v>
      </c>
      <c r="B189" s="56" t="s">
        <v>353</v>
      </c>
      <c r="C189" s="56" t="s">
        <v>315</v>
      </c>
      <c r="D189" s="56" t="s">
        <v>354</v>
      </c>
      <c r="E189" s="56" t="s">
        <v>461</v>
      </c>
      <c r="F189" s="57" t="s">
        <v>15</v>
      </c>
      <c r="G189" s="61"/>
      <c r="H189" s="61"/>
      <c r="I189" s="60"/>
      <c r="J189" s="53"/>
    </row>
    <row r="190" ht="24.75" hidden="1" customHeight="1">
      <c r="A190" s="54">
        <v>140.0</v>
      </c>
      <c r="B190" s="56" t="s">
        <v>462</v>
      </c>
      <c r="C190" s="56" t="s">
        <v>434</v>
      </c>
      <c r="D190" s="56" t="s">
        <v>463</v>
      </c>
      <c r="E190" s="56" t="s">
        <v>272</v>
      </c>
      <c r="F190" s="57" t="s">
        <v>15</v>
      </c>
      <c r="G190" s="61"/>
      <c r="H190" s="61"/>
      <c r="I190" s="60"/>
      <c r="J190" s="53"/>
    </row>
    <row r="191" ht="24.75" hidden="1" customHeight="1">
      <c r="A191" s="54">
        <v>140.0</v>
      </c>
      <c r="B191" s="56" t="s">
        <v>464</v>
      </c>
      <c r="C191" s="56" t="s">
        <v>270</v>
      </c>
      <c r="D191" s="56" t="s">
        <v>465</v>
      </c>
      <c r="E191" s="56" t="s">
        <v>272</v>
      </c>
      <c r="F191" s="57" t="s">
        <v>15</v>
      </c>
      <c r="G191" s="61"/>
      <c r="H191" s="61"/>
      <c r="I191" s="60"/>
      <c r="J191" s="53"/>
    </row>
    <row r="192" ht="24.75" hidden="1" customHeight="1">
      <c r="A192" s="54">
        <v>140.0</v>
      </c>
      <c r="B192" s="56" t="s">
        <v>466</v>
      </c>
      <c r="C192" s="56" t="s">
        <v>443</v>
      </c>
      <c r="D192" s="56" t="s">
        <v>467</v>
      </c>
      <c r="E192" s="56" t="s">
        <v>272</v>
      </c>
      <c r="F192" s="57" t="s">
        <v>15</v>
      </c>
      <c r="G192" s="61"/>
      <c r="H192" s="61"/>
      <c r="I192" s="60"/>
      <c r="J192" s="53"/>
    </row>
    <row r="193" ht="24.75" hidden="1" customHeight="1">
      <c r="A193" s="54">
        <v>140.0</v>
      </c>
      <c r="B193" s="56" t="s">
        <v>468</v>
      </c>
      <c r="C193" s="56" t="s">
        <v>446</v>
      </c>
      <c r="D193" s="56" t="s">
        <v>469</v>
      </c>
      <c r="E193" s="56" t="s">
        <v>272</v>
      </c>
      <c r="F193" s="57" t="s">
        <v>15</v>
      </c>
      <c r="G193" s="61"/>
      <c r="H193" s="61"/>
      <c r="I193" s="60"/>
      <c r="J193" s="53"/>
    </row>
    <row r="194" ht="24.75" hidden="1" customHeight="1">
      <c r="A194" s="54">
        <v>140.0</v>
      </c>
      <c r="B194" s="56" t="s">
        <v>470</v>
      </c>
      <c r="C194" s="56" t="s">
        <v>443</v>
      </c>
      <c r="D194" s="56" t="s">
        <v>471</v>
      </c>
      <c r="E194" s="56" t="s">
        <v>272</v>
      </c>
      <c r="F194" s="57" t="s">
        <v>15</v>
      </c>
      <c r="G194" s="61"/>
      <c r="H194" s="61"/>
      <c r="I194" s="60"/>
      <c r="J194" s="53"/>
    </row>
    <row r="195" ht="24.75" hidden="1" customHeight="1">
      <c r="A195" s="54">
        <v>140.0</v>
      </c>
      <c r="B195" s="56" t="s">
        <v>472</v>
      </c>
      <c r="C195" s="56" t="s">
        <v>446</v>
      </c>
      <c r="D195" s="56" t="s">
        <v>473</v>
      </c>
      <c r="E195" s="56" t="s">
        <v>272</v>
      </c>
      <c r="F195" s="57" t="s">
        <v>15</v>
      </c>
      <c r="G195" s="61"/>
      <c r="H195" s="61"/>
      <c r="I195" s="60"/>
      <c r="J195" s="53"/>
    </row>
    <row r="196" ht="24.75" hidden="1" customHeight="1">
      <c r="A196" s="54">
        <v>140.0</v>
      </c>
      <c r="B196" s="56" t="s">
        <v>474</v>
      </c>
      <c r="C196" s="56" t="s">
        <v>443</v>
      </c>
      <c r="D196" s="56" t="s">
        <v>475</v>
      </c>
      <c r="E196" s="56" t="s">
        <v>272</v>
      </c>
      <c r="F196" s="57" t="s">
        <v>15</v>
      </c>
      <c r="G196" s="61"/>
      <c r="H196" s="61"/>
      <c r="I196" s="60"/>
      <c r="J196" s="53"/>
    </row>
    <row r="197" ht="24.75" hidden="1" customHeight="1">
      <c r="A197" s="54">
        <v>140.0</v>
      </c>
      <c r="B197" s="56" t="s">
        <v>476</v>
      </c>
      <c r="C197" s="56" t="s">
        <v>270</v>
      </c>
      <c r="D197" s="56" t="s">
        <v>477</v>
      </c>
      <c r="E197" s="56" t="s">
        <v>272</v>
      </c>
      <c r="F197" s="57" t="s">
        <v>15</v>
      </c>
      <c r="G197" s="61"/>
      <c r="H197" s="61"/>
      <c r="I197" s="60"/>
      <c r="J197" s="53"/>
    </row>
    <row r="198" ht="24.75" hidden="1" customHeight="1">
      <c r="A198" s="54">
        <v>140.0</v>
      </c>
      <c r="B198" s="56" t="s">
        <v>478</v>
      </c>
      <c r="C198" s="56" t="s">
        <v>270</v>
      </c>
      <c r="D198" s="56" t="s">
        <v>479</v>
      </c>
      <c r="E198" s="56" t="s">
        <v>272</v>
      </c>
      <c r="F198" s="57" t="s">
        <v>15</v>
      </c>
      <c r="G198" s="61"/>
      <c r="H198" s="61"/>
      <c r="I198" s="60"/>
      <c r="J198" s="53"/>
    </row>
    <row r="199" ht="24.75" hidden="1" customHeight="1">
      <c r="A199" s="54">
        <v>140.0</v>
      </c>
      <c r="B199" s="56" t="s">
        <v>480</v>
      </c>
      <c r="C199" s="56" t="s">
        <v>270</v>
      </c>
      <c r="D199" s="56" t="s">
        <v>481</v>
      </c>
      <c r="E199" s="56" t="s">
        <v>272</v>
      </c>
      <c r="F199" s="57" t="s">
        <v>15</v>
      </c>
      <c r="G199" s="61"/>
      <c r="H199" s="61"/>
      <c r="I199" s="60"/>
      <c r="J199" s="53"/>
    </row>
    <row r="200" ht="24.75" hidden="1" customHeight="1">
      <c r="A200" s="54">
        <v>140.0</v>
      </c>
      <c r="B200" s="56" t="s">
        <v>482</v>
      </c>
      <c r="C200" s="56" t="s">
        <v>443</v>
      </c>
      <c r="D200" s="56" t="s">
        <v>483</v>
      </c>
      <c r="E200" s="56" t="s">
        <v>272</v>
      </c>
      <c r="F200" s="57" t="s">
        <v>15</v>
      </c>
      <c r="G200" s="61"/>
      <c r="H200" s="61"/>
      <c r="I200" s="60"/>
      <c r="J200" s="53"/>
    </row>
    <row r="201" ht="24.75" hidden="1" customHeight="1">
      <c r="A201" s="54">
        <v>140.0</v>
      </c>
      <c r="B201" s="56" t="s">
        <v>484</v>
      </c>
      <c r="C201" s="56" t="s">
        <v>446</v>
      </c>
      <c r="D201" s="56" t="s">
        <v>485</v>
      </c>
      <c r="E201" s="56" t="s">
        <v>272</v>
      </c>
      <c r="F201" s="57" t="s">
        <v>15</v>
      </c>
      <c r="G201" s="61"/>
      <c r="H201" s="61"/>
      <c r="I201" s="60"/>
      <c r="J201" s="53"/>
    </row>
    <row r="202" ht="24.75" hidden="1" customHeight="1">
      <c r="A202" s="54">
        <v>140.0</v>
      </c>
      <c r="B202" s="56" t="s">
        <v>269</v>
      </c>
      <c r="C202" s="56" t="s">
        <v>270</v>
      </c>
      <c r="D202" s="56" t="s">
        <v>486</v>
      </c>
      <c r="E202" s="56" t="s">
        <v>487</v>
      </c>
      <c r="F202" s="56"/>
      <c r="G202" s="61"/>
      <c r="H202" s="61"/>
      <c r="I202" s="62"/>
      <c r="J202" s="53"/>
    </row>
    <row r="203" ht="24.75" hidden="1" customHeight="1">
      <c r="A203" s="54">
        <v>140.0</v>
      </c>
      <c r="B203" s="56" t="s">
        <v>488</v>
      </c>
      <c r="C203" s="88" t="s">
        <v>449</v>
      </c>
      <c r="D203" s="56" t="s">
        <v>489</v>
      </c>
      <c r="E203" s="56" t="s">
        <v>272</v>
      </c>
      <c r="F203" s="57" t="s">
        <v>15</v>
      </c>
      <c r="G203" s="61"/>
      <c r="H203" s="61"/>
      <c r="I203" s="60"/>
      <c r="J203" s="53"/>
    </row>
    <row r="204" ht="24.75" hidden="1" customHeight="1">
      <c r="A204" s="54">
        <v>140.0</v>
      </c>
      <c r="B204" s="56" t="s">
        <v>490</v>
      </c>
      <c r="C204" s="56" t="s">
        <v>270</v>
      </c>
      <c r="D204" s="56" t="s">
        <v>491</v>
      </c>
      <c r="E204" s="56" t="s">
        <v>272</v>
      </c>
      <c r="F204" s="57" t="s">
        <v>15</v>
      </c>
      <c r="G204" s="61"/>
      <c r="H204" s="61"/>
      <c r="I204" s="60"/>
      <c r="J204" s="53"/>
    </row>
    <row r="205" ht="24.75" hidden="1" customHeight="1">
      <c r="A205" s="54">
        <v>140.0</v>
      </c>
      <c r="B205" s="56" t="s">
        <v>284</v>
      </c>
      <c r="C205" s="56" t="s">
        <v>270</v>
      </c>
      <c r="D205" s="56" t="s">
        <v>492</v>
      </c>
      <c r="E205" s="56" t="s">
        <v>487</v>
      </c>
      <c r="F205" s="56"/>
      <c r="G205" s="61"/>
      <c r="H205" s="61"/>
      <c r="I205" s="62"/>
      <c r="J205" s="53"/>
    </row>
    <row r="206" ht="24.75" hidden="1" customHeight="1">
      <c r="A206" s="54">
        <v>140.0</v>
      </c>
      <c r="B206" s="56" t="s">
        <v>493</v>
      </c>
      <c r="C206" s="56" t="s">
        <v>270</v>
      </c>
      <c r="D206" s="56" t="s">
        <v>494</v>
      </c>
      <c r="E206" s="56" t="s">
        <v>272</v>
      </c>
      <c r="F206" s="57" t="s">
        <v>15</v>
      </c>
      <c r="G206" s="61"/>
      <c r="H206" s="61"/>
      <c r="I206" s="60"/>
      <c r="J206" s="53"/>
    </row>
    <row r="207" ht="24.75" hidden="1" customHeight="1">
      <c r="A207" s="54">
        <v>140.0</v>
      </c>
      <c r="B207" s="56" t="s">
        <v>496</v>
      </c>
      <c r="C207" s="56" t="s">
        <v>497</v>
      </c>
      <c r="D207" s="56" t="s">
        <v>498</v>
      </c>
      <c r="E207" s="56" t="s">
        <v>272</v>
      </c>
      <c r="F207" s="57" t="s">
        <v>15</v>
      </c>
      <c r="G207" s="61"/>
      <c r="H207" s="61"/>
      <c r="I207" s="60"/>
      <c r="J207" s="53"/>
    </row>
    <row r="208" ht="24.75" hidden="1" customHeight="1">
      <c r="A208" s="54">
        <v>140.0</v>
      </c>
      <c r="B208" s="56" t="s">
        <v>499</v>
      </c>
      <c r="C208" s="56" t="s">
        <v>500</v>
      </c>
      <c r="D208" s="56" t="s">
        <v>501</v>
      </c>
      <c r="E208" s="56" t="s">
        <v>225</v>
      </c>
      <c r="F208" s="57" t="s">
        <v>34</v>
      </c>
      <c r="G208" s="61"/>
      <c r="H208" s="61"/>
      <c r="I208" s="62"/>
      <c r="J208" s="53"/>
    </row>
    <row r="209" ht="24.75" hidden="1" customHeight="1">
      <c r="A209" s="54">
        <v>140.0</v>
      </c>
      <c r="B209" s="56" t="s">
        <v>499</v>
      </c>
      <c r="C209" s="56" t="s">
        <v>500</v>
      </c>
      <c r="D209" s="56" t="s">
        <v>501</v>
      </c>
      <c r="E209" s="56" t="s">
        <v>167</v>
      </c>
      <c r="F209" s="57" t="s">
        <v>154</v>
      </c>
      <c r="G209" s="61"/>
      <c r="H209" s="61"/>
      <c r="I209" s="62"/>
      <c r="J209" s="53"/>
    </row>
    <row r="210" ht="24.75" hidden="1" customHeight="1">
      <c r="A210" s="54">
        <v>140.0</v>
      </c>
      <c r="B210" s="56" t="s">
        <v>499</v>
      </c>
      <c r="C210" s="56" t="s">
        <v>500</v>
      </c>
      <c r="D210" s="56" t="s">
        <v>501</v>
      </c>
      <c r="E210" s="56" t="s">
        <v>226</v>
      </c>
      <c r="F210" s="57" t="s">
        <v>154</v>
      </c>
      <c r="G210" s="61"/>
      <c r="H210" s="61"/>
      <c r="I210" s="62"/>
      <c r="J210" s="53"/>
    </row>
    <row r="211" ht="24.75" hidden="1" customHeight="1">
      <c r="A211" s="54">
        <v>140.0</v>
      </c>
      <c r="B211" s="56" t="s">
        <v>502</v>
      </c>
      <c r="C211" s="56" t="s">
        <v>497</v>
      </c>
      <c r="D211" s="56" t="s">
        <v>503</v>
      </c>
      <c r="E211" s="56" t="s">
        <v>272</v>
      </c>
      <c r="F211" s="57" t="s">
        <v>15</v>
      </c>
      <c r="G211" s="61"/>
      <c r="H211" s="61"/>
      <c r="I211" s="60"/>
      <c r="J211" s="53"/>
    </row>
    <row r="212" ht="24.75" hidden="1" customHeight="1">
      <c r="A212" s="54">
        <v>140.0</v>
      </c>
      <c r="B212" s="56" t="s">
        <v>504</v>
      </c>
      <c r="C212" s="56" t="s">
        <v>443</v>
      </c>
      <c r="D212" s="56" t="s">
        <v>505</v>
      </c>
      <c r="E212" s="56" t="s">
        <v>439</v>
      </c>
      <c r="F212" s="57" t="s">
        <v>154</v>
      </c>
      <c r="G212" s="61"/>
      <c r="H212" s="61"/>
      <c r="I212" s="62"/>
      <c r="J212" s="53"/>
    </row>
    <row r="213" ht="24.75" hidden="1" customHeight="1">
      <c r="A213" s="54">
        <v>140.0</v>
      </c>
      <c r="B213" s="56" t="s">
        <v>506</v>
      </c>
      <c r="C213" s="56" t="s">
        <v>507</v>
      </c>
      <c r="D213" s="56" t="s">
        <v>508</v>
      </c>
      <c r="E213" s="56" t="s">
        <v>336</v>
      </c>
      <c r="F213" s="57" t="s">
        <v>192</v>
      </c>
      <c r="G213" s="61"/>
      <c r="H213" s="61"/>
      <c r="I213" s="62"/>
      <c r="J213" s="53"/>
    </row>
    <row r="214" ht="24.75" hidden="1" customHeight="1">
      <c r="A214" s="54">
        <v>140.0</v>
      </c>
      <c r="B214" s="56" t="s">
        <v>506</v>
      </c>
      <c r="C214" s="56" t="s">
        <v>507</v>
      </c>
      <c r="D214" s="56" t="s">
        <v>508</v>
      </c>
      <c r="E214" s="56" t="s">
        <v>372</v>
      </c>
      <c r="F214" s="57" t="s">
        <v>34</v>
      </c>
      <c r="G214" s="61"/>
      <c r="H214" s="61"/>
      <c r="I214" s="62"/>
      <c r="J214" s="53"/>
    </row>
    <row r="215" ht="24.75" hidden="1" customHeight="1">
      <c r="A215" s="54">
        <v>140.0</v>
      </c>
      <c r="B215" s="56" t="s">
        <v>506</v>
      </c>
      <c r="C215" s="56" t="s">
        <v>507</v>
      </c>
      <c r="D215" s="56" t="s">
        <v>508</v>
      </c>
      <c r="E215" s="56" t="s">
        <v>158</v>
      </c>
      <c r="F215" s="57" t="s">
        <v>34</v>
      </c>
      <c r="G215" s="61"/>
      <c r="H215" s="61"/>
      <c r="I215" s="62"/>
      <c r="J215" s="53"/>
    </row>
    <row r="216" ht="24.75" hidden="1" customHeight="1">
      <c r="A216" s="54">
        <v>140.0</v>
      </c>
      <c r="B216" s="56" t="s">
        <v>502</v>
      </c>
      <c r="C216" s="56" t="s">
        <v>497</v>
      </c>
      <c r="D216" s="56" t="s">
        <v>509</v>
      </c>
      <c r="E216" s="56" t="s">
        <v>272</v>
      </c>
      <c r="F216" s="57" t="s">
        <v>15</v>
      </c>
      <c r="G216" s="61"/>
      <c r="H216" s="61"/>
      <c r="I216" s="60"/>
      <c r="J216" s="53"/>
    </row>
    <row r="217" ht="24.75" hidden="1" customHeight="1">
      <c r="A217" s="54">
        <v>140.0</v>
      </c>
      <c r="B217" s="56" t="s">
        <v>499</v>
      </c>
      <c r="C217" s="56" t="s">
        <v>500</v>
      </c>
      <c r="D217" s="56" t="s">
        <v>510</v>
      </c>
      <c r="E217" s="56" t="s">
        <v>272</v>
      </c>
      <c r="F217" s="57" t="s">
        <v>15</v>
      </c>
      <c r="G217" s="61"/>
      <c r="H217" s="61"/>
      <c r="I217" s="60"/>
      <c r="J217" s="53"/>
    </row>
    <row r="218" ht="24.75" hidden="1" customHeight="1">
      <c r="A218" s="54">
        <v>140.0</v>
      </c>
      <c r="B218" s="56" t="s">
        <v>511</v>
      </c>
      <c r="C218" s="56" t="s">
        <v>497</v>
      </c>
      <c r="D218" s="56" t="s">
        <v>512</v>
      </c>
      <c r="E218" s="56" t="s">
        <v>272</v>
      </c>
      <c r="F218" s="57" t="s">
        <v>15</v>
      </c>
      <c r="G218" s="61"/>
      <c r="H218" s="61"/>
      <c r="I218" s="60"/>
      <c r="J218" s="53"/>
    </row>
    <row r="219" ht="24.75" hidden="1" customHeight="1">
      <c r="A219" s="54">
        <v>140.0</v>
      </c>
      <c r="B219" s="56" t="s">
        <v>513</v>
      </c>
      <c r="C219" s="56" t="s">
        <v>437</v>
      </c>
      <c r="D219" s="56" t="s">
        <v>514</v>
      </c>
      <c r="E219" s="56" t="s">
        <v>272</v>
      </c>
      <c r="F219" s="57" t="s">
        <v>15</v>
      </c>
      <c r="G219" s="61"/>
      <c r="H219" s="61"/>
      <c r="I219" s="60"/>
      <c r="J219" s="53"/>
    </row>
    <row r="220" ht="24.75" hidden="1" customHeight="1">
      <c r="A220" s="54">
        <v>140.0</v>
      </c>
      <c r="B220" s="56" t="s">
        <v>515</v>
      </c>
      <c r="C220" s="56" t="s">
        <v>437</v>
      </c>
      <c r="D220" s="56" t="s">
        <v>516</v>
      </c>
      <c r="E220" s="56" t="s">
        <v>272</v>
      </c>
      <c r="F220" s="57" t="s">
        <v>15</v>
      </c>
      <c r="G220" s="61"/>
      <c r="H220" s="61"/>
      <c r="I220" s="60"/>
      <c r="J220" s="53"/>
    </row>
    <row r="221" ht="24.75" hidden="1" customHeight="1">
      <c r="A221" s="54">
        <v>140.0</v>
      </c>
      <c r="B221" s="56" t="s">
        <v>517</v>
      </c>
      <c r="C221" s="56" t="s">
        <v>437</v>
      </c>
      <c r="D221" s="56" t="s">
        <v>518</v>
      </c>
      <c r="E221" s="56" t="s">
        <v>272</v>
      </c>
      <c r="F221" s="57" t="s">
        <v>15</v>
      </c>
      <c r="G221" s="81"/>
      <c r="H221" s="81"/>
      <c r="I221" s="93"/>
      <c r="J221" s="53"/>
    </row>
    <row r="222" ht="24.75" hidden="1" customHeight="1">
      <c r="A222" s="54">
        <v>140.0</v>
      </c>
      <c r="B222" s="56" t="s">
        <v>519</v>
      </c>
      <c r="C222" s="56" t="s">
        <v>437</v>
      </c>
      <c r="D222" s="56" t="s">
        <v>520</v>
      </c>
      <c r="E222" s="56" t="s">
        <v>272</v>
      </c>
      <c r="F222" s="57" t="s">
        <v>15</v>
      </c>
      <c r="G222" s="61"/>
      <c r="H222" s="61"/>
      <c r="I222" s="60"/>
      <c r="J222" s="53"/>
    </row>
    <row r="223" ht="24.75" hidden="1" customHeight="1">
      <c r="A223" s="54">
        <v>140.0</v>
      </c>
      <c r="B223" s="56" t="s">
        <v>521</v>
      </c>
      <c r="C223" s="56" t="s">
        <v>443</v>
      </c>
      <c r="D223" s="56" t="s">
        <v>522</v>
      </c>
      <c r="E223" s="56" t="s">
        <v>272</v>
      </c>
      <c r="F223" s="57" t="s">
        <v>15</v>
      </c>
      <c r="G223" s="61"/>
      <c r="H223" s="61"/>
      <c r="I223" s="60"/>
      <c r="J223" s="53"/>
    </row>
    <row r="224" ht="24.75" hidden="1" customHeight="1">
      <c r="A224" s="54">
        <v>140.0</v>
      </c>
      <c r="B224" s="56" t="s">
        <v>523</v>
      </c>
      <c r="C224" s="56" t="s">
        <v>443</v>
      </c>
      <c r="D224" s="56" t="s">
        <v>524</v>
      </c>
      <c r="E224" s="56" t="s">
        <v>272</v>
      </c>
      <c r="F224" s="57" t="s">
        <v>15</v>
      </c>
      <c r="G224" s="61"/>
      <c r="H224" s="61"/>
      <c r="I224" s="60"/>
      <c r="J224" s="53"/>
    </row>
    <row r="225" ht="24.75" hidden="1" customHeight="1">
      <c r="A225" s="54">
        <v>140.0</v>
      </c>
      <c r="B225" s="56" t="s">
        <v>525</v>
      </c>
      <c r="C225" s="56" t="s">
        <v>443</v>
      </c>
      <c r="D225" s="56" t="s">
        <v>526</v>
      </c>
      <c r="E225" s="56" t="s">
        <v>272</v>
      </c>
      <c r="F225" s="57" t="s">
        <v>15</v>
      </c>
      <c r="G225" s="61"/>
      <c r="H225" s="61"/>
      <c r="I225" s="60"/>
      <c r="J225" s="53"/>
    </row>
    <row r="226" ht="24.75" hidden="1" customHeight="1">
      <c r="A226" s="54">
        <v>140.0</v>
      </c>
      <c r="B226" s="56" t="s">
        <v>527</v>
      </c>
      <c r="C226" s="56" t="s">
        <v>446</v>
      </c>
      <c r="D226" s="56" t="s">
        <v>528</v>
      </c>
      <c r="E226" s="56" t="s">
        <v>272</v>
      </c>
      <c r="F226" s="57" t="s">
        <v>15</v>
      </c>
      <c r="G226" s="61"/>
      <c r="H226" s="61"/>
      <c r="I226" s="60"/>
      <c r="J226" s="53"/>
    </row>
    <row r="227" ht="24.75" hidden="1" customHeight="1">
      <c r="A227" s="54">
        <v>140.0</v>
      </c>
      <c r="B227" s="56" t="s">
        <v>529</v>
      </c>
      <c r="C227" s="56" t="s">
        <v>446</v>
      </c>
      <c r="D227" s="56" t="s">
        <v>530</v>
      </c>
      <c r="E227" s="56" t="s">
        <v>272</v>
      </c>
      <c r="F227" s="57" t="s">
        <v>15</v>
      </c>
      <c r="G227" s="61"/>
      <c r="H227" s="61"/>
      <c r="I227" s="60"/>
      <c r="J227" s="53"/>
    </row>
    <row r="228" ht="24.75" hidden="1" customHeight="1">
      <c r="A228" s="54">
        <v>140.0</v>
      </c>
      <c r="B228" s="56" t="s">
        <v>531</v>
      </c>
      <c r="C228" s="88" t="s">
        <v>449</v>
      </c>
      <c r="D228" s="56" t="s">
        <v>532</v>
      </c>
      <c r="E228" s="56" t="s">
        <v>272</v>
      </c>
      <c r="F228" s="57" t="s">
        <v>15</v>
      </c>
      <c r="G228" s="61"/>
      <c r="H228" s="61"/>
      <c r="I228" s="60"/>
      <c r="J228" s="53"/>
    </row>
    <row r="229" ht="24.75" hidden="1" customHeight="1">
      <c r="A229" s="54">
        <v>140.0</v>
      </c>
      <c r="B229" s="56" t="s">
        <v>533</v>
      </c>
      <c r="C229" s="56" t="s">
        <v>497</v>
      </c>
      <c r="D229" s="56" t="s">
        <v>534</v>
      </c>
      <c r="E229" s="56" t="s">
        <v>439</v>
      </c>
      <c r="F229" s="57" t="s">
        <v>154</v>
      </c>
      <c r="G229" s="61"/>
      <c r="H229" s="61"/>
      <c r="I229" s="62"/>
      <c r="J229" s="53"/>
    </row>
    <row r="230" ht="24.75" hidden="1" customHeight="1">
      <c r="A230" s="54">
        <v>140.0</v>
      </c>
      <c r="B230" s="56" t="s">
        <v>535</v>
      </c>
      <c r="C230" s="56" t="s">
        <v>443</v>
      </c>
      <c r="D230" s="56" t="s">
        <v>537</v>
      </c>
      <c r="E230" s="56" t="s">
        <v>439</v>
      </c>
      <c r="F230" s="57" t="s">
        <v>154</v>
      </c>
      <c r="G230" s="61"/>
      <c r="H230" s="61"/>
      <c r="I230" s="62"/>
      <c r="J230" s="53"/>
    </row>
    <row r="231" ht="24.75" hidden="1" customHeight="1">
      <c r="A231" s="54">
        <v>140.0</v>
      </c>
      <c r="B231" s="56" t="s">
        <v>538</v>
      </c>
      <c r="C231" s="56" t="s">
        <v>446</v>
      </c>
      <c r="D231" s="56" t="s">
        <v>539</v>
      </c>
      <c r="E231" s="56" t="s">
        <v>439</v>
      </c>
      <c r="F231" s="57" t="s">
        <v>154</v>
      </c>
      <c r="G231" s="61"/>
      <c r="H231" s="61"/>
      <c r="I231" s="62"/>
      <c r="J231" s="53"/>
    </row>
    <row r="232" ht="24.75" hidden="1" customHeight="1">
      <c r="A232" s="54">
        <v>140.0</v>
      </c>
      <c r="B232" s="56" t="s">
        <v>540</v>
      </c>
      <c r="C232" s="56" t="s">
        <v>434</v>
      </c>
      <c r="D232" s="56" t="s">
        <v>541</v>
      </c>
      <c r="E232" s="56" t="s">
        <v>167</v>
      </c>
      <c r="F232" s="57" t="s">
        <v>154</v>
      </c>
      <c r="G232" s="61"/>
      <c r="H232" s="61"/>
      <c r="I232" s="62"/>
      <c r="J232" s="53"/>
    </row>
    <row r="233" ht="24.75" hidden="1" customHeight="1">
      <c r="A233" s="54">
        <v>140.0</v>
      </c>
      <c r="B233" s="56" t="s">
        <v>540</v>
      </c>
      <c r="C233" s="56" t="s">
        <v>434</v>
      </c>
      <c r="D233" s="56" t="s">
        <v>541</v>
      </c>
      <c r="E233" s="56" t="s">
        <v>176</v>
      </c>
      <c r="F233" s="57" t="s">
        <v>154</v>
      </c>
      <c r="G233" s="61"/>
      <c r="H233" s="61"/>
      <c r="I233" s="62"/>
      <c r="J233" s="53"/>
    </row>
    <row r="234" ht="24.75" hidden="1" customHeight="1">
      <c r="A234" s="54">
        <v>140.0</v>
      </c>
      <c r="B234" s="56" t="s">
        <v>543</v>
      </c>
      <c r="C234" s="56" t="s">
        <v>437</v>
      </c>
      <c r="D234" s="56" t="s">
        <v>544</v>
      </c>
      <c r="E234" s="56" t="s">
        <v>167</v>
      </c>
      <c r="F234" s="57" t="s">
        <v>154</v>
      </c>
      <c r="G234" s="61"/>
      <c r="H234" s="61"/>
      <c r="I234" s="62"/>
      <c r="J234" s="53"/>
    </row>
    <row r="235" ht="24.75" hidden="1" customHeight="1">
      <c r="A235" s="54">
        <v>140.0</v>
      </c>
      <c r="B235" s="56" t="s">
        <v>543</v>
      </c>
      <c r="C235" s="56" t="s">
        <v>437</v>
      </c>
      <c r="D235" s="56" t="s">
        <v>544</v>
      </c>
      <c r="E235" s="56" t="s">
        <v>176</v>
      </c>
      <c r="F235" s="57" t="s">
        <v>154</v>
      </c>
      <c r="G235" s="61"/>
      <c r="H235" s="61"/>
      <c r="I235" s="62"/>
      <c r="J235" s="53"/>
    </row>
    <row r="236" ht="24.75" hidden="1" customHeight="1">
      <c r="A236" s="54">
        <v>140.0</v>
      </c>
      <c r="B236" s="56" t="s">
        <v>545</v>
      </c>
      <c r="C236" s="56" t="s">
        <v>437</v>
      </c>
      <c r="D236" s="56" t="s">
        <v>546</v>
      </c>
      <c r="E236" s="56" t="s">
        <v>167</v>
      </c>
      <c r="F236" s="57" t="s">
        <v>154</v>
      </c>
      <c r="G236" s="61"/>
      <c r="H236" s="61"/>
      <c r="I236" s="62"/>
      <c r="J236" s="53"/>
    </row>
    <row r="237" ht="24.75" hidden="1" customHeight="1">
      <c r="A237" s="54">
        <v>140.0</v>
      </c>
      <c r="B237" s="56" t="s">
        <v>545</v>
      </c>
      <c r="C237" s="56" t="s">
        <v>437</v>
      </c>
      <c r="D237" s="56" t="s">
        <v>546</v>
      </c>
      <c r="E237" s="56" t="s">
        <v>176</v>
      </c>
      <c r="F237" s="57" t="s">
        <v>154</v>
      </c>
      <c r="G237" s="61"/>
      <c r="H237" s="61"/>
      <c r="I237" s="62"/>
      <c r="J237" s="53"/>
    </row>
    <row r="238" ht="24.75" hidden="1" customHeight="1">
      <c r="A238" s="54">
        <v>140.0</v>
      </c>
      <c r="B238" s="56" t="s">
        <v>547</v>
      </c>
      <c r="C238" s="56" t="s">
        <v>437</v>
      </c>
      <c r="D238" s="56" t="s">
        <v>548</v>
      </c>
      <c r="E238" s="56" t="s">
        <v>167</v>
      </c>
      <c r="F238" s="57" t="s">
        <v>154</v>
      </c>
      <c r="G238" s="61"/>
      <c r="H238" s="61"/>
      <c r="I238" s="62"/>
      <c r="J238" s="53"/>
    </row>
    <row r="239" ht="24.75" hidden="1" customHeight="1">
      <c r="A239" s="54">
        <v>140.0</v>
      </c>
      <c r="B239" s="56" t="s">
        <v>547</v>
      </c>
      <c r="C239" s="56" t="s">
        <v>437</v>
      </c>
      <c r="D239" s="56" t="s">
        <v>548</v>
      </c>
      <c r="E239" s="56" t="s">
        <v>176</v>
      </c>
      <c r="F239" s="57" t="s">
        <v>154</v>
      </c>
      <c r="G239" s="61"/>
      <c r="H239" s="61"/>
      <c r="I239" s="62"/>
      <c r="J239" s="53"/>
    </row>
    <row r="240" ht="24.75" hidden="1" customHeight="1">
      <c r="A240" s="54">
        <v>140.0</v>
      </c>
      <c r="B240" s="56" t="s">
        <v>549</v>
      </c>
      <c r="C240" s="56" t="s">
        <v>434</v>
      </c>
      <c r="D240" s="56" t="s">
        <v>550</v>
      </c>
      <c r="E240" s="56" t="s">
        <v>167</v>
      </c>
      <c r="F240" s="57" t="s">
        <v>154</v>
      </c>
      <c r="G240" s="61"/>
      <c r="H240" s="61"/>
      <c r="I240" s="62"/>
      <c r="J240" s="53"/>
    </row>
    <row r="241" ht="24.75" hidden="1" customHeight="1">
      <c r="A241" s="54">
        <v>140.0</v>
      </c>
      <c r="B241" s="56" t="s">
        <v>549</v>
      </c>
      <c r="C241" s="56" t="s">
        <v>434</v>
      </c>
      <c r="D241" s="56" t="s">
        <v>550</v>
      </c>
      <c r="E241" s="56" t="s">
        <v>176</v>
      </c>
      <c r="F241" s="57" t="s">
        <v>154</v>
      </c>
      <c r="G241" s="61"/>
      <c r="H241" s="61"/>
      <c r="I241" s="62"/>
      <c r="J241" s="53"/>
    </row>
    <row r="242" ht="24.75" hidden="1" customHeight="1">
      <c r="A242" s="54">
        <v>140.0</v>
      </c>
      <c r="B242" s="56" t="s">
        <v>551</v>
      </c>
      <c r="C242" s="56" t="s">
        <v>497</v>
      </c>
      <c r="D242" s="56" t="s">
        <v>552</v>
      </c>
      <c r="E242" s="56" t="s">
        <v>167</v>
      </c>
      <c r="F242" s="57" t="s">
        <v>154</v>
      </c>
      <c r="G242" s="61"/>
      <c r="H242" s="61"/>
      <c r="I242" s="62"/>
      <c r="J242" s="53"/>
    </row>
    <row r="243" ht="24.75" hidden="1" customHeight="1">
      <c r="A243" s="54">
        <v>140.0</v>
      </c>
      <c r="B243" s="56" t="s">
        <v>551</v>
      </c>
      <c r="C243" s="56" t="s">
        <v>497</v>
      </c>
      <c r="D243" s="56" t="s">
        <v>552</v>
      </c>
      <c r="E243" s="56" t="s">
        <v>176</v>
      </c>
      <c r="F243" s="57" t="s">
        <v>154</v>
      </c>
      <c r="G243" s="61"/>
      <c r="H243" s="61"/>
      <c r="I243" s="62"/>
      <c r="J243" s="53"/>
    </row>
    <row r="244" ht="24.75" hidden="1" customHeight="1">
      <c r="A244" s="54">
        <v>140.0</v>
      </c>
      <c r="B244" s="56" t="s">
        <v>553</v>
      </c>
      <c r="C244" s="56" t="s">
        <v>443</v>
      </c>
      <c r="D244" s="56" t="s">
        <v>554</v>
      </c>
      <c r="E244" s="56" t="s">
        <v>167</v>
      </c>
      <c r="F244" s="57" t="s">
        <v>154</v>
      </c>
      <c r="G244" s="61"/>
      <c r="H244" s="61"/>
      <c r="I244" s="62"/>
      <c r="J244" s="53"/>
    </row>
    <row r="245" ht="24.75" hidden="1" customHeight="1">
      <c r="A245" s="54">
        <v>140.0</v>
      </c>
      <c r="B245" s="56" t="s">
        <v>553</v>
      </c>
      <c r="C245" s="56" t="s">
        <v>443</v>
      </c>
      <c r="D245" s="56" t="s">
        <v>554</v>
      </c>
      <c r="E245" s="56" t="s">
        <v>176</v>
      </c>
      <c r="F245" s="57" t="s">
        <v>154</v>
      </c>
      <c r="G245" s="61"/>
      <c r="H245" s="61"/>
      <c r="I245" s="62"/>
      <c r="J245" s="53"/>
    </row>
    <row r="246" ht="24.75" hidden="1" customHeight="1">
      <c r="A246" s="54">
        <v>140.0</v>
      </c>
      <c r="B246" s="56" t="s">
        <v>555</v>
      </c>
      <c r="C246" s="56" t="s">
        <v>434</v>
      </c>
      <c r="D246" s="56" t="s">
        <v>556</v>
      </c>
      <c r="E246" s="56" t="s">
        <v>167</v>
      </c>
      <c r="F246" s="57" t="s">
        <v>154</v>
      </c>
      <c r="G246" s="61"/>
      <c r="H246" s="61"/>
      <c r="I246" s="62"/>
      <c r="J246" s="53"/>
    </row>
    <row r="247" ht="24.75" hidden="1" customHeight="1">
      <c r="A247" s="54">
        <v>140.0</v>
      </c>
      <c r="B247" s="56" t="s">
        <v>555</v>
      </c>
      <c r="C247" s="56" t="s">
        <v>434</v>
      </c>
      <c r="D247" s="56" t="s">
        <v>556</v>
      </c>
      <c r="E247" s="56" t="s">
        <v>176</v>
      </c>
      <c r="F247" s="57" t="s">
        <v>154</v>
      </c>
      <c r="G247" s="61"/>
      <c r="H247" s="61"/>
      <c r="I247" s="62"/>
      <c r="J247" s="53"/>
    </row>
    <row r="248" ht="24.75" hidden="1" customHeight="1">
      <c r="A248" s="54">
        <v>140.0</v>
      </c>
      <c r="B248" s="56" t="s">
        <v>558</v>
      </c>
      <c r="C248" s="56" t="s">
        <v>270</v>
      </c>
      <c r="D248" s="56" t="s">
        <v>559</v>
      </c>
      <c r="E248" s="56" t="s">
        <v>167</v>
      </c>
      <c r="F248" s="57" t="s">
        <v>154</v>
      </c>
      <c r="G248" s="61"/>
      <c r="H248" s="61"/>
      <c r="I248" s="62"/>
      <c r="J248" s="53"/>
    </row>
    <row r="249" ht="24.75" hidden="1" customHeight="1">
      <c r="A249" s="54">
        <v>140.0</v>
      </c>
      <c r="B249" s="56" t="s">
        <v>558</v>
      </c>
      <c r="C249" s="56" t="s">
        <v>270</v>
      </c>
      <c r="D249" s="56" t="s">
        <v>559</v>
      </c>
      <c r="E249" s="56" t="s">
        <v>176</v>
      </c>
      <c r="F249" s="57" t="s">
        <v>154</v>
      </c>
      <c r="G249" s="61"/>
      <c r="H249" s="61"/>
      <c r="I249" s="62"/>
      <c r="J249" s="53"/>
    </row>
    <row r="250" ht="24.75" hidden="1" customHeight="1">
      <c r="A250" s="54">
        <v>140.0</v>
      </c>
      <c r="B250" s="56" t="s">
        <v>560</v>
      </c>
      <c r="C250" s="56" t="s">
        <v>446</v>
      </c>
      <c r="D250" s="56" t="s">
        <v>561</v>
      </c>
      <c r="E250" s="56" t="s">
        <v>167</v>
      </c>
      <c r="F250" s="57" t="s">
        <v>154</v>
      </c>
      <c r="G250" s="61"/>
      <c r="H250" s="61"/>
      <c r="I250" s="62"/>
      <c r="J250" s="53"/>
    </row>
    <row r="251" ht="24.75" hidden="1" customHeight="1">
      <c r="A251" s="54">
        <v>140.0</v>
      </c>
      <c r="B251" s="56" t="s">
        <v>560</v>
      </c>
      <c r="C251" s="56" t="s">
        <v>446</v>
      </c>
      <c r="D251" s="56" t="s">
        <v>561</v>
      </c>
      <c r="E251" s="56" t="s">
        <v>176</v>
      </c>
      <c r="F251" s="57" t="s">
        <v>154</v>
      </c>
      <c r="G251" s="61"/>
      <c r="H251" s="61"/>
      <c r="I251" s="62"/>
      <c r="J251" s="53"/>
    </row>
    <row r="252" ht="24.75" hidden="1" customHeight="1">
      <c r="A252" s="54">
        <v>140.0</v>
      </c>
      <c r="B252" s="56" t="s">
        <v>562</v>
      </c>
      <c r="C252" s="56" t="s">
        <v>443</v>
      </c>
      <c r="D252" s="56" t="s">
        <v>563</v>
      </c>
      <c r="E252" s="56" t="s">
        <v>167</v>
      </c>
      <c r="F252" s="57" t="s">
        <v>154</v>
      </c>
      <c r="G252" s="61"/>
      <c r="H252" s="61"/>
      <c r="I252" s="62"/>
      <c r="J252" s="53"/>
    </row>
    <row r="253" ht="24.75" hidden="1" customHeight="1">
      <c r="A253" s="54">
        <v>140.0</v>
      </c>
      <c r="B253" s="56" t="s">
        <v>562</v>
      </c>
      <c r="C253" s="56" t="s">
        <v>443</v>
      </c>
      <c r="D253" s="56" t="s">
        <v>563</v>
      </c>
      <c r="E253" s="56" t="s">
        <v>176</v>
      </c>
      <c r="F253" s="57" t="s">
        <v>154</v>
      </c>
      <c r="G253" s="61"/>
      <c r="H253" s="61"/>
      <c r="I253" s="62"/>
      <c r="J253" s="53"/>
    </row>
    <row r="254" ht="24.75" hidden="1" customHeight="1">
      <c r="A254" s="54">
        <v>140.0</v>
      </c>
      <c r="B254" s="56" t="s">
        <v>564</v>
      </c>
      <c r="C254" s="56" t="s">
        <v>446</v>
      </c>
      <c r="D254" s="56" t="s">
        <v>565</v>
      </c>
      <c r="E254" s="56" t="s">
        <v>167</v>
      </c>
      <c r="F254" s="57" t="s">
        <v>154</v>
      </c>
      <c r="G254" s="61"/>
      <c r="H254" s="61"/>
      <c r="I254" s="62"/>
      <c r="J254" s="53"/>
    </row>
    <row r="255" ht="24.75" hidden="1" customHeight="1">
      <c r="A255" s="54">
        <v>140.0</v>
      </c>
      <c r="B255" s="56" t="s">
        <v>564</v>
      </c>
      <c r="C255" s="56" t="s">
        <v>446</v>
      </c>
      <c r="D255" s="56" t="s">
        <v>565</v>
      </c>
      <c r="E255" s="56" t="s">
        <v>176</v>
      </c>
      <c r="F255" s="57" t="s">
        <v>154</v>
      </c>
      <c r="G255" s="61"/>
      <c r="H255" s="61"/>
      <c r="I255" s="62"/>
      <c r="J255" s="53"/>
    </row>
    <row r="256" ht="24.75" hidden="1" customHeight="1">
      <c r="A256" s="54">
        <v>140.0</v>
      </c>
      <c r="B256" s="56" t="s">
        <v>566</v>
      </c>
      <c r="C256" s="88" t="s">
        <v>449</v>
      </c>
      <c r="D256" s="56" t="s">
        <v>567</v>
      </c>
      <c r="E256" s="56" t="s">
        <v>167</v>
      </c>
      <c r="F256" s="57" t="s">
        <v>154</v>
      </c>
      <c r="G256" s="61"/>
      <c r="H256" s="61"/>
      <c r="I256" s="62"/>
      <c r="J256" s="53"/>
    </row>
    <row r="257" ht="24.75" hidden="1" customHeight="1">
      <c r="A257" s="54">
        <v>140.0</v>
      </c>
      <c r="B257" s="56" t="s">
        <v>566</v>
      </c>
      <c r="C257" s="88" t="s">
        <v>449</v>
      </c>
      <c r="D257" s="56" t="s">
        <v>567</v>
      </c>
      <c r="E257" s="56" t="s">
        <v>176</v>
      </c>
      <c r="F257" s="57" t="s">
        <v>154</v>
      </c>
      <c r="G257" s="61"/>
      <c r="H257" s="61"/>
      <c r="I257" s="62"/>
      <c r="J257" s="53"/>
    </row>
    <row r="258" ht="24.75" hidden="1" customHeight="1">
      <c r="A258" s="54">
        <v>140.0</v>
      </c>
      <c r="B258" s="56" t="s">
        <v>568</v>
      </c>
      <c r="C258" s="56" t="s">
        <v>446</v>
      </c>
      <c r="D258" s="56" t="s">
        <v>569</v>
      </c>
      <c r="E258" s="56" t="s">
        <v>272</v>
      </c>
      <c r="F258" s="57" t="s">
        <v>15</v>
      </c>
      <c r="G258" s="61"/>
      <c r="H258" s="61"/>
      <c r="I258" s="60"/>
      <c r="J258" s="53"/>
    </row>
    <row r="259" ht="24.75" hidden="1" customHeight="1">
      <c r="A259" s="54">
        <v>140.0</v>
      </c>
      <c r="B259" s="56" t="s">
        <v>570</v>
      </c>
      <c r="C259" s="88" t="s">
        <v>449</v>
      </c>
      <c r="D259" s="56" t="s">
        <v>571</v>
      </c>
      <c r="E259" s="56" t="s">
        <v>167</v>
      </c>
      <c r="F259" s="57" t="s">
        <v>154</v>
      </c>
      <c r="G259" s="61"/>
      <c r="H259" s="61"/>
      <c r="I259" s="62"/>
      <c r="J259" s="53"/>
    </row>
    <row r="260" ht="24.75" hidden="1" customHeight="1">
      <c r="A260" s="54">
        <v>140.0</v>
      </c>
      <c r="B260" s="56" t="s">
        <v>570</v>
      </c>
      <c r="C260" s="88" t="s">
        <v>449</v>
      </c>
      <c r="D260" s="56" t="s">
        <v>571</v>
      </c>
      <c r="E260" s="56" t="s">
        <v>176</v>
      </c>
      <c r="F260" s="57" t="s">
        <v>154</v>
      </c>
      <c r="G260" s="61"/>
      <c r="H260" s="61"/>
      <c r="I260" s="62"/>
      <c r="J260" s="53"/>
    </row>
    <row r="261" ht="24.75" hidden="1" customHeight="1">
      <c r="A261" s="54" t="s">
        <v>572</v>
      </c>
      <c r="B261" s="56" t="s">
        <v>573</v>
      </c>
      <c r="C261" s="56" t="s">
        <v>574</v>
      </c>
      <c r="D261" s="56" t="s">
        <v>575</v>
      </c>
      <c r="E261" s="56" t="s">
        <v>239</v>
      </c>
      <c r="F261" s="57" t="s">
        <v>154</v>
      </c>
      <c r="G261" s="61"/>
      <c r="H261" s="61"/>
      <c r="I261" s="62" t="s">
        <v>207</v>
      </c>
      <c r="J261" s="53"/>
    </row>
    <row r="262" ht="24.75" hidden="1" customHeight="1">
      <c r="A262" s="54" t="s">
        <v>572</v>
      </c>
      <c r="B262" s="56" t="s">
        <v>576</v>
      </c>
      <c r="C262" s="56" t="s">
        <v>574</v>
      </c>
      <c r="D262" s="56" t="s">
        <v>577</v>
      </c>
      <c r="E262" s="56" t="s">
        <v>578</v>
      </c>
      <c r="F262" s="57" t="s">
        <v>154</v>
      </c>
      <c r="G262" s="61"/>
      <c r="H262" s="61"/>
      <c r="I262" s="62"/>
      <c r="J262" s="53"/>
    </row>
    <row r="263" ht="24.75" customHeight="1">
      <c r="A263" s="54" t="s">
        <v>572</v>
      </c>
      <c r="B263" s="56" t="s">
        <v>576</v>
      </c>
      <c r="C263" s="56" t="s">
        <v>574</v>
      </c>
      <c r="D263" s="56" t="s">
        <v>577</v>
      </c>
      <c r="E263" s="56" t="s">
        <v>196</v>
      </c>
      <c r="F263" s="57" t="s">
        <v>250</v>
      </c>
      <c r="G263" s="61"/>
      <c r="H263" s="61" t="s">
        <v>197</v>
      </c>
      <c r="I263" s="62" t="s">
        <v>581</v>
      </c>
      <c r="J263" s="53"/>
    </row>
    <row r="264" ht="24.75" hidden="1" customHeight="1">
      <c r="A264" s="54" t="s">
        <v>572</v>
      </c>
      <c r="B264" s="56" t="s">
        <v>579</v>
      </c>
      <c r="C264" s="56" t="s">
        <v>574</v>
      </c>
      <c r="D264" s="56" t="s">
        <v>580</v>
      </c>
      <c r="E264" s="56" t="s">
        <v>578</v>
      </c>
      <c r="F264" s="57" t="s">
        <v>154</v>
      </c>
      <c r="G264" s="61"/>
      <c r="H264" s="61"/>
      <c r="I264" s="62"/>
      <c r="J264" s="53"/>
    </row>
    <row r="265" ht="24.75" customHeight="1">
      <c r="A265" s="54" t="s">
        <v>572</v>
      </c>
      <c r="B265" s="56" t="s">
        <v>579</v>
      </c>
      <c r="C265" s="56" t="s">
        <v>574</v>
      </c>
      <c r="D265" s="56" t="s">
        <v>580</v>
      </c>
      <c r="E265" s="56" t="s">
        <v>196</v>
      </c>
      <c r="F265" s="57" t="s">
        <v>250</v>
      </c>
      <c r="G265" s="61"/>
      <c r="H265" s="61" t="s">
        <v>197</v>
      </c>
      <c r="I265" s="62" t="s">
        <v>581</v>
      </c>
      <c r="J265" s="53"/>
    </row>
    <row r="266" ht="24.75" hidden="1" customHeight="1">
      <c r="A266" s="54" t="s">
        <v>572</v>
      </c>
      <c r="B266" s="56" t="s">
        <v>582</v>
      </c>
      <c r="C266" s="56" t="s">
        <v>583</v>
      </c>
      <c r="D266" s="56" t="s">
        <v>584</v>
      </c>
      <c r="E266" s="56" t="s">
        <v>585</v>
      </c>
      <c r="F266" s="57" t="s">
        <v>154</v>
      </c>
      <c r="G266" s="61"/>
      <c r="H266" s="61"/>
      <c r="I266" s="62" t="s">
        <v>207</v>
      </c>
      <c r="J266" s="53"/>
    </row>
    <row r="267" ht="24.75" hidden="1" customHeight="1">
      <c r="A267" s="54" t="s">
        <v>572</v>
      </c>
      <c r="B267" s="56" t="s">
        <v>586</v>
      </c>
      <c r="C267" s="56" t="s">
        <v>583</v>
      </c>
      <c r="D267" s="56" t="s">
        <v>587</v>
      </c>
      <c r="E267" s="56" t="s">
        <v>588</v>
      </c>
      <c r="F267" s="57" t="s">
        <v>154</v>
      </c>
      <c r="G267" s="61"/>
      <c r="H267" s="61"/>
      <c r="I267" s="62"/>
      <c r="J267" s="53"/>
    </row>
    <row r="268" ht="24.75" hidden="1" customHeight="1">
      <c r="A268" s="54" t="s">
        <v>572</v>
      </c>
      <c r="B268" s="56" t="s">
        <v>586</v>
      </c>
      <c r="C268" s="56" t="s">
        <v>583</v>
      </c>
      <c r="D268" s="56" t="s">
        <v>587</v>
      </c>
      <c r="E268" s="56" t="s">
        <v>589</v>
      </c>
      <c r="F268" s="57" t="s">
        <v>154</v>
      </c>
      <c r="G268" s="61"/>
      <c r="H268" s="61"/>
      <c r="I268" s="62"/>
      <c r="J268" s="53"/>
    </row>
    <row r="269" ht="24.75" customHeight="1">
      <c r="A269" s="54" t="s">
        <v>572</v>
      </c>
      <c r="B269" s="56" t="s">
        <v>586</v>
      </c>
      <c r="C269" s="56" t="s">
        <v>583</v>
      </c>
      <c r="D269" s="56" t="s">
        <v>587</v>
      </c>
      <c r="E269" s="56" t="s">
        <v>590</v>
      </c>
      <c r="F269" s="57" t="s">
        <v>250</v>
      </c>
      <c r="G269" s="61"/>
      <c r="H269" s="61" t="s">
        <v>592</v>
      </c>
      <c r="I269" s="62" t="s">
        <v>593</v>
      </c>
      <c r="J269" s="53"/>
    </row>
    <row r="270" ht="24.75" hidden="1" customHeight="1">
      <c r="A270" s="54" t="s">
        <v>572</v>
      </c>
      <c r="B270" s="56" t="s">
        <v>591</v>
      </c>
      <c r="C270" s="56" t="s">
        <v>574</v>
      </c>
      <c r="D270" s="56" t="s">
        <v>594</v>
      </c>
      <c r="E270" s="56" t="s">
        <v>239</v>
      </c>
      <c r="F270" s="57" t="s">
        <v>154</v>
      </c>
      <c r="G270" s="61"/>
      <c r="H270" s="61"/>
      <c r="I270" s="62"/>
      <c r="J270" s="53"/>
    </row>
    <row r="271" ht="24.75" hidden="1" customHeight="1">
      <c r="A271" s="54" t="s">
        <v>572</v>
      </c>
      <c r="B271" s="56" t="s">
        <v>595</v>
      </c>
      <c r="C271" s="56" t="s">
        <v>574</v>
      </c>
      <c r="D271" s="56" t="s">
        <v>577</v>
      </c>
      <c r="E271" s="56" t="s">
        <v>578</v>
      </c>
      <c r="F271" s="57" t="s">
        <v>154</v>
      </c>
      <c r="G271" s="61"/>
      <c r="H271" s="61"/>
      <c r="I271" s="62"/>
      <c r="J271" s="53"/>
    </row>
    <row r="272" ht="24.75" customHeight="1">
      <c r="A272" s="54" t="s">
        <v>572</v>
      </c>
      <c r="B272" s="56" t="s">
        <v>595</v>
      </c>
      <c r="C272" s="56" t="s">
        <v>574</v>
      </c>
      <c r="D272" s="56" t="s">
        <v>577</v>
      </c>
      <c r="E272" s="56" t="s">
        <v>196</v>
      </c>
      <c r="F272" s="57" t="s">
        <v>250</v>
      </c>
      <c r="G272" s="61"/>
      <c r="H272" s="61" t="s">
        <v>197</v>
      </c>
      <c r="I272" s="62" t="s">
        <v>581</v>
      </c>
      <c r="J272" s="53"/>
    </row>
    <row r="273" ht="24.75" hidden="1" customHeight="1">
      <c r="A273" s="54" t="s">
        <v>572</v>
      </c>
      <c r="B273" s="56" t="s">
        <v>596</v>
      </c>
      <c r="C273" s="56" t="s">
        <v>574</v>
      </c>
      <c r="D273" s="56" t="s">
        <v>597</v>
      </c>
      <c r="E273" s="56" t="s">
        <v>239</v>
      </c>
      <c r="F273" s="57" t="s">
        <v>154</v>
      </c>
      <c r="G273" s="61"/>
      <c r="H273" s="61"/>
      <c r="I273" s="62"/>
      <c r="J273" s="53"/>
    </row>
    <row r="274" ht="24.75" hidden="1" customHeight="1">
      <c r="A274" s="54" t="s">
        <v>572</v>
      </c>
      <c r="B274" s="56" t="s">
        <v>598</v>
      </c>
      <c r="C274" s="56" t="s">
        <v>574</v>
      </c>
      <c r="D274" s="56" t="s">
        <v>577</v>
      </c>
      <c r="E274" s="56" t="s">
        <v>578</v>
      </c>
      <c r="F274" s="57" t="s">
        <v>154</v>
      </c>
      <c r="G274" s="61"/>
      <c r="H274" s="61"/>
      <c r="I274" s="62"/>
      <c r="J274" s="53"/>
    </row>
    <row r="275" ht="24.75" customHeight="1">
      <c r="A275" s="54" t="s">
        <v>572</v>
      </c>
      <c r="B275" s="56" t="s">
        <v>598</v>
      </c>
      <c r="C275" s="56" t="s">
        <v>574</v>
      </c>
      <c r="D275" s="56" t="s">
        <v>577</v>
      </c>
      <c r="E275" s="56" t="s">
        <v>196</v>
      </c>
      <c r="F275" s="57" t="s">
        <v>250</v>
      </c>
      <c r="G275" s="61"/>
      <c r="H275" s="61" t="s">
        <v>197</v>
      </c>
      <c r="I275" s="62" t="s">
        <v>581</v>
      </c>
      <c r="J275" s="53"/>
    </row>
    <row r="276" ht="24.75" hidden="1" customHeight="1">
      <c r="A276" s="54" t="s">
        <v>289</v>
      </c>
      <c r="B276" s="56" t="s">
        <v>599</v>
      </c>
      <c r="C276" s="56" t="s">
        <v>291</v>
      </c>
      <c r="D276" s="56" t="s">
        <v>600</v>
      </c>
      <c r="E276" s="56" t="s">
        <v>163</v>
      </c>
      <c r="F276" s="57" t="s">
        <v>154</v>
      </c>
      <c r="G276" s="61"/>
      <c r="H276" s="79"/>
      <c r="I276" s="62"/>
      <c r="J276" s="53"/>
    </row>
    <row r="277" ht="24.75" customHeight="1">
      <c r="A277" s="54" t="s">
        <v>289</v>
      </c>
      <c r="B277" s="56" t="s">
        <v>290</v>
      </c>
      <c r="C277" s="56" t="s">
        <v>291</v>
      </c>
      <c r="D277" s="56" t="s">
        <v>292</v>
      </c>
      <c r="E277" s="56" t="s">
        <v>196</v>
      </c>
      <c r="F277" s="57" t="s">
        <v>250</v>
      </c>
      <c r="G277" s="61"/>
      <c r="H277" s="61" t="s">
        <v>287</v>
      </c>
      <c r="I277" s="62" t="s">
        <v>288</v>
      </c>
      <c r="J277" s="53"/>
    </row>
    <row r="278" ht="24.75" hidden="1" customHeight="1">
      <c r="A278" s="54" t="s">
        <v>289</v>
      </c>
      <c r="B278" s="56" t="s">
        <v>290</v>
      </c>
      <c r="C278" s="56" t="s">
        <v>291</v>
      </c>
      <c r="D278" s="56" t="s">
        <v>292</v>
      </c>
      <c r="E278" s="56" t="s">
        <v>601</v>
      </c>
      <c r="F278" s="57" t="s">
        <v>154</v>
      </c>
      <c r="G278" s="61"/>
      <c r="H278" s="79"/>
      <c r="I278" s="62"/>
      <c r="J278" s="53"/>
    </row>
    <row r="279" ht="24.75" hidden="1" customHeight="1">
      <c r="A279" s="54">
        <v>140.0</v>
      </c>
      <c r="B279" s="56" t="s">
        <v>602</v>
      </c>
      <c r="C279" s="56" t="s">
        <v>500</v>
      </c>
      <c r="D279" s="56" t="s">
        <v>603</v>
      </c>
      <c r="E279" s="56" t="s">
        <v>272</v>
      </c>
      <c r="F279" s="57" t="s">
        <v>15</v>
      </c>
      <c r="G279" s="61"/>
      <c r="H279" s="61"/>
      <c r="I279" s="60"/>
      <c r="J279" s="53"/>
    </row>
    <row r="280" ht="24.75" hidden="1" customHeight="1">
      <c r="A280" s="54">
        <v>140.0</v>
      </c>
      <c r="B280" s="56" t="s">
        <v>566</v>
      </c>
      <c r="C280" s="56" t="s">
        <v>500</v>
      </c>
      <c r="D280" s="56" t="s">
        <v>604</v>
      </c>
      <c r="E280" s="56" t="s">
        <v>272</v>
      </c>
      <c r="F280" s="57" t="s">
        <v>15</v>
      </c>
      <c r="G280" s="61"/>
      <c r="H280" s="61"/>
      <c r="I280" s="60"/>
      <c r="J280" s="53"/>
    </row>
    <row r="281" ht="24.75" hidden="1" customHeight="1">
      <c r="A281" s="54" t="s">
        <v>289</v>
      </c>
      <c r="B281" s="56" t="s">
        <v>605</v>
      </c>
      <c r="C281" s="56" t="s">
        <v>606</v>
      </c>
      <c r="D281" s="56" t="s">
        <v>607</v>
      </c>
      <c r="E281" s="56" t="s">
        <v>608</v>
      </c>
      <c r="F281" s="57" t="s">
        <v>154</v>
      </c>
      <c r="G281" s="61"/>
      <c r="H281" s="79"/>
      <c r="I281" s="62"/>
      <c r="J281" s="53"/>
    </row>
    <row r="282" ht="24.75" hidden="1" customHeight="1">
      <c r="A282" s="54" t="s">
        <v>289</v>
      </c>
      <c r="B282" s="56" t="s">
        <v>609</v>
      </c>
      <c r="C282" s="56" t="s">
        <v>610</v>
      </c>
      <c r="D282" s="56" t="s">
        <v>611</v>
      </c>
      <c r="E282" s="56" t="s">
        <v>612</v>
      </c>
      <c r="F282" s="57" t="s">
        <v>34</v>
      </c>
      <c r="G282" s="61"/>
      <c r="H282" s="79"/>
      <c r="I282" s="62"/>
      <c r="J282" s="53"/>
    </row>
    <row r="283" ht="24.75" hidden="1" customHeight="1">
      <c r="A283" s="54" t="s">
        <v>289</v>
      </c>
      <c r="B283" s="56" t="s">
        <v>609</v>
      </c>
      <c r="C283" s="56" t="s">
        <v>610</v>
      </c>
      <c r="D283" s="56" t="s">
        <v>611</v>
      </c>
      <c r="E283" s="56" t="s">
        <v>613</v>
      </c>
      <c r="F283" s="57" t="s">
        <v>34</v>
      </c>
      <c r="G283" s="61"/>
      <c r="H283" s="79"/>
      <c r="I283" s="62"/>
      <c r="J283" s="53"/>
    </row>
    <row r="284" ht="24.75" hidden="1" customHeight="1">
      <c r="A284" s="54" t="s">
        <v>289</v>
      </c>
      <c r="B284" s="56" t="s">
        <v>609</v>
      </c>
      <c r="C284" s="56" t="s">
        <v>610</v>
      </c>
      <c r="D284" s="56" t="s">
        <v>611</v>
      </c>
      <c r="E284" s="56" t="s">
        <v>614</v>
      </c>
      <c r="F284" s="57" t="s">
        <v>34</v>
      </c>
      <c r="G284" s="61"/>
      <c r="H284" s="79"/>
      <c r="I284" s="62" t="s">
        <v>615</v>
      </c>
      <c r="J284" s="53"/>
    </row>
    <row r="285" ht="24.75" hidden="1" customHeight="1">
      <c r="A285" s="54" t="s">
        <v>289</v>
      </c>
      <c r="B285" s="56" t="s">
        <v>609</v>
      </c>
      <c r="C285" s="56" t="s">
        <v>610</v>
      </c>
      <c r="D285" s="56" t="s">
        <v>611</v>
      </c>
      <c r="E285" s="56" t="s">
        <v>616</v>
      </c>
      <c r="F285" s="57" t="s">
        <v>154</v>
      </c>
      <c r="G285" s="61"/>
      <c r="H285" s="79"/>
      <c r="I285" s="62" t="s">
        <v>617</v>
      </c>
      <c r="J285" s="53"/>
    </row>
    <row r="286" ht="24.75" hidden="1" customHeight="1">
      <c r="A286" s="54" t="s">
        <v>289</v>
      </c>
      <c r="B286" s="56" t="s">
        <v>609</v>
      </c>
      <c r="C286" s="56" t="s">
        <v>610</v>
      </c>
      <c r="D286" s="56" t="s">
        <v>611</v>
      </c>
      <c r="E286" s="80" t="s">
        <v>618</v>
      </c>
      <c r="F286" s="57" t="s">
        <v>154</v>
      </c>
      <c r="G286" s="61"/>
      <c r="H286" s="79"/>
      <c r="I286" s="62" t="s">
        <v>617</v>
      </c>
      <c r="J286" s="53"/>
    </row>
    <row r="287" ht="24.75" customHeight="1">
      <c r="A287" s="54" t="s">
        <v>289</v>
      </c>
      <c r="B287" s="56" t="s">
        <v>619</v>
      </c>
      <c r="C287" s="56" t="s">
        <v>610</v>
      </c>
      <c r="D287" s="56" t="s">
        <v>620</v>
      </c>
      <c r="E287" s="56" t="s">
        <v>196</v>
      </c>
      <c r="F287" s="57" t="s">
        <v>250</v>
      </c>
      <c r="G287" s="61"/>
      <c r="H287" s="61" t="s">
        <v>287</v>
      </c>
      <c r="I287" s="62" t="s">
        <v>288</v>
      </c>
      <c r="J287" s="53"/>
    </row>
    <row r="288" ht="24.75" hidden="1" customHeight="1">
      <c r="A288" s="54" t="s">
        <v>289</v>
      </c>
      <c r="B288" s="56" t="s">
        <v>619</v>
      </c>
      <c r="C288" s="56" t="s">
        <v>610</v>
      </c>
      <c r="D288" s="56" t="s">
        <v>620</v>
      </c>
      <c r="E288" s="56" t="s">
        <v>621</v>
      </c>
      <c r="F288" s="57" t="s">
        <v>192</v>
      </c>
      <c r="G288" s="61"/>
      <c r="H288" s="79"/>
      <c r="I288" s="62"/>
      <c r="J288" s="53"/>
    </row>
    <row r="289" ht="24.75" hidden="1" customHeight="1">
      <c r="A289" s="54" t="s">
        <v>289</v>
      </c>
      <c r="B289" s="56" t="s">
        <v>619</v>
      </c>
      <c r="C289" s="56" t="s">
        <v>610</v>
      </c>
      <c r="D289" s="56" t="s">
        <v>620</v>
      </c>
      <c r="E289" s="56" t="s">
        <v>622</v>
      </c>
      <c r="F289" s="57" t="s">
        <v>154</v>
      </c>
      <c r="G289" s="61"/>
      <c r="H289" s="79"/>
      <c r="I289" s="62" t="s">
        <v>617</v>
      </c>
      <c r="J289" s="53"/>
    </row>
    <row r="290" ht="24.75" hidden="1" customHeight="1">
      <c r="A290" s="54" t="s">
        <v>289</v>
      </c>
      <c r="B290" s="56" t="s">
        <v>623</v>
      </c>
      <c r="C290" s="56" t="s">
        <v>624</v>
      </c>
      <c r="D290" s="56" t="s">
        <v>611</v>
      </c>
      <c r="E290" s="56" t="s">
        <v>612</v>
      </c>
      <c r="F290" s="57" t="s">
        <v>34</v>
      </c>
      <c r="G290" s="61"/>
      <c r="H290" s="79"/>
      <c r="I290" s="62"/>
      <c r="J290" s="53"/>
    </row>
    <row r="291" ht="24.75" hidden="1" customHeight="1">
      <c r="A291" s="54" t="s">
        <v>289</v>
      </c>
      <c r="B291" s="56" t="s">
        <v>623</v>
      </c>
      <c r="C291" s="56" t="s">
        <v>624</v>
      </c>
      <c r="D291" s="56" t="s">
        <v>611</v>
      </c>
      <c r="E291" s="56" t="s">
        <v>613</v>
      </c>
      <c r="F291" s="57" t="s">
        <v>34</v>
      </c>
      <c r="G291" s="61"/>
      <c r="H291" s="79"/>
      <c r="I291" s="62"/>
      <c r="J291" s="53"/>
    </row>
    <row r="292" ht="24.75" hidden="1" customHeight="1">
      <c r="A292" s="54" t="s">
        <v>289</v>
      </c>
      <c r="B292" s="56" t="s">
        <v>623</v>
      </c>
      <c r="C292" s="56" t="s">
        <v>624</v>
      </c>
      <c r="D292" s="56" t="s">
        <v>611</v>
      </c>
      <c r="E292" s="56" t="s">
        <v>614</v>
      </c>
      <c r="F292" s="57" t="s">
        <v>34</v>
      </c>
      <c r="G292" s="61"/>
      <c r="H292" s="79"/>
      <c r="I292" s="62" t="s">
        <v>615</v>
      </c>
      <c r="J292" s="53"/>
    </row>
    <row r="293" ht="24.75" hidden="1" customHeight="1">
      <c r="A293" s="54" t="s">
        <v>289</v>
      </c>
      <c r="B293" s="56" t="s">
        <v>623</v>
      </c>
      <c r="C293" s="56" t="s">
        <v>624</v>
      </c>
      <c r="D293" s="56" t="s">
        <v>611</v>
      </c>
      <c r="E293" s="56" t="s">
        <v>616</v>
      </c>
      <c r="F293" s="57" t="s">
        <v>154</v>
      </c>
      <c r="G293" s="61"/>
      <c r="H293" s="79"/>
      <c r="I293" s="62" t="s">
        <v>617</v>
      </c>
      <c r="J293" s="53"/>
    </row>
    <row r="294" ht="24.75" hidden="1" customHeight="1">
      <c r="A294" s="54" t="s">
        <v>289</v>
      </c>
      <c r="B294" s="56" t="s">
        <v>623</v>
      </c>
      <c r="C294" s="56" t="s">
        <v>624</v>
      </c>
      <c r="D294" s="56" t="s">
        <v>611</v>
      </c>
      <c r="E294" s="80" t="s">
        <v>618</v>
      </c>
      <c r="F294" s="57" t="s">
        <v>154</v>
      </c>
      <c r="G294" s="61"/>
      <c r="H294" s="79"/>
      <c r="I294" s="62" t="s">
        <v>617</v>
      </c>
      <c r="J294" s="53"/>
    </row>
    <row r="295" ht="24.75" customHeight="1">
      <c r="A295" s="54" t="s">
        <v>289</v>
      </c>
      <c r="B295" s="56" t="s">
        <v>625</v>
      </c>
      <c r="C295" s="56" t="s">
        <v>624</v>
      </c>
      <c r="D295" s="56" t="s">
        <v>620</v>
      </c>
      <c r="E295" s="56" t="s">
        <v>196</v>
      </c>
      <c r="F295" s="57" t="s">
        <v>250</v>
      </c>
      <c r="G295" s="61"/>
      <c r="H295" s="61" t="s">
        <v>287</v>
      </c>
      <c r="I295" s="62" t="s">
        <v>288</v>
      </c>
      <c r="J295" s="53"/>
    </row>
    <row r="296" ht="24.75" hidden="1" customHeight="1">
      <c r="A296" s="54" t="s">
        <v>289</v>
      </c>
      <c r="B296" s="56" t="s">
        <v>625</v>
      </c>
      <c r="C296" s="56" t="s">
        <v>624</v>
      </c>
      <c r="D296" s="56" t="s">
        <v>620</v>
      </c>
      <c r="E296" s="56" t="s">
        <v>621</v>
      </c>
      <c r="F296" s="57" t="s">
        <v>192</v>
      </c>
      <c r="G296" s="61"/>
      <c r="H296" s="79"/>
      <c r="I296" s="62"/>
      <c r="J296" s="53"/>
    </row>
    <row r="297" ht="24.75" hidden="1" customHeight="1">
      <c r="A297" s="54" t="s">
        <v>289</v>
      </c>
      <c r="B297" s="56" t="s">
        <v>625</v>
      </c>
      <c r="C297" s="56" t="s">
        <v>624</v>
      </c>
      <c r="D297" s="56" t="s">
        <v>620</v>
      </c>
      <c r="E297" s="56" t="s">
        <v>622</v>
      </c>
      <c r="F297" s="57" t="s">
        <v>154</v>
      </c>
      <c r="G297" s="61"/>
      <c r="H297" s="79"/>
      <c r="I297" s="62" t="s">
        <v>617</v>
      </c>
      <c r="J297" s="53"/>
    </row>
    <row r="298" ht="24.75" hidden="1" customHeight="1">
      <c r="A298" s="54" t="s">
        <v>289</v>
      </c>
      <c r="B298" s="56" t="s">
        <v>626</v>
      </c>
      <c r="C298" s="56" t="s">
        <v>627</v>
      </c>
      <c r="D298" s="56" t="s">
        <v>611</v>
      </c>
      <c r="E298" s="56" t="s">
        <v>612</v>
      </c>
      <c r="F298" s="57" t="s">
        <v>34</v>
      </c>
      <c r="G298" s="61"/>
      <c r="H298" s="79"/>
      <c r="I298" s="62"/>
      <c r="J298" s="53"/>
    </row>
    <row r="299" ht="24.75" hidden="1" customHeight="1">
      <c r="A299" s="54" t="s">
        <v>289</v>
      </c>
      <c r="B299" s="56" t="s">
        <v>626</v>
      </c>
      <c r="C299" s="56" t="s">
        <v>627</v>
      </c>
      <c r="D299" s="56" t="s">
        <v>611</v>
      </c>
      <c r="E299" s="56" t="s">
        <v>613</v>
      </c>
      <c r="F299" s="57" t="s">
        <v>34</v>
      </c>
      <c r="G299" s="61"/>
      <c r="H299" s="79"/>
      <c r="I299" s="62"/>
      <c r="J299" s="53"/>
    </row>
    <row r="300" ht="24.75" hidden="1" customHeight="1">
      <c r="A300" s="54" t="s">
        <v>289</v>
      </c>
      <c r="B300" s="56" t="s">
        <v>626</v>
      </c>
      <c r="C300" s="56" t="s">
        <v>627</v>
      </c>
      <c r="D300" s="56" t="s">
        <v>611</v>
      </c>
      <c r="E300" s="56" t="s">
        <v>614</v>
      </c>
      <c r="F300" s="57" t="s">
        <v>34</v>
      </c>
      <c r="G300" s="61"/>
      <c r="H300" s="79"/>
      <c r="I300" s="62" t="s">
        <v>615</v>
      </c>
      <c r="J300" s="53"/>
    </row>
    <row r="301" ht="24.75" hidden="1" customHeight="1">
      <c r="A301" s="54" t="s">
        <v>289</v>
      </c>
      <c r="B301" s="56" t="s">
        <v>626</v>
      </c>
      <c r="C301" s="56" t="s">
        <v>627</v>
      </c>
      <c r="D301" s="56" t="s">
        <v>611</v>
      </c>
      <c r="E301" s="56" t="s">
        <v>616</v>
      </c>
      <c r="F301" s="57" t="s">
        <v>154</v>
      </c>
      <c r="G301" s="61"/>
      <c r="H301" s="79"/>
      <c r="I301" s="62" t="s">
        <v>617</v>
      </c>
      <c r="J301" s="53"/>
    </row>
    <row r="302" ht="24.75" hidden="1" customHeight="1">
      <c r="A302" s="54" t="s">
        <v>289</v>
      </c>
      <c r="B302" s="56" t="s">
        <v>626</v>
      </c>
      <c r="C302" s="56" t="s">
        <v>627</v>
      </c>
      <c r="D302" s="56" t="s">
        <v>611</v>
      </c>
      <c r="E302" s="56" t="s">
        <v>618</v>
      </c>
      <c r="F302" s="57" t="s">
        <v>154</v>
      </c>
      <c r="G302" s="61"/>
      <c r="H302" s="79"/>
      <c r="I302" s="62" t="s">
        <v>617</v>
      </c>
      <c r="J302" s="53"/>
    </row>
    <row r="303" ht="24.75" customHeight="1">
      <c r="A303" s="54" t="s">
        <v>289</v>
      </c>
      <c r="B303" s="56" t="s">
        <v>628</v>
      </c>
      <c r="C303" s="56" t="s">
        <v>627</v>
      </c>
      <c r="D303" s="56" t="s">
        <v>620</v>
      </c>
      <c r="E303" s="56" t="s">
        <v>196</v>
      </c>
      <c r="F303" s="57" t="s">
        <v>250</v>
      </c>
      <c r="G303" s="61"/>
      <c r="H303" s="61" t="s">
        <v>287</v>
      </c>
      <c r="I303" s="62" t="s">
        <v>288</v>
      </c>
      <c r="J303" s="53"/>
    </row>
    <row r="304" ht="24.75" hidden="1" customHeight="1">
      <c r="A304" s="54" t="s">
        <v>289</v>
      </c>
      <c r="B304" s="56" t="s">
        <v>628</v>
      </c>
      <c r="C304" s="56" t="s">
        <v>627</v>
      </c>
      <c r="D304" s="56" t="s">
        <v>620</v>
      </c>
      <c r="E304" s="56" t="s">
        <v>621</v>
      </c>
      <c r="F304" s="57" t="s">
        <v>192</v>
      </c>
      <c r="G304" s="61"/>
      <c r="H304" s="79"/>
      <c r="I304" s="62"/>
      <c r="J304" s="53"/>
    </row>
    <row r="305" ht="24.75" hidden="1" customHeight="1">
      <c r="A305" s="54" t="s">
        <v>289</v>
      </c>
      <c r="B305" s="56" t="s">
        <v>628</v>
      </c>
      <c r="C305" s="56" t="s">
        <v>627</v>
      </c>
      <c r="D305" s="56" t="s">
        <v>620</v>
      </c>
      <c r="E305" s="56" t="s">
        <v>622</v>
      </c>
      <c r="F305" s="57" t="s">
        <v>154</v>
      </c>
      <c r="G305" s="61"/>
      <c r="H305" s="79"/>
      <c r="I305" s="62" t="s">
        <v>617</v>
      </c>
      <c r="J305" s="53"/>
    </row>
    <row r="306" ht="24.75" hidden="1" customHeight="1">
      <c r="A306" s="54" t="s">
        <v>289</v>
      </c>
      <c r="B306" s="56" t="s">
        <v>629</v>
      </c>
      <c r="C306" s="56" t="s">
        <v>627</v>
      </c>
      <c r="D306" s="56" t="s">
        <v>631</v>
      </c>
      <c r="E306" s="56" t="s">
        <v>191</v>
      </c>
      <c r="F306" s="57" t="s">
        <v>192</v>
      </c>
      <c r="G306" s="61"/>
      <c r="H306" s="79"/>
      <c r="I306" s="62"/>
      <c r="J306" s="53"/>
    </row>
    <row r="307" ht="24.75" hidden="1" customHeight="1">
      <c r="A307" s="54" t="s">
        <v>289</v>
      </c>
      <c r="B307" s="56" t="s">
        <v>629</v>
      </c>
      <c r="C307" s="56" t="s">
        <v>627</v>
      </c>
      <c r="D307" s="56" t="s">
        <v>631</v>
      </c>
      <c r="E307" s="56" t="s">
        <v>632</v>
      </c>
      <c r="F307" s="57" t="s">
        <v>34</v>
      </c>
      <c r="G307" s="61"/>
      <c r="H307" s="61" t="s">
        <v>197</v>
      </c>
      <c r="I307" s="62"/>
      <c r="J307" s="53"/>
    </row>
    <row r="308" ht="24.75" hidden="1" customHeight="1">
      <c r="A308" s="54" t="s">
        <v>289</v>
      </c>
      <c r="B308" s="56" t="s">
        <v>629</v>
      </c>
      <c r="C308" s="56" t="s">
        <v>627</v>
      </c>
      <c r="D308" s="56" t="s">
        <v>631</v>
      </c>
      <c r="E308" s="56" t="s">
        <v>633</v>
      </c>
      <c r="F308" s="57" t="s">
        <v>154</v>
      </c>
      <c r="G308" s="61"/>
      <c r="H308" s="79"/>
      <c r="I308" s="62"/>
      <c r="J308" s="53"/>
    </row>
    <row r="309" ht="24.75" customHeight="1">
      <c r="A309" s="54" t="s">
        <v>289</v>
      </c>
      <c r="B309" s="56" t="s">
        <v>629</v>
      </c>
      <c r="C309" s="56" t="s">
        <v>627</v>
      </c>
      <c r="D309" s="56" t="s">
        <v>631</v>
      </c>
      <c r="E309" s="56" t="s">
        <v>196</v>
      </c>
      <c r="F309" s="57" t="s">
        <v>250</v>
      </c>
      <c r="G309" s="61"/>
      <c r="H309" s="61" t="s">
        <v>200</v>
      </c>
      <c r="I309" s="62" t="s">
        <v>201</v>
      </c>
      <c r="J309" s="53"/>
    </row>
    <row r="310" ht="24.75" hidden="1" customHeight="1">
      <c r="A310" s="54" t="s">
        <v>289</v>
      </c>
      <c r="B310" s="56" t="s">
        <v>635</v>
      </c>
      <c r="C310" s="56" t="s">
        <v>627</v>
      </c>
      <c r="D310" s="56" t="s">
        <v>636</v>
      </c>
      <c r="E310" s="56" t="s">
        <v>191</v>
      </c>
      <c r="F310" s="57" t="s">
        <v>192</v>
      </c>
      <c r="G310" s="61"/>
      <c r="H310" s="79"/>
      <c r="I310" s="62"/>
      <c r="J310" s="53"/>
    </row>
    <row r="311" ht="24.75" hidden="1" customHeight="1">
      <c r="A311" s="54" t="s">
        <v>289</v>
      </c>
      <c r="B311" s="56" t="s">
        <v>635</v>
      </c>
      <c r="C311" s="56" t="s">
        <v>627</v>
      </c>
      <c r="D311" s="56" t="s">
        <v>636</v>
      </c>
      <c r="E311" s="56" t="s">
        <v>632</v>
      </c>
      <c r="F311" s="57" t="s">
        <v>34</v>
      </c>
      <c r="G311" s="61"/>
      <c r="H311" s="61" t="s">
        <v>197</v>
      </c>
      <c r="I311" s="62"/>
      <c r="J311" s="53"/>
    </row>
    <row r="312" ht="24.75" hidden="1" customHeight="1">
      <c r="A312" s="54" t="s">
        <v>289</v>
      </c>
      <c r="B312" s="56" t="s">
        <v>635</v>
      </c>
      <c r="C312" s="56" t="s">
        <v>627</v>
      </c>
      <c r="D312" s="56" t="s">
        <v>636</v>
      </c>
      <c r="E312" s="56" t="s">
        <v>633</v>
      </c>
      <c r="F312" s="57" t="s">
        <v>154</v>
      </c>
      <c r="G312" s="61"/>
      <c r="H312" s="79"/>
      <c r="I312" s="62"/>
      <c r="J312" s="53"/>
    </row>
    <row r="313" ht="24.75" customHeight="1">
      <c r="A313" s="54" t="s">
        <v>289</v>
      </c>
      <c r="B313" s="56" t="s">
        <v>635</v>
      </c>
      <c r="C313" s="56" t="s">
        <v>627</v>
      </c>
      <c r="D313" s="56" t="s">
        <v>636</v>
      </c>
      <c r="E313" s="56" t="s">
        <v>196</v>
      </c>
      <c r="F313" s="57" t="s">
        <v>250</v>
      </c>
      <c r="G313" s="61"/>
      <c r="H313" s="61" t="s">
        <v>200</v>
      </c>
      <c r="I313" s="62" t="s">
        <v>201</v>
      </c>
      <c r="J313" s="53"/>
    </row>
    <row r="314" ht="24.75" hidden="1" customHeight="1">
      <c r="A314" s="54" t="s">
        <v>289</v>
      </c>
      <c r="B314" s="56" t="s">
        <v>639</v>
      </c>
      <c r="C314" s="56" t="s">
        <v>640</v>
      </c>
      <c r="D314" s="56" t="s">
        <v>611</v>
      </c>
      <c r="E314" s="56" t="s">
        <v>612</v>
      </c>
      <c r="F314" s="57" t="s">
        <v>34</v>
      </c>
      <c r="G314" s="61"/>
      <c r="H314" s="79"/>
      <c r="I314" s="62"/>
      <c r="J314" s="53"/>
    </row>
    <row r="315" ht="24.75" hidden="1" customHeight="1">
      <c r="A315" s="54" t="s">
        <v>289</v>
      </c>
      <c r="B315" s="56" t="s">
        <v>639</v>
      </c>
      <c r="C315" s="56" t="s">
        <v>640</v>
      </c>
      <c r="D315" s="56" t="s">
        <v>611</v>
      </c>
      <c r="E315" s="56" t="s">
        <v>613</v>
      </c>
      <c r="F315" s="57" t="s">
        <v>34</v>
      </c>
      <c r="G315" s="61"/>
      <c r="H315" s="79"/>
      <c r="I315" s="62"/>
      <c r="J315" s="53"/>
    </row>
    <row r="316" ht="24.75" hidden="1" customHeight="1">
      <c r="A316" s="54" t="s">
        <v>289</v>
      </c>
      <c r="B316" s="56" t="s">
        <v>639</v>
      </c>
      <c r="C316" s="56" t="s">
        <v>640</v>
      </c>
      <c r="D316" s="56" t="s">
        <v>611</v>
      </c>
      <c r="E316" s="56" t="s">
        <v>614</v>
      </c>
      <c r="F316" s="57" t="s">
        <v>34</v>
      </c>
      <c r="G316" s="61"/>
      <c r="H316" s="79"/>
      <c r="I316" s="62" t="s">
        <v>615</v>
      </c>
      <c r="J316" s="53"/>
    </row>
    <row r="317" ht="24.75" hidden="1" customHeight="1">
      <c r="A317" s="54" t="s">
        <v>289</v>
      </c>
      <c r="B317" s="56" t="s">
        <v>639</v>
      </c>
      <c r="C317" s="56" t="s">
        <v>640</v>
      </c>
      <c r="D317" s="56" t="s">
        <v>611</v>
      </c>
      <c r="E317" s="56" t="s">
        <v>616</v>
      </c>
      <c r="F317" s="57" t="s">
        <v>154</v>
      </c>
      <c r="G317" s="61"/>
      <c r="H317" s="79"/>
      <c r="I317" s="62" t="s">
        <v>617</v>
      </c>
      <c r="J317" s="53"/>
    </row>
    <row r="318" ht="24.75" hidden="1" customHeight="1">
      <c r="A318" s="54" t="s">
        <v>289</v>
      </c>
      <c r="B318" s="56" t="s">
        <v>639</v>
      </c>
      <c r="C318" s="56" t="s">
        <v>640</v>
      </c>
      <c r="D318" s="56" t="s">
        <v>611</v>
      </c>
      <c r="E318" s="56" t="s">
        <v>618</v>
      </c>
      <c r="F318" s="57" t="s">
        <v>154</v>
      </c>
      <c r="G318" s="61"/>
      <c r="H318" s="79"/>
      <c r="I318" s="62" t="s">
        <v>617</v>
      </c>
      <c r="J318" s="53"/>
    </row>
    <row r="319" ht="24.75" customHeight="1">
      <c r="A319" s="54" t="s">
        <v>289</v>
      </c>
      <c r="B319" s="56" t="s">
        <v>641</v>
      </c>
      <c r="C319" s="56" t="s">
        <v>640</v>
      </c>
      <c r="D319" s="56" t="s">
        <v>620</v>
      </c>
      <c r="E319" s="56" t="s">
        <v>196</v>
      </c>
      <c r="F319" s="57" t="s">
        <v>250</v>
      </c>
      <c r="G319" s="61"/>
      <c r="H319" s="61" t="s">
        <v>287</v>
      </c>
      <c r="I319" s="62" t="s">
        <v>288</v>
      </c>
      <c r="J319" s="53"/>
    </row>
    <row r="320" ht="24.75" hidden="1" customHeight="1">
      <c r="A320" s="54" t="s">
        <v>289</v>
      </c>
      <c r="B320" s="56" t="s">
        <v>641</v>
      </c>
      <c r="C320" s="56" t="s">
        <v>640</v>
      </c>
      <c r="D320" s="56" t="s">
        <v>620</v>
      </c>
      <c r="E320" s="56" t="s">
        <v>621</v>
      </c>
      <c r="F320" s="57" t="s">
        <v>192</v>
      </c>
      <c r="G320" s="61"/>
      <c r="H320" s="79"/>
      <c r="I320" s="62"/>
      <c r="J320" s="53"/>
    </row>
    <row r="321" ht="24.75" hidden="1" customHeight="1">
      <c r="A321" s="54" t="s">
        <v>289</v>
      </c>
      <c r="B321" s="56" t="s">
        <v>641</v>
      </c>
      <c r="C321" s="56" t="s">
        <v>640</v>
      </c>
      <c r="D321" s="56" t="s">
        <v>620</v>
      </c>
      <c r="E321" s="56" t="s">
        <v>622</v>
      </c>
      <c r="F321" s="57" t="s">
        <v>154</v>
      </c>
      <c r="G321" s="61"/>
      <c r="H321" s="79"/>
      <c r="I321" s="62" t="s">
        <v>617</v>
      </c>
      <c r="J321" s="53"/>
    </row>
    <row r="322" ht="24.75" hidden="1" customHeight="1">
      <c r="A322" s="54" t="s">
        <v>289</v>
      </c>
      <c r="B322" s="56" t="s">
        <v>642</v>
      </c>
      <c r="C322" s="56" t="s">
        <v>640</v>
      </c>
      <c r="D322" s="56" t="s">
        <v>631</v>
      </c>
      <c r="E322" s="56" t="s">
        <v>191</v>
      </c>
      <c r="F322" s="57" t="s">
        <v>192</v>
      </c>
      <c r="G322" s="61"/>
      <c r="H322" s="79"/>
      <c r="I322" s="62"/>
      <c r="J322" s="53"/>
    </row>
    <row r="323" ht="24.75" hidden="1" customHeight="1">
      <c r="A323" s="54" t="s">
        <v>289</v>
      </c>
      <c r="B323" s="56" t="s">
        <v>642</v>
      </c>
      <c r="C323" s="56" t="s">
        <v>640</v>
      </c>
      <c r="D323" s="56" t="s">
        <v>631</v>
      </c>
      <c r="E323" s="56" t="s">
        <v>632</v>
      </c>
      <c r="F323" s="57" t="s">
        <v>34</v>
      </c>
      <c r="G323" s="61"/>
      <c r="H323" s="61" t="s">
        <v>197</v>
      </c>
      <c r="I323" s="62"/>
      <c r="J323" s="53"/>
    </row>
    <row r="324" ht="24.75" hidden="1" customHeight="1">
      <c r="A324" s="54" t="s">
        <v>289</v>
      </c>
      <c r="B324" s="56" t="s">
        <v>642</v>
      </c>
      <c r="C324" s="56" t="s">
        <v>640</v>
      </c>
      <c r="D324" s="56" t="s">
        <v>631</v>
      </c>
      <c r="E324" s="56" t="s">
        <v>633</v>
      </c>
      <c r="F324" s="57" t="s">
        <v>154</v>
      </c>
      <c r="G324" s="61"/>
      <c r="H324" s="79"/>
      <c r="I324" s="62"/>
      <c r="J324" s="53"/>
    </row>
    <row r="325" ht="24.75" customHeight="1">
      <c r="A325" s="54" t="s">
        <v>289</v>
      </c>
      <c r="B325" s="56" t="s">
        <v>642</v>
      </c>
      <c r="C325" s="56" t="s">
        <v>640</v>
      </c>
      <c r="D325" s="56" t="s">
        <v>631</v>
      </c>
      <c r="E325" s="56" t="s">
        <v>196</v>
      </c>
      <c r="F325" s="57" t="s">
        <v>250</v>
      </c>
      <c r="G325" s="61"/>
      <c r="H325" s="61" t="s">
        <v>200</v>
      </c>
      <c r="I325" s="62" t="s">
        <v>201</v>
      </c>
      <c r="J325" s="53"/>
    </row>
    <row r="326" ht="24.75" hidden="1" customHeight="1">
      <c r="A326" s="54" t="s">
        <v>289</v>
      </c>
      <c r="B326" s="56" t="s">
        <v>643</v>
      </c>
      <c r="C326" s="56" t="s">
        <v>640</v>
      </c>
      <c r="D326" s="56" t="s">
        <v>636</v>
      </c>
      <c r="E326" s="56" t="s">
        <v>191</v>
      </c>
      <c r="F326" s="57" t="s">
        <v>192</v>
      </c>
      <c r="G326" s="61"/>
      <c r="H326" s="79"/>
      <c r="I326" s="62"/>
      <c r="J326" s="53"/>
    </row>
    <row r="327" ht="24.75" hidden="1" customHeight="1">
      <c r="A327" s="54" t="s">
        <v>289</v>
      </c>
      <c r="B327" s="56" t="s">
        <v>643</v>
      </c>
      <c r="C327" s="56" t="s">
        <v>640</v>
      </c>
      <c r="D327" s="56" t="s">
        <v>636</v>
      </c>
      <c r="E327" s="56" t="s">
        <v>632</v>
      </c>
      <c r="F327" s="57" t="s">
        <v>34</v>
      </c>
      <c r="G327" s="61"/>
      <c r="H327" s="61" t="s">
        <v>197</v>
      </c>
      <c r="I327" s="62"/>
      <c r="J327" s="53"/>
    </row>
    <row r="328" ht="24.75" hidden="1" customHeight="1">
      <c r="A328" s="54" t="s">
        <v>289</v>
      </c>
      <c r="B328" s="56" t="s">
        <v>643</v>
      </c>
      <c r="C328" s="56" t="s">
        <v>640</v>
      </c>
      <c r="D328" s="56" t="s">
        <v>636</v>
      </c>
      <c r="E328" s="56" t="s">
        <v>633</v>
      </c>
      <c r="F328" s="57" t="s">
        <v>154</v>
      </c>
      <c r="G328" s="61"/>
      <c r="H328" s="79"/>
      <c r="I328" s="62"/>
      <c r="J328" s="53"/>
    </row>
    <row r="329" ht="24.75" customHeight="1">
      <c r="A329" s="54" t="s">
        <v>289</v>
      </c>
      <c r="B329" s="56" t="s">
        <v>643</v>
      </c>
      <c r="C329" s="56" t="s">
        <v>640</v>
      </c>
      <c r="D329" s="56" t="s">
        <v>636</v>
      </c>
      <c r="E329" s="56" t="s">
        <v>196</v>
      </c>
      <c r="F329" s="57" t="s">
        <v>250</v>
      </c>
      <c r="G329" s="61"/>
      <c r="H329" s="61" t="s">
        <v>200</v>
      </c>
      <c r="I329" s="62" t="s">
        <v>201</v>
      </c>
      <c r="J329" s="53"/>
    </row>
    <row r="330" ht="24.75" hidden="1" customHeight="1">
      <c r="A330" s="54" t="s">
        <v>289</v>
      </c>
      <c r="B330" s="56" t="s">
        <v>644</v>
      </c>
      <c r="C330" s="56" t="s">
        <v>645</v>
      </c>
      <c r="D330" s="56" t="s">
        <v>611</v>
      </c>
      <c r="E330" s="56" t="s">
        <v>612</v>
      </c>
      <c r="F330" s="57" t="s">
        <v>34</v>
      </c>
      <c r="G330" s="61"/>
      <c r="H330" s="79"/>
      <c r="I330" s="62"/>
      <c r="J330" s="53"/>
    </row>
    <row r="331" ht="24.75" hidden="1" customHeight="1">
      <c r="A331" s="54" t="s">
        <v>289</v>
      </c>
      <c r="B331" s="56" t="s">
        <v>644</v>
      </c>
      <c r="C331" s="56" t="s">
        <v>645</v>
      </c>
      <c r="D331" s="56" t="s">
        <v>611</v>
      </c>
      <c r="E331" s="56" t="s">
        <v>613</v>
      </c>
      <c r="F331" s="57" t="s">
        <v>34</v>
      </c>
      <c r="G331" s="61"/>
      <c r="H331" s="79"/>
      <c r="I331" s="62"/>
      <c r="J331" s="53"/>
    </row>
    <row r="332" ht="24.75" hidden="1" customHeight="1">
      <c r="A332" s="54" t="s">
        <v>289</v>
      </c>
      <c r="B332" s="56" t="s">
        <v>644</v>
      </c>
      <c r="C332" s="56" t="s">
        <v>645</v>
      </c>
      <c r="D332" s="56" t="s">
        <v>611</v>
      </c>
      <c r="E332" s="56" t="s">
        <v>614</v>
      </c>
      <c r="F332" s="57" t="s">
        <v>34</v>
      </c>
      <c r="G332" s="61"/>
      <c r="H332" s="79"/>
      <c r="I332" s="62" t="s">
        <v>615</v>
      </c>
      <c r="J332" s="53"/>
    </row>
    <row r="333" ht="24.75" hidden="1" customHeight="1">
      <c r="A333" s="54" t="s">
        <v>289</v>
      </c>
      <c r="B333" s="56" t="s">
        <v>644</v>
      </c>
      <c r="C333" s="56" t="s">
        <v>645</v>
      </c>
      <c r="D333" s="56" t="s">
        <v>611</v>
      </c>
      <c r="E333" s="56" t="s">
        <v>616</v>
      </c>
      <c r="F333" s="57" t="s">
        <v>154</v>
      </c>
      <c r="G333" s="61"/>
      <c r="H333" s="79"/>
      <c r="I333" s="62" t="s">
        <v>617</v>
      </c>
      <c r="J333" s="53"/>
    </row>
    <row r="334" ht="24.75" hidden="1" customHeight="1">
      <c r="A334" s="54" t="s">
        <v>289</v>
      </c>
      <c r="B334" s="56" t="s">
        <v>644</v>
      </c>
      <c r="C334" s="56" t="s">
        <v>645</v>
      </c>
      <c r="D334" s="56" t="s">
        <v>611</v>
      </c>
      <c r="E334" s="56" t="s">
        <v>618</v>
      </c>
      <c r="F334" s="57" t="s">
        <v>154</v>
      </c>
      <c r="G334" s="61"/>
      <c r="H334" s="79"/>
      <c r="I334" s="62" t="s">
        <v>617</v>
      </c>
      <c r="J334" s="53"/>
    </row>
    <row r="335" ht="24.75" customHeight="1">
      <c r="A335" s="54" t="s">
        <v>289</v>
      </c>
      <c r="B335" s="56" t="s">
        <v>646</v>
      </c>
      <c r="C335" s="56" t="s">
        <v>645</v>
      </c>
      <c r="D335" s="56" t="s">
        <v>620</v>
      </c>
      <c r="E335" s="56" t="s">
        <v>196</v>
      </c>
      <c r="F335" s="57" t="s">
        <v>250</v>
      </c>
      <c r="G335" s="61"/>
      <c r="H335" s="61" t="s">
        <v>287</v>
      </c>
      <c r="I335" s="62" t="s">
        <v>288</v>
      </c>
      <c r="J335" s="53"/>
    </row>
    <row r="336" ht="24.75" hidden="1" customHeight="1">
      <c r="A336" s="54" t="s">
        <v>289</v>
      </c>
      <c r="B336" s="56" t="s">
        <v>646</v>
      </c>
      <c r="C336" s="56" t="s">
        <v>645</v>
      </c>
      <c r="D336" s="56" t="s">
        <v>620</v>
      </c>
      <c r="E336" s="56" t="s">
        <v>621</v>
      </c>
      <c r="F336" s="57" t="s">
        <v>192</v>
      </c>
      <c r="G336" s="61"/>
      <c r="H336" s="79"/>
      <c r="I336" s="62"/>
      <c r="J336" s="53"/>
    </row>
    <row r="337" ht="24.75" hidden="1" customHeight="1">
      <c r="A337" s="54" t="s">
        <v>289</v>
      </c>
      <c r="B337" s="56" t="s">
        <v>646</v>
      </c>
      <c r="C337" s="56" t="s">
        <v>645</v>
      </c>
      <c r="D337" s="56" t="s">
        <v>620</v>
      </c>
      <c r="E337" s="56" t="s">
        <v>622</v>
      </c>
      <c r="F337" s="57" t="s">
        <v>154</v>
      </c>
      <c r="G337" s="61"/>
      <c r="H337" s="79"/>
      <c r="I337" s="62" t="s">
        <v>617</v>
      </c>
      <c r="J337" s="53"/>
    </row>
    <row r="338" ht="24.75" hidden="1" customHeight="1">
      <c r="A338" s="54" t="s">
        <v>289</v>
      </c>
      <c r="B338" s="56" t="s">
        <v>647</v>
      </c>
      <c r="C338" s="56" t="s">
        <v>645</v>
      </c>
      <c r="D338" s="56" t="s">
        <v>631</v>
      </c>
      <c r="E338" s="56" t="s">
        <v>191</v>
      </c>
      <c r="F338" s="57" t="s">
        <v>192</v>
      </c>
      <c r="G338" s="61"/>
      <c r="H338" s="79"/>
      <c r="I338" s="62"/>
      <c r="J338" s="53"/>
    </row>
    <row r="339" ht="24.75" hidden="1" customHeight="1">
      <c r="A339" s="54" t="s">
        <v>289</v>
      </c>
      <c r="B339" s="56" t="s">
        <v>647</v>
      </c>
      <c r="C339" s="56" t="s">
        <v>645</v>
      </c>
      <c r="D339" s="56" t="s">
        <v>631</v>
      </c>
      <c r="E339" s="56" t="s">
        <v>632</v>
      </c>
      <c r="F339" s="57" t="s">
        <v>34</v>
      </c>
      <c r="G339" s="61"/>
      <c r="H339" s="61" t="s">
        <v>197</v>
      </c>
      <c r="I339" s="62"/>
      <c r="J339" s="53"/>
    </row>
    <row r="340" ht="24.75" hidden="1" customHeight="1">
      <c r="A340" s="54" t="s">
        <v>289</v>
      </c>
      <c r="B340" s="56" t="s">
        <v>647</v>
      </c>
      <c r="C340" s="56" t="s">
        <v>645</v>
      </c>
      <c r="D340" s="56" t="s">
        <v>631</v>
      </c>
      <c r="E340" s="56" t="s">
        <v>633</v>
      </c>
      <c r="F340" s="57" t="s">
        <v>154</v>
      </c>
      <c r="G340" s="50"/>
      <c r="H340" s="79"/>
      <c r="I340" s="62"/>
      <c r="J340" s="53"/>
    </row>
    <row r="341" ht="24.75" customHeight="1">
      <c r="A341" s="54" t="s">
        <v>289</v>
      </c>
      <c r="B341" s="56" t="s">
        <v>647</v>
      </c>
      <c r="C341" s="56" t="s">
        <v>645</v>
      </c>
      <c r="D341" s="56" t="s">
        <v>631</v>
      </c>
      <c r="E341" s="56" t="s">
        <v>196</v>
      </c>
      <c r="F341" s="57" t="s">
        <v>250</v>
      </c>
      <c r="G341" s="61"/>
      <c r="H341" s="61" t="s">
        <v>200</v>
      </c>
      <c r="I341" s="62" t="s">
        <v>201</v>
      </c>
      <c r="J341" s="53"/>
    </row>
    <row r="342" ht="24.75" hidden="1" customHeight="1">
      <c r="A342" s="54" t="s">
        <v>289</v>
      </c>
      <c r="B342" s="56" t="s">
        <v>648</v>
      </c>
      <c r="C342" s="56" t="s">
        <v>645</v>
      </c>
      <c r="D342" s="56" t="s">
        <v>636</v>
      </c>
      <c r="E342" s="56" t="s">
        <v>191</v>
      </c>
      <c r="F342" s="57" t="s">
        <v>192</v>
      </c>
      <c r="G342" s="61"/>
      <c r="H342" s="79"/>
      <c r="I342" s="62"/>
      <c r="J342" s="53"/>
    </row>
    <row r="343" ht="24.75" hidden="1" customHeight="1">
      <c r="A343" s="54" t="s">
        <v>289</v>
      </c>
      <c r="B343" s="56" t="s">
        <v>648</v>
      </c>
      <c r="C343" s="56" t="s">
        <v>645</v>
      </c>
      <c r="D343" s="56" t="s">
        <v>636</v>
      </c>
      <c r="E343" s="56" t="s">
        <v>632</v>
      </c>
      <c r="F343" s="57" t="s">
        <v>34</v>
      </c>
      <c r="G343" s="61"/>
      <c r="H343" s="61" t="s">
        <v>197</v>
      </c>
      <c r="I343" s="62"/>
      <c r="J343" s="53"/>
    </row>
    <row r="344" ht="24.75" hidden="1" customHeight="1">
      <c r="A344" s="54" t="s">
        <v>289</v>
      </c>
      <c r="B344" s="56" t="s">
        <v>648</v>
      </c>
      <c r="C344" s="56" t="s">
        <v>645</v>
      </c>
      <c r="D344" s="56" t="s">
        <v>636</v>
      </c>
      <c r="E344" s="56" t="s">
        <v>633</v>
      </c>
      <c r="F344" s="57" t="s">
        <v>154</v>
      </c>
      <c r="G344" s="61"/>
      <c r="H344" s="79"/>
      <c r="I344" s="62"/>
      <c r="J344" s="53"/>
    </row>
    <row r="345" ht="24.75" customHeight="1">
      <c r="A345" s="54" t="s">
        <v>289</v>
      </c>
      <c r="B345" s="56" t="s">
        <v>648</v>
      </c>
      <c r="C345" s="56" t="s">
        <v>645</v>
      </c>
      <c r="D345" s="56" t="s">
        <v>636</v>
      </c>
      <c r="E345" s="56" t="s">
        <v>196</v>
      </c>
      <c r="F345" s="57" t="s">
        <v>250</v>
      </c>
      <c r="G345" s="61"/>
      <c r="H345" s="61" t="s">
        <v>200</v>
      </c>
      <c r="I345" s="62" t="s">
        <v>201</v>
      </c>
      <c r="J345" s="53"/>
    </row>
    <row r="346" ht="24.75" hidden="1" customHeight="1">
      <c r="A346" s="54" t="s">
        <v>289</v>
      </c>
      <c r="B346" s="56" t="s">
        <v>649</v>
      </c>
      <c r="C346" s="56" t="s">
        <v>606</v>
      </c>
      <c r="D346" s="56" t="s">
        <v>611</v>
      </c>
      <c r="E346" s="56" t="s">
        <v>612</v>
      </c>
      <c r="F346" s="57" t="s">
        <v>34</v>
      </c>
      <c r="G346" s="61"/>
      <c r="H346" s="79"/>
      <c r="I346" s="62"/>
      <c r="J346" s="53"/>
    </row>
    <row r="347" ht="24.75" hidden="1" customHeight="1">
      <c r="A347" s="54" t="s">
        <v>289</v>
      </c>
      <c r="B347" s="56" t="s">
        <v>649</v>
      </c>
      <c r="C347" s="56" t="s">
        <v>606</v>
      </c>
      <c r="D347" s="56" t="s">
        <v>611</v>
      </c>
      <c r="E347" s="56" t="s">
        <v>613</v>
      </c>
      <c r="F347" s="57" t="s">
        <v>34</v>
      </c>
      <c r="G347" s="61"/>
      <c r="H347" s="79"/>
      <c r="I347" s="62"/>
      <c r="J347" s="53"/>
    </row>
    <row r="348" ht="24.75" hidden="1" customHeight="1">
      <c r="A348" s="54" t="s">
        <v>289</v>
      </c>
      <c r="B348" s="56" t="s">
        <v>649</v>
      </c>
      <c r="C348" s="56" t="s">
        <v>606</v>
      </c>
      <c r="D348" s="56" t="s">
        <v>611</v>
      </c>
      <c r="E348" s="56" t="s">
        <v>614</v>
      </c>
      <c r="F348" s="57" t="s">
        <v>34</v>
      </c>
      <c r="G348" s="61"/>
      <c r="H348" s="79"/>
      <c r="I348" s="62" t="s">
        <v>615</v>
      </c>
      <c r="J348" s="53"/>
    </row>
    <row r="349" ht="24.75" hidden="1" customHeight="1">
      <c r="A349" s="54" t="s">
        <v>289</v>
      </c>
      <c r="B349" s="56" t="s">
        <v>649</v>
      </c>
      <c r="C349" s="56" t="s">
        <v>606</v>
      </c>
      <c r="D349" s="56" t="s">
        <v>611</v>
      </c>
      <c r="E349" s="56" t="s">
        <v>616</v>
      </c>
      <c r="F349" s="57" t="s">
        <v>154</v>
      </c>
      <c r="G349" s="61"/>
      <c r="H349" s="79"/>
      <c r="I349" s="62" t="s">
        <v>617</v>
      </c>
      <c r="J349" s="53"/>
    </row>
    <row r="350" ht="24.75" hidden="1" customHeight="1">
      <c r="A350" s="54" t="s">
        <v>289</v>
      </c>
      <c r="B350" s="56" t="s">
        <v>649</v>
      </c>
      <c r="C350" s="56" t="s">
        <v>606</v>
      </c>
      <c r="D350" s="56" t="s">
        <v>611</v>
      </c>
      <c r="E350" s="56" t="s">
        <v>618</v>
      </c>
      <c r="F350" s="57" t="s">
        <v>154</v>
      </c>
      <c r="G350" s="61"/>
      <c r="H350" s="79"/>
      <c r="I350" s="62" t="s">
        <v>617</v>
      </c>
      <c r="J350" s="53"/>
    </row>
    <row r="351" ht="24.75" customHeight="1">
      <c r="A351" s="54" t="s">
        <v>289</v>
      </c>
      <c r="B351" s="56" t="s">
        <v>650</v>
      </c>
      <c r="C351" s="56" t="s">
        <v>606</v>
      </c>
      <c r="D351" s="56" t="s">
        <v>651</v>
      </c>
      <c r="E351" s="56" t="s">
        <v>196</v>
      </c>
      <c r="F351" s="57" t="s">
        <v>250</v>
      </c>
      <c r="G351" s="61"/>
      <c r="H351" s="61" t="s">
        <v>287</v>
      </c>
      <c r="I351" s="62" t="s">
        <v>288</v>
      </c>
      <c r="J351" s="53"/>
    </row>
    <row r="352" ht="24.75" hidden="1" customHeight="1">
      <c r="A352" s="54" t="s">
        <v>289</v>
      </c>
      <c r="B352" s="56" t="s">
        <v>650</v>
      </c>
      <c r="C352" s="56" t="s">
        <v>606</v>
      </c>
      <c r="D352" s="56" t="s">
        <v>651</v>
      </c>
      <c r="E352" s="56" t="s">
        <v>621</v>
      </c>
      <c r="F352" s="57" t="s">
        <v>192</v>
      </c>
      <c r="G352" s="61"/>
      <c r="H352" s="79"/>
      <c r="I352" s="62"/>
      <c r="J352" s="53"/>
    </row>
    <row r="353" ht="24.75" hidden="1" customHeight="1">
      <c r="A353" s="54" t="s">
        <v>289</v>
      </c>
      <c r="B353" s="56" t="s">
        <v>650</v>
      </c>
      <c r="C353" s="56" t="s">
        <v>606</v>
      </c>
      <c r="D353" s="56" t="s">
        <v>651</v>
      </c>
      <c r="E353" s="56" t="s">
        <v>622</v>
      </c>
      <c r="F353" s="57" t="s">
        <v>154</v>
      </c>
      <c r="G353" s="61"/>
      <c r="H353" s="79"/>
      <c r="I353" s="62" t="s">
        <v>617</v>
      </c>
      <c r="J353" s="53"/>
    </row>
    <row r="354" ht="24.75" hidden="1" customHeight="1">
      <c r="A354" s="54" t="s">
        <v>289</v>
      </c>
      <c r="B354" s="56" t="s">
        <v>654</v>
      </c>
      <c r="C354" s="56" t="s">
        <v>606</v>
      </c>
      <c r="D354" s="56" t="s">
        <v>655</v>
      </c>
      <c r="E354" s="56" t="s">
        <v>191</v>
      </c>
      <c r="F354" s="57" t="s">
        <v>192</v>
      </c>
      <c r="G354" s="61"/>
      <c r="H354" s="79"/>
      <c r="I354" s="62"/>
      <c r="J354" s="53"/>
    </row>
    <row r="355" ht="24.75" hidden="1" customHeight="1">
      <c r="A355" s="54" t="s">
        <v>289</v>
      </c>
      <c r="B355" s="56" t="s">
        <v>654</v>
      </c>
      <c r="C355" s="56" t="s">
        <v>606</v>
      </c>
      <c r="D355" s="56" t="s">
        <v>655</v>
      </c>
      <c r="E355" s="56" t="s">
        <v>632</v>
      </c>
      <c r="F355" s="57" t="s">
        <v>34</v>
      </c>
      <c r="G355" s="61"/>
      <c r="H355" s="61" t="s">
        <v>197</v>
      </c>
      <c r="I355" s="62"/>
      <c r="J355" s="53"/>
    </row>
    <row r="356" ht="24.75" hidden="1" customHeight="1">
      <c r="A356" s="54" t="s">
        <v>289</v>
      </c>
      <c r="B356" s="56" t="s">
        <v>654</v>
      </c>
      <c r="C356" s="56" t="s">
        <v>606</v>
      </c>
      <c r="D356" s="56" t="s">
        <v>655</v>
      </c>
      <c r="E356" s="56" t="s">
        <v>633</v>
      </c>
      <c r="F356" s="57" t="s">
        <v>154</v>
      </c>
      <c r="G356" s="61"/>
      <c r="H356" s="79"/>
      <c r="I356" s="62"/>
      <c r="J356" s="53"/>
    </row>
    <row r="357" ht="24.75" customHeight="1">
      <c r="A357" s="54" t="s">
        <v>289</v>
      </c>
      <c r="B357" s="56" t="s">
        <v>654</v>
      </c>
      <c r="C357" s="56" t="s">
        <v>606</v>
      </c>
      <c r="D357" s="56" t="s">
        <v>655</v>
      </c>
      <c r="E357" s="56" t="s">
        <v>196</v>
      </c>
      <c r="F357" s="57" t="s">
        <v>250</v>
      </c>
      <c r="G357" s="61"/>
      <c r="H357" s="61" t="s">
        <v>200</v>
      </c>
      <c r="I357" s="62" t="s">
        <v>201</v>
      </c>
      <c r="J357" s="53"/>
    </row>
    <row r="358" ht="24.75" hidden="1" customHeight="1">
      <c r="A358" s="54" t="s">
        <v>289</v>
      </c>
      <c r="B358" s="56" t="s">
        <v>656</v>
      </c>
      <c r="C358" s="56" t="s">
        <v>606</v>
      </c>
      <c r="D358" s="56" t="s">
        <v>657</v>
      </c>
      <c r="E358" s="56" t="s">
        <v>191</v>
      </c>
      <c r="F358" s="57" t="s">
        <v>192</v>
      </c>
      <c r="G358" s="61"/>
      <c r="H358" s="79"/>
      <c r="I358" s="62"/>
      <c r="J358" s="53"/>
    </row>
    <row r="359" ht="24.75" hidden="1" customHeight="1">
      <c r="A359" s="54" t="s">
        <v>289</v>
      </c>
      <c r="B359" s="56" t="s">
        <v>656</v>
      </c>
      <c r="C359" s="56" t="s">
        <v>606</v>
      </c>
      <c r="D359" s="56" t="s">
        <v>657</v>
      </c>
      <c r="E359" s="56" t="s">
        <v>632</v>
      </c>
      <c r="F359" s="57" t="s">
        <v>34</v>
      </c>
      <c r="G359" s="61"/>
      <c r="H359" s="61" t="s">
        <v>197</v>
      </c>
      <c r="I359" s="62"/>
      <c r="J359" s="53"/>
    </row>
    <row r="360" ht="24.75" hidden="1" customHeight="1">
      <c r="A360" s="54" t="s">
        <v>289</v>
      </c>
      <c r="B360" s="56" t="s">
        <v>656</v>
      </c>
      <c r="C360" s="56" t="s">
        <v>606</v>
      </c>
      <c r="D360" s="56" t="s">
        <v>657</v>
      </c>
      <c r="E360" s="56" t="s">
        <v>633</v>
      </c>
      <c r="F360" s="57" t="s">
        <v>154</v>
      </c>
      <c r="G360" s="61"/>
      <c r="H360" s="79"/>
      <c r="I360" s="62"/>
      <c r="J360" s="53"/>
    </row>
    <row r="361" ht="24.75" customHeight="1">
      <c r="A361" s="54" t="s">
        <v>289</v>
      </c>
      <c r="B361" s="56" t="s">
        <v>656</v>
      </c>
      <c r="C361" s="56" t="s">
        <v>606</v>
      </c>
      <c r="D361" s="56" t="s">
        <v>657</v>
      </c>
      <c r="E361" s="56" t="s">
        <v>196</v>
      </c>
      <c r="F361" s="57" t="s">
        <v>250</v>
      </c>
      <c r="G361" s="61"/>
      <c r="H361" s="61" t="s">
        <v>200</v>
      </c>
      <c r="I361" s="62" t="s">
        <v>201</v>
      </c>
      <c r="J361" s="53"/>
    </row>
    <row r="362" ht="24.75" hidden="1" customHeight="1">
      <c r="A362" s="54" t="s">
        <v>658</v>
      </c>
      <c r="B362" s="56" t="s">
        <v>659</v>
      </c>
      <c r="C362" s="56" t="s">
        <v>610</v>
      </c>
      <c r="D362" s="56" t="s">
        <v>660</v>
      </c>
      <c r="E362" s="56" t="s">
        <v>661</v>
      </c>
      <c r="F362" s="57" t="s">
        <v>34</v>
      </c>
      <c r="G362" s="61"/>
      <c r="H362" s="79"/>
      <c r="I362" s="62"/>
      <c r="J362" s="53"/>
    </row>
    <row r="363" ht="24.75" hidden="1" customHeight="1">
      <c r="A363" s="54" t="s">
        <v>658</v>
      </c>
      <c r="B363" s="56" t="s">
        <v>659</v>
      </c>
      <c r="C363" s="56" t="s">
        <v>610</v>
      </c>
      <c r="D363" s="56" t="s">
        <v>660</v>
      </c>
      <c r="E363" s="56" t="s">
        <v>662</v>
      </c>
      <c r="F363" s="57" t="s">
        <v>34</v>
      </c>
      <c r="G363" s="61"/>
      <c r="H363" s="79"/>
      <c r="I363" s="62"/>
      <c r="J363" s="53"/>
    </row>
    <row r="364" ht="24.75" hidden="1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663</v>
      </c>
      <c r="F364" s="57" t="s">
        <v>34</v>
      </c>
      <c r="G364" s="61"/>
      <c r="H364" s="79"/>
      <c r="I364" s="62"/>
      <c r="J364" s="53"/>
    </row>
    <row r="365" ht="24.75" hidden="1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664</v>
      </c>
      <c r="F365" s="57" t="s">
        <v>34</v>
      </c>
      <c r="G365" s="61"/>
      <c r="H365" s="79"/>
      <c r="I365" s="62"/>
      <c r="J365" s="53"/>
    </row>
    <row r="366" ht="24.75" hidden="1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665</v>
      </c>
      <c r="F366" s="57" t="s">
        <v>34</v>
      </c>
      <c r="G366" s="61"/>
      <c r="H366" s="79"/>
      <c r="I366" s="62"/>
      <c r="J366" s="53"/>
    </row>
    <row r="367" ht="24.75" hidden="1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614</v>
      </c>
      <c r="F367" s="57" t="s">
        <v>34</v>
      </c>
      <c r="G367" s="61"/>
      <c r="H367" s="79"/>
      <c r="I367" s="62"/>
      <c r="J367" s="53"/>
    </row>
    <row r="368" ht="24.75" hidden="1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666</v>
      </c>
      <c r="F368" s="57" t="s">
        <v>34</v>
      </c>
      <c r="G368" s="61"/>
      <c r="H368" s="79"/>
      <c r="I368" s="62"/>
      <c r="J368" s="53"/>
    </row>
    <row r="369" ht="24.75" hidden="1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667</v>
      </c>
      <c r="F369" s="57" t="s">
        <v>34</v>
      </c>
      <c r="G369" s="61"/>
      <c r="H369" s="79"/>
      <c r="I369" s="62"/>
      <c r="J369" s="53"/>
    </row>
    <row r="370" ht="24.75" hidden="1" customHeight="1">
      <c r="A370" s="54" t="s">
        <v>658</v>
      </c>
      <c r="B370" s="56" t="s">
        <v>659</v>
      </c>
      <c r="C370" s="56" t="s">
        <v>610</v>
      </c>
      <c r="D370" s="56" t="s">
        <v>660</v>
      </c>
      <c r="E370" s="56" t="s">
        <v>668</v>
      </c>
      <c r="F370" s="57" t="s">
        <v>154</v>
      </c>
      <c r="G370" s="61"/>
      <c r="H370" s="79"/>
      <c r="I370" s="62" t="s">
        <v>617</v>
      </c>
      <c r="J370" s="53"/>
    </row>
    <row r="371" ht="24.75" hidden="1" customHeight="1">
      <c r="A371" s="54" t="s">
        <v>658</v>
      </c>
      <c r="B371" s="56" t="s">
        <v>659</v>
      </c>
      <c r="C371" s="56" t="s">
        <v>610</v>
      </c>
      <c r="D371" s="56" t="s">
        <v>660</v>
      </c>
      <c r="E371" s="56" t="s">
        <v>669</v>
      </c>
      <c r="F371" s="57" t="s">
        <v>154</v>
      </c>
      <c r="G371" s="61"/>
      <c r="H371" s="79"/>
      <c r="I371" s="62" t="s">
        <v>617</v>
      </c>
      <c r="J371" s="53"/>
    </row>
    <row r="372" ht="24.75" hidden="1" customHeight="1">
      <c r="A372" s="54" t="s">
        <v>658</v>
      </c>
      <c r="B372" s="56" t="s">
        <v>659</v>
      </c>
      <c r="C372" s="56" t="s">
        <v>610</v>
      </c>
      <c r="D372" s="56" t="s">
        <v>660</v>
      </c>
      <c r="E372" s="56" t="s">
        <v>671</v>
      </c>
      <c r="F372" s="57" t="s">
        <v>154</v>
      </c>
      <c r="G372" s="61"/>
      <c r="H372" s="79"/>
      <c r="I372" s="62" t="s">
        <v>617</v>
      </c>
      <c r="J372" s="53"/>
    </row>
    <row r="373" ht="24.75" hidden="1" customHeight="1">
      <c r="A373" s="54" t="s">
        <v>658</v>
      </c>
      <c r="B373" s="56" t="s">
        <v>659</v>
      </c>
      <c r="C373" s="56" t="s">
        <v>610</v>
      </c>
      <c r="D373" s="56" t="s">
        <v>660</v>
      </c>
      <c r="E373" s="56" t="s">
        <v>672</v>
      </c>
      <c r="F373" s="57" t="s">
        <v>154</v>
      </c>
      <c r="G373" s="61"/>
      <c r="H373" s="79"/>
      <c r="I373" s="62" t="s">
        <v>617</v>
      </c>
      <c r="J373" s="53"/>
    </row>
    <row r="374" ht="24.75" hidden="1" customHeight="1">
      <c r="A374" s="54" t="s">
        <v>658</v>
      </c>
      <c r="B374" s="56" t="s">
        <v>659</v>
      </c>
      <c r="C374" s="56" t="s">
        <v>610</v>
      </c>
      <c r="D374" s="56" t="s">
        <v>660</v>
      </c>
      <c r="E374" s="56" t="s">
        <v>673</v>
      </c>
      <c r="F374" s="57" t="s">
        <v>154</v>
      </c>
      <c r="G374" s="61"/>
      <c r="H374" s="79"/>
      <c r="I374" s="62" t="s">
        <v>617</v>
      </c>
      <c r="J374" s="53"/>
    </row>
    <row r="375" ht="24.75" hidden="1" customHeight="1">
      <c r="A375" s="54" t="s">
        <v>658</v>
      </c>
      <c r="B375" s="56" t="s">
        <v>674</v>
      </c>
      <c r="C375" s="56" t="s">
        <v>610</v>
      </c>
      <c r="D375" s="56" t="s">
        <v>675</v>
      </c>
      <c r="E375" s="56" t="s">
        <v>676</v>
      </c>
      <c r="F375" s="57" t="s">
        <v>34</v>
      </c>
      <c r="G375" s="61"/>
      <c r="H375" s="79"/>
      <c r="I375" s="62"/>
      <c r="J375" s="53"/>
    </row>
    <row r="376" ht="24.75" hidden="1" customHeight="1">
      <c r="A376" s="54" t="s">
        <v>658</v>
      </c>
      <c r="B376" s="56" t="s">
        <v>677</v>
      </c>
      <c r="C376" s="56" t="s">
        <v>610</v>
      </c>
      <c r="D376" s="56" t="s">
        <v>678</v>
      </c>
      <c r="E376" s="56" t="s">
        <v>679</v>
      </c>
      <c r="F376" s="57" t="s">
        <v>34</v>
      </c>
      <c r="G376" s="61"/>
      <c r="H376" s="61" t="s">
        <v>681</v>
      </c>
      <c r="I376" s="62"/>
      <c r="J376" s="53"/>
    </row>
    <row r="377" ht="24.75" hidden="1" customHeight="1">
      <c r="A377" s="54" t="s">
        <v>658</v>
      </c>
      <c r="B377" s="56" t="s">
        <v>677</v>
      </c>
      <c r="C377" s="56" t="s">
        <v>610</v>
      </c>
      <c r="D377" s="56" t="s">
        <v>678</v>
      </c>
      <c r="E377" s="56" t="s">
        <v>680</v>
      </c>
      <c r="F377" s="57" t="s">
        <v>34</v>
      </c>
      <c r="G377" s="61"/>
      <c r="H377" s="79"/>
      <c r="I377" s="62"/>
      <c r="J377" s="53"/>
    </row>
    <row r="378" ht="24.75" hidden="1" customHeight="1">
      <c r="A378" s="54" t="s">
        <v>658</v>
      </c>
      <c r="B378" s="56" t="s">
        <v>677</v>
      </c>
      <c r="C378" s="56" t="s">
        <v>610</v>
      </c>
      <c r="D378" s="56" t="s">
        <v>678</v>
      </c>
      <c r="E378" s="56" t="s">
        <v>682</v>
      </c>
      <c r="F378" s="57" t="s">
        <v>34</v>
      </c>
      <c r="G378" s="61"/>
      <c r="H378" s="79"/>
      <c r="I378" s="62"/>
      <c r="J378" s="53"/>
    </row>
    <row r="379" ht="24.75" hidden="1" customHeight="1">
      <c r="A379" s="54" t="s">
        <v>658</v>
      </c>
      <c r="B379" s="56" t="s">
        <v>677</v>
      </c>
      <c r="C379" s="56" t="s">
        <v>610</v>
      </c>
      <c r="D379" s="56" t="s">
        <v>678</v>
      </c>
      <c r="E379" s="56" t="s">
        <v>683</v>
      </c>
      <c r="F379" s="57" t="s">
        <v>34</v>
      </c>
      <c r="G379" s="61"/>
      <c r="H379" s="79"/>
      <c r="I379" s="62"/>
      <c r="J379" s="53"/>
    </row>
    <row r="380" ht="24.75" customHeight="1">
      <c r="A380" s="54" t="s">
        <v>658</v>
      </c>
      <c r="B380" s="56" t="s">
        <v>677</v>
      </c>
      <c r="C380" s="56" t="s">
        <v>610</v>
      </c>
      <c r="D380" s="56" t="s">
        <v>678</v>
      </c>
      <c r="E380" s="56" t="s">
        <v>684</v>
      </c>
      <c r="F380" s="57" t="s">
        <v>250</v>
      </c>
      <c r="G380" s="61"/>
      <c r="H380" s="61" t="s">
        <v>686</v>
      </c>
      <c r="I380" s="62" t="s">
        <v>687</v>
      </c>
      <c r="J380" s="53"/>
    </row>
    <row r="381" ht="24.75" customHeight="1">
      <c r="A381" s="54" t="s">
        <v>658</v>
      </c>
      <c r="B381" s="56" t="s">
        <v>677</v>
      </c>
      <c r="C381" s="56" t="s">
        <v>610</v>
      </c>
      <c r="D381" s="56" t="s">
        <v>678</v>
      </c>
      <c r="E381" s="56" t="s">
        <v>685</v>
      </c>
      <c r="F381" s="57" t="s">
        <v>250</v>
      </c>
      <c r="G381" s="61"/>
      <c r="H381" s="61" t="s">
        <v>200</v>
      </c>
      <c r="I381" s="62" t="s">
        <v>689</v>
      </c>
      <c r="J381" s="53"/>
    </row>
    <row r="382" ht="24.75" hidden="1" customHeight="1">
      <c r="A382" s="54" t="s">
        <v>658</v>
      </c>
      <c r="B382" s="56" t="s">
        <v>688</v>
      </c>
      <c r="C382" s="56" t="s">
        <v>624</v>
      </c>
      <c r="D382" s="56" t="s">
        <v>660</v>
      </c>
      <c r="E382" s="56" t="s">
        <v>661</v>
      </c>
      <c r="F382" s="57" t="s">
        <v>34</v>
      </c>
      <c r="G382" s="61"/>
      <c r="H382" s="79"/>
      <c r="I382" s="62"/>
      <c r="J382" s="53"/>
    </row>
    <row r="383" ht="24.75" hidden="1" customHeight="1">
      <c r="A383" s="54" t="s">
        <v>658</v>
      </c>
      <c r="B383" s="56" t="s">
        <v>688</v>
      </c>
      <c r="C383" s="56" t="s">
        <v>624</v>
      </c>
      <c r="D383" s="56" t="s">
        <v>660</v>
      </c>
      <c r="E383" s="56" t="s">
        <v>662</v>
      </c>
      <c r="F383" s="57" t="s">
        <v>34</v>
      </c>
      <c r="G383" s="61"/>
      <c r="H383" s="79"/>
      <c r="I383" s="62"/>
      <c r="J383" s="53"/>
    </row>
    <row r="384" ht="24.75" hidden="1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663</v>
      </c>
      <c r="F384" s="57" t="s">
        <v>34</v>
      </c>
      <c r="G384" s="61"/>
      <c r="H384" s="79"/>
      <c r="I384" s="62"/>
      <c r="J384" s="53"/>
    </row>
    <row r="385" ht="24.75" hidden="1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664</v>
      </c>
      <c r="F385" s="57" t="s">
        <v>34</v>
      </c>
      <c r="G385" s="61"/>
      <c r="H385" s="79"/>
      <c r="I385" s="62"/>
      <c r="J385" s="53"/>
    </row>
    <row r="386" ht="24.75" hidden="1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665</v>
      </c>
      <c r="F386" s="57" t="s">
        <v>34</v>
      </c>
      <c r="G386" s="61"/>
      <c r="H386" s="79"/>
      <c r="I386" s="62"/>
      <c r="J386" s="53"/>
    </row>
    <row r="387" ht="24.75" hidden="1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614</v>
      </c>
      <c r="F387" s="57" t="s">
        <v>34</v>
      </c>
      <c r="G387" s="61"/>
      <c r="H387" s="79"/>
      <c r="I387" s="62"/>
      <c r="J387" s="53"/>
    </row>
    <row r="388" ht="24.75" hidden="1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666</v>
      </c>
      <c r="F388" s="57" t="s">
        <v>34</v>
      </c>
      <c r="G388" s="61"/>
      <c r="H388" s="79"/>
      <c r="I388" s="62"/>
      <c r="J388" s="53"/>
    </row>
    <row r="389" ht="24.75" hidden="1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667</v>
      </c>
      <c r="F389" s="57" t="s">
        <v>34</v>
      </c>
      <c r="G389" s="61"/>
      <c r="H389" s="79"/>
      <c r="I389" s="62"/>
      <c r="J389" s="53"/>
    </row>
    <row r="390" ht="24.75" hidden="1" customHeight="1">
      <c r="A390" s="54" t="s">
        <v>658</v>
      </c>
      <c r="B390" s="56" t="s">
        <v>688</v>
      </c>
      <c r="C390" s="56" t="s">
        <v>624</v>
      </c>
      <c r="D390" s="56" t="s">
        <v>660</v>
      </c>
      <c r="E390" s="56" t="s">
        <v>668</v>
      </c>
      <c r="F390" s="57" t="s">
        <v>154</v>
      </c>
      <c r="G390" s="61"/>
      <c r="H390" s="79"/>
      <c r="I390" s="62" t="s">
        <v>617</v>
      </c>
      <c r="J390" s="53"/>
    </row>
    <row r="391" ht="24.75" hidden="1" customHeight="1">
      <c r="A391" s="54" t="s">
        <v>658</v>
      </c>
      <c r="B391" s="56" t="s">
        <v>688</v>
      </c>
      <c r="C391" s="56" t="s">
        <v>624</v>
      </c>
      <c r="D391" s="56" t="s">
        <v>660</v>
      </c>
      <c r="E391" s="56" t="s">
        <v>669</v>
      </c>
      <c r="F391" s="57" t="s">
        <v>154</v>
      </c>
      <c r="G391" s="61"/>
      <c r="H391" s="79"/>
      <c r="I391" s="62" t="s">
        <v>617</v>
      </c>
      <c r="J391" s="53"/>
    </row>
    <row r="392" ht="24.75" hidden="1" customHeight="1">
      <c r="A392" s="54" t="s">
        <v>658</v>
      </c>
      <c r="B392" s="56" t="s">
        <v>688</v>
      </c>
      <c r="C392" s="56" t="s">
        <v>624</v>
      </c>
      <c r="D392" s="56" t="s">
        <v>660</v>
      </c>
      <c r="E392" s="56" t="s">
        <v>671</v>
      </c>
      <c r="F392" s="57" t="s">
        <v>154</v>
      </c>
      <c r="G392" s="61"/>
      <c r="H392" s="79"/>
      <c r="I392" s="62" t="s">
        <v>617</v>
      </c>
      <c r="J392" s="53"/>
    </row>
    <row r="393" ht="24.75" hidden="1" customHeight="1">
      <c r="A393" s="54" t="s">
        <v>658</v>
      </c>
      <c r="B393" s="56" t="s">
        <v>688</v>
      </c>
      <c r="C393" s="56" t="s">
        <v>624</v>
      </c>
      <c r="D393" s="56" t="s">
        <v>660</v>
      </c>
      <c r="E393" s="56" t="s">
        <v>672</v>
      </c>
      <c r="F393" s="57" t="s">
        <v>154</v>
      </c>
      <c r="G393" s="61"/>
      <c r="H393" s="79"/>
      <c r="I393" s="62" t="s">
        <v>617</v>
      </c>
      <c r="J393" s="53"/>
    </row>
    <row r="394" ht="24.75" hidden="1" customHeight="1">
      <c r="A394" s="54" t="s">
        <v>658</v>
      </c>
      <c r="B394" s="56" t="s">
        <v>688</v>
      </c>
      <c r="C394" s="56" t="s">
        <v>624</v>
      </c>
      <c r="D394" s="56" t="s">
        <v>660</v>
      </c>
      <c r="E394" s="56" t="s">
        <v>673</v>
      </c>
      <c r="F394" s="57" t="s">
        <v>154</v>
      </c>
      <c r="G394" s="61"/>
      <c r="H394" s="79"/>
      <c r="I394" s="62" t="s">
        <v>617</v>
      </c>
      <c r="J394" s="53"/>
    </row>
    <row r="395" ht="24.75" hidden="1" customHeight="1">
      <c r="A395" s="54" t="s">
        <v>658</v>
      </c>
      <c r="B395" s="56" t="s">
        <v>690</v>
      </c>
      <c r="C395" s="56" t="s">
        <v>624</v>
      </c>
      <c r="D395" s="56" t="s">
        <v>675</v>
      </c>
      <c r="E395" s="56" t="s">
        <v>676</v>
      </c>
      <c r="F395" s="57" t="s">
        <v>34</v>
      </c>
      <c r="G395" s="61"/>
      <c r="H395" s="79"/>
      <c r="I395" s="62"/>
      <c r="J395" s="53"/>
    </row>
    <row r="396" ht="24.75" hidden="1" customHeight="1">
      <c r="A396" s="54" t="s">
        <v>658</v>
      </c>
      <c r="B396" s="56" t="s">
        <v>691</v>
      </c>
      <c r="C396" s="56" t="s">
        <v>624</v>
      </c>
      <c r="D396" s="56" t="s">
        <v>678</v>
      </c>
      <c r="E396" s="56" t="s">
        <v>679</v>
      </c>
      <c r="F396" s="57" t="s">
        <v>34</v>
      </c>
      <c r="G396" s="61"/>
      <c r="H396" s="61" t="s">
        <v>681</v>
      </c>
      <c r="I396" s="62"/>
      <c r="J396" s="53"/>
    </row>
    <row r="397" ht="24.75" hidden="1" customHeight="1">
      <c r="A397" s="54" t="s">
        <v>658</v>
      </c>
      <c r="B397" s="56" t="s">
        <v>691</v>
      </c>
      <c r="C397" s="56" t="s">
        <v>624</v>
      </c>
      <c r="D397" s="56" t="s">
        <v>678</v>
      </c>
      <c r="E397" s="56" t="s">
        <v>680</v>
      </c>
      <c r="F397" s="57" t="s">
        <v>34</v>
      </c>
      <c r="G397" s="61"/>
      <c r="H397" s="79"/>
      <c r="I397" s="62"/>
      <c r="J397" s="53"/>
    </row>
    <row r="398" ht="24.75" hidden="1" customHeight="1">
      <c r="A398" s="54" t="s">
        <v>658</v>
      </c>
      <c r="B398" s="56" t="s">
        <v>691</v>
      </c>
      <c r="C398" s="56" t="s">
        <v>624</v>
      </c>
      <c r="D398" s="56" t="s">
        <v>678</v>
      </c>
      <c r="E398" s="56" t="s">
        <v>682</v>
      </c>
      <c r="F398" s="57" t="s">
        <v>34</v>
      </c>
      <c r="G398" s="61"/>
      <c r="H398" s="79"/>
      <c r="I398" s="62"/>
      <c r="J398" s="53"/>
    </row>
    <row r="399" ht="24.75" hidden="1" customHeight="1">
      <c r="A399" s="54" t="s">
        <v>658</v>
      </c>
      <c r="B399" s="56" t="s">
        <v>691</v>
      </c>
      <c r="C399" s="56" t="s">
        <v>624</v>
      </c>
      <c r="D399" s="56" t="s">
        <v>678</v>
      </c>
      <c r="E399" s="56" t="s">
        <v>683</v>
      </c>
      <c r="F399" s="57" t="s">
        <v>34</v>
      </c>
      <c r="G399" s="61"/>
      <c r="H399" s="79"/>
      <c r="I399" s="62"/>
      <c r="J399" s="53"/>
    </row>
    <row r="400" ht="24.75" customHeight="1">
      <c r="A400" s="54" t="s">
        <v>658</v>
      </c>
      <c r="B400" s="56" t="s">
        <v>691</v>
      </c>
      <c r="C400" s="56" t="s">
        <v>624</v>
      </c>
      <c r="D400" s="56" t="s">
        <v>678</v>
      </c>
      <c r="E400" s="56" t="s">
        <v>684</v>
      </c>
      <c r="F400" s="57" t="s">
        <v>250</v>
      </c>
      <c r="G400" s="61"/>
      <c r="H400" s="61" t="s">
        <v>686</v>
      </c>
      <c r="I400" s="62" t="s">
        <v>687</v>
      </c>
      <c r="J400" s="53"/>
    </row>
    <row r="401" ht="24.75" customHeight="1">
      <c r="A401" s="54" t="s">
        <v>658</v>
      </c>
      <c r="B401" s="56" t="s">
        <v>691</v>
      </c>
      <c r="C401" s="56" t="s">
        <v>624</v>
      </c>
      <c r="D401" s="56" t="s">
        <v>678</v>
      </c>
      <c r="E401" s="56" t="s">
        <v>685</v>
      </c>
      <c r="F401" s="57" t="s">
        <v>250</v>
      </c>
      <c r="G401" s="61"/>
      <c r="H401" s="61" t="s">
        <v>200</v>
      </c>
      <c r="I401" s="62" t="s">
        <v>689</v>
      </c>
      <c r="J401" s="53"/>
    </row>
    <row r="402" ht="24.75" hidden="1" customHeight="1">
      <c r="A402" s="54" t="s">
        <v>658</v>
      </c>
      <c r="B402" s="56" t="s">
        <v>692</v>
      </c>
      <c r="C402" s="56" t="s">
        <v>627</v>
      </c>
      <c r="D402" s="56" t="s">
        <v>660</v>
      </c>
      <c r="E402" s="56" t="s">
        <v>661</v>
      </c>
      <c r="F402" s="57" t="s">
        <v>34</v>
      </c>
      <c r="G402" s="61"/>
      <c r="H402" s="79"/>
      <c r="I402" s="62"/>
      <c r="J402" s="53"/>
    </row>
    <row r="403" ht="24.75" hidden="1" customHeight="1">
      <c r="A403" s="54" t="s">
        <v>658</v>
      </c>
      <c r="B403" s="56" t="s">
        <v>692</v>
      </c>
      <c r="C403" s="56" t="s">
        <v>627</v>
      </c>
      <c r="D403" s="56" t="s">
        <v>660</v>
      </c>
      <c r="E403" s="56" t="s">
        <v>662</v>
      </c>
      <c r="F403" s="57" t="s">
        <v>34</v>
      </c>
      <c r="G403" s="61"/>
      <c r="H403" s="79"/>
      <c r="I403" s="62"/>
      <c r="J403" s="53"/>
    </row>
    <row r="404" ht="24.75" hidden="1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663</v>
      </c>
      <c r="F404" s="57" t="s">
        <v>34</v>
      </c>
      <c r="G404" s="61"/>
      <c r="H404" s="79"/>
      <c r="I404" s="62"/>
      <c r="J404" s="53"/>
    </row>
    <row r="405" ht="24.75" hidden="1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664</v>
      </c>
      <c r="F405" s="57" t="s">
        <v>34</v>
      </c>
      <c r="G405" s="61"/>
      <c r="H405" s="79"/>
      <c r="I405" s="62"/>
      <c r="J405" s="53"/>
    </row>
    <row r="406" ht="24.75" hidden="1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665</v>
      </c>
      <c r="F406" s="57" t="s">
        <v>34</v>
      </c>
      <c r="G406" s="61"/>
      <c r="H406" s="79"/>
      <c r="I406" s="62"/>
      <c r="J406" s="53"/>
    </row>
    <row r="407" ht="24.75" hidden="1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614</v>
      </c>
      <c r="F407" s="57" t="s">
        <v>34</v>
      </c>
      <c r="G407" s="61"/>
      <c r="H407" s="79"/>
      <c r="I407" s="62"/>
      <c r="J407" s="53"/>
    </row>
    <row r="408" ht="24.75" hidden="1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666</v>
      </c>
      <c r="F408" s="57" t="s">
        <v>34</v>
      </c>
      <c r="G408" s="61"/>
      <c r="H408" s="79"/>
      <c r="I408" s="62"/>
      <c r="J408" s="53"/>
    </row>
    <row r="409" ht="24.75" hidden="1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667</v>
      </c>
      <c r="F409" s="57" t="s">
        <v>34</v>
      </c>
      <c r="G409" s="61"/>
      <c r="H409" s="79"/>
      <c r="I409" s="62"/>
      <c r="J409" s="53"/>
    </row>
    <row r="410" ht="24.75" hidden="1" customHeight="1">
      <c r="A410" s="54" t="s">
        <v>658</v>
      </c>
      <c r="B410" s="56" t="s">
        <v>692</v>
      </c>
      <c r="C410" s="56" t="s">
        <v>627</v>
      </c>
      <c r="D410" s="56" t="s">
        <v>660</v>
      </c>
      <c r="E410" s="56" t="s">
        <v>668</v>
      </c>
      <c r="F410" s="57" t="s">
        <v>154</v>
      </c>
      <c r="G410" s="61"/>
      <c r="H410" s="79"/>
      <c r="I410" s="62" t="s">
        <v>617</v>
      </c>
      <c r="J410" s="53"/>
    </row>
    <row r="411" ht="24.75" hidden="1" customHeight="1">
      <c r="A411" s="54" t="s">
        <v>658</v>
      </c>
      <c r="B411" s="56" t="s">
        <v>692</v>
      </c>
      <c r="C411" s="56" t="s">
        <v>627</v>
      </c>
      <c r="D411" s="56" t="s">
        <v>660</v>
      </c>
      <c r="E411" s="56" t="s">
        <v>669</v>
      </c>
      <c r="F411" s="57" t="s">
        <v>154</v>
      </c>
      <c r="G411" s="61"/>
      <c r="H411" s="79"/>
      <c r="I411" s="62" t="s">
        <v>617</v>
      </c>
      <c r="J411" s="53"/>
    </row>
    <row r="412" ht="24.75" hidden="1" customHeight="1">
      <c r="A412" s="54" t="s">
        <v>658</v>
      </c>
      <c r="B412" s="56" t="s">
        <v>692</v>
      </c>
      <c r="C412" s="56" t="s">
        <v>627</v>
      </c>
      <c r="D412" s="56" t="s">
        <v>660</v>
      </c>
      <c r="E412" s="56" t="s">
        <v>671</v>
      </c>
      <c r="F412" s="57" t="s">
        <v>154</v>
      </c>
      <c r="G412" s="61"/>
      <c r="H412" s="79"/>
      <c r="I412" s="62" t="s">
        <v>617</v>
      </c>
      <c r="J412" s="53"/>
    </row>
    <row r="413" ht="24.75" hidden="1" customHeight="1">
      <c r="A413" s="54" t="s">
        <v>658</v>
      </c>
      <c r="B413" s="56" t="s">
        <v>692</v>
      </c>
      <c r="C413" s="56" t="s">
        <v>627</v>
      </c>
      <c r="D413" s="56" t="s">
        <v>660</v>
      </c>
      <c r="E413" s="56" t="s">
        <v>672</v>
      </c>
      <c r="F413" s="57" t="s">
        <v>154</v>
      </c>
      <c r="G413" s="61"/>
      <c r="H413" s="79"/>
      <c r="I413" s="62" t="s">
        <v>617</v>
      </c>
      <c r="J413" s="53"/>
    </row>
    <row r="414" ht="24.75" hidden="1" customHeight="1">
      <c r="A414" s="54" t="s">
        <v>658</v>
      </c>
      <c r="B414" s="56" t="s">
        <v>692</v>
      </c>
      <c r="C414" s="56" t="s">
        <v>627</v>
      </c>
      <c r="D414" s="56" t="s">
        <v>660</v>
      </c>
      <c r="E414" s="56" t="s">
        <v>673</v>
      </c>
      <c r="F414" s="57" t="s">
        <v>154</v>
      </c>
      <c r="G414" s="61"/>
      <c r="H414" s="79"/>
      <c r="I414" s="62" t="s">
        <v>617</v>
      </c>
      <c r="J414" s="53"/>
    </row>
    <row r="415" ht="24.75" hidden="1" customHeight="1">
      <c r="A415" s="54" t="s">
        <v>658</v>
      </c>
      <c r="B415" s="56" t="s">
        <v>693</v>
      </c>
      <c r="C415" s="56" t="s">
        <v>627</v>
      </c>
      <c r="D415" s="56" t="s">
        <v>675</v>
      </c>
      <c r="E415" s="56" t="s">
        <v>676</v>
      </c>
      <c r="F415" s="57" t="s">
        <v>34</v>
      </c>
      <c r="G415" s="61"/>
      <c r="H415" s="79"/>
      <c r="I415" s="62"/>
      <c r="J415" s="53"/>
    </row>
    <row r="416" ht="24.75" hidden="1" customHeight="1">
      <c r="A416" s="54" t="s">
        <v>658</v>
      </c>
      <c r="B416" s="56" t="s">
        <v>694</v>
      </c>
      <c r="C416" s="56" t="s">
        <v>627</v>
      </c>
      <c r="D416" s="56" t="s">
        <v>678</v>
      </c>
      <c r="E416" s="56" t="s">
        <v>679</v>
      </c>
      <c r="F416" s="57" t="s">
        <v>34</v>
      </c>
      <c r="G416" s="61"/>
      <c r="H416" s="61" t="s">
        <v>197</v>
      </c>
      <c r="I416" s="62"/>
      <c r="J416" s="53"/>
    </row>
    <row r="417" ht="24.75" hidden="1" customHeight="1">
      <c r="A417" s="54" t="s">
        <v>658</v>
      </c>
      <c r="B417" s="56" t="s">
        <v>694</v>
      </c>
      <c r="C417" s="56" t="s">
        <v>627</v>
      </c>
      <c r="D417" s="56" t="s">
        <v>678</v>
      </c>
      <c r="E417" s="56" t="s">
        <v>680</v>
      </c>
      <c r="F417" s="57" t="s">
        <v>34</v>
      </c>
      <c r="G417" s="61"/>
      <c r="H417" s="79"/>
      <c r="I417" s="62"/>
      <c r="J417" s="53"/>
    </row>
    <row r="418" ht="24.75" hidden="1" customHeight="1">
      <c r="A418" s="54" t="s">
        <v>658</v>
      </c>
      <c r="B418" s="56" t="s">
        <v>694</v>
      </c>
      <c r="C418" s="56" t="s">
        <v>627</v>
      </c>
      <c r="D418" s="56" t="s">
        <v>678</v>
      </c>
      <c r="E418" s="56" t="s">
        <v>683</v>
      </c>
      <c r="F418" s="57" t="s">
        <v>34</v>
      </c>
      <c r="G418" s="61"/>
      <c r="H418" s="79"/>
      <c r="I418" s="62"/>
      <c r="J418" s="53"/>
    </row>
    <row r="419" ht="24.75" customHeight="1">
      <c r="A419" s="54" t="s">
        <v>658</v>
      </c>
      <c r="B419" s="56" t="s">
        <v>694</v>
      </c>
      <c r="C419" s="56" t="s">
        <v>627</v>
      </c>
      <c r="D419" s="56" t="s">
        <v>678</v>
      </c>
      <c r="E419" s="56" t="s">
        <v>684</v>
      </c>
      <c r="F419" s="57" t="s">
        <v>250</v>
      </c>
      <c r="G419" s="61"/>
      <c r="H419" s="61" t="s">
        <v>686</v>
      </c>
      <c r="I419" s="62" t="s">
        <v>687</v>
      </c>
      <c r="J419" s="53"/>
    </row>
    <row r="420" ht="24.75" customHeight="1">
      <c r="A420" s="54" t="s">
        <v>658</v>
      </c>
      <c r="B420" s="56" t="s">
        <v>694</v>
      </c>
      <c r="C420" s="56" t="s">
        <v>627</v>
      </c>
      <c r="D420" s="56" t="s">
        <v>678</v>
      </c>
      <c r="E420" s="56" t="s">
        <v>695</v>
      </c>
      <c r="F420" s="57" t="s">
        <v>250</v>
      </c>
      <c r="G420" s="61"/>
      <c r="H420" s="61" t="s">
        <v>346</v>
      </c>
      <c r="I420" s="62" t="s">
        <v>696</v>
      </c>
      <c r="J420" s="53"/>
    </row>
    <row r="421" ht="24.75" customHeight="1">
      <c r="A421" s="54" t="s">
        <v>658</v>
      </c>
      <c r="B421" s="56" t="s">
        <v>694</v>
      </c>
      <c r="C421" s="56" t="s">
        <v>627</v>
      </c>
      <c r="D421" s="56" t="s">
        <v>678</v>
      </c>
      <c r="E421" s="56" t="s">
        <v>685</v>
      </c>
      <c r="F421" s="57" t="s">
        <v>250</v>
      </c>
      <c r="G421" s="61"/>
      <c r="H421" s="61" t="s">
        <v>200</v>
      </c>
      <c r="I421" s="62" t="s">
        <v>689</v>
      </c>
      <c r="J421" s="53"/>
    </row>
    <row r="422" ht="24.75" hidden="1" customHeight="1">
      <c r="A422" s="54" t="s">
        <v>658</v>
      </c>
      <c r="B422" s="56" t="s">
        <v>697</v>
      </c>
      <c r="C422" s="56" t="s">
        <v>640</v>
      </c>
      <c r="D422" s="56" t="s">
        <v>660</v>
      </c>
      <c r="E422" s="56" t="s">
        <v>661</v>
      </c>
      <c r="F422" s="57" t="s">
        <v>34</v>
      </c>
      <c r="G422" s="61"/>
      <c r="H422" s="79"/>
      <c r="I422" s="62"/>
      <c r="J422" s="53"/>
    </row>
    <row r="423" ht="24.75" hidden="1" customHeight="1">
      <c r="A423" s="54" t="s">
        <v>658</v>
      </c>
      <c r="B423" s="56" t="s">
        <v>697</v>
      </c>
      <c r="C423" s="56" t="s">
        <v>640</v>
      </c>
      <c r="D423" s="56" t="s">
        <v>660</v>
      </c>
      <c r="E423" s="56" t="s">
        <v>662</v>
      </c>
      <c r="F423" s="57" t="s">
        <v>34</v>
      </c>
      <c r="G423" s="61"/>
      <c r="H423" s="79"/>
      <c r="I423" s="62"/>
      <c r="J423" s="53"/>
    </row>
    <row r="424" ht="24.75" hidden="1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663</v>
      </c>
      <c r="F424" s="57" t="s">
        <v>34</v>
      </c>
      <c r="G424" s="61"/>
      <c r="H424" s="79"/>
      <c r="I424" s="62"/>
      <c r="J424" s="53"/>
    </row>
    <row r="425" ht="24.75" hidden="1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664</v>
      </c>
      <c r="F425" s="57" t="s">
        <v>34</v>
      </c>
      <c r="G425" s="61"/>
      <c r="H425" s="79"/>
      <c r="I425" s="62"/>
      <c r="J425" s="53"/>
    </row>
    <row r="426" ht="24.75" hidden="1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665</v>
      </c>
      <c r="F426" s="57" t="s">
        <v>34</v>
      </c>
      <c r="G426" s="61"/>
      <c r="H426" s="79"/>
      <c r="I426" s="62"/>
      <c r="J426" s="53"/>
    </row>
    <row r="427" ht="24.75" hidden="1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614</v>
      </c>
      <c r="F427" s="57" t="s">
        <v>34</v>
      </c>
      <c r="G427" s="61"/>
      <c r="H427" s="79"/>
      <c r="I427" s="62"/>
      <c r="J427" s="53"/>
    </row>
    <row r="428" ht="24.75" hidden="1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666</v>
      </c>
      <c r="F428" s="57" t="s">
        <v>34</v>
      </c>
      <c r="G428" s="61"/>
      <c r="H428" s="79"/>
      <c r="I428" s="62"/>
      <c r="J428" s="53"/>
    </row>
    <row r="429" ht="24.75" hidden="1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667</v>
      </c>
      <c r="F429" s="57" t="s">
        <v>34</v>
      </c>
      <c r="G429" s="61"/>
      <c r="H429" s="79"/>
      <c r="I429" s="62"/>
      <c r="J429" s="53"/>
    </row>
    <row r="430" ht="24.75" hidden="1" customHeight="1">
      <c r="A430" s="54" t="s">
        <v>658</v>
      </c>
      <c r="B430" s="56" t="s">
        <v>697</v>
      </c>
      <c r="C430" s="56" t="s">
        <v>640</v>
      </c>
      <c r="D430" s="56" t="s">
        <v>660</v>
      </c>
      <c r="E430" s="56" t="s">
        <v>668</v>
      </c>
      <c r="F430" s="57" t="s">
        <v>154</v>
      </c>
      <c r="G430" s="61"/>
      <c r="H430" s="79"/>
      <c r="I430" s="62" t="s">
        <v>617</v>
      </c>
      <c r="J430" s="53"/>
    </row>
    <row r="431" ht="24.75" hidden="1" customHeight="1">
      <c r="A431" s="54" t="s">
        <v>658</v>
      </c>
      <c r="B431" s="56" t="s">
        <v>697</v>
      </c>
      <c r="C431" s="56" t="s">
        <v>640</v>
      </c>
      <c r="D431" s="56" t="s">
        <v>660</v>
      </c>
      <c r="E431" s="56" t="s">
        <v>669</v>
      </c>
      <c r="F431" s="57" t="s">
        <v>154</v>
      </c>
      <c r="G431" s="61"/>
      <c r="H431" s="79"/>
      <c r="I431" s="62" t="s">
        <v>617</v>
      </c>
      <c r="J431" s="53"/>
    </row>
    <row r="432" ht="24.75" hidden="1" customHeight="1">
      <c r="A432" s="54" t="s">
        <v>658</v>
      </c>
      <c r="B432" s="56" t="s">
        <v>697</v>
      </c>
      <c r="C432" s="56" t="s">
        <v>640</v>
      </c>
      <c r="D432" s="56" t="s">
        <v>660</v>
      </c>
      <c r="E432" s="56" t="s">
        <v>671</v>
      </c>
      <c r="F432" s="57" t="s">
        <v>154</v>
      </c>
      <c r="G432" s="61"/>
      <c r="H432" s="79"/>
      <c r="I432" s="62" t="s">
        <v>617</v>
      </c>
      <c r="J432" s="53"/>
    </row>
    <row r="433" ht="24.75" hidden="1" customHeight="1">
      <c r="A433" s="54" t="s">
        <v>658</v>
      </c>
      <c r="B433" s="56" t="s">
        <v>697</v>
      </c>
      <c r="C433" s="56" t="s">
        <v>640</v>
      </c>
      <c r="D433" s="56" t="s">
        <v>660</v>
      </c>
      <c r="E433" s="56" t="s">
        <v>672</v>
      </c>
      <c r="F433" s="57" t="s">
        <v>154</v>
      </c>
      <c r="G433" s="61"/>
      <c r="H433" s="79"/>
      <c r="I433" s="62" t="s">
        <v>617</v>
      </c>
      <c r="J433" s="53"/>
    </row>
    <row r="434" ht="24.75" hidden="1" customHeight="1">
      <c r="A434" s="54" t="s">
        <v>658</v>
      </c>
      <c r="B434" s="56" t="s">
        <v>697</v>
      </c>
      <c r="C434" s="56" t="s">
        <v>640</v>
      </c>
      <c r="D434" s="56" t="s">
        <v>660</v>
      </c>
      <c r="E434" s="56" t="s">
        <v>673</v>
      </c>
      <c r="F434" s="57" t="s">
        <v>154</v>
      </c>
      <c r="G434" s="61"/>
      <c r="H434" s="79"/>
      <c r="I434" s="62" t="s">
        <v>617</v>
      </c>
      <c r="J434" s="53"/>
    </row>
    <row r="435" ht="24.75" hidden="1" customHeight="1">
      <c r="A435" s="54" t="s">
        <v>658</v>
      </c>
      <c r="B435" s="56" t="s">
        <v>698</v>
      </c>
      <c r="C435" s="56" t="s">
        <v>640</v>
      </c>
      <c r="D435" s="56" t="s">
        <v>675</v>
      </c>
      <c r="E435" s="56" t="s">
        <v>676</v>
      </c>
      <c r="F435" s="57" t="s">
        <v>34</v>
      </c>
      <c r="G435" s="61"/>
      <c r="H435" s="79"/>
      <c r="I435" s="62"/>
      <c r="J435" s="53"/>
    </row>
    <row r="436" ht="24.75" hidden="1" customHeight="1">
      <c r="A436" s="54" t="s">
        <v>658</v>
      </c>
      <c r="B436" s="56" t="s">
        <v>699</v>
      </c>
      <c r="C436" s="56" t="s">
        <v>640</v>
      </c>
      <c r="D436" s="56" t="s">
        <v>678</v>
      </c>
      <c r="E436" s="56" t="s">
        <v>679</v>
      </c>
      <c r="F436" s="57" t="s">
        <v>34</v>
      </c>
      <c r="G436" s="61"/>
      <c r="H436" s="61" t="s">
        <v>197</v>
      </c>
      <c r="I436" s="62"/>
      <c r="J436" s="53"/>
    </row>
    <row r="437" ht="24.75" hidden="1" customHeight="1">
      <c r="A437" s="54" t="s">
        <v>658</v>
      </c>
      <c r="B437" s="56" t="s">
        <v>699</v>
      </c>
      <c r="C437" s="56" t="s">
        <v>640</v>
      </c>
      <c r="D437" s="56" t="s">
        <v>678</v>
      </c>
      <c r="E437" s="56" t="s">
        <v>680</v>
      </c>
      <c r="F437" s="57" t="s">
        <v>34</v>
      </c>
      <c r="G437" s="61"/>
      <c r="H437" s="79"/>
      <c r="I437" s="62"/>
      <c r="J437" s="53"/>
    </row>
    <row r="438" ht="24.75" hidden="1" customHeight="1">
      <c r="A438" s="54" t="s">
        <v>658</v>
      </c>
      <c r="B438" s="56" t="s">
        <v>699</v>
      </c>
      <c r="C438" s="56" t="s">
        <v>640</v>
      </c>
      <c r="D438" s="56" t="s">
        <v>678</v>
      </c>
      <c r="E438" s="56" t="s">
        <v>682</v>
      </c>
      <c r="F438" s="57" t="s">
        <v>34</v>
      </c>
      <c r="G438" s="61"/>
      <c r="H438" s="79"/>
      <c r="I438" s="62"/>
      <c r="J438" s="53"/>
    </row>
    <row r="439" ht="24.75" hidden="1" customHeight="1">
      <c r="A439" s="54" t="s">
        <v>658</v>
      </c>
      <c r="B439" s="56" t="s">
        <v>699</v>
      </c>
      <c r="C439" s="56" t="s">
        <v>640</v>
      </c>
      <c r="D439" s="56" t="s">
        <v>678</v>
      </c>
      <c r="E439" s="56" t="s">
        <v>683</v>
      </c>
      <c r="F439" s="57" t="s">
        <v>34</v>
      </c>
      <c r="G439" s="61"/>
      <c r="H439" s="79"/>
      <c r="I439" s="62"/>
      <c r="J439" s="53"/>
    </row>
    <row r="440" ht="24.75" customHeight="1">
      <c r="A440" s="54" t="s">
        <v>658</v>
      </c>
      <c r="B440" s="56" t="s">
        <v>699</v>
      </c>
      <c r="C440" s="56" t="s">
        <v>640</v>
      </c>
      <c r="D440" s="56" t="s">
        <v>678</v>
      </c>
      <c r="E440" s="56" t="s">
        <v>684</v>
      </c>
      <c r="F440" s="57" t="s">
        <v>250</v>
      </c>
      <c r="G440" s="61"/>
      <c r="H440" s="61" t="s">
        <v>686</v>
      </c>
      <c r="I440" s="62" t="s">
        <v>687</v>
      </c>
      <c r="J440" s="53"/>
    </row>
    <row r="441" ht="24.75" customHeight="1">
      <c r="A441" s="54" t="s">
        <v>658</v>
      </c>
      <c r="B441" s="56" t="s">
        <v>699</v>
      </c>
      <c r="C441" s="56" t="s">
        <v>640</v>
      </c>
      <c r="D441" s="56" t="s">
        <v>678</v>
      </c>
      <c r="E441" s="56" t="s">
        <v>695</v>
      </c>
      <c r="F441" s="57" t="s">
        <v>250</v>
      </c>
      <c r="G441" s="61"/>
      <c r="H441" s="61" t="s">
        <v>346</v>
      </c>
      <c r="I441" s="62" t="s">
        <v>696</v>
      </c>
      <c r="J441" s="53"/>
    </row>
    <row r="442" ht="24.75" customHeight="1">
      <c r="A442" s="54" t="s">
        <v>658</v>
      </c>
      <c r="B442" s="56" t="s">
        <v>699</v>
      </c>
      <c r="C442" s="56" t="s">
        <v>640</v>
      </c>
      <c r="D442" s="56" t="s">
        <v>678</v>
      </c>
      <c r="E442" s="56" t="s">
        <v>685</v>
      </c>
      <c r="F442" s="57" t="s">
        <v>250</v>
      </c>
      <c r="G442" s="61"/>
      <c r="H442" s="61" t="s">
        <v>200</v>
      </c>
      <c r="I442" s="62" t="s">
        <v>689</v>
      </c>
      <c r="J442" s="53"/>
    </row>
    <row r="443" ht="24.75" hidden="1" customHeight="1">
      <c r="A443" s="54" t="s">
        <v>658</v>
      </c>
      <c r="B443" s="56" t="s">
        <v>700</v>
      </c>
      <c r="C443" s="56" t="s">
        <v>645</v>
      </c>
      <c r="D443" s="56" t="s">
        <v>660</v>
      </c>
      <c r="E443" s="56" t="s">
        <v>661</v>
      </c>
      <c r="F443" s="57" t="s">
        <v>34</v>
      </c>
      <c r="G443" s="61"/>
      <c r="H443" s="79"/>
      <c r="I443" s="62"/>
      <c r="J443" s="53"/>
    </row>
    <row r="444" ht="24.75" hidden="1" customHeight="1">
      <c r="A444" s="54" t="s">
        <v>658</v>
      </c>
      <c r="B444" s="56" t="s">
        <v>700</v>
      </c>
      <c r="C444" s="56" t="s">
        <v>645</v>
      </c>
      <c r="D444" s="56" t="s">
        <v>660</v>
      </c>
      <c r="E444" s="56" t="s">
        <v>662</v>
      </c>
      <c r="F444" s="57" t="s">
        <v>34</v>
      </c>
      <c r="G444" s="61"/>
      <c r="H444" s="61"/>
      <c r="I444" s="62"/>
      <c r="J444" s="53"/>
    </row>
    <row r="445" ht="24.75" hidden="1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663</v>
      </c>
      <c r="F445" s="57" t="s">
        <v>34</v>
      </c>
      <c r="G445" s="61"/>
      <c r="H445" s="61"/>
      <c r="I445" s="62"/>
      <c r="J445" s="53"/>
    </row>
    <row r="446" ht="24.75" hidden="1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664</v>
      </c>
      <c r="F446" s="57" t="s">
        <v>34</v>
      </c>
      <c r="G446" s="61"/>
      <c r="H446" s="79"/>
      <c r="I446" s="62"/>
      <c r="J446" s="53"/>
    </row>
    <row r="447" ht="24.75" hidden="1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665</v>
      </c>
      <c r="F447" s="57" t="s">
        <v>34</v>
      </c>
      <c r="G447" s="61"/>
      <c r="H447" s="79"/>
      <c r="I447" s="62"/>
      <c r="J447" s="53"/>
    </row>
    <row r="448" ht="24.75" hidden="1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614</v>
      </c>
      <c r="F448" s="57" t="s">
        <v>34</v>
      </c>
      <c r="G448" s="61"/>
      <c r="H448" s="79"/>
      <c r="I448" s="62"/>
      <c r="J448" s="53"/>
    </row>
    <row r="449" ht="24.75" hidden="1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666</v>
      </c>
      <c r="F449" s="57" t="s">
        <v>34</v>
      </c>
      <c r="G449" s="61"/>
      <c r="H449" s="79"/>
      <c r="I449" s="62"/>
      <c r="J449" s="53"/>
    </row>
    <row r="450" ht="24.75" hidden="1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667</v>
      </c>
      <c r="F450" s="57" t="s">
        <v>34</v>
      </c>
      <c r="G450" s="61"/>
      <c r="H450" s="61"/>
      <c r="I450" s="62"/>
      <c r="J450" s="53"/>
    </row>
    <row r="451" ht="24.75" hidden="1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668</v>
      </c>
      <c r="F451" s="57" t="s">
        <v>154</v>
      </c>
      <c r="G451" s="61"/>
      <c r="H451" s="61"/>
      <c r="I451" s="62" t="s">
        <v>617</v>
      </c>
      <c r="J451" s="53"/>
    </row>
    <row r="452" ht="24.75" hidden="1" customHeight="1">
      <c r="A452" s="54" t="s">
        <v>658</v>
      </c>
      <c r="B452" s="56" t="s">
        <v>700</v>
      </c>
      <c r="C452" s="56" t="s">
        <v>645</v>
      </c>
      <c r="D452" s="56" t="s">
        <v>660</v>
      </c>
      <c r="E452" s="56" t="s">
        <v>669</v>
      </c>
      <c r="F452" s="57" t="s">
        <v>154</v>
      </c>
      <c r="G452" s="61"/>
      <c r="H452" s="61"/>
      <c r="I452" s="62" t="s">
        <v>617</v>
      </c>
      <c r="J452" s="53"/>
    </row>
    <row r="453" ht="24.75" hidden="1" customHeight="1">
      <c r="A453" s="54" t="s">
        <v>658</v>
      </c>
      <c r="B453" s="56" t="s">
        <v>700</v>
      </c>
      <c r="C453" s="56" t="s">
        <v>645</v>
      </c>
      <c r="D453" s="56" t="s">
        <v>660</v>
      </c>
      <c r="E453" s="56" t="s">
        <v>680</v>
      </c>
      <c r="F453" s="57" t="s">
        <v>154</v>
      </c>
      <c r="G453" s="61"/>
      <c r="H453" s="61"/>
      <c r="I453" s="62" t="s">
        <v>617</v>
      </c>
      <c r="J453" s="53"/>
    </row>
    <row r="454" ht="24.75" hidden="1" customHeight="1">
      <c r="A454" s="54" t="s">
        <v>658</v>
      </c>
      <c r="B454" s="56" t="s">
        <v>700</v>
      </c>
      <c r="C454" s="56" t="s">
        <v>645</v>
      </c>
      <c r="D454" s="56" t="s">
        <v>660</v>
      </c>
      <c r="E454" s="56" t="s">
        <v>671</v>
      </c>
      <c r="F454" s="57" t="s">
        <v>154</v>
      </c>
      <c r="G454" s="61"/>
      <c r="H454" s="79"/>
      <c r="I454" s="62" t="s">
        <v>617</v>
      </c>
      <c r="J454" s="53"/>
    </row>
    <row r="455" ht="24.75" hidden="1" customHeight="1">
      <c r="A455" s="54" t="s">
        <v>658</v>
      </c>
      <c r="B455" s="56" t="s">
        <v>700</v>
      </c>
      <c r="C455" s="56" t="s">
        <v>645</v>
      </c>
      <c r="D455" s="56" t="s">
        <v>660</v>
      </c>
      <c r="E455" s="56" t="s">
        <v>672</v>
      </c>
      <c r="F455" s="57" t="s">
        <v>154</v>
      </c>
      <c r="G455" s="61"/>
      <c r="H455" s="79"/>
      <c r="I455" s="62" t="s">
        <v>617</v>
      </c>
      <c r="J455" s="53"/>
    </row>
    <row r="456" ht="24.75" hidden="1" customHeight="1">
      <c r="A456" s="54" t="s">
        <v>658</v>
      </c>
      <c r="B456" s="56" t="s">
        <v>700</v>
      </c>
      <c r="C456" s="56" t="s">
        <v>645</v>
      </c>
      <c r="D456" s="56" t="s">
        <v>660</v>
      </c>
      <c r="E456" s="56" t="s">
        <v>673</v>
      </c>
      <c r="F456" s="57" t="s">
        <v>154</v>
      </c>
      <c r="G456" s="61"/>
      <c r="H456" s="79"/>
      <c r="I456" s="62" t="s">
        <v>617</v>
      </c>
      <c r="J456" s="53"/>
    </row>
    <row r="457" ht="24.75" hidden="1" customHeight="1">
      <c r="A457" s="54" t="s">
        <v>658</v>
      </c>
      <c r="B457" s="56" t="s">
        <v>703</v>
      </c>
      <c r="C457" s="56" t="s">
        <v>645</v>
      </c>
      <c r="D457" s="56" t="s">
        <v>675</v>
      </c>
      <c r="E457" s="56" t="s">
        <v>676</v>
      </c>
      <c r="F457" s="57" t="s">
        <v>34</v>
      </c>
      <c r="G457" s="61"/>
      <c r="H457" s="79"/>
      <c r="I457" s="62"/>
      <c r="J457" s="53"/>
    </row>
    <row r="458" ht="24.75" hidden="1" customHeight="1">
      <c r="A458" s="54" t="s">
        <v>658</v>
      </c>
      <c r="B458" s="56" t="s">
        <v>704</v>
      </c>
      <c r="C458" s="56" t="s">
        <v>645</v>
      </c>
      <c r="D458" s="56" t="s">
        <v>678</v>
      </c>
      <c r="E458" s="56" t="s">
        <v>679</v>
      </c>
      <c r="F458" s="57" t="s">
        <v>34</v>
      </c>
      <c r="G458" s="61"/>
      <c r="H458" s="61" t="s">
        <v>197</v>
      </c>
      <c r="I458" s="62"/>
      <c r="J458" s="53"/>
    </row>
    <row r="459" ht="24.75" hidden="1" customHeight="1">
      <c r="A459" s="54" t="s">
        <v>658</v>
      </c>
      <c r="B459" s="56" t="s">
        <v>704</v>
      </c>
      <c r="C459" s="56" t="s">
        <v>645</v>
      </c>
      <c r="D459" s="56" t="s">
        <v>678</v>
      </c>
      <c r="E459" s="56" t="s">
        <v>680</v>
      </c>
      <c r="F459" s="57" t="s">
        <v>34</v>
      </c>
      <c r="G459" s="61"/>
      <c r="H459" s="79"/>
      <c r="I459" s="62"/>
      <c r="J459" s="53"/>
    </row>
    <row r="460" ht="24.75" hidden="1" customHeight="1">
      <c r="A460" s="54" t="s">
        <v>658</v>
      </c>
      <c r="B460" s="56" t="s">
        <v>704</v>
      </c>
      <c r="C460" s="56" t="s">
        <v>645</v>
      </c>
      <c r="D460" s="56" t="s">
        <v>678</v>
      </c>
      <c r="E460" s="56" t="s">
        <v>682</v>
      </c>
      <c r="F460" s="57" t="s">
        <v>34</v>
      </c>
      <c r="G460" s="61"/>
      <c r="H460" s="79"/>
      <c r="I460" s="62"/>
      <c r="J460" s="53"/>
    </row>
    <row r="461" ht="24.75" hidden="1" customHeight="1">
      <c r="A461" s="54" t="s">
        <v>658</v>
      </c>
      <c r="B461" s="56" t="s">
        <v>704</v>
      </c>
      <c r="C461" s="56" t="s">
        <v>645</v>
      </c>
      <c r="D461" s="56" t="s">
        <v>678</v>
      </c>
      <c r="E461" s="56" t="s">
        <v>683</v>
      </c>
      <c r="F461" s="57" t="s">
        <v>34</v>
      </c>
      <c r="G461" s="61"/>
      <c r="H461" s="79"/>
      <c r="I461" s="62"/>
      <c r="J461" s="53"/>
    </row>
    <row r="462" ht="24.75" customHeight="1">
      <c r="A462" s="54" t="s">
        <v>658</v>
      </c>
      <c r="B462" s="56" t="s">
        <v>704</v>
      </c>
      <c r="C462" s="56" t="s">
        <v>645</v>
      </c>
      <c r="D462" s="56" t="s">
        <v>678</v>
      </c>
      <c r="E462" s="56" t="s">
        <v>684</v>
      </c>
      <c r="F462" s="57" t="s">
        <v>250</v>
      </c>
      <c r="G462" s="61"/>
      <c r="H462" s="61" t="s">
        <v>686</v>
      </c>
      <c r="I462" s="62" t="s">
        <v>687</v>
      </c>
      <c r="J462" s="53"/>
    </row>
    <row r="463" ht="24.75" customHeight="1">
      <c r="A463" s="54" t="s">
        <v>658</v>
      </c>
      <c r="B463" s="56" t="s">
        <v>704</v>
      </c>
      <c r="C463" s="56" t="s">
        <v>645</v>
      </c>
      <c r="D463" s="56" t="s">
        <v>678</v>
      </c>
      <c r="E463" s="56" t="s">
        <v>695</v>
      </c>
      <c r="F463" s="57" t="s">
        <v>250</v>
      </c>
      <c r="G463" s="61"/>
      <c r="H463" s="61" t="s">
        <v>346</v>
      </c>
      <c r="I463" s="62" t="s">
        <v>696</v>
      </c>
      <c r="J463" s="53"/>
    </row>
    <row r="464" ht="24.75" customHeight="1">
      <c r="A464" s="54" t="s">
        <v>658</v>
      </c>
      <c r="B464" s="56" t="s">
        <v>704</v>
      </c>
      <c r="C464" s="56" t="s">
        <v>645</v>
      </c>
      <c r="D464" s="56" t="s">
        <v>678</v>
      </c>
      <c r="E464" s="56" t="s">
        <v>685</v>
      </c>
      <c r="F464" s="57" t="s">
        <v>250</v>
      </c>
      <c r="G464" s="61"/>
      <c r="H464" s="61" t="s">
        <v>200</v>
      </c>
      <c r="I464" s="62" t="s">
        <v>689</v>
      </c>
      <c r="J464" s="53"/>
    </row>
    <row r="465" ht="24.75" hidden="1" customHeight="1">
      <c r="A465" s="54" t="s">
        <v>658</v>
      </c>
      <c r="B465" s="56" t="s">
        <v>705</v>
      </c>
      <c r="C465" s="56" t="s">
        <v>606</v>
      </c>
      <c r="D465" s="56" t="s">
        <v>660</v>
      </c>
      <c r="E465" s="56" t="s">
        <v>661</v>
      </c>
      <c r="F465" s="57" t="s">
        <v>34</v>
      </c>
      <c r="G465" s="61"/>
      <c r="H465" s="79"/>
      <c r="I465" s="62"/>
      <c r="J465" s="53"/>
    </row>
    <row r="466" ht="24.75" hidden="1" customHeight="1">
      <c r="A466" s="54" t="s">
        <v>658</v>
      </c>
      <c r="B466" s="56" t="s">
        <v>705</v>
      </c>
      <c r="C466" s="56" t="s">
        <v>606</v>
      </c>
      <c r="D466" s="56" t="s">
        <v>660</v>
      </c>
      <c r="E466" s="56" t="s">
        <v>662</v>
      </c>
      <c r="F466" s="57" t="s">
        <v>34</v>
      </c>
      <c r="G466" s="61"/>
      <c r="H466" s="61"/>
      <c r="I466" s="62"/>
      <c r="J466" s="53"/>
    </row>
    <row r="467" ht="24.75" hidden="1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663</v>
      </c>
      <c r="F467" s="57" t="s">
        <v>34</v>
      </c>
      <c r="G467" s="61"/>
      <c r="H467" s="61"/>
      <c r="I467" s="62"/>
      <c r="J467" s="53"/>
    </row>
    <row r="468" ht="24.75" hidden="1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664</v>
      </c>
      <c r="F468" s="57" t="s">
        <v>34</v>
      </c>
      <c r="G468" s="61"/>
      <c r="H468" s="79"/>
      <c r="I468" s="62"/>
      <c r="J468" s="53"/>
    </row>
    <row r="469" ht="24.75" hidden="1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665</v>
      </c>
      <c r="F469" s="57" t="s">
        <v>34</v>
      </c>
      <c r="G469" s="61"/>
      <c r="H469" s="79"/>
      <c r="I469" s="103"/>
      <c r="J469" s="53"/>
    </row>
    <row r="470" ht="24.75" hidden="1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614</v>
      </c>
      <c r="F470" s="57" t="s">
        <v>34</v>
      </c>
      <c r="G470" s="61"/>
      <c r="H470" s="79"/>
      <c r="I470" s="62"/>
      <c r="J470" s="53"/>
    </row>
    <row r="471" ht="24.75" hidden="1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666</v>
      </c>
      <c r="F471" s="57" t="s">
        <v>34</v>
      </c>
      <c r="G471" s="61"/>
      <c r="H471" s="79"/>
      <c r="I471" s="62"/>
      <c r="J471" s="53"/>
    </row>
    <row r="472" ht="24.75" hidden="1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667</v>
      </c>
      <c r="F472" s="57" t="s">
        <v>34</v>
      </c>
      <c r="G472" s="61"/>
      <c r="H472" s="61"/>
      <c r="I472" s="62"/>
      <c r="J472" s="53"/>
    </row>
    <row r="473" ht="24.75" hidden="1" customHeight="1">
      <c r="A473" s="54" t="s">
        <v>658</v>
      </c>
      <c r="B473" s="56" t="s">
        <v>705</v>
      </c>
      <c r="C473" s="56" t="s">
        <v>606</v>
      </c>
      <c r="D473" s="56" t="s">
        <v>660</v>
      </c>
      <c r="E473" s="56" t="s">
        <v>668</v>
      </c>
      <c r="F473" s="57" t="s">
        <v>154</v>
      </c>
      <c r="G473" s="61"/>
      <c r="H473" s="61"/>
      <c r="I473" s="62" t="s">
        <v>617</v>
      </c>
      <c r="J473" s="53"/>
    </row>
    <row r="474" ht="24.75" hidden="1" customHeight="1">
      <c r="A474" s="54" t="s">
        <v>658</v>
      </c>
      <c r="B474" s="56" t="s">
        <v>705</v>
      </c>
      <c r="C474" s="56" t="s">
        <v>606</v>
      </c>
      <c r="D474" s="56" t="s">
        <v>660</v>
      </c>
      <c r="E474" s="56" t="s">
        <v>669</v>
      </c>
      <c r="F474" s="57" t="s">
        <v>154</v>
      </c>
      <c r="G474" s="61"/>
      <c r="H474" s="61"/>
      <c r="I474" s="62" t="s">
        <v>617</v>
      </c>
      <c r="J474" s="53"/>
    </row>
    <row r="475" ht="24.75" hidden="1" customHeight="1">
      <c r="A475" s="54" t="s">
        <v>658</v>
      </c>
      <c r="B475" s="56" t="s">
        <v>705</v>
      </c>
      <c r="C475" s="56" t="s">
        <v>606</v>
      </c>
      <c r="D475" s="56" t="s">
        <v>660</v>
      </c>
      <c r="E475" s="56" t="s">
        <v>671</v>
      </c>
      <c r="F475" s="57" t="s">
        <v>154</v>
      </c>
      <c r="G475" s="61"/>
      <c r="H475" s="61"/>
      <c r="I475" s="62" t="s">
        <v>617</v>
      </c>
      <c r="J475" s="53"/>
    </row>
    <row r="476" ht="24.75" hidden="1" customHeight="1">
      <c r="A476" s="54" t="s">
        <v>658</v>
      </c>
      <c r="B476" s="56" t="s">
        <v>705</v>
      </c>
      <c r="C476" s="56" t="s">
        <v>606</v>
      </c>
      <c r="D476" s="56" t="s">
        <v>660</v>
      </c>
      <c r="E476" s="56" t="s">
        <v>672</v>
      </c>
      <c r="F476" s="57" t="s">
        <v>154</v>
      </c>
      <c r="G476" s="61"/>
      <c r="H476" s="61"/>
      <c r="I476" s="62" t="s">
        <v>617</v>
      </c>
      <c r="J476" s="53"/>
    </row>
    <row r="477" ht="24.75" hidden="1" customHeight="1">
      <c r="A477" s="54" t="s">
        <v>658</v>
      </c>
      <c r="B477" s="56" t="s">
        <v>705</v>
      </c>
      <c r="C477" s="56" t="s">
        <v>606</v>
      </c>
      <c r="D477" s="56" t="s">
        <v>660</v>
      </c>
      <c r="E477" s="56" t="s">
        <v>673</v>
      </c>
      <c r="F477" s="57" t="s">
        <v>154</v>
      </c>
      <c r="G477" s="61"/>
      <c r="H477" s="79"/>
      <c r="I477" s="62" t="s">
        <v>617</v>
      </c>
      <c r="J477" s="53"/>
    </row>
    <row r="478" ht="24.75" hidden="1" customHeight="1">
      <c r="A478" s="54" t="s">
        <v>658</v>
      </c>
      <c r="B478" s="56" t="s">
        <v>714</v>
      </c>
      <c r="C478" s="56" t="s">
        <v>606</v>
      </c>
      <c r="D478" s="56" t="s">
        <v>675</v>
      </c>
      <c r="E478" s="56" t="s">
        <v>676</v>
      </c>
      <c r="F478" s="57" t="s">
        <v>34</v>
      </c>
      <c r="G478" s="61"/>
      <c r="H478" s="79"/>
      <c r="I478" s="62"/>
      <c r="J478" s="53"/>
    </row>
    <row r="479" ht="24.75" hidden="1" customHeight="1">
      <c r="A479" s="54" t="s">
        <v>658</v>
      </c>
      <c r="B479" s="56" t="s">
        <v>715</v>
      </c>
      <c r="C479" s="56" t="s">
        <v>606</v>
      </c>
      <c r="D479" s="56" t="s">
        <v>716</v>
      </c>
      <c r="E479" s="56" t="s">
        <v>679</v>
      </c>
      <c r="F479" s="57" t="s">
        <v>34</v>
      </c>
      <c r="G479" s="61"/>
      <c r="H479" s="61" t="s">
        <v>197</v>
      </c>
      <c r="I479" s="62"/>
      <c r="J479" s="53"/>
    </row>
    <row r="480" ht="24.75" hidden="1" customHeight="1">
      <c r="A480" s="54" t="s">
        <v>658</v>
      </c>
      <c r="B480" s="56" t="s">
        <v>715</v>
      </c>
      <c r="C480" s="56" t="s">
        <v>606</v>
      </c>
      <c r="D480" s="56" t="s">
        <v>678</v>
      </c>
      <c r="E480" s="56" t="s">
        <v>680</v>
      </c>
      <c r="F480" s="57" t="s">
        <v>34</v>
      </c>
      <c r="G480" s="61"/>
      <c r="H480" s="79"/>
      <c r="I480" s="62"/>
      <c r="J480" s="53"/>
    </row>
    <row r="481" ht="24.75" hidden="1" customHeight="1">
      <c r="A481" s="54" t="s">
        <v>658</v>
      </c>
      <c r="B481" s="56" t="s">
        <v>715</v>
      </c>
      <c r="C481" s="56" t="s">
        <v>606</v>
      </c>
      <c r="D481" s="56" t="s">
        <v>716</v>
      </c>
      <c r="E481" s="56" t="s">
        <v>682</v>
      </c>
      <c r="F481" s="57" t="s">
        <v>34</v>
      </c>
      <c r="G481" s="61"/>
      <c r="H481" s="79"/>
      <c r="I481" s="62"/>
      <c r="J481" s="53"/>
    </row>
    <row r="482" ht="24.75" hidden="1" customHeight="1">
      <c r="A482" s="54" t="s">
        <v>658</v>
      </c>
      <c r="B482" s="56" t="s">
        <v>715</v>
      </c>
      <c r="C482" s="56" t="s">
        <v>606</v>
      </c>
      <c r="D482" s="56" t="s">
        <v>716</v>
      </c>
      <c r="E482" s="56" t="s">
        <v>683</v>
      </c>
      <c r="F482" s="57" t="s">
        <v>34</v>
      </c>
      <c r="G482" s="61"/>
      <c r="H482" s="79"/>
      <c r="I482" s="62"/>
      <c r="J482" s="53"/>
    </row>
    <row r="483" ht="24.75" customHeight="1">
      <c r="A483" s="54" t="s">
        <v>658</v>
      </c>
      <c r="B483" s="56" t="s">
        <v>715</v>
      </c>
      <c r="C483" s="56" t="s">
        <v>606</v>
      </c>
      <c r="D483" s="56" t="s">
        <v>716</v>
      </c>
      <c r="E483" s="56" t="s">
        <v>684</v>
      </c>
      <c r="F483" s="57" t="s">
        <v>250</v>
      </c>
      <c r="G483" s="61"/>
      <c r="H483" s="61" t="s">
        <v>686</v>
      </c>
      <c r="I483" s="62" t="s">
        <v>687</v>
      </c>
      <c r="J483" s="53"/>
    </row>
    <row r="484" ht="24.75" customHeight="1">
      <c r="A484" s="54" t="s">
        <v>658</v>
      </c>
      <c r="B484" s="56" t="s">
        <v>715</v>
      </c>
      <c r="C484" s="56" t="s">
        <v>606</v>
      </c>
      <c r="D484" s="56" t="s">
        <v>716</v>
      </c>
      <c r="E484" s="56" t="s">
        <v>695</v>
      </c>
      <c r="F484" s="57" t="s">
        <v>250</v>
      </c>
      <c r="G484" s="61"/>
      <c r="H484" s="61" t="s">
        <v>346</v>
      </c>
      <c r="I484" s="62" t="s">
        <v>696</v>
      </c>
      <c r="J484" s="53"/>
    </row>
    <row r="485" ht="24.75" customHeight="1">
      <c r="A485" s="54" t="s">
        <v>658</v>
      </c>
      <c r="B485" s="56" t="s">
        <v>715</v>
      </c>
      <c r="C485" s="56" t="s">
        <v>606</v>
      </c>
      <c r="D485" s="56" t="s">
        <v>716</v>
      </c>
      <c r="E485" s="56" t="s">
        <v>685</v>
      </c>
      <c r="F485" s="57" t="s">
        <v>250</v>
      </c>
      <c r="G485" s="61"/>
      <c r="H485" s="61" t="s">
        <v>200</v>
      </c>
      <c r="I485" s="62" t="s">
        <v>689</v>
      </c>
      <c r="J485" s="53"/>
    </row>
    <row r="486" ht="24.75" hidden="1" customHeight="1">
      <c r="A486" s="54" t="s">
        <v>658</v>
      </c>
      <c r="B486" s="56" t="s">
        <v>717</v>
      </c>
      <c r="C486" s="56" t="s">
        <v>718</v>
      </c>
      <c r="D486" s="56" t="s">
        <v>719</v>
      </c>
      <c r="E486" s="56" t="s">
        <v>239</v>
      </c>
      <c r="F486" s="57" t="s">
        <v>154</v>
      </c>
      <c r="G486" s="61"/>
      <c r="H486" s="79"/>
      <c r="I486" s="62" t="s">
        <v>207</v>
      </c>
      <c r="J486" s="53"/>
    </row>
    <row r="487" ht="24.75" hidden="1" customHeight="1">
      <c r="A487" s="54" t="s">
        <v>658</v>
      </c>
      <c r="B487" s="56" t="s">
        <v>720</v>
      </c>
      <c r="C487" s="56" t="s">
        <v>718</v>
      </c>
      <c r="D487" s="56" t="s">
        <v>721</v>
      </c>
      <c r="E487" s="56" t="s">
        <v>722</v>
      </c>
      <c r="F487" s="57" t="s">
        <v>154</v>
      </c>
      <c r="G487" s="61"/>
      <c r="H487" s="79"/>
      <c r="I487" s="62"/>
      <c r="J487" s="53"/>
    </row>
    <row r="488" ht="24.75" hidden="1" customHeight="1">
      <c r="A488" s="54" t="s">
        <v>658</v>
      </c>
      <c r="B488" s="56" t="s">
        <v>720</v>
      </c>
      <c r="C488" s="56" t="s">
        <v>718</v>
      </c>
      <c r="D488" s="56" t="s">
        <v>721</v>
      </c>
      <c r="E488" s="56" t="s">
        <v>723</v>
      </c>
      <c r="F488" s="57" t="s">
        <v>154</v>
      </c>
      <c r="G488" s="61"/>
      <c r="H488" s="79"/>
      <c r="I488" s="62"/>
      <c r="J488" s="53"/>
    </row>
    <row r="489" ht="24.75" hidden="1" customHeight="1">
      <c r="A489" s="54" t="s">
        <v>658</v>
      </c>
      <c r="B489" s="56" t="s">
        <v>724</v>
      </c>
      <c r="C489" s="56" t="s">
        <v>718</v>
      </c>
      <c r="D489" s="56" t="s">
        <v>725</v>
      </c>
      <c r="E489" s="56" t="s">
        <v>239</v>
      </c>
      <c r="F489" s="57" t="s">
        <v>154</v>
      </c>
      <c r="G489" s="61"/>
      <c r="H489" s="79"/>
      <c r="I489" s="62" t="s">
        <v>207</v>
      </c>
      <c r="J489" s="53"/>
    </row>
    <row r="490" ht="24.75" hidden="1" customHeight="1">
      <c r="A490" s="54" t="s">
        <v>658</v>
      </c>
      <c r="B490" s="56" t="s">
        <v>720</v>
      </c>
      <c r="C490" s="56" t="s">
        <v>718</v>
      </c>
      <c r="D490" s="56" t="s">
        <v>728</v>
      </c>
      <c r="E490" s="56" t="s">
        <v>722</v>
      </c>
      <c r="F490" s="57" t="s">
        <v>154</v>
      </c>
      <c r="G490" s="61"/>
      <c r="H490" s="79"/>
      <c r="I490" s="62"/>
      <c r="J490" s="53"/>
    </row>
    <row r="491" ht="24.75" hidden="1" customHeight="1">
      <c r="A491" s="54" t="s">
        <v>658</v>
      </c>
      <c r="B491" s="56" t="s">
        <v>720</v>
      </c>
      <c r="C491" s="56" t="s">
        <v>718</v>
      </c>
      <c r="D491" s="56" t="s">
        <v>728</v>
      </c>
      <c r="E491" s="56" t="s">
        <v>723</v>
      </c>
      <c r="F491" s="57" t="s">
        <v>154</v>
      </c>
      <c r="G491" s="61"/>
      <c r="H491" s="79"/>
      <c r="I491" s="62"/>
      <c r="J491" s="53"/>
    </row>
    <row r="492" ht="24.75" hidden="1" customHeight="1">
      <c r="A492" s="54" t="s">
        <v>729</v>
      </c>
      <c r="B492" s="56" t="s">
        <v>730</v>
      </c>
      <c r="C492" s="56" t="s">
        <v>731</v>
      </c>
      <c r="D492" s="56" t="s">
        <v>732</v>
      </c>
      <c r="E492" s="56" t="s">
        <v>167</v>
      </c>
      <c r="F492" s="57" t="s">
        <v>154</v>
      </c>
      <c r="G492" s="61"/>
      <c r="H492" s="61"/>
      <c r="I492" s="62"/>
      <c r="J492" s="53"/>
    </row>
    <row r="493" ht="24.75" hidden="1" customHeight="1">
      <c r="A493" s="54" t="s">
        <v>729</v>
      </c>
      <c r="B493" s="56" t="s">
        <v>730</v>
      </c>
      <c r="C493" s="56" t="s">
        <v>731</v>
      </c>
      <c r="D493" s="56" t="s">
        <v>732</v>
      </c>
      <c r="E493" s="56" t="s">
        <v>733</v>
      </c>
      <c r="F493" s="57" t="s">
        <v>154</v>
      </c>
      <c r="G493" s="61"/>
      <c r="H493" s="61"/>
      <c r="I493" s="62"/>
      <c r="J493" s="53"/>
    </row>
    <row r="494" ht="24.75" hidden="1" customHeight="1">
      <c r="A494" s="54" t="s">
        <v>729</v>
      </c>
      <c r="B494" s="56" t="s">
        <v>730</v>
      </c>
      <c r="C494" s="56" t="s">
        <v>731</v>
      </c>
      <c r="D494" s="56" t="s">
        <v>732</v>
      </c>
      <c r="E494" s="56" t="s">
        <v>176</v>
      </c>
      <c r="F494" s="57" t="s">
        <v>154</v>
      </c>
      <c r="G494" s="61"/>
      <c r="H494" s="61"/>
      <c r="I494" s="62"/>
      <c r="J494" s="53"/>
    </row>
    <row r="495" ht="24.75" hidden="1" customHeight="1">
      <c r="A495" s="54" t="s">
        <v>729</v>
      </c>
      <c r="B495" s="56" t="s">
        <v>734</v>
      </c>
      <c r="C495" s="56" t="s">
        <v>731</v>
      </c>
      <c r="D495" s="56" t="s">
        <v>735</v>
      </c>
      <c r="E495" s="56" t="s">
        <v>167</v>
      </c>
      <c r="F495" s="57" t="s">
        <v>154</v>
      </c>
      <c r="G495" s="61"/>
      <c r="H495" s="61"/>
      <c r="I495" s="62"/>
      <c r="J495" s="53"/>
    </row>
    <row r="496" ht="24.75" hidden="1" customHeight="1">
      <c r="A496" s="54" t="s">
        <v>729</v>
      </c>
      <c r="B496" s="56" t="s">
        <v>734</v>
      </c>
      <c r="C496" s="56" t="s">
        <v>731</v>
      </c>
      <c r="D496" s="56" t="s">
        <v>735</v>
      </c>
      <c r="E496" s="56" t="s">
        <v>733</v>
      </c>
      <c r="F496" s="57" t="s">
        <v>154</v>
      </c>
      <c r="G496" s="61"/>
      <c r="H496" s="61"/>
      <c r="I496" s="62"/>
      <c r="J496" s="53"/>
    </row>
    <row r="497" ht="24.75" hidden="1" customHeight="1">
      <c r="A497" s="54" t="s">
        <v>729</v>
      </c>
      <c r="B497" s="56" t="s">
        <v>734</v>
      </c>
      <c r="C497" s="56" t="s">
        <v>731</v>
      </c>
      <c r="D497" s="56" t="s">
        <v>735</v>
      </c>
      <c r="E497" s="56" t="s">
        <v>176</v>
      </c>
      <c r="F497" s="57" t="s">
        <v>154</v>
      </c>
      <c r="G497" s="61"/>
      <c r="H497" s="61"/>
      <c r="I497" s="62"/>
      <c r="J497" s="53"/>
    </row>
    <row r="498" ht="24.75" hidden="1" customHeight="1">
      <c r="A498" s="54" t="s">
        <v>729</v>
      </c>
      <c r="B498" s="56" t="s">
        <v>736</v>
      </c>
      <c r="C498" s="56" t="s">
        <v>731</v>
      </c>
      <c r="D498" s="56" t="s">
        <v>737</v>
      </c>
      <c r="E498" s="56" t="s">
        <v>167</v>
      </c>
      <c r="F498" s="57" t="s">
        <v>154</v>
      </c>
      <c r="G498" s="61"/>
      <c r="H498" s="61"/>
      <c r="I498" s="62"/>
      <c r="J498" s="53"/>
    </row>
    <row r="499" ht="24.75" hidden="1" customHeight="1">
      <c r="A499" s="54" t="s">
        <v>729</v>
      </c>
      <c r="B499" s="56" t="s">
        <v>736</v>
      </c>
      <c r="C499" s="56" t="s">
        <v>731</v>
      </c>
      <c r="D499" s="56" t="s">
        <v>737</v>
      </c>
      <c r="E499" s="56" t="s">
        <v>733</v>
      </c>
      <c r="F499" s="57" t="s">
        <v>154</v>
      </c>
      <c r="G499" s="61"/>
      <c r="H499" s="61"/>
      <c r="I499" s="62"/>
      <c r="J499" s="53"/>
    </row>
    <row r="500" ht="24.75" hidden="1" customHeight="1">
      <c r="A500" s="54" t="s">
        <v>729</v>
      </c>
      <c r="B500" s="56" t="s">
        <v>736</v>
      </c>
      <c r="C500" s="56" t="s">
        <v>731</v>
      </c>
      <c r="D500" s="56" t="s">
        <v>737</v>
      </c>
      <c r="E500" s="56" t="s">
        <v>176</v>
      </c>
      <c r="F500" s="57" t="s">
        <v>154</v>
      </c>
      <c r="G500" s="61"/>
      <c r="H500" s="61"/>
      <c r="I500" s="62"/>
      <c r="J500" s="53"/>
    </row>
    <row r="501" ht="24.75" hidden="1" customHeight="1">
      <c r="A501" s="54" t="s">
        <v>729</v>
      </c>
      <c r="B501" s="56" t="s">
        <v>738</v>
      </c>
      <c r="C501" s="56" t="s">
        <v>731</v>
      </c>
      <c r="D501" s="56" t="s">
        <v>175</v>
      </c>
      <c r="E501" s="56" t="s">
        <v>163</v>
      </c>
      <c r="F501" s="57" t="s">
        <v>154</v>
      </c>
      <c r="G501" s="61"/>
      <c r="H501" s="61"/>
      <c r="I501" s="62"/>
      <c r="J501" s="53"/>
    </row>
    <row r="502" ht="24.75" hidden="1" customHeight="1">
      <c r="A502" s="54" t="s">
        <v>729</v>
      </c>
      <c r="B502" s="56" t="s">
        <v>738</v>
      </c>
      <c r="C502" s="56" t="s">
        <v>731</v>
      </c>
      <c r="D502" s="56" t="s">
        <v>175</v>
      </c>
      <c r="E502" s="56" t="s">
        <v>176</v>
      </c>
      <c r="F502" s="57" t="s">
        <v>154</v>
      </c>
      <c r="G502" s="61"/>
      <c r="H502" s="61"/>
      <c r="I502" s="62"/>
      <c r="J502" s="53"/>
    </row>
    <row r="503" ht="24.75" hidden="1" customHeight="1">
      <c r="A503" s="54" t="s">
        <v>729</v>
      </c>
      <c r="B503" s="56" t="s">
        <v>739</v>
      </c>
      <c r="C503" s="56" t="s">
        <v>731</v>
      </c>
      <c r="D503" s="56" t="s">
        <v>186</v>
      </c>
      <c r="E503" s="56" t="s">
        <v>163</v>
      </c>
      <c r="F503" s="57" t="s">
        <v>154</v>
      </c>
      <c r="G503" s="61"/>
      <c r="H503" s="61"/>
      <c r="I503" s="62"/>
      <c r="J503" s="53"/>
    </row>
    <row r="504" ht="24.75" hidden="1" customHeight="1">
      <c r="A504" s="54" t="s">
        <v>729</v>
      </c>
      <c r="B504" s="56" t="s">
        <v>739</v>
      </c>
      <c r="C504" s="56" t="s">
        <v>731</v>
      </c>
      <c r="D504" s="56" t="s">
        <v>186</v>
      </c>
      <c r="E504" s="56" t="s">
        <v>176</v>
      </c>
      <c r="F504" s="57" t="s">
        <v>154</v>
      </c>
      <c r="G504" s="61"/>
      <c r="H504" s="61"/>
      <c r="I504" s="62"/>
      <c r="J504" s="53"/>
    </row>
    <row r="505" ht="24.75" hidden="1" customHeight="1">
      <c r="A505" s="54" t="s">
        <v>729</v>
      </c>
      <c r="B505" s="56" t="s">
        <v>740</v>
      </c>
      <c r="C505" s="56" t="s">
        <v>731</v>
      </c>
      <c r="D505" s="56" t="s">
        <v>183</v>
      </c>
      <c r="E505" s="56" t="s">
        <v>163</v>
      </c>
      <c r="F505" s="57" t="s">
        <v>154</v>
      </c>
      <c r="G505" s="61"/>
      <c r="H505" s="61"/>
      <c r="I505" s="62"/>
      <c r="J505" s="53"/>
    </row>
    <row r="506" ht="24.75" hidden="1" customHeight="1">
      <c r="A506" s="54" t="s">
        <v>729</v>
      </c>
      <c r="B506" s="56" t="s">
        <v>740</v>
      </c>
      <c r="C506" s="56" t="s">
        <v>731</v>
      </c>
      <c r="D506" s="56" t="s">
        <v>183</v>
      </c>
      <c r="E506" s="56" t="s">
        <v>176</v>
      </c>
      <c r="F506" s="57" t="s">
        <v>154</v>
      </c>
      <c r="G506" s="61"/>
      <c r="H506" s="61"/>
      <c r="I506" s="62"/>
      <c r="J506" s="53"/>
    </row>
    <row r="507" ht="24.75" hidden="1" customHeight="1">
      <c r="A507" s="54" t="s">
        <v>741</v>
      </c>
      <c r="B507" s="56" t="s">
        <v>742</v>
      </c>
      <c r="C507" s="56" t="s">
        <v>405</v>
      </c>
      <c r="D507" s="56" t="s">
        <v>743</v>
      </c>
      <c r="E507" s="56" t="s">
        <v>409</v>
      </c>
      <c r="F507" s="57" t="s">
        <v>154</v>
      </c>
      <c r="G507" s="61"/>
      <c r="H507" s="61"/>
      <c r="I507" s="62"/>
      <c r="J507" s="53"/>
    </row>
    <row r="508" ht="24.75" hidden="1" customHeight="1">
      <c r="A508" s="54" t="s">
        <v>741</v>
      </c>
      <c r="B508" s="56" t="s">
        <v>744</v>
      </c>
      <c r="C508" s="56" t="s">
        <v>745</v>
      </c>
      <c r="D508" s="56" t="s">
        <v>746</v>
      </c>
      <c r="E508" s="56" t="s">
        <v>747</v>
      </c>
      <c r="F508" s="57" t="s">
        <v>34</v>
      </c>
      <c r="G508" s="61"/>
      <c r="H508" s="61"/>
      <c r="I508" s="62"/>
      <c r="J508" s="53"/>
    </row>
    <row r="509" ht="24.75" hidden="1" customHeight="1">
      <c r="A509" s="54" t="s">
        <v>741</v>
      </c>
      <c r="B509" s="56" t="s">
        <v>744</v>
      </c>
      <c r="C509" s="56" t="s">
        <v>745</v>
      </c>
      <c r="D509" s="56" t="s">
        <v>746</v>
      </c>
      <c r="E509" s="56" t="s">
        <v>748</v>
      </c>
      <c r="F509" s="57" t="s">
        <v>154</v>
      </c>
      <c r="G509" s="61"/>
      <c r="H509" s="61"/>
      <c r="I509" s="62"/>
      <c r="J509" s="53"/>
    </row>
    <row r="510" ht="24.75" hidden="1" customHeight="1">
      <c r="A510" s="54" t="s">
        <v>741</v>
      </c>
      <c r="B510" s="56" t="s">
        <v>749</v>
      </c>
      <c r="C510" s="56" t="s">
        <v>745</v>
      </c>
      <c r="D510" s="56" t="s">
        <v>750</v>
      </c>
      <c r="E510" s="56" t="s">
        <v>747</v>
      </c>
      <c r="F510" s="57" t="s">
        <v>34</v>
      </c>
      <c r="G510" s="61"/>
      <c r="H510" s="61"/>
      <c r="I510" s="62" t="s">
        <v>617</v>
      </c>
      <c r="J510" s="53"/>
    </row>
    <row r="511" ht="24.75" hidden="1" customHeight="1">
      <c r="A511" s="54" t="s">
        <v>741</v>
      </c>
      <c r="B511" s="56" t="s">
        <v>749</v>
      </c>
      <c r="C511" s="56" t="s">
        <v>745</v>
      </c>
      <c r="D511" s="56" t="s">
        <v>750</v>
      </c>
      <c r="E511" s="56" t="s">
        <v>748</v>
      </c>
      <c r="F511" s="57" t="s">
        <v>154</v>
      </c>
      <c r="G511" s="61"/>
      <c r="H511" s="61"/>
      <c r="I511" s="62" t="s">
        <v>617</v>
      </c>
      <c r="J511" s="53"/>
    </row>
    <row r="512" ht="24.75" hidden="1" customHeight="1">
      <c r="A512" s="54" t="s">
        <v>741</v>
      </c>
      <c r="B512" s="56" t="s">
        <v>751</v>
      </c>
      <c r="C512" s="56" t="s">
        <v>610</v>
      </c>
      <c r="D512" s="56" t="s">
        <v>752</v>
      </c>
      <c r="E512" s="56" t="s">
        <v>753</v>
      </c>
      <c r="F512" s="57" t="s">
        <v>154</v>
      </c>
      <c r="G512" s="61"/>
      <c r="H512" s="61"/>
      <c r="I512" s="62" t="s">
        <v>617</v>
      </c>
      <c r="J512" s="53"/>
    </row>
    <row r="513" ht="24.75" hidden="1" customHeight="1">
      <c r="A513" s="54" t="s">
        <v>741</v>
      </c>
      <c r="B513" s="56" t="s">
        <v>751</v>
      </c>
      <c r="C513" s="56" t="s">
        <v>610</v>
      </c>
      <c r="D513" s="56" t="s">
        <v>752</v>
      </c>
      <c r="E513" s="56" t="s">
        <v>754</v>
      </c>
      <c r="F513" s="57" t="s">
        <v>154</v>
      </c>
      <c r="G513" s="61"/>
      <c r="H513" s="61"/>
      <c r="I513" s="62" t="s">
        <v>617</v>
      </c>
      <c r="J513" s="53"/>
    </row>
    <row r="514" ht="24.75" hidden="1" customHeight="1">
      <c r="A514" s="54" t="s">
        <v>741</v>
      </c>
      <c r="B514" s="56" t="s">
        <v>751</v>
      </c>
      <c r="C514" s="56" t="s">
        <v>610</v>
      </c>
      <c r="D514" s="56" t="s">
        <v>752</v>
      </c>
      <c r="E514" s="56" t="s">
        <v>755</v>
      </c>
      <c r="F514" s="57" t="s">
        <v>154</v>
      </c>
      <c r="G514" s="61"/>
      <c r="H514" s="61"/>
      <c r="I514" s="62" t="s">
        <v>617</v>
      </c>
      <c r="J514" s="53"/>
    </row>
    <row r="515" ht="24.75" hidden="1" customHeight="1">
      <c r="A515" s="54" t="s">
        <v>741</v>
      </c>
      <c r="B515" s="56" t="s">
        <v>756</v>
      </c>
      <c r="C515" s="56" t="s">
        <v>624</v>
      </c>
      <c r="D515" s="56" t="s">
        <v>752</v>
      </c>
      <c r="E515" s="56" t="s">
        <v>753</v>
      </c>
      <c r="F515" s="57" t="s">
        <v>154</v>
      </c>
      <c r="G515" s="61"/>
      <c r="H515" s="61"/>
      <c r="I515" s="62" t="s">
        <v>617</v>
      </c>
      <c r="J515" s="53"/>
    </row>
    <row r="516" ht="24.75" hidden="1" customHeight="1">
      <c r="A516" s="54" t="s">
        <v>741</v>
      </c>
      <c r="B516" s="56" t="s">
        <v>756</v>
      </c>
      <c r="C516" s="56" t="s">
        <v>624</v>
      </c>
      <c r="D516" s="56" t="s">
        <v>752</v>
      </c>
      <c r="E516" s="56" t="s">
        <v>754</v>
      </c>
      <c r="F516" s="57" t="s">
        <v>154</v>
      </c>
      <c r="G516" s="61"/>
      <c r="H516" s="61"/>
      <c r="I516" s="62" t="s">
        <v>617</v>
      </c>
      <c r="J516" s="53"/>
    </row>
    <row r="517" ht="24.75" hidden="1" customHeight="1">
      <c r="A517" s="54" t="s">
        <v>741</v>
      </c>
      <c r="B517" s="56" t="s">
        <v>756</v>
      </c>
      <c r="C517" s="56" t="s">
        <v>624</v>
      </c>
      <c r="D517" s="56" t="s">
        <v>752</v>
      </c>
      <c r="E517" s="56" t="s">
        <v>755</v>
      </c>
      <c r="F517" s="57" t="s">
        <v>154</v>
      </c>
      <c r="G517" s="61"/>
      <c r="H517" s="61"/>
      <c r="I517" s="62" t="s">
        <v>617</v>
      </c>
      <c r="J517" s="53"/>
    </row>
    <row r="518" ht="24.75" customHeight="1">
      <c r="A518" s="54" t="s">
        <v>741</v>
      </c>
      <c r="B518" s="56" t="s">
        <v>757</v>
      </c>
      <c r="C518" s="56" t="s">
        <v>627</v>
      </c>
      <c r="D518" s="56" t="s">
        <v>752</v>
      </c>
      <c r="E518" s="56" t="s">
        <v>753</v>
      </c>
      <c r="F518" s="57" t="s">
        <v>250</v>
      </c>
      <c r="G518" s="61"/>
      <c r="H518" s="61"/>
      <c r="I518" s="60" t="s">
        <v>88</v>
      </c>
      <c r="J518" s="53"/>
    </row>
    <row r="519" ht="24.75" customHeight="1">
      <c r="A519" s="54" t="s">
        <v>741</v>
      </c>
      <c r="B519" s="56" t="s">
        <v>757</v>
      </c>
      <c r="C519" s="56" t="s">
        <v>627</v>
      </c>
      <c r="D519" s="56" t="s">
        <v>752</v>
      </c>
      <c r="E519" s="56" t="s">
        <v>754</v>
      </c>
      <c r="F519" s="57" t="s">
        <v>250</v>
      </c>
      <c r="G519" s="61"/>
      <c r="H519" s="61"/>
      <c r="I519" s="60" t="s">
        <v>88</v>
      </c>
      <c r="J519" s="53"/>
    </row>
    <row r="520" ht="24.75" customHeight="1">
      <c r="A520" s="54" t="s">
        <v>741</v>
      </c>
      <c r="B520" s="56" t="s">
        <v>757</v>
      </c>
      <c r="C520" s="56" t="s">
        <v>627</v>
      </c>
      <c r="D520" s="56" t="s">
        <v>752</v>
      </c>
      <c r="E520" s="56" t="s">
        <v>755</v>
      </c>
      <c r="F520" s="57" t="s">
        <v>250</v>
      </c>
      <c r="G520" s="61"/>
      <c r="H520" s="61"/>
      <c r="I520" s="60" t="s">
        <v>88</v>
      </c>
      <c r="J520" s="53"/>
    </row>
    <row r="521" ht="24.75" customHeight="1">
      <c r="A521" s="54" t="s">
        <v>741</v>
      </c>
      <c r="B521" s="56" t="s">
        <v>758</v>
      </c>
      <c r="C521" s="56" t="s">
        <v>640</v>
      </c>
      <c r="D521" s="56" t="s">
        <v>752</v>
      </c>
      <c r="E521" s="56" t="s">
        <v>753</v>
      </c>
      <c r="F521" s="57" t="s">
        <v>250</v>
      </c>
      <c r="G521" s="61"/>
      <c r="H521" s="61"/>
      <c r="I521" s="60" t="s">
        <v>88</v>
      </c>
      <c r="J521" s="53"/>
    </row>
    <row r="522" ht="24.75" customHeight="1">
      <c r="A522" s="54" t="s">
        <v>741</v>
      </c>
      <c r="B522" s="56" t="s">
        <v>758</v>
      </c>
      <c r="C522" s="56" t="s">
        <v>640</v>
      </c>
      <c r="D522" s="56" t="s">
        <v>752</v>
      </c>
      <c r="E522" s="56" t="s">
        <v>754</v>
      </c>
      <c r="F522" s="57" t="s">
        <v>250</v>
      </c>
      <c r="G522" s="61"/>
      <c r="H522" s="61"/>
      <c r="I522" s="60" t="s">
        <v>88</v>
      </c>
      <c r="J522" s="53"/>
    </row>
    <row r="523" ht="24.75" customHeight="1">
      <c r="A523" s="54" t="s">
        <v>741</v>
      </c>
      <c r="B523" s="56" t="s">
        <v>758</v>
      </c>
      <c r="C523" s="56" t="s">
        <v>640</v>
      </c>
      <c r="D523" s="56" t="s">
        <v>752</v>
      </c>
      <c r="E523" s="56" t="s">
        <v>755</v>
      </c>
      <c r="F523" s="57" t="s">
        <v>250</v>
      </c>
      <c r="G523" s="61"/>
      <c r="H523" s="61"/>
      <c r="I523" s="60" t="s">
        <v>88</v>
      </c>
      <c r="J523" s="53"/>
    </row>
    <row r="524" ht="24.75" customHeight="1">
      <c r="A524" s="54" t="s">
        <v>741</v>
      </c>
      <c r="B524" s="56" t="s">
        <v>759</v>
      </c>
      <c r="C524" s="56" t="s">
        <v>645</v>
      </c>
      <c r="D524" s="56" t="s">
        <v>752</v>
      </c>
      <c r="E524" s="56" t="s">
        <v>753</v>
      </c>
      <c r="F524" s="57" t="s">
        <v>250</v>
      </c>
      <c r="G524" s="61"/>
      <c r="H524" s="61"/>
      <c r="I524" s="60" t="s">
        <v>88</v>
      </c>
      <c r="J524" s="53"/>
    </row>
    <row r="525" ht="24.75" customHeight="1">
      <c r="A525" s="54" t="s">
        <v>741</v>
      </c>
      <c r="B525" s="56" t="s">
        <v>759</v>
      </c>
      <c r="C525" s="56" t="s">
        <v>645</v>
      </c>
      <c r="D525" s="56" t="s">
        <v>752</v>
      </c>
      <c r="E525" s="56" t="s">
        <v>754</v>
      </c>
      <c r="F525" s="57" t="s">
        <v>250</v>
      </c>
      <c r="G525" s="61"/>
      <c r="H525" s="61"/>
      <c r="I525" s="60" t="s">
        <v>88</v>
      </c>
      <c r="J525" s="53"/>
    </row>
    <row r="526" ht="24.75" customHeight="1">
      <c r="A526" s="54" t="s">
        <v>741</v>
      </c>
      <c r="B526" s="56" t="s">
        <v>759</v>
      </c>
      <c r="C526" s="56" t="s">
        <v>645</v>
      </c>
      <c r="D526" s="56" t="s">
        <v>752</v>
      </c>
      <c r="E526" s="56" t="s">
        <v>755</v>
      </c>
      <c r="F526" s="57" t="s">
        <v>250</v>
      </c>
      <c r="G526" s="61"/>
      <c r="H526" s="61"/>
      <c r="I526" s="60" t="s">
        <v>88</v>
      </c>
      <c r="J526" s="53"/>
    </row>
    <row r="527" ht="24.75" customHeight="1">
      <c r="A527" s="54" t="s">
        <v>741</v>
      </c>
      <c r="B527" s="56" t="s">
        <v>760</v>
      </c>
      <c r="C527" s="56" t="s">
        <v>606</v>
      </c>
      <c r="D527" s="56" t="s">
        <v>752</v>
      </c>
      <c r="E527" s="56" t="s">
        <v>753</v>
      </c>
      <c r="F527" s="57" t="s">
        <v>250</v>
      </c>
      <c r="G527" s="61"/>
      <c r="H527" s="61"/>
      <c r="I527" s="60" t="s">
        <v>88</v>
      </c>
      <c r="J527" s="53"/>
    </row>
    <row r="528" ht="24.75" customHeight="1">
      <c r="A528" s="54" t="s">
        <v>741</v>
      </c>
      <c r="B528" s="56" t="s">
        <v>760</v>
      </c>
      <c r="C528" s="56" t="s">
        <v>606</v>
      </c>
      <c r="D528" s="56" t="s">
        <v>752</v>
      </c>
      <c r="E528" s="56" t="s">
        <v>754</v>
      </c>
      <c r="F528" s="57" t="s">
        <v>250</v>
      </c>
      <c r="G528" s="61"/>
      <c r="H528" s="61"/>
      <c r="I528" s="60" t="s">
        <v>88</v>
      </c>
      <c r="J528" s="53"/>
    </row>
    <row r="529" ht="24.75" customHeight="1">
      <c r="A529" s="54" t="s">
        <v>741</v>
      </c>
      <c r="B529" s="56" t="s">
        <v>760</v>
      </c>
      <c r="C529" s="56" t="s">
        <v>606</v>
      </c>
      <c r="D529" s="56" t="s">
        <v>752</v>
      </c>
      <c r="E529" s="56" t="s">
        <v>755</v>
      </c>
      <c r="F529" s="57" t="s">
        <v>250</v>
      </c>
      <c r="G529" s="61"/>
      <c r="H529" s="61"/>
      <c r="I529" s="60" t="s">
        <v>88</v>
      </c>
      <c r="J529" s="53"/>
    </row>
    <row r="530" ht="24.75" hidden="1" customHeight="1">
      <c r="A530" s="54" t="s">
        <v>761</v>
      </c>
      <c r="B530" s="56" t="s">
        <v>762</v>
      </c>
      <c r="C530" s="56" t="s">
        <v>763</v>
      </c>
      <c r="D530" s="56" t="s">
        <v>764</v>
      </c>
      <c r="E530" s="56" t="s">
        <v>195</v>
      </c>
      <c r="F530" s="57" t="s">
        <v>34</v>
      </c>
      <c r="G530" s="61"/>
      <c r="H530" s="61" t="s">
        <v>197</v>
      </c>
      <c r="I530" s="62"/>
      <c r="J530" s="53"/>
    </row>
    <row r="531" ht="24.75" customHeight="1">
      <c r="A531" s="54" t="s">
        <v>761</v>
      </c>
      <c r="B531" s="56" t="s">
        <v>762</v>
      </c>
      <c r="C531" s="56" t="s">
        <v>763</v>
      </c>
      <c r="D531" s="56" t="s">
        <v>764</v>
      </c>
      <c r="E531" s="56" t="s">
        <v>196</v>
      </c>
      <c r="F531" s="57" t="s">
        <v>250</v>
      </c>
      <c r="G531" s="61"/>
      <c r="H531" s="61" t="s">
        <v>200</v>
      </c>
      <c r="I531" s="62" t="s">
        <v>201</v>
      </c>
      <c r="J531" s="53"/>
    </row>
    <row r="532" ht="24.75" hidden="1" customHeight="1">
      <c r="A532" s="54" t="s">
        <v>761</v>
      </c>
      <c r="B532" s="56" t="s">
        <v>762</v>
      </c>
      <c r="C532" s="56" t="s">
        <v>763</v>
      </c>
      <c r="D532" s="56" t="s">
        <v>764</v>
      </c>
      <c r="E532" s="56" t="s">
        <v>191</v>
      </c>
      <c r="F532" s="57" t="s">
        <v>192</v>
      </c>
      <c r="G532" s="61"/>
      <c r="H532" s="61"/>
      <c r="I532" s="62"/>
      <c r="J532" s="53"/>
    </row>
    <row r="533" ht="24.75" hidden="1" customHeight="1">
      <c r="A533" s="54" t="s">
        <v>761</v>
      </c>
      <c r="B533" s="56" t="s">
        <v>762</v>
      </c>
      <c r="C533" s="56" t="s">
        <v>763</v>
      </c>
      <c r="D533" s="56" t="s">
        <v>764</v>
      </c>
      <c r="E533" s="56" t="s">
        <v>194</v>
      </c>
      <c r="F533" s="57" t="s">
        <v>192</v>
      </c>
      <c r="G533" s="61"/>
      <c r="H533" s="61"/>
      <c r="I533" s="62"/>
      <c r="J533" s="53"/>
    </row>
    <row r="534" ht="24.75" customHeight="1">
      <c r="A534" s="54" t="s">
        <v>761</v>
      </c>
      <c r="B534" s="56" t="s">
        <v>765</v>
      </c>
      <c r="C534" s="56" t="s">
        <v>766</v>
      </c>
      <c r="D534" s="56" t="s">
        <v>767</v>
      </c>
      <c r="E534" s="56" t="s">
        <v>768</v>
      </c>
      <c r="F534" s="57" t="s">
        <v>250</v>
      </c>
      <c r="G534" s="61"/>
      <c r="H534" s="61" t="s">
        <v>769</v>
      </c>
      <c r="I534" s="62" t="s">
        <v>770</v>
      </c>
      <c r="J534" s="53"/>
    </row>
    <row r="535" ht="24.75" customHeight="1">
      <c r="A535" s="54" t="s">
        <v>761</v>
      </c>
      <c r="B535" s="56" t="s">
        <v>765</v>
      </c>
      <c r="C535" s="56" t="s">
        <v>766</v>
      </c>
      <c r="D535" s="56" t="s">
        <v>767</v>
      </c>
      <c r="E535" s="56" t="s">
        <v>771</v>
      </c>
      <c r="F535" s="57" t="s">
        <v>250</v>
      </c>
      <c r="G535" s="61"/>
      <c r="H535" s="61" t="s">
        <v>769</v>
      </c>
      <c r="I535" s="62" t="s">
        <v>772</v>
      </c>
      <c r="J535" s="53"/>
    </row>
    <row r="536" ht="24.75" hidden="1" customHeight="1">
      <c r="A536" s="54" t="s">
        <v>761</v>
      </c>
      <c r="B536" s="56" t="s">
        <v>765</v>
      </c>
      <c r="C536" s="56" t="s">
        <v>766</v>
      </c>
      <c r="D536" s="56" t="s">
        <v>767</v>
      </c>
      <c r="E536" s="56" t="s">
        <v>773</v>
      </c>
      <c r="F536" s="57" t="s">
        <v>154</v>
      </c>
      <c r="G536" s="61"/>
      <c r="H536" s="61"/>
      <c r="I536" s="62"/>
      <c r="J536" s="53"/>
    </row>
    <row r="537" ht="24.75" hidden="1" customHeight="1">
      <c r="A537" s="54" t="s">
        <v>761</v>
      </c>
      <c r="B537" s="56" t="s">
        <v>765</v>
      </c>
      <c r="C537" s="56" t="s">
        <v>766</v>
      </c>
      <c r="D537" s="56" t="s">
        <v>767</v>
      </c>
      <c r="E537" s="56" t="s">
        <v>774</v>
      </c>
      <c r="F537" s="57" t="s">
        <v>154</v>
      </c>
      <c r="G537" s="61"/>
      <c r="H537" s="61"/>
      <c r="I537" s="62"/>
      <c r="J537" s="53"/>
    </row>
    <row r="538" ht="24.75" hidden="1" customHeight="1">
      <c r="A538" s="54" t="s">
        <v>761</v>
      </c>
      <c r="B538" s="56" t="s">
        <v>765</v>
      </c>
      <c r="C538" s="56" t="s">
        <v>766</v>
      </c>
      <c r="D538" s="56" t="s">
        <v>767</v>
      </c>
      <c r="E538" s="56" t="s">
        <v>775</v>
      </c>
      <c r="F538" s="57" t="s">
        <v>154</v>
      </c>
      <c r="G538" s="61"/>
      <c r="H538" s="61"/>
      <c r="I538" s="62"/>
      <c r="J538" s="53"/>
    </row>
    <row r="539" ht="24.75" hidden="1" customHeight="1">
      <c r="A539" s="54" t="s">
        <v>761</v>
      </c>
      <c r="B539" s="56" t="s">
        <v>765</v>
      </c>
      <c r="C539" s="56" t="s">
        <v>766</v>
      </c>
      <c r="D539" s="56" t="s">
        <v>776</v>
      </c>
      <c r="E539" s="56" t="s">
        <v>777</v>
      </c>
      <c r="F539" s="57" t="s">
        <v>15</v>
      </c>
      <c r="G539" s="61"/>
      <c r="H539" s="61"/>
      <c r="I539" s="60"/>
      <c r="J539" s="53"/>
    </row>
    <row r="540" ht="24.75" hidden="1" customHeight="1">
      <c r="A540" s="54" t="s">
        <v>761</v>
      </c>
      <c r="B540" s="56" t="s">
        <v>765</v>
      </c>
      <c r="C540" s="56" t="s">
        <v>766</v>
      </c>
      <c r="D540" s="56" t="s">
        <v>776</v>
      </c>
      <c r="E540" s="56" t="s">
        <v>778</v>
      </c>
      <c r="F540" s="57" t="s">
        <v>15</v>
      </c>
      <c r="G540" s="61"/>
      <c r="H540" s="61"/>
      <c r="I540" s="60"/>
      <c r="J540" s="53"/>
    </row>
    <row r="541" ht="24.75" customHeight="1">
      <c r="A541" s="54" t="s">
        <v>761</v>
      </c>
      <c r="B541" s="56" t="s">
        <v>779</v>
      </c>
      <c r="C541" s="56" t="s">
        <v>780</v>
      </c>
      <c r="D541" s="56" t="s">
        <v>781</v>
      </c>
      <c r="E541" s="56" t="s">
        <v>232</v>
      </c>
      <c r="F541" s="57" t="s">
        <v>250</v>
      </c>
      <c r="G541" s="61"/>
      <c r="H541" s="61" t="s">
        <v>769</v>
      </c>
      <c r="I541" s="62" t="s">
        <v>782</v>
      </c>
      <c r="J541" s="83"/>
    </row>
    <row r="542" ht="24.75" hidden="1" customHeight="1">
      <c r="A542" s="54" t="s">
        <v>761</v>
      </c>
      <c r="B542" s="56" t="s">
        <v>779</v>
      </c>
      <c r="C542" s="56" t="s">
        <v>780</v>
      </c>
      <c r="D542" s="56" t="s">
        <v>781</v>
      </c>
      <c r="E542" s="56" t="s">
        <v>783</v>
      </c>
      <c r="F542" s="57" t="s">
        <v>154</v>
      </c>
      <c r="G542" s="61"/>
      <c r="H542" s="61"/>
      <c r="I542" s="62"/>
      <c r="J542" s="53"/>
    </row>
    <row r="543" ht="24.75" hidden="1" customHeight="1">
      <c r="A543" s="54" t="s">
        <v>761</v>
      </c>
      <c r="B543" s="56" t="s">
        <v>779</v>
      </c>
      <c r="C543" s="56" t="s">
        <v>780</v>
      </c>
      <c r="D543" s="56" t="s">
        <v>781</v>
      </c>
      <c r="E543" s="56" t="s">
        <v>230</v>
      </c>
      <c r="F543" s="57" t="s">
        <v>154</v>
      </c>
      <c r="G543" s="61"/>
      <c r="H543" s="61"/>
      <c r="I543" s="62"/>
      <c r="J543" s="83"/>
    </row>
    <row r="544" ht="24.75" hidden="1" customHeight="1">
      <c r="A544" s="54" t="s">
        <v>761</v>
      </c>
      <c r="B544" s="56" t="s">
        <v>784</v>
      </c>
      <c r="C544" s="56" t="s">
        <v>763</v>
      </c>
      <c r="D544" s="56" t="s">
        <v>785</v>
      </c>
      <c r="E544" s="56" t="s">
        <v>216</v>
      </c>
      <c r="F544" s="57" t="s">
        <v>34</v>
      </c>
      <c r="G544" s="61"/>
      <c r="H544" s="61"/>
      <c r="I544" s="62"/>
      <c r="J544" s="53"/>
    </row>
    <row r="545" ht="24.75" hidden="1" customHeight="1">
      <c r="A545" s="54" t="s">
        <v>761</v>
      </c>
      <c r="B545" s="56" t="s">
        <v>784</v>
      </c>
      <c r="C545" s="56" t="s">
        <v>763</v>
      </c>
      <c r="D545" s="56" t="s">
        <v>785</v>
      </c>
      <c r="E545" s="56" t="s">
        <v>786</v>
      </c>
      <c r="F545" s="57" t="s">
        <v>34</v>
      </c>
      <c r="G545" s="61"/>
      <c r="H545" s="61"/>
      <c r="I545" s="62"/>
      <c r="J545" s="53"/>
    </row>
    <row r="546" ht="24.75" hidden="1" customHeight="1">
      <c r="A546" s="54" t="s">
        <v>761</v>
      </c>
      <c r="B546" s="56" t="s">
        <v>784</v>
      </c>
      <c r="C546" s="56" t="s">
        <v>763</v>
      </c>
      <c r="D546" s="56" t="s">
        <v>787</v>
      </c>
      <c r="E546" s="56" t="s">
        <v>163</v>
      </c>
      <c r="F546" s="57" t="s">
        <v>34</v>
      </c>
      <c r="G546" s="61"/>
      <c r="H546" s="61"/>
      <c r="I546" s="62"/>
      <c r="J546" s="53"/>
    </row>
    <row r="547" ht="24.75" hidden="1" customHeight="1">
      <c r="A547" s="54" t="s">
        <v>761</v>
      </c>
      <c r="B547" s="56" t="s">
        <v>784</v>
      </c>
      <c r="C547" s="56" t="s">
        <v>763</v>
      </c>
      <c r="D547" s="56" t="s">
        <v>787</v>
      </c>
      <c r="E547" s="56" t="s">
        <v>788</v>
      </c>
      <c r="F547" s="57" t="s">
        <v>154</v>
      </c>
      <c r="G547" s="61"/>
      <c r="H547" s="61"/>
      <c r="I547" s="62"/>
      <c r="J547" s="53"/>
    </row>
    <row r="548" ht="24.75" hidden="1" customHeight="1">
      <c r="A548" s="54" t="s">
        <v>761</v>
      </c>
      <c r="B548" s="56" t="s">
        <v>784</v>
      </c>
      <c r="C548" s="56" t="s">
        <v>763</v>
      </c>
      <c r="D548" s="56" t="s">
        <v>787</v>
      </c>
      <c r="E548" s="56" t="s">
        <v>213</v>
      </c>
      <c r="F548" s="57"/>
      <c r="G548" s="50"/>
      <c r="H548" s="50"/>
      <c r="I548" s="84"/>
      <c r="J548" s="53"/>
    </row>
    <row r="549" ht="24.75" customHeight="1">
      <c r="A549" s="54" t="s">
        <v>761</v>
      </c>
      <c r="B549" s="56" t="s">
        <v>784</v>
      </c>
      <c r="C549" s="56" t="s">
        <v>763</v>
      </c>
      <c r="D549" s="56" t="s">
        <v>789</v>
      </c>
      <c r="E549" s="56" t="s">
        <v>790</v>
      </c>
      <c r="F549" s="57" t="s">
        <v>250</v>
      </c>
      <c r="G549" s="61"/>
      <c r="H549" s="61"/>
      <c r="I549" s="62"/>
      <c r="J549" s="53"/>
    </row>
    <row r="550" ht="24.75" hidden="1" customHeight="1">
      <c r="A550" s="54" t="s">
        <v>761</v>
      </c>
      <c r="B550" s="56" t="s">
        <v>791</v>
      </c>
      <c r="C550" s="56" t="s">
        <v>792</v>
      </c>
      <c r="D550" s="56" t="s">
        <v>793</v>
      </c>
      <c r="E550" s="56" t="s">
        <v>794</v>
      </c>
      <c r="F550" s="57" t="s">
        <v>154</v>
      </c>
      <c r="G550" s="61"/>
      <c r="H550" s="61"/>
      <c r="I550" s="62"/>
      <c r="J550" s="53"/>
    </row>
    <row r="551" ht="24.75" customHeight="1">
      <c r="A551" s="54" t="s">
        <v>761</v>
      </c>
      <c r="B551" s="56" t="s">
        <v>795</v>
      </c>
      <c r="C551" s="56" t="s">
        <v>792</v>
      </c>
      <c r="D551" s="56" t="s">
        <v>796</v>
      </c>
      <c r="E551" s="56" t="s">
        <v>797</v>
      </c>
      <c r="F551" s="57" t="s">
        <v>250</v>
      </c>
      <c r="G551" s="81"/>
      <c r="H551" s="61" t="s">
        <v>769</v>
      </c>
      <c r="I551" s="62" t="s">
        <v>800</v>
      </c>
      <c r="J551" s="53"/>
    </row>
    <row r="552" ht="24.75" customHeight="1">
      <c r="A552" s="54" t="s">
        <v>761</v>
      </c>
      <c r="B552" s="56" t="s">
        <v>798</v>
      </c>
      <c r="C552" s="56" t="s">
        <v>792</v>
      </c>
      <c r="D552" s="56" t="s">
        <v>799</v>
      </c>
      <c r="E552" s="56" t="s">
        <v>790</v>
      </c>
      <c r="F552" s="57" t="s">
        <v>250</v>
      </c>
      <c r="G552" s="61"/>
      <c r="H552" s="61" t="s">
        <v>769</v>
      </c>
      <c r="I552" s="62" t="s">
        <v>803</v>
      </c>
      <c r="J552" s="53"/>
    </row>
    <row r="553" ht="24.75" customHeight="1">
      <c r="A553" s="54" t="s">
        <v>761</v>
      </c>
      <c r="B553" s="56" t="s">
        <v>801</v>
      </c>
      <c r="C553" s="56" t="s">
        <v>792</v>
      </c>
      <c r="D553" s="56" t="s">
        <v>802</v>
      </c>
      <c r="E553" s="56" t="s">
        <v>790</v>
      </c>
      <c r="F553" s="57" t="s">
        <v>250</v>
      </c>
      <c r="G553" s="61"/>
      <c r="H553" s="61" t="s">
        <v>769</v>
      </c>
      <c r="I553" s="62" t="s">
        <v>806</v>
      </c>
      <c r="J553" s="53"/>
    </row>
    <row r="554" ht="24.75" customHeight="1">
      <c r="A554" s="54" t="s">
        <v>761</v>
      </c>
      <c r="B554" s="56" t="s">
        <v>804</v>
      </c>
      <c r="C554" s="56" t="s">
        <v>792</v>
      </c>
      <c r="D554" s="56" t="s">
        <v>805</v>
      </c>
      <c r="E554" s="56" t="s">
        <v>790</v>
      </c>
      <c r="F554" s="57" t="s">
        <v>250</v>
      </c>
      <c r="G554" s="61"/>
      <c r="H554" s="61" t="s">
        <v>769</v>
      </c>
      <c r="I554" s="62" t="s">
        <v>810</v>
      </c>
      <c r="J554" s="53"/>
    </row>
    <row r="555" ht="24.75" customHeight="1">
      <c r="A555" s="54" t="s">
        <v>761</v>
      </c>
      <c r="B555" s="56" t="s">
        <v>807</v>
      </c>
      <c r="C555" s="56" t="s">
        <v>792</v>
      </c>
      <c r="D555" s="56" t="s">
        <v>808</v>
      </c>
      <c r="E555" s="56" t="s">
        <v>790</v>
      </c>
      <c r="F555" s="57" t="s">
        <v>250</v>
      </c>
      <c r="G555" s="61"/>
      <c r="H555" s="61" t="s">
        <v>769</v>
      </c>
      <c r="I555" s="62" t="s">
        <v>806</v>
      </c>
      <c r="J555" s="53"/>
    </row>
    <row r="556" ht="24.75" customHeight="1">
      <c r="A556" s="54" t="s">
        <v>761</v>
      </c>
      <c r="B556" s="56" t="s">
        <v>807</v>
      </c>
      <c r="C556" s="56" t="s">
        <v>792</v>
      </c>
      <c r="D556" s="56" t="s">
        <v>809</v>
      </c>
      <c r="E556" s="56" t="s">
        <v>790</v>
      </c>
      <c r="F556" s="57" t="s">
        <v>250</v>
      </c>
      <c r="G556" s="61"/>
      <c r="H556" s="61" t="s">
        <v>769</v>
      </c>
      <c r="I556" s="62" t="s">
        <v>806</v>
      </c>
      <c r="J556" s="53"/>
    </row>
    <row r="557" ht="24.75" customHeight="1">
      <c r="A557" s="54" t="s">
        <v>761</v>
      </c>
      <c r="B557" s="56" t="s">
        <v>811</v>
      </c>
      <c r="C557" s="56" t="s">
        <v>792</v>
      </c>
      <c r="D557" s="56" t="s">
        <v>812</v>
      </c>
      <c r="E557" s="56" t="s">
        <v>790</v>
      </c>
      <c r="F557" s="57" t="s">
        <v>250</v>
      </c>
      <c r="G557" s="61"/>
      <c r="H557" s="61" t="s">
        <v>769</v>
      </c>
      <c r="I557" s="62" t="s">
        <v>806</v>
      </c>
      <c r="J557" s="53"/>
    </row>
    <row r="558" ht="24.75" customHeight="1">
      <c r="A558" s="54" t="s">
        <v>761</v>
      </c>
      <c r="B558" s="56" t="s">
        <v>813</v>
      </c>
      <c r="C558" s="56" t="s">
        <v>792</v>
      </c>
      <c r="D558" s="56" t="s">
        <v>814</v>
      </c>
      <c r="E558" s="56" t="s">
        <v>790</v>
      </c>
      <c r="F558" s="57" t="s">
        <v>250</v>
      </c>
      <c r="G558" s="61"/>
      <c r="H558" s="61" t="s">
        <v>769</v>
      </c>
      <c r="I558" s="62" t="s">
        <v>810</v>
      </c>
      <c r="J558" s="53"/>
    </row>
    <row r="559" ht="24.75" customHeight="1">
      <c r="A559" s="54" t="s">
        <v>761</v>
      </c>
      <c r="B559" s="56" t="s">
        <v>815</v>
      </c>
      <c r="C559" s="56" t="s">
        <v>792</v>
      </c>
      <c r="D559" s="56" t="s">
        <v>816</v>
      </c>
      <c r="E559" s="56" t="s">
        <v>790</v>
      </c>
      <c r="F559" s="57" t="s">
        <v>250</v>
      </c>
      <c r="G559" s="61"/>
      <c r="H559" s="61" t="s">
        <v>769</v>
      </c>
      <c r="I559" s="62" t="s">
        <v>806</v>
      </c>
      <c r="J559" s="53"/>
    </row>
    <row r="560" ht="24.75" customHeight="1">
      <c r="A560" s="54" t="s">
        <v>761</v>
      </c>
      <c r="B560" s="56" t="s">
        <v>815</v>
      </c>
      <c r="C560" s="104" t="s">
        <v>792</v>
      </c>
      <c r="D560" s="56" t="s">
        <v>816</v>
      </c>
      <c r="E560" s="56" t="s">
        <v>817</v>
      </c>
      <c r="F560" s="57" t="s">
        <v>250</v>
      </c>
      <c r="G560" s="61"/>
      <c r="H560" s="61" t="s">
        <v>769</v>
      </c>
      <c r="I560" s="62" t="s">
        <v>823</v>
      </c>
      <c r="J560" s="53"/>
    </row>
    <row r="561" ht="24.75" customHeight="1">
      <c r="A561" s="54" t="s">
        <v>761</v>
      </c>
      <c r="B561" s="56" t="s">
        <v>818</v>
      </c>
      <c r="C561" s="104" t="s">
        <v>792</v>
      </c>
      <c r="D561" s="56" t="s">
        <v>819</v>
      </c>
      <c r="E561" s="56" t="s">
        <v>790</v>
      </c>
      <c r="F561" s="57" t="s">
        <v>250</v>
      </c>
      <c r="G561" s="61"/>
      <c r="H561" s="61" t="s">
        <v>769</v>
      </c>
      <c r="I561" s="62" t="s">
        <v>806</v>
      </c>
      <c r="J561" s="53"/>
    </row>
    <row r="562" ht="24.75" customHeight="1">
      <c r="A562" s="54" t="s">
        <v>761</v>
      </c>
      <c r="B562" s="56" t="s">
        <v>818</v>
      </c>
      <c r="C562" s="104" t="s">
        <v>792</v>
      </c>
      <c r="D562" s="56" t="s">
        <v>820</v>
      </c>
      <c r="E562" s="56" t="s">
        <v>817</v>
      </c>
      <c r="F562" s="57" t="s">
        <v>250</v>
      </c>
      <c r="G562" s="61"/>
      <c r="H562" s="61" t="s">
        <v>769</v>
      </c>
      <c r="I562" s="62" t="s">
        <v>823</v>
      </c>
      <c r="J562" s="53"/>
    </row>
    <row r="563" ht="24.75" customHeight="1">
      <c r="A563" s="54" t="s">
        <v>761</v>
      </c>
      <c r="B563" s="56" t="s">
        <v>818</v>
      </c>
      <c r="C563" s="104" t="s">
        <v>792</v>
      </c>
      <c r="D563" s="56" t="s">
        <v>821</v>
      </c>
      <c r="E563" s="56" t="s">
        <v>817</v>
      </c>
      <c r="F563" s="57" t="s">
        <v>250</v>
      </c>
      <c r="G563" s="61"/>
      <c r="H563" s="61" t="s">
        <v>769</v>
      </c>
      <c r="I563" s="62" t="s">
        <v>823</v>
      </c>
      <c r="J563" s="53"/>
    </row>
    <row r="564" ht="24.75" customHeight="1">
      <c r="A564" s="54" t="s">
        <v>761</v>
      </c>
      <c r="B564" s="56" t="s">
        <v>818</v>
      </c>
      <c r="C564" s="104" t="s">
        <v>792</v>
      </c>
      <c r="D564" s="56" t="s">
        <v>822</v>
      </c>
      <c r="E564" s="56" t="s">
        <v>790</v>
      </c>
      <c r="F564" s="57" t="s">
        <v>250</v>
      </c>
      <c r="G564" s="61"/>
      <c r="H564" s="61" t="s">
        <v>769</v>
      </c>
      <c r="I564" s="62" t="s">
        <v>823</v>
      </c>
      <c r="J564" s="53"/>
    </row>
    <row r="565" ht="24.75" hidden="1" customHeight="1">
      <c r="A565" s="54" t="s">
        <v>761</v>
      </c>
      <c r="B565" s="56" t="s">
        <v>791</v>
      </c>
      <c r="C565" s="104" t="s">
        <v>792</v>
      </c>
      <c r="D565" s="56" t="s">
        <v>793</v>
      </c>
      <c r="E565" s="56" t="s">
        <v>824</v>
      </c>
      <c r="F565" s="57" t="s">
        <v>192</v>
      </c>
      <c r="G565" s="61"/>
      <c r="H565" s="61"/>
      <c r="I565" s="62"/>
      <c r="J565" s="53"/>
    </row>
    <row r="566" ht="24.75" hidden="1" customHeight="1">
      <c r="A566" s="54" t="s">
        <v>761</v>
      </c>
      <c r="B566" s="56" t="s">
        <v>825</v>
      </c>
      <c r="C566" s="56" t="s">
        <v>792</v>
      </c>
      <c r="D566" s="56" t="s">
        <v>826</v>
      </c>
      <c r="E566" s="56" t="s">
        <v>794</v>
      </c>
      <c r="F566" s="57" t="s">
        <v>154</v>
      </c>
      <c r="G566" s="61"/>
      <c r="H566" s="61"/>
      <c r="I566" s="62"/>
      <c r="J566" s="53"/>
    </row>
    <row r="567" ht="24.75" hidden="1" customHeight="1">
      <c r="A567" s="54" t="s">
        <v>761</v>
      </c>
      <c r="B567" s="56" t="s">
        <v>825</v>
      </c>
      <c r="C567" s="56" t="s">
        <v>792</v>
      </c>
      <c r="D567" s="56" t="s">
        <v>826</v>
      </c>
      <c r="E567" s="56" t="s">
        <v>824</v>
      </c>
      <c r="F567" s="57" t="s">
        <v>192</v>
      </c>
      <c r="G567" s="61"/>
      <c r="H567" s="61"/>
      <c r="I567" s="62"/>
      <c r="J567" s="53"/>
    </row>
    <row r="568" ht="24.75" hidden="1" customHeight="1">
      <c r="A568" s="54" t="s">
        <v>761</v>
      </c>
      <c r="B568" s="56" t="s">
        <v>827</v>
      </c>
      <c r="C568" s="56" t="s">
        <v>792</v>
      </c>
      <c r="D568" s="56" t="s">
        <v>828</v>
      </c>
      <c r="E568" s="56" t="s">
        <v>830</v>
      </c>
      <c r="F568" s="57" t="s">
        <v>154</v>
      </c>
      <c r="G568" s="61"/>
      <c r="H568" s="61"/>
      <c r="I568" s="62"/>
      <c r="J568" s="53"/>
    </row>
    <row r="569" ht="24.75" hidden="1" customHeight="1">
      <c r="A569" s="54" t="s">
        <v>831</v>
      </c>
      <c r="B569" s="56" t="s">
        <v>832</v>
      </c>
      <c r="C569" s="56" t="s">
        <v>833</v>
      </c>
      <c r="D569" s="56" t="s">
        <v>834</v>
      </c>
      <c r="E569" s="56" t="s">
        <v>111</v>
      </c>
      <c r="F569" s="57" t="s">
        <v>34</v>
      </c>
      <c r="G569" s="61"/>
      <c r="H569" s="61"/>
      <c r="I569" s="62"/>
      <c r="J569" s="53"/>
    </row>
    <row r="570" ht="24.75" hidden="1" customHeight="1">
      <c r="A570" s="54" t="s">
        <v>831</v>
      </c>
      <c r="B570" s="56" t="s">
        <v>832</v>
      </c>
      <c r="C570" s="56" t="s">
        <v>833</v>
      </c>
      <c r="D570" s="56" t="s">
        <v>834</v>
      </c>
      <c r="E570" s="56" t="s">
        <v>835</v>
      </c>
      <c r="F570" s="57" t="s">
        <v>34</v>
      </c>
      <c r="G570" s="61"/>
      <c r="H570" s="61"/>
      <c r="I570" s="62"/>
      <c r="J570" s="53"/>
    </row>
    <row r="571" ht="24.75" customHeight="1">
      <c r="A571" s="54" t="s">
        <v>831</v>
      </c>
      <c r="B571" s="56" t="s">
        <v>832</v>
      </c>
      <c r="C571" s="56" t="s">
        <v>833</v>
      </c>
      <c r="D571" s="56" t="s">
        <v>834</v>
      </c>
      <c r="E571" s="56" t="s">
        <v>836</v>
      </c>
      <c r="F571" s="57" t="s">
        <v>250</v>
      </c>
      <c r="G571" s="61"/>
      <c r="H571" s="61" t="s">
        <v>159</v>
      </c>
      <c r="I571" s="62" t="s">
        <v>160</v>
      </c>
      <c r="J571" s="53"/>
    </row>
    <row r="572" ht="24.75" customHeight="1">
      <c r="A572" s="54" t="s">
        <v>831</v>
      </c>
      <c r="B572" s="56" t="s">
        <v>837</v>
      </c>
      <c r="C572" s="56" t="s">
        <v>838</v>
      </c>
      <c r="D572" s="56" t="s">
        <v>839</v>
      </c>
      <c r="E572" s="56" t="s">
        <v>771</v>
      </c>
      <c r="F572" s="57" t="s">
        <v>250</v>
      </c>
      <c r="G572" s="61"/>
      <c r="H572" s="61" t="s">
        <v>159</v>
      </c>
      <c r="I572" s="62" t="s">
        <v>772</v>
      </c>
      <c r="J572" s="53"/>
    </row>
    <row r="573" ht="24.75" customHeight="1">
      <c r="A573" s="54" t="s">
        <v>831</v>
      </c>
      <c r="B573" s="56" t="s">
        <v>837</v>
      </c>
      <c r="C573" s="56" t="s">
        <v>838</v>
      </c>
      <c r="D573" s="56" t="s">
        <v>839</v>
      </c>
      <c r="E573" s="56" t="s">
        <v>768</v>
      </c>
      <c r="F573" s="57" t="s">
        <v>250</v>
      </c>
      <c r="G573" s="61"/>
      <c r="H573" s="61" t="s">
        <v>592</v>
      </c>
      <c r="I573" s="62" t="s">
        <v>770</v>
      </c>
      <c r="J573" s="53"/>
    </row>
    <row r="574" ht="24.75" hidden="1" customHeight="1">
      <c r="A574" s="54" t="s">
        <v>831</v>
      </c>
      <c r="B574" s="56" t="s">
        <v>837</v>
      </c>
      <c r="C574" s="56" t="s">
        <v>838</v>
      </c>
      <c r="D574" s="56" t="s">
        <v>839</v>
      </c>
      <c r="E574" s="56" t="s">
        <v>773</v>
      </c>
      <c r="F574" s="57" t="s">
        <v>154</v>
      </c>
      <c r="G574" s="61"/>
      <c r="H574" s="61"/>
      <c r="I574" s="62"/>
      <c r="J574" s="53"/>
    </row>
    <row r="575" ht="24.75" hidden="1" customHeight="1">
      <c r="A575" s="54" t="s">
        <v>831</v>
      </c>
      <c r="B575" s="56" t="s">
        <v>837</v>
      </c>
      <c r="C575" s="56" t="s">
        <v>838</v>
      </c>
      <c r="D575" s="56" t="s">
        <v>839</v>
      </c>
      <c r="E575" s="56" t="s">
        <v>841</v>
      </c>
      <c r="F575" s="57" t="s">
        <v>154</v>
      </c>
      <c r="G575" s="61"/>
      <c r="H575" s="61"/>
      <c r="I575" s="62"/>
      <c r="J575" s="53"/>
    </row>
    <row r="576" ht="24.75" hidden="1" customHeight="1">
      <c r="A576" s="54" t="s">
        <v>831</v>
      </c>
      <c r="B576" s="56" t="s">
        <v>837</v>
      </c>
      <c r="C576" s="56" t="s">
        <v>838</v>
      </c>
      <c r="D576" s="56" t="s">
        <v>839</v>
      </c>
      <c r="E576" s="56" t="s">
        <v>777</v>
      </c>
      <c r="F576" s="57" t="s">
        <v>15</v>
      </c>
      <c r="G576" s="61"/>
      <c r="H576" s="61"/>
      <c r="I576" s="60"/>
      <c r="J576" s="53"/>
    </row>
    <row r="577" ht="24.75" hidden="1" customHeight="1">
      <c r="A577" s="54" t="s">
        <v>831</v>
      </c>
      <c r="B577" s="56" t="s">
        <v>837</v>
      </c>
      <c r="C577" s="56" t="s">
        <v>838</v>
      </c>
      <c r="D577" s="56" t="s">
        <v>839</v>
      </c>
      <c r="E577" s="56" t="s">
        <v>778</v>
      </c>
      <c r="F577" s="57" t="s">
        <v>15</v>
      </c>
      <c r="G577" s="61"/>
      <c r="H577" s="61"/>
      <c r="I577" s="60"/>
      <c r="J577" s="53"/>
    </row>
    <row r="578" ht="24.75" hidden="1" customHeight="1">
      <c r="A578" s="54" t="s">
        <v>831</v>
      </c>
      <c r="B578" s="56" t="s">
        <v>842</v>
      </c>
      <c r="C578" s="56" t="s">
        <v>838</v>
      </c>
      <c r="D578" s="56" t="s">
        <v>843</v>
      </c>
      <c r="E578" s="56" t="s">
        <v>111</v>
      </c>
      <c r="F578" s="57" t="s">
        <v>154</v>
      </c>
      <c r="G578" s="61"/>
      <c r="H578" s="61"/>
      <c r="I578" s="62"/>
      <c r="J578" s="53"/>
    </row>
    <row r="579" ht="24.75" hidden="1" customHeight="1">
      <c r="A579" s="54" t="s">
        <v>831</v>
      </c>
      <c r="B579" s="56" t="s">
        <v>842</v>
      </c>
      <c r="C579" s="56" t="s">
        <v>838</v>
      </c>
      <c r="D579" s="56" t="s">
        <v>843</v>
      </c>
      <c r="E579" s="56" t="s">
        <v>844</v>
      </c>
      <c r="F579" s="57" t="s">
        <v>154</v>
      </c>
      <c r="G579" s="61"/>
      <c r="H579" s="61"/>
      <c r="I579" s="62"/>
      <c r="J579" s="53"/>
    </row>
    <row r="580" ht="24.75" customHeight="1">
      <c r="A580" s="54" t="s">
        <v>831</v>
      </c>
      <c r="B580" s="56" t="s">
        <v>842</v>
      </c>
      <c r="C580" s="56" t="s">
        <v>838</v>
      </c>
      <c r="D580" s="56" t="s">
        <v>843</v>
      </c>
      <c r="E580" s="56" t="s">
        <v>797</v>
      </c>
      <c r="F580" s="57" t="s">
        <v>250</v>
      </c>
      <c r="G580" s="61"/>
      <c r="H580" s="61" t="s">
        <v>592</v>
      </c>
      <c r="I580" s="62" t="s">
        <v>855</v>
      </c>
      <c r="J580" s="53"/>
    </row>
    <row r="581" ht="24.75" customHeight="1">
      <c r="A581" s="54" t="s">
        <v>831</v>
      </c>
      <c r="B581" s="56" t="s">
        <v>845</v>
      </c>
      <c r="C581" s="56" t="s">
        <v>838</v>
      </c>
      <c r="D581" s="56" t="s">
        <v>846</v>
      </c>
      <c r="E581" s="56" t="s">
        <v>771</v>
      </c>
      <c r="F581" s="57" t="s">
        <v>250</v>
      </c>
      <c r="G581" s="61"/>
      <c r="H581" s="61" t="s">
        <v>159</v>
      </c>
      <c r="I581" s="62" t="s">
        <v>772</v>
      </c>
      <c r="J581" s="53"/>
    </row>
    <row r="582" ht="24.75" customHeight="1">
      <c r="A582" s="54" t="s">
        <v>831</v>
      </c>
      <c r="B582" s="56" t="s">
        <v>845</v>
      </c>
      <c r="C582" s="56" t="s">
        <v>838</v>
      </c>
      <c r="D582" s="56" t="s">
        <v>846</v>
      </c>
      <c r="E582" s="56" t="s">
        <v>768</v>
      </c>
      <c r="F582" s="57" t="s">
        <v>250</v>
      </c>
      <c r="G582" s="61"/>
      <c r="H582" s="61" t="s">
        <v>592</v>
      </c>
      <c r="I582" s="62" t="s">
        <v>770</v>
      </c>
      <c r="J582" s="53"/>
    </row>
    <row r="583" ht="24.75" hidden="1" customHeight="1">
      <c r="A583" s="54" t="s">
        <v>831</v>
      </c>
      <c r="B583" s="56" t="s">
        <v>845</v>
      </c>
      <c r="C583" s="56" t="s">
        <v>838</v>
      </c>
      <c r="D583" s="56" t="s">
        <v>846</v>
      </c>
      <c r="E583" s="56" t="s">
        <v>773</v>
      </c>
      <c r="F583" s="57" t="s">
        <v>154</v>
      </c>
      <c r="G583" s="61"/>
      <c r="H583" s="61"/>
      <c r="I583" s="62"/>
      <c r="J583" s="53"/>
    </row>
    <row r="584" ht="24.75" hidden="1" customHeight="1">
      <c r="A584" s="54" t="s">
        <v>831</v>
      </c>
      <c r="B584" s="56" t="s">
        <v>845</v>
      </c>
      <c r="C584" s="56" t="s">
        <v>838</v>
      </c>
      <c r="D584" s="56" t="s">
        <v>846</v>
      </c>
      <c r="E584" s="56" t="s">
        <v>841</v>
      </c>
      <c r="F584" s="57" t="s">
        <v>154</v>
      </c>
      <c r="G584" s="61"/>
      <c r="H584" s="61"/>
      <c r="I584" s="62"/>
      <c r="J584" s="53"/>
    </row>
    <row r="585" ht="24.75" hidden="1" customHeight="1">
      <c r="A585" s="54" t="s">
        <v>831</v>
      </c>
      <c r="B585" s="56" t="s">
        <v>845</v>
      </c>
      <c r="C585" s="56" t="s">
        <v>838</v>
      </c>
      <c r="D585" s="56" t="s">
        <v>846</v>
      </c>
      <c r="E585" s="56" t="s">
        <v>777</v>
      </c>
      <c r="F585" s="57" t="s">
        <v>15</v>
      </c>
      <c r="G585" s="61"/>
      <c r="H585" s="61"/>
      <c r="I585" s="60"/>
      <c r="J585" s="53"/>
    </row>
    <row r="586" ht="24.75" hidden="1" customHeight="1">
      <c r="A586" s="54" t="s">
        <v>831</v>
      </c>
      <c r="B586" s="56" t="s">
        <v>845</v>
      </c>
      <c r="C586" s="56" t="s">
        <v>838</v>
      </c>
      <c r="D586" s="56" t="s">
        <v>846</v>
      </c>
      <c r="E586" s="56" t="s">
        <v>778</v>
      </c>
      <c r="F586" s="57" t="s">
        <v>15</v>
      </c>
      <c r="G586" s="61"/>
      <c r="H586" s="61"/>
      <c r="I586" s="60"/>
      <c r="J586" s="53"/>
    </row>
    <row r="587" ht="24.75" hidden="1" customHeight="1">
      <c r="A587" s="54" t="s">
        <v>831</v>
      </c>
      <c r="B587" s="56" t="s">
        <v>847</v>
      </c>
      <c r="C587" s="56" t="s">
        <v>838</v>
      </c>
      <c r="D587" s="56" t="s">
        <v>848</v>
      </c>
      <c r="E587" s="56" t="s">
        <v>111</v>
      </c>
      <c r="F587" s="57" t="s">
        <v>154</v>
      </c>
      <c r="G587" s="61"/>
      <c r="H587" s="61"/>
      <c r="I587" s="62"/>
      <c r="J587" s="53"/>
    </row>
    <row r="588" ht="24.75" hidden="1" customHeight="1">
      <c r="A588" s="54" t="s">
        <v>831</v>
      </c>
      <c r="B588" s="56" t="s">
        <v>847</v>
      </c>
      <c r="C588" s="56" t="s">
        <v>838</v>
      </c>
      <c r="D588" s="56" t="s">
        <v>848</v>
      </c>
      <c r="E588" s="56" t="s">
        <v>844</v>
      </c>
      <c r="F588" s="57" t="s">
        <v>154</v>
      </c>
      <c r="G588" s="61"/>
      <c r="H588" s="61"/>
      <c r="I588" s="62"/>
      <c r="J588" s="53"/>
    </row>
    <row r="589" ht="24.75" customHeight="1">
      <c r="A589" s="54" t="s">
        <v>831</v>
      </c>
      <c r="B589" s="56" t="s">
        <v>847</v>
      </c>
      <c r="C589" s="56" t="s">
        <v>838</v>
      </c>
      <c r="D589" s="56" t="s">
        <v>848</v>
      </c>
      <c r="E589" s="56" t="s">
        <v>797</v>
      </c>
      <c r="F589" s="57" t="s">
        <v>250</v>
      </c>
      <c r="G589" s="61"/>
      <c r="H589" s="61" t="s">
        <v>592</v>
      </c>
      <c r="I589" s="62" t="s">
        <v>855</v>
      </c>
      <c r="J589" s="53"/>
    </row>
    <row r="590" ht="24.75" hidden="1" customHeight="1">
      <c r="A590" s="54" t="s">
        <v>831</v>
      </c>
      <c r="B590" s="56" t="s">
        <v>849</v>
      </c>
      <c r="C590" s="56" t="s">
        <v>833</v>
      </c>
      <c r="D590" s="56" t="s">
        <v>850</v>
      </c>
      <c r="E590" s="56" t="s">
        <v>336</v>
      </c>
      <c r="F590" s="57" t="s">
        <v>192</v>
      </c>
      <c r="G590" s="61"/>
      <c r="H590" s="61"/>
      <c r="I590" s="62"/>
      <c r="J590" s="53"/>
    </row>
    <row r="591" ht="24.75" customHeight="1">
      <c r="A591" s="54" t="s">
        <v>831</v>
      </c>
      <c r="B591" s="56" t="s">
        <v>851</v>
      </c>
      <c r="C591" s="56" t="s">
        <v>852</v>
      </c>
      <c r="D591" s="56" t="s">
        <v>853</v>
      </c>
      <c r="E591" s="56" t="s">
        <v>854</v>
      </c>
      <c r="F591" s="57" t="s">
        <v>250</v>
      </c>
      <c r="G591" s="61"/>
      <c r="H591" s="61" t="s">
        <v>592</v>
      </c>
      <c r="I591" s="62" t="s">
        <v>864</v>
      </c>
      <c r="J591" s="53"/>
    </row>
    <row r="592" ht="24.75" hidden="1" customHeight="1">
      <c r="A592" s="54" t="s">
        <v>831</v>
      </c>
      <c r="B592" s="56" t="s">
        <v>851</v>
      </c>
      <c r="C592" s="56" t="s">
        <v>852</v>
      </c>
      <c r="D592" s="56" t="s">
        <v>853</v>
      </c>
      <c r="E592" s="56" t="s">
        <v>824</v>
      </c>
      <c r="F592" s="57" t="s">
        <v>154</v>
      </c>
      <c r="G592" s="61"/>
      <c r="H592" s="61"/>
      <c r="I592" s="62"/>
      <c r="J592" s="53"/>
    </row>
    <row r="593" ht="24.75" hidden="1" customHeight="1">
      <c r="A593" s="54" t="s">
        <v>831</v>
      </c>
      <c r="B593" s="56" t="s">
        <v>851</v>
      </c>
      <c r="C593" s="56" t="s">
        <v>852</v>
      </c>
      <c r="D593" s="56" t="s">
        <v>853</v>
      </c>
      <c r="E593" s="56" t="s">
        <v>111</v>
      </c>
      <c r="F593" s="57" t="s">
        <v>192</v>
      </c>
      <c r="G593" s="61"/>
      <c r="H593" s="61"/>
      <c r="I593" s="62"/>
      <c r="J593" s="53"/>
    </row>
    <row r="594" ht="24.75" hidden="1" customHeight="1">
      <c r="A594" s="54" t="s">
        <v>831</v>
      </c>
      <c r="B594" s="56" t="s">
        <v>851</v>
      </c>
      <c r="C594" s="56" t="s">
        <v>852</v>
      </c>
      <c r="D594" s="56" t="s">
        <v>853</v>
      </c>
      <c r="E594" s="56" t="s">
        <v>856</v>
      </c>
      <c r="F594" s="57" t="s">
        <v>192</v>
      </c>
      <c r="G594" s="61"/>
      <c r="H594" s="61"/>
      <c r="I594" s="62"/>
      <c r="J594" s="53"/>
    </row>
    <row r="595" ht="24.75" hidden="1" customHeight="1">
      <c r="A595" s="54" t="s">
        <v>831</v>
      </c>
      <c r="B595" s="56" t="s">
        <v>851</v>
      </c>
      <c r="C595" s="56" t="s">
        <v>852</v>
      </c>
      <c r="D595" s="56" t="s">
        <v>853</v>
      </c>
      <c r="E595" s="56" t="s">
        <v>857</v>
      </c>
      <c r="F595" s="57" t="s">
        <v>192</v>
      </c>
      <c r="G595" s="61"/>
      <c r="H595" s="61"/>
      <c r="I595" s="62"/>
      <c r="J595" s="53"/>
    </row>
    <row r="596" ht="24.75" hidden="1" customHeight="1">
      <c r="A596" s="54" t="s">
        <v>831</v>
      </c>
      <c r="B596" s="56" t="s">
        <v>858</v>
      </c>
      <c r="C596" s="56" t="s">
        <v>838</v>
      </c>
      <c r="D596" s="56" t="s">
        <v>859</v>
      </c>
      <c r="E596" s="56" t="s">
        <v>111</v>
      </c>
      <c r="F596" s="57" t="s">
        <v>154</v>
      </c>
      <c r="G596" s="61"/>
      <c r="H596" s="61"/>
      <c r="I596" s="62"/>
      <c r="J596" s="53"/>
    </row>
    <row r="597" ht="24.75" hidden="1" customHeight="1">
      <c r="A597" s="54" t="s">
        <v>831</v>
      </c>
      <c r="B597" s="56" t="s">
        <v>858</v>
      </c>
      <c r="C597" s="56" t="s">
        <v>838</v>
      </c>
      <c r="D597" s="56" t="s">
        <v>859</v>
      </c>
      <c r="E597" s="56" t="s">
        <v>824</v>
      </c>
      <c r="F597" s="57" t="s">
        <v>154</v>
      </c>
      <c r="G597" s="61"/>
      <c r="H597" s="61"/>
      <c r="I597" s="62"/>
      <c r="J597" s="53"/>
    </row>
    <row r="598" ht="24.75" customHeight="1">
      <c r="A598" s="54" t="s">
        <v>831</v>
      </c>
      <c r="B598" s="56" t="s">
        <v>858</v>
      </c>
      <c r="C598" s="56" t="s">
        <v>838</v>
      </c>
      <c r="D598" s="56" t="s">
        <v>859</v>
      </c>
      <c r="E598" s="56" t="s">
        <v>797</v>
      </c>
      <c r="F598" s="57" t="s">
        <v>250</v>
      </c>
      <c r="G598" s="61"/>
      <c r="H598" s="61" t="s">
        <v>592</v>
      </c>
      <c r="I598" s="62" t="s">
        <v>872</v>
      </c>
      <c r="J598" s="53"/>
    </row>
    <row r="599" ht="24.75" customHeight="1">
      <c r="A599" s="54" t="s">
        <v>831</v>
      </c>
      <c r="B599" s="56" t="s">
        <v>860</v>
      </c>
      <c r="C599" s="56" t="s">
        <v>852</v>
      </c>
      <c r="D599" s="56" t="s">
        <v>861</v>
      </c>
      <c r="E599" s="56" t="s">
        <v>854</v>
      </c>
      <c r="F599" s="57" t="s">
        <v>250</v>
      </c>
      <c r="G599" s="61"/>
      <c r="H599" s="61" t="s">
        <v>592</v>
      </c>
      <c r="I599" s="62" t="s">
        <v>864</v>
      </c>
      <c r="J599" s="53"/>
    </row>
    <row r="600" ht="24.75" hidden="1" customHeight="1">
      <c r="A600" s="54" t="s">
        <v>831</v>
      </c>
      <c r="B600" s="56" t="s">
        <v>860</v>
      </c>
      <c r="C600" s="56" t="s">
        <v>852</v>
      </c>
      <c r="D600" s="56" t="s">
        <v>861</v>
      </c>
      <c r="E600" s="56" t="s">
        <v>824</v>
      </c>
      <c r="F600" s="57" t="s">
        <v>154</v>
      </c>
      <c r="G600" s="61"/>
      <c r="H600" s="61"/>
      <c r="I600" s="62"/>
      <c r="J600" s="53"/>
    </row>
    <row r="601" ht="24.75" hidden="1" customHeight="1">
      <c r="A601" s="54" t="s">
        <v>831</v>
      </c>
      <c r="B601" s="56" t="s">
        <v>860</v>
      </c>
      <c r="C601" s="56" t="s">
        <v>852</v>
      </c>
      <c r="D601" s="56" t="s">
        <v>861</v>
      </c>
      <c r="E601" s="56" t="s">
        <v>856</v>
      </c>
      <c r="F601" s="57" t="s">
        <v>154</v>
      </c>
      <c r="G601" s="61"/>
      <c r="H601" s="61"/>
      <c r="I601" s="62"/>
      <c r="J601" s="53"/>
    </row>
    <row r="602" ht="24.75" hidden="1" customHeight="1">
      <c r="A602" s="54" t="s">
        <v>831</v>
      </c>
      <c r="B602" s="56" t="s">
        <v>860</v>
      </c>
      <c r="C602" s="56" t="s">
        <v>852</v>
      </c>
      <c r="D602" s="56" t="s">
        <v>861</v>
      </c>
      <c r="E602" s="56" t="s">
        <v>111</v>
      </c>
      <c r="F602" s="57" t="s">
        <v>192</v>
      </c>
      <c r="G602" s="61"/>
      <c r="H602" s="61"/>
      <c r="I602" s="62"/>
      <c r="J602" s="53"/>
    </row>
    <row r="603" ht="24.75" hidden="1" customHeight="1">
      <c r="A603" s="54" t="s">
        <v>831</v>
      </c>
      <c r="B603" s="56" t="s">
        <v>860</v>
      </c>
      <c r="C603" s="56" t="s">
        <v>852</v>
      </c>
      <c r="D603" s="56" t="s">
        <v>861</v>
      </c>
      <c r="E603" s="56" t="s">
        <v>857</v>
      </c>
      <c r="F603" s="57" t="s">
        <v>192</v>
      </c>
      <c r="G603" s="61"/>
      <c r="H603" s="61"/>
      <c r="I603" s="62"/>
      <c r="J603" s="53"/>
    </row>
    <row r="604" ht="24.75" hidden="1" customHeight="1">
      <c r="A604" s="54" t="s">
        <v>831</v>
      </c>
      <c r="B604" s="56" t="s">
        <v>862</v>
      </c>
      <c r="C604" s="56" t="s">
        <v>838</v>
      </c>
      <c r="D604" s="56" t="s">
        <v>863</v>
      </c>
      <c r="E604" s="56" t="s">
        <v>111</v>
      </c>
      <c r="F604" s="57" t="s">
        <v>154</v>
      </c>
      <c r="G604" s="61"/>
      <c r="H604" s="61"/>
      <c r="I604" s="62"/>
      <c r="J604" s="53"/>
    </row>
    <row r="605" ht="24.75" hidden="1" customHeight="1">
      <c r="A605" s="54" t="s">
        <v>831</v>
      </c>
      <c r="B605" s="56" t="s">
        <v>862</v>
      </c>
      <c r="C605" s="56" t="s">
        <v>838</v>
      </c>
      <c r="D605" s="56" t="s">
        <v>863</v>
      </c>
      <c r="E605" s="56" t="s">
        <v>824</v>
      </c>
      <c r="F605" s="57" t="s">
        <v>154</v>
      </c>
      <c r="G605" s="61"/>
      <c r="H605" s="61"/>
      <c r="I605" s="62"/>
      <c r="J605" s="53"/>
    </row>
    <row r="606" ht="24.75" customHeight="1">
      <c r="A606" s="54" t="s">
        <v>831</v>
      </c>
      <c r="B606" s="56" t="s">
        <v>862</v>
      </c>
      <c r="C606" s="56" t="s">
        <v>838</v>
      </c>
      <c r="D606" s="56" t="s">
        <v>863</v>
      </c>
      <c r="E606" s="56" t="s">
        <v>797</v>
      </c>
      <c r="F606" s="57" t="s">
        <v>250</v>
      </c>
      <c r="G606" s="61"/>
      <c r="H606" s="61" t="s">
        <v>592</v>
      </c>
      <c r="I606" s="62" t="s">
        <v>872</v>
      </c>
      <c r="J606" s="53"/>
    </row>
    <row r="607" ht="24.75" hidden="1" customHeight="1">
      <c r="A607" s="54" t="s">
        <v>831</v>
      </c>
      <c r="B607" s="56" t="s">
        <v>865</v>
      </c>
      <c r="C607" s="56" t="s">
        <v>838</v>
      </c>
      <c r="D607" s="56" t="s">
        <v>866</v>
      </c>
      <c r="E607" s="56" t="s">
        <v>867</v>
      </c>
      <c r="F607" s="57" t="s">
        <v>154</v>
      </c>
      <c r="G607" s="61"/>
      <c r="H607" s="61"/>
      <c r="I607" s="62"/>
      <c r="J607" s="53"/>
    </row>
    <row r="608" ht="24.75" hidden="1" customHeight="1">
      <c r="A608" s="54" t="s">
        <v>831</v>
      </c>
      <c r="B608" s="56" t="s">
        <v>865</v>
      </c>
      <c r="C608" s="56" t="s">
        <v>838</v>
      </c>
      <c r="D608" s="56" t="s">
        <v>866</v>
      </c>
      <c r="E608" s="56" t="s">
        <v>868</v>
      </c>
      <c r="F608" s="57" t="s">
        <v>154</v>
      </c>
      <c r="G608" s="61"/>
      <c r="H608" s="61"/>
      <c r="I608" s="62"/>
      <c r="J608" s="53"/>
    </row>
    <row r="609" ht="24.75" hidden="1" customHeight="1">
      <c r="A609" s="54" t="s">
        <v>831</v>
      </c>
      <c r="B609" s="56" t="s">
        <v>869</v>
      </c>
      <c r="C609" s="56" t="s">
        <v>833</v>
      </c>
      <c r="D609" s="56" t="s">
        <v>850</v>
      </c>
      <c r="E609" s="56" t="s">
        <v>870</v>
      </c>
      <c r="F609" s="57" t="s">
        <v>154</v>
      </c>
      <c r="G609" s="61"/>
      <c r="H609" s="61"/>
      <c r="I609" s="62"/>
      <c r="J609" s="53"/>
    </row>
    <row r="610" ht="24.75" hidden="1" customHeight="1">
      <c r="A610" s="54" t="s">
        <v>831</v>
      </c>
      <c r="B610" s="56" t="s">
        <v>869</v>
      </c>
      <c r="C610" s="56" t="s">
        <v>833</v>
      </c>
      <c r="D610" s="56" t="s">
        <v>850</v>
      </c>
      <c r="E610" s="56" t="s">
        <v>871</v>
      </c>
      <c r="F610" s="57" t="s">
        <v>192</v>
      </c>
      <c r="G610" s="61"/>
      <c r="H610" s="61"/>
      <c r="I610" s="62"/>
      <c r="J610" s="53"/>
    </row>
    <row r="611" ht="15.75" hidden="1" customHeight="1">
      <c r="A611" s="54"/>
      <c r="B611" s="56"/>
      <c r="C611" s="56"/>
      <c r="D611" s="56"/>
      <c r="E611" s="56"/>
      <c r="F611" s="57"/>
      <c r="G611" s="61"/>
      <c r="H611" s="61"/>
      <c r="I611" s="62"/>
      <c r="J611" s="53"/>
    </row>
  </sheetData>
  <autoFilter ref="$A$4:$GF$611">
    <filterColumn colId="5">
      <filters>
        <filter val="JAN, FEV, MAR, ABR, MAI, JUN, JUL, AGO, SET, OUT, NOV, DEZ"/>
        <filter val="MAR, JUN, SET, DEZ"/>
      </filters>
    </filterColumn>
    <sortState ref="A4:GF611">
      <sortCondition ref="A4:A611"/>
    </sortState>
  </autoFilter>
  <mergeCells count="2">
    <mergeCell ref="I1:J3"/>
    <mergeCell ref="H2:H3"/>
  </mergeCells>
  <printOptions/>
  <pageMargins bottom="0.7480314960629921" footer="0.0" header="0.0" left="0.2362204724409449" right="0.2362204724409449" top="0.35433070866141736"/>
  <pageSetup fitToHeight="0" paperSize="9" orientation="landscape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46.86"/>
    <col customWidth="1" min="6" max="6" width="12.0"/>
    <col customWidth="1" hidden="1" min="7" max="7" width="6.86"/>
    <col customWidth="1" min="8" max="8" width="26.57"/>
    <col customWidth="1" min="9" max="9" width="31.86"/>
    <col customWidth="1" min="10" max="10" width="15.71"/>
  </cols>
  <sheetData>
    <row r="1" ht="24.75" customHeight="1">
      <c r="I1" s="25" t="s">
        <v>11</v>
      </c>
    </row>
    <row r="2" ht="24.75" customHeight="1">
      <c r="A2" s="1"/>
      <c r="B2" s="2"/>
      <c r="C2" s="2"/>
      <c r="D2" s="2"/>
      <c r="E2" s="2"/>
      <c r="F2" s="3"/>
      <c r="G2" s="8"/>
      <c r="H2" s="10"/>
    </row>
    <row r="3" ht="24.75" customHeight="1">
      <c r="A3" s="8"/>
      <c r="B3" s="9"/>
      <c r="C3" s="9"/>
      <c r="D3" s="9"/>
      <c r="E3" s="9"/>
      <c r="F3" s="2"/>
      <c r="G3" s="8"/>
      <c r="H3" s="35"/>
      <c r="I3" s="35"/>
      <c r="J3" s="35"/>
    </row>
    <row r="4" ht="51.0" customHeight="1">
      <c r="A4" s="39" t="s">
        <v>17</v>
      </c>
      <c r="B4" s="39" t="s">
        <v>18</v>
      </c>
      <c r="C4" s="39" t="s">
        <v>19</v>
      </c>
      <c r="D4" s="39" t="s">
        <v>20</v>
      </c>
      <c r="E4" s="39" t="s">
        <v>21</v>
      </c>
      <c r="F4" s="39" t="s">
        <v>22</v>
      </c>
      <c r="G4" s="40" t="s">
        <v>23</v>
      </c>
      <c r="H4" s="39" t="s">
        <v>24</v>
      </c>
      <c r="I4" s="42" t="s">
        <v>26</v>
      </c>
      <c r="J4" s="39" t="s">
        <v>25</v>
      </c>
    </row>
    <row r="5" ht="24.75" hidden="1" customHeight="1">
      <c r="A5" s="44">
        <v>10.0</v>
      </c>
      <c r="B5" s="47" t="s">
        <v>27</v>
      </c>
      <c r="C5" s="47" t="s">
        <v>29</v>
      </c>
      <c r="D5" s="47" t="s">
        <v>29</v>
      </c>
      <c r="E5" s="47" t="s">
        <v>32</v>
      </c>
      <c r="F5" s="48" t="s">
        <v>34</v>
      </c>
      <c r="G5" s="50"/>
      <c r="H5" s="51"/>
      <c r="I5" s="52"/>
      <c r="J5" s="53"/>
    </row>
    <row r="6" ht="24.75" customHeight="1">
      <c r="A6" s="54">
        <v>20.0</v>
      </c>
      <c r="B6" s="56" t="s">
        <v>83</v>
      </c>
      <c r="C6" s="56" t="s">
        <v>84</v>
      </c>
      <c r="D6" s="56" t="s">
        <v>85</v>
      </c>
      <c r="E6" s="56" t="s">
        <v>86</v>
      </c>
      <c r="F6" s="57" t="s">
        <v>87</v>
      </c>
      <c r="G6" s="58"/>
      <c r="H6" s="58"/>
      <c r="I6" s="60" t="s">
        <v>88</v>
      </c>
      <c r="J6" s="59"/>
    </row>
    <row r="7" ht="24.75" hidden="1" customHeight="1">
      <c r="A7" s="54">
        <v>20.0</v>
      </c>
      <c r="B7" s="56" t="s">
        <v>89</v>
      </c>
      <c r="C7" s="56" t="s">
        <v>90</v>
      </c>
      <c r="D7" s="56" t="s">
        <v>91</v>
      </c>
      <c r="E7" s="56"/>
      <c r="F7" s="57" t="s">
        <v>34</v>
      </c>
      <c r="G7" s="61"/>
      <c r="H7" s="61"/>
      <c r="I7" s="62"/>
      <c r="J7" s="53"/>
    </row>
    <row r="8" ht="24.75" hidden="1" customHeight="1">
      <c r="A8" s="54">
        <v>20.0</v>
      </c>
      <c r="B8" s="56" t="s">
        <v>95</v>
      </c>
      <c r="C8" s="56" t="s">
        <v>90</v>
      </c>
      <c r="D8" s="56" t="s">
        <v>96</v>
      </c>
      <c r="E8" s="56" t="s">
        <v>97</v>
      </c>
      <c r="F8" s="57" t="s">
        <v>34</v>
      </c>
      <c r="G8" s="61"/>
      <c r="H8" s="61"/>
      <c r="I8" s="62"/>
      <c r="J8" s="53"/>
    </row>
    <row r="9" ht="24.75" hidden="1" customHeight="1">
      <c r="A9" s="54">
        <v>20.0</v>
      </c>
      <c r="B9" s="56" t="s">
        <v>98</v>
      </c>
      <c r="C9" s="56" t="s">
        <v>90</v>
      </c>
      <c r="D9" s="56" t="s">
        <v>99</v>
      </c>
      <c r="E9" s="56" t="s">
        <v>97</v>
      </c>
      <c r="F9" s="57" t="s">
        <v>34</v>
      </c>
      <c r="G9" s="61"/>
      <c r="H9" s="61"/>
      <c r="I9" s="62"/>
      <c r="J9" s="53"/>
    </row>
    <row r="10" ht="24.75" hidden="1" customHeight="1">
      <c r="A10" s="54">
        <v>20.0</v>
      </c>
      <c r="B10" s="56" t="s">
        <v>100</v>
      </c>
      <c r="C10" s="56" t="s">
        <v>101</v>
      </c>
      <c r="D10" s="56" t="s">
        <v>102</v>
      </c>
      <c r="E10" s="56" t="s">
        <v>103</v>
      </c>
      <c r="F10" s="57" t="s">
        <v>34</v>
      </c>
      <c r="G10" s="61"/>
      <c r="H10" s="61"/>
      <c r="I10" s="62"/>
      <c r="J10" s="53"/>
    </row>
    <row r="11" ht="24.75" customHeight="1">
      <c r="A11" s="54">
        <v>30.0</v>
      </c>
      <c r="B11" s="56" t="s">
        <v>108</v>
      </c>
      <c r="C11" s="56" t="s">
        <v>109</v>
      </c>
      <c r="D11" s="56" t="s">
        <v>110</v>
      </c>
      <c r="E11" s="56" t="s">
        <v>111</v>
      </c>
      <c r="F11" s="57" t="s">
        <v>87</v>
      </c>
      <c r="G11" s="61"/>
      <c r="H11" s="61"/>
      <c r="I11" s="60"/>
      <c r="J11" s="53"/>
    </row>
    <row r="12" ht="24.75" customHeight="1">
      <c r="A12" s="54">
        <v>30.0</v>
      </c>
      <c r="B12" s="56" t="s">
        <v>113</v>
      </c>
      <c r="C12" s="56" t="s">
        <v>109</v>
      </c>
      <c r="D12" s="56" t="s">
        <v>114</v>
      </c>
      <c r="E12" s="56" t="s">
        <v>111</v>
      </c>
      <c r="F12" s="57" t="s">
        <v>87</v>
      </c>
      <c r="G12" s="61"/>
      <c r="H12" s="61"/>
      <c r="I12" s="60"/>
      <c r="J12" s="53"/>
    </row>
    <row r="13" ht="24.75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118</v>
      </c>
      <c r="F13" s="57" t="s">
        <v>87</v>
      </c>
      <c r="G13" s="61"/>
      <c r="H13" s="61"/>
      <c r="I13" s="60"/>
      <c r="J13" s="53"/>
    </row>
    <row r="14" ht="24.75" hidden="1" customHeight="1">
      <c r="A14" s="54">
        <v>30.0</v>
      </c>
      <c r="B14" s="56" t="s">
        <v>116</v>
      </c>
      <c r="C14" s="56" t="s">
        <v>109</v>
      </c>
      <c r="D14" s="56" t="s">
        <v>117</v>
      </c>
      <c r="E14" s="56" t="s">
        <v>119</v>
      </c>
      <c r="F14" s="57" t="s">
        <v>34</v>
      </c>
      <c r="G14" s="61"/>
      <c r="H14" s="61"/>
      <c r="I14" s="62"/>
      <c r="J14" s="53"/>
    </row>
    <row r="15" ht="24.75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111</v>
      </c>
      <c r="F15" s="57" t="s">
        <v>87</v>
      </c>
      <c r="G15" s="61"/>
      <c r="H15" s="61"/>
      <c r="I15" s="60"/>
      <c r="J15" s="53"/>
    </row>
    <row r="16" ht="24.75" hidden="1" customHeight="1">
      <c r="A16" s="54">
        <v>30.0</v>
      </c>
      <c r="B16" s="56" t="s">
        <v>120</v>
      </c>
      <c r="C16" s="56" t="s">
        <v>109</v>
      </c>
      <c r="D16" s="56" t="s">
        <v>121</v>
      </c>
      <c r="E16" s="56" t="s">
        <v>122</v>
      </c>
      <c r="F16" s="57" t="s">
        <v>34</v>
      </c>
      <c r="G16" s="61"/>
      <c r="H16" s="61"/>
      <c r="I16" s="62"/>
      <c r="J16" s="53"/>
    </row>
    <row r="17" ht="24.75" customHeight="1">
      <c r="A17" s="54">
        <v>30.0</v>
      </c>
      <c r="B17" s="56" t="s">
        <v>123</v>
      </c>
      <c r="C17" s="56" t="s">
        <v>109</v>
      </c>
      <c r="D17" s="56" t="s">
        <v>124</v>
      </c>
      <c r="E17" s="56" t="s">
        <v>86</v>
      </c>
      <c r="F17" s="57" t="s">
        <v>87</v>
      </c>
      <c r="G17" s="61"/>
      <c r="H17" s="61"/>
      <c r="I17" s="60"/>
      <c r="J17" s="53"/>
    </row>
    <row r="18" ht="24.75" hidden="1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129</v>
      </c>
      <c r="F18" s="57" t="s">
        <v>34</v>
      </c>
      <c r="G18" s="61"/>
      <c r="H18" s="61"/>
      <c r="I18" s="62" t="s">
        <v>133</v>
      </c>
      <c r="J18" s="53"/>
    </row>
    <row r="19" ht="24.75" hidden="1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132</v>
      </c>
      <c r="F19" s="57" t="s">
        <v>34</v>
      </c>
      <c r="G19" s="61"/>
      <c r="H19" s="61"/>
      <c r="I19" s="62" t="s">
        <v>133</v>
      </c>
      <c r="J19" s="53"/>
    </row>
    <row r="20" ht="24.75" hidden="1" customHeight="1">
      <c r="A20" s="54">
        <v>31.0</v>
      </c>
      <c r="B20" s="56" t="s">
        <v>126</v>
      </c>
      <c r="C20" s="56" t="s">
        <v>127</v>
      </c>
      <c r="D20" s="56" t="s">
        <v>128</v>
      </c>
      <c r="E20" s="56" t="s">
        <v>134</v>
      </c>
      <c r="F20" s="57" t="s">
        <v>34</v>
      </c>
      <c r="G20" s="61"/>
      <c r="H20" s="61"/>
      <c r="I20" s="62" t="s">
        <v>133</v>
      </c>
      <c r="J20" s="53"/>
    </row>
    <row r="21" ht="24.75" hidden="1" customHeight="1">
      <c r="A21" s="54">
        <v>40.0</v>
      </c>
      <c r="B21" s="56" t="s">
        <v>135</v>
      </c>
      <c r="C21" s="56" t="s">
        <v>136</v>
      </c>
      <c r="D21" s="56" t="s">
        <v>137</v>
      </c>
      <c r="E21" s="56" t="s">
        <v>111</v>
      </c>
      <c r="F21" s="57" t="s">
        <v>34</v>
      </c>
      <c r="G21" s="61"/>
      <c r="H21" s="61"/>
      <c r="I21" s="62"/>
      <c r="J21" s="53"/>
    </row>
    <row r="22" ht="24.75" hidden="1" customHeight="1">
      <c r="A22" s="54">
        <v>40.0</v>
      </c>
      <c r="B22" s="56" t="s">
        <v>139</v>
      </c>
      <c r="C22" s="56" t="s">
        <v>101</v>
      </c>
      <c r="D22" s="56" t="s">
        <v>102</v>
      </c>
      <c r="E22" s="56" t="s">
        <v>111</v>
      </c>
      <c r="F22" s="57" t="s">
        <v>34</v>
      </c>
      <c r="G22" s="61"/>
      <c r="H22" s="61"/>
      <c r="I22" s="62"/>
      <c r="J22" s="53"/>
    </row>
    <row r="23" ht="24.75" hidden="1" customHeight="1">
      <c r="A23" s="54">
        <v>40.0</v>
      </c>
      <c r="B23" s="56" t="s">
        <v>140</v>
      </c>
      <c r="C23" s="56" t="s">
        <v>141</v>
      </c>
      <c r="D23" s="56" t="s">
        <v>142</v>
      </c>
      <c r="E23" s="56" t="s">
        <v>111</v>
      </c>
      <c r="F23" s="57" t="s">
        <v>34</v>
      </c>
      <c r="G23" s="61"/>
      <c r="H23" s="61"/>
      <c r="I23" s="62"/>
      <c r="J23" s="53"/>
    </row>
    <row r="24" ht="24.75" hidden="1" customHeight="1">
      <c r="A24" s="54">
        <v>40.0</v>
      </c>
      <c r="B24" s="56" t="s">
        <v>143</v>
      </c>
      <c r="C24" s="56" t="s">
        <v>144</v>
      </c>
      <c r="D24" s="56" t="s">
        <v>145</v>
      </c>
      <c r="E24" s="56" t="s">
        <v>111</v>
      </c>
      <c r="F24" s="57" t="s">
        <v>34</v>
      </c>
      <c r="G24" s="61"/>
      <c r="H24" s="61"/>
      <c r="I24" s="62"/>
      <c r="J24" s="53"/>
    </row>
    <row r="25" ht="24.75" hidden="1" customHeight="1">
      <c r="A25" s="54">
        <v>50.0</v>
      </c>
      <c r="B25" s="56" t="s">
        <v>147</v>
      </c>
      <c r="C25" s="56" t="s">
        <v>148</v>
      </c>
      <c r="D25" s="56" t="s">
        <v>149</v>
      </c>
      <c r="E25" s="56" t="s">
        <v>150</v>
      </c>
      <c r="F25" s="57" t="s">
        <v>34</v>
      </c>
      <c r="G25" s="61"/>
      <c r="H25" s="61"/>
      <c r="I25" s="62"/>
      <c r="J25" s="53"/>
    </row>
    <row r="26" ht="24.75" hidden="1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111</v>
      </c>
      <c r="F26" s="57" t="s">
        <v>34</v>
      </c>
      <c r="G26" s="61"/>
      <c r="H26" s="61"/>
      <c r="I26" s="62"/>
      <c r="J26" s="53"/>
    </row>
    <row r="27" ht="24.75" hidden="1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153</v>
      </c>
      <c r="F27" s="57" t="s">
        <v>154</v>
      </c>
      <c r="G27" s="61"/>
      <c r="H27" s="61"/>
      <c r="I27" s="62"/>
      <c r="J27" s="53"/>
    </row>
    <row r="28" ht="24.75" hidden="1" customHeight="1">
      <c r="A28" s="54">
        <v>50.0</v>
      </c>
      <c r="B28" s="56" t="s">
        <v>151</v>
      </c>
      <c r="C28" s="56" t="s">
        <v>152</v>
      </c>
      <c r="D28" s="56" t="s">
        <v>152</v>
      </c>
      <c r="E28" s="56" t="s">
        <v>155</v>
      </c>
      <c r="F28" s="57" t="s">
        <v>250</v>
      </c>
      <c r="G28" s="61"/>
      <c r="H28" s="61" t="s">
        <v>159</v>
      </c>
      <c r="I28" s="62" t="s">
        <v>160</v>
      </c>
      <c r="J28" s="53"/>
    </row>
    <row r="29" ht="24.75" hidden="1" customHeight="1">
      <c r="A29" s="54">
        <v>50.0</v>
      </c>
      <c r="B29" s="56" t="s">
        <v>156</v>
      </c>
      <c r="C29" s="56" t="s">
        <v>152</v>
      </c>
      <c r="D29" s="56" t="s">
        <v>157</v>
      </c>
      <c r="E29" s="56" t="s">
        <v>158</v>
      </c>
      <c r="F29" s="57" t="s">
        <v>34</v>
      </c>
      <c r="G29" s="61"/>
      <c r="H29" s="61"/>
      <c r="I29" s="62"/>
      <c r="J29" s="53"/>
    </row>
    <row r="30" ht="24.75" hidden="1" customHeight="1">
      <c r="A30" s="54">
        <v>50.0</v>
      </c>
      <c r="B30" s="56" t="s">
        <v>161</v>
      </c>
      <c r="C30" s="56" t="s">
        <v>152</v>
      </c>
      <c r="D30" s="56" t="s">
        <v>162</v>
      </c>
      <c r="E30" s="56" t="s">
        <v>163</v>
      </c>
      <c r="F30" s="57" t="s">
        <v>34</v>
      </c>
      <c r="G30" s="61"/>
      <c r="H30" s="61"/>
      <c r="I30" s="62"/>
      <c r="J30" s="53"/>
    </row>
    <row r="31" ht="24.75" hidden="1" customHeight="1">
      <c r="A31" s="54">
        <v>60.0</v>
      </c>
      <c r="B31" s="56" t="s">
        <v>164</v>
      </c>
      <c r="C31" s="56" t="s">
        <v>165</v>
      </c>
      <c r="D31" s="56" t="s">
        <v>166</v>
      </c>
      <c r="E31" s="56" t="s">
        <v>167</v>
      </c>
      <c r="F31" s="57" t="s">
        <v>154</v>
      </c>
      <c r="G31" s="61"/>
      <c r="H31" s="61"/>
      <c r="I31" s="62"/>
      <c r="J31" s="53"/>
    </row>
    <row r="32" ht="24.75" hidden="1" customHeight="1">
      <c r="A32" s="54">
        <v>60.0</v>
      </c>
      <c r="B32" s="56" t="s">
        <v>169</v>
      </c>
      <c r="C32" s="56" t="s">
        <v>165</v>
      </c>
      <c r="D32" s="56" t="s">
        <v>170</v>
      </c>
      <c r="E32" s="56" t="s">
        <v>167</v>
      </c>
      <c r="F32" s="57" t="s">
        <v>154</v>
      </c>
      <c r="G32" s="61"/>
      <c r="H32" s="61"/>
      <c r="I32" s="62"/>
      <c r="J32" s="53"/>
    </row>
    <row r="33" ht="24.75" hidden="1" customHeight="1">
      <c r="A33" s="54">
        <v>60.0</v>
      </c>
      <c r="B33" s="56" t="s">
        <v>171</v>
      </c>
      <c r="C33" s="56" t="s">
        <v>165</v>
      </c>
      <c r="D33" s="56" t="s">
        <v>172</v>
      </c>
      <c r="E33" s="56" t="s">
        <v>167</v>
      </c>
      <c r="F33" s="57" t="s">
        <v>154</v>
      </c>
      <c r="G33" s="61"/>
      <c r="H33" s="61"/>
      <c r="I33" s="62"/>
      <c r="J33" s="53"/>
    </row>
    <row r="34" ht="24.75" hidden="1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167</v>
      </c>
      <c r="F34" s="57" t="s">
        <v>154</v>
      </c>
      <c r="G34" s="61"/>
      <c r="H34" s="61"/>
      <c r="I34" s="62"/>
      <c r="J34" s="53"/>
    </row>
    <row r="35" ht="24.75" hidden="1" customHeight="1">
      <c r="A35" s="54">
        <v>60.0</v>
      </c>
      <c r="B35" s="56" t="s">
        <v>174</v>
      </c>
      <c r="C35" s="56" t="s">
        <v>165</v>
      </c>
      <c r="D35" s="56" t="s">
        <v>175</v>
      </c>
      <c r="E35" s="56" t="s">
        <v>176</v>
      </c>
      <c r="F35" s="57" t="s">
        <v>154</v>
      </c>
      <c r="G35" s="61"/>
      <c r="H35" s="61"/>
      <c r="I35" s="62"/>
      <c r="J35" s="53"/>
    </row>
    <row r="36" ht="24.75" hidden="1" customHeight="1">
      <c r="A36" s="54">
        <v>60.0</v>
      </c>
      <c r="B36" s="56" t="s">
        <v>177</v>
      </c>
      <c r="C36" s="56" t="s">
        <v>165</v>
      </c>
      <c r="D36" s="56" t="s">
        <v>178</v>
      </c>
      <c r="E36" s="56" t="s">
        <v>111</v>
      </c>
      <c r="F36" s="57" t="s">
        <v>154</v>
      </c>
      <c r="G36" s="61"/>
      <c r="H36" s="61"/>
      <c r="I36" s="62"/>
      <c r="J36" s="53"/>
    </row>
    <row r="37" ht="24.75" hidden="1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167</v>
      </c>
      <c r="F37" s="57" t="s">
        <v>154</v>
      </c>
      <c r="G37" s="61"/>
      <c r="H37" s="61"/>
      <c r="I37" s="62"/>
      <c r="J37" s="53"/>
    </row>
    <row r="38" ht="24.75" hidden="1" customHeight="1">
      <c r="A38" s="54">
        <v>60.0</v>
      </c>
      <c r="B38" s="56" t="s">
        <v>179</v>
      </c>
      <c r="C38" s="56" t="s">
        <v>165</v>
      </c>
      <c r="D38" s="56" t="s">
        <v>180</v>
      </c>
      <c r="E38" s="56" t="s">
        <v>176</v>
      </c>
      <c r="F38" s="57" t="s">
        <v>154</v>
      </c>
      <c r="G38" s="61"/>
      <c r="H38" s="61"/>
      <c r="I38" s="62"/>
      <c r="J38" s="53"/>
    </row>
    <row r="39" ht="24.75" hidden="1" customHeight="1">
      <c r="A39" s="54">
        <v>60.0</v>
      </c>
      <c r="B39" s="56" t="s">
        <v>181</v>
      </c>
      <c r="C39" s="56" t="s">
        <v>165</v>
      </c>
      <c r="D39" s="56" t="s">
        <v>178</v>
      </c>
      <c r="E39" s="56" t="s">
        <v>167</v>
      </c>
      <c r="F39" s="57" t="s">
        <v>154</v>
      </c>
      <c r="G39" s="61"/>
      <c r="H39" s="61"/>
      <c r="I39" s="62" t="s">
        <v>14</v>
      </c>
      <c r="J39" s="53"/>
    </row>
    <row r="40" ht="24.75" hidden="1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167</v>
      </c>
      <c r="F40" s="57" t="s">
        <v>154</v>
      </c>
      <c r="G40" s="61"/>
      <c r="H40" s="61"/>
      <c r="I40" s="62"/>
      <c r="J40" s="53"/>
    </row>
    <row r="41" ht="24.75" hidden="1" customHeight="1">
      <c r="A41" s="54">
        <v>60.0</v>
      </c>
      <c r="B41" s="56" t="s">
        <v>182</v>
      </c>
      <c r="C41" s="56" t="s">
        <v>165</v>
      </c>
      <c r="D41" s="56" t="s">
        <v>183</v>
      </c>
      <c r="E41" s="56" t="s">
        <v>176</v>
      </c>
      <c r="F41" s="57" t="s">
        <v>154</v>
      </c>
      <c r="G41" s="61"/>
      <c r="H41" s="61"/>
      <c r="I41" s="62"/>
      <c r="J41" s="53"/>
    </row>
    <row r="42" ht="24.75" hidden="1" customHeight="1">
      <c r="A42" s="54">
        <v>60.0</v>
      </c>
      <c r="B42" s="56" t="s">
        <v>184</v>
      </c>
      <c r="C42" s="56" t="s">
        <v>165</v>
      </c>
      <c r="D42" s="56" t="s">
        <v>178</v>
      </c>
      <c r="E42" s="56" t="s">
        <v>167</v>
      </c>
      <c r="F42" s="57" t="s">
        <v>154</v>
      </c>
      <c r="G42" s="61"/>
      <c r="H42" s="61"/>
      <c r="I42" s="62"/>
      <c r="J42" s="53"/>
    </row>
    <row r="43" ht="24.75" hidden="1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167</v>
      </c>
      <c r="F43" s="57" t="s">
        <v>154</v>
      </c>
      <c r="G43" s="61"/>
      <c r="H43" s="61"/>
      <c r="I43" s="62"/>
      <c r="J43" s="53"/>
    </row>
    <row r="44" ht="24.75" hidden="1" customHeight="1">
      <c r="A44" s="54">
        <v>60.0</v>
      </c>
      <c r="B44" s="56" t="s">
        <v>185</v>
      </c>
      <c r="C44" s="56" t="s">
        <v>165</v>
      </c>
      <c r="D44" s="56" t="s">
        <v>186</v>
      </c>
      <c r="E44" s="56" t="s">
        <v>176</v>
      </c>
      <c r="F44" s="57" t="s">
        <v>154</v>
      </c>
      <c r="G44" s="61"/>
      <c r="H44" s="61"/>
      <c r="I44" s="62"/>
      <c r="J44" s="53"/>
    </row>
    <row r="45" ht="24.75" hidden="1" customHeight="1">
      <c r="A45" s="54">
        <v>60.0</v>
      </c>
      <c r="B45" s="56" t="s">
        <v>187</v>
      </c>
      <c r="C45" s="56" t="s">
        <v>165</v>
      </c>
      <c r="D45" s="56" t="s">
        <v>178</v>
      </c>
      <c r="E45" s="56" t="s">
        <v>167</v>
      </c>
      <c r="F45" s="57" t="s">
        <v>154</v>
      </c>
      <c r="G45" s="61"/>
      <c r="H45" s="61"/>
      <c r="I45" s="62"/>
      <c r="J45" s="53"/>
    </row>
    <row r="46" ht="24.75" hidden="1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191</v>
      </c>
      <c r="F46" s="57" t="s">
        <v>192</v>
      </c>
      <c r="G46" s="61"/>
      <c r="H46" s="61"/>
      <c r="I46" s="62"/>
      <c r="J46" s="53"/>
    </row>
    <row r="47" ht="24.75" hidden="1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194</v>
      </c>
      <c r="F47" s="57" t="s">
        <v>192</v>
      </c>
      <c r="G47" s="61"/>
      <c r="H47" s="61"/>
      <c r="I47" s="62"/>
      <c r="J47" s="53"/>
    </row>
    <row r="48" ht="24.75" hidden="1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195</v>
      </c>
      <c r="F48" s="57" t="s">
        <v>34</v>
      </c>
      <c r="G48" s="61"/>
      <c r="H48" s="61" t="s">
        <v>197</v>
      </c>
      <c r="I48" s="62"/>
      <c r="J48" s="53"/>
    </row>
    <row r="49" ht="24.75" hidden="1" customHeight="1">
      <c r="A49" s="54">
        <v>80.0</v>
      </c>
      <c r="B49" s="56" t="s">
        <v>188</v>
      </c>
      <c r="C49" s="56" t="s">
        <v>189</v>
      </c>
      <c r="D49" s="56" t="s">
        <v>190</v>
      </c>
      <c r="E49" s="56" t="s">
        <v>196</v>
      </c>
      <c r="F49" s="57" t="s">
        <v>250</v>
      </c>
      <c r="G49" s="61"/>
      <c r="H49" s="61" t="s">
        <v>200</v>
      </c>
      <c r="I49" s="62" t="s">
        <v>201</v>
      </c>
      <c r="J49" s="53"/>
    </row>
    <row r="50" ht="24.75" hidden="1" customHeight="1">
      <c r="A50" s="54">
        <v>80.0</v>
      </c>
      <c r="B50" s="56" t="s">
        <v>198</v>
      </c>
      <c r="C50" s="56" t="s">
        <v>189</v>
      </c>
      <c r="D50" s="56" t="s">
        <v>199</v>
      </c>
      <c r="E50" s="56" t="s">
        <v>163</v>
      </c>
      <c r="F50" s="57" t="s">
        <v>154</v>
      </c>
      <c r="G50" s="61"/>
      <c r="H50" s="61"/>
      <c r="I50" s="62" t="s">
        <v>207</v>
      </c>
      <c r="J50" s="53"/>
    </row>
    <row r="51" ht="24.75" hidden="1" customHeight="1">
      <c r="A51" s="54">
        <v>80.0</v>
      </c>
      <c r="B51" s="56" t="s">
        <v>203</v>
      </c>
      <c r="C51" s="56" t="s">
        <v>204</v>
      </c>
      <c r="D51" s="56" t="s">
        <v>205</v>
      </c>
      <c r="E51" s="56" t="s">
        <v>208</v>
      </c>
      <c r="F51" s="57" t="s">
        <v>154</v>
      </c>
      <c r="G51" s="61"/>
      <c r="H51" s="61"/>
      <c r="I51" s="62" t="s">
        <v>207</v>
      </c>
      <c r="J51" s="53"/>
    </row>
    <row r="52" ht="24.75" hidden="1" customHeight="1">
      <c r="A52" s="54">
        <v>80.0</v>
      </c>
      <c r="B52" s="56" t="s">
        <v>210</v>
      </c>
      <c r="C52" s="56" t="s">
        <v>189</v>
      </c>
      <c r="D52" s="56" t="s">
        <v>212</v>
      </c>
      <c r="E52" s="56" t="s">
        <v>213</v>
      </c>
      <c r="F52" s="57"/>
      <c r="G52" s="61"/>
      <c r="H52" s="61"/>
      <c r="I52" s="62"/>
      <c r="J52" s="53"/>
    </row>
    <row r="53" ht="24.75" hidden="1" customHeight="1">
      <c r="A53" s="54">
        <v>80.0</v>
      </c>
      <c r="B53" s="56" t="s">
        <v>214</v>
      </c>
      <c r="C53" s="56" t="s">
        <v>204</v>
      </c>
      <c r="D53" s="56" t="s">
        <v>215</v>
      </c>
      <c r="E53" s="56" t="s">
        <v>216</v>
      </c>
      <c r="F53" s="57" t="s">
        <v>154</v>
      </c>
      <c r="G53" s="61"/>
      <c r="H53" s="61"/>
      <c r="I53" s="62" t="s">
        <v>207</v>
      </c>
      <c r="J53" s="53"/>
    </row>
    <row r="54" ht="24.75" hidden="1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217</v>
      </c>
      <c r="F54" s="57" t="s">
        <v>154</v>
      </c>
      <c r="G54" s="61"/>
      <c r="H54" s="61"/>
      <c r="I54" s="62" t="s">
        <v>207</v>
      </c>
      <c r="J54" s="53"/>
    </row>
    <row r="55" ht="24.75" hidden="1" customHeight="1">
      <c r="A55" s="54">
        <v>80.0</v>
      </c>
      <c r="B55" s="56" t="s">
        <v>214</v>
      </c>
      <c r="C55" s="56" t="s">
        <v>204</v>
      </c>
      <c r="D55" s="56" t="s">
        <v>215</v>
      </c>
      <c r="E55" s="56" t="s">
        <v>163</v>
      </c>
      <c r="F55" s="57" t="s">
        <v>154</v>
      </c>
      <c r="G55" s="61"/>
      <c r="H55" s="61"/>
      <c r="I55" s="62" t="s">
        <v>207</v>
      </c>
      <c r="J55" s="53"/>
    </row>
    <row r="56" ht="24.75" hidden="1" customHeight="1">
      <c r="A56" s="54">
        <v>80.0</v>
      </c>
      <c r="B56" s="56" t="s">
        <v>218</v>
      </c>
      <c r="C56" s="56" t="s">
        <v>204</v>
      </c>
      <c r="D56" s="56" t="s">
        <v>219</v>
      </c>
      <c r="E56" s="56" t="s">
        <v>191</v>
      </c>
      <c r="F56" s="57" t="s">
        <v>192</v>
      </c>
      <c r="G56" s="61"/>
      <c r="H56" s="61"/>
      <c r="I56" s="62"/>
      <c r="J56" s="53"/>
    </row>
    <row r="57" ht="24.75" hidden="1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194</v>
      </c>
      <c r="F57" s="57" t="s">
        <v>192</v>
      </c>
      <c r="G57" s="61"/>
      <c r="H57" s="61"/>
      <c r="I57" s="62"/>
      <c r="J57" s="53"/>
    </row>
    <row r="58" ht="24.75" hidden="1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195</v>
      </c>
      <c r="F58" s="57" t="s">
        <v>34</v>
      </c>
      <c r="G58" s="61"/>
      <c r="H58" s="61" t="s">
        <v>197</v>
      </c>
      <c r="I58" s="62"/>
      <c r="J58" s="53"/>
    </row>
    <row r="59" ht="24.75" hidden="1" customHeight="1">
      <c r="A59" s="54">
        <v>80.0</v>
      </c>
      <c r="B59" s="56" t="s">
        <v>218</v>
      </c>
      <c r="C59" s="56" t="s">
        <v>204</v>
      </c>
      <c r="D59" s="56" t="s">
        <v>219</v>
      </c>
      <c r="E59" s="56" t="s">
        <v>196</v>
      </c>
      <c r="F59" s="57" t="s">
        <v>250</v>
      </c>
      <c r="G59" s="61"/>
      <c r="H59" s="61" t="s">
        <v>200</v>
      </c>
      <c r="I59" s="62" t="s">
        <v>201</v>
      </c>
      <c r="J59" s="53"/>
    </row>
    <row r="60" ht="24.75" hidden="1" customHeight="1">
      <c r="A60" s="54">
        <v>80.0</v>
      </c>
      <c r="B60" s="56" t="s">
        <v>220</v>
      </c>
      <c r="C60" s="56" t="s">
        <v>204</v>
      </c>
      <c r="D60" s="56" t="s">
        <v>221</v>
      </c>
      <c r="E60" s="56" t="s">
        <v>222</v>
      </c>
      <c r="F60" s="57" t="s">
        <v>154</v>
      </c>
      <c r="G60" s="61"/>
      <c r="H60" s="61"/>
      <c r="I60" s="62"/>
      <c r="J60" s="53"/>
    </row>
    <row r="61" ht="24.75" hidden="1" customHeight="1">
      <c r="A61" s="54">
        <v>80.0</v>
      </c>
      <c r="B61" s="56" t="s">
        <v>223</v>
      </c>
      <c r="C61" s="56" t="s">
        <v>204</v>
      </c>
      <c r="D61" s="56" t="s">
        <v>224</v>
      </c>
      <c r="E61" s="56" t="s">
        <v>225</v>
      </c>
      <c r="F61" s="57" t="s">
        <v>34</v>
      </c>
      <c r="G61" s="61"/>
      <c r="H61" s="61"/>
      <c r="I61" s="62"/>
      <c r="J61" s="53"/>
    </row>
    <row r="62" ht="24.75" hidden="1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167</v>
      </c>
      <c r="F62" s="57" t="s">
        <v>154</v>
      </c>
      <c r="G62" s="61"/>
      <c r="H62" s="61"/>
      <c r="I62" s="62"/>
      <c r="J62" s="53"/>
    </row>
    <row r="63" ht="24.75" hidden="1" customHeight="1">
      <c r="A63" s="54">
        <v>80.0</v>
      </c>
      <c r="B63" s="56" t="s">
        <v>223</v>
      </c>
      <c r="C63" s="56" t="s">
        <v>204</v>
      </c>
      <c r="D63" s="56" t="s">
        <v>224</v>
      </c>
      <c r="E63" s="56" t="s">
        <v>226</v>
      </c>
      <c r="F63" s="57" t="s">
        <v>154</v>
      </c>
      <c r="G63" s="61"/>
      <c r="H63" s="61"/>
      <c r="I63" s="62"/>
      <c r="J63" s="53"/>
    </row>
    <row r="64" ht="24.75" hidden="1" customHeight="1">
      <c r="A64" s="54">
        <v>80.0</v>
      </c>
      <c r="B64" s="56" t="s">
        <v>227</v>
      </c>
      <c r="C64" s="56" t="s">
        <v>228</v>
      </c>
      <c r="D64" s="56" t="s">
        <v>229</v>
      </c>
      <c r="E64" s="56" t="s">
        <v>230</v>
      </c>
      <c r="F64" s="57" t="s">
        <v>154</v>
      </c>
      <c r="G64" s="61"/>
      <c r="H64" s="61"/>
      <c r="I64" s="62"/>
      <c r="J64" s="53"/>
    </row>
    <row r="65" ht="24.75" hidden="1" customHeight="1">
      <c r="A65" s="54">
        <v>80.0</v>
      </c>
      <c r="B65" s="56" t="s">
        <v>227</v>
      </c>
      <c r="C65" s="56" t="s">
        <v>228</v>
      </c>
      <c r="D65" s="56" t="s">
        <v>231</v>
      </c>
      <c r="E65" s="56" t="s">
        <v>232</v>
      </c>
      <c r="F65" s="57" t="s">
        <v>250</v>
      </c>
      <c r="G65" s="61"/>
      <c r="H65" s="61" t="s">
        <v>200</v>
      </c>
      <c r="I65" s="62" t="s">
        <v>240</v>
      </c>
      <c r="J65" s="53"/>
    </row>
    <row r="66" ht="24.75" customHeight="1">
      <c r="A66" s="54">
        <v>92.0</v>
      </c>
      <c r="B66" s="56" t="s">
        <v>233</v>
      </c>
      <c r="C66" s="56" t="s">
        <v>234</v>
      </c>
      <c r="D66" s="56" t="s">
        <v>235</v>
      </c>
      <c r="E66" s="56" t="s">
        <v>111</v>
      </c>
      <c r="F66" s="57" t="s">
        <v>87</v>
      </c>
      <c r="G66" s="61"/>
      <c r="H66" s="61"/>
      <c r="I66" s="60" t="s">
        <v>243</v>
      </c>
      <c r="J66" s="53"/>
    </row>
    <row r="67" ht="24.75" hidden="1" customHeight="1">
      <c r="A67" s="54">
        <v>90.0</v>
      </c>
      <c r="B67" s="56" t="s">
        <v>236</v>
      </c>
      <c r="C67" s="56" t="s">
        <v>237</v>
      </c>
      <c r="D67" s="56" t="s">
        <v>238</v>
      </c>
      <c r="E67" s="56" t="s">
        <v>239</v>
      </c>
      <c r="F67" s="57" t="s">
        <v>34</v>
      </c>
      <c r="G67" s="61"/>
      <c r="H67" s="61"/>
      <c r="I67" s="62" t="s">
        <v>245</v>
      </c>
      <c r="J67" s="53"/>
    </row>
    <row r="68" ht="24.75" hidden="1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241</v>
      </c>
      <c r="F68" s="57" t="s">
        <v>34</v>
      </c>
      <c r="G68" s="61"/>
      <c r="H68" s="61"/>
      <c r="I68" s="62" t="s">
        <v>245</v>
      </c>
      <c r="J68" s="53"/>
    </row>
    <row r="69" ht="24.75" hidden="1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242</v>
      </c>
      <c r="F69" s="57" t="s">
        <v>34</v>
      </c>
      <c r="G69" s="61"/>
      <c r="H69" s="61"/>
      <c r="I69" s="62" t="s">
        <v>245</v>
      </c>
      <c r="J69" s="53"/>
    </row>
    <row r="70" ht="24.75" hidden="1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244</v>
      </c>
      <c r="F70" s="57" t="s">
        <v>34</v>
      </c>
      <c r="G70" s="61"/>
      <c r="H70" s="61"/>
      <c r="I70" s="62" t="s">
        <v>245</v>
      </c>
      <c r="J70" s="53"/>
    </row>
    <row r="71" ht="24.75" hidden="1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247</v>
      </c>
      <c r="F71" s="57" t="s">
        <v>34</v>
      </c>
      <c r="G71" s="61"/>
      <c r="H71" s="61"/>
      <c r="I71" s="62" t="s">
        <v>245</v>
      </c>
      <c r="J71" s="53"/>
    </row>
    <row r="72" ht="24.75" hidden="1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248</v>
      </c>
      <c r="F72" s="57" t="s">
        <v>34</v>
      </c>
      <c r="G72" s="61"/>
      <c r="H72" s="61"/>
      <c r="I72" s="62"/>
      <c r="J72" s="53"/>
    </row>
    <row r="73" ht="24.75" hidden="1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252</v>
      </c>
      <c r="F73" s="57" t="s">
        <v>34</v>
      </c>
      <c r="G73" s="61"/>
      <c r="H73" s="61"/>
      <c r="I73" s="62" t="s">
        <v>245</v>
      </c>
      <c r="J73" s="53"/>
    </row>
    <row r="74" ht="24.75" customHeight="1">
      <c r="A74" s="54">
        <v>92.0</v>
      </c>
      <c r="B74" s="56" t="s">
        <v>253</v>
      </c>
      <c r="C74" s="56" t="s">
        <v>234</v>
      </c>
      <c r="D74" s="56" t="s">
        <v>254</v>
      </c>
      <c r="E74" s="56" t="s">
        <v>111</v>
      </c>
      <c r="F74" s="57" t="s">
        <v>87</v>
      </c>
      <c r="G74" s="61"/>
      <c r="H74" s="61"/>
      <c r="I74" s="60" t="s">
        <v>243</v>
      </c>
      <c r="J74" s="53"/>
    </row>
    <row r="75" ht="24.75" customHeight="1">
      <c r="A75" s="54">
        <v>92.0</v>
      </c>
      <c r="B75" s="56" t="s">
        <v>255</v>
      </c>
      <c r="C75" s="56" t="s">
        <v>234</v>
      </c>
      <c r="D75" s="56" t="s">
        <v>256</v>
      </c>
      <c r="E75" s="56" t="s">
        <v>257</v>
      </c>
      <c r="F75" s="57" t="s">
        <v>87</v>
      </c>
      <c r="G75" s="61"/>
      <c r="H75" s="61"/>
      <c r="I75" s="60"/>
      <c r="J75" s="53"/>
    </row>
    <row r="76" ht="24.75" customHeight="1">
      <c r="A76" s="54">
        <v>110.0</v>
      </c>
      <c r="B76" s="56" t="s">
        <v>258</v>
      </c>
      <c r="C76" s="56" t="s">
        <v>259</v>
      </c>
      <c r="D76" s="56" t="s">
        <v>85</v>
      </c>
      <c r="E76" s="56" t="s">
        <v>86</v>
      </c>
      <c r="F76" s="57" t="s">
        <v>87</v>
      </c>
      <c r="G76" s="61"/>
      <c r="H76" s="61"/>
      <c r="I76" s="60" t="s">
        <v>88</v>
      </c>
      <c r="J76" s="53"/>
    </row>
    <row r="77" ht="24.75" customHeight="1">
      <c r="A77" s="54">
        <v>110.0</v>
      </c>
      <c r="B77" s="56" t="s">
        <v>260</v>
      </c>
      <c r="C77" s="56" t="s">
        <v>259</v>
      </c>
      <c r="D77" s="56" t="s">
        <v>261</v>
      </c>
      <c r="E77" s="56" t="s">
        <v>86</v>
      </c>
      <c r="F77" s="57" t="s">
        <v>87</v>
      </c>
      <c r="G77" s="61"/>
      <c r="H77" s="61"/>
      <c r="I77" s="60" t="s">
        <v>88</v>
      </c>
      <c r="J77" s="53"/>
    </row>
    <row r="78" ht="24.75" customHeight="1">
      <c r="A78" s="54">
        <v>120.0</v>
      </c>
      <c r="B78" s="56" t="s">
        <v>262</v>
      </c>
      <c r="C78" s="56" t="s">
        <v>263</v>
      </c>
      <c r="D78" s="56" t="s">
        <v>263</v>
      </c>
      <c r="E78" s="56" t="s">
        <v>264</v>
      </c>
      <c r="F78" s="57" t="s">
        <v>87</v>
      </c>
      <c r="G78" s="61"/>
      <c r="H78" s="61"/>
      <c r="I78" s="60" t="s">
        <v>273</v>
      </c>
      <c r="J78" s="53"/>
    </row>
    <row r="79" ht="24.75" hidden="1" customHeight="1">
      <c r="A79" s="54">
        <v>90.0</v>
      </c>
      <c r="B79" s="56" t="s">
        <v>265</v>
      </c>
      <c r="C79" s="56" t="s">
        <v>237</v>
      </c>
      <c r="D79" s="56" t="s">
        <v>266</v>
      </c>
      <c r="E79" s="56" t="s">
        <v>267</v>
      </c>
      <c r="F79" s="57" t="s">
        <v>192</v>
      </c>
      <c r="G79" s="61"/>
      <c r="H79" s="61"/>
      <c r="I79" s="62" t="s">
        <v>245</v>
      </c>
      <c r="J79" s="53"/>
    </row>
    <row r="80" ht="24.75" hidden="1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268</v>
      </c>
      <c r="F80" s="57" t="s">
        <v>34</v>
      </c>
      <c r="G80" s="61"/>
      <c r="H80" s="61"/>
      <c r="I80" s="62" t="s">
        <v>245</v>
      </c>
      <c r="J80" s="53"/>
    </row>
    <row r="81" ht="24.75" customHeight="1">
      <c r="A81" s="54">
        <v>140.0</v>
      </c>
      <c r="B81" s="56" t="s">
        <v>269</v>
      </c>
      <c r="C81" s="56" t="s">
        <v>270</v>
      </c>
      <c r="D81" s="56" t="s">
        <v>271</v>
      </c>
      <c r="E81" s="56" t="s">
        <v>272</v>
      </c>
      <c r="F81" s="57" t="s">
        <v>87</v>
      </c>
      <c r="G81" s="61"/>
      <c r="H81" s="61"/>
      <c r="I81" s="60"/>
      <c r="J81" s="53"/>
    </row>
    <row r="82" ht="24.75" hidden="1" customHeight="1">
      <c r="A82" s="54">
        <v>90.0</v>
      </c>
      <c r="B82" s="56" t="s">
        <v>274</v>
      </c>
      <c r="C82" s="56" t="s">
        <v>237</v>
      </c>
      <c r="D82" s="56" t="s">
        <v>275</v>
      </c>
      <c r="E82" s="56" t="s">
        <v>239</v>
      </c>
      <c r="F82" s="57" t="s">
        <v>34</v>
      </c>
      <c r="G82" s="61"/>
      <c r="H82" s="61"/>
      <c r="I82" s="62" t="s">
        <v>245</v>
      </c>
      <c r="J82" s="53"/>
    </row>
    <row r="83" ht="24.75" hidden="1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248</v>
      </c>
      <c r="F83" s="57" t="s">
        <v>34</v>
      </c>
      <c r="G83" s="61"/>
      <c r="H83" s="61"/>
      <c r="I83" s="62"/>
      <c r="J83" s="53"/>
    </row>
    <row r="84" ht="24.75" customHeight="1">
      <c r="A84" s="54">
        <v>140.0</v>
      </c>
      <c r="B84" s="56" t="s">
        <v>269</v>
      </c>
      <c r="C84" s="56" t="s">
        <v>270</v>
      </c>
      <c r="D84" s="56" t="s">
        <v>271</v>
      </c>
      <c r="E84" s="56" t="s">
        <v>276</v>
      </c>
      <c r="F84" s="57" t="s">
        <v>87</v>
      </c>
      <c r="G84" s="61"/>
      <c r="H84" s="61"/>
      <c r="I84" s="60" t="s">
        <v>88</v>
      </c>
      <c r="J84" s="53"/>
    </row>
    <row r="85" ht="24.75" hidden="1" customHeight="1">
      <c r="A85" s="54">
        <v>90.0</v>
      </c>
      <c r="B85" s="56" t="s">
        <v>277</v>
      </c>
      <c r="C85" s="56" t="s">
        <v>278</v>
      </c>
      <c r="D85" s="56" t="s">
        <v>279</v>
      </c>
      <c r="E85" s="56" t="s">
        <v>239</v>
      </c>
      <c r="F85" s="57" t="s">
        <v>34</v>
      </c>
      <c r="G85" s="61"/>
      <c r="H85" s="61"/>
      <c r="I85" s="62" t="s">
        <v>283</v>
      </c>
      <c r="J85" s="53"/>
    </row>
    <row r="86" ht="24.75" hidden="1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163</v>
      </c>
      <c r="F86" s="57" t="s">
        <v>34</v>
      </c>
      <c r="G86" s="61"/>
      <c r="H86" s="61"/>
      <c r="I86" s="62" t="s">
        <v>283</v>
      </c>
      <c r="J86" s="53"/>
    </row>
    <row r="87" ht="24.75" hidden="1" customHeight="1">
      <c r="A87" s="54">
        <v>90.0</v>
      </c>
      <c r="B87" s="56" t="s">
        <v>277</v>
      </c>
      <c r="C87" s="56" t="s">
        <v>278</v>
      </c>
      <c r="D87" s="56" t="s">
        <v>279</v>
      </c>
      <c r="E87" s="56" t="s">
        <v>241</v>
      </c>
      <c r="F87" s="57" t="s">
        <v>34</v>
      </c>
      <c r="G87" s="61"/>
      <c r="H87" s="61"/>
      <c r="I87" s="62" t="s">
        <v>283</v>
      </c>
      <c r="J87" s="53"/>
    </row>
    <row r="88" ht="24.75" hidden="1" customHeight="1">
      <c r="A88" s="54">
        <v>90.0</v>
      </c>
      <c r="B88" s="56" t="s">
        <v>280</v>
      </c>
      <c r="C88" s="56" t="s">
        <v>278</v>
      </c>
      <c r="D88" s="56" t="s">
        <v>281</v>
      </c>
      <c r="E88" s="56" t="s">
        <v>196</v>
      </c>
      <c r="F88" s="57" t="s">
        <v>250</v>
      </c>
      <c r="G88" s="61"/>
      <c r="H88" s="61" t="s">
        <v>287</v>
      </c>
      <c r="I88" s="62" t="s">
        <v>288</v>
      </c>
      <c r="J88" s="53"/>
    </row>
    <row r="89" ht="24.75" customHeight="1">
      <c r="A89" s="54">
        <v>140.0</v>
      </c>
      <c r="B89" s="56" t="s">
        <v>284</v>
      </c>
      <c r="C89" s="56" t="s">
        <v>270</v>
      </c>
      <c r="D89" s="56" t="s">
        <v>285</v>
      </c>
      <c r="E89" s="56" t="s">
        <v>272</v>
      </c>
      <c r="F89" s="57" t="s">
        <v>87</v>
      </c>
      <c r="G89" s="61"/>
      <c r="H89" s="61"/>
      <c r="I89" s="60"/>
      <c r="J89" s="53"/>
    </row>
    <row r="90" ht="24.75" customHeight="1">
      <c r="A90" s="54">
        <v>140.0</v>
      </c>
      <c r="B90" s="56" t="s">
        <v>284</v>
      </c>
      <c r="C90" s="56" t="s">
        <v>270</v>
      </c>
      <c r="D90" s="56" t="s">
        <v>285</v>
      </c>
      <c r="E90" s="56" t="s">
        <v>276</v>
      </c>
      <c r="F90" s="57" t="s">
        <v>87</v>
      </c>
      <c r="G90" s="61"/>
      <c r="H90" s="61"/>
      <c r="I90" s="60" t="s">
        <v>88</v>
      </c>
      <c r="J90" s="53"/>
    </row>
    <row r="91" ht="24.75" hidden="1" customHeight="1">
      <c r="A91" s="54">
        <v>90.0</v>
      </c>
      <c r="B91" s="56" t="s">
        <v>286</v>
      </c>
      <c r="C91" s="56" t="s">
        <v>278</v>
      </c>
      <c r="D91" s="56" t="s">
        <v>266</v>
      </c>
      <c r="E91" s="56" t="s">
        <v>268</v>
      </c>
      <c r="F91" s="57" t="s">
        <v>34</v>
      </c>
      <c r="G91" s="61"/>
      <c r="H91" s="61"/>
      <c r="I91" s="62" t="s">
        <v>283</v>
      </c>
      <c r="J91" s="53"/>
    </row>
    <row r="92" ht="24.75" customHeight="1">
      <c r="A92" s="54" t="s">
        <v>289</v>
      </c>
      <c r="B92" s="56" t="s">
        <v>290</v>
      </c>
      <c r="C92" s="56" t="s">
        <v>291</v>
      </c>
      <c r="D92" s="56" t="s">
        <v>292</v>
      </c>
      <c r="E92" s="56" t="s">
        <v>167</v>
      </c>
      <c r="F92" s="57" t="s">
        <v>87</v>
      </c>
      <c r="G92" s="61"/>
      <c r="H92" s="79"/>
      <c r="I92" s="60"/>
      <c r="J92" s="53"/>
    </row>
    <row r="93" ht="24.75" hidden="1" customHeight="1">
      <c r="A93" s="54">
        <v>90.0</v>
      </c>
      <c r="B93" s="56" t="s">
        <v>294</v>
      </c>
      <c r="C93" s="56" t="s">
        <v>278</v>
      </c>
      <c r="D93" s="56" t="s">
        <v>275</v>
      </c>
      <c r="E93" s="56" t="s">
        <v>239</v>
      </c>
      <c r="F93" s="57" t="s">
        <v>34</v>
      </c>
      <c r="G93" s="61"/>
      <c r="H93" s="61"/>
      <c r="I93" s="62"/>
      <c r="J93" s="53"/>
    </row>
    <row r="94" ht="24.75" customHeight="1">
      <c r="A94" s="54" t="s">
        <v>289</v>
      </c>
      <c r="B94" s="56" t="s">
        <v>290</v>
      </c>
      <c r="C94" s="56" t="s">
        <v>291</v>
      </c>
      <c r="D94" s="56" t="s">
        <v>292</v>
      </c>
      <c r="E94" s="56" t="s">
        <v>295</v>
      </c>
      <c r="F94" s="57" t="s">
        <v>87</v>
      </c>
      <c r="G94" s="61"/>
      <c r="H94" s="79"/>
      <c r="I94" s="60"/>
      <c r="J94" s="53"/>
    </row>
    <row r="95" ht="24.75" hidden="1" customHeight="1">
      <c r="A95" s="54">
        <v>92.0</v>
      </c>
      <c r="B95" s="56" t="s">
        <v>233</v>
      </c>
      <c r="C95" s="56" t="s">
        <v>234</v>
      </c>
      <c r="D95" s="56" t="s">
        <v>296</v>
      </c>
      <c r="E95" s="56" t="s">
        <v>297</v>
      </c>
      <c r="F95" s="57"/>
      <c r="G95" s="61"/>
      <c r="H95" s="61"/>
      <c r="I95" s="62" t="s">
        <v>283</v>
      </c>
      <c r="J95" s="53"/>
    </row>
    <row r="96" ht="24.75" hidden="1" customHeight="1">
      <c r="A96" s="54">
        <v>90.0</v>
      </c>
      <c r="B96" s="56" t="s">
        <v>298</v>
      </c>
      <c r="C96" s="56" t="s">
        <v>278</v>
      </c>
      <c r="D96" s="56" t="s">
        <v>299</v>
      </c>
      <c r="E96" s="56" t="s">
        <v>167</v>
      </c>
      <c r="F96" s="57" t="s">
        <v>15</v>
      </c>
      <c r="G96" s="61"/>
      <c r="H96" s="61"/>
      <c r="I96" s="60"/>
      <c r="J96" s="53"/>
    </row>
    <row r="97" ht="24.75" hidden="1" customHeight="1">
      <c r="A97" s="54">
        <v>92.0</v>
      </c>
      <c r="B97" s="56" t="s">
        <v>253</v>
      </c>
      <c r="C97" s="56" t="s">
        <v>234</v>
      </c>
      <c r="D97" s="56" t="s">
        <v>300</v>
      </c>
      <c r="E97" s="56" t="s">
        <v>297</v>
      </c>
      <c r="F97" s="57"/>
      <c r="G97" s="61"/>
      <c r="H97" s="61"/>
      <c r="I97" s="62" t="s">
        <v>283</v>
      </c>
      <c r="J97" s="53"/>
    </row>
    <row r="98" ht="24.75" hidden="1" customHeight="1">
      <c r="A98" s="54">
        <v>92.0</v>
      </c>
      <c r="B98" s="56" t="s">
        <v>301</v>
      </c>
      <c r="C98" s="56" t="s">
        <v>234</v>
      </c>
      <c r="D98" s="56" t="s">
        <v>302</v>
      </c>
      <c r="E98" s="56" t="s">
        <v>163</v>
      </c>
      <c r="F98" s="57" t="s">
        <v>34</v>
      </c>
      <c r="G98" s="61"/>
      <c r="H98" s="61"/>
      <c r="I98" s="62"/>
      <c r="J98" s="53"/>
    </row>
    <row r="99" ht="24.75" hidden="1" customHeight="1">
      <c r="A99" s="54">
        <v>92.0</v>
      </c>
      <c r="B99" s="56" t="s">
        <v>301</v>
      </c>
      <c r="C99" s="56" t="s">
        <v>234</v>
      </c>
      <c r="D99" s="56" t="s">
        <v>302</v>
      </c>
      <c r="E99" s="56" t="s">
        <v>111</v>
      </c>
      <c r="F99" s="57" t="s">
        <v>154</v>
      </c>
      <c r="G99" s="61"/>
      <c r="H99" s="61"/>
      <c r="I99" s="62"/>
      <c r="J99" s="53"/>
    </row>
    <row r="100" ht="24.75" hidden="1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248</v>
      </c>
      <c r="F100" s="57" t="s">
        <v>303</v>
      </c>
      <c r="G100" s="61"/>
      <c r="H100" s="61"/>
      <c r="I100" s="62"/>
      <c r="J100" s="53"/>
    </row>
    <row r="101" ht="24.75" hidden="1" customHeight="1">
      <c r="A101" s="54">
        <v>92.0</v>
      </c>
      <c r="B101" s="56" t="s">
        <v>301</v>
      </c>
      <c r="C101" s="56" t="s">
        <v>234</v>
      </c>
      <c r="D101" s="56" t="s">
        <v>302</v>
      </c>
      <c r="E101" s="56" t="s">
        <v>247</v>
      </c>
      <c r="F101" s="57" t="s">
        <v>303</v>
      </c>
      <c r="G101" s="61"/>
      <c r="H101" s="61"/>
      <c r="I101" s="62"/>
      <c r="J101" s="53"/>
    </row>
    <row r="102" ht="24.75" hidden="1" customHeight="1">
      <c r="A102" s="54">
        <v>92.0</v>
      </c>
      <c r="B102" s="56" t="s">
        <v>304</v>
      </c>
      <c r="C102" s="56" t="s">
        <v>234</v>
      </c>
      <c r="D102" s="56" t="s">
        <v>305</v>
      </c>
      <c r="E102" s="56" t="s">
        <v>163</v>
      </c>
      <c r="F102" s="57" t="s">
        <v>34</v>
      </c>
      <c r="G102" s="61"/>
      <c r="H102" s="61"/>
      <c r="I102" s="62"/>
      <c r="J102" s="53"/>
    </row>
    <row r="103" ht="24.75" hidden="1" customHeight="1">
      <c r="A103" s="54">
        <v>92.0</v>
      </c>
      <c r="B103" s="56" t="s">
        <v>304</v>
      </c>
      <c r="C103" s="56" t="s">
        <v>234</v>
      </c>
      <c r="D103" s="56" t="s">
        <v>305</v>
      </c>
      <c r="E103" s="56" t="s">
        <v>111</v>
      </c>
      <c r="F103" s="57" t="s">
        <v>154</v>
      </c>
      <c r="G103" s="61"/>
      <c r="H103" s="61"/>
      <c r="I103" s="62"/>
      <c r="J103" s="53"/>
    </row>
    <row r="104" ht="24.75" hidden="1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248</v>
      </c>
      <c r="F104" s="57" t="s">
        <v>303</v>
      </c>
      <c r="G104" s="61"/>
      <c r="H104" s="61"/>
      <c r="I104" s="62"/>
      <c r="J104" s="53"/>
    </row>
    <row r="105" ht="24.75" hidden="1" customHeight="1">
      <c r="A105" s="54">
        <v>92.0</v>
      </c>
      <c r="B105" s="56" t="s">
        <v>304</v>
      </c>
      <c r="C105" s="56" t="s">
        <v>234</v>
      </c>
      <c r="D105" s="56" t="s">
        <v>305</v>
      </c>
      <c r="E105" s="56" t="s">
        <v>247</v>
      </c>
      <c r="F105" s="57" t="s">
        <v>303</v>
      </c>
      <c r="G105" s="61"/>
      <c r="H105" s="61"/>
      <c r="I105" s="62"/>
      <c r="J105" s="53"/>
    </row>
    <row r="106" ht="24.75" hidden="1" customHeight="1">
      <c r="A106" s="54">
        <v>92.0</v>
      </c>
      <c r="B106" s="56" t="s">
        <v>306</v>
      </c>
      <c r="C106" s="56" t="s">
        <v>234</v>
      </c>
      <c r="D106" s="56" t="s">
        <v>307</v>
      </c>
      <c r="E106" s="56" t="s">
        <v>163</v>
      </c>
      <c r="F106" s="57" t="s">
        <v>34</v>
      </c>
      <c r="G106" s="61"/>
      <c r="H106" s="61"/>
      <c r="I106" s="62"/>
      <c r="J106" s="53"/>
    </row>
    <row r="107" ht="24.75" hidden="1" customHeight="1">
      <c r="A107" s="54">
        <v>92.0</v>
      </c>
      <c r="B107" s="56" t="s">
        <v>306</v>
      </c>
      <c r="C107" s="56" t="s">
        <v>234</v>
      </c>
      <c r="D107" s="56" t="s">
        <v>307</v>
      </c>
      <c r="E107" s="56" t="s">
        <v>111</v>
      </c>
      <c r="F107" s="57" t="s">
        <v>154</v>
      </c>
      <c r="G107" s="61"/>
      <c r="H107" s="61"/>
      <c r="I107" s="62"/>
      <c r="J107" s="53"/>
    </row>
    <row r="108" ht="24.75" hidden="1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248</v>
      </c>
      <c r="F108" s="57" t="s">
        <v>303</v>
      </c>
      <c r="G108" s="61"/>
      <c r="H108" s="61"/>
      <c r="I108" s="62"/>
      <c r="J108" s="53"/>
    </row>
    <row r="109" ht="24.75" hidden="1" customHeight="1">
      <c r="A109" s="54">
        <v>92.0</v>
      </c>
      <c r="B109" s="56" t="s">
        <v>306</v>
      </c>
      <c r="C109" s="56" t="s">
        <v>234</v>
      </c>
      <c r="D109" s="56" t="s">
        <v>307</v>
      </c>
      <c r="E109" s="56" t="s">
        <v>247</v>
      </c>
      <c r="F109" s="57" t="s">
        <v>303</v>
      </c>
      <c r="G109" s="61"/>
      <c r="H109" s="61"/>
      <c r="I109" s="62"/>
      <c r="J109" s="53"/>
    </row>
    <row r="110" ht="24.75" hidden="1" customHeight="1">
      <c r="A110" s="54">
        <v>90.0</v>
      </c>
      <c r="B110" s="56" t="s">
        <v>236</v>
      </c>
      <c r="C110" s="56" t="s">
        <v>237</v>
      </c>
      <c r="D110" s="56" t="s">
        <v>238</v>
      </c>
      <c r="E110" s="56" t="s">
        <v>308</v>
      </c>
      <c r="F110" s="57" t="s">
        <v>15</v>
      </c>
      <c r="G110" s="61"/>
      <c r="H110" s="61"/>
      <c r="I110" s="60"/>
      <c r="J110" s="53"/>
    </row>
    <row r="111" ht="24.75" hidden="1" customHeight="1">
      <c r="A111" s="54">
        <v>92.0</v>
      </c>
      <c r="B111" s="56" t="s">
        <v>309</v>
      </c>
      <c r="C111" s="56" t="s">
        <v>234</v>
      </c>
      <c r="D111" s="80" t="s">
        <v>310</v>
      </c>
      <c r="E111" s="56" t="s">
        <v>297</v>
      </c>
      <c r="F111" s="57"/>
      <c r="G111" s="61"/>
      <c r="H111" s="61"/>
      <c r="I111" s="62"/>
      <c r="J111" s="53"/>
    </row>
    <row r="112" ht="24.75" hidden="1" customHeight="1">
      <c r="A112" s="54">
        <v>90.0</v>
      </c>
      <c r="B112" s="56" t="s">
        <v>236</v>
      </c>
      <c r="C112" s="56" t="s">
        <v>237</v>
      </c>
      <c r="D112" s="56" t="s">
        <v>238</v>
      </c>
      <c r="E112" s="56" t="s">
        <v>311</v>
      </c>
      <c r="F112" s="57" t="s">
        <v>15</v>
      </c>
      <c r="G112" s="61"/>
      <c r="H112" s="61"/>
      <c r="I112" s="60"/>
      <c r="J112" s="53"/>
    </row>
    <row r="113" ht="24.75" hidden="1" customHeight="1">
      <c r="A113" s="54">
        <v>90.0</v>
      </c>
      <c r="B113" s="56" t="s">
        <v>236</v>
      </c>
      <c r="C113" s="56" t="s">
        <v>237</v>
      </c>
      <c r="D113" s="56" t="s">
        <v>238</v>
      </c>
      <c r="E113" s="56" t="s">
        <v>312</v>
      </c>
      <c r="F113" s="57" t="s">
        <v>15</v>
      </c>
      <c r="G113" s="61"/>
      <c r="H113" s="61"/>
      <c r="I113" s="60"/>
      <c r="J113" s="53"/>
    </row>
    <row r="114" ht="24.75" hidden="1" customHeight="1">
      <c r="A114" s="54">
        <v>100.0</v>
      </c>
      <c r="B114" s="56" t="s">
        <v>314</v>
      </c>
      <c r="C114" s="56" t="s">
        <v>315</v>
      </c>
      <c r="D114" s="56" t="s">
        <v>316</v>
      </c>
      <c r="E114" s="56" t="s">
        <v>317</v>
      </c>
      <c r="F114" s="57" t="s">
        <v>34</v>
      </c>
      <c r="G114" s="81"/>
      <c r="H114" s="81"/>
      <c r="I114" s="57"/>
      <c r="J114" s="53"/>
    </row>
    <row r="115" ht="24.75" hidden="1" customHeight="1">
      <c r="A115" s="54">
        <v>100.0</v>
      </c>
      <c r="B115" s="56" t="s">
        <v>318</v>
      </c>
      <c r="C115" s="56" t="s">
        <v>315</v>
      </c>
      <c r="D115" s="56" t="s">
        <v>319</v>
      </c>
      <c r="E115" s="56" t="s">
        <v>320</v>
      </c>
      <c r="F115" s="57" t="s">
        <v>34</v>
      </c>
      <c r="G115" s="81"/>
      <c r="H115" s="81"/>
      <c r="I115" s="57"/>
      <c r="J115" s="5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82"/>
      <c r="EB115" s="82"/>
      <c r="EC115" s="82"/>
      <c r="ED115" s="82"/>
      <c r="EE115" s="82"/>
      <c r="EF115" s="82"/>
      <c r="EG115" s="82"/>
      <c r="EH115" s="82"/>
      <c r="EI115" s="82"/>
      <c r="EJ115" s="82"/>
      <c r="EK115" s="82"/>
      <c r="EL115" s="82"/>
      <c r="EM115" s="82"/>
      <c r="EN115" s="82"/>
      <c r="EO115" s="82"/>
      <c r="EP115" s="82"/>
      <c r="EQ115" s="82"/>
      <c r="ER115" s="82"/>
      <c r="ES115" s="82"/>
      <c r="ET115" s="82"/>
      <c r="EU115" s="82"/>
      <c r="EV115" s="82"/>
      <c r="EW115" s="82"/>
      <c r="EX115" s="82"/>
      <c r="EY115" s="82"/>
      <c r="EZ115" s="82"/>
      <c r="FA115" s="82"/>
      <c r="FB115" s="82"/>
      <c r="FC115" s="82"/>
      <c r="FD115" s="82"/>
      <c r="FE115" s="82"/>
      <c r="FF115" s="82"/>
      <c r="FG115" s="82"/>
      <c r="FH115" s="82"/>
      <c r="FI115" s="82"/>
      <c r="FJ115" s="82"/>
      <c r="FK115" s="82"/>
      <c r="FL115" s="82"/>
      <c r="FM115" s="82"/>
      <c r="FN115" s="82"/>
      <c r="FO115" s="82"/>
      <c r="FP115" s="82"/>
      <c r="FQ115" s="82"/>
      <c r="FR115" s="82"/>
      <c r="FS115" s="82"/>
      <c r="FT115" s="82"/>
      <c r="FU115" s="82"/>
      <c r="FV115" s="82"/>
      <c r="FW115" s="82"/>
      <c r="FX115" s="82"/>
      <c r="FY115" s="82"/>
      <c r="FZ115" s="82"/>
      <c r="GA115" s="82"/>
      <c r="GB115" s="82"/>
      <c r="GC115" s="82"/>
      <c r="GD115" s="82"/>
      <c r="GE115" s="82"/>
      <c r="GF115" s="82"/>
    </row>
    <row r="116" ht="24.75" hidden="1" customHeight="1">
      <c r="A116" s="54">
        <v>100.0</v>
      </c>
      <c r="B116" s="56" t="s">
        <v>318</v>
      </c>
      <c r="C116" s="56" t="s">
        <v>315</v>
      </c>
      <c r="D116" s="56" t="s">
        <v>319</v>
      </c>
      <c r="E116" s="56" t="s">
        <v>325</v>
      </c>
      <c r="F116" s="57" t="s">
        <v>34</v>
      </c>
      <c r="G116" s="53"/>
      <c r="H116" s="53"/>
      <c r="I116" s="53"/>
      <c r="J116" s="5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F116" s="82"/>
      <c r="EG116" s="82"/>
      <c r="EH116" s="82"/>
      <c r="EI116" s="82"/>
      <c r="EJ116" s="82"/>
      <c r="EK116" s="82"/>
      <c r="EL116" s="82"/>
      <c r="EM116" s="82"/>
      <c r="EN116" s="82"/>
      <c r="EO116" s="82"/>
      <c r="EP116" s="82"/>
      <c r="EQ116" s="82"/>
      <c r="ER116" s="82"/>
      <c r="ES116" s="82"/>
      <c r="ET116" s="82"/>
      <c r="EU116" s="82"/>
      <c r="EV116" s="82"/>
      <c r="EW116" s="82"/>
      <c r="EX116" s="82"/>
      <c r="EY116" s="82"/>
      <c r="EZ116" s="82"/>
      <c r="FA116" s="82"/>
      <c r="FB116" s="82"/>
      <c r="FC116" s="82"/>
      <c r="FD116" s="82"/>
      <c r="FE116" s="82"/>
      <c r="FF116" s="82"/>
      <c r="FG116" s="82"/>
      <c r="FH116" s="82"/>
      <c r="FI116" s="82"/>
      <c r="FJ116" s="82"/>
      <c r="FK116" s="82"/>
      <c r="FL116" s="82"/>
      <c r="FM116" s="82"/>
      <c r="FN116" s="82"/>
      <c r="FO116" s="82"/>
      <c r="FP116" s="82"/>
      <c r="FQ116" s="82"/>
      <c r="FR116" s="82"/>
      <c r="FS116" s="82"/>
      <c r="FT116" s="82"/>
      <c r="FU116" s="82"/>
      <c r="FV116" s="82"/>
      <c r="FW116" s="82"/>
      <c r="FX116" s="82"/>
      <c r="FY116" s="82"/>
      <c r="FZ116" s="82"/>
      <c r="GA116" s="82"/>
      <c r="GB116" s="82"/>
      <c r="GC116" s="82"/>
      <c r="GD116" s="82"/>
      <c r="GE116" s="82"/>
      <c r="GF116" s="82"/>
    </row>
    <row r="117" ht="24.75" hidden="1" customHeight="1">
      <c r="A117" s="54">
        <v>100.0</v>
      </c>
      <c r="B117" s="56" t="s">
        <v>328</v>
      </c>
      <c r="C117" s="56" t="s">
        <v>315</v>
      </c>
      <c r="D117" s="56" t="s">
        <v>329</v>
      </c>
      <c r="E117" s="56" t="s">
        <v>320</v>
      </c>
      <c r="F117" s="57" t="s">
        <v>34</v>
      </c>
      <c r="G117" s="53"/>
      <c r="H117" s="53"/>
      <c r="I117" s="53"/>
      <c r="J117" s="5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  <c r="FU117" s="82"/>
      <c r="FV117" s="82"/>
      <c r="FW117" s="82"/>
      <c r="FX117" s="82"/>
      <c r="FY117" s="82"/>
      <c r="FZ117" s="82"/>
      <c r="GA117" s="82"/>
      <c r="GB117" s="82"/>
      <c r="GC117" s="82"/>
      <c r="GD117" s="82"/>
      <c r="GE117" s="82"/>
      <c r="GF117" s="82"/>
    </row>
    <row r="118" ht="24.75" hidden="1" customHeight="1">
      <c r="A118" s="54">
        <v>100.0</v>
      </c>
      <c r="B118" s="56" t="s">
        <v>328</v>
      </c>
      <c r="C118" s="56" t="s">
        <v>315</v>
      </c>
      <c r="D118" s="56" t="s">
        <v>329</v>
      </c>
      <c r="E118" s="56" t="s">
        <v>325</v>
      </c>
      <c r="F118" s="57" t="s">
        <v>34</v>
      </c>
      <c r="G118" s="53"/>
      <c r="H118" s="53"/>
      <c r="I118" s="53"/>
      <c r="J118" s="5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  <c r="FU118" s="82"/>
      <c r="FV118" s="82"/>
      <c r="FW118" s="82"/>
      <c r="FX118" s="82"/>
      <c r="FY118" s="82"/>
      <c r="FZ118" s="82"/>
      <c r="GA118" s="82"/>
      <c r="GB118" s="82"/>
      <c r="GC118" s="82"/>
      <c r="GD118" s="82"/>
      <c r="GE118" s="82"/>
      <c r="GF118" s="82"/>
    </row>
    <row r="119" ht="24.75" hidden="1" customHeight="1">
      <c r="A119" s="54">
        <v>100.0</v>
      </c>
      <c r="B119" s="56" t="s">
        <v>331</v>
      </c>
      <c r="C119" s="56" t="s">
        <v>315</v>
      </c>
      <c r="D119" s="56" t="s">
        <v>332</v>
      </c>
      <c r="E119" s="56" t="s">
        <v>333</v>
      </c>
      <c r="F119" s="57" t="s">
        <v>250</v>
      </c>
      <c r="G119" s="50"/>
      <c r="H119" s="61" t="s">
        <v>346</v>
      </c>
      <c r="I119" s="84" t="s">
        <v>347</v>
      </c>
      <c r="J119" s="53"/>
    </row>
    <row r="120" ht="24.75" hidden="1" customHeight="1">
      <c r="A120" s="54">
        <v>100.0</v>
      </c>
      <c r="B120" s="56" t="s">
        <v>334</v>
      </c>
      <c r="C120" s="56" t="s">
        <v>315</v>
      </c>
      <c r="D120" s="56" t="s">
        <v>335</v>
      </c>
      <c r="E120" s="56" t="s">
        <v>336</v>
      </c>
      <c r="F120" s="57" t="s">
        <v>192</v>
      </c>
      <c r="G120" s="50"/>
      <c r="H120" s="50"/>
      <c r="I120" s="84"/>
      <c r="J120" s="53"/>
    </row>
    <row r="121" ht="24.75" hidden="1" customHeight="1">
      <c r="A121" s="54">
        <v>90.0</v>
      </c>
      <c r="B121" s="56" t="s">
        <v>337</v>
      </c>
      <c r="C121" s="56" t="s">
        <v>237</v>
      </c>
      <c r="D121" s="56" t="s">
        <v>338</v>
      </c>
      <c r="E121" s="56" t="s">
        <v>111</v>
      </c>
      <c r="F121" s="57" t="s">
        <v>15</v>
      </c>
      <c r="G121" s="61"/>
      <c r="H121" s="61"/>
      <c r="I121" s="60"/>
      <c r="J121" s="53"/>
    </row>
    <row r="122" ht="24.75" hidden="1" customHeight="1">
      <c r="A122" s="54">
        <v>101.0</v>
      </c>
      <c r="B122" s="56" t="s">
        <v>339</v>
      </c>
      <c r="C122" s="56" t="s">
        <v>315</v>
      </c>
      <c r="D122" s="56" t="s">
        <v>340</v>
      </c>
      <c r="E122" s="56" t="s">
        <v>341</v>
      </c>
      <c r="F122" s="57" t="s">
        <v>154</v>
      </c>
      <c r="G122" s="61"/>
      <c r="H122" s="61"/>
      <c r="I122" s="62"/>
      <c r="J122" s="53"/>
    </row>
    <row r="123" ht="24.75" hidden="1" customHeight="1">
      <c r="A123" s="54">
        <v>101.0</v>
      </c>
      <c r="B123" s="56" t="s">
        <v>342</v>
      </c>
      <c r="C123" s="56" t="s">
        <v>315</v>
      </c>
      <c r="D123" s="56" t="s">
        <v>340</v>
      </c>
      <c r="E123" s="56" t="s">
        <v>333</v>
      </c>
      <c r="F123" s="57" t="s">
        <v>250</v>
      </c>
      <c r="G123" s="61"/>
      <c r="H123" s="61" t="s">
        <v>346</v>
      </c>
      <c r="I123" s="62" t="s">
        <v>347</v>
      </c>
      <c r="J123" s="53"/>
    </row>
    <row r="124" ht="24.75" hidden="1" customHeight="1">
      <c r="A124" s="54">
        <v>101.0</v>
      </c>
      <c r="B124" s="56" t="s">
        <v>343</v>
      </c>
      <c r="C124" s="56" t="s">
        <v>315</v>
      </c>
      <c r="D124" s="56" t="s">
        <v>340</v>
      </c>
      <c r="E124" s="56" t="s">
        <v>333</v>
      </c>
      <c r="F124" s="57" t="s">
        <v>250</v>
      </c>
      <c r="G124" s="61"/>
      <c r="H124" s="61" t="s">
        <v>346</v>
      </c>
      <c r="I124" s="62" t="s">
        <v>347</v>
      </c>
      <c r="J124" s="53"/>
    </row>
    <row r="125" ht="24.75" hidden="1" customHeight="1">
      <c r="A125" s="54">
        <v>101.0</v>
      </c>
      <c r="B125" s="56" t="s">
        <v>344</v>
      </c>
      <c r="C125" s="56" t="s">
        <v>315</v>
      </c>
      <c r="D125" s="56" t="s">
        <v>340</v>
      </c>
      <c r="E125" s="56" t="s">
        <v>345</v>
      </c>
      <c r="F125" s="57" t="s">
        <v>154</v>
      </c>
      <c r="G125" s="61"/>
      <c r="H125" s="61"/>
      <c r="I125" s="62"/>
      <c r="J125" s="53"/>
    </row>
    <row r="126" ht="24.75" hidden="1" customHeight="1">
      <c r="A126" s="54">
        <v>90.0</v>
      </c>
      <c r="B126" s="56" t="s">
        <v>348</v>
      </c>
      <c r="C126" s="56" t="s">
        <v>237</v>
      </c>
      <c r="D126" s="56" t="s">
        <v>349</v>
      </c>
      <c r="E126" s="56" t="s">
        <v>111</v>
      </c>
      <c r="F126" s="57" t="s">
        <v>15</v>
      </c>
      <c r="G126" s="61"/>
      <c r="H126" s="61"/>
      <c r="I126" s="60"/>
      <c r="J126" s="53"/>
    </row>
    <row r="127" ht="24.75" hidden="1" customHeight="1">
      <c r="A127" s="54">
        <v>101.0</v>
      </c>
      <c r="B127" s="56" t="s">
        <v>350</v>
      </c>
      <c r="C127" s="56" t="s">
        <v>315</v>
      </c>
      <c r="D127" s="56" t="s">
        <v>351</v>
      </c>
      <c r="E127" s="56" t="s">
        <v>352</v>
      </c>
      <c r="F127" s="57" t="s">
        <v>154</v>
      </c>
      <c r="G127" s="61"/>
      <c r="H127" s="61"/>
      <c r="I127" s="62"/>
      <c r="J127" s="53"/>
    </row>
    <row r="128" ht="24.75" hidden="1" customHeight="1">
      <c r="A128" s="54">
        <v>102.0</v>
      </c>
      <c r="B128" s="56" t="s">
        <v>353</v>
      </c>
      <c r="C128" s="56" t="s">
        <v>315</v>
      </c>
      <c r="D128" s="56" t="s">
        <v>354</v>
      </c>
      <c r="E128" s="56" t="s">
        <v>355</v>
      </c>
      <c r="F128" s="57" t="s">
        <v>250</v>
      </c>
      <c r="G128" s="61"/>
      <c r="H128" s="61" t="s">
        <v>346</v>
      </c>
      <c r="I128" s="62" t="s">
        <v>363</v>
      </c>
      <c r="J128" s="53"/>
    </row>
    <row r="129" ht="24.75" hidden="1" customHeight="1">
      <c r="A129" s="54">
        <v>90.0</v>
      </c>
      <c r="B129" s="56" t="s">
        <v>265</v>
      </c>
      <c r="C129" s="56" t="s">
        <v>237</v>
      </c>
      <c r="D129" s="56" t="s">
        <v>266</v>
      </c>
      <c r="E129" s="56" t="s">
        <v>111</v>
      </c>
      <c r="F129" s="57" t="s">
        <v>15</v>
      </c>
      <c r="G129" s="61"/>
      <c r="H129" s="61"/>
      <c r="I129" s="60" t="s">
        <v>283</v>
      </c>
      <c r="J129" s="53"/>
    </row>
    <row r="130" ht="24.75" hidden="1" customHeight="1">
      <c r="A130" s="54">
        <v>110.0</v>
      </c>
      <c r="B130" s="56" t="s">
        <v>356</v>
      </c>
      <c r="C130" s="56" t="s">
        <v>259</v>
      </c>
      <c r="D130" s="56" t="s">
        <v>357</v>
      </c>
      <c r="E130" s="56" t="s">
        <v>358</v>
      </c>
      <c r="F130" s="57" t="s">
        <v>34</v>
      </c>
      <c r="G130" s="61"/>
      <c r="H130" s="61"/>
      <c r="I130" s="62"/>
      <c r="J130" s="53"/>
    </row>
    <row r="131" ht="24.75" hidden="1" customHeight="1">
      <c r="A131" s="54">
        <v>110.0</v>
      </c>
      <c r="B131" s="56" t="s">
        <v>359</v>
      </c>
      <c r="C131" s="56" t="s">
        <v>259</v>
      </c>
      <c r="D131" s="56" t="s">
        <v>360</v>
      </c>
      <c r="E131" s="56" t="s">
        <v>358</v>
      </c>
      <c r="F131" s="57" t="s">
        <v>34</v>
      </c>
      <c r="G131" s="61"/>
      <c r="H131" s="61"/>
      <c r="I131" s="62"/>
      <c r="J131" s="53"/>
    </row>
    <row r="132" ht="24.75" hidden="1" customHeight="1">
      <c r="A132" s="54">
        <v>90.0</v>
      </c>
      <c r="B132" s="56" t="s">
        <v>274</v>
      </c>
      <c r="C132" s="56" t="s">
        <v>237</v>
      </c>
      <c r="D132" s="56" t="s">
        <v>275</v>
      </c>
      <c r="E132" s="56" t="s">
        <v>111</v>
      </c>
      <c r="F132" s="57" t="s">
        <v>15</v>
      </c>
      <c r="G132" s="61"/>
      <c r="H132" s="61"/>
      <c r="I132" s="60"/>
      <c r="J132" s="53"/>
    </row>
    <row r="133" ht="24.75" hidden="1" customHeight="1">
      <c r="A133" s="54">
        <v>90.0</v>
      </c>
      <c r="B133" s="56" t="s">
        <v>280</v>
      </c>
      <c r="C133" s="56" t="s">
        <v>278</v>
      </c>
      <c r="D133" s="56" t="s">
        <v>281</v>
      </c>
      <c r="E133" s="56" t="s">
        <v>272</v>
      </c>
      <c r="F133" s="57" t="s">
        <v>15</v>
      </c>
      <c r="G133" s="61"/>
      <c r="H133" s="61"/>
      <c r="I133" s="60"/>
      <c r="J133" s="53"/>
    </row>
    <row r="134" ht="24.75" hidden="1" customHeight="1">
      <c r="A134" s="54">
        <v>110.0</v>
      </c>
      <c r="B134" s="56" t="s">
        <v>361</v>
      </c>
      <c r="C134" s="56" t="s">
        <v>259</v>
      </c>
      <c r="D134" s="56" t="s">
        <v>362</v>
      </c>
      <c r="E134" s="56" t="s">
        <v>358</v>
      </c>
      <c r="F134" s="57" t="s">
        <v>34</v>
      </c>
      <c r="G134" s="61"/>
      <c r="H134" s="61"/>
      <c r="I134" s="62"/>
      <c r="J134" s="53"/>
    </row>
    <row r="135" ht="24.75" hidden="1" customHeight="1">
      <c r="A135" s="54">
        <v>110.0</v>
      </c>
      <c r="B135" s="56" t="s">
        <v>364</v>
      </c>
      <c r="C135" s="56" t="s">
        <v>259</v>
      </c>
      <c r="D135" s="56" t="s">
        <v>365</v>
      </c>
      <c r="E135" s="56" t="s">
        <v>358</v>
      </c>
      <c r="F135" s="57" t="s">
        <v>34</v>
      </c>
      <c r="G135" s="61"/>
      <c r="H135" s="61"/>
      <c r="I135" s="62"/>
      <c r="J135" s="53"/>
    </row>
    <row r="136" ht="24.75" hidden="1" customHeight="1">
      <c r="A136" s="54">
        <v>110.0</v>
      </c>
      <c r="B136" s="56" t="s">
        <v>366</v>
      </c>
      <c r="C136" s="56" t="s">
        <v>259</v>
      </c>
      <c r="D136" s="56" t="s">
        <v>367</v>
      </c>
      <c r="E136" s="56" t="s">
        <v>358</v>
      </c>
      <c r="F136" s="57" t="s">
        <v>34</v>
      </c>
      <c r="G136" s="61"/>
      <c r="H136" s="61"/>
      <c r="I136" s="62"/>
      <c r="J136" s="53"/>
    </row>
    <row r="137" ht="24.75" hidden="1" customHeight="1">
      <c r="A137" s="54">
        <v>110.0</v>
      </c>
      <c r="B137" s="56" t="s">
        <v>368</v>
      </c>
      <c r="C137" s="56" t="s">
        <v>259</v>
      </c>
      <c r="D137" s="56" t="s">
        <v>369</v>
      </c>
      <c r="E137" s="56" t="s">
        <v>358</v>
      </c>
      <c r="F137" s="57" t="s">
        <v>34</v>
      </c>
      <c r="G137" s="61"/>
      <c r="H137" s="61"/>
      <c r="I137" s="62"/>
      <c r="J137" s="53"/>
    </row>
    <row r="138" ht="24.75" hidden="1" customHeight="1">
      <c r="A138" s="54">
        <v>110.0</v>
      </c>
      <c r="B138" s="56" t="s">
        <v>370</v>
      </c>
      <c r="C138" s="56" t="s">
        <v>259</v>
      </c>
      <c r="D138" s="56" t="s">
        <v>371</v>
      </c>
      <c r="E138" s="56" t="s">
        <v>336</v>
      </c>
      <c r="F138" s="57" t="s">
        <v>192</v>
      </c>
      <c r="G138" s="61"/>
      <c r="H138" s="61"/>
      <c r="I138" s="62"/>
      <c r="J138" s="53"/>
    </row>
    <row r="139" ht="24.75" hidden="1" customHeight="1">
      <c r="A139" s="54">
        <v>110.0</v>
      </c>
      <c r="B139" s="56" t="s">
        <v>370</v>
      </c>
      <c r="C139" s="56" t="s">
        <v>259</v>
      </c>
      <c r="D139" s="56" t="s">
        <v>371</v>
      </c>
      <c r="E139" s="56" t="s">
        <v>372</v>
      </c>
      <c r="F139" s="57" t="s">
        <v>34</v>
      </c>
      <c r="G139" s="61"/>
      <c r="H139" s="61"/>
      <c r="I139" s="62"/>
      <c r="J139" s="53"/>
    </row>
    <row r="140" ht="24.75" hidden="1" customHeight="1">
      <c r="A140" s="54">
        <v>110.0</v>
      </c>
      <c r="B140" s="56" t="s">
        <v>370</v>
      </c>
      <c r="C140" s="56" t="s">
        <v>259</v>
      </c>
      <c r="D140" s="56" t="s">
        <v>371</v>
      </c>
      <c r="E140" s="56" t="s">
        <v>158</v>
      </c>
      <c r="F140" s="57" t="s">
        <v>34</v>
      </c>
      <c r="G140" s="61"/>
      <c r="H140" s="61"/>
      <c r="I140" s="62"/>
      <c r="J140" s="53"/>
    </row>
    <row r="141" ht="24.75" hidden="1" customHeight="1">
      <c r="A141" s="54">
        <v>110.0</v>
      </c>
      <c r="B141" s="56" t="s">
        <v>373</v>
      </c>
      <c r="C141" s="56" t="s">
        <v>259</v>
      </c>
      <c r="D141" s="56" t="s">
        <v>374</v>
      </c>
      <c r="E141" s="56" t="s">
        <v>336</v>
      </c>
      <c r="F141" s="57" t="s">
        <v>192</v>
      </c>
      <c r="G141" s="61"/>
      <c r="H141" s="61"/>
      <c r="I141" s="62"/>
      <c r="J141" s="53"/>
    </row>
    <row r="142" ht="24.75" hidden="1" customHeight="1">
      <c r="A142" s="54">
        <v>110.0</v>
      </c>
      <c r="B142" s="56" t="s">
        <v>375</v>
      </c>
      <c r="C142" s="56" t="s">
        <v>259</v>
      </c>
      <c r="D142" s="56" t="s">
        <v>376</v>
      </c>
      <c r="E142" s="56" t="s">
        <v>336</v>
      </c>
      <c r="F142" s="57" t="s">
        <v>192</v>
      </c>
      <c r="G142" s="61"/>
      <c r="H142" s="61"/>
      <c r="I142" s="62"/>
      <c r="J142" s="53"/>
    </row>
    <row r="143" ht="24.75" hidden="1" customHeight="1">
      <c r="A143" s="54">
        <v>110.0</v>
      </c>
      <c r="B143" s="56" t="s">
        <v>375</v>
      </c>
      <c r="C143" s="56" t="s">
        <v>259</v>
      </c>
      <c r="D143" s="56" t="s">
        <v>376</v>
      </c>
      <c r="E143" s="56" t="s">
        <v>372</v>
      </c>
      <c r="F143" s="57" t="s">
        <v>34</v>
      </c>
      <c r="G143" s="61"/>
      <c r="H143" s="61"/>
      <c r="I143" s="62"/>
      <c r="J143" s="53"/>
    </row>
    <row r="144" ht="24.75" hidden="1" customHeight="1">
      <c r="A144" s="54">
        <v>110.0</v>
      </c>
      <c r="B144" s="56" t="s">
        <v>375</v>
      </c>
      <c r="C144" s="56" t="s">
        <v>259</v>
      </c>
      <c r="D144" s="56" t="s">
        <v>376</v>
      </c>
      <c r="E144" s="56" t="s">
        <v>158</v>
      </c>
      <c r="F144" s="57" t="s">
        <v>34</v>
      </c>
      <c r="G144" s="61"/>
      <c r="H144" s="61"/>
      <c r="I144" s="62"/>
      <c r="J144" s="53"/>
    </row>
    <row r="145" ht="24.75" hidden="1" customHeight="1">
      <c r="A145" s="54">
        <v>110.0</v>
      </c>
      <c r="B145" s="56" t="s">
        <v>377</v>
      </c>
      <c r="C145" s="56" t="s">
        <v>259</v>
      </c>
      <c r="D145" s="56" t="s">
        <v>378</v>
      </c>
      <c r="E145" s="56" t="s">
        <v>336</v>
      </c>
      <c r="F145" s="57" t="s">
        <v>192</v>
      </c>
      <c r="G145" s="61"/>
      <c r="H145" s="61"/>
      <c r="I145" s="62"/>
      <c r="J145" s="53"/>
    </row>
    <row r="146" ht="24.75" hidden="1" customHeight="1">
      <c r="A146" s="54">
        <v>110.0</v>
      </c>
      <c r="B146" s="56" t="s">
        <v>380</v>
      </c>
      <c r="C146" s="56" t="s">
        <v>259</v>
      </c>
      <c r="D146" s="56" t="s">
        <v>381</v>
      </c>
      <c r="E146" s="56" t="s">
        <v>336</v>
      </c>
      <c r="F146" s="57" t="s">
        <v>192</v>
      </c>
      <c r="G146" s="61"/>
      <c r="H146" s="61"/>
      <c r="I146" s="62"/>
      <c r="J146" s="53"/>
    </row>
    <row r="147" ht="24.75" hidden="1" customHeight="1">
      <c r="A147" s="54">
        <v>110.0</v>
      </c>
      <c r="B147" s="56" t="s">
        <v>382</v>
      </c>
      <c r="C147" s="56" t="s">
        <v>259</v>
      </c>
      <c r="D147" s="56" t="s">
        <v>383</v>
      </c>
      <c r="E147" s="56" t="s">
        <v>336</v>
      </c>
      <c r="F147" s="57" t="s">
        <v>192</v>
      </c>
      <c r="G147" s="61"/>
      <c r="H147" s="61"/>
      <c r="I147" s="62"/>
      <c r="J147" s="53"/>
    </row>
    <row r="148" ht="24.75" hidden="1" customHeight="1">
      <c r="A148" s="54">
        <v>110.0</v>
      </c>
      <c r="B148" s="56" t="s">
        <v>385</v>
      </c>
      <c r="C148" s="56" t="s">
        <v>259</v>
      </c>
      <c r="D148" s="56" t="s">
        <v>386</v>
      </c>
      <c r="E148" s="56" t="s">
        <v>336</v>
      </c>
      <c r="F148" s="57" t="s">
        <v>192</v>
      </c>
      <c r="G148" s="61"/>
      <c r="H148" s="61"/>
      <c r="I148" s="62"/>
      <c r="J148" s="53"/>
    </row>
    <row r="149" ht="24.75" hidden="1" customHeight="1">
      <c r="A149" s="54">
        <v>110.0</v>
      </c>
      <c r="B149" s="56" t="s">
        <v>385</v>
      </c>
      <c r="C149" s="56" t="s">
        <v>259</v>
      </c>
      <c r="D149" s="56" t="s">
        <v>386</v>
      </c>
      <c r="E149" s="56" t="s">
        <v>372</v>
      </c>
      <c r="F149" s="57" t="s">
        <v>34</v>
      </c>
      <c r="G149" s="61"/>
      <c r="H149" s="61"/>
      <c r="I149" s="62"/>
      <c r="J149" s="53"/>
    </row>
    <row r="150" ht="24.75" hidden="1" customHeight="1">
      <c r="A150" s="54">
        <v>110.0</v>
      </c>
      <c r="B150" s="56" t="s">
        <v>385</v>
      </c>
      <c r="C150" s="56" t="s">
        <v>259</v>
      </c>
      <c r="D150" s="56" t="s">
        <v>386</v>
      </c>
      <c r="E150" s="56" t="s">
        <v>158</v>
      </c>
      <c r="F150" s="57" t="s">
        <v>34</v>
      </c>
      <c r="G150" s="61"/>
      <c r="H150" s="61"/>
      <c r="I150" s="62"/>
      <c r="J150" s="53"/>
    </row>
    <row r="151" ht="24.75" hidden="1" customHeight="1">
      <c r="A151" s="54">
        <v>110.0</v>
      </c>
      <c r="B151" s="56" t="s">
        <v>388</v>
      </c>
      <c r="C151" s="56" t="s">
        <v>259</v>
      </c>
      <c r="D151" s="56" t="s">
        <v>389</v>
      </c>
      <c r="E151" s="56" t="s">
        <v>336</v>
      </c>
      <c r="F151" s="57" t="s">
        <v>192</v>
      </c>
      <c r="G151" s="61"/>
      <c r="H151" s="61"/>
      <c r="I151" s="62"/>
      <c r="J151" s="53"/>
    </row>
    <row r="152" ht="24.75" hidden="1" customHeight="1">
      <c r="A152" s="54">
        <v>110.0</v>
      </c>
      <c r="B152" s="56" t="s">
        <v>388</v>
      </c>
      <c r="C152" s="56" t="s">
        <v>259</v>
      </c>
      <c r="D152" s="56" t="s">
        <v>389</v>
      </c>
      <c r="E152" s="56" t="s">
        <v>372</v>
      </c>
      <c r="F152" s="57" t="s">
        <v>34</v>
      </c>
      <c r="G152" s="61"/>
      <c r="H152" s="61"/>
      <c r="I152" s="62"/>
      <c r="J152" s="53"/>
    </row>
    <row r="153" ht="24.75" hidden="1" customHeight="1">
      <c r="A153" s="54">
        <v>110.0</v>
      </c>
      <c r="B153" s="56" t="s">
        <v>388</v>
      </c>
      <c r="C153" s="56" t="s">
        <v>259</v>
      </c>
      <c r="D153" s="56" t="s">
        <v>389</v>
      </c>
      <c r="E153" s="56" t="s">
        <v>158</v>
      </c>
      <c r="F153" s="57" t="s">
        <v>34</v>
      </c>
      <c r="G153" s="61"/>
      <c r="H153" s="61"/>
      <c r="I153" s="62"/>
      <c r="J153" s="53"/>
    </row>
    <row r="154" ht="24.75" hidden="1" customHeight="1">
      <c r="A154" s="54">
        <v>110.0</v>
      </c>
      <c r="B154" s="56" t="s">
        <v>390</v>
      </c>
      <c r="C154" s="56" t="s">
        <v>259</v>
      </c>
      <c r="D154" s="56" t="s">
        <v>391</v>
      </c>
      <c r="E154" s="56" t="s">
        <v>372</v>
      </c>
      <c r="F154" s="57" t="s">
        <v>34</v>
      </c>
      <c r="G154" s="61"/>
      <c r="H154" s="61"/>
      <c r="I154" s="62"/>
      <c r="J154" s="53"/>
    </row>
    <row r="155" ht="24.75" hidden="1" customHeight="1">
      <c r="A155" s="54">
        <v>110.0</v>
      </c>
      <c r="B155" s="56" t="s">
        <v>390</v>
      </c>
      <c r="C155" s="56" t="s">
        <v>259</v>
      </c>
      <c r="D155" s="56" t="s">
        <v>391</v>
      </c>
      <c r="E155" s="56" t="s">
        <v>158</v>
      </c>
      <c r="F155" s="57" t="s">
        <v>34</v>
      </c>
      <c r="G155" s="61"/>
      <c r="H155" s="61"/>
      <c r="I155" s="62"/>
      <c r="J155" s="53"/>
    </row>
    <row r="156" ht="24.75" hidden="1" customHeight="1">
      <c r="A156" s="54">
        <v>110.0</v>
      </c>
      <c r="B156" s="56" t="s">
        <v>392</v>
      </c>
      <c r="C156" s="56" t="s">
        <v>101</v>
      </c>
      <c r="D156" s="56" t="s">
        <v>102</v>
      </c>
      <c r="E156" s="56" t="s">
        <v>111</v>
      </c>
      <c r="F156" s="57" t="s">
        <v>34</v>
      </c>
      <c r="G156" s="61"/>
      <c r="H156" s="61"/>
      <c r="I156" s="62"/>
      <c r="J156" s="53"/>
    </row>
    <row r="157" ht="24.75" hidden="1" customHeight="1">
      <c r="A157" s="54">
        <v>120.0</v>
      </c>
      <c r="B157" s="56" t="s">
        <v>393</v>
      </c>
      <c r="C157" s="56" t="s">
        <v>394</v>
      </c>
      <c r="D157" s="56" t="s">
        <v>299</v>
      </c>
      <c r="E157" s="56" t="s">
        <v>163</v>
      </c>
      <c r="F157" s="57" t="s">
        <v>154</v>
      </c>
      <c r="G157" s="61"/>
      <c r="H157" s="61"/>
      <c r="I157" s="62" t="s">
        <v>207</v>
      </c>
      <c r="J157" s="53"/>
    </row>
    <row r="158" ht="24.75" hidden="1" customHeight="1">
      <c r="A158" s="54">
        <v>120.0</v>
      </c>
      <c r="B158" s="56" t="s">
        <v>395</v>
      </c>
      <c r="C158" s="56" t="s">
        <v>394</v>
      </c>
      <c r="D158" s="56" t="s">
        <v>172</v>
      </c>
      <c r="E158" s="56" t="s">
        <v>163</v>
      </c>
      <c r="F158" s="57" t="s">
        <v>154</v>
      </c>
      <c r="G158" s="61"/>
      <c r="H158" s="61"/>
      <c r="I158" s="62"/>
      <c r="J158" s="53"/>
    </row>
    <row r="159" ht="24.75" hidden="1" customHeight="1">
      <c r="A159" s="54">
        <v>120.0</v>
      </c>
      <c r="B159" s="56" t="s">
        <v>396</v>
      </c>
      <c r="C159" s="56" t="s">
        <v>394</v>
      </c>
      <c r="D159" s="56" t="s">
        <v>397</v>
      </c>
      <c r="E159" s="56" t="s">
        <v>163</v>
      </c>
      <c r="F159" s="57" t="s">
        <v>154</v>
      </c>
      <c r="G159" s="61"/>
      <c r="H159" s="61"/>
      <c r="I159" s="62"/>
      <c r="J159" s="53"/>
    </row>
    <row r="160" ht="24.75" hidden="1" customHeight="1">
      <c r="A160" s="54">
        <v>120.0</v>
      </c>
      <c r="B160" s="56" t="s">
        <v>398</v>
      </c>
      <c r="C160" s="56" t="s">
        <v>394</v>
      </c>
      <c r="D160" s="56" t="s">
        <v>399</v>
      </c>
      <c r="E160" s="56" t="s">
        <v>163</v>
      </c>
      <c r="F160" s="57" t="s">
        <v>154</v>
      </c>
      <c r="G160" s="61"/>
      <c r="H160" s="61"/>
      <c r="I160" s="62"/>
      <c r="J160" s="53"/>
    </row>
    <row r="161" ht="24.75" hidden="1" customHeight="1">
      <c r="A161" s="54">
        <v>120.0</v>
      </c>
      <c r="B161" s="56" t="s">
        <v>400</v>
      </c>
      <c r="C161" s="56" t="s">
        <v>394</v>
      </c>
      <c r="D161" s="56" t="s">
        <v>401</v>
      </c>
      <c r="E161" s="56" t="s">
        <v>163</v>
      </c>
      <c r="F161" s="57" t="s">
        <v>154</v>
      </c>
      <c r="G161" s="61"/>
      <c r="H161" s="61"/>
      <c r="I161" s="62"/>
      <c r="J161" s="53"/>
    </row>
    <row r="162" ht="24.75" hidden="1" customHeight="1">
      <c r="A162" s="54">
        <v>90.0</v>
      </c>
      <c r="B162" s="56" t="s">
        <v>402</v>
      </c>
      <c r="C162" s="56" t="s">
        <v>278</v>
      </c>
      <c r="D162" s="56" t="s">
        <v>403</v>
      </c>
      <c r="E162" s="56" t="s">
        <v>111</v>
      </c>
      <c r="F162" s="57" t="s">
        <v>15</v>
      </c>
      <c r="G162" s="61"/>
      <c r="H162" s="61"/>
      <c r="I162" s="86"/>
      <c r="J162" s="53"/>
    </row>
    <row r="163" ht="24.75" hidden="1" customHeight="1">
      <c r="A163" s="54">
        <v>130.0</v>
      </c>
      <c r="B163" s="56" t="s">
        <v>404</v>
      </c>
      <c r="C163" s="56" t="s">
        <v>405</v>
      </c>
      <c r="D163" s="56" t="s">
        <v>406</v>
      </c>
      <c r="E163" s="56" t="s">
        <v>407</v>
      </c>
      <c r="F163" s="57" t="s">
        <v>250</v>
      </c>
      <c r="G163" s="61"/>
      <c r="H163" s="61" t="s">
        <v>346</v>
      </c>
      <c r="I163" s="62" t="s">
        <v>414</v>
      </c>
      <c r="J163" s="53"/>
    </row>
    <row r="164" ht="24.75" hidden="1" customHeight="1">
      <c r="A164" s="54">
        <v>130.0</v>
      </c>
      <c r="B164" s="56" t="s">
        <v>404</v>
      </c>
      <c r="C164" s="56" t="s">
        <v>405</v>
      </c>
      <c r="D164" s="56" t="s">
        <v>406</v>
      </c>
      <c r="E164" s="56" t="s">
        <v>408</v>
      </c>
      <c r="F164" s="57" t="s">
        <v>250</v>
      </c>
      <c r="G164" s="61"/>
      <c r="H164" s="61" t="s">
        <v>346</v>
      </c>
      <c r="I164" s="62" t="s">
        <v>417</v>
      </c>
      <c r="J164" s="53"/>
    </row>
    <row r="165" ht="24.75" hidden="1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111</v>
      </c>
      <c r="F165" s="57" t="s">
        <v>154</v>
      </c>
      <c r="G165" s="61"/>
      <c r="H165" s="61"/>
      <c r="I165" s="62"/>
      <c r="J165" s="53"/>
    </row>
    <row r="166" ht="24.75" hidden="1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409</v>
      </c>
      <c r="F166" s="57" t="s">
        <v>154</v>
      </c>
      <c r="G166" s="61"/>
      <c r="H166" s="61"/>
      <c r="I166" s="62"/>
      <c r="J166" s="53"/>
    </row>
    <row r="167" ht="24.75" hidden="1" customHeight="1">
      <c r="A167" s="54">
        <v>130.0</v>
      </c>
      <c r="B167" s="56" t="s">
        <v>404</v>
      </c>
      <c r="C167" s="56" t="s">
        <v>405</v>
      </c>
      <c r="D167" s="56" t="s">
        <v>406</v>
      </c>
      <c r="E167" s="56" t="s">
        <v>410</v>
      </c>
      <c r="F167" s="57" t="s">
        <v>154</v>
      </c>
      <c r="G167" s="61"/>
      <c r="H167" s="61"/>
      <c r="I167" s="62"/>
      <c r="J167" s="53"/>
    </row>
    <row r="168" ht="24.75" hidden="1" customHeight="1">
      <c r="A168" s="54">
        <v>130.0</v>
      </c>
      <c r="B168" s="56" t="s">
        <v>404</v>
      </c>
      <c r="C168" s="56" t="s">
        <v>405</v>
      </c>
      <c r="D168" s="56" t="s">
        <v>406</v>
      </c>
      <c r="E168" s="56" t="s">
        <v>411</v>
      </c>
      <c r="F168" s="57" t="s">
        <v>154</v>
      </c>
      <c r="G168" s="61"/>
      <c r="H168" s="61"/>
      <c r="I168" s="62"/>
      <c r="J168" s="53"/>
    </row>
    <row r="169" ht="24.75" hidden="1" customHeight="1">
      <c r="A169" s="54">
        <v>130.0</v>
      </c>
      <c r="B169" s="56" t="s">
        <v>412</v>
      </c>
      <c r="C169" s="56"/>
      <c r="D169" s="56" t="s">
        <v>413</v>
      </c>
      <c r="E169" s="56" t="s">
        <v>336</v>
      </c>
      <c r="F169" s="57" t="s">
        <v>192</v>
      </c>
      <c r="G169" s="61"/>
      <c r="H169" s="61"/>
      <c r="I169" s="62"/>
      <c r="J169" s="53"/>
    </row>
    <row r="170" ht="24.75" hidden="1" customHeight="1">
      <c r="A170" s="54">
        <v>130.0</v>
      </c>
      <c r="B170" s="56" t="s">
        <v>415</v>
      </c>
      <c r="C170" s="56" t="s">
        <v>148</v>
      </c>
      <c r="D170" s="56" t="s">
        <v>416</v>
      </c>
      <c r="E170" s="56" t="s">
        <v>150</v>
      </c>
      <c r="F170" s="57" t="s">
        <v>34</v>
      </c>
      <c r="G170" s="61"/>
      <c r="H170" s="61"/>
      <c r="I170" s="62"/>
      <c r="J170" s="53"/>
    </row>
    <row r="171" ht="24.75" hidden="1" customHeight="1">
      <c r="A171" s="54">
        <v>130.0</v>
      </c>
      <c r="B171" s="56" t="s">
        <v>418</v>
      </c>
      <c r="C171" s="56" t="s">
        <v>148</v>
      </c>
      <c r="D171" s="56" t="s">
        <v>419</v>
      </c>
      <c r="E171" s="56" t="s">
        <v>150</v>
      </c>
      <c r="F171" s="57" t="s">
        <v>34</v>
      </c>
      <c r="G171" s="61"/>
      <c r="H171" s="61"/>
      <c r="I171" s="62"/>
      <c r="J171" s="53"/>
    </row>
    <row r="172" ht="24.75" hidden="1" customHeight="1">
      <c r="A172" s="54">
        <v>136.0</v>
      </c>
      <c r="B172" s="56" t="s">
        <v>421</v>
      </c>
      <c r="C172" s="56" t="s">
        <v>422</v>
      </c>
      <c r="D172" s="56" t="s">
        <v>422</v>
      </c>
      <c r="E172" s="56" t="s">
        <v>423</v>
      </c>
      <c r="F172" s="57" t="s">
        <v>154</v>
      </c>
      <c r="G172" s="61"/>
      <c r="H172" s="61"/>
      <c r="I172" s="62" t="s">
        <v>207</v>
      </c>
      <c r="J172" s="53"/>
    </row>
    <row r="173" ht="24.75" hidden="1" customHeight="1">
      <c r="A173" s="54">
        <v>136.0</v>
      </c>
      <c r="B173" s="56" t="s">
        <v>421</v>
      </c>
      <c r="C173" s="56" t="s">
        <v>422</v>
      </c>
      <c r="D173" s="56" t="s">
        <v>422</v>
      </c>
      <c r="E173" s="80" t="s">
        <v>213</v>
      </c>
      <c r="F173" s="57"/>
      <c r="G173" s="61"/>
      <c r="H173" s="61"/>
      <c r="I173" s="62"/>
      <c r="J173" s="53"/>
    </row>
    <row r="174" ht="24.75" hidden="1" customHeight="1">
      <c r="A174" s="54">
        <v>136.0</v>
      </c>
      <c r="B174" s="56" t="s">
        <v>424</v>
      </c>
      <c r="C174" s="56" t="s">
        <v>422</v>
      </c>
      <c r="D174" s="56" t="s">
        <v>425</v>
      </c>
      <c r="E174" s="56" t="s">
        <v>111</v>
      </c>
      <c r="F174" s="57" t="s">
        <v>154</v>
      </c>
      <c r="G174" s="61"/>
      <c r="H174" s="61"/>
      <c r="I174" s="62"/>
      <c r="J174" s="53"/>
    </row>
    <row r="175" ht="24.75" hidden="1" customHeight="1">
      <c r="A175" s="54">
        <v>136.0</v>
      </c>
      <c r="B175" s="56" t="s">
        <v>426</v>
      </c>
      <c r="C175" s="56" t="s">
        <v>422</v>
      </c>
      <c r="D175" s="56" t="s">
        <v>427</v>
      </c>
      <c r="E175" s="56" t="s">
        <v>111</v>
      </c>
      <c r="F175" s="57" t="s">
        <v>154</v>
      </c>
      <c r="G175" s="61"/>
      <c r="H175" s="61"/>
      <c r="I175" s="62"/>
      <c r="J175" s="53"/>
    </row>
    <row r="176" ht="24.75" hidden="1" customHeight="1">
      <c r="A176" s="54">
        <v>136.0</v>
      </c>
      <c r="B176" s="56" t="s">
        <v>428</v>
      </c>
      <c r="C176" s="56" t="s">
        <v>422</v>
      </c>
      <c r="D176" s="56" t="s">
        <v>429</v>
      </c>
      <c r="E176" s="56" t="s">
        <v>111</v>
      </c>
      <c r="F176" s="57" t="s">
        <v>154</v>
      </c>
      <c r="G176" s="61"/>
      <c r="H176" s="61"/>
      <c r="I176" s="62"/>
      <c r="J176" s="53"/>
    </row>
    <row r="177" ht="24.75" hidden="1" customHeight="1">
      <c r="A177" s="54">
        <v>136.0</v>
      </c>
      <c r="B177" s="56" t="s">
        <v>430</v>
      </c>
      <c r="C177" s="56" t="s">
        <v>422</v>
      </c>
      <c r="D177" s="56" t="s">
        <v>431</v>
      </c>
      <c r="E177" s="56" t="s">
        <v>432</v>
      </c>
      <c r="F177" s="57" t="s">
        <v>154</v>
      </c>
      <c r="G177" s="61"/>
      <c r="H177" s="61"/>
      <c r="I177" s="62"/>
      <c r="J177" s="53"/>
    </row>
    <row r="178" ht="24.75" hidden="1" customHeight="1">
      <c r="A178" s="54">
        <v>140.0</v>
      </c>
      <c r="B178" s="56" t="s">
        <v>433</v>
      </c>
      <c r="C178" s="56" t="s">
        <v>434</v>
      </c>
      <c r="D178" s="56" t="s">
        <v>435</v>
      </c>
      <c r="E178" s="56" t="s">
        <v>167</v>
      </c>
      <c r="F178" s="57" t="s">
        <v>154</v>
      </c>
      <c r="G178" s="61"/>
      <c r="H178" s="61"/>
      <c r="I178" s="62"/>
      <c r="J178" s="53"/>
    </row>
    <row r="179" ht="24.75" hidden="1" customHeight="1">
      <c r="A179" s="54">
        <v>140.0</v>
      </c>
      <c r="B179" s="56" t="s">
        <v>436</v>
      </c>
      <c r="C179" s="56" t="s">
        <v>437</v>
      </c>
      <c r="D179" s="56" t="s">
        <v>438</v>
      </c>
      <c r="E179" s="56" t="s">
        <v>439</v>
      </c>
      <c r="F179" s="57" t="s">
        <v>154</v>
      </c>
      <c r="G179" s="61"/>
      <c r="H179" s="61"/>
      <c r="I179" s="62"/>
      <c r="J179" s="53"/>
    </row>
    <row r="180" ht="24.75" hidden="1" customHeight="1">
      <c r="A180" s="54">
        <v>140.0</v>
      </c>
      <c r="B180" s="56" t="s">
        <v>440</v>
      </c>
      <c r="C180" s="56" t="s">
        <v>437</v>
      </c>
      <c r="D180" s="56" t="s">
        <v>441</v>
      </c>
      <c r="E180" s="56" t="s">
        <v>439</v>
      </c>
      <c r="F180" s="57" t="s">
        <v>154</v>
      </c>
      <c r="G180" s="61"/>
      <c r="H180" s="61"/>
      <c r="I180" s="62"/>
      <c r="J180" s="53"/>
    </row>
    <row r="181" ht="24.75" hidden="1" customHeight="1">
      <c r="A181" s="54">
        <v>140.0</v>
      </c>
      <c r="B181" s="56" t="s">
        <v>442</v>
      </c>
      <c r="C181" s="56" t="s">
        <v>443</v>
      </c>
      <c r="D181" s="56" t="s">
        <v>444</v>
      </c>
      <c r="E181" s="56" t="s">
        <v>439</v>
      </c>
      <c r="F181" s="57" t="s">
        <v>154</v>
      </c>
      <c r="G181" s="61"/>
      <c r="H181" s="61"/>
      <c r="I181" s="62"/>
      <c r="J181" s="53"/>
    </row>
    <row r="182" ht="24.75" hidden="1" customHeight="1">
      <c r="A182" s="54">
        <v>140.0</v>
      </c>
      <c r="B182" s="56" t="s">
        <v>445</v>
      </c>
      <c r="C182" s="56" t="s">
        <v>446</v>
      </c>
      <c r="D182" s="56" t="s">
        <v>447</v>
      </c>
      <c r="E182" s="56" t="s">
        <v>439</v>
      </c>
      <c r="F182" s="57" t="s">
        <v>154</v>
      </c>
      <c r="G182" s="61"/>
      <c r="H182" s="61"/>
      <c r="I182" s="62"/>
      <c r="J182" s="53"/>
    </row>
    <row r="183" ht="24.75" hidden="1" customHeight="1">
      <c r="A183" s="54">
        <v>140.0</v>
      </c>
      <c r="B183" s="56" t="s">
        <v>448</v>
      </c>
      <c r="C183" s="88" t="s">
        <v>449</v>
      </c>
      <c r="D183" s="56" t="s">
        <v>450</v>
      </c>
      <c r="E183" s="56" t="s">
        <v>439</v>
      </c>
      <c r="F183" s="57" t="s">
        <v>154</v>
      </c>
      <c r="G183" s="61"/>
      <c r="H183" s="61"/>
      <c r="I183" s="62"/>
      <c r="J183" s="53"/>
    </row>
    <row r="184" ht="24.75" hidden="1" customHeight="1">
      <c r="A184" s="54">
        <v>90.0</v>
      </c>
      <c r="B184" s="56" t="s">
        <v>286</v>
      </c>
      <c r="C184" s="56" t="s">
        <v>278</v>
      </c>
      <c r="D184" s="56" t="s">
        <v>266</v>
      </c>
      <c r="E184" s="56" t="s">
        <v>111</v>
      </c>
      <c r="F184" s="57" t="s">
        <v>15</v>
      </c>
      <c r="G184" s="61"/>
      <c r="H184" s="61"/>
      <c r="I184" s="60"/>
      <c r="J184" s="53"/>
    </row>
    <row r="185" ht="24.75" hidden="1" customHeight="1">
      <c r="A185" s="54">
        <v>100.0</v>
      </c>
      <c r="B185" s="56" t="s">
        <v>451</v>
      </c>
      <c r="C185" s="56" t="s">
        <v>315</v>
      </c>
      <c r="D185" s="56" t="s">
        <v>452</v>
      </c>
      <c r="E185" s="56" t="s">
        <v>453</v>
      </c>
      <c r="F185" s="57" t="s">
        <v>15</v>
      </c>
      <c r="G185" s="61"/>
      <c r="H185" s="61"/>
      <c r="I185" s="60"/>
      <c r="J185" s="53"/>
    </row>
    <row r="186" ht="24.75" hidden="1" customHeight="1">
      <c r="A186" s="54">
        <v>100.0</v>
      </c>
      <c r="B186" s="56" t="s">
        <v>454</v>
      </c>
      <c r="C186" s="56" t="s">
        <v>315</v>
      </c>
      <c r="D186" s="56" t="s">
        <v>316</v>
      </c>
      <c r="E186" s="56" t="s">
        <v>455</v>
      </c>
      <c r="F186" s="57" t="s">
        <v>15</v>
      </c>
      <c r="G186" s="61"/>
      <c r="H186" s="61"/>
      <c r="I186" s="60"/>
      <c r="J186" s="53"/>
    </row>
    <row r="187" ht="24.75" hidden="1" customHeight="1">
      <c r="A187" s="54">
        <v>101.0</v>
      </c>
      <c r="B187" s="56" t="s">
        <v>456</v>
      </c>
      <c r="C187" s="56" t="s">
        <v>315</v>
      </c>
      <c r="D187" s="56" t="s">
        <v>340</v>
      </c>
      <c r="E187" s="56" t="s">
        <v>457</v>
      </c>
      <c r="F187" s="57" t="s">
        <v>15</v>
      </c>
      <c r="G187" s="61"/>
      <c r="H187" s="61"/>
      <c r="I187" s="60"/>
      <c r="J187" s="53"/>
    </row>
    <row r="188" ht="24.75" hidden="1" customHeight="1">
      <c r="A188" s="54">
        <v>101.0</v>
      </c>
      <c r="B188" s="56" t="s">
        <v>458</v>
      </c>
      <c r="C188" s="56" t="s">
        <v>315</v>
      </c>
      <c r="D188" s="56" t="s">
        <v>351</v>
      </c>
      <c r="E188" s="56" t="s">
        <v>459</v>
      </c>
      <c r="F188" s="57" t="s">
        <v>15</v>
      </c>
      <c r="G188" s="61"/>
      <c r="H188" s="61"/>
      <c r="I188" s="60"/>
      <c r="J188" s="53"/>
    </row>
    <row r="189" ht="24.75" hidden="1" customHeight="1">
      <c r="A189" s="54">
        <v>102.0</v>
      </c>
      <c r="B189" s="56" t="s">
        <v>353</v>
      </c>
      <c r="C189" s="56" t="s">
        <v>315</v>
      </c>
      <c r="D189" s="56" t="s">
        <v>354</v>
      </c>
      <c r="E189" s="56" t="s">
        <v>461</v>
      </c>
      <c r="F189" s="57" t="s">
        <v>15</v>
      </c>
      <c r="G189" s="61"/>
      <c r="H189" s="61"/>
      <c r="I189" s="60"/>
      <c r="J189" s="53"/>
    </row>
    <row r="190" ht="24.75" hidden="1" customHeight="1">
      <c r="A190" s="54">
        <v>140.0</v>
      </c>
      <c r="B190" s="56" t="s">
        <v>462</v>
      </c>
      <c r="C190" s="56" t="s">
        <v>434</v>
      </c>
      <c r="D190" s="56" t="s">
        <v>463</v>
      </c>
      <c r="E190" s="56" t="s">
        <v>272</v>
      </c>
      <c r="F190" s="57" t="s">
        <v>15</v>
      </c>
      <c r="G190" s="61"/>
      <c r="H190" s="61"/>
      <c r="I190" s="60"/>
      <c r="J190" s="53"/>
    </row>
    <row r="191" ht="24.75" hidden="1" customHeight="1">
      <c r="A191" s="54">
        <v>140.0</v>
      </c>
      <c r="B191" s="56" t="s">
        <v>464</v>
      </c>
      <c r="C191" s="56" t="s">
        <v>270</v>
      </c>
      <c r="D191" s="56" t="s">
        <v>465</v>
      </c>
      <c r="E191" s="56" t="s">
        <v>272</v>
      </c>
      <c r="F191" s="57" t="s">
        <v>15</v>
      </c>
      <c r="G191" s="61"/>
      <c r="H191" s="61"/>
      <c r="I191" s="60"/>
      <c r="J191" s="53"/>
    </row>
    <row r="192" ht="24.75" hidden="1" customHeight="1">
      <c r="A192" s="54">
        <v>140.0</v>
      </c>
      <c r="B192" s="56" t="s">
        <v>466</v>
      </c>
      <c r="C192" s="56" t="s">
        <v>443</v>
      </c>
      <c r="D192" s="56" t="s">
        <v>467</v>
      </c>
      <c r="E192" s="56" t="s">
        <v>272</v>
      </c>
      <c r="F192" s="57" t="s">
        <v>15</v>
      </c>
      <c r="G192" s="61"/>
      <c r="H192" s="61"/>
      <c r="I192" s="60"/>
      <c r="J192" s="53"/>
    </row>
    <row r="193" ht="24.75" hidden="1" customHeight="1">
      <c r="A193" s="54">
        <v>140.0</v>
      </c>
      <c r="B193" s="56" t="s">
        <v>468</v>
      </c>
      <c r="C193" s="56" t="s">
        <v>446</v>
      </c>
      <c r="D193" s="56" t="s">
        <v>469</v>
      </c>
      <c r="E193" s="56" t="s">
        <v>272</v>
      </c>
      <c r="F193" s="57" t="s">
        <v>15</v>
      </c>
      <c r="G193" s="61"/>
      <c r="H193" s="61"/>
      <c r="I193" s="60"/>
      <c r="J193" s="53"/>
    </row>
    <row r="194" ht="24.75" hidden="1" customHeight="1">
      <c r="A194" s="54">
        <v>140.0</v>
      </c>
      <c r="B194" s="56" t="s">
        <v>470</v>
      </c>
      <c r="C194" s="56" t="s">
        <v>443</v>
      </c>
      <c r="D194" s="56" t="s">
        <v>471</v>
      </c>
      <c r="E194" s="56" t="s">
        <v>272</v>
      </c>
      <c r="F194" s="57" t="s">
        <v>15</v>
      </c>
      <c r="G194" s="61"/>
      <c r="H194" s="61"/>
      <c r="I194" s="60"/>
      <c r="J194" s="53"/>
    </row>
    <row r="195" ht="24.75" hidden="1" customHeight="1">
      <c r="A195" s="54">
        <v>140.0</v>
      </c>
      <c r="B195" s="56" t="s">
        <v>472</v>
      </c>
      <c r="C195" s="56" t="s">
        <v>446</v>
      </c>
      <c r="D195" s="56" t="s">
        <v>473</v>
      </c>
      <c r="E195" s="56" t="s">
        <v>272</v>
      </c>
      <c r="F195" s="57" t="s">
        <v>15</v>
      </c>
      <c r="G195" s="61"/>
      <c r="H195" s="61"/>
      <c r="I195" s="60"/>
      <c r="J195" s="53"/>
    </row>
    <row r="196" ht="24.75" hidden="1" customHeight="1">
      <c r="A196" s="54">
        <v>140.0</v>
      </c>
      <c r="B196" s="56" t="s">
        <v>474</v>
      </c>
      <c r="C196" s="56" t="s">
        <v>443</v>
      </c>
      <c r="D196" s="56" t="s">
        <v>475</v>
      </c>
      <c r="E196" s="56" t="s">
        <v>272</v>
      </c>
      <c r="F196" s="57" t="s">
        <v>15</v>
      </c>
      <c r="G196" s="61"/>
      <c r="H196" s="61"/>
      <c r="I196" s="60"/>
      <c r="J196" s="53"/>
    </row>
    <row r="197" ht="24.75" hidden="1" customHeight="1">
      <c r="A197" s="54">
        <v>140.0</v>
      </c>
      <c r="B197" s="56" t="s">
        <v>476</v>
      </c>
      <c r="C197" s="56" t="s">
        <v>270</v>
      </c>
      <c r="D197" s="56" t="s">
        <v>477</v>
      </c>
      <c r="E197" s="56" t="s">
        <v>272</v>
      </c>
      <c r="F197" s="57" t="s">
        <v>15</v>
      </c>
      <c r="G197" s="61"/>
      <c r="H197" s="61"/>
      <c r="I197" s="60"/>
      <c r="J197" s="53"/>
    </row>
    <row r="198" ht="24.75" hidden="1" customHeight="1">
      <c r="A198" s="54">
        <v>140.0</v>
      </c>
      <c r="B198" s="56" t="s">
        <v>478</v>
      </c>
      <c r="C198" s="56" t="s">
        <v>270</v>
      </c>
      <c r="D198" s="56" t="s">
        <v>479</v>
      </c>
      <c r="E198" s="56" t="s">
        <v>272</v>
      </c>
      <c r="F198" s="57" t="s">
        <v>15</v>
      </c>
      <c r="G198" s="61"/>
      <c r="H198" s="61"/>
      <c r="I198" s="60"/>
      <c r="J198" s="53"/>
    </row>
    <row r="199" ht="24.75" hidden="1" customHeight="1">
      <c r="A199" s="54">
        <v>140.0</v>
      </c>
      <c r="B199" s="56" t="s">
        <v>480</v>
      </c>
      <c r="C199" s="56" t="s">
        <v>270</v>
      </c>
      <c r="D199" s="56" t="s">
        <v>481</v>
      </c>
      <c r="E199" s="56" t="s">
        <v>272</v>
      </c>
      <c r="F199" s="57" t="s">
        <v>15</v>
      </c>
      <c r="G199" s="61"/>
      <c r="H199" s="61"/>
      <c r="I199" s="60"/>
      <c r="J199" s="53"/>
    </row>
    <row r="200" ht="24.75" hidden="1" customHeight="1">
      <c r="A200" s="54">
        <v>140.0</v>
      </c>
      <c r="B200" s="56" t="s">
        <v>482</v>
      </c>
      <c r="C200" s="56" t="s">
        <v>443</v>
      </c>
      <c r="D200" s="56" t="s">
        <v>483</v>
      </c>
      <c r="E200" s="56" t="s">
        <v>272</v>
      </c>
      <c r="F200" s="57" t="s">
        <v>15</v>
      </c>
      <c r="G200" s="61"/>
      <c r="H200" s="61"/>
      <c r="I200" s="60"/>
      <c r="J200" s="53"/>
    </row>
    <row r="201" ht="24.75" hidden="1" customHeight="1">
      <c r="A201" s="54">
        <v>140.0</v>
      </c>
      <c r="B201" s="56" t="s">
        <v>484</v>
      </c>
      <c r="C201" s="56" t="s">
        <v>446</v>
      </c>
      <c r="D201" s="56" t="s">
        <v>485</v>
      </c>
      <c r="E201" s="56" t="s">
        <v>272</v>
      </c>
      <c r="F201" s="57" t="s">
        <v>15</v>
      </c>
      <c r="G201" s="61"/>
      <c r="H201" s="61"/>
      <c r="I201" s="60"/>
      <c r="J201" s="53"/>
    </row>
    <row r="202" ht="24.75" hidden="1" customHeight="1">
      <c r="A202" s="54">
        <v>140.0</v>
      </c>
      <c r="B202" s="56" t="s">
        <v>269</v>
      </c>
      <c r="C202" s="56" t="s">
        <v>270</v>
      </c>
      <c r="D202" s="56" t="s">
        <v>486</v>
      </c>
      <c r="E202" s="56" t="s">
        <v>487</v>
      </c>
      <c r="F202" s="56"/>
      <c r="G202" s="61"/>
      <c r="H202" s="61"/>
      <c r="I202" s="62"/>
      <c r="J202" s="53"/>
    </row>
    <row r="203" ht="24.75" hidden="1" customHeight="1">
      <c r="A203" s="54">
        <v>140.0</v>
      </c>
      <c r="B203" s="56" t="s">
        <v>488</v>
      </c>
      <c r="C203" s="88" t="s">
        <v>449</v>
      </c>
      <c r="D203" s="56" t="s">
        <v>489</v>
      </c>
      <c r="E203" s="56" t="s">
        <v>272</v>
      </c>
      <c r="F203" s="57" t="s">
        <v>15</v>
      </c>
      <c r="G203" s="61"/>
      <c r="H203" s="61"/>
      <c r="I203" s="60"/>
      <c r="J203" s="53"/>
    </row>
    <row r="204" ht="24.75" hidden="1" customHeight="1">
      <c r="A204" s="54">
        <v>140.0</v>
      </c>
      <c r="B204" s="56" t="s">
        <v>490</v>
      </c>
      <c r="C204" s="56" t="s">
        <v>270</v>
      </c>
      <c r="D204" s="56" t="s">
        <v>491</v>
      </c>
      <c r="E204" s="56" t="s">
        <v>272</v>
      </c>
      <c r="F204" s="57" t="s">
        <v>15</v>
      </c>
      <c r="G204" s="61"/>
      <c r="H204" s="61"/>
      <c r="I204" s="60"/>
      <c r="J204" s="53"/>
    </row>
    <row r="205" ht="24.75" hidden="1" customHeight="1">
      <c r="A205" s="54">
        <v>140.0</v>
      </c>
      <c r="B205" s="56" t="s">
        <v>284</v>
      </c>
      <c r="C205" s="56" t="s">
        <v>270</v>
      </c>
      <c r="D205" s="56" t="s">
        <v>492</v>
      </c>
      <c r="E205" s="56" t="s">
        <v>487</v>
      </c>
      <c r="F205" s="56"/>
      <c r="G205" s="61"/>
      <c r="H205" s="61"/>
      <c r="I205" s="62"/>
      <c r="J205" s="53"/>
    </row>
    <row r="206" ht="24.75" hidden="1" customHeight="1">
      <c r="A206" s="54">
        <v>140.0</v>
      </c>
      <c r="B206" s="56" t="s">
        <v>493</v>
      </c>
      <c r="C206" s="56" t="s">
        <v>270</v>
      </c>
      <c r="D206" s="56" t="s">
        <v>494</v>
      </c>
      <c r="E206" s="56" t="s">
        <v>272</v>
      </c>
      <c r="F206" s="57" t="s">
        <v>15</v>
      </c>
      <c r="G206" s="61"/>
      <c r="H206" s="61"/>
      <c r="I206" s="60"/>
      <c r="J206" s="53"/>
    </row>
    <row r="207" ht="24.75" hidden="1" customHeight="1">
      <c r="A207" s="54">
        <v>140.0</v>
      </c>
      <c r="B207" s="56" t="s">
        <v>496</v>
      </c>
      <c r="C207" s="56" t="s">
        <v>497</v>
      </c>
      <c r="D207" s="56" t="s">
        <v>498</v>
      </c>
      <c r="E207" s="56" t="s">
        <v>272</v>
      </c>
      <c r="F207" s="57" t="s">
        <v>15</v>
      </c>
      <c r="G207" s="61"/>
      <c r="H207" s="61"/>
      <c r="I207" s="60"/>
      <c r="J207" s="53"/>
    </row>
    <row r="208" ht="24.75" hidden="1" customHeight="1">
      <c r="A208" s="54">
        <v>140.0</v>
      </c>
      <c r="B208" s="56" t="s">
        <v>499</v>
      </c>
      <c r="C208" s="56" t="s">
        <v>500</v>
      </c>
      <c r="D208" s="56" t="s">
        <v>501</v>
      </c>
      <c r="E208" s="56" t="s">
        <v>225</v>
      </c>
      <c r="F208" s="57" t="s">
        <v>34</v>
      </c>
      <c r="G208" s="61"/>
      <c r="H208" s="61"/>
      <c r="I208" s="62"/>
      <c r="J208" s="53"/>
    </row>
    <row r="209" ht="24.75" hidden="1" customHeight="1">
      <c r="A209" s="54">
        <v>140.0</v>
      </c>
      <c r="B209" s="56" t="s">
        <v>499</v>
      </c>
      <c r="C209" s="56" t="s">
        <v>500</v>
      </c>
      <c r="D209" s="56" t="s">
        <v>501</v>
      </c>
      <c r="E209" s="56" t="s">
        <v>167</v>
      </c>
      <c r="F209" s="57" t="s">
        <v>154</v>
      </c>
      <c r="G209" s="61"/>
      <c r="H209" s="61"/>
      <c r="I209" s="62"/>
      <c r="J209" s="53"/>
    </row>
    <row r="210" ht="24.75" hidden="1" customHeight="1">
      <c r="A210" s="54">
        <v>140.0</v>
      </c>
      <c r="B210" s="56" t="s">
        <v>499</v>
      </c>
      <c r="C210" s="56" t="s">
        <v>500</v>
      </c>
      <c r="D210" s="56" t="s">
        <v>501</v>
      </c>
      <c r="E210" s="56" t="s">
        <v>226</v>
      </c>
      <c r="F210" s="57" t="s">
        <v>154</v>
      </c>
      <c r="G210" s="61"/>
      <c r="H210" s="61"/>
      <c r="I210" s="62"/>
      <c r="J210" s="53"/>
    </row>
    <row r="211" ht="24.75" hidden="1" customHeight="1">
      <c r="A211" s="54">
        <v>140.0</v>
      </c>
      <c r="B211" s="56" t="s">
        <v>502</v>
      </c>
      <c r="C211" s="56" t="s">
        <v>497</v>
      </c>
      <c r="D211" s="56" t="s">
        <v>503</v>
      </c>
      <c r="E211" s="56" t="s">
        <v>272</v>
      </c>
      <c r="F211" s="57" t="s">
        <v>15</v>
      </c>
      <c r="G211" s="61"/>
      <c r="H211" s="61"/>
      <c r="I211" s="60"/>
      <c r="J211" s="53"/>
    </row>
    <row r="212" ht="24.75" hidden="1" customHeight="1">
      <c r="A212" s="54">
        <v>140.0</v>
      </c>
      <c r="B212" s="56" t="s">
        <v>504</v>
      </c>
      <c r="C212" s="56" t="s">
        <v>443</v>
      </c>
      <c r="D212" s="56" t="s">
        <v>505</v>
      </c>
      <c r="E212" s="56" t="s">
        <v>439</v>
      </c>
      <c r="F212" s="57" t="s">
        <v>154</v>
      </c>
      <c r="G212" s="61"/>
      <c r="H212" s="61"/>
      <c r="I212" s="62"/>
      <c r="J212" s="53"/>
    </row>
    <row r="213" ht="24.75" hidden="1" customHeight="1">
      <c r="A213" s="54">
        <v>140.0</v>
      </c>
      <c r="B213" s="56" t="s">
        <v>506</v>
      </c>
      <c r="C213" s="56" t="s">
        <v>507</v>
      </c>
      <c r="D213" s="56" t="s">
        <v>508</v>
      </c>
      <c r="E213" s="56" t="s">
        <v>336</v>
      </c>
      <c r="F213" s="57" t="s">
        <v>192</v>
      </c>
      <c r="G213" s="61"/>
      <c r="H213" s="61"/>
      <c r="I213" s="62"/>
      <c r="J213" s="53"/>
    </row>
    <row r="214" ht="24.75" hidden="1" customHeight="1">
      <c r="A214" s="54">
        <v>140.0</v>
      </c>
      <c r="B214" s="56" t="s">
        <v>506</v>
      </c>
      <c r="C214" s="56" t="s">
        <v>507</v>
      </c>
      <c r="D214" s="56" t="s">
        <v>508</v>
      </c>
      <c r="E214" s="56" t="s">
        <v>372</v>
      </c>
      <c r="F214" s="57" t="s">
        <v>34</v>
      </c>
      <c r="G214" s="61"/>
      <c r="H214" s="61"/>
      <c r="I214" s="62"/>
      <c r="J214" s="53"/>
    </row>
    <row r="215" ht="24.75" hidden="1" customHeight="1">
      <c r="A215" s="54">
        <v>140.0</v>
      </c>
      <c r="B215" s="56" t="s">
        <v>506</v>
      </c>
      <c r="C215" s="56" t="s">
        <v>507</v>
      </c>
      <c r="D215" s="56" t="s">
        <v>508</v>
      </c>
      <c r="E215" s="56" t="s">
        <v>158</v>
      </c>
      <c r="F215" s="57" t="s">
        <v>34</v>
      </c>
      <c r="G215" s="61"/>
      <c r="H215" s="61"/>
      <c r="I215" s="62"/>
      <c r="J215" s="53"/>
    </row>
    <row r="216" ht="24.75" hidden="1" customHeight="1">
      <c r="A216" s="54">
        <v>140.0</v>
      </c>
      <c r="B216" s="56" t="s">
        <v>502</v>
      </c>
      <c r="C216" s="56" t="s">
        <v>497</v>
      </c>
      <c r="D216" s="56" t="s">
        <v>509</v>
      </c>
      <c r="E216" s="56" t="s">
        <v>272</v>
      </c>
      <c r="F216" s="57" t="s">
        <v>15</v>
      </c>
      <c r="G216" s="61"/>
      <c r="H216" s="61"/>
      <c r="I216" s="60"/>
      <c r="J216" s="53"/>
    </row>
    <row r="217" ht="24.75" hidden="1" customHeight="1">
      <c r="A217" s="54">
        <v>140.0</v>
      </c>
      <c r="B217" s="56" t="s">
        <v>499</v>
      </c>
      <c r="C217" s="56" t="s">
        <v>500</v>
      </c>
      <c r="D217" s="56" t="s">
        <v>510</v>
      </c>
      <c r="E217" s="56" t="s">
        <v>272</v>
      </c>
      <c r="F217" s="57" t="s">
        <v>15</v>
      </c>
      <c r="G217" s="61"/>
      <c r="H217" s="61"/>
      <c r="I217" s="60"/>
      <c r="J217" s="53"/>
    </row>
    <row r="218" ht="24.75" hidden="1" customHeight="1">
      <c r="A218" s="54">
        <v>140.0</v>
      </c>
      <c r="B218" s="56" t="s">
        <v>511</v>
      </c>
      <c r="C218" s="56" t="s">
        <v>497</v>
      </c>
      <c r="D218" s="56" t="s">
        <v>512</v>
      </c>
      <c r="E218" s="56" t="s">
        <v>272</v>
      </c>
      <c r="F218" s="57" t="s">
        <v>15</v>
      </c>
      <c r="G218" s="61"/>
      <c r="H218" s="61"/>
      <c r="I218" s="60"/>
      <c r="J218" s="53"/>
    </row>
    <row r="219" ht="24.75" hidden="1" customHeight="1">
      <c r="A219" s="54">
        <v>140.0</v>
      </c>
      <c r="B219" s="56" t="s">
        <v>513</v>
      </c>
      <c r="C219" s="56" t="s">
        <v>437</v>
      </c>
      <c r="D219" s="56" t="s">
        <v>514</v>
      </c>
      <c r="E219" s="56" t="s">
        <v>272</v>
      </c>
      <c r="F219" s="57" t="s">
        <v>15</v>
      </c>
      <c r="G219" s="61"/>
      <c r="H219" s="61"/>
      <c r="I219" s="60"/>
      <c r="J219" s="53"/>
    </row>
    <row r="220" ht="24.75" hidden="1" customHeight="1">
      <c r="A220" s="54">
        <v>140.0</v>
      </c>
      <c r="B220" s="56" t="s">
        <v>515</v>
      </c>
      <c r="C220" s="56" t="s">
        <v>437</v>
      </c>
      <c r="D220" s="56" t="s">
        <v>516</v>
      </c>
      <c r="E220" s="56" t="s">
        <v>272</v>
      </c>
      <c r="F220" s="57" t="s">
        <v>15</v>
      </c>
      <c r="G220" s="61"/>
      <c r="H220" s="61"/>
      <c r="I220" s="60"/>
      <c r="J220" s="53"/>
    </row>
    <row r="221" ht="24.75" hidden="1" customHeight="1">
      <c r="A221" s="54">
        <v>140.0</v>
      </c>
      <c r="B221" s="56" t="s">
        <v>517</v>
      </c>
      <c r="C221" s="56" t="s">
        <v>437</v>
      </c>
      <c r="D221" s="56" t="s">
        <v>518</v>
      </c>
      <c r="E221" s="56" t="s">
        <v>272</v>
      </c>
      <c r="F221" s="57" t="s">
        <v>15</v>
      </c>
      <c r="G221" s="81"/>
      <c r="H221" s="81"/>
      <c r="I221" s="93"/>
      <c r="J221" s="53"/>
    </row>
    <row r="222" ht="24.75" hidden="1" customHeight="1">
      <c r="A222" s="54">
        <v>140.0</v>
      </c>
      <c r="B222" s="56" t="s">
        <v>519</v>
      </c>
      <c r="C222" s="56" t="s">
        <v>437</v>
      </c>
      <c r="D222" s="56" t="s">
        <v>520</v>
      </c>
      <c r="E222" s="56" t="s">
        <v>272</v>
      </c>
      <c r="F222" s="57" t="s">
        <v>15</v>
      </c>
      <c r="G222" s="61"/>
      <c r="H222" s="61"/>
      <c r="I222" s="60"/>
      <c r="J222" s="53"/>
    </row>
    <row r="223" ht="24.75" hidden="1" customHeight="1">
      <c r="A223" s="54">
        <v>140.0</v>
      </c>
      <c r="B223" s="56" t="s">
        <v>521</v>
      </c>
      <c r="C223" s="56" t="s">
        <v>443</v>
      </c>
      <c r="D223" s="56" t="s">
        <v>522</v>
      </c>
      <c r="E223" s="56" t="s">
        <v>272</v>
      </c>
      <c r="F223" s="57" t="s">
        <v>15</v>
      </c>
      <c r="G223" s="61"/>
      <c r="H223" s="61"/>
      <c r="I223" s="60"/>
      <c r="J223" s="53"/>
    </row>
    <row r="224" ht="24.75" hidden="1" customHeight="1">
      <c r="A224" s="54">
        <v>140.0</v>
      </c>
      <c r="B224" s="56" t="s">
        <v>523</v>
      </c>
      <c r="C224" s="56" t="s">
        <v>443</v>
      </c>
      <c r="D224" s="56" t="s">
        <v>524</v>
      </c>
      <c r="E224" s="56" t="s">
        <v>272</v>
      </c>
      <c r="F224" s="57" t="s">
        <v>15</v>
      </c>
      <c r="G224" s="61"/>
      <c r="H224" s="61"/>
      <c r="I224" s="60"/>
      <c r="J224" s="53"/>
    </row>
    <row r="225" ht="24.75" hidden="1" customHeight="1">
      <c r="A225" s="54">
        <v>140.0</v>
      </c>
      <c r="B225" s="56" t="s">
        <v>525</v>
      </c>
      <c r="C225" s="56" t="s">
        <v>443</v>
      </c>
      <c r="D225" s="56" t="s">
        <v>526</v>
      </c>
      <c r="E225" s="56" t="s">
        <v>272</v>
      </c>
      <c r="F225" s="57" t="s">
        <v>15</v>
      </c>
      <c r="G225" s="61"/>
      <c r="H225" s="61"/>
      <c r="I225" s="60"/>
      <c r="J225" s="53"/>
    </row>
    <row r="226" ht="24.75" hidden="1" customHeight="1">
      <c r="A226" s="54">
        <v>140.0</v>
      </c>
      <c r="B226" s="56" t="s">
        <v>527</v>
      </c>
      <c r="C226" s="56" t="s">
        <v>446</v>
      </c>
      <c r="D226" s="56" t="s">
        <v>528</v>
      </c>
      <c r="E226" s="56" t="s">
        <v>272</v>
      </c>
      <c r="F226" s="57" t="s">
        <v>15</v>
      </c>
      <c r="G226" s="61"/>
      <c r="H226" s="61"/>
      <c r="I226" s="60"/>
      <c r="J226" s="53"/>
    </row>
    <row r="227" ht="24.75" hidden="1" customHeight="1">
      <c r="A227" s="54">
        <v>140.0</v>
      </c>
      <c r="B227" s="56" t="s">
        <v>529</v>
      </c>
      <c r="C227" s="56" t="s">
        <v>446</v>
      </c>
      <c r="D227" s="56" t="s">
        <v>530</v>
      </c>
      <c r="E227" s="56" t="s">
        <v>272</v>
      </c>
      <c r="F227" s="57" t="s">
        <v>15</v>
      </c>
      <c r="G227" s="61"/>
      <c r="H227" s="61"/>
      <c r="I227" s="60"/>
      <c r="J227" s="53"/>
    </row>
    <row r="228" ht="24.75" hidden="1" customHeight="1">
      <c r="A228" s="54">
        <v>140.0</v>
      </c>
      <c r="B228" s="56" t="s">
        <v>531</v>
      </c>
      <c r="C228" s="88" t="s">
        <v>449</v>
      </c>
      <c r="D228" s="56" t="s">
        <v>532</v>
      </c>
      <c r="E228" s="56" t="s">
        <v>272</v>
      </c>
      <c r="F228" s="57" t="s">
        <v>15</v>
      </c>
      <c r="G228" s="61"/>
      <c r="H228" s="61"/>
      <c r="I228" s="60"/>
      <c r="J228" s="53"/>
    </row>
    <row r="229" ht="24.75" hidden="1" customHeight="1">
      <c r="A229" s="54">
        <v>140.0</v>
      </c>
      <c r="B229" s="56" t="s">
        <v>533</v>
      </c>
      <c r="C229" s="56" t="s">
        <v>497</v>
      </c>
      <c r="D229" s="56" t="s">
        <v>534</v>
      </c>
      <c r="E229" s="56" t="s">
        <v>439</v>
      </c>
      <c r="F229" s="57" t="s">
        <v>154</v>
      </c>
      <c r="G229" s="61"/>
      <c r="H229" s="61"/>
      <c r="I229" s="62"/>
      <c r="J229" s="53"/>
    </row>
    <row r="230" ht="24.75" hidden="1" customHeight="1">
      <c r="A230" s="54">
        <v>140.0</v>
      </c>
      <c r="B230" s="56" t="s">
        <v>535</v>
      </c>
      <c r="C230" s="56" t="s">
        <v>443</v>
      </c>
      <c r="D230" s="56" t="s">
        <v>537</v>
      </c>
      <c r="E230" s="56" t="s">
        <v>439</v>
      </c>
      <c r="F230" s="57" t="s">
        <v>154</v>
      </c>
      <c r="G230" s="61"/>
      <c r="H230" s="61"/>
      <c r="I230" s="62"/>
      <c r="J230" s="53"/>
    </row>
    <row r="231" ht="24.75" hidden="1" customHeight="1">
      <c r="A231" s="54">
        <v>140.0</v>
      </c>
      <c r="B231" s="56" t="s">
        <v>538</v>
      </c>
      <c r="C231" s="56" t="s">
        <v>446</v>
      </c>
      <c r="D231" s="56" t="s">
        <v>539</v>
      </c>
      <c r="E231" s="56" t="s">
        <v>439</v>
      </c>
      <c r="F231" s="57" t="s">
        <v>154</v>
      </c>
      <c r="G231" s="61"/>
      <c r="H231" s="61"/>
      <c r="I231" s="62"/>
      <c r="J231" s="53"/>
    </row>
    <row r="232" ht="24.75" hidden="1" customHeight="1">
      <c r="A232" s="54">
        <v>140.0</v>
      </c>
      <c r="B232" s="56" t="s">
        <v>540</v>
      </c>
      <c r="C232" s="56" t="s">
        <v>434</v>
      </c>
      <c r="D232" s="56" t="s">
        <v>541</v>
      </c>
      <c r="E232" s="56" t="s">
        <v>167</v>
      </c>
      <c r="F232" s="57" t="s">
        <v>154</v>
      </c>
      <c r="G232" s="61"/>
      <c r="H232" s="61"/>
      <c r="I232" s="62"/>
      <c r="J232" s="53"/>
    </row>
    <row r="233" ht="24.75" hidden="1" customHeight="1">
      <c r="A233" s="54">
        <v>140.0</v>
      </c>
      <c r="B233" s="56" t="s">
        <v>540</v>
      </c>
      <c r="C233" s="56" t="s">
        <v>434</v>
      </c>
      <c r="D233" s="56" t="s">
        <v>541</v>
      </c>
      <c r="E233" s="56" t="s">
        <v>176</v>
      </c>
      <c r="F233" s="57" t="s">
        <v>154</v>
      </c>
      <c r="G233" s="61"/>
      <c r="H233" s="61"/>
      <c r="I233" s="62"/>
      <c r="J233" s="53"/>
    </row>
    <row r="234" ht="24.75" hidden="1" customHeight="1">
      <c r="A234" s="54">
        <v>140.0</v>
      </c>
      <c r="B234" s="56" t="s">
        <v>543</v>
      </c>
      <c r="C234" s="56" t="s">
        <v>437</v>
      </c>
      <c r="D234" s="56" t="s">
        <v>544</v>
      </c>
      <c r="E234" s="56" t="s">
        <v>167</v>
      </c>
      <c r="F234" s="57" t="s">
        <v>154</v>
      </c>
      <c r="G234" s="61"/>
      <c r="H234" s="61"/>
      <c r="I234" s="62"/>
      <c r="J234" s="53"/>
    </row>
    <row r="235" ht="24.75" hidden="1" customHeight="1">
      <c r="A235" s="54">
        <v>140.0</v>
      </c>
      <c r="B235" s="56" t="s">
        <v>543</v>
      </c>
      <c r="C235" s="56" t="s">
        <v>437</v>
      </c>
      <c r="D235" s="56" t="s">
        <v>544</v>
      </c>
      <c r="E235" s="56" t="s">
        <v>176</v>
      </c>
      <c r="F235" s="57" t="s">
        <v>154</v>
      </c>
      <c r="G235" s="61"/>
      <c r="H235" s="61"/>
      <c r="I235" s="62"/>
      <c r="J235" s="53"/>
    </row>
    <row r="236" ht="24.75" hidden="1" customHeight="1">
      <c r="A236" s="54">
        <v>140.0</v>
      </c>
      <c r="B236" s="56" t="s">
        <v>545</v>
      </c>
      <c r="C236" s="56" t="s">
        <v>437</v>
      </c>
      <c r="D236" s="56" t="s">
        <v>546</v>
      </c>
      <c r="E236" s="56" t="s">
        <v>167</v>
      </c>
      <c r="F236" s="57" t="s">
        <v>154</v>
      </c>
      <c r="G236" s="61"/>
      <c r="H236" s="61"/>
      <c r="I236" s="62"/>
      <c r="J236" s="53"/>
    </row>
    <row r="237" ht="24.75" hidden="1" customHeight="1">
      <c r="A237" s="54">
        <v>140.0</v>
      </c>
      <c r="B237" s="56" t="s">
        <v>545</v>
      </c>
      <c r="C237" s="56" t="s">
        <v>437</v>
      </c>
      <c r="D237" s="56" t="s">
        <v>546</v>
      </c>
      <c r="E237" s="56" t="s">
        <v>176</v>
      </c>
      <c r="F237" s="57" t="s">
        <v>154</v>
      </c>
      <c r="G237" s="61"/>
      <c r="H237" s="61"/>
      <c r="I237" s="62"/>
      <c r="J237" s="53"/>
    </row>
    <row r="238" ht="24.75" hidden="1" customHeight="1">
      <c r="A238" s="54">
        <v>140.0</v>
      </c>
      <c r="B238" s="56" t="s">
        <v>547</v>
      </c>
      <c r="C238" s="56" t="s">
        <v>437</v>
      </c>
      <c r="D238" s="56" t="s">
        <v>548</v>
      </c>
      <c r="E238" s="56" t="s">
        <v>167</v>
      </c>
      <c r="F238" s="57" t="s">
        <v>154</v>
      </c>
      <c r="G238" s="61"/>
      <c r="H238" s="61"/>
      <c r="I238" s="62"/>
      <c r="J238" s="53"/>
    </row>
    <row r="239" ht="24.75" hidden="1" customHeight="1">
      <c r="A239" s="54">
        <v>140.0</v>
      </c>
      <c r="B239" s="56" t="s">
        <v>547</v>
      </c>
      <c r="C239" s="56" t="s">
        <v>437</v>
      </c>
      <c r="D239" s="56" t="s">
        <v>548</v>
      </c>
      <c r="E239" s="56" t="s">
        <v>176</v>
      </c>
      <c r="F239" s="57" t="s">
        <v>154</v>
      </c>
      <c r="G239" s="61"/>
      <c r="H239" s="61"/>
      <c r="I239" s="62"/>
      <c r="J239" s="53"/>
    </row>
    <row r="240" ht="24.75" hidden="1" customHeight="1">
      <c r="A240" s="54">
        <v>140.0</v>
      </c>
      <c r="B240" s="56" t="s">
        <v>549</v>
      </c>
      <c r="C240" s="56" t="s">
        <v>434</v>
      </c>
      <c r="D240" s="56" t="s">
        <v>550</v>
      </c>
      <c r="E240" s="56" t="s">
        <v>167</v>
      </c>
      <c r="F240" s="57" t="s">
        <v>154</v>
      </c>
      <c r="G240" s="61"/>
      <c r="H240" s="61"/>
      <c r="I240" s="62"/>
      <c r="J240" s="53"/>
    </row>
    <row r="241" ht="24.75" hidden="1" customHeight="1">
      <c r="A241" s="54">
        <v>140.0</v>
      </c>
      <c r="B241" s="56" t="s">
        <v>549</v>
      </c>
      <c r="C241" s="56" t="s">
        <v>434</v>
      </c>
      <c r="D241" s="56" t="s">
        <v>550</v>
      </c>
      <c r="E241" s="56" t="s">
        <v>176</v>
      </c>
      <c r="F241" s="57" t="s">
        <v>154</v>
      </c>
      <c r="G241" s="61"/>
      <c r="H241" s="61"/>
      <c r="I241" s="62"/>
      <c r="J241" s="53"/>
    </row>
    <row r="242" ht="24.75" hidden="1" customHeight="1">
      <c r="A242" s="54">
        <v>140.0</v>
      </c>
      <c r="B242" s="56" t="s">
        <v>551</v>
      </c>
      <c r="C242" s="56" t="s">
        <v>497</v>
      </c>
      <c r="D242" s="56" t="s">
        <v>552</v>
      </c>
      <c r="E242" s="56" t="s">
        <v>167</v>
      </c>
      <c r="F242" s="57" t="s">
        <v>154</v>
      </c>
      <c r="G242" s="61"/>
      <c r="H242" s="61"/>
      <c r="I242" s="62"/>
      <c r="J242" s="53"/>
    </row>
    <row r="243" ht="24.75" hidden="1" customHeight="1">
      <c r="A243" s="54">
        <v>140.0</v>
      </c>
      <c r="B243" s="56" t="s">
        <v>551</v>
      </c>
      <c r="C243" s="56" t="s">
        <v>497</v>
      </c>
      <c r="D243" s="56" t="s">
        <v>552</v>
      </c>
      <c r="E243" s="56" t="s">
        <v>176</v>
      </c>
      <c r="F243" s="57" t="s">
        <v>154</v>
      </c>
      <c r="G243" s="61"/>
      <c r="H243" s="61"/>
      <c r="I243" s="62"/>
      <c r="J243" s="53"/>
    </row>
    <row r="244" ht="24.75" hidden="1" customHeight="1">
      <c r="A244" s="54">
        <v>140.0</v>
      </c>
      <c r="B244" s="56" t="s">
        <v>553</v>
      </c>
      <c r="C244" s="56" t="s">
        <v>443</v>
      </c>
      <c r="D244" s="56" t="s">
        <v>554</v>
      </c>
      <c r="E244" s="56" t="s">
        <v>167</v>
      </c>
      <c r="F244" s="57" t="s">
        <v>154</v>
      </c>
      <c r="G244" s="61"/>
      <c r="H244" s="61"/>
      <c r="I244" s="62"/>
      <c r="J244" s="53"/>
    </row>
    <row r="245" ht="24.75" hidden="1" customHeight="1">
      <c r="A245" s="54">
        <v>140.0</v>
      </c>
      <c r="B245" s="56" t="s">
        <v>553</v>
      </c>
      <c r="C245" s="56" t="s">
        <v>443</v>
      </c>
      <c r="D245" s="56" t="s">
        <v>554</v>
      </c>
      <c r="E245" s="56" t="s">
        <v>176</v>
      </c>
      <c r="F245" s="57" t="s">
        <v>154</v>
      </c>
      <c r="G245" s="61"/>
      <c r="H245" s="61"/>
      <c r="I245" s="62"/>
      <c r="J245" s="53"/>
    </row>
    <row r="246" ht="24.75" hidden="1" customHeight="1">
      <c r="A246" s="54">
        <v>140.0</v>
      </c>
      <c r="B246" s="56" t="s">
        <v>555</v>
      </c>
      <c r="C246" s="56" t="s">
        <v>434</v>
      </c>
      <c r="D246" s="56" t="s">
        <v>556</v>
      </c>
      <c r="E246" s="56" t="s">
        <v>167</v>
      </c>
      <c r="F246" s="57" t="s">
        <v>154</v>
      </c>
      <c r="G246" s="61"/>
      <c r="H246" s="61"/>
      <c r="I246" s="62"/>
      <c r="J246" s="53"/>
    </row>
    <row r="247" ht="24.75" hidden="1" customHeight="1">
      <c r="A247" s="54">
        <v>140.0</v>
      </c>
      <c r="B247" s="56" t="s">
        <v>555</v>
      </c>
      <c r="C247" s="56" t="s">
        <v>434</v>
      </c>
      <c r="D247" s="56" t="s">
        <v>556</v>
      </c>
      <c r="E247" s="56" t="s">
        <v>176</v>
      </c>
      <c r="F247" s="57" t="s">
        <v>154</v>
      </c>
      <c r="G247" s="61"/>
      <c r="H247" s="61"/>
      <c r="I247" s="62"/>
      <c r="J247" s="53"/>
    </row>
    <row r="248" ht="24.75" hidden="1" customHeight="1">
      <c r="A248" s="54">
        <v>140.0</v>
      </c>
      <c r="B248" s="56" t="s">
        <v>558</v>
      </c>
      <c r="C248" s="56" t="s">
        <v>270</v>
      </c>
      <c r="D248" s="56" t="s">
        <v>559</v>
      </c>
      <c r="E248" s="56" t="s">
        <v>167</v>
      </c>
      <c r="F248" s="57" t="s">
        <v>154</v>
      </c>
      <c r="G248" s="61"/>
      <c r="H248" s="61"/>
      <c r="I248" s="62"/>
      <c r="J248" s="53"/>
    </row>
    <row r="249" ht="24.75" hidden="1" customHeight="1">
      <c r="A249" s="54">
        <v>140.0</v>
      </c>
      <c r="B249" s="56" t="s">
        <v>558</v>
      </c>
      <c r="C249" s="56" t="s">
        <v>270</v>
      </c>
      <c r="D249" s="56" t="s">
        <v>559</v>
      </c>
      <c r="E249" s="56" t="s">
        <v>176</v>
      </c>
      <c r="F249" s="57" t="s">
        <v>154</v>
      </c>
      <c r="G249" s="61"/>
      <c r="H249" s="61"/>
      <c r="I249" s="62"/>
      <c r="J249" s="53"/>
    </row>
    <row r="250" ht="24.75" hidden="1" customHeight="1">
      <c r="A250" s="54">
        <v>140.0</v>
      </c>
      <c r="B250" s="56" t="s">
        <v>560</v>
      </c>
      <c r="C250" s="56" t="s">
        <v>446</v>
      </c>
      <c r="D250" s="56" t="s">
        <v>561</v>
      </c>
      <c r="E250" s="56" t="s">
        <v>167</v>
      </c>
      <c r="F250" s="57" t="s">
        <v>154</v>
      </c>
      <c r="G250" s="61"/>
      <c r="H250" s="61"/>
      <c r="I250" s="62"/>
      <c r="J250" s="53"/>
    </row>
    <row r="251" ht="24.75" hidden="1" customHeight="1">
      <c r="A251" s="54">
        <v>140.0</v>
      </c>
      <c r="B251" s="56" t="s">
        <v>560</v>
      </c>
      <c r="C251" s="56" t="s">
        <v>446</v>
      </c>
      <c r="D251" s="56" t="s">
        <v>561</v>
      </c>
      <c r="E251" s="56" t="s">
        <v>176</v>
      </c>
      <c r="F251" s="57" t="s">
        <v>154</v>
      </c>
      <c r="G251" s="61"/>
      <c r="H251" s="61"/>
      <c r="I251" s="62"/>
      <c r="J251" s="53"/>
    </row>
    <row r="252" ht="24.75" hidden="1" customHeight="1">
      <c r="A252" s="54">
        <v>140.0</v>
      </c>
      <c r="B252" s="56" t="s">
        <v>562</v>
      </c>
      <c r="C252" s="56" t="s">
        <v>443</v>
      </c>
      <c r="D252" s="56" t="s">
        <v>563</v>
      </c>
      <c r="E252" s="56" t="s">
        <v>167</v>
      </c>
      <c r="F252" s="57" t="s">
        <v>154</v>
      </c>
      <c r="G252" s="61"/>
      <c r="H252" s="61"/>
      <c r="I252" s="62"/>
      <c r="J252" s="53"/>
    </row>
    <row r="253" ht="24.75" hidden="1" customHeight="1">
      <c r="A253" s="54">
        <v>140.0</v>
      </c>
      <c r="B253" s="56" t="s">
        <v>562</v>
      </c>
      <c r="C253" s="56" t="s">
        <v>443</v>
      </c>
      <c r="D253" s="56" t="s">
        <v>563</v>
      </c>
      <c r="E253" s="56" t="s">
        <v>176</v>
      </c>
      <c r="F253" s="57" t="s">
        <v>154</v>
      </c>
      <c r="G253" s="61"/>
      <c r="H253" s="61"/>
      <c r="I253" s="62"/>
      <c r="J253" s="53"/>
    </row>
    <row r="254" ht="24.75" hidden="1" customHeight="1">
      <c r="A254" s="54">
        <v>140.0</v>
      </c>
      <c r="B254" s="56" t="s">
        <v>564</v>
      </c>
      <c r="C254" s="56" t="s">
        <v>446</v>
      </c>
      <c r="D254" s="56" t="s">
        <v>565</v>
      </c>
      <c r="E254" s="56" t="s">
        <v>167</v>
      </c>
      <c r="F254" s="57" t="s">
        <v>154</v>
      </c>
      <c r="G254" s="61"/>
      <c r="H254" s="61"/>
      <c r="I254" s="62"/>
      <c r="J254" s="53"/>
    </row>
    <row r="255" ht="24.75" hidden="1" customHeight="1">
      <c r="A255" s="54">
        <v>140.0</v>
      </c>
      <c r="B255" s="56" t="s">
        <v>564</v>
      </c>
      <c r="C255" s="56" t="s">
        <v>446</v>
      </c>
      <c r="D255" s="56" t="s">
        <v>565</v>
      </c>
      <c r="E255" s="56" t="s">
        <v>176</v>
      </c>
      <c r="F255" s="57" t="s">
        <v>154</v>
      </c>
      <c r="G255" s="61"/>
      <c r="H255" s="61"/>
      <c r="I255" s="62"/>
      <c r="J255" s="53"/>
    </row>
    <row r="256" ht="24.75" hidden="1" customHeight="1">
      <c r="A256" s="54">
        <v>140.0</v>
      </c>
      <c r="B256" s="56" t="s">
        <v>566</v>
      </c>
      <c r="C256" s="88" t="s">
        <v>449</v>
      </c>
      <c r="D256" s="56" t="s">
        <v>567</v>
      </c>
      <c r="E256" s="56" t="s">
        <v>167</v>
      </c>
      <c r="F256" s="57" t="s">
        <v>154</v>
      </c>
      <c r="G256" s="61"/>
      <c r="H256" s="61"/>
      <c r="I256" s="62"/>
      <c r="J256" s="53"/>
    </row>
    <row r="257" ht="24.75" hidden="1" customHeight="1">
      <c r="A257" s="54">
        <v>140.0</v>
      </c>
      <c r="B257" s="56" t="s">
        <v>566</v>
      </c>
      <c r="C257" s="88" t="s">
        <v>449</v>
      </c>
      <c r="D257" s="56" t="s">
        <v>567</v>
      </c>
      <c r="E257" s="56" t="s">
        <v>176</v>
      </c>
      <c r="F257" s="57" t="s">
        <v>154</v>
      </c>
      <c r="G257" s="61"/>
      <c r="H257" s="61"/>
      <c r="I257" s="62"/>
      <c r="J257" s="53"/>
    </row>
    <row r="258" ht="24.75" hidden="1" customHeight="1">
      <c r="A258" s="54">
        <v>140.0</v>
      </c>
      <c r="B258" s="56" t="s">
        <v>568</v>
      </c>
      <c r="C258" s="56" t="s">
        <v>446</v>
      </c>
      <c r="D258" s="56" t="s">
        <v>569</v>
      </c>
      <c r="E258" s="56" t="s">
        <v>272</v>
      </c>
      <c r="F258" s="57" t="s">
        <v>15</v>
      </c>
      <c r="G258" s="61"/>
      <c r="H258" s="61"/>
      <c r="I258" s="60"/>
      <c r="J258" s="53"/>
    </row>
    <row r="259" ht="24.75" hidden="1" customHeight="1">
      <c r="A259" s="54">
        <v>140.0</v>
      </c>
      <c r="B259" s="56" t="s">
        <v>570</v>
      </c>
      <c r="C259" s="88" t="s">
        <v>449</v>
      </c>
      <c r="D259" s="56" t="s">
        <v>571</v>
      </c>
      <c r="E259" s="56" t="s">
        <v>167</v>
      </c>
      <c r="F259" s="57" t="s">
        <v>154</v>
      </c>
      <c r="G259" s="61"/>
      <c r="H259" s="61"/>
      <c r="I259" s="62"/>
      <c r="J259" s="53"/>
    </row>
    <row r="260" ht="24.75" hidden="1" customHeight="1">
      <c r="A260" s="54">
        <v>140.0</v>
      </c>
      <c r="B260" s="56" t="s">
        <v>570</v>
      </c>
      <c r="C260" s="88" t="s">
        <v>449</v>
      </c>
      <c r="D260" s="56" t="s">
        <v>571</v>
      </c>
      <c r="E260" s="56" t="s">
        <v>176</v>
      </c>
      <c r="F260" s="57" t="s">
        <v>154</v>
      </c>
      <c r="G260" s="61"/>
      <c r="H260" s="61"/>
      <c r="I260" s="62"/>
      <c r="J260" s="53"/>
    </row>
    <row r="261" ht="24.75" hidden="1" customHeight="1">
      <c r="A261" s="54" t="s">
        <v>572</v>
      </c>
      <c r="B261" s="56" t="s">
        <v>573</v>
      </c>
      <c r="C261" s="56" t="s">
        <v>574</v>
      </c>
      <c r="D261" s="56" t="s">
        <v>575</v>
      </c>
      <c r="E261" s="56" t="s">
        <v>239</v>
      </c>
      <c r="F261" s="57" t="s">
        <v>154</v>
      </c>
      <c r="G261" s="61"/>
      <c r="H261" s="61"/>
      <c r="I261" s="62" t="s">
        <v>207</v>
      </c>
      <c r="J261" s="53"/>
    </row>
    <row r="262" ht="24.75" hidden="1" customHeight="1">
      <c r="A262" s="54" t="s">
        <v>572</v>
      </c>
      <c r="B262" s="56" t="s">
        <v>576</v>
      </c>
      <c r="C262" s="56" t="s">
        <v>574</v>
      </c>
      <c r="D262" s="56" t="s">
        <v>577</v>
      </c>
      <c r="E262" s="56" t="s">
        <v>578</v>
      </c>
      <c r="F262" s="57" t="s">
        <v>154</v>
      </c>
      <c r="G262" s="61"/>
      <c r="H262" s="61"/>
      <c r="I262" s="62"/>
      <c r="J262" s="53"/>
    </row>
    <row r="263" ht="24.75" hidden="1" customHeight="1">
      <c r="A263" s="54" t="s">
        <v>572</v>
      </c>
      <c r="B263" s="56" t="s">
        <v>576</v>
      </c>
      <c r="C263" s="56" t="s">
        <v>574</v>
      </c>
      <c r="D263" s="56" t="s">
        <v>577</v>
      </c>
      <c r="E263" s="56" t="s">
        <v>196</v>
      </c>
      <c r="F263" s="57" t="s">
        <v>250</v>
      </c>
      <c r="G263" s="61"/>
      <c r="H263" s="61" t="s">
        <v>197</v>
      </c>
      <c r="I263" s="62" t="s">
        <v>581</v>
      </c>
      <c r="J263" s="53"/>
    </row>
    <row r="264" ht="24.75" hidden="1" customHeight="1">
      <c r="A264" s="54" t="s">
        <v>572</v>
      </c>
      <c r="B264" s="56" t="s">
        <v>579</v>
      </c>
      <c r="C264" s="56" t="s">
        <v>574</v>
      </c>
      <c r="D264" s="56" t="s">
        <v>580</v>
      </c>
      <c r="E264" s="56" t="s">
        <v>578</v>
      </c>
      <c r="F264" s="57" t="s">
        <v>154</v>
      </c>
      <c r="G264" s="61"/>
      <c r="H264" s="61"/>
      <c r="I264" s="62"/>
      <c r="J264" s="53"/>
    </row>
    <row r="265" ht="24.75" hidden="1" customHeight="1">
      <c r="A265" s="54" t="s">
        <v>572</v>
      </c>
      <c r="B265" s="56" t="s">
        <v>579</v>
      </c>
      <c r="C265" s="56" t="s">
        <v>574</v>
      </c>
      <c r="D265" s="56" t="s">
        <v>580</v>
      </c>
      <c r="E265" s="56" t="s">
        <v>196</v>
      </c>
      <c r="F265" s="57" t="s">
        <v>250</v>
      </c>
      <c r="G265" s="61"/>
      <c r="H265" s="61" t="s">
        <v>197</v>
      </c>
      <c r="I265" s="62" t="s">
        <v>581</v>
      </c>
      <c r="J265" s="53"/>
    </row>
    <row r="266" ht="24.75" hidden="1" customHeight="1">
      <c r="A266" s="54" t="s">
        <v>572</v>
      </c>
      <c r="B266" s="56" t="s">
        <v>582</v>
      </c>
      <c r="C266" s="56" t="s">
        <v>583</v>
      </c>
      <c r="D266" s="56" t="s">
        <v>584</v>
      </c>
      <c r="E266" s="56" t="s">
        <v>585</v>
      </c>
      <c r="F266" s="57" t="s">
        <v>154</v>
      </c>
      <c r="G266" s="61"/>
      <c r="H266" s="61"/>
      <c r="I266" s="62" t="s">
        <v>207</v>
      </c>
      <c r="J266" s="53"/>
    </row>
    <row r="267" ht="24.75" hidden="1" customHeight="1">
      <c r="A267" s="54" t="s">
        <v>572</v>
      </c>
      <c r="B267" s="56" t="s">
        <v>586</v>
      </c>
      <c r="C267" s="56" t="s">
        <v>583</v>
      </c>
      <c r="D267" s="56" t="s">
        <v>587</v>
      </c>
      <c r="E267" s="56" t="s">
        <v>588</v>
      </c>
      <c r="F267" s="57" t="s">
        <v>154</v>
      </c>
      <c r="G267" s="61"/>
      <c r="H267" s="61"/>
      <c r="I267" s="62"/>
      <c r="J267" s="53"/>
    </row>
    <row r="268" ht="24.75" hidden="1" customHeight="1">
      <c r="A268" s="54" t="s">
        <v>572</v>
      </c>
      <c r="B268" s="56" t="s">
        <v>586</v>
      </c>
      <c r="C268" s="56" t="s">
        <v>583</v>
      </c>
      <c r="D268" s="56" t="s">
        <v>587</v>
      </c>
      <c r="E268" s="56" t="s">
        <v>589</v>
      </c>
      <c r="F268" s="57" t="s">
        <v>154</v>
      </c>
      <c r="G268" s="61"/>
      <c r="H268" s="61"/>
      <c r="I268" s="62"/>
      <c r="J268" s="53"/>
    </row>
    <row r="269" ht="24.75" hidden="1" customHeight="1">
      <c r="A269" s="54" t="s">
        <v>572</v>
      </c>
      <c r="B269" s="56" t="s">
        <v>586</v>
      </c>
      <c r="C269" s="56" t="s">
        <v>583</v>
      </c>
      <c r="D269" s="56" t="s">
        <v>587</v>
      </c>
      <c r="E269" s="56" t="s">
        <v>590</v>
      </c>
      <c r="F269" s="57" t="s">
        <v>250</v>
      </c>
      <c r="G269" s="61"/>
      <c r="H269" s="61" t="s">
        <v>592</v>
      </c>
      <c r="I269" s="62" t="s">
        <v>593</v>
      </c>
      <c r="J269" s="53"/>
    </row>
    <row r="270" ht="24.75" hidden="1" customHeight="1">
      <c r="A270" s="54" t="s">
        <v>572</v>
      </c>
      <c r="B270" s="56" t="s">
        <v>591</v>
      </c>
      <c r="C270" s="56" t="s">
        <v>574</v>
      </c>
      <c r="D270" s="56" t="s">
        <v>594</v>
      </c>
      <c r="E270" s="56" t="s">
        <v>239</v>
      </c>
      <c r="F270" s="57" t="s">
        <v>154</v>
      </c>
      <c r="G270" s="61"/>
      <c r="H270" s="61"/>
      <c r="I270" s="62"/>
      <c r="J270" s="53"/>
    </row>
    <row r="271" ht="24.75" hidden="1" customHeight="1">
      <c r="A271" s="54" t="s">
        <v>572</v>
      </c>
      <c r="B271" s="56" t="s">
        <v>595</v>
      </c>
      <c r="C271" s="56" t="s">
        <v>574</v>
      </c>
      <c r="D271" s="56" t="s">
        <v>577</v>
      </c>
      <c r="E271" s="56" t="s">
        <v>578</v>
      </c>
      <c r="F271" s="57" t="s">
        <v>154</v>
      </c>
      <c r="G271" s="61"/>
      <c r="H271" s="61"/>
      <c r="I271" s="62"/>
      <c r="J271" s="53"/>
    </row>
    <row r="272" ht="24.75" hidden="1" customHeight="1">
      <c r="A272" s="54" t="s">
        <v>572</v>
      </c>
      <c r="B272" s="56" t="s">
        <v>595</v>
      </c>
      <c r="C272" s="56" t="s">
        <v>574</v>
      </c>
      <c r="D272" s="56" t="s">
        <v>577</v>
      </c>
      <c r="E272" s="56" t="s">
        <v>196</v>
      </c>
      <c r="F272" s="57" t="s">
        <v>250</v>
      </c>
      <c r="G272" s="61"/>
      <c r="H272" s="61" t="s">
        <v>197</v>
      </c>
      <c r="I272" s="62" t="s">
        <v>581</v>
      </c>
      <c r="J272" s="53"/>
    </row>
    <row r="273" ht="24.75" hidden="1" customHeight="1">
      <c r="A273" s="54" t="s">
        <v>572</v>
      </c>
      <c r="B273" s="56" t="s">
        <v>596</v>
      </c>
      <c r="C273" s="56" t="s">
        <v>574</v>
      </c>
      <c r="D273" s="56" t="s">
        <v>597</v>
      </c>
      <c r="E273" s="56" t="s">
        <v>239</v>
      </c>
      <c r="F273" s="57" t="s">
        <v>154</v>
      </c>
      <c r="G273" s="61"/>
      <c r="H273" s="61"/>
      <c r="I273" s="62"/>
      <c r="J273" s="53"/>
    </row>
    <row r="274" ht="24.75" hidden="1" customHeight="1">
      <c r="A274" s="54" t="s">
        <v>572</v>
      </c>
      <c r="B274" s="56" t="s">
        <v>598</v>
      </c>
      <c r="C274" s="56" t="s">
        <v>574</v>
      </c>
      <c r="D274" s="56" t="s">
        <v>577</v>
      </c>
      <c r="E274" s="56" t="s">
        <v>578</v>
      </c>
      <c r="F274" s="57" t="s">
        <v>154</v>
      </c>
      <c r="G274" s="61"/>
      <c r="H274" s="61"/>
      <c r="I274" s="62"/>
      <c r="J274" s="53"/>
    </row>
    <row r="275" ht="24.75" hidden="1" customHeight="1">
      <c r="A275" s="54" t="s">
        <v>572</v>
      </c>
      <c r="B275" s="56" t="s">
        <v>598</v>
      </c>
      <c r="C275" s="56" t="s">
        <v>574</v>
      </c>
      <c r="D275" s="56" t="s">
        <v>577</v>
      </c>
      <c r="E275" s="56" t="s">
        <v>196</v>
      </c>
      <c r="F275" s="57" t="s">
        <v>250</v>
      </c>
      <c r="G275" s="61"/>
      <c r="H275" s="61" t="s">
        <v>197</v>
      </c>
      <c r="I275" s="62" t="s">
        <v>581</v>
      </c>
      <c r="J275" s="53"/>
    </row>
    <row r="276" ht="24.75" hidden="1" customHeight="1">
      <c r="A276" s="54" t="s">
        <v>289</v>
      </c>
      <c r="B276" s="56" t="s">
        <v>599</v>
      </c>
      <c r="C276" s="56" t="s">
        <v>291</v>
      </c>
      <c r="D276" s="56" t="s">
        <v>600</v>
      </c>
      <c r="E276" s="56" t="s">
        <v>163</v>
      </c>
      <c r="F276" s="57" t="s">
        <v>154</v>
      </c>
      <c r="G276" s="61"/>
      <c r="H276" s="79"/>
      <c r="I276" s="62"/>
      <c r="J276" s="53"/>
    </row>
    <row r="277" ht="24.75" hidden="1" customHeight="1">
      <c r="A277" s="54" t="s">
        <v>289</v>
      </c>
      <c r="B277" s="56" t="s">
        <v>290</v>
      </c>
      <c r="C277" s="56" t="s">
        <v>291</v>
      </c>
      <c r="D277" s="56" t="s">
        <v>292</v>
      </c>
      <c r="E277" s="56" t="s">
        <v>196</v>
      </c>
      <c r="F277" s="57" t="s">
        <v>250</v>
      </c>
      <c r="G277" s="61"/>
      <c r="H277" s="61" t="s">
        <v>287</v>
      </c>
      <c r="I277" s="62" t="s">
        <v>288</v>
      </c>
      <c r="J277" s="53"/>
    </row>
    <row r="278" ht="24.75" hidden="1" customHeight="1">
      <c r="A278" s="54" t="s">
        <v>289</v>
      </c>
      <c r="B278" s="56" t="s">
        <v>290</v>
      </c>
      <c r="C278" s="56" t="s">
        <v>291</v>
      </c>
      <c r="D278" s="56" t="s">
        <v>292</v>
      </c>
      <c r="E278" s="56" t="s">
        <v>601</v>
      </c>
      <c r="F278" s="57" t="s">
        <v>154</v>
      </c>
      <c r="G278" s="61"/>
      <c r="H278" s="79"/>
      <c r="I278" s="62"/>
      <c r="J278" s="53"/>
    </row>
    <row r="279" ht="24.75" hidden="1" customHeight="1">
      <c r="A279" s="54">
        <v>140.0</v>
      </c>
      <c r="B279" s="56" t="s">
        <v>602</v>
      </c>
      <c r="C279" s="56" t="s">
        <v>500</v>
      </c>
      <c r="D279" s="56" t="s">
        <v>603</v>
      </c>
      <c r="E279" s="56" t="s">
        <v>272</v>
      </c>
      <c r="F279" s="57" t="s">
        <v>15</v>
      </c>
      <c r="G279" s="61"/>
      <c r="H279" s="61"/>
      <c r="I279" s="60"/>
      <c r="J279" s="53"/>
    </row>
    <row r="280" ht="24.75" hidden="1" customHeight="1">
      <c r="A280" s="54">
        <v>140.0</v>
      </c>
      <c r="B280" s="56" t="s">
        <v>566</v>
      </c>
      <c r="C280" s="56" t="s">
        <v>500</v>
      </c>
      <c r="D280" s="56" t="s">
        <v>604</v>
      </c>
      <c r="E280" s="56" t="s">
        <v>272</v>
      </c>
      <c r="F280" s="57" t="s">
        <v>15</v>
      </c>
      <c r="G280" s="61"/>
      <c r="H280" s="61"/>
      <c r="I280" s="60"/>
      <c r="J280" s="53"/>
    </row>
    <row r="281" ht="24.75" hidden="1" customHeight="1">
      <c r="A281" s="54" t="s">
        <v>289</v>
      </c>
      <c r="B281" s="56" t="s">
        <v>605</v>
      </c>
      <c r="C281" s="56" t="s">
        <v>606</v>
      </c>
      <c r="D281" s="56" t="s">
        <v>607</v>
      </c>
      <c r="E281" s="56" t="s">
        <v>608</v>
      </c>
      <c r="F281" s="57" t="s">
        <v>154</v>
      </c>
      <c r="G281" s="61"/>
      <c r="H281" s="79"/>
      <c r="I281" s="62"/>
      <c r="J281" s="53"/>
    </row>
    <row r="282" ht="24.75" hidden="1" customHeight="1">
      <c r="A282" s="54" t="s">
        <v>289</v>
      </c>
      <c r="B282" s="56" t="s">
        <v>609</v>
      </c>
      <c r="C282" s="56" t="s">
        <v>610</v>
      </c>
      <c r="D282" s="56" t="s">
        <v>611</v>
      </c>
      <c r="E282" s="56" t="s">
        <v>612</v>
      </c>
      <c r="F282" s="57" t="s">
        <v>34</v>
      </c>
      <c r="G282" s="61"/>
      <c r="H282" s="79"/>
      <c r="I282" s="62"/>
      <c r="J282" s="53"/>
    </row>
    <row r="283" ht="24.75" hidden="1" customHeight="1">
      <c r="A283" s="54" t="s">
        <v>289</v>
      </c>
      <c r="B283" s="56" t="s">
        <v>609</v>
      </c>
      <c r="C283" s="56" t="s">
        <v>610</v>
      </c>
      <c r="D283" s="56" t="s">
        <v>611</v>
      </c>
      <c r="E283" s="56" t="s">
        <v>613</v>
      </c>
      <c r="F283" s="57" t="s">
        <v>34</v>
      </c>
      <c r="G283" s="61"/>
      <c r="H283" s="79"/>
      <c r="I283" s="62"/>
      <c r="J283" s="53"/>
    </row>
    <row r="284" ht="24.75" hidden="1" customHeight="1">
      <c r="A284" s="54" t="s">
        <v>289</v>
      </c>
      <c r="B284" s="56" t="s">
        <v>609</v>
      </c>
      <c r="C284" s="56" t="s">
        <v>610</v>
      </c>
      <c r="D284" s="56" t="s">
        <v>611</v>
      </c>
      <c r="E284" s="56" t="s">
        <v>614</v>
      </c>
      <c r="F284" s="57" t="s">
        <v>34</v>
      </c>
      <c r="G284" s="61"/>
      <c r="H284" s="79"/>
      <c r="I284" s="62" t="s">
        <v>615</v>
      </c>
      <c r="J284" s="53"/>
    </row>
    <row r="285" ht="24.75" hidden="1" customHeight="1">
      <c r="A285" s="54" t="s">
        <v>289</v>
      </c>
      <c r="B285" s="56" t="s">
        <v>609</v>
      </c>
      <c r="C285" s="56" t="s">
        <v>610</v>
      </c>
      <c r="D285" s="56" t="s">
        <v>611</v>
      </c>
      <c r="E285" s="56" t="s">
        <v>616</v>
      </c>
      <c r="F285" s="57" t="s">
        <v>154</v>
      </c>
      <c r="G285" s="61"/>
      <c r="H285" s="79"/>
      <c r="I285" s="62" t="s">
        <v>617</v>
      </c>
      <c r="J285" s="53"/>
    </row>
    <row r="286" ht="24.75" hidden="1" customHeight="1">
      <c r="A286" s="54" t="s">
        <v>289</v>
      </c>
      <c r="B286" s="56" t="s">
        <v>609</v>
      </c>
      <c r="C286" s="56" t="s">
        <v>610</v>
      </c>
      <c r="D286" s="56" t="s">
        <v>611</v>
      </c>
      <c r="E286" s="80" t="s">
        <v>618</v>
      </c>
      <c r="F286" s="57" t="s">
        <v>154</v>
      </c>
      <c r="G286" s="61"/>
      <c r="H286" s="79"/>
      <c r="I286" s="62" t="s">
        <v>617</v>
      </c>
      <c r="J286" s="53"/>
    </row>
    <row r="287" ht="24.75" hidden="1" customHeight="1">
      <c r="A287" s="54" t="s">
        <v>289</v>
      </c>
      <c r="B287" s="56" t="s">
        <v>619</v>
      </c>
      <c r="C287" s="56" t="s">
        <v>610</v>
      </c>
      <c r="D287" s="56" t="s">
        <v>620</v>
      </c>
      <c r="E287" s="56" t="s">
        <v>196</v>
      </c>
      <c r="F287" s="57" t="s">
        <v>250</v>
      </c>
      <c r="G287" s="61"/>
      <c r="H287" s="61" t="s">
        <v>287</v>
      </c>
      <c r="I287" s="62" t="s">
        <v>288</v>
      </c>
      <c r="J287" s="53"/>
    </row>
    <row r="288" ht="24.75" hidden="1" customHeight="1">
      <c r="A288" s="54" t="s">
        <v>289</v>
      </c>
      <c r="B288" s="56" t="s">
        <v>619</v>
      </c>
      <c r="C288" s="56" t="s">
        <v>610</v>
      </c>
      <c r="D288" s="56" t="s">
        <v>620</v>
      </c>
      <c r="E288" s="56" t="s">
        <v>621</v>
      </c>
      <c r="F288" s="57" t="s">
        <v>192</v>
      </c>
      <c r="G288" s="61"/>
      <c r="H288" s="79"/>
      <c r="I288" s="62"/>
      <c r="J288" s="53"/>
    </row>
    <row r="289" ht="24.75" hidden="1" customHeight="1">
      <c r="A289" s="54" t="s">
        <v>289</v>
      </c>
      <c r="B289" s="56" t="s">
        <v>619</v>
      </c>
      <c r="C289" s="56" t="s">
        <v>610</v>
      </c>
      <c r="D289" s="56" t="s">
        <v>620</v>
      </c>
      <c r="E289" s="56" t="s">
        <v>622</v>
      </c>
      <c r="F289" s="57" t="s">
        <v>154</v>
      </c>
      <c r="G289" s="61"/>
      <c r="H289" s="79"/>
      <c r="I289" s="62" t="s">
        <v>617</v>
      </c>
      <c r="J289" s="53"/>
    </row>
    <row r="290" ht="24.75" hidden="1" customHeight="1">
      <c r="A290" s="54" t="s">
        <v>289</v>
      </c>
      <c r="B290" s="56" t="s">
        <v>623</v>
      </c>
      <c r="C290" s="56" t="s">
        <v>624</v>
      </c>
      <c r="D290" s="56" t="s">
        <v>611</v>
      </c>
      <c r="E290" s="56" t="s">
        <v>612</v>
      </c>
      <c r="F290" s="57" t="s">
        <v>34</v>
      </c>
      <c r="G290" s="61"/>
      <c r="H290" s="79"/>
      <c r="I290" s="62"/>
      <c r="J290" s="53"/>
    </row>
    <row r="291" ht="24.75" hidden="1" customHeight="1">
      <c r="A291" s="54" t="s">
        <v>289</v>
      </c>
      <c r="B291" s="56" t="s">
        <v>623</v>
      </c>
      <c r="C291" s="56" t="s">
        <v>624</v>
      </c>
      <c r="D291" s="56" t="s">
        <v>611</v>
      </c>
      <c r="E291" s="56" t="s">
        <v>613</v>
      </c>
      <c r="F291" s="57" t="s">
        <v>34</v>
      </c>
      <c r="G291" s="61"/>
      <c r="H291" s="79"/>
      <c r="I291" s="62"/>
      <c r="J291" s="53"/>
    </row>
    <row r="292" ht="24.75" hidden="1" customHeight="1">
      <c r="A292" s="54" t="s">
        <v>289</v>
      </c>
      <c r="B292" s="56" t="s">
        <v>623</v>
      </c>
      <c r="C292" s="56" t="s">
        <v>624</v>
      </c>
      <c r="D292" s="56" t="s">
        <v>611</v>
      </c>
      <c r="E292" s="56" t="s">
        <v>614</v>
      </c>
      <c r="F292" s="57" t="s">
        <v>34</v>
      </c>
      <c r="G292" s="61"/>
      <c r="H292" s="79"/>
      <c r="I292" s="62" t="s">
        <v>615</v>
      </c>
      <c r="J292" s="53"/>
    </row>
    <row r="293" ht="24.75" hidden="1" customHeight="1">
      <c r="A293" s="54" t="s">
        <v>289</v>
      </c>
      <c r="B293" s="56" t="s">
        <v>623</v>
      </c>
      <c r="C293" s="56" t="s">
        <v>624</v>
      </c>
      <c r="D293" s="56" t="s">
        <v>611</v>
      </c>
      <c r="E293" s="56" t="s">
        <v>616</v>
      </c>
      <c r="F293" s="57" t="s">
        <v>154</v>
      </c>
      <c r="G293" s="61"/>
      <c r="H293" s="79"/>
      <c r="I293" s="62" t="s">
        <v>617</v>
      </c>
      <c r="J293" s="53"/>
    </row>
    <row r="294" ht="24.75" hidden="1" customHeight="1">
      <c r="A294" s="54" t="s">
        <v>289</v>
      </c>
      <c r="B294" s="56" t="s">
        <v>623</v>
      </c>
      <c r="C294" s="56" t="s">
        <v>624</v>
      </c>
      <c r="D294" s="56" t="s">
        <v>611</v>
      </c>
      <c r="E294" s="80" t="s">
        <v>618</v>
      </c>
      <c r="F294" s="57" t="s">
        <v>154</v>
      </c>
      <c r="G294" s="61"/>
      <c r="H294" s="79"/>
      <c r="I294" s="62" t="s">
        <v>617</v>
      </c>
      <c r="J294" s="53"/>
    </row>
    <row r="295" ht="24.75" hidden="1" customHeight="1">
      <c r="A295" s="54" t="s">
        <v>289</v>
      </c>
      <c r="B295" s="56" t="s">
        <v>625</v>
      </c>
      <c r="C295" s="56" t="s">
        <v>624</v>
      </c>
      <c r="D295" s="56" t="s">
        <v>620</v>
      </c>
      <c r="E295" s="56" t="s">
        <v>196</v>
      </c>
      <c r="F295" s="57" t="s">
        <v>250</v>
      </c>
      <c r="G295" s="61"/>
      <c r="H295" s="61" t="s">
        <v>287</v>
      </c>
      <c r="I295" s="62" t="s">
        <v>288</v>
      </c>
      <c r="J295" s="53"/>
    </row>
    <row r="296" ht="24.75" hidden="1" customHeight="1">
      <c r="A296" s="54" t="s">
        <v>289</v>
      </c>
      <c r="B296" s="56" t="s">
        <v>625</v>
      </c>
      <c r="C296" s="56" t="s">
        <v>624</v>
      </c>
      <c r="D296" s="56" t="s">
        <v>620</v>
      </c>
      <c r="E296" s="56" t="s">
        <v>621</v>
      </c>
      <c r="F296" s="57" t="s">
        <v>192</v>
      </c>
      <c r="G296" s="61"/>
      <c r="H296" s="79"/>
      <c r="I296" s="62"/>
      <c r="J296" s="53"/>
    </row>
    <row r="297" ht="24.75" hidden="1" customHeight="1">
      <c r="A297" s="54" t="s">
        <v>289</v>
      </c>
      <c r="B297" s="56" t="s">
        <v>625</v>
      </c>
      <c r="C297" s="56" t="s">
        <v>624</v>
      </c>
      <c r="D297" s="56" t="s">
        <v>620</v>
      </c>
      <c r="E297" s="56" t="s">
        <v>622</v>
      </c>
      <c r="F297" s="57" t="s">
        <v>154</v>
      </c>
      <c r="G297" s="61"/>
      <c r="H297" s="79"/>
      <c r="I297" s="62" t="s">
        <v>617</v>
      </c>
      <c r="J297" s="53"/>
    </row>
    <row r="298" ht="24.75" hidden="1" customHeight="1">
      <c r="A298" s="54" t="s">
        <v>289</v>
      </c>
      <c r="B298" s="56" t="s">
        <v>626</v>
      </c>
      <c r="C298" s="56" t="s">
        <v>627</v>
      </c>
      <c r="D298" s="56" t="s">
        <v>611</v>
      </c>
      <c r="E298" s="56" t="s">
        <v>612</v>
      </c>
      <c r="F298" s="57" t="s">
        <v>34</v>
      </c>
      <c r="G298" s="61"/>
      <c r="H298" s="79"/>
      <c r="I298" s="62"/>
      <c r="J298" s="53"/>
    </row>
    <row r="299" ht="24.75" hidden="1" customHeight="1">
      <c r="A299" s="54" t="s">
        <v>289</v>
      </c>
      <c r="B299" s="56" t="s">
        <v>626</v>
      </c>
      <c r="C299" s="56" t="s">
        <v>627</v>
      </c>
      <c r="D299" s="56" t="s">
        <v>611</v>
      </c>
      <c r="E299" s="56" t="s">
        <v>613</v>
      </c>
      <c r="F299" s="57" t="s">
        <v>34</v>
      </c>
      <c r="G299" s="61"/>
      <c r="H299" s="79"/>
      <c r="I299" s="62"/>
      <c r="J299" s="53"/>
    </row>
    <row r="300" ht="24.75" hidden="1" customHeight="1">
      <c r="A300" s="54" t="s">
        <v>289</v>
      </c>
      <c r="B300" s="56" t="s">
        <v>626</v>
      </c>
      <c r="C300" s="56" t="s">
        <v>627</v>
      </c>
      <c r="D300" s="56" t="s">
        <v>611</v>
      </c>
      <c r="E300" s="56" t="s">
        <v>614</v>
      </c>
      <c r="F300" s="57" t="s">
        <v>34</v>
      </c>
      <c r="G300" s="61"/>
      <c r="H300" s="79"/>
      <c r="I300" s="62" t="s">
        <v>615</v>
      </c>
      <c r="J300" s="53"/>
    </row>
    <row r="301" ht="24.75" hidden="1" customHeight="1">
      <c r="A301" s="54" t="s">
        <v>289</v>
      </c>
      <c r="B301" s="56" t="s">
        <v>626</v>
      </c>
      <c r="C301" s="56" t="s">
        <v>627</v>
      </c>
      <c r="D301" s="56" t="s">
        <v>611</v>
      </c>
      <c r="E301" s="56" t="s">
        <v>616</v>
      </c>
      <c r="F301" s="57" t="s">
        <v>154</v>
      </c>
      <c r="G301" s="61"/>
      <c r="H301" s="79"/>
      <c r="I301" s="62" t="s">
        <v>617</v>
      </c>
      <c r="J301" s="53"/>
    </row>
    <row r="302" ht="24.75" hidden="1" customHeight="1">
      <c r="A302" s="54" t="s">
        <v>289</v>
      </c>
      <c r="B302" s="56" t="s">
        <v>626</v>
      </c>
      <c r="C302" s="56" t="s">
        <v>627</v>
      </c>
      <c r="D302" s="56" t="s">
        <v>611</v>
      </c>
      <c r="E302" s="56" t="s">
        <v>618</v>
      </c>
      <c r="F302" s="57" t="s">
        <v>154</v>
      </c>
      <c r="G302" s="61"/>
      <c r="H302" s="79"/>
      <c r="I302" s="62" t="s">
        <v>617</v>
      </c>
      <c r="J302" s="53"/>
    </row>
    <row r="303" ht="24.75" hidden="1" customHeight="1">
      <c r="A303" s="54" t="s">
        <v>289</v>
      </c>
      <c r="B303" s="56" t="s">
        <v>628</v>
      </c>
      <c r="C303" s="56" t="s">
        <v>627</v>
      </c>
      <c r="D303" s="56" t="s">
        <v>620</v>
      </c>
      <c r="E303" s="56" t="s">
        <v>196</v>
      </c>
      <c r="F303" s="57" t="s">
        <v>250</v>
      </c>
      <c r="G303" s="61"/>
      <c r="H303" s="61" t="s">
        <v>287</v>
      </c>
      <c r="I303" s="62" t="s">
        <v>288</v>
      </c>
      <c r="J303" s="53"/>
    </row>
    <row r="304" ht="24.75" hidden="1" customHeight="1">
      <c r="A304" s="54" t="s">
        <v>289</v>
      </c>
      <c r="B304" s="56" t="s">
        <v>628</v>
      </c>
      <c r="C304" s="56" t="s">
        <v>627</v>
      </c>
      <c r="D304" s="56" t="s">
        <v>620</v>
      </c>
      <c r="E304" s="56" t="s">
        <v>621</v>
      </c>
      <c r="F304" s="57" t="s">
        <v>192</v>
      </c>
      <c r="G304" s="61"/>
      <c r="H304" s="79"/>
      <c r="I304" s="62"/>
      <c r="J304" s="53"/>
    </row>
    <row r="305" ht="24.75" hidden="1" customHeight="1">
      <c r="A305" s="54" t="s">
        <v>289</v>
      </c>
      <c r="B305" s="56" t="s">
        <v>628</v>
      </c>
      <c r="C305" s="56" t="s">
        <v>627</v>
      </c>
      <c r="D305" s="56" t="s">
        <v>620</v>
      </c>
      <c r="E305" s="56" t="s">
        <v>622</v>
      </c>
      <c r="F305" s="57" t="s">
        <v>154</v>
      </c>
      <c r="G305" s="61"/>
      <c r="H305" s="79"/>
      <c r="I305" s="62" t="s">
        <v>617</v>
      </c>
      <c r="J305" s="53"/>
    </row>
    <row r="306" ht="24.75" hidden="1" customHeight="1">
      <c r="A306" s="54" t="s">
        <v>289</v>
      </c>
      <c r="B306" s="56" t="s">
        <v>629</v>
      </c>
      <c r="C306" s="56" t="s">
        <v>627</v>
      </c>
      <c r="D306" s="56" t="s">
        <v>631</v>
      </c>
      <c r="E306" s="56" t="s">
        <v>191</v>
      </c>
      <c r="F306" s="57" t="s">
        <v>192</v>
      </c>
      <c r="G306" s="61"/>
      <c r="H306" s="79"/>
      <c r="I306" s="62"/>
      <c r="J306" s="53"/>
    </row>
    <row r="307" ht="24.75" hidden="1" customHeight="1">
      <c r="A307" s="54" t="s">
        <v>289</v>
      </c>
      <c r="B307" s="56" t="s">
        <v>629</v>
      </c>
      <c r="C307" s="56" t="s">
        <v>627</v>
      </c>
      <c r="D307" s="56" t="s">
        <v>631</v>
      </c>
      <c r="E307" s="56" t="s">
        <v>632</v>
      </c>
      <c r="F307" s="57" t="s">
        <v>34</v>
      </c>
      <c r="G307" s="61"/>
      <c r="H307" s="61" t="s">
        <v>197</v>
      </c>
      <c r="I307" s="62"/>
      <c r="J307" s="53"/>
    </row>
    <row r="308" ht="24.75" hidden="1" customHeight="1">
      <c r="A308" s="54" t="s">
        <v>289</v>
      </c>
      <c r="B308" s="56" t="s">
        <v>629</v>
      </c>
      <c r="C308" s="56" t="s">
        <v>627</v>
      </c>
      <c r="D308" s="56" t="s">
        <v>631</v>
      </c>
      <c r="E308" s="56" t="s">
        <v>633</v>
      </c>
      <c r="F308" s="57" t="s">
        <v>154</v>
      </c>
      <c r="G308" s="61"/>
      <c r="H308" s="79"/>
      <c r="I308" s="62"/>
      <c r="J308" s="53"/>
    </row>
    <row r="309" ht="24.75" hidden="1" customHeight="1">
      <c r="A309" s="54" t="s">
        <v>289</v>
      </c>
      <c r="B309" s="56" t="s">
        <v>629</v>
      </c>
      <c r="C309" s="56" t="s">
        <v>627</v>
      </c>
      <c r="D309" s="56" t="s">
        <v>631</v>
      </c>
      <c r="E309" s="56" t="s">
        <v>196</v>
      </c>
      <c r="F309" s="57" t="s">
        <v>250</v>
      </c>
      <c r="G309" s="61"/>
      <c r="H309" s="61" t="s">
        <v>200</v>
      </c>
      <c r="I309" s="62" t="s">
        <v>201</v>
      </c>
      <c r="J309" s="53"/>
    </row>
    <row r="310" ht="24.75" hidden="1" customHeight="1">
      <c r="A310" s="54" t="s">
        <v>289</v>
      </c>
      <c r="B310" s="56" t="s">
        <v>635</v>
      </c>
      <c r="C310" s="56" t="s">
        <v>627</v>
      </c>
      <c r="D310" s="56" t="s">
        <v>636</v>
      </c>
      <c r="E310" s="56" t="s">
        <v>191</v>
      </c>
      <c r="F310" s="57" t="s">
        <v>192</v>
      </c>
      <c r="G310" s="61"/>
      <c r="H310" s="79"/>
      <c r="I310" s="62"/>
      <c r="J310" s="53"/>
    </row>
    <row r="311" ht="24.75" hidden="1" customHeight="1">
      <c r="A311" s="54" t="s">
        <v>289</v>
      </c>
      <c r="B311" s="56" t="s">
        <v>635</v>
      </c>
      <c r="C311" s="56" t="s">
        <v>627</v>
      </c>
      <c r="D311" s="56" t="s">
        <v>636</v>
      </c>
      <c r="E311" s="56" t="s">
        <v>632</v>
      </c>
      <c r="F311" s="57" t="s">
        <v>34</v>
      </c>
      <c r="G311" s="61"/>
      <c r="H311" s="61" t="s">
        <v>197</v>
      </c>
      <c r="I311" s="62"/>
      <c r="J311" s="53"/>
    </row>
    <row r="312" ht="24.75" hidden="1" customHeight="1">
      <c r="A312" s="54" t="s">
        <v>289</v>
      </c>
      <c r="B312" s="56" t="s">
        <v>635</v>
      </c>
      <c r="C312" s="56" t="s">
        <v>627</v>
      </c>
      <c r="D312" s="56" t="s">
        <v>636</v>
      </c>
      <c r="E312" s="56" t="s">
        <v>633</v>
      </c>
      <c r="F312" s="57" t="s">
        <v>154</v>
      </c>
      <c r="G312" s="61"/>
      <c r="H312" s="79"/>
      <c r="I312" s="62"/>
      <c r="J312" s="53"/>
    </row>
    <row r="313" ht="24.75" hidden="1" customHeight="1">
      <c r="A313" s="54" t="s">
        <v>289</v>
      </c>
      <c r="B313" s="56" t="s">
        <v>635</v>
      </c>
      <c r="C313" s="56" t="s">
        <v>627</v>
      </c>
      <c r="D313" s="56" t="s">
        <v>636</v>
      </c>
      <c r="E313" s="56" t="s">
        <v>196</v>
      </c>
      <c r="F313" s="57" t="s">
        <v>250</v>
      </c>
      <c r="G313" s="61"/>
      <c r="H313" s="61" t="s">
        <v>200</v>
      </c>
      <c r="I313" s="62" t="s">
        <v>201</v>
      </c>
      <c r="J313" s="53"/>
    </row>
    <row r="314" ht="24.75" hidden="1" customHeight="1">
      <c r="A314" s="54" t="s">
        <v>289</v>
      </c>
      <c r="B314" s="56" t="s">
        <v>639</v>
      </c>
      <c r="C314" s="56" t="s">
        <v>640</v>
      </c>
      <c r="D314" s="56" t="s">
        <v>611</v>
      </c>
      <c r="E314" s="56" t="s">
        <v>612</v>
      </c>
      <c r="F314" s="57" t="s">
        <v>34</v>
      </c>
      <c r="G314" s="61"/>
      <c r="H314" s="79"/>
      <c r="I314" s="62"/>
      <c r="J314" s="53"/>
    </row>
    <row r="315" ht="24.75" hidden="1" customHeight="1">
      <c r="A315" s="54" t="s">
        <v>289</v>
      </c>
      <c r="B315" s="56" t="s">
        <v>639</v>
      </c>
      <c r="C315" s="56" t="s">
        <v>640</v>
      </c>
      <c r="D315" s="56" t="s">
        <v>611</v>
      </c>
      <c r="E315" s="56" t="s">
        <v>613</v>
      </c>
      <c r="F315" s="57" t="s">
        <v>34</v>
      </c>
      <c r="G315" s="61"/>
      <c r="H315" s="79"/>
      <c r="I315" s="62"/>
      <c r="J315" s="53"/>
    </row>
    <row r="316" ht="24.75" hidden="1" customHeight="1">
      <c r="A316" s="54" t="s">
        <v>289</v>
      </c>
      <c r="B316" s="56" t="s">
        <v>639</v>
      </c>
      <c r="C316" s="56" t="s">
        <v>640</v>
      </c>
      <c r="D316" s="56" t="s">
        <v>611</v>
      </c>
      <c r="E316" s="56" t="s">
        <v>614</v>
      </c>
      <c r="F316" s="57" t="s">
        <v>34</v>
      </c>
      <c r="G316" s="61"/>
      <c r="H316" s="79"/>
      <c r="I316" s="62" t="s">
        <v>615</v>
      </c>
      <c r="J316" s="53"/>
    </row>
    <row r="317" ht="24.75" hidden="1" customHeight="1">
      <c r="A317" s="54" t="s">
        <v>289</v>
      </c>
      <c r="B317" s="56" t="s">
        <v>639</v>
      </c>
      <c r="C317" s="56" t="s">
        <v>640</v>
      </c>
      <c r="D317" s="56" t="s">
        <v>611</v>
      </c>
      <c r="E317" s="56" t="s">
        <v>616</v>
      </c>
      <c r="F317" s="57" t="s">
        <v>154</v>
      </c>
      <c r="G317" s="61"/>
      <c r="H317" s="79"/>
      <c r="I317" s="62" t="s">
        <v>617</v>
      </c>
      <c r="J317" s="53"/>
    </row>
    <row r="318" ht="24.75" hidden="1" customHeight="1">
      <c r="A318" s="54" t="s">
        <v>289</v>
      </c>
      <c r="B318" s="56" t="s">
        <v>639</v>
      </c>
      <c r="C318" s="56" t="s">
        <v>640</v>
      </c>
      <c r="D318" s="56" t="s">
        <v>611</v>
      </c>
      <c r="E318" s="56" t="s">
        <v>618</v>
      </c>
      <c r="F318" s="57" t="s">
        <v>154</v>
      </c>
      <c r="G318" s="61"/>
      <c r="H318" s="79"/>
      <c r="I318" s="62" t="s">
        <v>617</v>
      </c>
      <c r="J318" s="53"/>
    </row>
    <row r="319" ht="24.75" hidden="1" customHeight="1">
      <c r="A319" s="54" t="s">
        <v>289</v>
      </c>
      <c r="B319" s="56" t="s">
        <v>641</v>
      </c>
      <c r="C319" s="56" t="s">
        <v>640</v>
      </c>
      <c r="D319" s="56" t="s">
        <v>620</v>
      </c>
      <c r="E319" s="56" t="s">
        <v>196</v>
      </c>
      <c r="F319" s="57" t="s">
        <v>250</v>
      </c>
      <c r="G319" s="61"/>
      <c r="H319" s="61" t="s">
        <v>287</v>
      </c>
      <c r="I319" s="62" t="s">
        <v>288</v>
      </c>
      <c r="J319" s="53"/>
    </row>
    <row r="320" ht="24.75" hidden="1" customHeight="1">
      <c r="A320" s="54" t="s">
        <v>289</v>
      </c>
      <c r="B320" s="56" t="s">
        <v>641</v>
      </c>
      <c r="C320" s="56" t="s">
        <v>640</v>
      </c>
      <c r="D320" s="56" t="s">
        <v>620</v>
      </c>
      <c r="E320" s="56" t="s">
        <v>621</v>
      </c>
      <c r="F320" s="57" t="s">
        <v>192</v>
      </c>
      <c r="G320" s="61"/>
      <c r="H320" s="79"/>
      <c r="I320" s="62"/>
      <c r="J320" s="53"/>
    </row>
    <row r="321" ht="24.75" hidden="1" customHeight="1">
      <c r="A321" s="54" t="s">
        <v>289</v>
      </c>
      <c r="B321" s="56" t="s">
        <v>641</v>
      </c>
      <c r="C321" s="56" t="s">
        <v>640</v>
      </c>
      <c r="D321" s="56" t="s">
        <v>620</v>
      </c>
      <c r="E321" s="56" t="s">
        <v>622</v>
      </c>
      <c r="F321" s="57" t="s">
        <v>154</v>
      </c>
      <c r="G321" s="61"/>
      <c r="H321" s="79"/>
      <c r="I321" s="62" t="s">
        <v>617</v>
      </c>
      <c r="J321" s="53"/>
    </row>
    <row r="322" ht="24.75" hidden="1" customHeight="1">
      <c r="A322" s="54" t="s">
        <v>289</v>
      </c>
      <c r="B322" s="56" t="s">
        <v>642</v>
      </c>
      <c r="C322" s="56" t="s">
        <v>640</v>
      </c>
      <c r="D322" s="56" t="s">
        <v>631</v>
      </c>
      <c r="E322" s="56" t="s">
        <v>191</v>
      </c>
      <c r="F322" s="57" t="s">
        <v>192</v>
      </c>
      <c r="G322" s="61"/>
      <c r="H322" s="79"/>
      <c r="I322" s="62"/>
      <c r="J322" s="53"/>
    </row>
    <row r="323" ht="24.75" hidden="1" customHeight="1">
      <c r="A323" s="54" t="s">
        <v>289</v>
      </c>
      <c r="B323" s="56" t="s">
        <v>642</v>
      </c>
      <c r="C323" s="56" t="s">
        <v>640</v>
      </c>
      <c r="D323" s="56" t="s">
        <v>631</v>
      </c>
      <c r="E323" s="56" t="s">
        <v>632</v>
      </c>
      <c r="F323" s="57" t="s">
        <v>34</v>
      </c>
      <c r="G323" s="61"/>
      <c r="H323" s="61" t="s">
        <v>197</v>
      </c>
      <c r="I323" s="62"/>
      <c r="J323" s="53"/>
    </row>
    <row r="324" ht="24.75" hidden="1" customHeight="1">
      <c r="A324" s="54" t="s">
        <v>289</v>
      </c>
      <c r="B324" s="56" t="s">
        <v>642</v>
      </c>
      <c r="C324" s="56" t="s">
        <v>640</v>
      </c>
      <c r="D324" s="56" t="s">
        <v>631</v>
      </c>
      <c r="E324" s="56" t="s">
        <v>633</v>
      </c>
      <c r="F324" s="57" t="s">
        <v>154</v>
      </c>
      <c r="G324" s="61"/>
      <c r="H324" s="79"/>
      <c r="I324" s="62"/>
      <c r="J324" s="53"/>
    </row>
    <row r="325" ht="24.75" hidden="1" customHeight="1">
      <c r="A325" s="54" t="s">
        <v>289</v>
      </c>
      <c r="B325" s="56" t="s">
        <v>642</v>
      </c>
      <c r="C325" s="56" t="s">
        <v>640</v>
      </c>
      <c r="D325" s="56" t="s">
        <v>631</v>
      </c>
      <c r="E325" s="56" t="s">
        <v>196</v>
      </c>
      <c r="F325" s="57" t="s">
        <v>250</v>
      </c>
      <c r="G325" s="61"/>
      <c r="H325" s="61" t="s">
        <v>200</v>
      </c>
      <c r="I325" s="62" t="s">
        <v>201</v>
      </c>
      <c r="J325" s="53"/>
    </row>
    <row r="326" ht="24.75" hidden="1" customHeight="1">
      <c r="A326" s="54" t="s">
        <v>289</v>
      </c>
      <c r="B326" s="56" t="s">
        <v>643</v>
      </c>
      <c r="C326" s="56" t="s">
        <v>640</v>
      </c>
      <c r="D326" s="56" t="s">
        <v>636</v>
      </c>
      <c r="E326" s="56" t="s">
        <v>191</v>
      </c>
      <c r="F326" s="57" t="s">
        <v>192</v>
      </c>
      <c r="G326" s="61"/>
      <c r="H326" s="79"/>
      <c r="I326" s="62"/>
      <c r="J326" s="53"/>
    </row>
    <row r="327" ht="24.75" hidden="1" customHeight="1">
      <c r="A327" s="54" t="s">
        <v>289</v>
      </c>
      <c r="B327" s="56" t="s">
        <v>643</v>
      </c>
      <c r="C327" s="56" t="s">
        <v>640</v>
      </c>
      <c r="D327" s="56" t="s">
        <v>636</v>
      </c>
      <c r="E327" s="56" t="s">
        <v>632</v>
      </c>
      <c r="F327" s="57" t="s">
        <v>34</v>
      </c>
      <c r="G327" s="61"/>
      <c r="H327" s="61" t="s">
        <v>197</v>
      </c>
      <c r="I327" s="62"/>
      <c r="J327" s="53"/>
    </row>
    <row r="328" ht="24.75" hidden="1" customHeight="1">
      <c r="A328" s="54" t="s">
        <v>289</v>
      </c>
      <c r="B328" s="56" t="s">
        <v>643</v>
      </c>
      <c r="C328" s="56" t="s">
        <v>640</v>
      </c>
      <c r="D328" s="56" t="s">
        <v>636</v>
      </c>
      <c r="E328" s="56" t="s">
        <v>633</v>
      </c>
      <c r="F328" s="57" t="s">
        <v>154</v>
      </c>
      <c r="G328" s="61"/>
      <c r="H328" s="79"/>
      <c r="I328" s="62"/>
      <c r="J328" s="53"/>
    </row>
    <row r="329" ht="24.75" hidden="1" customHeight="1">
      <c r="A329" s="54" t="s">
        <v>289</v>
      </c>
      <c r="B329" s="56" t="s">
        <v>643</v>
      </c>
      <c r="C329" s="56" t="s">
        <v>640</v>
      </c>
      <c r="D329" s="56" t="s">
        <v>636</v>
      </c>
      <c r="E329" s="56" t="s">
        <v>196</v>
      </c>
      <c r="F329" s="57" t="s">
        <v>250</v>
      </c>
      <c r="G329" s="61"/>
      <c r="H329" s="61" t="s">
        <v>200</v>
      </c>
      <c r="I329" s="62" t="s">
        <v>201</v>
      </c>
      <c r="J329" s="53"/>
    </row>
    <row r="330" ht="24.75" hidden="1" customHeight="1">
      <c r="A330" s="54" t="s">
        <v>289</v>
      </c>
      <c r="B330" s="56" t="s">
        <v>644</v>
      </c>
      <c r="C330" s="56" t="s">
        <v>645</v>
      </c>
      <c r="D330" s="56" t="s">
        <v>611</v>
      </c>
      <c r="E330" s="56" t="s">
        <v>612</v>
      </c>
      <c r="F330" s="57" t="s">
        <v>34</v>
      </c>
      <c r="G330" s="61"/>
      <c r="H330" s="79"/>
      <c r="I330" s="62"/>
      <c r="J330" s="53"/>
    </row>
    <row r="331" ht="24.75" hidden="1" customHeight="1">
      <c r="A331" s="54" t="s">
        <v>289</v>
      </c>
      <c r="B331" s="56" t="s">
        <v>644</v>
      </c>
      <c r="C331" s="56" t="s">
        <v>645</v>
      </c>
      <c r="D331" s="56" t="s">
        <v>611</v>
      </c>
      <c r="E331" s="56" t="s">
        <v>613</v>
      </c>
      <c r="F331" s="57" t="s">
        <v>34</v>
      </c>
      <c r="G331" s="61"/>
      <c r="H331" s="79"/>
      <c r="I331" s="62"/>
      <c r="J331" s="53"/>
    </row>
    <row r="332" ht="24.75" hidden="1" customHeight="1">
      <c r="A332" s="54" t="s">
        <v>289</v>
      </c>
      <c r="B332" s="56" t="s">
        <v>644</v>
      </c>
      <c r="C332" s="56" t="s">
        <v>645</v>
      </c>
      <c r="D332" s="56" t="s">
        <v>611</v>
      </c>
      <c r="E332" s="56" t="s">
        <v>614</v>
      </c>
      <c r="F332" s="57" t="s">
        <v>34</v>
      </c>
      <c r="G332" s="61"/>
      <c r="H332" s="79"/>
      <c r="I332" s="62" t="s">
        <v>615</v>
      </c>
      <c r="J332" s="53"/>
    </row>
    <row r="333" ht="24.75" hidden="1" customHeight="1">
      <c r="A333" s="54" t="s">
        <v>289</v>
      </c>
      <c r="B333" s="56" t="s">
        <v>644</v>
      </c>
      <c r="C333" s="56" t="s">
        <v>645</v>
      </c>
      <c r="D333" s="56" t="s">
        <v>611</v>
      </c>
      <c r="E333" s="56" t="s">
        <v>616</v>
      </c>
      <c r="F333" s="57" t="s">
        <v>154</v>
      </c>
      <c r="G333" s="61"/>
      <c r="H333" s="79"/>
      <c r="I333" s="62" t="s">
        <v>617</v>
      </c>
      <c r="J333" s="53"/>
    </row>
    <row r="334" ht="24.75" hidden="1" customHeight="1">
      <c r="A334" s="54" t="s">
        <v>289</v>
      </c>
      <c r="B334" s="56" t="s">
        <v>644</v>
      </c>
      <c r="C334" s="56" t="s">
        <v>645</v>
      </c>
      <c r="D334" s="56" t="s">
        <v>611</v>
      </c>
      <c r="E334" s="56" t="s">
        <v>618</v>
      </c>
      <c r="F334" s="57" t="s">
        <v>154</v>
      </c>
      <c r="G334" s="61"/>
      <c r="H334" s="79"/>
      <c r="I334" s="62" t="s">
        <v>617</v>
      </c>
      <c r="J334" s="53"/>
    </row>
    <row r="335" ht="24.75" hidden="1" customHeight="1">
      <c r="A335" s="54" t="s">
        <v>289</v>
      </c>
      <c r="B335" s="56" t="s">
        <v>646</v>
      </c>
      <c r="C335" s="56" t="s">
        <v>645</v>
      </c>
      <c r="D335" s="56" t="s">
        <v>620</v>
      </c>
      <c r="E335" s="56" t="s">
        <v>196</v>
      </c>
      <c r="F335" s="57" t="s">
        <v>250</v>
      </c>
      <c r="G335" s="61"/>
      <c r="H335" s="61" t="s">
        <v>287</v>
      </c>
      <c r="I335" s="62" t="s">
        <v>288</v>
      </c>
      <c r="J335" s="53"/>
    </row>
    <row r="336" ht="24.75" hidden="1" customHeight="1">
      <c r="A336" s="54" t="s">
        <v>289</v>
      </c>
      <c r="B336" s="56" t="s">
        <v>646</v>
      </c>
      <c r="C336" s="56" t="s">
        <v>645</v>
      </c>
      <c r="D336" s="56" t="s">
        <v>620</v>
      </c>
      <c r="E336" s="56" t="s">
        <v>621</v>
      </c>
      <c r="F336" s="57" t="s">
        <v>192</v>
      </c>
      <c r="G336" s="61"/>
      <c r="H336" s="79"/>
      <c r="I336" s="62"/>
      <c r="J336" s="53"/>
    </row>
    <row r="337" ht="24.75" hidden="1" customHeight="1">
      <c r="A337" s="54" t="s">
        <v>289</v>
      </c>
      <c r="B337" s="56" t="s">
        <v>646</v>
      </c>
      <c r="C337" s="56" t="s">
        <v>645</v>
      </c>
      <c r="D337" s="56" t="s">
        <v>620</v>
      </c>
      <c r="E337" s="56" t="s">
        <v>622</v>
      </c>
      <c r="F337" s="57" t="s">
        <v>154</v>
      </c>
      <c r="G337" s="61"/>
      <c r="H337" s="79"/>
      <c r="I337" s="62" t="s">
        <v>617</v>
      </c>
      <c r="J337" s="53"/>
    </row>
    <row r="338" ht="24.75" hidden="1" customHeight="1">
      <c r="A338" s="54" t="s">
        <v>289</v>
      </c>
      <c r="B338" s="56" t="s">
        <v>647</v>
      </c>
      <c r="C338" s="56" t="s">
        <v>645</v>
      </c>
      <c r="D338" s="56" t="s">
        <v>631</v>
      </c>
      <c r="E338" s="56" t="s">
        <v>191</v>
      </c>
      <c r="F338" s="57" t="s">
        <v>192</v>
      </c>
      <c r="G338" s="61"/>
      <c r="H338" s="79"/>
      <c r="I338" s="62"/>
      <c r="J338" s="53"/>
    </row>
    <row r="339" ht="24.75" hidden="1" customHeight="1">
      <c r="A339" s="54" t="s">
        <v>289</v>
      </c>
      <c r="B339" s="56" t="s">
        <v>647</v>
      </c>
      <c r="C339" s="56" t="s">
        <v>645</v>
      </c>
      <c r="D339" s="56" t="s">
        <v>631</v>
      </c>
      <c r="E339" s="56" t="s">
        <v>632</v>
      </c>
      <c r="F339" s="57" t="s">
        <v>34</v>
      </c>
      <c r="G339" s="61"/>
      <c r="H339" s="61" t="s">
        <v>197</v>
      </c>
      <c r="I339" s="62"/>
      <c r="J339" s="53"/>
    </row>
    <row r="340" ht="24.75" hidden="1" customHeight="1">
      <c r="A340" s="54" t="s">
        <v>289</v>
      </c>
      <c r="B340" s="56" t="s">
        <v>647</v>
      </c>
      <c r="C340" s="56" t="s">
        <v>645</v>
      </c>
      <c r="D340" s="56" t="s">
        <v>631</v>
      </c>
      <c r="E340" s="56" t="s">
        <v>633</v>
      </c>
      <c r="F340" s="57" t="s">
        <v>154</v>
      </c>
      <c r="G340" s="50"/>
      <c r="H340" s="79"/>
      <c r="I340" s="62"/>
      <c r="J340" s="53"/>
    </row>
    <row r="341" ht="24.75" hidden="1" customHeight="1">
      <c r="A341" s="54" t="s">
        <v>289</v>
      </c>
      <c r="B341" s="56" t="s">
        <v>647</v>
      </c>
      <c r="C341" s="56" t="s">
        <v>645</v>
      </c>
      <c r="D341" s="56" t="s">
        <v>631</v>
      </c>
      <c r="E341" s="56" t="s">
        <v>196</v>
      </c>
      <c r="F341" s="57" t="s">
        <v>250</v>
      </c>
      <c r="G341" s="61"/>
      <c r="H341" s="61" t="s">
        <v>200</v>
      </c>
      <c r="I341" s="62" t="s">
        <v>201</v>
      </c>
      <c r="J341" s="53"/>
    </row>
    <row r="342" ht="24.75" hidden="1" customHeight="1">
      <c r="A342" s="54" t="s">
        <v>289</v>
      </c>
      <c r="B342" s="56" t="s">
        <v>648</v>
      </c>
      <c r="C342" s="56" t="s">
        <v>645</v>
      </c>
      <c r="D342" s="56" t="s">
        <v>636</v>
      </c>
      <c r="E342" s="56" t="s">
        <v>191</v>
      </c>
      <c r="F342" s="57" t="s">
        <v>192</v>
      </c>
      <c r="G342" s="61"/>
      <c r="H342" s="79"/>
      <c r="I342" s="62"/>
      <c r="J342" s="53"/>
    </row>
    <row r="343" ht="24.75" hidden="1" customHeight="1">
      <c r="A343" s="54" t="s">
        <v>289</v>
      </c>
      <c r="B343" s="56" t="s">
        <v>648</v>
      </c>
      <c r="C343" s="56" t="s">
        <v>645</v>
      </c>
      <c r="D343" s="56" t="s">
        <v>636</v>
      </c>
      <c r="E343" s="56" t="s">
        <v>632</v>
      </c>
      <c r="F343" s="57" t="s">
        <v>34</v>
      </c>
      <c r="G343" s="61"/>
      <c r="H343" s="61" t="s">
        <v>197</v>
      </c>
      <c r="I343" s="62"/>
      <c r="J343" s="53"/>
    </row>
    <row r="344" ht="24.75" hidden="1" customHeight="1">
      <c r="A344" s="54" t="s">
        <v>289</v>
      </c>
      <c r="B344" s="56" t="s">
        <v>648</v>
      </c>
      <c r="C344" s="56" t="s">
        <v>645</v>
      </c>
      <c r="D344" s="56" t="s">
        <v>636</v>
      </c>
      <c r="E344" s="56" t="s">
        <v>633</v>
      </c>
      <c r="F344" s="57" t="s">
        <v>154</v>
      </c>
      <c r="G344" s="61"/>
      <c r="H344" s="79"/>
      <c r="I344" s="62"/>
      <c r="J344" s="53"/>
    </row>
    <row r="345" ht="24.75" hidden="1" customHeight="1">
      <c r="A345" s="54" t="s">
        <v>289</v>
      </c>
      <c r="B345" s="56" t="s">
        <v>648</v>
      </c>
      <c r="C345" s="56" t="s">
        <v>645</v>
      </c>
      <c r="D345" s="56" t="s">
        <v>636</v>
      </c>
      <c r="E345" s="56" t="s">
        <v>196</v>
      </c>
      <c r="F345" s="57" t="s">
        <v>250</v>
      </c>
      <c r="G345" s="61"/>
      <c r="H345" s="61" t="s">
        <v>200</v>
      </c>
      <c r="I345" s="62" t="s">
        <v>201</v>
      </c>
      <c r="J345" s="53"/>
    </row>
    <row r="346" ht="24.75" hidden="1" customHeight="1">
      <c r="A346" s="54" t="s">
        <v>289</v>
      </c>
      <c r="B346" s="56" t="s">
        <v>649</v>
      </c>
      <c r="C346" s="56" t="s">
        <v>606</v>
      </c>
      <c r="D346" s="56" t="s">
        <v>611</v>
      </c>
      <c r="E346" s="56" t="s">
        <v>612</v>
      </c>
      <c r="F346" s="57" t="s">
        <v>34</v>
      </c>
      <c r="G346" s="61"/>
      <c r="H346" s="79"/>
      <c r="I346" s="62"/>
      <c r="J346" s="53"/>
    </row>
    <row r="347" ht="24.75" hidden="1" customHeight="1">
      <c r="A347" s="54" t="s">
        <v>289</v>
      </c>
      <c r="B347" s="56" t="s">
        <v>649</v>
      </c>
      <c r="C347" s="56" t="s">
        <v>606</v>
      </c>
      <c r="D347" s="56" t="s">
        <v>611</v>
      </c>
      <c r="E347" s="56" t="s">
        <v>613</v>
      </c>
      <c r="F347" s="57" t="s">
        <v>34</v>
      </c>
      <c r="G347" s="61"/>
      <c r="H347" s="79"/>
      <c r="I347" s="62"/>
      <c r="J347" s="53"/>
    </row>
    <row r="348" ht="24.75" hidden="1" customHeight="1">
      <c r="A348" s="54" t="s">
        <v>289</v>
      </c>
      <c r="B348" s="56" t="s">
        <v>649</v>
      </c>
      <c r="C348" s="56" t="s">
        <v>606</v>
      </c>
      <c r="D348" s="56" t="s">
        <v>611</v>
      </c>
      <c r="E348" s="56" t="s">
        <v>614</v>
      </c>
      <c r="F348" s="57" t="s">
        <v>34</v>
      </c>
      <c r="G348" s="61"/>
      <c r="H348" s="79"/>
      <c r="I348" s="62" t="s">
        <v>615</v>
      </c>
      <c r="J348" s="53"/>
    </row>
    <row r="349" ht="24.75" hidden="1" customHeight="1">
      <c r="A349" s="54" t="s">
        <v>289</v>
      </c>
      <c r="B349" s="56" t="s">
        <v>649</v>
      </c>
      <c r="C349" s="56" t="s">
        <v>606</v>
      </c>
      <c r="D349" s="56" t="s">
        <v>611</v>
      </c>
      <c r="E349" s="56" t="s">
        <v>616</v>
      </c>
      <c r="F349" s="57" t="s">
        <v>154</v>
      </c>
      <c r="G349" s="61"/>
      <c r="H349" s="79"/>
      <c r="I349" s="62" t="s">
        <v>617</v>
      </c>
      <c r="J349" s="53"/>
    </row>
    <row r="350" ht="24.75" hidden="1" customHeight="1">
      <c r="A350" s="54" t="s">
        <v>289</v>
      </c>
      <c r="B350" s="56" t="s">
        <v>649</v>
      </c>
      <c r="C350" s="56" t="s">
        <v>606</v>
      </c>
      <c r="D350" s="56" t="s">
        <v>611</v>
      </c>
      <c r="E350" s="56" t="s">
        <v>618</v>
      </c>
      <c r="F350" s="57" t="s">
        <v>154</v>
      </c>
      <c r="G350" s="61"/>
      <c r="H350" s="79"/>
      <c r="I350" s="62" t="s">
        <v>617</v>
      </c>
      <c r="J350" s="53"/>
    </row>
    <row r="351" ht="24.75" hidden="1" customHeight="1">
      <c r="A351" s="54" t="s">
        <v>289</v>
      </c>
      <c r="B351" s="56" t="s">
        <v>650</v>
      </c>
      <c r="C351" s="56" t="s">
        <v>606</v>
      </c>
      <c r="D351" s="56" t="s">
        <v>651</v>
      </c>
      <c r="E351" s="56" t="s">
        <v>196</v>
      </c>
      <c r="F351" s="57" t="s">
        <v>250</v>
      </c>
      <c r="G351" s="61"/>
      <c r="H351" s="61" t="s">
        <v>287</v>
      </c>
      <c r="I351" s="62" t="s">
        <v>288</v>
      </c>
      <c r="J351" s="53"/>
    </row>
    <row r="352" ht="24.75" hidden="1" customHeight="1">
      <c r="A352" s="54" t="s">
        <v>289</v>
      </c>
      <c r="B352" s="56" t="s">
        <v>650</v>
      </c>
      <c r="C352" s="56" t="s">
        <v>606</v>
      </c>
      <c r="D352" s="56" t="s">
        <v>651</v>
      </c>
      <c r="E352" s="56" t="s">
        <v>621</v>
      </c>
      <c r="F352" s="57" t="s">
        <v>192</v>
      </c>
      <c r="G352" s="61"/>
      <c r="H352" s="79"/>
      <c r="I352" s="62"/>
      <c r="J352" s="53"/>
    </row>
    <row r="353" ht="24.75" hidden="1" customHeight="1">
      <c r="A353" s="54" t="s">
        <v>289</v>
      </c>
      <c r="B353" s="56" t="s">
        <v>650</v>
      </c>
      <c r="C353" s="56" t="s">
        <v>606</v>
      </c>
      <c r="D353" s="56" t="s">
        <v>651</v>
      </c>
      <c r="E353" s="56" t="s">
        <v>622</v>
      </c>
      <c r="F353" s="57" t="s">
        <v>154</v>
      </c>
      <c r="G353" s="61"/>
      <c r="H353" s="79"/>
      <c r="I353" s="62" t="s">
        <v>617</v>
      </c>
      <c r="J353" s="53"/>
    </row>
    <row r="354" ht="24.75" hidden="1" customHeight="1">
      <c r="A354" s="54" t="s">
        <v>289</v>
      </c>
      <c r="B354" s="56" t="s">
        <v>654</v>
      </c>
      <c r="C354" s="56" t="s">
        <v>606</v>
      </c>
      <c r="D354" s="56" t="s">
        <v>655</v>
      </c>
      <c r="E354" s="56" t="s">
        <v>191</v>
      </c>
      <c r="F354" s="57" t="s">
        <v>192</v>
      </c>
      <c r="G354" s="61"/>
      <c r="H354" s="79"/>
      <c r="I354" s="62"/>
      <c r="J354" s="53"/>
    </row>
    <row r="355" ht="24.75" hidden="1" customHeight="1">
      <c r="A355" s="54" t="s">
        <v>289</v>
      </c>
      <c r="B355" s="56" t="s">
        <v>654</v>
      </c>
      <c r="C355" s="56" t="s">
        <v>606</v>
      </c>
      <c r="D355" s="56" t="s">
        <v>655</v>
      </c>
      <c r="E355" s="56" t="s">
        <v>632</v>
      </c>
      <c r="F355" s="57" t="s">
        <v>34</v>
      </c>
      <c r="G355" s="61"/>
      <c r="H355" s="61" t="s">
        <v>197</v>
      </c>
      <c r="I355" s="62"/>
      <c r="J355" s="53"/>
    </row>
    <row r="356" ht="24.75" hidden="1" customHeight="1">
      <c r="A356" s="54" t="s">
        <v>289</v>
      </c>
      <c r="B356" s="56" t="s">
        <v>654</v>
      </c>
      <c r="C356" s="56" t="s">
        <v>606</v>
      </c>
      <c r="D356" s="56" t="s">
        <v>655</v>
      </c>
      <c r="E356" s="56" t="s">
        <v>633</v>
      </c>
      <c r="F356" s="57" t="s">
        <v>154</v>
      </c>
      <c r="G356" s="61"/>
      <c r="H356" s="79"/>
      <c r="I356" s="62"/>
      <c r="J356" s="53"/>
    </row>
    <row r="357" ht="24.75" hidden="1" customHeight="1">
      <c r="A357" s="54" t="s">
        <v>289</v>
      </c>
      <c r="B357" s="56" t="s">
        <v>654</v>
      </c>
      <c r="C357" s="56" t="s">
        <v>606</v>
      </c>
      <c r="D357" s="56" t="s">
        <v>655</v>
      </c>
      <c r="E357" s="56" t="s">
        <v>196</v>
      </c>
      <c r="F357" s="57" t="s">
        <v>250</v>
      </c>
      <c r="G357" s="61"/>
      <c r="H357" s="61" t="s">
        <v>200</v>
      </c>
      <c r="I357" s="62" t="s">
        <v>201</v>
      </c>
      <c r="J357" s="53"/>
    </row>
    <row r="358" ht="24.75" hidden="1" customHeight="1">
      <c r="A358" s="54" t="s">
        <v>289</v>
      </c>
      <c r="B358" s="56" t="s">
        <v>656</v>
      </c>
      <c r="C358" s="56" t="s">
        <v>606</v>
      </c>
      <c r="D358" s="56" t="s">
        <v>657</v>
      </c>
      <c r="E358" s="56" t="s">
        <v>191</v>
      </c>
      <c r="F358" s="57" t="s">
        <v>192</v>
      </c>
      <c r="G358" s="61"/>
      <c r="H358" s="79"/>
      <c r="I358" s="62"/>
      <c r="J358" s="53"/>
    </row>
    <row r="359" ht="24.75" hidden="1" customHeight="1">
      <c r="A359" s="54" t="s">
        <v>289</v>
      </c>
      <c r="B359" s="56" t="s">
        <v>656</v>
      </c>
      <c r="C359" s="56" t="s">
        <v>606</v>
      </c>
      <c r="D359" s="56" t="s">
        <v>657</v>
      </c>
      <c r="E359" s="56" t="s">
        <v>632</v>
      </c>
      <c r="F359" s="57" t="s">
        <v>34</v>
      </c>
      <c r="G359" s="61"/>
      <c r="H359" s="61" t="s">
        <v>197</v>
      </c>
      <c r="I359" s="62"/>
      <c r="J359" s="53"/>
    </row>
    <row r="360" ht="24.75" hidden="1" customHeight="1">
      <c r="A360" s="54" t="s">
        <v>289</v>
      </c>
      <c r="B360" s="56" t="s">
        <v>656</v>
      </c>
      <c r="C360" s="56" t="s">
        <v>606</v>
      </c>
      <c r="D360" s="56" t="s">
        <v>657</v>
      </c>
      <c r="E360" s="56" t="s">
        <v>633</v>
      </c>
      <c r="F360" s="57" t="s">
        <v>154</v>
      </c>
      <c r="G360" s="61"/>
      <c r="H360" s="79"/>
      <c r="I360" s="62"/>
      <c r="J360" s="53"/>
    </row>
    <row r="361" ht="24.75" hidden="1" customHeight="1">
      <c r="A361" s="54" t="s">
        <v>289</v>
      </c>
      <c r="B361" s="56" t="s">
        <v>656</v>
      </c>
      <c r="C361" s="56" t="s">
        <v>606</v>
      </c>
      <c r="D361" s="56" t="s">
        <v>657</v>
      </c>
      <c r="E361" s="56" t="s">
        <v>196</v>
      </c>
      <c r="F361" s="57" t="s">
        <v>250</v>
      </c>
      <c r="G361" s="61"/>
      <c r="H361" s="61" t="s">
        <v>200</v>
      </c>
      <c r="I361" s="62" t="s">
        <v>201</v>
      </c>
      <c r="J361" s="53"/>
    </row>
    <row r="362" ht="24.75" hidden="1" customHeight="1">
      <c r="A362" s="54" t="s">
        <v>658</v>
      </c>
      <c r="B362" s="56" t="s">
        <v>659</v>
      </c>
      <c r="C362" s="56" t="s">
        <v>610</v>
      </c>
      <c r="D362" s="56" t="s">
        <v>660</v>
      </c>
      <c r="E362" s="56" t="s">
        <v>661</v>
      </c>
      <c r="F362" s="57" t="s">
        <v>34</v>
      </c>
      <c r="G362" s="61"/>
      <c r="H362" s="79"/>
      <c r="I362" s="62"/>
      <c r="J362" s="53"/>
    </row>
    <row r="363" ht="24.75" hidden="1" customHeight="1">
      <c r="A363" s="54" t="s">
        <v>658</v>
      </c>
      <c r="B363" s="56" t="s">
        <v>659</v>
      </c>
      <c r="C363" s="56" t="s">
        <v>610</v>
      </c>
      <c r="D363" s="56" t="s">
        <v>660</v>
      </c>
      <c r="E363" s="56" t="s">
        <v>662</v>
      </c>
      <c r="F363" s="57" t="s">
        <v>34</v>
      </c>
      <c r="G363" s="61"/>
      <c r="H363" s="79"/>
      <c r="I363" s="62"/>
      <c r="J363" s="53"/>
    </row>
    <row r="364" ht="24.75" hidden="1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663</v>
      </c>
      <c r="F364" s="57" t="s">
        <v>34</v>
      </c>
      <c r="G364" s="61"/>
      <c r="H364" s="79"/>
      <c r="I364" s="62"/>
      <c r="J364" s="53"/>
    </row>
    <row r="365" ht="24.75" hidden="1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664</v>
      </c>
      <c r="F365" s="57" t="s">
        <v>34</v>
      </c>
      <c r="G365" s="61"/>
      <c r="H365" s="79"/>
      <c r="I365" s="62"/>
      <c r="J365" s="53"/>
    </row>
    <row r="366" ht="24.75" hidden="1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665</v>
      </c>
      <c r="F366" s="57" t="s">
        <v>34</v>
      </c>
      <c r="G366" s="61"/>
      <c r="H366" s="79"/>
      <c r="I366" s="62"/>
      <c r="J366" s="53"/>
    </row>
    <row r="367" ht="24.75" hidden="1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614</v>
      </c>
      <c r="F367" s="57" t="s">
        <v>34</v>
      </c>
      <c r="G367" s="61"/>
      <c r="H367" s="79"/>
      <c r="I367" s="62"/>
      <c r="J367" s="53"/>
    </row>
    <row r="368" ht="24.75" hidden="1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666</v>
      </c>
      <c r="F368" s="57" t="s">
        <v>34</v>
      </c>
      <c r="G368" s="61"/>
      <c r="H368" s="79"/>
      <c r="I368" s="62"/>
      <c r="J368" s="53"/>
    </row>
    <row r="369" ht="24.75" hidden="1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667</v>
      </c>
      <c r="F369" s="57" t="s">
        <v>34</v>
      </c>
      <c r="G369" s="61"/>
      <c r="H369" s="79"/>
      <c r="I369" s="62"/>
      <c r="J369" s="53"/>
    </row>
    <row r="370" ht="24.75" hidden="1" customHeight="1">
      <c r="A370" s="54" t="s">
        <v>658</v>
      </c>
      <c r="B370" s="56" t="s">
        <v>659</v>
      </c>
      <c r="C370" s="56" t="s">
        <v>610</v>
      </c>
      <c r="D370" s="56" t="s">
        <v>660</v>
      </c>
      <c r="E370" s="56" t="s">
        <v>668</v>
      </c>
      <c r="F370" s="57" t="s">
        <v>154</v>
      </c>
      <c r="G370" s="61"/>
      <c r="H370" s="79"/>
      <c r="I370" s="62" t="s">
        <v>617</v>
      </c>
      <c r="J370" s="53"/>
    </row>
    <row r="371" ht="24.75" hidden="1" customHeight="1">
      <c r="A371" s="54" t="s">
        <v>658</v>
      </c>
      <c r="B371" s="56" t="s">
        <v>659</v>
      </c>
      <c r="C371" s="56" t="s">
        <v>610</v>
      </c>
      <c r="D371" s="56" t="s">
        <v>660</v>
      </c>
      <c r="E371" s="56" t="s">
        <v>669</v>
      </c>
      <c r="F371" s="57" t="s">
        <v>154</v>
      </c>
      <c r="G371" s="61"/>
      <c r="H371" s="79"/>
      <c r="I371" s="62" t="s">
        <v>617</v>
      </c>
      <c r="J371" s="53"/>
    </row>
    <row r="372" ht="24.75" hidden="1" customHeight="1">
      <c r="A372" s="54" t="s">
        <v>658</v>
      </c>
      <c r="B372" s="56" t="s">
        <v>659</v>
      </c>
      <c r="C372" s="56" t="s">
        <v>610</v>
      </c>
      <c r="D372" s="56" t="s">
        <v>660</v>
      </c>
      <c r="E372" s="56" t="s">
        <v>671</v>
      </c>
      <c r="F372" s="57" t="s">
        <v>154</v>
      </c>
      <c r="G372" s="61"/>
      <c r="H372" s="79"/>
      <c r="I372" s="62" t="s">
        <v>617</v>
      </c>
      <c r="J372" s="53"/>
    </row>
    <row r="373" ht="24.75" hidden="1" customHeight="1">
      <c r="A373" s="54" t="s">
        <v>658</v>
      </c>
      <c r="B373" s="56" t="s">
        <v>659</v>
      </c>
      <c r="C373" s="56" t="s">
        <v>610</v>
      </c>
      <c r="D373" s="56" t="s">
        <v>660</v>
      </c>
      <c r="E373" s="56" t="s">
        <v>672</v>
      </c>
      <c r="F373" s="57" t="s">
        <v>154</v>
      </c>
      <c r="G373" s="61"/>
      <c r="H373" s="79"/>
      <c r="I373" s="62" t="s">
        <v>617</v>
      </c>
      <c r="J373" s="53"/>
    </row>
    <row r="374" ht="24.75" hidden="1" customHeight="1">
      <c r="A374" s="54" t="s">
        <v>658</v>
      </c>
      <c r="B374" s="56" t="s">
        <v>659</v>
      </c>
      <c r="C374" s="56" t="s">
        <v>610</v>
      </c>
      <c r="D374" s="56" t="s">
        <v>660</v>
      </c>
      <c r="E374" s="56" t="s">
        <v>673</v>
      </c>
      <c r="F374" s="57" t="s">
        <v>154</v>
      </c>
      <c r="G374" s="61"/>
      <c r="H374" s="79"/>
      <c r="I374" s="62" t="s">
        <v>617</v>
      </c>
      <c r="J374" s="53"/>
    </row>
    <row r="375" ht="24.75" hidden="1" customHeight="1">
      <c r="A375" s="54" t="s">
        <v>658</v>
      </c>
      <c r="B375" s="56" t="s">
        <v>674</v>
      </c>
      <c r="C375" s="56" t="s">
        <v>610</v>
      </c>
      <c r="D375" s="56" t="s">
        <v>675</v>
      </c>
      <c r="E375" s="56" t="s">
        <v>676</v>
      </c>
      <c r="F375" s="57" t="s">
        <v>34</v>
      </c>
      <c r="G375" s="61"/>
      <c r="H375" s="79"/>
      <c r="I375" s="62"/>
      <c r="J375" s="53"/>
    </row>
    <row r="376" ht="24.75" hidden="1" customHeight="1">
      <c r="A376" s="54" t="s">
        <v>658</v>
      </c>
      <c r="B376" s="56" t="s">
        <v>677</v>
      </c>
      <c r="C376" s="56" t="s">
        <v>610</v>
      </c>
      <c r="D376" s="56" t="s">
        <v>678</v>
      </c>
      <c r="E376" s="56" t="s">
        <v>679</v>
      </c>
      <c r="F376" s="57" t="s">
        <v>34</v>
      </c>
      <c r="G376" s="61"/>
      <c r="H376" s="61" t="s">
        <v>681</v>
      </c>
      <c r="I376" s="62"/>
      <c r="J376" s="53"/>
    </row>
    <row r="377" ht="24.75" hidden="1" customHeight="1">
      <c r="A377" s="54" t="s">
        <v>658</v>
      </c>
      <c r="B377" s="56" t="s">
        <v>677</v>
      </c>
      <c r="C377" s="56" t="s">
        <v>610</v>
      </c>
      <c r="D377" s="56" t="s">
        <v>678</v>
      </c>
      <c r="E377" s="56" t="s">
        <v>680</v>
      </c>
      <c r="F377" s="57" t="s">
        <v>34</v>
      </c>
      <c r="G377" s="61"/>
      <c r="H377" s="79"/>
      <c r="I377" s="62"/>
      <c r="J377" s="53"/>
    </row>
    <row r="378" ht="24.75" hidden="1" customHeight="1">
      <c r="A378" s="54" t="s">
        <v>658</v>
      </c>
      <c r="B378" s="56" t="s">
        <v>677</v>
      </c>
      <c r="C378" s="56" t="s">
        <v>610</v>
      </c>
      <c r="D378" s="56" t="s">
        <v>678</v>
      </c>
      <c r="E378" s="56" t="s">
        <v>682</v>
      </c>
      <c r="F378" s="57" t="s">
        <v>34</v>
      </c>
      <c r="G378" s="61"/>
      <c r="H378" s="79"/>
      <c r="I378" s="62"/>
      <c r="J378" s="53"/>
    </row>
    <row r="379" ht="24.75" hidden="1" customHeight="1">
      <c r="A379" s="54" t="s">
        <v>658</v>
      </c>
      <c r="B379" s="56" t="s">
        <v>677</v>
      </c>
      <c r="C379" s="56" t="s">
        <v>610</v>
      </c>
      <c r="D379" s="56" t="s">
        <v>678</v>
      </c>
      <c r="E379" s="56" t="s">
        <v>683</v>
      </c>
      <c r="F379" s="57" t="s">
        <v>34</v>
      </c>
      <c r="G379" s="61"/>
      <c r="H379" s="79"/>
      <c r="I379" s="62"/>
      <c r="J379" s="53"/>
    </row>
    <row r="380" ht="24.75" hidden="1" customHeight="1">
      <c r="A380" s="54" t="s">
        <v>658</v>
      </c>
      <c r="B380" s="56" t="s">
        <v>677</v>
      </c>
      <c r="C380" s="56" t="s">
        <v>610</v>
      </c>
      <c r="D380" s="56" t="s">
        <v>678</v>
      </c>
      <c r="E380" s="56" t="s">
        <v>684</v>
      </c>
      <c r="F380" s="57" t="s">
        <v>250</v>
      </c>
      <c r="G380" s="61"/>
      <c r="H380" s="61" t="s">
        <v>686</v>
      </c>
      <c r="I380" s="62" t="s">
        <v>687</v>
      </c>
      <c r="J380" s="53"/>
    </row>
    <row r="381" ht="24.75" hidden="1" customHeight="1">
      <c r="A381" s="54" t="s">
        <v>658</v>
      </c>
      <c r="B381" s="56" t="s">
        <v>677</v>
      </c>
      <c r="C381" s="56" t="s">
        <v>610</v>
      </c>
      <c r="D381" s="56" t="s">
        <v>678</v>
      </c>
      <c r="E381" s="56" t="s">
        <v>685</v>
      </c>
      <c r="F381" s="57" t="s">
        <v>250</v>
      </c>
      <c r="G381" s="61"/>
      <c r="H381" s="61" t="s">
        <v>200</v>
      </c>
      <c r="I381" s="62" t="s">
        <v>689</v>
      </c>
      <c r="J381" s="53"/>
    </row>
    <row r="382" ht="24.75" hidden="1" customHeight="1">
      <c r="A382" s="54" t="s">
        <v>658</v>
      </c>
      <c r="B382" s="56" t="s">
        <v>688</v>
      </c>
      <c r="C382" s="56" t="s">
        <v>624</v>
      </c>
      <c r="D382" s="56" t="s">
        <v>660</v>
      </c>
      <c r="E382" s="56" t="s">
        <v>661</v>
      </c>
      <c r="F382" s="57" t="s">
        <v>34</v>
      </c>
      <c r="G382" s="61"/>
      <c r="H382" s="79"/>
      <c r="I382" s="62"/>
      <c r="J382" s="53"/>
    </row>
    <row r="383" ht="24.75" hidden="1" customHeight="1">
      <c r="A383" s="54" t="s">
        <v>658</v>
      </c>
      <c r="B383" s="56" t="s">
        <v>688</v>
      </c>
      <c r="C383" s="56" t="s">
        <v>624</v>
      </c>
      <c r="D383" s="56" t="s">
        <v>660</v>
      </c>
      <c r="E383" s="56" t="s">
        <v>662</v>
      </c>
      <c r="F383" s="57" t="s">
        <v>34</v>
      </c>
      <c r="G383" s="61"/>
      <c r="H383" s="79"/>
      <c r="I383" s="62"/>
      <c r="J383" s="53"/>
    </row>
    <row r="384" ht="24.75" hidden="1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663</v>
      </c>
      <c r="F384" s="57" t="s">
        <v>34</v>
      </c>
      <c r="G384" s="61"/>
      <c r="H384" s="79"/>
      <c r="I384" s="62"/>
      <c r="J384" s="53"/>
    </row>
    <row r="385" ht="24.75" hidden="1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664</v>
      </c>
      <c r="F385" s="57" t="s">
        <v>34</v>
      </c>
      <c r="G385" s="61"/>
      <c r="H385" s="79"/>
      <c r="I385" s="62"/>
      <c r="J385" s="53"/>
    </row>
    <row r="386" ht="24.75" hidden="1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665</v>
      </c>
      <c r="F386" s="57" t="s">
        <v>34</v>
      </c>
      <c r="G386" s="61"/>
      <c r="H386" s="79"/>
      <c r="I386" s="62"/>
      <c r="J386" s="53"/>
    </row>
    <row r="387" ht="24.75" hidden="1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614</v>
      </c>
      <c r="F387" s="57" t="s">
        <v>34</v>
      </c>
      <c r="G387" s="61"/>
      <c r="H387" s="79"/>
      <c r="I387" s="62"/>
      <c r="J387" s="53"/>
    </row>
    <row r="388" ht="24.75" hidden="1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666</v>
      </c>
      <c r="F388" s="57" t="s">
        <v>34</v>
      </c>
      <c r="G388" s="61"/>
      <c r="H388" s="79"/>
      <c r="I388" s="62"/>
      <c r="J388" s="53"/>
    </row>
    <row r="389" ht="24.75" hidden="1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667</v>
      </c>
      <c r="F389" s="57" t="s">
        <v>34</v>
      </c>
      <c r="G389" s="61"/>
      <c r="H389" s="79"/>
      <c r="I389" s="62"/>
      <c r="J389" s="53"/>
    </row>
    <row r="390" ht="24.75" hidden="1" customHeight="1">
      <c r="A390" s="54" t="s">
        <v>658</v>
      </c>
      <c r="B390" s="56" t="s">
        <v>688</v>
      </c>
      <c r="C390" s="56" t="s">
        <v>624</v>
      </c>
      <c r="D390" s="56" t="s">
        <v>660</v>
      </c>
      <c r="E390" s="56" t="s">
        <v>668</v>
      </c>
      <c r="F390" s="57" t="s">
        <v>154</v>
      </c>
      <c r="G390" s="61"/>
      <c r="H390" s="79"/>
      <c r="I390" s="62" t="s">
        <v>617</v>
      </c>
      <c r="J390" s="53"/>
    </row>
    <row r="391" ht="24.75" hidden="1" customHeight="1">
      <c r="A391" s="54" t="s">
        <v>658</v>
      </c>
      <c r="B391" s="56" t="s">
        <v>688</v>
      </c>
      <c r="C391" s="56" t="s">
        <v>624</v>
      </c>
      <c r="D391" s="56" t="s">
        <v>660</v>
      </c>
      <c r="E391" s="56" t="s">
        <v>669</v>
      </c>
      <c r="F391" s="57" t="s">
        <v>154</v>
      </c>
      <c r="G391" s="61"/>
      <c r="H391" s="79"/>
      <c r="I391" s="62" t="s">
        <v>617</v>
      </c>
      <c r="J391" s="53"/>
    </row>
    <row r="392" ht="24.75" hidden="1" customHeight="1">
      <c r="A392" s="54" t="s">
        <v>658</v>
      </c>
      <c r="B392" s="56" t="s">
        <v>688</v>
      </c>
      <c r="C392" s="56" t="s">
        <v>624</v>
      </c>
      <c r="D392" s="56" t="s">
        <v>660</v>
      </c>
      <c r="E392" s="56" t="s">
        <v>671</v>
      </c>
      <c r="F392" s="57" t="s">
        <v>154</v>
      </c>
      <c r="G392" s="61"/>
      <c r="H392" s="79"/>
      <c r="I392" s="62" t="s">
        <v>617</v>
      </c>
      <c r="J392" s="53"/>
    </row>
    <row r="393" ht="24.75" hidden="1" customHeight="1">
      <c r="A393" s="54" t="s">
        <v>658</v>
      </c>
      <c r="B393" s="56" t="s">
        <v>688</v>
      </c>
      <c r="C393" s="56" t="s">
        <v>624</v>
      </c>
      <c r="D393" s="56" t="s">
        <v>660</v>
      </c>
      <c r="E393" s="56" t="s">
        <v>672</v>
      </c>
      <c r="F393" s="57" t="s">
        <v>154</v>
      </c>
      <c r="G393" s="61"/>
      <c r="H393" s="79"/>
      <c r="I393" s="62" t="s">
        <v>617</v>
      </c>
      <c r="J393" s="53"/>
    </row>
    <row r="394" ht="24.75" hidden="1" customHeight="1">
      <c r="A394" s="54" t="s">
        <v>658</v>
      </c>
      <c r="B394" s="56" t="s">
        <v>688</v>
      </c>
      <c r="C394" s="56" t="s">
        <v>624</v>
      </c>
      <c r="D394" s="56" t="s">
        <v>660</v>
      </c>
      <c r="E394" s="56" t="s">
        <v>673</v>
      </c>
      <c r="F394" s="57" t="s">
        <v>154</v>
      </c>
      <c r="G394" s="61"/>
      <c r="H394" s="79"/>
      <c r="I394" s="62" t="s">
        <v>617</v>
      </c>
      <c r="J394" s="53"/>
    </row>
    <row r="395" ht="24.75" hidden="1" customHeight="1">
      <c r="A395" s="54" t="s">
        <v>658</v>
      </c>
      <c r="B395" s="56" t="s">
        <v>690</v>
      </c>
      <c r="C395" s="56" t="s">
        <v>624</v>
      </c>
      <c r="D395" s="56" t="s">
        <v>675</v>
      </c>
      <c r="E395" s="56" t="s">
        <v>676</v>
      </c>
      <c r="F395" s="57" t="s">
        <v>34</v>
      </c>
      <c r="G395" s="61"/>
      <c r="H395" s="79"/>
      <c r="I395" s="62"/>
      <c r="J395" s="53"/>
    </row>
    <row r="396" ht="24.75" hidden="1" customHeight="1">
      <c r="A396" s="54" t="s">
        <v>658</v>
      </c>
      <c r="B396" s="56" t="s">
        <v>691</v>
      </c>
      <c r="C396" s="56" t="s">
        <v>624</v>
      </c>
      <c r="D396" s="56" t="s">
        <v>678</v>
      </c>
      <c r="E396" s="56" t="s">
        <v>679</v>
      </c>
      <c r="F396" s="57" t="s">
        <v>34</v>
      </c>
      <c r="G396" s="61"/>
      <c r="H396" s="61" t="s">
        <v>681</v>
      </c>
      <c r="I396" s="62"/>
      <c r="J396" s="53"/>
    </row>
    <row r="397" ht="24.75" hidden="1" customHeight="1">
      <c r="A397" s="54" t="s">
        <v>658</v>
      </c>
      <c r="B397" s="56" t="s">
        <v>691</v>
      </c>
      <c r="C397" s="56" t="s">
        <v>624</v>
      </c>
      <c r="D397" s="56" t="s">
        <v>678</v>
      </c>
      <c r="E397" s="56" t="s">
        <v>680</v>
      </c>
      <c r="F397" s="57" t="s">
        <v>34</v>
      </c>
      <c r="G397" s="61"/>
      <c r="H397" s="79"/>
      <c r="I397" s="62"/>
      <c r="J397" s="53"/>
    </row>
    <row r="398" ht="24.75" hidden="1" customHeight="1">
      <c r="A398" s="54" t="s">
        <v>658</v>
      </c>
      <c r="B398" s="56" t="s">
        <v>691</v>
      </c>
      <c r="C398" s="56" t="s">
        <v>624</v>
      </c>
      <c r="D398" s="56" t="s">
        <v>678</v>
      </c>
      <c r="E398" s="56" t="s">
        <v>682</v>
      </c>
      <c r="F398" s="57" t="s">
        <v>34</v>
      </c>
      <c r="G398" s="61"/>
      <c r="H398" s="79"/>
      <c r="I398" s="62"/>
      <c r="J398" s="53"/>
    </row>
    <row r="399" ht="24.75" hidden="1" customHeight="1">
      <c r="A399" s="54" t="s">
        <v>658</v>
      </c>
      <c r="B399" s="56" t="s">
        <v>691</v>
      </c>
      <c r="C399" s="56" t="s">
        <v>624</v>
      </c>
      <c r="D399" s="56" t="s">
        <v>678</v>
      </c>
      <c r="E399" s="56" t="s">
        <v>683</v>
      </c>
      <c r="F399" s="57" t="s">
        <v>34</v>
      </c>
      <c r="G399" s="61"/>
      <c r="H399" s="79"/>
      <c r="I399" s="62"/>
      <c r="J399" s="53"/>
    </row>
    <row r="400" ht="24.75" hidden="1" customHeight="1">
      <c r="A400" s="54" t="s">
        <v>658</v>
      </c>
      <c r="B400" s="56" t="s">
        <v>691</v>
      </c>
      <c r="C400" s="56" t="s">
        <v>624</v>
      </c>
      <c r="D400" s="56" t="s">
        <v>678</v>
      </c>
      <c r="E400" s="56" t="s">
        <v>684</v>
      </c>
      <c r="F400" s="57" t="s">
        <v>250</v>
      </c>
      <c r="G400" s="61"/>
      <c r="H400" s="61" t="s">
        <v>686</v>
      </c>
      <c r="I400" s="62" t="s">
        <v>687</v>
      </c>
      <c r="J400" s="53"/>
    </row>
    <row r="401" ht="24.75" hidden="1" customHeight="1">
      <c r="A401" s="54" t="s">
        <v>658</v>
      </c>
      <c r="B401" s="56" t="s">
        <v>691</v>
      </c>
      <c r="C401" s="56" t="s">
        <v>624</v>
      </c>
      <c r="D401" s="56" t="s">
        <v>678</v>
      </c>
      <c r="E401" s="56" t="s">
        <v>685</v>
      </c>
      <c r="F401" s="57" t="s">
        <v>250</v>
      </c>
      <c r="G401" s="61"/>
      <c r="H401" s="61" t="s">
        <v>200</v>
      </c>
      <c r="I401" s="62" t="s">
        <v>689</v>
      </c>
      <c r="J401" s="53"/>
    </row>
    <row r="402" ht="24.75" hidden="1" customHeight="1">
      <c r="A402" s="54" t="s">
        <v>658</v>
      </c>
      <c r="B402" s="56" t="s">
        <v>692</v>
      </c>
      <c r="C402" s="56" t="s">
        <v>627</v>
      </c>
      <c r="D402" s="56" t="s">
        <v>660</v>
      </c>
      <c r="E402" s="56" t="s">
        <v>661</v>
      </c>
      <c r="F402" s="57" t="s">
        <v>34</v>
      </c>
      <c r="G402" s="61"/>
      <c r="H402" s="79"/>
      <c r="I402" s="62"/>
      <c r="J402" s="53"/>
    </row>
    <row r="403" ht="24.75" hidden="1" customHeight="1">
      <c r="A403" s="54" t="s">
        <v>658</v>
      </c>
      <c r="B403" s="56" t="s">
        <v>692</v>
      </c>
      <c r="C403" s="56" t="s">
        <v>627</v>
      </c>
      <c r="D403" s="56" t="s">
        <v>660</v>
      </c>
      <c r="E403" s="56" t="s">
        <v>662</v>
      </c>
      <c r="F403" s="57" t="s">
        <v>34</v>
      </c>
      <c r="G403" s="61"/>
      <c r="H403" s="79"/>
      <c r="I403" s="62"/>
      <c r="J403" s="53"/>
    </row>
    <row r="404" ht="24.75" hidden="1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663</v>
      </c>
      <c r="F404" s="57" t="s">
        <v>34</v>
      </c>
      <c r="G404" s="61"/>
      <c r="H404" s="79"/>
      <c r="I404" s="62"/>
      <c r="J404" s="53"/>
    </row>
    <row r="405" ht="24.75" hidden="1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664</v>
      </c>
      <c r="F405" s="57" t="s">
        <v>34</v>
      </c>
      <c r="G405" s="61"/>
      <c r="H405" s="79"/>
      <c r="I405" s="62"/>
      <c r="J405" s="53"/>
    </row>
    <row r="406" ht="24.75" hidden="1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665</v>
      </c>
      <c r="F406" s="57" t="s">
        <v>34</v>
      </c>
      <c r="G406" s="61"/>
      <c r="H406" s="79"/>
      <c r="I406" s="62"/>
      <c r="J406" s="53"/>
    </row>
    <row r="407" ht="24.75" hidden="1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614</v>
      </c>
      <c r="F407" s="57" t="s">
        <v>34</v>
      </c>
      <c r="G407" s="61"/>
      <c r="H407" s="79"/>
      <c r="I407" s="62"/>
      <c r="J407" s="53"/>
    </row>
    <row r="408" ht="24.75" hidden="1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666</v>
      </c>
      <c r="F408" s="57" t="s">
        <v>34</v>
      </c>
      <c r="G408" s="61"/>
      <c r="H408" s="79"/>
      <c r="I408" s="62"/>
      <c r="J408" s="53"/>
    </row>
    <row r="409" ht="24.75" hidden="1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667</v>
      </c>
      <c r="F409" s="57" t="s">
        <v>34</v>
      </c>
      <c r="G409" s="61"/>
      <c r="H409" s="79"/>
      <c r="I409" s="62"/>
      <c r="J409" s="53"/>
    </row>
    <row r="410" ht="24.75" hidden="1" customHeight="1">
      <c r="A410" s="54" t="s">
        <v>658</v>
      </c>
      <c r="B410" s="56" t="s">
        <v>692</v>
      </c>
      <c r="C410" s="56" t="s">
        <v>627</v>
      </c>
      <c r="D410" s="56" t="s">
        <v>660</v>
      </c>
      <c r="E410" s="56" t="s">
        <v>668</v>
      </c>
      <c r="F410" s="57" t="s">
        <v>154</v>
      </c>
      <c r="G410" s="61"/>
      <c r="H410" s="79"/>
      <c r="I410" s="62" t="s">
        <v>617</v>
      </c>
      <c r="J410" s="53"/>
    </row>
    <row r="411" ht="24.75" hidden="1" customHeight="1">
      <c r="A411" s="54" t="s">
        <v>658</v>
      </c>
      <c r="B411" s="56" t="s">
        <v>692</v>
      </c>
      <c r="C411" s="56" t="s">
        <v>627</v>
      </c>
      <c r="D411" s="56" t="s">
        <v>660</v>
      </c>
      <c r="E411" s="56" t="s">
        <v>669</v>
      </c>
      <c r="F411" s="57" t="s">
        <v>154</v>
      </c>
      <c r="G411" s="61"/>
      <c r="H411" s="79"/>
      <c r="I411" s="62" t="s">
        <v>617</v>
      </c>
      <c r="J411" s="53"/>
    </row>
    <row r="412" ht="24.75" hidden="1" customHeight="1">
      <c r="A412" s="54" t="s">
        <v>658</v>
      </c>
      <c r="B412" s="56" t="s">
        <v>692</v>
      </c>
      <c r="C412" s="56" t="s">
        <v>627</v>
      </c>
      <c r="D412" s="56" t="s">
        <v>660</v>
      </c>
      <c r="E412" s="56" t="s">
        <v>671</v>
      </c>
      <c r="F412" s="57" t="s">
        <v>154</v>
      </c>
      <c r="G412" s="61"/>
      <c r="H412" s="79"/>
      <c r="I412" s="62" t="s">
        <v>617</v>
      </c>
      <c r="J412" s="53"/>
    </row>
    <row r="413" ht="24.75" hidden="1" customHeight="1">
      <c r="A413" s="54" t="s">
        <v>658</v>
      </c>
      <c r="B413" s="56" t="s">
        <v>692</v>
      </c>
      <c r="C413" s="56" t="s">
        <v>627</v>
      </c>
      <c r="D413" s="56" t="s">
        <v>660</v>
      </c>
      <c r="E413" s="56" t="s">
        <v>672</v>
      </c>
      <c r="F413" s="57" t="s">
        <v>154</v>
      </c>
      <c r="G413" s="61"/>
      <c r="H413" s="79"/>
      <c r="I413" s="62" t="s">
        <v>617</v>
      </c>
      <c r="J413" s="53"/>
    </row>
    <row r="414" ht="24.75" hidden="1" customHeight="1">
      <c r="A414" s="54" t="s">
        <v>658</v>
      </c>
      <c r="B414" s="56" t="s">
        <v>692</v>
      </c>
      <c r="C414" s="56" t="s">
        <v>627</v>
      </c>
      <c r="D414" s="56" t="s">
        <v>660</v>
      </c>
      <c r="E414" s="56" t="s">
        <v>673</v>
      </c>
      <c r="F414" s="57" t="s">
        <v>154</v>
      </c>
      <c r="G414" s="61"/>
      <c r="H414" s="79"/>
      <c r="I414" s="62" t="s">
        <v>617</v>
      </c>
      <c r="J414" s="53"/>
    </row>
    <row r="415" ht="24.75" hidden="1" customHeight="1">
      <c r="A415" s="54" t="s">
        <v>658</v>
      </c>
      <c r="B415" s="56" t="s">
        <v>693</v>
      </c>
      <c r="C415" s="56" t="s">
        <v>627</v>
      </c>
      <c r="D415" s="56" t="s">
        <v>675</v>
      </c>
      <c r="E415" s="56" t="s">
        <v>676</v>
      </c>
      <c r="F415" s="57" t="s">
        <v>34</v>
      </c>
      <c r="G415" s="61"/>
      <c r="H415" s="79"/>
      <c r="I415" s="62"/>
      <c r="J415" s="53"/>
    </row>
    <row r="416" ht="24.75" hidden="1" customHeight="1">
      <c r="A416" s="54" t="s">
        <v>658</v>
      </c>
      <c r="B416" s="56" t="s">
        <v>694</v>
      </c>
      <c r="C416" s="56" t="s">
        <v>627</v>
      </c>
      <c r="D416" s="56" t="s">
        <v>678</v>
      </c>
      <c r="E416" s="56" t="s">
        <v>679</v>
      </c>
      <c r="F416" s="57" t="s">
        <v>34</v>
      </c>
      <c r="G416" s="61"/>
      <c r="H416" s="61" t="s">
        <v>197</v>
      </c>
      <c r="I416" s="62"/>
      <c r="J416" s="53"/>
    </row>
    <row r="417" ht="24.75" hidden="1" customHeight="1">
      <c r="A417" s="54" t="s">
        <v>658</v>
      </c>
      <c r="B417" s="56" t="s">
        <v>694</v>
      </c>
      <c r="C417" s="56" t="s">
        <v>627</v>
      </c>
      <c r="D417" s="56" t="s">
        <v>678</v>
      </c>
      <c r="E417" s="56" t="s">
        <v>680</v>
      </c>
      <c r="F417" s="57" t="s">
        <v>34</v>
      </c>
      <c r="G417" s="61"/>
      <c r="H417" s="79"/>
      <c r="I417" s="62"/>
      <c r="J417" s="53"/>
    </row>
    <row r="418" ht="24.75" hidden="1" customHeight="1">
      <c r="A418" s="54" t="s">
        <v>658</v>
      </c>
      <c r="B418" s="56" t="s">
        <v>694</v>
      </c>
      <c r="C418" s="56" t="s">
        <v>627</v>
      </c>
      <c r="D418" s="56" t="s">
        <v>678</v>
      </c>
      <c r="E418" s="56" t="s">
        <v>683</v>
      </c>
      <c r="F418" s="57" t="s">
        <v>34</v>
      </c>
      <c r="G418" s="61"/>
      <c r="H418" s="79"/>
      <c r="I418" s="62"/>
      <c r="J418" s="53"/>
    </row>
    <row r="419" ht="24.75" hidden="1" customHeight="1">
      <c r="A419" s="54" t="s">
        <v>658</v>
      </c>
      <c r="B419" s="56" t="s">
        <v>694</v>
      </c>
      <c r="C419" s="56" t="s">
        <v>627</v>
      </c>
      <c r="D419" s="56" t="s">
        <v>678</v>
      </c>
      <c r="E419" s="56" t="s">
        <v>684</v>
      </c>
      <c r="F419" s="57" t="s">
        <v>250</v>
      </c>
      <c r="G419" s="61"/>
      <c r="H419" s="61" t="s">
        <v>686</v>
      </c>
      <c r="I419" s="62" t="s">
        <v>687</v>
      </c>
      <c r="J419" s="53"/>
    </row>
    <row r="420" ht="24.75" hidden="1" customHeight="1">
      <c r="A420" s="54" t="s">
        <v>658</v>
      </c>
      <c r="B420" s="56" t="s">
        <v>694</v>
      </c>
      <c r="C420" s="56" t="s">
        <v>627</v>
      </c>
      <c r="D420" s="56" t="s">
        <v>678</v>
      </c>
      <c r="E420" s="56" t="s">
        <v>695</v>
      </c>
      <c r="F420" s="57" t="s">
        <v>250</v>
      </c>
      <c r="G420" s="61"/>
      <c r="H420" s="61" t="s">
        <v>346</v>
      </c>
      <c r="I420" s="62" t="s">
        <v>696</v>
      </c>
      <c r="J420" s="53"/>
    </row>
    <row r="421" ht="24.75" hidden="1" customHeight="1">
      <c r="A421" s="54" t="s">
        <v>658</v>
      </c>
      <c r="B421" s="56" t="s">
        <v>694</v>
      </c>
      <c r="C421" s="56" t="s">
        <v>627</v>
      </c>
      <c r="D421" s="56" t="s">
        <v>678</v>
      </c>
      <c r="E421" s="56" t="s">
        <v>685</v>
      </c>
      <c r="F421" s="57" t="s">
        <v>250</v>
      </c>
      <c r="G421" s="61"/>
      <c r="H421" s="61" t="s">
        <v>200</v>
      </c>
      <c r="I421" s="62" t="s">
        <v>689</v>
      </c>
      <c r="J421" s="53"/>
    </row>
    <row r="422" ht="24.75" hidden="1" customHeight="1">
      <c r="A422" s="54" t="s">
        <v>658</v>
      </c>
      <c r="B422" s="56" t="s">
        <v>697</v>
      </c>
      <c r="C422" s="56" t="s">
        <v>640</v>
      </c>
      <c r="D422" s="56" t="s">
        <v>660</v>
      </c>
      <c r="E422" s="56" t="s">
        <v>661</v>
      </c>
      <c r="F422" s="57" t="s">
        <v>34</v>
      </c>
      <c r="G422" s="61"/>
      <c r="H422" s="79"/>
      <c r="I422" s="62"/>
      <c r="J422" s="53"/>
    </row>
    <row r="423" ht="24.75" hidden="1" customHeight="1">
      <c r="A423" s="54" t="s">
        <v>658</v>
      </c>
      <c r="B423" s="56" t="s">
        <v>697</v>
      </c>
      <c r="C423" s="56" t="s">
        <v>640</v>
      </c>
      <c r="D423" s="56" t="s">
        <v>660</v>
      </c>
      <c r="E423" s="56" t="s">
        <v>662</v>
      </c>
      <c r="F423" s="57" t="s">
        <v>34</v>
      </c>
      <c r="G423" s="61"/>
      <c r="H423" s="79"/>
      <c r="I423" s="62"/>
      <c r="J423" s="53"/>
    </row>
    <row r="424" ht="24.75" hidden="1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663</v>
      </c>
      <c r="F424" s="57" t="s">
        <v>34</v>
      </c>
      <c r="G424" s="61"/>
      <c r="H424" s="79"/>
      <c r="I424" s="62"/>
      <c r="J424" s="53"/>
    </row>
    <row r="425" ht="24.75" hidden="1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664</v>
      </c>
      <c r="F425" s="57" t="s">
        <v>34</v>
      </c>
      <c r="G425" s="61"/>
      <c r="H425" s="79"/>
      <c r="I425" s="62"/>
      <c r="J425" s="53"/>
    </row>
    <row r="426" ht="24.75" hidden="1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665</v>
      </c>
      <c r="F426" s="57" t="s">
        <v>34</v>
      </c>
      <c r="G426" s="61"/>
      <c r="H426" s="79"/>
      <c r="I426" s="62"/>
      <c r="J426" s="53"/>
    </row>
    <row r="427" ht="24.75" hidden="1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614</v>
      </c>
      <c r="F427" s="57" t="s">
        <v>34</v>
      </c>
      <c r="G427" s="61"/>
      <c r="H427" s="79"/>
      <c r="I427" s="62"/>
      <c r="J427" s="53"/>
    </row>
    <row r="428" ht="24.75" hidden="1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666</v>
      </c>
      <c r="F428" s="57" t="s">
        <v>34</v>
      </c>
      <c r="G428" s="61"/>
      <c r="H428" s="79"/>
      <c r="I428" s="62"/>
      <c r="J428" s="53"/>
    </row>
    <row r="429" ht="24.75" hidden="1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667</v>
      </c>
      <c r="F429" s="57" t="s">
        <v>34</v>
      </c>
      <c r="G429" s="61"/>
      <c r="H429" s="79"/>
      <c r="I429" s="62"/>
      <c r="J429" s="53"/>
    </row>
    <row r="430" ht="24.75" hidden="1" customHeight="1">
      <c r="A430" s="54" t="s">
        <v>658</v>
      </c>
      <c r="B430" s="56" t="s">
        <v>697</v>
      </c>
      <c r="C430" s="56" t="s">
        <v>640</v>
      </c>
      <c r="D430" s="56" t="s">
        <v>660</v>
      </c>
      <c r="E430" s="56" t="s">
        <v>668</v>
      </c>
      <c r="F430" s="57" t="s">
        <v>154</v>
      </c>
      <c r="G430" s="61"/>
      <c r="H430" s="79"/>
      <c r="I430" s="62" t="s">
        <v>617</v>
      </c>
      <c r="J430" s="53"/>
    </row>
    <row r="431" ht="24.75" hidden="1" customHeight="1">
      <c r="A431" s="54" t="s">
        <v>658</v>
      </c>
      <c r="B431" s="56" t="s">
        <v>697</v>
      </c>
      <c r="C431" s="56" t="s">
        <v>640</v>
      </c>
      <c r="D431" s="56" t="s">
        <v>660</v>
      </c>
      <c r="E431" s="56" t="s">
        <v>669</v>
      </c>
      <c r="F431" s="57" t="s">
        <v>154</v>
      </c>
      <c r="G431" s="61"/>
      <c r="H431" s="79"/>
      <c r="I431" s="62" t="s">
        <v>617</v>
      </c>
      <c r="J431" s="53"/>
    </row>
    <row r="432" ht="24.75" hidden="1" customHeight="1">
      <c r="A432" s="54" t="s">
        <v>658</v>
      </c>
      <c r="B432" s="56" t="s">
        <v>697</v>
      </c>
      <c r="C432" s="56" t="s">
        <v>640</v>
      </c>
      <c r="D432" s="56" t="s">
        <v>660</v>
      </c>
      <c r="E432" s="56" t="s">
        <v>671</v>
      </c>
      <c r="F432" s="57" t="s">
        <v>154</v>
      </c>
      <c r="G432" s="61"/>
      <c r="H432" s="79"/>
      <c r="I432" s="62" t="s">
        <v>617</v>
      </c>
      <c r="J432" s="53"/>
    </row>
    <row r="433" ht="24.75" hidden="1" customHeight="1">
      <c r="A433" s="54" t="s">
        <v>658</v>
      </c>
      <c r="B433" s="56" t="s">
        <v>697</v>
      </c>
      <c r="C433" s="56" t="s">
        <v>640</v>
      </c>
      <c r="D433" s="56" t="s">
        <v>660</v>
      </c>
      <c r="E433" s="56" t="s">
        <v>672</v>
      </c>
      <c r="F433" s="57" t="s">
        <v>154</v>
      </c>
      <c r="G433" s="61"/>
      <c r="H433" s="79"/>
      <c r="I433" s="62" t="s">
        <v>617</v>
      </c>
      <c r="J433" s="53"/>
    </row>
    <row r="434" ht="24.75" hidden="1" customHeight="1">
      <c r="A434" s="54" t="s">
        <v>658</v>
      </c>
      <c r="B434" s="56" t="s">
        <v>697</v>
      </c>
      <c r="C434" s="56" t="s">
        <v>640</v>
      </c>
      <c r="D434" s="56" t="s">
        <v>660</v>
      </c>
      <c r="E434" s="56" t="s">
        <v>673</v>
      </c>
      <c r="F434" s="57" t="s">
        <v>154</v>
      </c>
      <c r="G434" s="61"/>
      <c r="H434" s="79"/>
      <c r="I434" s="62" t="s">
        <v>617</v>
      </c>
      <c r="J434" s="53"/>
    </row>
    <row r="435" ht="24.75" hidden="1" customHeight="1">
      <c r="A435" s="54" t="s">
        <v>658</v>
      </c>
      <c r="B435" s="56" t="s">
        <v>698</v>
      </c>
      <c r="C435" s="56" t="s">
        <v>640</v>
      </c>
      <c r="D435" s="56" t="s">
        <v>675</v>
      </c>
      <c r="E435" s="56" t="s">
        <v>676</v>
      </c>
      <c r="F435" s="57" t="s">
        <v>34</v>
      </c>
      <c r="G435" s="61"/>
      <c r="H435" s="79"/>
      <c r="I435" s="62"/>
      <c r="J435" s="53"/>
    </row>
    <row r="436" ht="24.75" hidden="1" customHeight="1">
      <c r="A436" s="54" t="s">
        <v>658</v>
      </c>
      <c r="B436" s="56" t="s">
        <v>699</v>
      </c>
      <c r="C436" s="56" t="s">
        <v>640</v>
      </c>
      <c r="D436" s="56" t="s">
        <v>678</v>
      </c>
      <c r="E436" s="56" t="s">
        <v>679</v>
      </c>
      <c r="F436" s="57" t="s">
        <v>34</v>
      </c>
      <c r="G436" s="61"/>
      <c r="H436" s="61" t="s">
        <v>197</v>
      </c>
      <c r="I436" s="62"/>
      <c r="J436" s="53"/>
    </row>
    <row r="437" ht="24.75" hidden="1" customHeight="1">
      <c r="A437" s="54" t="s">
        <v>658</v>
      </c>
      <c r="B437" s="56" t="s">
        <v>699</v>
      </c>
      <c r="C437" s="56" t="s">
        <v>640</v>
      </c>
      <c r="D437" s="56" t="s">
        <v>678</v>
      </c>
      <c r="E437" s="56" t="s">
        <v>680</v>
      </c>
      <c r="F437" s="57" t="s">
        <v>34</v>
      </c>
      <c r="G437" s="61"/>
      <c r="H437" s="79"/>
      <c r="I437" s="62"/>
      <c r="J437" s="53"/>
    </row>
    <row r="438" ht="24.75" hidden="1" customHeight="1">
      <c r="A438" s="54" t="s">
        <v>658</v>
      </c>
      <c r="B438" s="56" t="s">
        <v>699</v>
      </c>
      <c r="C438" s="56" t="s">
        <v>640</v>
      </c>
      <c r="D438" s="56" t="s">
        <v>678</v>
      </c>
      <c r="E438" s="56" t="s">
        <v>682</v>
      </c>
      <c r="F438" s="57" t="s">
        <v>34</v>
      </c>
      <c r="G438" s="61"/>
      <c r="H438" s="79"/>
      <c r="I438" s="62"/>
      <c r="J438" s="53"/>
    </row>
    <row r="439" ht="24.75" hidden="1" customHeight="1">
      <c r="A439" s="54" t="s">
        <v>658</v>
      </c>
      <c r="B439" s="56" t="s">
        <v>699</v>
      </c>
      <c r="C439" s="56" t="s">
        <v>640</v>
      </c>
      <c r="D439" s="56" t="s">
        <v>678</v>
      </c>
      <c r="E439" s="56" t="s">
        <v>683</v>
      </c>
      <c r="F439" s="57" t="s">
        <v>34</v>
      </c>
      <c r="G439" s="61"/>
      <c r="H439" s="79"/>
      <c r="I439" s="62"/>
      <c r="J439" s="53"/>
    </row>
    <row r="440" ht="24.75" hidden="1" customHeight="1">
      <c r="A440" s="54" t="s">
        <v>658</v>
      </c>
      <c r="B440" s="56" t="s">
        <v>699</v>
      </c>
      <c r="C440" s="56" t="s">
        <v>640</v>
      </c>
      <c r="D440" s="56" t="s">
        <v>678</v>
      </c>
      <c r="E440" s="56" t="s">
        <v>684</v>
      </c>
      <c r="F440" s="57" t="s">
        <v>250</v>
      </c>
      <c r="G440" s="61"/>
      <c r="H440" s="61" t="s">
        <v>686</v>
      </c>
      <c r="I440" s="62" t="s">
        <v>687</v>
      </c>
      <c r="J440" s="53"/>
    </row>
    <row r="441" ht="24.75" hidden="1" customHeight="1">
      <c r="A441" s="54" t="s">
        <v>658</v>
      </c>
      <c r="B441" s="56" t="s">
        <v>699</v>
      </c>
      <c r="C441" s="56" t="s">
        <v>640</v>
      </c>
      <c r="D441" s="56" t="s">
        <v>678</v>
      </c>
      <c r="E441" s="56" t="s">
        <v>695</v>
      </c>
      <c r="F441" s="57" t="s">
        <v>250</v>
      </c>
      <c r="G441" s="61"/>
      <c r="H441" s="61" t="s">
        <v>346</v>
      </c>
      <c r="I441" s="62" t="s">
        <v>696</v>
      </c>
      <c r="J441" s="53"/>
    </row>
    <row r="442" ht="24.75" hidden="1" customHeight="1">
      <c r="A442" s="54" t="s">
        <v>658</v>
      </c>
      <c r="B442" s="56" t="s">
        <v>699</v>
      </c>
      <c r="C442" s="56" t="s">
        <v>640</v>
      </c>
      <c r="D442" s="56" t="s">
        <v>678</v>
      </c>
      <c r="E442" s="56" t="s">
        <v>685</v>
      </c>
      <c r="F442" s="57" t="s">
        <v>250</v>
      </c>
      <c r="G442" s="61"/>
      <c r="H442" s="61" t="s">
        <v>200</v>
      </c>
      <c r="I442" s="62" t="s">
        <v>689</v>
      </c>
      <c r="J442" s="53"/>
    </row>
    <row r="443" ht="24.75" hidden="1" customHeight="1">
      <c r="A443" s="54" t="s">
        <v>658</v>
      </c>
      <c r="B443" s="56" t="s">
        <v>700</v>
      </c>
      <c r="C443" s="56" t="s">
        <v>645</v>
      </c>
      <c r="D443" s="56" t="s">
        <v>660</v>
      </c>
      <c r="E443" s="56" t="s">
        <v>661</v>
      </c>
      <c r="F443" s="57" t="s">
        <v>34</v>
      </c>
      <c r="G443" s="61"/>
      <c r="H443" s="79"/>
      <c r="I443" s="62"/>
      <c r="J443" s="53"/>
    </row>
    <row r="444" ht="24.75" hidden="1" customHeight="1">
      <c r="A444" s="54" t="s">
        <v>658</v>
      </c>
      <c r="B444" s="56" t="s">
        <v>700</v>
      </c>
      <c r="C444" s="56" t="s">
        <v>645</v>
      </c>
      <c r="D444" s="56" t="s">
        <v>660</v>
      </c>
      <c r="E444" s="56" t="s">
        <v>662</v>
      </c>
      <c r="F444" s="57" t="s">
        <v>34</v>
      </c>
      <c r="G444" s="61"/>
      <c r="H444" s="61"/>
      <c r="I444" s="62"/>
      <c r="J444" s="53"/>
    </row>
    <row r="445" ht="24.75" hidden="1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663</v>
      </c>
      <c r="F445" s="57" t="s">
        <v>34</v>
      </c>
      <c r="G445" s="61"/>
      <c r="H445" s="61"/>
      <c r="I445" s="62"/>
      <c r="J445" s="53"/>
    </row>
    <row r="446" ht="24.75" hidden="1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664</v>
      </c>
      <c r="F446" s="57" t="s">
        <v>34</v>
      </c>
      <c r="G446" s="61"/>
      <c r="H446" s="79"/>
      <c r="I446" s="62"/>
      <c r="J446" s="53"/>
    </row>
    <row r="447" ht="24.75" hidden="1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665</v>
      </c>
      <c r="F447" s="57" t="s">
        <v>34</v>
      </c>
      <c r="G447" s="61"/>
      <c r="H447" s="79"/>
      <c r="I447" s="62"/>
      <c r="J447" s="53"/>
    </row>
    <row r="448" ht="24.75" hidden="1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614</v>
      </c>
      <c r="F448" s="57" t="s">
        <v>34</v>
      </c>
      <c r="G448" s="61"/>
      <c r="H448" s="79"/>
      <c r="I448" s="62"/>
      <c r="J448" s="53"/>
    </row>
    <row r="449" ht="24.75" hidden="1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666</v>
      </c>
      <c r="F449" s="57" t="s">
        <v>34</v>
      </c>
      <c r="G449" s="61"/>
      <c r="H449" s="79"/>
      <c r="I449" s="62"/>
      <c r="J449" s="53"/>
    </row>
    <row r="450" ht="24.75" hidden="1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667</v>
      </c>
      <c r="F450" s="57" t="s">
        <v>34</v>
      </c>
      <c r="G450" s="61"/>
      <c r="H450" s="61"/>
      <c r="I450" s="62"/>
      <c r="J450" s="53"/>
    </row>
    <row r="451" ht="24.75" hidden="1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668</v>
      </c>
      <c r="F451" s="57" t="s">
        <v>154</v>
      </c>
      <c r="G451" s="61"/>
      <c r="H451" s="61"/>
      <c r="I451" s="62" t="s">
        <v>617</v>
      </c>
      <c r="J451" s="53"/>
    </row>
    <row r="452" ht="24.75" hidden="1" customHeight="1">
      <c r="A452" s="54" t="s">
        <v>658</v>
      </c>
      <c r="B452" s="56" t="s">
        <v>700</v>
      </c>
      <c r="C452" s="56" t="s">
        <v>645</v>
      </c>
      <c r="D452" s="56" t="s">
        <v>660</v>
      </c>
      <c r="E452" s="56" t="s">
        <v>669</v>
      </c>
      <c r="F452" s="57" t="s">
        <v>154</v>
      </c>
      <c r="G452" s="61"/>
      <c r="H452" s="61"/>
      <c r="I452" s="62" t="s">
        <v>617</v>
      </c>
      <c r="J452" s="53"/>
    </row>
    <row r="453" ht="24.75" hidden="1" customHeight="1">
      <c r="A453" s="54" t="s">
        <v>658</v>
      </c>
      <c r="B453" s="56" t="s">
        <v>700</v>
      </c>
      <c r="C453" s="56" t="s">
        <v>645</v>
      </c>
      <c r="D453" s="56" t="s">
        <v>660</v>
      </c>
      <c r="E453" s="56" t="s">
        <v>680</v>
      </c>
      <c r="F453" s="57" t="s">
        <v>154</v>
      </c>
      <c r="G453" s="61"/>
      <c r="H453" s="61"/>
      <c r="I453" s="62" t="s">
        <v>617</v>
      </c>
      <c r="J453" s="53"/>
    </row>
    <row r="454" ht="24.75" hidden="1" customHeight="1">
      <c r="A454" s="54" t="s">
        <v>658</v>
      </c>
      <c r="B454" s="56" t="s">
        <v>700</v>
      </c>
      <c r="C454" s="56" t="s">
        <v>645</v>
      </c>
      <c r="D454" s="56" t="s">
        <v>660</v>
      </c>
      <c r="E454" s="56" t="s">
        <v>671</v>
      </c>
      <c r="F454" s="57" t="s">
        <v>154</v>
      </c>
      <c r="G454" s="61"/>
      <c r="H454" s="79"/>
      <c r="I454" s="62" t="s">
        <v>617</v>
      </c>
      <c r="J454" s="53"/>
    </row>
    <row r="455" ht="24.75" hidden="1" customHeight="1">
      <c r="A455" s="54" t="s">
        <v>658</v>
      </c>
      <c r="B455" s="56" t="s">
        <v>700</v>
      </c>
      <c r="C455" s="56" t="s">
        <v>645</v>
      </c>
      <c r="D455" s="56" t="s">
        <v>660</v>
      </c>
      <c r="E455" s="56" t="s">
        <v>672</v>
      </c>
      <c r="F455" s="57" t="s">
        <v>154</v>
      </c>
      <c r="G455" s="61"/>
      <c r="H455" s="79"/>
      <c r="I455" s="62" t="s">
        <v>617</v>
      </c>
      <c r="J455" s="53"/>
    </row>
    <row r="456" ht="24.75" hidden="1" customHeight="1">
      <c r="A456" s="54" t="s">
        <v>658</v>
      </c>
      <c r="B456" s="56" t="s">
        <v>700</v>
      </c>
      <c r="C456" s="56" t="s">
        <v>645</v>
      </c>
      <c r="D456" s="56" t="s">
        <v>660</v>
      </c>
      <c r="E456" s="56" t="s">
        <v>673</v>
      </c>
      <c r="F456" s="57" t="s">
        <v>154</v>
      </c>
      <c r="G456" s="61"/>
      <c r="H456" s="79"/>
      <c r="I456" s="62" t="s">
        <v>617</v>
      </c>
      <c r="J456" s="53"/>
    </row>
    <row r="457" ht="24.75" hidden="1" customHeight="1">
      <c r="A457" s="54" t="s">
        <v>658</v>
      </c>
      <c r="B457" s="56" t="s">
        <v>703</v>
      </c>
      <c r="C457" s="56" t="s">
        <v>645</v>
      </c>
      <c r="D457" s="56" t="s">
        <v>675</v>
      </c>
      <c r="E457" s="56" t="s">
        <v>676</v>
      </c>
      <c r="F457" s="57" t="s">
        <v>34</v>
      </c>
      <c r="G457" s="61"/>
      <c r="H457" s="79"/>
      <c r="I457" s="62"/>
      <c r="J457" s="53"/>
    </row>
    <row r="458" ht="24.75" hidden="1" customHeight="1">
      <c r="A458" s="54" t="s">
        <v>658</v>
      </c>
      <c r="B458" s="56" t="s">
        <v>704</v>
      </c>
      <c r="C458" s="56" t="s">
        <v>645</v>
      </c>
      <c r="D458" s="56" t="s">
        <v>678</v>
      </c>
      <c r="E458" s="56" t="s">
        <v>679</v>
      </c>
      <c r="F458" s="57" t="s">
        <v>34</v>
      </c>
      <c r="G458" s="61"/>
      <c r="H458" s="61" t="s">
        <v>197</v>
      </c>
      <c r="I458" s="62"/>
      <c r="J458" s="53"/>
    </row>
    <row r="459" ht="24.75" hidden="1" customHeight="1">
      <c r="A459" s="54" t="s">
        <v>658</v>
      </c>
      <c r="B459" s="56" t="s">
        <v>704</v>
      </c>
      <c r="C459" s="56" t="s">
        <v>645</v>
      </c>
      <c r="D459" s="56" t="s">
        <v>678</v>
      </c>
      <c r="E459" s="56" t="s">
        <v>680</v>
      </c>
      <c r="F459" s="57" t="s">
        <v>34</v>
      </c>
      <c r="G459" s="61"/>
      <c r="H459" s="79"/>
      <c r="I459" s="62"/>
      <c r="J459" s="53"/>
    </row>
    <row r="460" ht="24.75" hidden="1" customHeight="1">
      <c r="A460" s="54" t="s">
        <v>658</v>
      </c>
      <c r="B460" s="56" t="s">
        <v>704</v>
      </c>
      <c r="C460" s="56" t="s">
        <v>645</v>
      </c>
      <c r="D460" s="56" t="s">
        <v>678</v>
      </c>
      <c r="E460" s="56" t="s">
        <v>682</v>
      </c>
      <c r="F460" s="57" t="s">
        <v>34</v>
      </c>
      <c r="G460" s="61"/>
      <c r="H460" s="79"/>
      <c r="I460" s="62"/>
      <c r="J460" s="53"/>
    </row>
    <row r="461" ht="24.75" hidden="1" customHeight="1">
      <c r="A461" s="54" t="s">
        <v>658</v>
      </c>
      <c r="B461" s="56" t="s">
        <v>704</v>
      </c>
      <c r="C461" s="56" t="s">
        <v>645</v>
      </c>
      <c r="D461" s="56" t="s">
        <v>678</v>
      </c>
      <c r="E461" s="56" t="s">
        <v>683</v>
      </c>
      <c r="F461" s="57" t="s">
        <v>34</v>
      </c>
      <c r="G461" s="61"/>
      <c r="H461" s="79"/>
      <c r="I461" s="62"/>
      <c r="J461" s="53"/>
    </row>
    <row r="462" ht="24.75" hidden="1" customHeight="1">
      <c r="A462" s="54" t="s">
        <v>658</v>
      </c>
      <c r="B462" s="56" t="s">
        <v>704</v>
      </c>
      <c r="C462" s="56" t="s">
        <v>645</v>
      </c>
      <c r="D462" s="56" t="s">
        <v>678</v>
      </c>
      <c r="E462" s="56" t="s">
        <v>684</v>
      </c>
      <c r="F462" s="57" t="s">
        <v>250</v>
      </c>
      <c r="G462" s="61"/>
      <c r="H462" s="61" t="s">
        <v>686</v>
      </c>
      <c r="I462" s="62" t="s">
        <v>687</v>
      </c>
      <c r="J462" s="53"/>
    </row>
    <row r="463" ht="24.75" hidden="1" customHeight="1">
      <c r="A463" s="54" t="s">
        <v>658</v>
      </c>
      <c r="B463" s="56" t="s">
        <v>704</v>
      </c>
      <c r="C463" s="56" t="s">
        <v>645</v>
      </c>
      <c r="D463" s="56" t="s">
        <v>678</v>
      </c>
      <c r="E463" s="56" t="s">
        <v>695</v>
      </c>
      <c r="F463" s="57" t="s">
        <v>250</v>
      </c>
      <c r="G463" s="61"/>
      <c r="H463" s="61" t="s">
        <v>346</v>
      </c>
      <c r="I463" s="62" t="s">
        <v>696</v>
      </c>
      <c r="J463" s="53"/>
    </row>
    <row r="464" ht="24.75" hidden="1" customHeight="1">
      <c r="A464" s="54" t="s">
        <v>658</v>
      </c>
      <c r="B464" s="56" t="s">
        <v>704</v>
      </c>
      <c r="C464" s="56" t="s">
        <v>645</v>
      </c>
      <c r="D464" s="56" t="s">
        <v>678</v>
      </c>
      <c r="E464" s="56" t="s">
        <v>685</v>
      </c>
      <c r="F464" s="57" t="s">
        <v>250</v>
      </c>
      <c r="G464" s="61"/>
      <c r="H464" s="61" t="s">
        <v>200</v>
      </c>
      <c r="I464" s="62" t="s">
        <v>689</v>
      </c>
      <c r="J464" s="53"/>
    </row>
    <row r="465" ht="24.75" hidden="1" customHeight="1">
      <c r="A465" s="54" t="s">
        <v>658</v>
      </c>
      <c r="B465" s="56" t="s">
        <v>705</v>
      </c>
      <c r="C465" s="56" t="s">
        <v>606</v>
      </c>
      <c r="D465" s="56" t="s">
        <v>660</v>
      </c>
      <c r="E465" s="56" t="s">
        <v>661</v>
      </c>
      <c r="F465" s="57" t="s">
        <v>34</v>
      </c>
      <c r="G465" s="61"/>
      <c r="H465" s="79"/>
      <c r="I465" s="62"/>
      <c r="J465" s="53"/>
    </row>
    <row r="466" ht="24.75" hidden="1" customHeight="1">
      <c r="A466" s="54" t="s">
        <v>658</v>
      </c>
      <c r="B466" s="56" t="s">
        <v>705</v>
      </c>
      <c r="C466" s="56" t="s">
        <v>606</v>
      </c>
      <c r="D466" s="56" t="s">
        <v>660</v>
      </c>
      <c r="E466" s="56" t="s">
        <v>662</v>
      </c>
      <c r="F466" s="57" t="s">
        <v>34</v>
      </c>
      <c r="G466" s="61"/>
      <c r="H466" s="61"/>
      <c r="I466" s="62"/>
      <c r="J466" s="53"/>
    </row>
    <row r="467" ht="24.75" hidden="1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663</v>
      </c>
      <c r="F467" s="57" t="s">
        <v>34</v>
      </c>
      <c r="G467" s="61"/>
      <c r="H467" s="61"/>
      <c r="I467" s="62"/>
      <c r="J467" s="53"/>
    </row>
    <row r="468" ht="24.75" hidden="1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664</v>
      </c>
      <c r="F468" s="57" t="s">
        <v>34</v>
      </c>
      <c r="G468" s="61"/>
      <c r="H468" s="79"/>
      <c r="I468" s="62"/>
      <c r="J468" s="53"/>
    </row>
    <row r="469" ht="24.75" hidden="1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665</v>
      </c>
      <c r="F469" s="57" t="s">
        <v>34</v>
      </c>
      <c r="G469" s="61"/>
      <c r="H469" s="79"/>
      <c r="I469" s="103"/>
      <c r="J469" s="53"/>
    </row>
    <row r="470" ht="24.75" hidden="1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614</v>
      </c>
      <c r="F470" s="57" t="s">
        <v>34</v>
      </c>
      <c r="G470" s="61"/>
      <c r="H470" s="79"/>
      <c r="I470" s="62"/>
      <c r="J470" s="53"/>
    </row>
    <row r="471" ht="24.75" hidden="1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666</v>
      </c>
      <c r="F471" s="57" t="s">
        <v>34</v>
      </c>
      <c r="G471" s="61"/>
      <c r="H471" s="79"/>
      <c r="I471" s="62"/>
      <c r="J471" s="53"/>
    </row>
    <row r="472" ht="24.75" hidden="1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667</v>
      </c>
      <c r="F472" s="57" t="s">
        <v>34</v>
      </c>
      <c r="G472" s="61"/>
      <c r="H472" s="61"/>
      <c r="I472" s="62"/>
      <c r="J472" s="53"/>
    </row>
    <row r="473" ht="24.75" hidden="1" customHeight="1">
      <c r="A473" s="54" t="s">
        <v>658</v>
      </c>
      <c r="B473" s="56" t="s">
        <v>705</v>
      </c>
      <c r="C473" s="56" t="s">
        <v>606</v>
      </c>
      <c r="D473" s="56" t="s">
        <v>660</v>
      </c>
      <c r="E473" s="56" t="s">
        <v>668</v>
      </c>
      <c r="F473" s="57" t="s">
        <v>154</v>
      </c>
      <c r="G473" s="61"/>
      <c r="H473" s="61"/>
      <c r="I473" s="62" t="s">
        <v>617</v>
      </c>
      <c r="J473" s="53"/>
    </row>
    <row r="474" ht="24.75" hidden="1" customHeight="1">
      <c r="A474" s="54" t="s">
        <v>658</v>
      </c>
      <c r="B474" s="56" t="s">
        <v>705</v>
      </c>
      <c r="C474" s="56" t="s">
        <v>606</v>
      </c>
      <c r="D474" s="56" t="s">
        <v>660</v>
      </c>
      <c r="E474" s="56" t="s">
        <v>669</v>
      </c>
      <c r="F474" s="57" t="s">
        <v>154</v>
      </c>
      <c r="G474" s="61"/>
      <c r="H474" s="61"/>
      <c r="I474" s="62" t="s">
        <v>617</v>
      </c>
      <c r="J474" s="53"/>
    </row>
    <row r="475" ht="24.75" hidden="1" customHeight="1">
      <c r="A475" s="54" t="s">
        <v>658</v>
      </c>
      <c r="B475" s="56" t="s">
        <v>705</v>
      </c>
      <c r="C475" s="56" t="s">
        <v>606</v>
      </c>
      <c r="D475" s="56" t="s">
        <v>660</v>
      </c>
      <c r="E475" s="56" t="s">
        <v>671</v>
      </c>
      <c r="F475" s="57" t="s">
        <v>154</v>
      </c>
      <c r="G475" s="61"/>
      <c r="H475" s="61"/>
      <c r="I475" s="62" t="s">
        <v>617</v>
      </c>
      <c r="J475" s="53"/>
    </row>
    <row r="476" ht="24.75" hidden="1" customHeight="1">
      <c r="A476" s="54" t="s">
        <v>658</v>
      </c>
      <c r="B476" s="56" t="s">
        <v>705</v>
      </c>
      <c r="C476" s="56" t="s">
        <v>606</v>
      </c>
      <c r="D476" s="56" t="s">
        <v>660</v>
      </c>
      <c r="E476" s="56" t="s">
        <v>672</v>
      </c>
      <c r="F476" s="57" t="s">
        <v>154</v>
      </c>
      <c r="G476" s="61"/>
      <c r="H476" s="61"/>
      <c r="I476" s="62" t="s">
        <v>617</v>
      </c>
      <c r="J476" s="53"/>
    </row>
    <row r="477" ht="24.75" hidden="1" customHeight="1">
      <c r="A477" s="54" t="s">
        <v>658</v>
      </c>
      <c r="B477" s="56" t="s">
        <v>705</v>
      </c>
      <c r="C477" s="56" t="s">
        <v>606</v>
      </c>
      <c r="D477" s="56" t="s">
        <v>660</v>
      </c>
      <c r="E477" s="56" t="s">
        <v>673</v>
      </c>
      <c r="F477" s="57" t="s">
        <v>154</v>
      </c>
      <c r="G477" s="61"/>
      <c r="H477" s="79"/>
      <c r="I477" s="62" t="s">
        <v>617</v>
      </c>
      <c r="J477" s="53"/>
    </row>
    <row r="478" ht="24.75" hidden="1" customHeight="1">
      <c r="A478" s="54" t="s">
        <v>658</v>
      </c>
      <c r="B478" s="56" t="s">
        <v>714</v>
      </c>
      <c r="C478" s="56" t="s">
        <v>606</v>
      </c>
      <c r="D478" s="56" t="s">
        <v>675</v>
      </c>
      <c r="E478" s="56" t="s">
        <v>676</v>
      </c>
      <c r="F478" s="57" t="s">
        <v>34</v>
      </c>
      <c r="G478" s="61"/>
      <c r="H478" s="79"/>
      <c r="I478" s="62"/>
      <c r="J478" s="53"/>
    </row>
    <row r="479" ht="24.75" hidden="1" customHeight="1">
      <c r="A479" s="54" t="s">
        <v>658</v>
      </c>
      <c r="B479" s="56" t="s">
        <v>715</v>
      </c>
      <c r="C479" s="56" t="s">
        <v>606</v>
      </c>
      <c r="D479" s="56" t="s">
        <v>716</v>
      </c>
      <c r="E479" s="56" t="s">
        <v>679</v>
      </c>
      <c r="F479" s="57" t="s">
        <v>34</v>
      </c>
      <c r="G479" s="61"/>
      <c r="H479" s="61" t="s">
        <v>197</v>
      </c>
      <c r="I479" s="62"/>
      <c r="J479" s="53"/>
    </row>
    <row r="480" ht="24.75" hidden="1" customHeight="1">
      <c r="A480" s="54" t="s">
        <v>658</v>
      </c>
      <c r="B480" s="56" t="s">
        <v>715</v>
      </c>
      <c r="C480" s="56" t="s">
        <v>606</v>
      </c>
      <c r="D480" s="56" t="s">
        <v>678</v>
      </c>
      <c r="E480" s="56" t="s">
        <v>680</v>
      </c>
      <c r="F480" s="57" t="s">
        <v>34</v>
      </c>
      <c r="G480" s="61"/>
      <c r="H480" s="79"/>
      <c r="I480" s="62"/>
      <c r="J480" s="53"/>
    </row>
    <row r="481" ht="24.75" hidden="1" customHeight="1">
      <c r="A481" s="54" t="s">
        <v>658</v>
      </c>
      <c r="B481" s="56" t="s">
        <v>715</v>
      </c>
      <c r="C481" s="56" t="s">
        <v>606</v>
      </c>
      <c r="D481" s="56" t="s">
        <v>716</v>
      </c>
      <c r="E481" s="56" t="s">
        <v>682</v>
      </c>
      <c r="F481" s="57" t="s">
        <v>34</v>
      </c>
      <c r="G481" s="61"/>
      <c r="H481" s="79"/>
      <c r="I481" s="62"/>
      <c r="J481" s="53"/>
    </row>
    <row r="482" ht="24.75" hidden="1" customHeight="1">
      <c r="A482" s="54" t="s">
        <v>658</v>
      </c>
      <c r="B482" s="56" t="s">
        <v>715</v>
      </c>
      <c r="C482" s="56" t="s">
        <v>606</v>
      </c>
      <c r="D482" s="56" t="s">
        <v>716</v>
      </c>
      <c r="E482" s="56" t="s">
        <v>683</v>
      </c>
      <c r="F482" s="57" t="s">
        <v>34</v>
      </c>
      <c r="G482" s="61"/>
      <c r="H482" s="79"/>
      <c r="I482" s="62"/>
      <c r="J482" s="53"/>
    </row>
    <row r="483" ht="24.75" hidden="1" customHeight="1">
      <c r="A483" s="54" t="s">
        <v>658</v>
      </c>
      <c r="B483" s="56" t="s">
        <v>715</v>
      </c>
      <c r="C483" s="56" t="s">
        <v>606</v>
      </c>
      <c r="D483" s="56" t="s">
        <v>716</v>
      </c>
      <c r="E483" s="56" t="s">
        <v>684</v>
      </c>
      <c r="F483" s="57" t="s">
        <v>250</v>
      </c>
      <c r="G483" s="61"/>
      <c r="H483" s="61" t="s">
        <v>686</v>
      </c>
      <c r="I483" s="62" t="s">
        <v>687</v>
      </c>
      <c r="J483" s="53"/>
    </row>
    <row r="484" ht="24.75" hidden="1" customHeight="1">
      <c r="A484" s="54" t="s">
        <v>658</v>
      </c>
      <c r="B484" s="56" t="s">
        <v>715</v>
      </c>
      <c r="C484" s="56" t="s">
        <v>606</v>
      </c>
      <c r="D484" s="56" t="s">
        <v>716</v>
      </c>
      <c r="E484" s="56" t="s">
        <v>695</v>
      </c>
      <c r="F484" s="57" t="s">
        <v>250</v>
      </c>
      <c r="G484" s="61"/>
      <c r="H484" s="61" t="s">
        <v>346</v>
      </c>
      <c r="I484" s="62" t="s">
        <v>696</v>
      </c>
      <c r="J484" s="53"/>
    </row>
    <row r="485" ht="24.75" hidden="1" customHeight="1">
      <c r="A485" s="54" t="s">
        <v>658</v>
      </c>
      <c r="B485" s="56" t="s">
        <v>715</v>
      </c>
      <c r="C485" s="56" t="s">
        <v>606</v>
      </c>
      <c r="D485" s="56" t="s">
        <v>716</v>
      </c>
      <c r="E485" s="56" t="s">
        <v>685</v>
      </c>
      <c r="F485" s="57" t="s">
        <v>250</v>
      </c>
      <c r="G485" s="61"/>
      <c r="H485" s="61" t="s">
        <v>200</v>
      </c>
      <c r="I485" s="62" t="s">
        <v>689</v>
      </c>
      <c r="J485" s="53"/>
    </row>
    <row r="486" ht="24.75" hidden="1" customHeight="1">
      <c r="A486" s="54" t="s">
        <v>658</v>
      </c>
      <c r="B486" s="56" t="s">
        <v>717</v>
      </c>
      <c r="C486" s="56" t="s">
        <v>718</v>
      </c>
      <c r="D486" s="56" t="s">
        <v>719</v>
      </c>
      <c r="E486" s="56" t="s">
        <v>239</v>
      </c>
      <c r="F486" s="57" t="s">
        <v>154</v>
      </c>
      <c r="G486" s="61"/>
      <c r="H486" s="79"/>
      <c r="I486" s="62" t="s">
        <v>207</v>
      </c>
      <c r="J486" s="53"/>
    </row>
    <row r="487" ht="24.75" hidden="1" customHeight="1">
      <c r="A487" s="54" t="s">
        <v>658</v>
      </c>
      <c r="B487" s="56" t="s">
        <v>720</v>
      </c>
      <c r="C487" s="56" t="s">
        <v>718</v>
      </c>
      <c r="D487" s="56" t="s">
        <v>721</v>
      </c>
      <c r="E487" s="56" t="s">
        <v>722</v>
      </c>
      <c r="F487" s="57" t="s">
        <v>154</v>
      </c>
      <c r="G487" s="61"/>
      <c r="H487" s="79"/>
      <c r="I487" s="62"/>
      <c r="J487" s="53"/>
    </row>
    <row r="488" ht="24.75" hidden="1" customHeight="1">
      <c r="A488" s="54" t="s">
        <v>658</v>
      </c>
      <c r="B488" s="56" t="s">
        <v>720</v>
      </c>
      <c r="C488" s="56" t="s">
        <v>718</v>
      </c>
      <c r="D488" s="56" t="s">
        <v>721</v>
      </c>
      <c r="E488" s="56" t="s">
        <v>723</v>
      </c>
      <c r="F488" s="57" t="s">
        <v>154</v>
      </c>
      <c r="G488" s="61"/>
      <c r="H488" s="79"/>
      <c r="I488" s="62"/>
      <c r="J488" s="53"/>
    </row>
    <row r="489" ht="24.75" hidden="1" customHeight="1">
      <c r="A489" s="54" t="s">
        <v>658</v>
      </c>
      <c r="B489" s="56" t="s">
        <v>724</v>
      </c>
      <c r="C489" s="56" t="s">
        <v>718</v>
      </c>
      <c r="D489" s="56" t="s">
        <v>725</v>
      </c>
      <c r="E489" s="56" t="s">
        <v>239</v>
      </c>
      <c r="F489" s="57" t="s">
        <v>154</v>
      </c>
      <c r="G489" s="61"/>
      <c r="H489" s="79"/>
      <c r="I489" s="62" t="s">
        <v>207</v>
      </c>
      <c r="J489" s="53"/>
    </row>
    <row r="490" ht="24.75" hidden="1" customHeight="1">
      <c r="A490" s="54" t="s">
        <v>658</v>
      </c>
      <c r="B490" s="56" t="s">
        <v>720</v>
      </c>
      <c r="C490" s="56" t="s">
        <v>718</v>
      </c>
      <c r="D490" s="56" t="s">
        <v>728</v>
      </c>
      <c r="E490" s="56" t="s">
        <v>722</v>
      </c>
      <c r="F490" s="57" t="s">
        <v>154</v>
      </c>
      <c r="G490" s="61"/>
      <c r="H490" s="79"/>
      <c r="I490" s="62"/>
      <c r="J490" s="53"/>
    </row>
    <row r="491" ht="24.75" hidden="1" customHeight="1">
      <c r="A491" s="54" t="s">
        <v>658</v>
      </c>
      <c r="B491" s="56" t="s">
        <v>720</v>
      </c>
      <c r="C491" s="56" t="s">
        <v>718</v>
      </c>
      <c r="D491" s="56" t="s">
        <v>728</v>
      </c>
      <c r="E491" s="56" t="s">
        <v>723</v>
      </c>
      <c r="F491" s="57" t="s">
        <v>154</v>
      </c>
      <c r="G491" s="61"/>
      <c r="H491" s="79"/>
      <c r="I491" s="62"/>
      <c r="J491" s="53"/>
    </row>
    <row r="492" ht="24.75" hidden="1" customHeight="1">
      <c r="A492" s="54" t="s">
        <v>729</v>
      </c>
      <c r="B492" s="56" t="s">
        <v>730</v>
      </c>
      <c r="C492" s="56" t="s">
        <v>731</v>
      </c>
      <c r="D492" s="56" t="s">
        <v>732</v>
      </c>
      <c r="E492" s="56" t="s">
        <v>167</v>
      </c>
      <c r="F492" s="57" t="s">
        <v>154</v>
      </c>
      <c r="G492" s="61"/>
      <c r="H492" s="61"/>
      <c r="I492" s="62"/>
      <c r="J492" s="53"/>
    </row>
    <row r="493" ht="24.75" hidden="1" customHeight="1">
      <c r="A493" s="54" t="s">
        <v>729</v>
      </c>
      <c r="B493" s="56" t="s">
        <v>730</v>
      </c>
      <c r="C493" s="56" t="s">
        <v>731</v>
      </c>
      <c r="D493" s="56" t="s">
        <v>732</v>
      </c>
      <c r="E493" s="56" t="s">
        <v>733</v>
      </c>
      <c r="F493" s="57" t="s">
        <v>154</v>
      </c>
      <c r="G493" s="61"/>
      <c r="H493" s="61"/>
      <c r="I493" s="62"/>
      <c r="J493" s="53"/>
    </row>
    <row r="494" ht="24.75" hidden="1" customHeight="1">
      <c r="A494" s="54" t="s">
        <v>729</v>
      </c>
      <c r="B494" s="56" t="s">
        <v>730</v>
      </c>
      <c r="C494" s="56" t="s">
        <v>731</v>
      </c>
      <c r="D494" s="56" t="s">
        <v>732</v>
      </c>
      <c r="E494" s="56" t="s">
        <v>176</v>
      </c>
      <c r="F494" s="57" t="s">
        <v>154</v>
      </c>
      <c r="G494" s="61"/>
      <c r="H494" s="61"/>
      <c r="I494" s="62"/>
      <c r="J494" s="53"/>
    </row>
    <row r="495" ht="24.75" hidden="1" customHeight="1">
      <c r="A495" s="54" t="s">
        <v>729</v>
      </c>
      <c r="B495" s="56" t="s">
        <v>734</v>
      </c>
      <c r="C495" s="56" t="s">
        <v>731</v>
      </c>
      <c r="D495" s="56" t="s">
        <v>735</v>
      </c>
      <c r="E495" s="56" t="s">
        <v>167</v>
      </c>
      <c r="F495" s="57" t="s">
        <v>154</v>
      </c>
      <c r="G495" s="61"/>
      <c r="H495" s="61"/>
      <c r="I495" s="62"/>
      <c r="J495" s="53"/>
    </row>
    <row r="496" ht="24.75" hidden="1" customHeight="1">
      <c r="A496" s="54" t="s">
        <v>729</v>
      </c>
      <c r="B496" s="56" t="s">
        <v>734</v>
      </c>
      <c r="C496" s="56" t="s">
        <v>731</v>
      </c>
      <c r="D496" s="56" t="s">
        <v>735</v>
      </c>
      <c r="E496" s="56" t="s">
        <v>733</v>
      </c>
      <c r="F496" s="57" t="s">
        <v>154</v>
      </c>
      <c r="G496" s="61"/>
      <c r="H496" s="61"/>
      <c r="I496" s="62"/>
      <c r="J496" s="53"/>
    </row>
    <row r="497" ht="24.75" hidden="1" customHeight="1">
      <c r="A497" s="54" t="s">
        <v>729</v>
      </c>
      <c r="B497" s="56" t="s">
        <v>734</v>
      </c>
      <c r="C497" s="56" t="s">
        <v>731</v>
      </c>
      <c r="D497" s="56" t="s">
        <v>735</v>
      </c>
      <c r="E497" s="56" t="s">
        <v>176</v>
      </c>
      <c r="F497" s="57" t="s">
        <v>154</v>
      </c>
      <c r="G497" s="61"/>
      <c r="H497" s="61"/>
      <c r="I497" s="62"/>
      <c r="J497" s="53"/>
    </row>
    <row r="498" ht="24.75" hidden="1" customHeight="1">
      <c r="A498" s="54" t="s">
        <v>729</v>
      </c>
      <c r="B498" s="56" t="s">
        <v>736</v>
      </c>
      <c r="C498" s="56" t="s">
        <v>731</v>
      </c>
      <c r="D498" s="56" t="s">
        <v>737</v>
      </c>
      <c r="E498" s="56" t="s">
        <v>167</v>
      </c>
      <c r="F498" s="57" t="s">
        <v>154</v>
      </c>
      <c r="G498" s="61"/>
      <c r="H498" s="61"/>
      <c r="I498" s="62"/>
      <c r="J498" s="53"/>
    </row>
    <row r="499" ht="24.75" hidden="1" customHeight="1">
      <c r="A499" s="54" t="s">
        <v>729</v>
      </c>
      <c r="B499" s="56" t="s">
        <v>736</v>
      </c>
      <c r="C499" s="56" t="s">
        <v>731</v>
      </c>
      <c r="D499" s="56" t="s">
        <v>737</v>
      </c>
      <c r="E499" s="56" t="s">
        <v>733</v>
      </c>
      <c r="F499" s="57" t="s">
        <v>154</v>
      </c>
      <c r="G499" s="61"/>
      <c r="H499" s="61"/>
      <c r="I499" s="62"/>
      <c r="J499" s="53"/>
    </row>
    <row r="500" ht="24.75" hidden="1" customHeight="1">
      <c r="A500" s="54" t="s">
        <v>729</v>
      </c>
      <c r="B500" s="56" t="s">
        <v>736</v>
      </c>
      <c r="C500" s="56" t="s">
        <v>731</v>
      </c>
      <c r="D500" s="56" t="s">
        <v>737</v>
      </c>
      <c r="E500" s="56" t="s">
        <v>176</v>
      </c>
      <c r="F500" s="57" t="s">
        <v>154</v>
      </c>
      <c r="G500" s="61"/>
      <c r="H500" s="61"/>
      <c r="I500" s="62"/>
      <c r="J500" s="53"/>
    </row>
    <row r="501" ht="24.75" hidden="1" customHeight="1">
      <c r="A501" s="54" t="s">
        <v>729</v>
      </c>
      <c r="B501" s="56" t="s">
        <v>738</v>
      </c>
      <c r="C501" s="56" t="s">
        <v>731</v>
      </c>
      <c r="D501" s="56" t="s">
        <v>175</v>
      </c>
      <c r="E501" s="56" t="s">
        <v>163</v>
      </c>
      <c r="F501" s="57" t="s">
        <v>154</v>
      </c>
      <c r="G501" s="61"/>
      <c r="H501" s="61"/>
      <c r="I501" s="62"/>
      <c r="J501" s="53"/>
    </row>
    <row r="502" ht="24.75" hidden="1" customHeight="1">
      <c r="A502" s="54" t="s">
        <v>729</v>
      </c>
      <c r="B502" s="56" t="s">
        <v>738</v>
      </c>
      <c r="C502" s="56" t="s">
        <v>731</v>
      </c>
      <c r="D502" s="56" t="s">
        <v>175</v>
      </c>
      <c r="E502" s="56" t="s">
        <v>176</v>
      </c>
      <c r="F502" s="57" t="s">
        <v>154</v>
      </c>
      <c r="G502" s="61"/>
      <c r="H502" s="61"/>
      <c r="I502" s="62"/>
      <c r="J502" s="53"/>
    </row>
    <row r="503" ht="24.75" hidden="1" customHeight="1">
      <c r="A503" s="54" t="s">
        <v>729</v>
      </c>
      <c r="B503" s="56" t="s">
        <v>739</v>
      </c>
      <c r="C503" s="56" t="s">
        <v>731</v>
      </c>
      <c r="D503" s="56" t="s">
        <v>186</v>
      </c>
      <c r="E503" s="56" t="s">
        <v>163</v>
      </c>
      <c r="F503" s="57" t="s">
        <v>154</v>
      </c>
      <c r="G503" s="61"/>
      <c r="H503" s="61"/>
      <c r="I503" s="62"/>
      <c r="J503" s="53"/>
    </row>
    <row r="504" ht="24.75" hidden="1" customHeight="1">
      <c r="A504" s="54" t="s">
        <v>729</v>
      </c>
      <c r="B504" s="56" t="s">
        <v>739</v>
      </c>
      <c r="C504" s="56" t="s">
        <v>731</v>
      </c>
      <c r="D504" s="56" t="s">
        <v>186</v>
      </c>
      <c r="E504" s="56" t="s">
        <v>176</v>
      </c>
      <c r="F504" s="57" t="s">
        <v>154</v>
      </c>
      <c r="G504" s="61"/>
      <c r="H504" s="61"/>
      <c r="I504" s="62"/>
      <c r="J504" s="53"/>
    </row>
    <row r="505" ht="24.75" hidden="1" customHeight="1">
      <c r="A505" s="54" t="s">
        <v>729</v>
      </c>
      <c r="B505" s="56" t="s">
        <v>740</v>
      </c>
      <c r="C505" s="56" t="s">
        <v>731</v>
      </c>
      <c r="D505" s="56" t="s">
        <v>183</v>
      </c>
      <c r="E505" s="56" t="s">
        <v>163</v>
      </c>
      <c r="F505" s="57" t="s">
        <v>154</v>
      </c>
      <c r="G505" s="61"/>
      <c r="H505" s="61"/>
      <c r="I505" s="62"/>
      <c r="J505" s="53"/>
    </row>
    <row r="506" ht="24.75" hidden="1" customHeight="1">
      <c r="A506" s="54" t="s">
        <v>729</v>
      </c>
      <c r="B506" s="56" t="s">
        <v>740</v>
      </c>
      <c r="C506" s="56" t="s">
        <v>731</v>
      </c>
      <c r="D506" s="56" t="s">
        <v>183</v>
      </c>
      <c r="E506" s="56" t="s">
        <v>176</v>
      </c>
      <c r="F506" s="57" t="s">
        <v>154</v>
      </c>
      <c r="G506" s="61"/>
      <c r="H506" s="61"/>
      <c r="I506" s="62"/>
      <c r="J506" s="53"/>
    </row>
    <row r="507" ht="24.75" hidden="1" customHeight="1">
      <c r="A507" s="54" t="s">
        <v>741</v>
      </c>
      <c r="B507" s="56" t="s">
        <v>742</v>
      </c>
      <c r="C507" s="56" t="s">
        <v>405</v>
      </c>
      <c r="D507" s="56" t="s">
        <v>743</v>
      </c>
      <c r="E507" s="56" t="s">
        <v>409</v>
      </c>
      <c r="F507" s="57" t="s">
        <v>154</v>
      </c>
      <c r="G507" s="61"/>
      <c r="H507" s="61"/>
      <c r="I507" s="62"/>
      <c r="J507" s="53"/>
    </row>
    <row r="508" ht="24.75" hidden="1" customHeight="1">
      <c r="A508" s="54" t="s">
        <v>741</v>
      </c>
      <c r="B508" s="56" t="s">
        <v>744</v>
      </c>
      <c r="C508" s="56" t="s">
        <v>745</v>
      </c>
      <c r="D508" s="56" t="s">
        <v>746</v>
      </c>
      <c r="E508" s="56" t="s">
        <v>747</v>
      </c>
      <c r="F508" s="57" t="s">
        <v>34</v>
      </c>
      <c r="G508" s="61"/>
      <c r="H508" s="61"/>
      <c r="I508" s="62"/>
      <c r="J508" s="53"/>
    </row>
    <row r="509" ht="24.75" hidden="1" customHeight="1">
      <c r="A509" s="54" t="s">
        <v>741</v>
      </c>
      <c r="B509" s="56" t="s">
        <v>744</v>
      </c>
      <c r="C509" s="56" t="s">
        <v>745</v>
      </c>
      <c r="D509" s="56" t="s">
        <v>746</v>
      </c>
      <c r="E509" s="56" t="s">
        <v>748</v>
      </c>
      <c r="F509" s="57" t="s">
        <v>154</v>
      </c>
      <c r="G509" s="61"/>
      <c r="H509" s="61"/>
      <c r="I509" s="62"/>
      <c r="J509" s="53"/>
    </row>
    <row r="510" ht="24.75" hidden="1" customHeight="1">
      <c r="A510" s="54" t="s">
        <v>741</v>
      </c>
      <c r="B510" s="56" t="s">
        <v>749</v>
      </c>
      <c r="C510" s="56" t="s">
        <v>745</v>
      </c>
      <c r="D510" s="56" t="s">
        <v>750</v>
      </c>
      <c r="E510" s="56" t="s">
        <v>747</v>
      </c>
      <c r="F510" s="57" t="s">
        <v>34</v>
      </c>
      <c r="G510" s="61"/>
      <c r="H510" s="61"/>
      <c r="I510" s="62" t="s">
        <v>617</v>
      </c>
      <c r="J510" s="53"/>
    </row>
    <row r="511" ht="24.75" hidden="1" customHeight="1">
      <c r="A511" s="54" t="s">
        <v>741</v>
      </c>
      <c r="B511" s="56" t="s">
        <v>749</v>
      </c>
      <c r="C511" s="56" t="s">
        <v>745</v>
      </c>
      <c r="D511" s="56" t="s">
        <v>750</v>
      </c>
      <c r="E511" s="56" t="s">
        <v>748</v>
      </c>
      <c r="F511" s="57" t="s">
        <v>154</v>
      </c>
      <c r="G511" s="61"/>
      <c r="H511" s="61"/>
      <c r="I511" s="62" t="s">
        <v>617</v>
      </c>
      <c r="J511" s="53"/>
    </row>
    <row r="512" ht="24.75" hidden="1" customHeight="1">
      <c r="A512" s="54" t="s">
        <v>741</v>
      </c>
      <c r="B512" s="56" t="s">
        <v>751</v>
      </c>
      <c r="C512" s="56" t="s">
        <v>610</v>
      </c>
      <c r="D512" s="56" t="s">
        <v>752</v>
      </c>
      <c r="E512" s="56" t="s">
        <v>753</v>
      </c>
      <c r="F512" s="57" t="s">
        <v>154</v>
      </c>
      <c r="G512" s="61"/>
      <c r="H512" s="61"/>
      <c r="I512" s="62" t="s">
        <v>617</v>
      </c>
      <c r="J512" s="53"/>
    </row>
    <row r="513" ht="24.75" hidden="1" customHeight="1">
      <c r="A513" s="54" t="s">
        <v>741</v>
      </c>
      <c r="B513" s="56" t="s">
        <v>751</v>
      </c>
      <c r="C513" s="56" t="s">
        <v>610</v>
      </c>
      <c r="D513" s="56" t="s">
        <v>752</v>
      </c>
      <c r="E513" s="56" t="s">
        <v>754</v>
      </c>
      <c r="F513" s="57" t="s">
        <v>154</v>
      </c>
      <c r="G513" s="61"/>
      <c r="H513" s="61"/>
      <c r="I513" s="62" t="s">
        <v>617</v>
      </c>
      <c r="J513" s="53"/>
    </row>
    <row r="514" ht="24.75" hidden="1" customHeight="1">
      <c r="A514" s="54" t="s">
        <v>741</v>
      </c>
      <c r="B514" s="56" t="s">
        <v>751</v>
      </c>
      <c r="C514" s="56" t="s">
        <v>610</v>
      </c>
      <c r="D514" s="56" t="s">
        <v>752</v>
      </c>
      <c r="E514" s="56" t="s">
        <v>755</v>
      </c>
      <c r="F514" s="57" t="s">
        <v>154</v>
      </c>
      <c r="G514" s="61"/>
      <c r="H514" s="61"/>
      <c r="I514" s="62" t="s">
        <v>617</v>
      </c>
      <c r="J514" s="53"/>
    </row>
    <row r="515" ht="24.75" hidden="1" customHeight="1">
      <c r="A515" s="54" t="s">
        <v>741</v>
      </c>
      <c r="B515" s="56" t="s">
        <v>756</v>
      </c>
      <c r="C515" s="56" t="s">
        <v>624</v>
      </c>
      <c r="D515" s="56" t="s">
        <v>752</v>
      </c>
      <c r="E515" s="56" t="s">
        <v>753</v>
      </c>
      <c r="F515" s="57" t="s">
        <v>154</v>
      </c>
      <c r="G515" s="61"/>
      <c r="H515" s="61"/>
      <c r="I515" s="62" t="s">
        <v>617</v>
      </c>
      <c r="J515" s="53"/>
    </row>
    <row r="516" ht="24.75" hidden="1" customHeight="1">
      <c r="A516" s="54" t="s">
        <v>741</v>
      </c>
      <c r="B516" s="56" t="s">
        <v>756</v>
      </c>
      <c r="C516" s="56" t="s">
        <v>624</v>
      </c>
      <c r="D516" s="56" t="s">
        <v>752</v>
      </c>
      <c r="E516" s="56" t="s">
        <v>754</v>
      </c>
      <c r="F516" s="57" t="s">
        <v>154</v>
      </c>
      <c r="G516" s="61"/>
      <c r="H516" s="61"/>
      <c r="I516" s="62" t="s">
        <v>617</v>
      </c>
      <c r="J516" s="53"/>
    </row>
    <row r="517" ht="24.75" hidden="1" customHeight="1">
      <c r="A517" s="54" t="s">
        <v>741</v>
      </c>
      <c r="B517" s="56" t="s">
        <v>756</v>
      </c>
      <c r="C517" s="56" t="s">
        <v>624</v>
      </c>
      <c r="D517" s="56" t="s">
        <v>752</v>
      </c>
      <c r="E517" s="56" t="s">
        <v>755</v>
      </c>
      <c r="F517" s="57" t="s">
        <v>154</v>
      </c>
      <c r="G517" s="61"/>
      <c r="H517" s="61"/>
      <c r="I517" s="62" t="s">
        <v>617</v>
      </c>
      <c r="J517" s="53"/>
    </row>
    <row r="518" ht="24.75" hidden="1" customHeight="1">
      <c r="A518" s="54" t="s">
        <v>741</v>
      </c>
      <c r="B518" s="56" t="s">
        <v>757</v>
      </c>
      <c r="C518" s="56" t="s">
        <v>627</v>
      </c>
      <c r="D518" s="56" t="s">
        <v>752</v>
      </c>
      <c r="E518" s="56" t="s">
        <v>753</v>
      </c>
      <c r="F518" s="57" t="s">
        <v>250</v>
      </c>
      <c r="G518" s="61"/>
      <c r="H518" s="61"/>
      <c r="I518" s="60" t="s">
        <v>88</v>
      </c>
      <c r="J518" s="53"/>
    </row>
    <row r="519" ht="24.75" hidden="1" customHeight="1">
      <c r="A519" s="54" t="s">
        <v>741</v>
      </c>
      <c r="B519" s="56" t="s">
        <v>757</v>
      </c>
      <c r="C519" s="56" t="s">
        <v>627</v>
      </c>
      <c r="D519" s="56" t="s">
        <v>752</v>
      </c>
      <c r="E519" s="56" t="s">
        <v>754</v>
      </c>
      <c r="F519" s="57" t="s">
        <v>250</v>
      </c>
      <c r="G519" s="61"/>
      <c r="H519" s="61"/>
      <c r="I519" s="60" t="s">
        <v>88</v>
      </c>
      <c r="J519" s="53"/>
    </row>
    <row r="520" ht="24.75" hidden="1" customHeight="1">
      <c r="A520" s="54" t="s">
        <v>741</v>
      </c>
      <c r="B520" s="56" t="s">
        <v>757</v>
      </c>
      <c r="C520" s="56" t="s">
        <v>627</v>
      </c>
      <c r="D520" s="56" t="s">
        <v>752</v>
      </c>
      <c r="E520" s="56" t="s">
        <v>755</v>
      </c>
      <c r="F520" s="57" t="s">
        <v>250</v>
      </c>
      <c r="G520" s="61"/>
      <c r="H520" s="61"/>
      <c r="I520" s="60" t="s">
        <v>88</v>
      </c>
      <c r="J520" s="53"/>
    </row>
    <row r="521" ht="24.75" hidden="1" customHeight="1">
      <c r="A521" s="54" t="s">
        <v>741</v>
      </c>
      <c r="B521" s="56" t="s">
        <v>758</v>
      </c>
      <c r="C521" s="56" t="s">
        <v>640</v>
      </c>
      <c r="D521" s="56" t="s">
        <v>752</v>
      </c>
      <c r="E521" s="56" t="s">
        <v>753</v>
      </c>
      <c r="F521" s="57" t="s">
        <v>250</v>
      </c>
      <c r="G521" s="61"/>
      <c r="H521" s="61"/>
      <c r="I521" s="60" t="s">
        <v>88</v>
      </c>
      <c r="J521" s="53"/>
    </row>
    <row r="522" ht="24.75" hidden="1" customHeight="1">
      <c r="A522" s="54" t="s">
        <v>741</v>
      </c>
      <c r="B522" s="56" t="s">
        <v>758</v>
      </c>
      <c r="C522" s="56" t="s">
        <v>640</v>
      </c>
      <c r="D522" s="56" t="s">
        <v>752</v>
      </c>
      <c r="E522" s="56" t="s">
        <v>754</v>
      </c>
      <c r="F522" s="57" t="s">
        <v>250</v>
      </c>
      <c r="G522" s="61"/>
      <c r="H522" s="61"/>
      <c r="I522" s="60" t="s">
        <v>88</v>
      </c>
      <c r="J522" s="53"/>
    </row>
    <row r="523" ht="24.75" hidden="1" customHeight="1">
      <c r="A523" s="54" t="s">
        <v>741</v>
      </c>
      <c r="B523" s="56" t="s">
        <v>758</v>
      </c>
      <c r="C523" s="56" t="s">
        <v>640</v>
      </c>
      <c r="D523" s="56" t="s">
        <v>752</v>
      </c>
      <c r="E523" s="56" t="s">
        <v>755</v>
      </c>
      <c r="F523" s="57" t="s">
        <v>250</v>
      </c>
      <c r="G523" s="61"/>
      <c r="H523" s="61"/>
      <c r="I523" s="60" t="s">
        <v>88</v>
      </c>
      <c r="J523" s="53"/>
    </row>
    <row r="524" ht="24.75" hidden="1" customHeight="1">
      <c r="A524" s="54" t="s">
        <v>741</v>
      </c>
      <c r="B524" s="56" t="s">
        <v>759</v>
      </c>
      <c r="C524" s="56" t="s">
        <v>645</v>
      </c>
      <c r="D524" s="56" t="s">
        <v>752</v>
      </c>
      <c r="E524" s="56" t="s">
        <v>753</v>
      </c>
      <c r="F524" s="57" t="s">
        <v>250</v>
      </c>
      <c r="G524" s="61"/>
      <c r="H524" s="61"/>
      <c r="I524" s="60" t="s">
        <v>88</v>
      </c>
      <c r="J524" s="53"/>
    </row>
    <row r="525" ht="24.75" hidden="1" customHeight="1">
      <c r="A525" s="54" t="s">
        <v>741</v>
      </c>
      <c r="B525" s="56" t="s">
        <v>759</v>
      </c>
      <c r="C525" s="56" t="s">
        <v>645</v>
      </c>
      <c r="D525" s="56" t="s">
        <v>752</v>
      </c>
      <c r="E525" s="56" t="s">
        <v>754</v>
      </c>
      <c r="F525" s="57" t="s">
        <v>250</v>
      </c>
      <c r="G525" s="61"/>
      <c r="H525" s="61"/>
      <c r="I525" s="60" t="s">
        <v>88</v>
      </c>
      <c r="J525" s="53"/>
    </row>
    <row r="526" ht="24.75" hidden="1" customHeight="1">
      <c r="A526" s="54" t="s">
        <v>741</v>
      </c>
      <c r="B526" s="56" t="s">
        <v>759</v>
      </c>
      <c r="C526" s="56" t="s">
        <v>645</v>
      </c>
      <c r="D526" s="56" t="s">
        <v>752</v>
      </c>
      <c r="E526" s="56" t="s">
        <v>755</v>
      </c>
      <c r="F526" s="57" t="s">
        <v>250</v>
      </c>
      <c r="G526" s="61"/>
      <c r="H526" s="61"/>
      <c r="I526" s="60" t="s">
        <v>88</v>
      </c>
      <c r="J526" s="53"/>
    </row>
    <row r="527" ht="24.75" hidden="1" customHeight="1">
      <c r="A527" s="54" t="s">
        <v>741</v>
      </c>
      <c r="B527" s="56" t="s">
        <v>760</v>
      </c>
      <c r="C527" s="56" t="s">
        <v>606</v>
      </c>
      <c r="D527" s="56" t="s">
        <v>752</v>
      </c>
      <c r="E527" s="56" t="s">
        <v>753</v>
      </c>
      <c r="F527" s="57" t="s">
        <v>250</v>
      </c>
      <c r="G527" s="61"/>
      <c r="H527" s="61"/>
      <c r="I527" s="60" t="s">
        <v>88</v>
      </c>
      <c r="J527" s="53"/>
    </row>
    <row r="528" ht="24.75" hidden="1" customHeight="1">
      <c r="A528" s="54" t="s">
        <v>741</v>
      </c>
      <c r="B528" s="56" t="s">
        <v>760</v>
      </c>
      <c r="C528" s="56" t="s">
        <v>606</v>
      </c>
      <c r="D528" s="56" t="s">
        <v>752</v>
      </c>
      <c r="E528" s="56" t="s">
        <v>754</v>
      </c>
      <c r="F528" s="57" t="s">
        <v>250</v>
      </c>
      <c r="G528" s="61"/>
      <c r="H528" s="61"/>
      <c r="I528" s="60" t="s">
        <v>88</v>
      </c>
      <c r="J528" s="53"/>
    </row>
    <row r="529" ht="24.75" hidden="1" customHeight="1">
      <c r="A529" s="54" t="s">
        <v>741</v>
      </c>
      <c r="B529" s="56" t="s">
        <v>760</v>
      </c>
      <c r="C529" s="56" t="s">
        <v>606</v>
      </c>
      <c r="D529" s="56" t="s">
        <v>752</v>
      </c>
      <c r="E529" s="56" t="s">
        <v>755</v>
      </c>
      <c r="F529" s="57" t="s">
        <v>250</v>
      </c>
      <c r="G529" s="61"/>
      <c r="H529" s="61"/>
      <c r="I529" s="60" t="s">
        <v>88</v>
      </c>
      <c r="J529" s="53"/>
    </row>
    <row r="530" ht="24.75" hidden="1" customHeight="1">
      <c r="A530" s="54" t="s">
        <v>761</v>
      </c>
      <c r="B530" s="56" t="s">
        <v>762</v>
      </c>
      <c r="C530" s="56" t="s">
        <v>763</v>
      </c>
      <c r="D530" s="56" t="s">
        <v>764</v>
      </c>
      <c r="E530" s="56" t="s">
        <v>195</v>
      </c>
      <c r="F530" s="57" t="s">
        <v>34</v>
      </c>
      <c r="G530" s="61"/>
      <c r="H530" s="61" t="s">
        <v>197</v>
      </c>
      <c r="I530" s="62"/>
      <c r="J530" s="53"/>
    </row>
    <row r="531" ht="24.75" hidden="1" customHeight="1">
      <c r="A531" s="54" t="s">
        <v>761</v>
      </c>
      <c r="B531" s="56" t="s">
        <v>762</v>
      </c>
      <c r="C531" s="56" t="s">
        <v>763</v>
      </c>
      <c r="D531" s="56" t="s">
        <v>764</v>
      </c>
      <c r="E531" s="56" t="s">
        <v>196</v>
      </c>
      <c r="F531" s="57" t="s">
        <v>250</v>
      </c>
      <c r="G531" s="61"/>
      <c r="H531" s="61" t="s">
        <v>200</v>
      </c>
      <c r="I531" s="62" t="s">
        <v>201</v>
      </c>
      <c r="J531" s="53"/>
    </row>
    <row r="532" ht="24.75" hidden="1" customHeight="1">
      <c r="A532" s="54" t="s">
        <v>761</v>
      </c>
      <c r="B532" s="56" t="s">
        <v>762</v>
      </c>
      <c r="C532" s="56" t="s">
        <v>763</v>
      </c>
      <c r="D532" s="56" t="s">
        <v>764</v>
      </c>
      <c r="E532" s="56" t="s">
        <v>191</v>
      </c>
      <c r="F532" s="57" t="s">
        <v>192</v>
      </c>
      <c r="G532" s="61"/>
      <c r="H532" s="61"/>
      <c r="I532" s="62"/>
      <c r="J532" s="53"/>
    </row>
    <row r="533" ht="24.75" hidden="1" customHeight="1">
      <c r="A533" s="54" t="s">
        <v>761</v>
      </c>
      <c r="B533" s="56" t="s">
        <v>762</v>
      </c>
      <c r="C533" s="56" t="s">
        <v>763</v>
      </c>
      <c r="D533" s="56" t="s">
        <v>764</v>
      </c>
      <c r="E533" s="56" t="s">
        <v>194</v>
      </c>
      <c r="F533" s="57" t="s">
        <v>192</v>
      </c>
      <c r="G533" s="61"/>
      <c r="H533" s="61"/>
      <c r="I533" s="62"/>
      <c r="J533" s="53"/>
    </row>
    <row r="534" ht="24.75" hidden="1" customHeight="1">
      <c r="A534" s="54" t="s">
        <v>761</v>
      </c>
      <c r="B534" s="56" t="s">
        <v>765</v>
      </c>
      <c r="C534" s="56" t="s">
        <v>766</v>
      </c>
      <c r="D534" s="56" t="s">
        <v>767</v>
      </c>
      <c r="E534" s="56" t="s">
        <v>768</v>
      </c>
      <c r="F534" s="57" t="s">
        <v>250</v>
      </c>
      <c r="G534" s="61"/>
      <c r="H534" s="61" t="s">
        <v>769</v>
      </c>
      <c r="I534" s="62" t="s">
        <v>770</v>
      </c>
      <c r="J534" s="53"/>
    </row>
    <row r="535" ht="24.75" hidden="1" customHeight="1">
      <c r="A535" s="54" t="s">
        <v>761</v>
      </c>
      <c r="B535" s="56" t="s">
        <v>765</v>
      </c>
      <c r="C535" s="56" t="s">
        <v>766</v>
      </c>
      <c r="D535" s="56" t="s">
        <v>767</v>
      </c>
      <c r="E535" s="56" t="s">
        <v>771</v>
      </c>
      <c r="F535" s="57" t="s">
        <v>250</v>
      </c>
      <c r="G535" s="61"/>
      <c r="H535" s="61" t="s">
        <v>769</v>
      </c>
      <c r="I535" s="62" t="s">
        <v>772</v>
      </c>
      <c r="J535" s="53"/>
    </row>
    <row r="536" ht="24.75" hidden="1" customHeight="1">
      <c r="A536" s="54" t="s">
        <v>761</v>
      </c>
      <c r="B536" s="56" t="s">
        <v>765</v>
      </c>
      <c r="C536" s="56" t="s">
        <v>766</v>
      </c>
      <c r="D536" s="56" t="s">
        <v>767</v>
      </c>
      <c r="E536" s="56" t="s">
        <v>773</v>
      </c>
      <c r="F536" s="57" t="s">
        <v>154</v>
      </c>
      <c r="G536" s="61"/>
      <c r="H536" s="61"/>
      <c r="I536" s="62"/>
      <c r="J536" s="53"/>
    </row>
    <row r="537" ht="24.75" hidden="1" customHeight="1">
      <c r="A537" s="54" t="s">
        <v>761</v>
      </c>
      <c r="B537" s="56" t="s">
        <v>765</v>
      </c>
      <c r="C537" s="56" t="s">
        <v>766</v>
      </c>
      <c r="D537" s="56" t="s">
        <v>767</v>
      </c>
      <c r="E537" s="56" t="s">
        <v>774</v>
      </c>
      <c r="F537" s="57" t="s">
        <v>154</v>
      </c>
      <c r="G537" s="61"/>
      <c r="H537" s="61"/>
      <c r="I537" s="62"/>
      <c r="J537" s="53"/>
    </row>
    <row r="538" ht="24.75" hidden="1" customHeight="1">
      <c r="A538" s="54" t="s">
        <v>761</v>
      </c>
      <c r="B538" s="56" t="s">
        <v>765</v>
      </c>
      <c r="C538" s="56" t="s">
        <v>766</v>
      </c>
      <c r="D538" s="56" t="s">
        <v>767</v>
      </c>
      <c r="E538" s="56" t="s">
        <v>775</v>
      </c>
      <c r="F538" s="57" t="s">
        <v>154</v>
      </c>
      <c r="G538" s="61"/>
      <c r="H538" s="61"/>
      <c r="I538" s="62"/>
      <c r="J538" s="53"/>
    </row>
    <row r="539" ht="24.75" hidden="1" customHeight="1">
      <c r="A539" s="54" t="s">
        <v>761</v>
      </c>
      <c r="B539" s="56" t="s">
        <v>765</v>
      </c>
      <c r="C539" s="56" t="s">
        <v>766</v>
      </c>
      <c r="D539" s="56" t="s">
        <v>776</v>
      </c>
      <c r="E539" s="56" t="s">
        <v>777</v>
      </c>
      <c r="F539" s="57" t="s">
        <v>15</v>
      </c>
      <c r="G539" s="61"/>
      <c r="H539" s="61"/>
      <c r="I539" s="60"/>
      <c r="J539" s="53"/>
    </row>
    <row r="540" ht="24.75" hidden="1" customHeight="1">
      <c r="A540" s="54" t="s">
        <v>761</v>
      </c>
      <c r="B540" s="56" t="s">
        <v>765</v>
      </c>
      <c r="C540" s="56" t="s">
        <v>766</v>
      </c>
      <c r="D540" s="56" t="s">
        <v>776</v>
      </c>
      <c r="E540" s="56" t="s">
        <v>778</v>
      </c>
      <c r="F540" s="57" t="s">
        <v>15</v>
      </c>
      <c r="G540" s="61"/>
      <c r="H540" s="61"/>
      <c r="I540" s="60"/>
      <c r="J540" s="53"/>
    </row>
    <row r="541" ht="24.75" hidden="1" customHeight="1">
      <c r="A541" s="54" t="s">
        <v>761</v>
      </c>
      <c r="B541" s="56" t="s">
        <v>779</v>
      </c>
      <c r="C541" s="56" t="s">
        <v>780</v>
      </c>
      <c r="D541" s="56" t="s">
        <v>781</v>
      </c>
      <c r="E541" s="56" t="s">
        <v>232</v>
      </c>
      <c r="F541" s="57" t="s">
        <v>250</v>
      </c>
      <c r="G541" s="61"/>
      <c r="H541" s="61" t="s">
        <v>769</v>
      </c>
      <c r="I541" s="62" t="s">
        <v>782</v>
      </c>
      <c r="J541" s="83"/>
    </row>
    <row r="542" ht="24.75" hidden="1" customHeight="1">
      <c r="A542" s="54" t="s">
        <v>761</v>
      </c>
      <c r="B542" s="56" t="s">
        <v>779</v>
      </c>
      <c r="C542" s="56" t="s">
        <v>780</v>
      </c>
      <c r="D542" s="56" t="s">
        <v>781</v>
      </c>
      <c r="E542" s="56" t="s">
        <v>783</v>
      </c>
      <c r="F542" s="57" t="s">
        <v>154</v>
      </c>
      <c r="G542" s="61"/>
      <c r="H542" s="61"/>
      <c r="I542" s="62"/>
      <c r="J542" s="53"/>
    </row>
    <row r="543" ht="24.75" hidden="1" customHeight="1">
      <c r="A543" s="54" t="s">
        <v>761</v>
      </c>
      <c r="B543" s="56" t="s">
        <v>779</v>
      </c>
      <c r="C543" s="56" t="s">
        <v>780</v>
      </c>
      <c r="D543" s="56" t="s">
        <v>781</v>
      </c>
      <c r="E543" s="56" t="s">
        <v>230</v>
      </c>
      <c r="F543" s="57" t="s">
        <v>154</v>
      </c>
      <c r="G543" s="61"/>
      <c r="H543" s="61"/>
      <c r="I543" s="62"/>
      <c r="J543" s="83"/>
    </row>
    <row r="544" ht="24.75" hidden="1" customHeight="1">
      <c r="A544" s="54" t="s">
        <v>761</v>
      </c>
      <c r="B544" s="56" t="s">
        <v>784</v>
      </c>
      <c r="C544" s="56" t="s">
        <v>763</v>
      </c>
      <c r="D544" s="56" t="s">
        <v>785</v>
      </c>
      <c r="E544" s="56" t="s">
        <v>216</v>
      </c>
      <c r="F544" s="57" t="s">
        <v>34</v>
      </c>
      <c r="G544" s="61"/>
      <c r="H544" s="61"/>
      <c r="I544" s="62"/>
      <c r="J544" s="53"/>
    </row>
    <row r="545" ht="24.75" hidden="1" customHeight="1">
      <c r="A545" s="54" t="s">
        <v>761</v>
      </c>
      <c r="B545" s="56" t="s">
        <v>784</v>
      </c>
      <c r="C545" s="56" t="s">
        <v>763</v>
      </c>
      <c r="D545" s="56" t="s">
        <v>785</v>
      </c>
      <c r="E545" s="56" t="s">
        <v>786</v>
      </c>
      <c r="F545" s="57" t="s">
        <v>34</v>
      </c>
      <c r="G545" s="61"/>
      <c r="H545" s="61"/>
      <c r="I545" s="62"/>
      <c r="J545" s="53"/>
    </row>
    <row r="546" ht="24.75" hidden="1" customHeight="1">
      <c r="A546" s="54" t="s">
        <v>761</v>
      </c>
      <c r="B546" s="56" t="s">
        <v>784</v>
      </c>
      <c r="C546" s="56" t="s">
        <v>763</v>
      </c>
      <c r="D546" s="56" t="s">
        <v>787</v>
      </c>
      <c r="E546" s="56" t="s">
        <v>163</v>
      </c>
      <c r="F546" s="57" t="s">
        <v>34</v>
      </c>
      <c r="G546" s="61"/>
      <c r="H546" s="61"/>
      <c r="I546" s="62"/>
      <c r="J546" s="53"/>
    </row>
    <row r="547" ht="24.75" hidden="1" customHeight="1">
      <c r="A547" s="54" t="s">
        <v>761</v>
      </c>
      <c r="B547" s="56" t="s">
        <v>784</v>
      </c>
      <c r="C547" s="56" t="s">
        <v>763</v>
      </c>
      <c r="D547" s="56" t="s">
        <v>787</v>
      </c>
      <c r="E547" s="56" t="s">
        <v>788</v>
      </c>
      <c r="F547" s="57" t="s">
        <v>154</v>
      </c>
      <c r="G547" s="61"/>
      <c r="H547" s="61"/>
      <c r="I547" s="62"/>
      <c r="J547" s="53"/>
    </row>
    <row r="548" ht="24.75" hidden="1" customHeight="1">
      <c r="A548" s="54" t="s">
        <v>761</v>
      </c>
      <c r="B548" s="56" t="s">
        <v>784</v>
      </c>
      <c r="C548" s="56" t="s">
        <v>763</v>
      </c>
      <c r="D548" s="56" t="s">
        <v>787</v>
      </c>
      <c r="E548" s="56" t="s">
        <v>213</v>
      </c>
      <c r="F548" s="57"/>
      <c r="G548" s="50"/>
      <c r="H548" s="50"/>
      <c r="I548" s="84"/>
      <c r="J548" s="53"/>
    </row>
    <row r="549" ht="24.75" hidden="1" customHeight="1">
      <c r="A549" s="54" t="s">
        <v>761</v>
      </c>
      <c r="B549" s="56" t="s">
        <v>784</v>
      </c>
      <c r="C549" s="56" t="s">
        <v>763</v>
      </c>
      <c r="D549" s="56" t="s">
        <v>789</v>
      </c>
      <c r="E549" s="56" t="s">
        <v>790</v>
      </c>
      <c r="F549" s="57" t="s">
        <v>250</v>
      </c>
      <c r="G549" s="61"/>
      <c r="H549" s="61"/>
      <c r="I549" s="62"/>
      <c r="J549" s="53"/>
    </row>
    <row r="550" ht="24.75" hidden="1" customHeight="1">
      <c r="A550" s="54" t="s">
        <v>761</v>
      </c>
      <c r="B550" s="56" t="s">
        <v>791</v>
      </c>
      <c r="C550" s="56" t="s">
        <v>792</v>
      </c>
      <c r="D550" s="56" t="s">
        <v>793</v>
      </c>
      <c r="E550" s="56" t="s">
        <v>794</v>
      </c>
      <c r="F550" s="57" t="s">
        <v>154</v>
      </c>
      <c r="G550" s="61"/>
      <c r="H550" s="61"/>
      <c r="I550" s="62"/>
      <c r="J550" s="53"/>
    </row>
    <row r="551" ht="24.75" hidden="1" customHeight="1">
      <c r="A551" s="54" t="s">
        <v>761</v>
      </c>
      <c r="B551" s="56" t="s">
        <v>795</v>
      </c>
      <c r="C551" s="56" t="s">
        <v>792</v>
      </c>
      <c r="D551" s="56" t="s">
        <v>796</v>
      </c>
      <c r="E551" s="56" t="s">
        <v>797</v>
      </c>
      <c r="F551" s="57" t="s">
        <v>250</v>
      </c>
      <c r="G551" s="81"/>
      <c r="H551" s="61" t="s">
        <v>769</v>
      </c>
      <c r="I551" s="62" t="s">
        <v>800</v>
      </c>
      <c r="J551" s="53"/>
    </row>
    <row r="552" ht="24.75" hidden="1" customHeight="1">
      <c r="A552" s="54" t="s">
        <v>761</v>
      </c>
      <c r="B552" s="56" t="s">
        <v>798</v>
      </c>
      <c r="C552" s="56" t="s">
        <v>792</v>
      </c>
      <c r="D552" s="56" t="s">
        <v>799</v>
      </c>
      <c r="E552" s="56" t="s">
        <v>790</v>
      </c>
      <c r="F552" s="57" t="s">
        <v>250</v>
      </c>
      <c r="G552" s="61"/>
      <c r="H552" s="61" t="s">
        <v>769</v>
      </c>
      <c r="I552" s="62" t="s">
        <v>803</v>
      </c>
      <c r="J552" s="53"/>
    </row>
    <row r="553" ht="24.75" hidden="1" customHeight="1">
      <c r="A553" s="54" t="s">
        <v>761</v>
      </c>
      <c r="B553" s="56" t="s">
        <v>801</v>
      </c>
      <c r="C553" s="56" t="s">
        <v>792</v>
      </c>
      <c r="D553" s="56" t="s">
        <v>802</v>
      </c>
      <c r="E553" s="56" t="s">
        <v>790</v>
      </c>
      <c r="F553" s="57" t="s">
        <v>250</v>
      </c>
      <c r="G553" s="61"/>
      <c r="H553" s="61" t="s">
        <v>769</v>
      </c>
      <c r="I553" s="62" t="s">
        <v>806</v>
      </c>
      <c r="J553" s="53"/>
    </row>
    <row r="554" ht="24.75" hidden="1" customHeight="1">
      <c r="A554" s="54" t="s">
        <v>761</v>
      </c>
      <c r="B554" s="56" t="s">
        <v>804</v>
      </c>
      <c r="C554" s="56" t="s">
        <v>792</v>
      </c>
      <c r="D554" s="56" t="s">
        <v>805</v>
      </c>
      <c r="E554" s="56" t="s">
        <v>790</v>
      </c>
      <c r="F554" s="57" t="s">
        <v>250</v>
      </c>
      <c r="G554" s="61"/>
      <c r="H554" s="61" t="s">
        <v>769</v>
      </c>
      <c r="I554" s="62" t="s">
        <v>810</v>
      </c>
      <c r="J554" s="53"/>
    </row>
    <row r="555" ht="24.75" hidden="1" customHeight="1">
      <c r="A555" s="54" t="s">
        <v>761</v>
      </c>
      <c r="B555" s="56" t="s">
        <v>807</v>
      </c>
      <c r="C555" s="56" t="s">
        <v>792</v>
      </c>
      <c r="D555" s="56" t="s">
        <v>808</v>
      </c>
      <c r="E555" s="56" t="s">
        <v>790</v>
      </c>
      <c r="F555" s="57" t="s">
        <v>250</v>
      </c>
      <c r="G555" s="61"/>
      <c r="H555" s="61" t="s">
        <v>769</v>
      </c>
      <c r="I555" s="62" t="s">
        <v>806</v>
      </c>
      <c r="J555" s="53"/>
    </row>
    <row r="556" ht="24.75" hidden="1" customHeight="1">
      <c r="A556" s="54" t="s">
        <v>761</v>
      </c>
      <c r="B556" s="56" t="s">
        <v>807</v>
      </c>
      <c r="C556" s="56" t="s">
        <v>792</v>
      </c>
      <c r="D556" s="56" t="s">
        <v>809</v>
      </c>
      <c r="E556" s="56" t="s">
        <v>790</v>
      </c>
      <c r="F556" s="57" t="s">
        <v>250</v>
      </c>
      <c r="G556" s="61"/>
      <c r="H556" s="61" t="s">
        <v>769</v>
      </c>
      <c r="I556" s="62" t="s">
        <v>806</v>
      </c>
      <c r="J556" s="53"/>
    </row>
    <row r="557" ht="24.75" hidden="1" customHeight="1">
      <c r="A557" s="54" t="s">
        <v>761</v>
      </c>
      <c r="B557" s="56" t="s">
        <v>811</v>
      </c>
      <c r="C557" s="56" t="s">
        <v>792</v>
      </c>
      <c r="D557" s="56" t="s">
        <v>812</v>
      </c>
      <c r="E557" s="56" t="s">
        <v>790</v>
      </c>
      <c r="F557" s="57" t="s">
        <v>250</v>
      </c>
      <c r="G557" s="61"/>
      <c r="H557" s="61" t="s">
        <v>769</v>
      </c>
      <c r="I557" s="62" t="s">
        <v>806</v>
      </c>
      <c r="J557" s="53"/>
    </row>
    <row r="558" ht="24.75" hidden="1" customHeight="1">
      <c r="A558" s="54" t="s">
        <v>761</v>
      </c>
      <c r="B558" s="56" t="s">
        <v>813</v>
      </c>
      <c r="C558" s="56" t="s">
        <v>792</v>
      </c>
      <c r="D558" s="56" t="s">
        <v>814</v>
      </c>
      <c r="E558" s="56" t="s">
        <v>790</v>
      </c>
      <c r="F558" s="57" t="s">
        <v>250</v>
      </c>
      <c r="G558" s="61"/>
      <c r="H558" s="61" t="s">
        <v>769</v>
      </c>
      <c r="I558" s="62" t="s">
        <v>810</v>
      </c>
      <c r="J558" s="53"/>
    </row>
    <row r="559" ht="24.75" hidden="1" customHeight="1">
      <c r="A559" s="54" t="s">
        <v>761</v>
      </c>
      <c r="B559" s="56" t="s">
        <v>815</v>
      </c>
      <c r="C559" s="56" t="s">
        <v>792</v>
      </c>
      <c r="D559" s="56" t="s">
        <v>816</v>
      </c>
      <c r="E559" s="56" t="s">
        <v>790</v>
      </c>
      <c r="F559" s="57" t="s">
        <v>250</v>
      </c>
      <c r="G559" s="61"/>
      <c r="H559" s="61" t="s">
        <v>769</v>
      </c>
      <c r="I559" s="62" t="s">
        <v>806</v>
      </c>
      <c r="J559" s="53"/>
    </row>
    <row r="560" ht="24.75" hidden="1" customHeight="1">
      <c r="A560" s="54" t="s">
        <v>761</v>
      </c>
      <c r="B560" s="56" t="s">
        <v>815</v>
      </c>
      <c r="C560" s="104" t="s">
        <v>792</v>
      </c>
      <c r="D560" s="56" t="s">
        <v>816</v>
      </c>
      <c r="E560" s="56" t="s">
        <v>817</v>
      </c>
      <c r="F560" s="57" t="s">
        <v>250</v>
      </c>
      <c r="G560" s="61"/>
      <c r="H560" s="61" t="s">
        <v>769</v>
      </c>
      <c r="I560" s="62" t="s">
        <v>823</v>
      </c>
      <c r="J560" s="53"/>
    </row>
    <row r="561" ht="24.75" hidden="1" customHeight="1">
      <c r="A561" s="54" t="s">
        <v>761</v>
      </c>
      <c r="B561" s="56" t="s">
        <v>818</v>
      </c>
      <c r="C561" s="104" t="s">
        <v>792</v>
      </c>
      <c r="D561" s="56" t="s">
        <v>819</v>
      </c>
      <c r="E561" s="56" t="s">
        <v>790</v>
      </c>
      <c r="F561" s="57" t="s">
        <v>250</v>
      </c>
      <c r="G561" s="61"/>
      <c r="H561" s="61" t="s">
        <v>769</v>
      </c>
      <c r="I561" s="62" t="s">
        <v>806</v>
      </c>
      <c r="J561" s="53"/>
    </row>
    <row r="562" ht="24.75" hidden="1" customHeight="1">
      <c r="A562" s="54" t="s">
        <v>761</v>
      </c>
      <c r="B562" s="56" t="s">
        <v>818</v>
      </c>
      <c r="C562" s="104" t="s">
        <v>792</v>
      </c>
      <c r="D562" s="56" t="s">
        <v>820</v>
      </c>
      <c r="E562" s="56" t="s">
        <v>817</v>
      </c>
      <c r="F562" s="57" t="s">
        <v>250</v>
      </c>
      <c r="G562" s="61"/>
      <c r="H562" s="61" t="s">
        <v>769</v>
      </c>
      <c r="I562" s="62" t="s">
        <v>823</v>
      </c>
      <c r="J562" s="53"/>
    </row>
    <row r="563" ht="24.75" hidden="1" customHeight="1">
      <c r="A563" s="54" t="s">
        <v>761</v>
      </c>
      <c r="B563" s="56" t="s">
        <v>818</v>
      </c>
      <c r="C563" s="104" t="s">
        <v>792</v>
      </c>
      <c r="D563" s="56" t="s">
        <v>821</v>
      </c>
      <c r="E563" s="56" t="s">
        <v>817</v>
      </c>
      <c r="F563" s="57" t="s">
        <v>250</v>
      </c>
      <c r="G563" s="61"/>
      <c r="H563" s="61" t="s">
        <v>769</v>
      </c>
      <c r="I563" s="62" t="s">
        <v>823</v>
      </c>
      <c r="J563" s="53"/>
    </row>
    <row r="564" ht="24.75" hidden="1" customHeight="1">
      <c r="A564" s="54" t="s">
        <v>761</v>
      </c>
      <c r="B564" s="56" t="s">
        <v>818</v>
      </c>
      <c r="C564" s="104" t="s">
        <v>792</v>
      </c>
      <c r="D564" s="56" t="s">
        <v>822</v>
      </c>
      <c r="E564" s="56" t="s">
        <v>790</v>
      </c>
      <c r="F564" s="57" t="s">
        <v>250</v>
      </c>
      <c r="G564" s="61"/>
      <c r="H564" s="61" t="s">
        <v>769</v>
      </c>
      <c r="I564" s="62" t="s">
        <v>823</v>
      </c>
      <c r="J564" s="53"/>
    </row>
    <row r="565" ht="24.75" hidden="1" customHeight="1">
      <c r="A565" s="54" t="s">
        <v>761</v>
      </c>
      <c r="B565" s="56" t="s">
        <v>791</v>
      </c>
      <c r="C565" s="104" t="s">
        <v>792</v>
      </c>
      <c r="D565" s="56" t="s">
        <v>793</v>
      </c>
      <c r="E565" s="56" t="s">
        <v>824</v>
      </c>
      <c r="F565" s="57" t="s">
        <v>192</v>
      </c>
      <c r="G565" s="61"/>
      <c r="H565" s="61"/>
      <c r="I565" s="62"/>
      <c r="J565" s="53"/>
    </row>
    <row r="566" ht="24.75" hidden="1" customHeight="1">
      <c r="A566" s="54" t="s">
        <v>761</v>
      </c>
      <c r="B566" s="56" t="s">
        <v>825</v>
      </c>
      <c r="C566" s="56" t="s">
        <v>792</v>
      </c>
      <c r="D566" s="56" t="s">
        <v>826</v>
      </c>
      <c r="E566" s="56" t="s">
        <v>794</v>
      </c>
      <c r="F566" s="57" t="s">
        <v>154</v>
      </c>
      <c r="G566" s="61"/>
      <c r="H566" s="61"/>
      <c r="I566" s="62"/>
      <c r="J566" s="53"/>
    </row>
    <row r="567" ht="24.75" hidden="1" customHeight="1">
      <c r="A567" s="54" t="s">
        <v>761</v>
      </c>
      <c r="B567" s="56" t="s">
        <v>825</v>
      </c>
      <c r="C567" s="56" t="s">
        <v>792</v>
      </c>
      <c r="D567" s="56" t="s">
        <v>826</v>
      </c>
      <c r="E567" s="56" t="s">
        <v>824</v>
      </c>
      <c r="F567" s="57" t="s">
        <v>192</v>
      </c>
      <c r="G567" s="61"/>
      <c r="H567" s="61"/>
      <c r="I567" s="62"/>
      <c r="J567" s="53"/>
    </row>
    <row r="568" ht="24.75" hidden="1" customHeight="1">
      <c r="A568" s="54" t="s">
        <v>761</v>
      </c>
      <c r="B568" s="56" t="s">
        <v>827</v>
      </c>
      <c r="C568" s="56" t="s">
        <v>792</v>
      </c>
      <c r="D568" s="56" t="s">
        <v>828</v>
      </c>
      <c r="E568" s="56" t="s">
        <v>830</v>
      </c>
      <c r="F568" s="57" t="s">
        <v>154</v>
      </c>
      <c r="G568" s="61"/>
      <c r="H568" s="61"/>
      <c r="I568" s="62"/>
      <c r="J568" s="53"/>
    </row>
    <row r="569" ht="24.75" hidden="1" customHeight="1">
      <c r="A569" s="54" t="s">
        <v>831</v>
      </c>
      <c r="B569" s="56" t="s">
        <v>832</v>
      </c>
      <c r="C569" s="56" t="s">
        <v>833</v>
      </c>
      <c r="D569" s="56" t="s">
        <v>834</v>
      </c>
      <c r="E569" s="56" t="s">
        <v>111</v>
      </c>
      <c r="F569" s="57" t="s">
        <v>34</v>
      </c>
      <c r="G569" s="61"/>
      <c r="H569" s="61"/>
      <c r="I569" s="62"/>
      <c r="J569" s="53"/>
    </row>
    <row r="570" ht="24.75" hidden="1" customHeight="1">
      <c r="A570" s="54" t="s">
        <v>831</v>
      </c>
      <c r="B570" s="56" t="s">
        <v>832</v>
      </c>
      <c r="C570" s="56" t="s">
        <v>833</v>
      </c>
      <c r="D570" s="56" t="s">
        <v>834</v>
      </c>
      <c r="E570" s="56" t="s">
        <v>835</v>
      </c>
      <c r="F570" s="57" t="s">
        <v>34</v>
      </c>
      <c r="G570" s="61"/>
      <c r="H570" s="61"/>
      <c r="I570" s="62"/>
      <c r="J570" s="53"/>
    </row>
    <row r="571" ht="24.75" hidden="1" customHeight="1">
      <c r="A571" s="54" t="s">
        <v>831</v>
      </c>
      <c r="B571" s="56" t="s">
        <v>832</v>
      </c>
      <c r="C571" s="56" t="s">
        <v>833</v>
      </c>
      <c r="D571" s="56" t="s">
        <v>834</v>
      </c>
      <c r="E571" s="56" t="s">
        <v>836</v>
      </c>
      <c r="F571" s="57" t="s">
        <v>250</v>
      </c>
      <c r="G571" s="61"/>
      <c r="H571" s="61" t="s">
        <v>159</v>
      </c>
      <c r="I571" s="62" t="s">
        <v>160</v>
      </c>
      <c r="J571" s="53"/>
    </row>
    <row r="572" ht="24.75" hidden="1" customHeight="1">
      <c r="A572" s="54" t="s">
        <v>831</v>
      </c>
      <c r="B572" s="56" t="s">
        <v>837</v>
      </c>
      <c r="C572" s="56" t="s">
        <v>838</v>
      </c>
      <c r="D572" s="56" t="s">
        <v>839</v>
      </c>
      <c r="E572" s="56" t="s">
        <v>771</v>
      </c>
      <c r="F572" s="57" t="s">
        <v>250</v>
      </c>
      <c r="G572" s="61"/>
      <c r="H572" s="61" t="s">
        <v>159</v>
      </c>
      <c r="I572" s="62" t="s">
        <v>772</v>
      </c>
      <c r="J572" s="53"/>
    </row>
    <row r="573" ht="24.75" hidden="1" customHeight="1">
      <c r="A573" s="54" t="s">
        <v>831</v>
      </c>
      <c r="B573" s="56" t="s">
        <v>837</v>
      </c>
      <c r="C573" s="56" t="s">
        <v>838</v>
      </c>
      <c r="D573" s="56" t="s">
        <v>839</v>
      </c>
      <c r="E573" s="56" t="s">
        <v>768</v>
      </c>
      <c r="F573" s="57" t="s">
        <v>250</v>
      </c>
      <c r="G573" s="61"/>
      <c r="H573" s="61" t="s">
        <v>592</v>
      </c>
      <c r="I573" s="62" t="s">
        <v>770</v>
      </c>
      <c r="J573" s="53"/>
    </row>
    <row r="574" ht="24.75" hidden="1" customHeight="1">
      <c r="A574" s="54" t="s">
        <v>831</v>
      </c>
      <c r="B574" s="56" t="s">
        <v>837</v>
      </c>
      <c r="C574" s="56" t="s">
        <v>838</v>
      </c>
      <c r="D574" s="56" t="s">
        <v>839</v>
      </c>
      <c r="E574" s="56" t="s">
        <v>773</v>
      </c>
      <c r="F574" s="57" t="s">
        <v>154</v>
      </c>
      <c r="G574" s="61"/>
      <c r="H574" s="61"/>
      <c r="I574" s="62"/>
      <c r="J574" s="53"/>
    </row>
    <row r="575" ht="24.75" hidden="1" customHeight="1">
      <c r="A575" s="54" t="s">
        <v>831</v>
      </c>
      <c r="B575" s="56" t="s">
        <v>837</v>
      </c>
      <c r="C575" s="56" t="s">
        <v>838</v>
      </c>
      <c r="D575" s="56" t="s">
        <v>839</v>
      </c>
      <c r="E575" s="56" t="s">
        <v>841</v>
      </c>
      <c r="F575" s="57" t="s">
        <v>154</v>
      </c>
      <c r="G575" s="61"/>
      <c r="H575" s="61"/>
      <c r="I575" s="62"/>
      <c r="J575" s="53"/>
    </row>
    <row r="576" ht="24.75" hidden="1" customHeight="1">
      <c r="A576" s="54" t="s">
        <v>831</v>
      </c>
      <c r="B576" s="56" t="s">
        <v>837</v>
      </c>
      <c r="C576" s="56" t="s">
        <v>838</v>
      </c>
      <c r="D576" s="56" t="s">
        <v>839</v>
      </c>
      <c r="E576" s="56" t="s">
        <v>777</v>
      </c>
      <c r="F576" s="57" t="s">
        <v>15</v>
      </c>
      <c r="G576" s="61"/>
      <c r="H576" s="61"/>
      <c r="I576" s="60"/>
      <c r="J576" s="53"/>
    </row>
    <row r="577" ht="24.75" hidden="1" customHeight="1">
      <c r="A577" s="54" t="s">
        <v>831</v>
      </c>
      <c r="B577" s="56" t="s">
        <v>837</v>
      </c>
      <c r="C577" s="56" t="s">
        <v>838</v>
      </c>
      <c r="D577" s="56" t="s">
        <v>839</v>
      </c>
      <c r="E577" s="56" t="s">
        <v>778</v>
      </c>
      <c r="F577" s="57" t="s">
        <v>15</v>
      </c>
      <c r="G577" s="61"/>
      <c r="H577" s="61"/>
      <c r="I577" s="60"/>
      <c r="J577" s="53"/>
    </row>
    <row r="578" ht="24.75" hidden="1" customHeight="1">
      <c r="A578" s="54" t="s">
        <v>831</v>
      </c>
      <c r="B578" s="56" t="s">
        <v>842</v>
      </c>
      <c r="C578" s="56" t="s">
        <v>838</v>
      </c>
      <c r="D578" s="56" t="s">
        <v>843</v>
      </c>
      <c r="E578" s="56" t="s">
        <v>111</v>
      </c>
      <c r="F578" s="57" t="s">
        <v>154</v>
      </c>
      <c r="G578" s="61"/>
      <c r="H578" s="61"/>
      <c r="I578" s="62"/>
      <c r="J578" s="53"/>
    </row>
    <row r="579" ht="24.75" hidden="1" customHeight="1">
      <c r="A579" s="54" t="s">
        <v>831</v>
      </c>
      <c r="B579" s="56" t="s">
        <v>842</v>
      </c>
      <c r="C579" s="56" t="s">
        <v>838</v>
      </c>
      <c r="D579" s="56" t="s">
        <v>843</v>
      </c>
      <c r="E579" s="56" t="s">
        <v>844</v>
      </c>
      <c r="F579" s="57" t="s">
        <v>154</v>
      </c>
      <c r="G579" s="61"/>
      <c r="H579" s="61"/>
      <c r="I579" s="62"/>
      <c r="J579" s="53"/>
    </row>
    <row r="580" ht="24.75" hidden="1" customHeight="1">
      <c r="A580" s="54" t="s">
        <v>831</v>
      </c>
      <c r="B580" s="56" t="s">
        <v>842</v>
      </c>
      <c r="C580" s="56" t="s">
        <v>838</v>
      </c>
      <c r="D580" s="56" t="s">
        <v>843</v>
      </c>
      <c r="E580" s="56" t="s">
        <v>797</v>
      </c>
      <c r="F580" s="57" t="s">
        <v>250</v>
      </c>
      <c r="G580" s="61"/>
      <c r="H580" s="61" t="s">
        <v>592</v>
      </c>
      <c r="I580" s="62" t="s">
        <v>855</v>
      </c>
      <c r="J580" s="53"/>
    </row>
    <row r="581" ht="24.75" hidden="1" customHeight="1">
      <c r="A581" s="54" t="s">
        <v>831</v>
      </c>
      <c r="B581" s="56" t="s">
        <v>845</v>
      </c>
      <c r="C581" s="56" t="s">
        <v>838</v>
      </c>
      <c r="D581" s="56" t="s">
        <v>846</v>
      </c>
      <c r="E581" s="56" t="s">
        <v>771</v>
      </c>
      <c r="F581" s="57" t="s">
        <v>250</v>
      </c>
      <c r="G581" s="61"/>
      <c r="H581" s="61" t="s">
        <v>159</v>
      </c>
      <c r="I581" s="62" t="s">
        <v>772</v>
      </c>
      <c r="J581" s="53"/>
    </row>
    <row r="582" ht="24.75" hidden="1" customHeight="1">
      <c r="A582" s="54" t="s">
        <v>831</v>
      </c>
      <c r="B582" s="56" t="s">
        <v>845</v>
      </c>
      <c r="C582" s="56" t="s">
        <v>838</v>
      </c>
      <c r="D582" s="56" t="s">
        <v>846</v>
      </c>
      <c r="E582" s="56" t="s">
        <v>768</v>
      </c>
      <c r="F582" s="57" t="s">
        <v>250</v>
      </c>
      <c r="G582" s="61"/>
      <c r="H582" s="61" t="s">
        <v>592</v>
      </c>
      <c r="I582" s="62" t="s">
        <v>770</v>
      </c>
      <c r="J582" s="53"/>
    </row>
    <row r="583" ht="24.75" hidden="1" customHeight="1">
      <c r="A583" s="54" t="s">
        <v>831</v>
      </c>
      <c r="B583" s="56" t="s">
        <v>845</v>
      </c>
      <c r="C583" s="56" t="s">
        <v>838</v>
      </c>
      <c r="D583" s="56" t="s">
        <v>846</v>
      </c>
      <c r="E583" s="56" t="s">
        <v>773</v>
      </c>
      <c r="F583" s="57" t="s">
        <v>154</v>
      </c>
      <c r="G583" s="61"/>
      <c r="H583" s="61"/>
      <c r="I583" s="62"/>
      <c r="J583" s="53"/>
    </row>
    <row r="584" ht="24.75" hidden="1" customHeight="1">
      <c r="A584" s="54" t="s">
        <v>831</v>
      </c>
      <c r="B584" s="56" t="s">
        <v>845</v>
      </c>
      <c r="C584" s="56" t="s">
        <v>838</v>
      </c>
      <c r="D584" s="56" t="s">
        <v>846</v>
      </c>
      <c r="E584" s="56" t="s">
        <v>841</v>
      </c>
      <c r="F584" s="57" t="s">
        <v>154</v>
      </c>
      <c r="G584" s="61"/>
      <c r="H584" s="61"/>
      <c r="I584" s="62"/>
      <c r="J584" s="53"/>
    </row>
    <row r="585" ht="24.75" hidden="1" customHeight="1">
      <c r="A585" s="54" t="s">
        <v>831</v>
      </c>
      <c r="B585" s="56" t="s">
        <v>845</v>
      </c>
      <c r="C585" s="56" t="s">
        <v>838</v>
      </c>
      <c r="D585" s="56" t="s">
        <v>846</v>
      </c>
      <c r="E585" s="56" t="s">
        <v>777</v>
      </c>
      <c r="F585" s="57" t="s">
        <v>15</v>
      </c>
      <c r="G585" s="61"/>
      <c r="H585" s="61"/>
      <c r="I585" s="60"/>
      <c r="J585" s="53"/>
    </row>
    <row r="586" ht="24.75" hidden="1" customHeight="1">
      <c r="A586" s="54" t="s">
        <v>831</v>
      </c>
      <c r="B586" s="56" t="s">
        <v>845</v>
      </c>
      <c r="C586" s="56" t="s">
        <v>838</v>
      </c>
      <c r="D586" s="56" t="s">
        <v>846</v>
      </c>
      <c r="E586" s="56" t="s">
        <v>778</v>
      </c>
      <c r="F586" s="57" t="s">
        <v>15</v>
      </c>
      <c r="G586" s="61"/>
      <c r="H586" s="61"/>
      <c r="I586" s="60"/>
      <c r="J586" s="53"/>
    </row>
    <row r="587" ht="24.75" hidden="1" customHeight="1">
      <c r="A587" s="54" t="s">
        <v>831</v>
      </c>
      <c r="B587" s="56" t="s">
        <v>847</v>
      </c>
      <c r="C587" s="56" t="s">
        <v>838</v>
      </c>
      <c r="D587" s="56" t="s">
        <v>848</v>
      </c>
      <c r="E587" s="56" t="s">
        <v>111</v>
      </c>
      <c r="F587" s="57" t="s">
        <v>154</v>
      </c>
      <c r="G587" s="61"/>
      <c r="H587" s="61"/>
      <c r="I587" s="62"/>
      <c r="J587" s="53"/>
    </row>
    <row r="588" ht="24.75" hidden="1" customHeight="1">
      <c r="A588" s="54" t="s">
        <v>831</v>
      </c>
      <c r="B588" s="56" t="s">
        <v>847</v>
      </c>
      <c r="C588" s="56" t="s">
        <v>838</v>
      </c>
      <c r="D588" s="56" t="s">
        <v>848</v>
      </c>
      <c r="E588" s="56" t="s">
        <v>844</v>
      </c>
      <c r="F588" s="57" t="s">
        <v>154</v>
      </c>
      <c r="G588" s="61"/>
      <c r="H588" s="61"/>
      <c r="I588" s="62"/>
      <c r="J588" s="53"/>
    </row>
    <row r="589" ht="24.75" hidden="1" customHeight="1">
      <c r="A589" s="54" t="s">
        <v>831</v>
      </c>
      <c r="B589" s="56" t="s">
        <v>847</v>
      </c>
      <c r="C589" s="56" t="s">
        <v>838</v>
      </c>
      <c r="D589" s="56" t="s">
        <v>848</v>
      </c>
      <c r="E589" s="56" t="s">
        <v>797</v>
      </c>
      <c r="F589" s="57" t="s">
        <v>250</v>
      </c>
      <c r="G589" s="61"/>
      <c r="H589" s="61" t="s">
        <v>592</v>
      </c>
      <c r="I589" s="62" t="s">
        <v>855</v>
      </c>
      <c r="J589" s="53"/>
    </row>
    <row r="590" ht="24.75" hidden="1" customHeight="1">
      <c r="A590" s="54" t="s">
        <v>831</v>
      </c>
      <c r="B590" s="56" t="s">
        <v>849</v>
      </c>
      <c r="C590" s="56" t="s">
        <v>833</v>
      </c>
      <c r="D590" s="56" t="s">
        <v>850</v>
      </c>
      <c r="E590" s="56" t="s">
        <v>336</v>
      </c>
      <c r="F590" s="57" t="s">
        <v>192</v>
      </c>
      <c r="G590" s="61"/>
      <c r="H590" s="61"/>
      <c r="I590" s="62"/>
      <c r="J590" s="53"/>
    </row>
    <row r="591" ht="24.75" hidden="1" customHeight="1">
      <c r="A591" s="54" t="s">
        <v>831</v>
      </c>
      <c r="B591" s="56" t="s">
        <v>851</v>
      </c>
      <c r="C591" s="56" t="s">
        <v>852</v>
      </c>
      <c r="D591" s="56" t="s">
        <v>853</v>
      </c>
      <c r="E591" s="56" t="s">
        <v>854</v>
      </c>
      <c r="F591" s="57" t="s">
        <v>250</v>
      </c>
      <c r="G591" s="61"/>
      <c r="H591" s="61" t="s">
        <v>592</v>
      </c>
      <c r="I591" s="62" t="s">
        <v>864</v>
      </c>
      <c r="J591" s="53"/>
    </row>
    <row r="592" ht="24.75" hidden="1" customHeight="1">
      <c r="A592" s="54" t="s">
        <v>831</v>
      </c>
      <c r="B592" s="56" t="s">
        <v>851</v>
      </c>
      <c r="C592" s="56" t="s">
        <v>852</v>
      </c>
      <c r="D592" s="56" t="s">
        <v>853</v>
      </c>
      <c r="E592" s="56" t="s">
        <v>824</v>
      </c>
      <c r="F592" s="57" t="s">
        <v>154</v>
      </c>
      <c r="G592" s="61"/>
      <c r="H592" s="61"/>
      <c r="I592" s="62"/>
      <c r="J592" s="53"/>
    </row>
    <row r="593" ht="24.75" hidden="1" customHeight="1">
      <c r="A593" s="54" t="s">
        <v>831</v>
      </c>
      <c r="B593" s="56" t="s">
        <v>851</v>
      </c>
      <c r="C593" s="56" t="s">
        <v>852</v>
      </c>
      <c r="D593" s="56" t="s">
        <v>853</v>
      </c>
      <c r="E593" s="56" t="s">
        <v>111</v>
      </c>
      <c r="F593" s="57" t="s">
        <v>192</v>
      </c>
      <c r="G593" s="61"/>
      <c r="H593" s="61"/>
      <c r="I593" s="62"/>
      <c r="J593" s="53"/>
    </row>
    <row r="594" ht="24.75" hidden="1" customHeight="1">
      <c r="A594" s="54" t="s">
        <v>831</v>
      </c>
      <c r="B594" s="56" t="s">
        <v>851</v>
      </c>
      <c r="C594" s="56" t="s">
        <v>852</v>
      </c>
      <c r="D594" s="56" t="s">
        <v>853</v>
      </c>
      <c r="E594" s="56" t="s">
        <v>856</v>
      </c>
      <c r="F594" s="57" t="s">
        <v>192</v>
      </c>
      <c r="G594" s="61"/>
      <c r="H594" s="61"/>
      <c r="I594" s="62"/>
      <c r="J594" s="53"/>
    </row>
    <row r="595" ht="24.75" hidden="1" customHeight="1">
      <c r="A595" s="54" t="s">
        <v>831</v>
      </c>
      <c r="B595" s="56" t="s">
        <v>851</v>
      </c>
      <c r="C595" s="56" t="s">
        <v>852</v>
      </c>
      <c r="D595" s="56" t="s">
        <v>853</v>
      </c>
      <c r="E595" s="56" t="s">
        <v>857</v>
      </c>
      <c r="F595" s="57" t="s">
        <v>192</v>
      </c>
      <c r="G595" s="61"/>
      <c r="H595" s="61"/>
      <c r="I595" s="62"/>
      <c r="J595" s="53"/>
    </row>
    <row r="596" ht="24.75" hidden="1" customHeight="1">
      <c r="A596" s="54" t="s">
        <v>831</v>
      </c>
      <c r="B596" s="56" t="s">
        <v>858</v>
      </c>
      <c r="C596" s="56" t="s">
        <v>838</v>
      </c>
      <c r="D596" s="56" t="s">
        <v>859</v>
      </c>
      <c r="E596" s="56" t="s">
        <v>111</v>
      </c>
      <c r="F596" s="57" t="s">
        <v>154</v>
      </c>
      <c r="G596" s="61"/>
      <c r="H596" s="61"/>
      <c r="I596" s="62"/>
      <c r="J596" s="53"/>
    </row>
    <row r="597" ht="24.75" hidden="1" customHeight="1">
      <c r="A597" s="54" t="s">
        <v>831</v>
      </c>
      <c r="B597" s="56" t="s">
        <v>858</v>
      </c>
      <c r="C597" s="56" t="s">
        <v>838</v>
      </c>
      <c r="D597" s="56" t="s">
        <v>859</v>
      </c>
      <c r="E597" s="56" t="s">
        <v>824</v>
      </c>
      <c r="F597" s="57" t="s">
        <v>154</v>
      </c>
      <c r="G597" s="61"/>
      <c r="H597" s="61"/>
      <c r="I597" s="62"/>
      <c r="J597" s="53"/>
    </row>
    <row r="598" ht="24.75" hidden="1" customHeight="1">
      <c r="A598" s="54" t="s">
        <v>831</v>
      </c>
      <c r="B598" s="56" t="s">
        <v>858</v>
      </c>
      <c r="C598" s="56" t="s">
        <v>838</v>
      </c>
      <c r="D598" s="56" t="s">
        <v>859</v>
      </c>
      <c r="E598" s="56" t="s">
        <v>797</v>
      </c>
      <c r="F598" s="57" t="s">
        <v>250</v>
      </c>
      <c r="G598" s="61"/>
      <c r="H598" s="61" t="s">
        <v>592</v>
      </c>
      <c r="I598" s="62" t="s">
        <v>872</v>
      </c>
      <c r="J598" s="53"/>
    </row>
    <row r="599" ht="24.75" hidden="1" customHeight="1">
      <c r="A599" s="54" t="s">
        <v>831</v>
      </c>
      <c r="B599" s="56" t="s">
        <v>860</v>
      </c>
      <c r="C599" s="56" t="s">
        <v>852</v>
      </c>
      <c r="D599" s="56" t="s">
        <v>861</v>
      </c>
      <c r="E599" s="56" t="s">
        <v>854</v>
      </c>
      <c r="F599" s="57" t="s">
        <v>250</v>
      </c>
      <c r="G599" s="61"/>
      <c r="H599" s="61" t="s">
        <v>592</v>
      </c>
      <c r="I599" s="62" t="s">
        <v>864</v>
      </c>
      <c r="J599" s="53"/>
    </row>
    <row r="600" ht="24.75" hidden="1" customHeight="1">
      <c r="A600" s="54" t="s">
        <v>831</v>
      </c>
      <c r="B600" s="56" t="s">
        <v>860</v>
      </c>
      <c r="C600" s="56" t="s">
        <v>852</v>
      </c>
      <c r="D600" s="56" t="s">
        <v>861</v>
      </c>
      <c r="E600" s="56" t="s">
        <v>824</v>
      </c>
      <c r="F600" s="57" t="s">
        <v>154</v>
      </c>
      <c r="G600" s="61"/>
      <c r="H600" s="61"/>
      <c r="I600" s="62"/>
      <c r="J600" s="53"/>
    </row>
    <row r="601" ht="24.75" hidden="1" customHeight="1">
      <c r="A601" s="54" t="s">
        <v>831</v>
      </c>
      <c r="B601" s="56" t="s">
        <v>860</v>
      </c>
      <c r="C601" s="56" t="s">
        <v>852</v>
      </c>
      <c r="D601" s="56" t="s">
        <v>861</v>
      </c>
      <c r="E601" s="56" t="s">
        <v>856</v>
      </c>
      <c r="F601" s="57" t="s">
        <v>154</v>
      </c>
      <c r="G601" s="61"/>
      <c r="H601" s="61"/>
      <c r="I601" s="62"/>
      <c r="J601" s="53"/>
    </row>
    <row r="602" ht="24.75" hidden="1" customHeight="1">
      <c r="A602" s="54" t="s">
        <v>831</v>
      </c>
      <c r="B602" s="56" t="s">
        <v>860</v>
      </c>
      <c r="C602" s="56" t="s">
        <v>852</v>
      </c>
      <c r="D602" s="56" t="s">
        <v>861</v>
      </c>
      <c r="E602" s="56" t="s">
        <v>111</v>
      </c>
      <c r="F602" s="57" t="s">
        <v>192</v>
      </c>
      <c r="G602" s="61"/>
      <c r="H602" s="61"/>
      <c r="I602" s="62"/>
      <c r="J602" s="53"/>
    </row>
    <row r="603" ht="24.75" hidden="1" customHeight="1">
      <c r="A603" s="54" t="s">
        <v>831</v>
      </c>
      <c r="B603" s="56" t="s">
        <v>860</v>
      </c>
      <c r="C603" s="56" t="s">
        <v>852</v>
      </c>
      <c r="D603" s="56" t="s">
        <v>861</v>
      </c>
      <c r="E603" s="56" t="s">
        <v>857</v>
      </c>
      <c r="F603" s="57" t="s">
        <v>192</v>
      </c>
      <c r="G603" s="61"/>
      <c r="H603" s="61"/>
      <c r="I603" s="62"/>
      <c r="J603" s="53"/>
    </row>
    <row r="604" ht="24.75" hidden="1" customHeight="1">
      <c r="A604" s="54" t="s">
        <v>831</v>
      </c>
      <c r="B604" s="56" t="s">
        <v>862</v>
      </c>
      <c r="C604" s="56" t="s">
        <v>838</v>
      </c>
      <c r="D604" s="56" t="s">
        <v>863</v>
      </c>
      <c r="E604" s="56" t="s">
        <v>111</v>
      </c>
      <c r="F604" s="57" t="s">
        <v>154</v>
      </c>
      <c r="G604" s="61"/>
      <c r="H604" s="61"/>
      <c r="I604" s="62"/>
      <c r="J604" s="53"/>
    </row>
    <row r="605" ht="24.75" hidden="1" customHeight="1">
      <c r="A605" s="54" t="s">
        <v>831</v>
      </c>
      <c r="B605" s="56" t="s">
        <v>862</v>
      </c>
      <c r="C605" s="56" t="s">
        <v>838</v>
      </c>
      <c r="D605" s="56" t="s">
        <v>863</v>
      </c>
      <c r="E605" s="56" t="s">
        <v>824</v>
      </c>
      <c r="F605" s="57" t="s">
        <v>154</v>
      </c>
      <c r="G605" s="61"/>
      <c r="H605" s="61"/>
      <c r="I605" s="62"/>
      <c r="J605" s="53"/>
    </row>
    <row r="606" ht="24.75" hidden="1" customHeight="1">
      <c r="A606" s="54" t="s">
        <v>831</v>
      </c>
      <c r="B606" s="56" t="s">
        <v>862</v>
      </c>
      <c r="C606" s="56" t="s">
        <v>838</v>
      </c>
      <c r="D606" s="56" t="s">
        <v>863</v>
      </c>
      <c r="E606" s="56" t="s">
        <v>797</v>
      </c>
      <c r="F606" s="57" t="s">
        <v>250</v>
      </c>
      <c r="G606" s="61"/>
      <c r="H606" s="61" t="s">
        <v>592</v>
      </c>
      <c r="I606" s="62" t="s">
        <v>872</v>
      </c>
      <c r="J606" s="53"/>
    </row>
    <row r="607" ht="24.75" hidden="1" customHeight="1">
      <c r="A607" s="54" t="s">
        <v>831</v>
      </c>
      <c r="B607" s="56" t="s">
        <v>865</v>
      </c>
      <c r="C607" s="56" t="s">
        <v>838</v>
      </c>
      <c r="D607" s="56" t="s">
        <v>866</v>
      </c>
      <c r="E607" s="56" t="s">
        <v>867</v>
      </c>
      <c r="F607" s="57" t="s">
        <v>154</v>
      </c>
      <c r="G607" s="61"/>
      <c r="H607" s="61"/>
      <c r="I607" s="62"/>
      <c r="J607" s="53"/>
    </row>
    <row r="608" ht="24.75" hidden="1" customHeight="1">
      <c r="A608" s="54" t="s">
        <v>831</v>
      </c>
      <c r="B608" s="56" t="s">
        <v>865</v>
      </c>
      <c r="C608" s="56" t="s">
        <v>838</v>
      </c>
      <c r="D608" s="56" t="s">
        <v>866</v>
      </c>
      <c r="E608" s="56" t="s">
        <v>868</v>
      </c>
      <c r="F608" s="57" t="s">
        <v>154</v>
      </c>
      <c r="G608" s="61"/>
      <c r="H608" s="61"/>
      <c r="I608" s="62"/>
      <c r="J608" s="53"/>
    </row>
    <row r="609" ht="24.75" hidden="1" customHeight="1">
      <c r="A609" s="54" t="s">
        <v>831</v>
      </c>
      <c r="B609" s="56" t="s">
        <v>869</v>
      </c>
      <c r="C609" s="56" t="s">
        <v>833</v>
      </c>
      <c r="D609" s="56" t="s">
        <v>850</v>
      </c>
      <c r="E609" s="56" t="s">
        <v>870</v>
      </c>
      <c r="F609" s="57" t="s">
        <v>154</v>
      </c>
      <c r="G609" s="61"/>
      <c r="H609" s="61"/>
      <c r="I609" s="62"/>
      <c r="J609" s="53"/>
    </row>
    <row r="610" ht="24.75" hidden="1" customHeight="1">
      <c r="A610" s="54" t="s">
        <v>831</v>
      </c>
      <c r="B610" s="56" t="s">
        <v>869</v>
      </c>
      <c r="C610" s="56" t="s">
        <v>833</v>
      </c>
      <c r="D610" s="56" t="s">
        <v>850</v>
      </c>
      <c r="E610" s="56" t="s">
        <v>871</v>
      </c>
      <c r="F610" s="57" t="s">
        <v>192</v>
      </c>
      <c r="G610" s="61"/>
      <c r="H610" s="61"/>
      <c r="I610" s="62"/>
      <c r="J610" s="53"/>
    </row>
    <row r="611" ht="15.75" hidden="1" customHeight="1">
      <c r="A611" s="54"/>
      <c r="B611" s="56"/>
      <c r="C611" s="56"/>
      <c r="D611" s="56"/>
      <c r="E611" s="56"/>
      <c r="F611" s="57"/>
      <c r="G611" s="61"/>
      <c r="H611" s="61"/>
      <c r="I611" s="62"/>
      <c r="J611" s="53"/>
    </row>
  </sheetData>
  <autoFilter ref="$A$4:$GF$611">
    <filterColumn colId="5">
      <filters>
        <filter val="JAN, FEV, MAR, ABR, MAI, JUN, JUL, AGO, SET, OUT, NOV, DEZ"/>
      </filters>
    </filterColumn>
    <sortState ref="A4:GF611">
      <sortCondition ref="A4:A611"/>
    </sortState>
  </autoFilter>
  <mergeCells count="2">
    <mergeCell ref="I1:J3"/>
    <mergeCell ref="H2:H3"/>
  </mergeCells>
  <printOptions/>
  <pageMargins bottom="0.7480314960629921" footer="0.0" header="0.0" left="0.2362204724409449" right="0.2362204724409449" top="0.35433070866141736"/>
  <pageSetup fitToHeight="0" paperSize="9" orientation="landscape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46.86"/>
    <col customWidth="1" min="6" max="6" width="12.0"/>
    <col customWidth="1" hidden="1" min="7" max="7" width="6.86"/>
    <col customWidth="1" min="8" max="8" width="26.57"/>
    <col customWidth="1" min="9" max="9" width="31.86"/>
    <col customWidth="1" min="10" max="10" width="15.71"/>
  </cols>
  <sheetData>
    <row r="1" ht="24.75" customHeight="1">
      <c r="I1" s="25" t="s">
        <v>12</v>
      </c>
    </row>
    <row r="2" ht="24.75" customHeight="1">
      <c r="A2" s="1"/>
      <c r="B2" s="2"/>
      <c r="C2" s="2"/>
      <c r="D2" s="2"/>
      <c r="E2" s="2"/>
      <c r="F2" s="3"/>
      <c r="G2" s="8"/>
      <c r="H2" s="10"/>
    </row>
    <row r="3" ht="24.75" customHeight="1">
      <c r="A3" s="8"/>
      <c r="B3" s="9"/>
      <c r="C3" s="9"/>
      <c r="D3" s="9"/>
      <c r="E3" s="9"/>
      <c r="F3" s="2"/>
      <c r="G3" s="8"/>
      <c r="H3" s="35"/>
      <c r="I3" s="35"/>
      <c r="J3" s="35"/>
    </row>
    <row r="4" ht="51.0" customHeight="1">
      <c r="A4" s="39" t="s">
        <v>17</v>
      </c>
      <c r="B4" s="39" t="s">
        <v>18</v>
      </c>
      <c r="C4" s="39" t="s">
        <v>19</v>
      </c>
      <c r="D4" s="39" t="s">
        <v>20</v>
      </c>
      <c r="E4" s="39" t="s">
        <v>21</v>
      </c>
      <c r="F4" s="39" t="s">
        <v>22</v>
      </c>
      <c r="G4" s="40" t="s">
        <v>23</v>
      </c>
      <c r="H4" s="39" t="s">
        <v>24</v>
      </c>
      <c r="I4" s="42" t="s">
        <v>26</v>
      </c>
      <c r="J4" s="39" t="s">
        <v>25</v>
      </c>
    </row>
    <row r="5" ht="24.75" hidden="1" customHeight="1">
      <c r="A5" s="44">
        <v>10.0</v>
      </c>
      <c r="B5" s="47" t="s">
        <v>27</v>
      </c>
      <c r="C5" s="47" t="s">
        <v>29</v>
      </c>
      <c r="D5" s="47" t="s">
        <v>29</v>
      </c>
      <c r="E5" s="47" t="s">
        <v>32</v>
      </c>
      <c r="F5" s="48" t="s">
        <v>34</v>
      </c>
      <c r="G5" s="50"/>
      <c r="H5" s="51"/>
      <c r="I5" s="52"/>
      <c r="J5" s="53"/>
    </row>
    <row r="6" ht="24.75" customHeight="1">
      <c r="A6" s="54">
        <v>20.0</v>
      </c>
      <c r="B6" s="56" t="s">
        <v>83</v>
      </c>
      <c r="C6" s="56" t="s">
        <v>84</v>
      </c>
      <c r="D6" s="56" t="s">
        <v>85</v>
      </c>
      <c r="E6" s="56" t="s">
        <v>86</v>
      </c>
      <c r="F6" s="57" t="s">
        <v>87</v>
      </c>
      <c r="G6" s="58"/>
      <c r="H6" s="58"/>
      <c r="I6" s="60" t="s">
        <v>88</v>
      </c>
      <c r="J6" s="59"/>
    </row>
    <row r="7" ht="24.75" hidden="1" customHeight="1">
      <c r="A7" s="54">
        <v>20.0</v>
      </c>
      <c r="B7" s="56" t="s">
        <v>89</v>
      </c>
      <c r="C7" s="56" t="s">
        <v>90</v>
      </c>
      <c r="D7" s="56" t="s">
        <v>91</v>
      </c>
      <c r="E7" s="56"/>
      <c r="F7" s="57" t="s">
        <v>34</v>
      </c>
      <c r="G7" s="61"/>
      <c r="H7" s="61"/>
      <c r="I7" s="62"/>
      <c r="J7" s="53"/>
    </row>
    <row r="8" ht="24.75" hidden="1" customHeight="1">
      <c r="A8" s="54">
        <v>20.0</v>
      </c>
      <c r="B8" s="56" t="s">
        <v>95</v>
      </c>
      <c r="C8" s="56" t="s">
        <v>90</v>
      </c>
      <c r="D8" s="56" t="s">
        <v>96</v>
      </c>
      <c r="E8" s="56" t="s">
        <v>97</v>
      </c>
      <c r="F8" s="57" t="s">
        <v>34</v>
      </c>
      <c r="G8" s="61"/>
      <c r="H8" s="61"/>
      <c r="I8" s="62"/>
      <c r="J8" s="53"/>
    </row>
    <row r="9" ht="24.75" hidden="1" customHeight="1">
      <c r="A9" s="54">
        <v>20.0</v>
      </c>
      <c r="B9" s="56" t="s">
        <v>98</v>
      </c>
      <c r="C9" s="56" t="s">
        <v>90</v>
      </c>
      <c r="D9" s="56" t="s">
        <v>99</v>
      </c>
      <c r="E9" s="56" t="s">
        <v>97</v>
      </c>
      <c r="F9" s="57" t="s">
        <v>34</v>
      </c>
      <c r="G9" s="61"/>
      <c r="H9" s="61"/>
      <c r="I9" s="62"/>
      <c r="J9" s="53"/>
    </row>
    <row r="10" ht="24.75" hidden="1" customHeight="1">
      <c r="A10" s="54">
        <v>20.0</v>
      </c>
      <c r="B10" s="56" t="s">
        <v>100</v>
      </c>
      <c r="C10" s="56" t="s">
        <v>101</v>
      </c>
      <c r="D10" s="56" t="s">
        <v>102</v>
      </c>
      <c r="E10" s="56" t="s">
        <v>103</v>
      </c>
      <c r="F10" s="57" t="s">
        <v>34</v>
      </c>
      <c r="G10" s="61"/>
      <c r="H10" s="61"/>
      <c r="I10" s="62"/>
      <c r="J10" s="53"/>
    </row>
    <row r="11" ht="24.75" customHeight="1">
      <c r="A11" s="54">
        <v>30.0</v>
      </c>
      <c r="B11" s="56" t="s">
        <v>108</v>
      </c>
      <c r="C11" s="56" t="s">
        <v>109</v>
      </c>
      <c r="D11" s="56" t="s">
        <v>110</v>
      </c>
      <c r="E11" s="56" t="s">
        <v>111</v>
      </c>
      <c r="F11" s="57" t="s">
        <v>87</v>
      </c>
      <c r="G11" s="61"/>
      <c r="H11" s="61"/>
      <c r="I11" s="60"/>
      <c r="J11" s="53"/>
    </row>
    <row r="12" ht="24.75" customHeight="1">
      <c r="A12" s="54">
        <v>30.0</v>
      </c>
      <c r="B12" s="56" t="s">
        <v>113</v>
      </c>
      <c r="C12" s="56" t="s">
        <v>109</v>
      </c>
      <c r="D12" s="56" t="s">
        <v>114</v>
      </c>
      <c r="E12" s="56" t="s">
        <v>111</v>
      </c>
      <c r="F12" s="57" t="s">
        <v>87</v>
      </c>
      <c r="G12" s="61"/>
      <c r="H12" s="61"/>
      <c r="I12" s="60"/>
      <c r="J12" s="53"/>
    </row>
    <row r="13" ht="24.75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118</v>
      </c>
      <c r="F13" s="57" t="s">
        <v>87</v>
      </c>
      <c r="G13" s="61"/>
      <c r="H13" s="61"/>
      <c r="I13" s="60"/>
      <c r="J13" s="53"/>
    </row>
    <row r="14" ht="24.75" hidden="1" customHeight="1">
      <c r="A14" s="54">
        <v>30.0</v>
      </c>
      <c r="B14" s="56" t="s">
        <v>116</v>
      </c>
      <c r="C14" s="56" t="s">
        <v>109</v>
      </c>
      <c r="D14" s="56" t="s">
        <v>117</v>
      </c>
      <c r="E14" s="56" t="s">
        <v>119</v>
      </c>
      <c r="F14" s="57" t="s">
        <v>34</v>
      </c>
      <c r="G14" s="61"/>
      <c r="H14" s="61"/>
      <c r="I14" s="62"/>
      <c r="J14" s="53"/>
    </row>
    <row r="15" ht="24.75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111</v>
      </c>
      <c r="F15" s="57" t="s">
        <v>87</v>
      </c>
      <c r="G15" s="61"/>
      <c r="H15" s="61"/>
      <c r="I15" s="60"/>
      <c r="J15" s="53"/>
    </row>
    <row r="16" ht="24.75" hidden="1" customHeight="1">
      <c r="A16" s="54">
        <v>30.0</v>
      </c>
      <c r="B16" s="56" t="s">
        <v>120</v>
      </c>
      <c r="C16" s="56" t="s">
        <v>109</v>
      </c>
      <c r="D16" s="56" t="s">
        <v>121</v>
      </c>
      <c r="E16" s="56" t="s">
        <v>122</v>
      </c>
      <c r="F16" s="57" t="s">
        <v>34</v>
      </c>
      <c r="G16" s="61"/>
      <c r="H16" s="61"/>
      <c r="I16" s="62"/>
      <c r="J16" s="53"/>
    </row>
    <row r="17" ht="24.75" customHeight="1">
      <c r="A17" s="54">
        <v>30.0</v>
      </c>
      <c r="B17" s="56" t="s">
        <v>123</v>
      </c>
      <c r="C17" s="56" t="s">
        <v>109</v>
      </c>
      <c r="D17" s="56" t="s">
        <v>124</v>
      </c>
      <c r="E17" s="56" t="s">
        <v>86</v>
      </c>
      <c r="F17" s="57" t="s">
        <v>87</v>
      </c>
      <c r="G17" s="61"/>
      <c r="H17" s="61"/>
      <c r="I17" s="60"/>
      <c r="J17" s="53"/>
    </row>
    <row r="18" ht="24.75" hidden="1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129</v>
      </c>
      <c r="F18" s="57" t="s">
        <v>34</v>
      </c>
      <c r="G18" s="61"/>
      <c r="H18" s="61"/>
      <c r="I18" s="62" t="s">
        <v>133</v>
      </c>
      <c r="J18" s="53"/>
    </row>
    <row r="19" ht="24.75" hidden="1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132</v>
      </c>
      <c r="F19" s="57" t="s">
        <v>34</v>
      </c>
      <c r="G19" s="61"/>
      <c r="H19" s="61"/>
      <c r="I19" s="62" t="s">
        <v>133</v>
      </c>
      <c r="J19" s="53"/>
    </row>
    <row r="20" ht="24.75" hidden="1" customHeight="1">
      <c r="A20" s="54">
        <v>31.0</v>
      </c>
      <c r="B20" s="56" t="s">
        <v>126</v>
      </c>
      <c r="C20" s="56" t="s">
        <v>127</v>
      </c>
      <c r="D20" s="56" t="s">
        <v>128</v>
      </c>
      <c r="E20" s="56" t="s">
        <v>134</v>
      </c>
      <c r="F20" s="57" t="s">
        <v>34</v>
      </c>
      <c r="G20" s="61"/>
      <c r="H20" s="61"/>
      <c r="I20" s="62" t="s">
        <v>133</v>
      </c>
      <c r="J20" s="53"/>
    </row>
    <row r="21" ht="24.75" hidden="1" customHeight="1">
      <c r="A21" s="54">
        <v>40.0</v>
      </c>
      <c r="B21" s="56" t="s">
        <v>135</v>
      </c>
      <c r="C21" s="56" t="s">
        <v>136</v>
      </c>
      <c r="D21" s="56" t="s">
        <v>137</v>
      </c>
      <c r="E21" s="56" t="s">
        <v>111</v>
      </c>
      <c r="F21" s="57" t="s">
        <v>34</v>
      </c>
      <c r="G21" s="61"/>
      <c r="H21" s="61"/>
      <c r="I21" s="62"/>
      <c r="J21" s="53"/>
    </row>
    <row r="22" ht="24.75" hidden="1" customHeight="1">
      <c r="A22" s="54">
        <v>40.0</v>
      </c>
      <c r="B22" s="56" t="s">
        <v>139</v>
      </c>
      <c r="C22" s="56" t="s">
        <v>101</v>
      </c>
      <c r="D22" s="56" t="s">
        <v>102</v>
      </c>
      <c r="E22" s="56" t="s">
        <v>111</v>
      </c>
      <c r="F22" s="57" t="s">
        <v>34</v>
      </c>
      <c r="G22" s="61"/>
      <c r="H22" s="61"/>
      <c r="I22" s="62"/>
      <c r="J22" s="53"/>
    </row>
    <row r="23" ht="24.75" hidden="1" customHeight="1">
      <c r="A23" s="54">
        <v>40.0</v>
      </c>
      <c r="B23" s="56" t="s">
        <v>140</v>
      </c>
      <c r="C23" s="56" t="s">
        <v>141</v>
      </c>
      <c r="D23" s="56" t="s">
        <v>142</v>
      </c>
      <c r="E23" s="56" t="s">
        <v>111</v>
      </c>
      <c r="F23" s="57" t="s">
        <v>34</v>
      </c>
      <c r="G23" s="61"/>
      <c r="H23" s="61"/>
      <c r="I23" s="62"/>
      <c r="J23" s="53"/>
    </row>
    <row r="24" ht="24.75" hidden="1" customHeight="1">
      <c r="A24" s="54">
        <v>40.0</v>
      </c>
      <c r="B24" s="56" t="s">
        <v>143</v>
      </c>
      <c r="C24" s="56" t="s">
        <v>144</v>
      </c>
      <c r="D24" s="56" t="s">
        <v>145</v>
      </c>
      <c r="E24" s="56" t="s">
        <v>111</v>
      </c>
      <c r="F24" s="57" t="s">
        <v>34</v>
      </c>
      <c r="G24" s="61"/>
      <c r="H24" s="61"/>
      <c r="I24" s="62"/>
      <c r="J24" s="53"/>
    </row>
    <row r="25" ht="24.75" hidden="1" customHeight="1">
      <c r="A25" s="54">
        <v>50.0</v>
      </c>
      <c r="B25" s="56" t="s">
        <v>147</v>
      </c>
      <c r="C25" s="56" t="s">
        <v>148</v>
      </c>
      <c r="D25" s="56" t="s">
        <v>149</v>
      </c>
      <c r="E25" s="56" t="s">
        <v>150</v>
      </c>
      <c r="F25" s="57" t="s">
        <v>34</v>
      </c>
      <c r="G25" s="61"/>
      <c r="H25" s="61"/>
      <c r="I25" s="62"/>
      <c r="J25" s="53"/>
    </row>
    <row r="26" ht="24.75" hidden="1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111</v>
      </c>
      <c r="F26" s="57" t="s">
        <v>34</v>
      </c>
      <c r="G26" s="61"/>
      <c r="H26" s="61"/>
      <c r="I26" s="62"/>
      <c r="J26" s="53"/>
    </row>
    <row r="27" ht="24.75" hidden="1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153</v>
      </c>
      <c r="F27" s="57" t="s">
        <v>154</v>
      </c>
      <c r="G27" s="61"/>
      <c r="H27" s="61"/>
      <c r="I27" s="62"/>
      <c r="J27" s="53"/>
    </row>
    <row r="28" ht="24.75" hidden="1" customHeight="1">
      <c r="A28" s="54">
        <v>50.0</v>
      </c>
      <c r="B28" s="56" t="s">
        <v>151</v>
      </c>
      <c r="C28" s="56" t="s">
        <v>152</v>
      </c>
      <c r="D28" s="56" t="s">
        <v>152</v>
      </c>
      <c r="E28" s="56" t="s">
        <v>155</v>
      </c>
      <c r="F28" s="57" t="s">
        <v>250</v>
      </c>
      <c r="G28" s="61"/>
      <c r="H28" s="61" t="s">
        <v>159</v>
      </c>
      <c r="I28" s="62" t="s">
        <v>160</v>
      </c>
      <c r="J28" s="53"/>
    </row>
    <row r="29" ht="24.75" hidden="1" customHeight="1">
      <c r="A29" s="54">
        <v>50.0</v>
      </c>
      <c r="B29" s="56" t="s">
        <v>156</v>
      </c>
      <c r="C29" s="56" t="s">
        <v>152</v>
      </c>
      <c r="D29" s="56" t="s">
        <v>157</v>
      </c>
      <c r="E29" s="56" t="s">
        <v>158</v>
      </c>
      <c r="F29" s="57" t="s">
        <v>34</v>
      </c>
      <c r="G29" s="61"/>
      <c r="H29" s="61"/>
      <c r="I29" s="62"/>
      <c r="J29" s="53"/>
    </row>
    <row r="30" ht="24.75" hidden="1" customHeight="1">
      <c r="A30" s="54">
        <v>50.0</v>
      </c>
      <c r="B30" s="56" t="s">
        <v>161</v>
      </c>
      <c r="C30" s="56" t="s">
        <v>152</v>
      </c>
      <c r="D30" s="56" t="s">
        <v>162</v>
      </c>
      <c r="E30" s="56" t="s">
        <v>163</v>
      </c>
      <c r="F30" s="57" t="s">
        <v>34</v>
      </c>
      <c r="G30" s="61"/>
      <c r="H30" s="61"/>
      <c r="I30" s="62"/>
      <c r="J30" s="53"/>
    </row>
    <row r="31" ht="24.75" hidden="1" customHeight="1">
      <c r="A31" s="54">
        <v>60.0</v>
      </c>
      <c r="B31" s="56" t="s">
        <v>164</v>
      </c>
      <c r="C31" s="56" t="s">
        <v>165</v>
      </c>
      <c r="D31" s="56" t="s">
        <v>166</v>
      </c>
      <c r="E31" s="56" t="s">
        <v>167</v>
      </c>
      <c r="F31" s="57" t="s">
        <v>154</v>
      </c>
      <c r="G31" s="61"/>
      <c r="H31" s="61"/>
      <c r="I31" s="62"/>
      <c r="J31" s="53"/>
    </row>
    <row r="32" ht="24.75" hidden="1" customHeight="1">
      <c r="A32" s="54">
        <v>60.0</v>
      </c>
      <c r="B32" s="56" t="s">
        <v>169</v>
      </c>
      <c r="C32" s="56" t="s">
        <v>165</v>
      </c>
      <c r="D32" s="56" t="s">
        <v>170</v>
      </c>
      <c r="E32" s="56" t="s">
        <v>167</v>
      </c>
      <c r="F32" s="57" t="s">
        <v>154</v>
      </c>
      <c r="G32" s="61"/>
      <c r="H32" s="61"/>
      <c r="I32" s="62"/>
      <c r="J32" s="53"/>
    </row>
    <row r="33" ht="24.75" hidden="1" customHeight="1">
      <c r="A33" s="54">
        <v>60.0</v>
      </c>
      <c r="B33" s="56" t="s">
        <v>171</v>
      </c>
      <c r="C33" s="56" t="s">
        <v>165</v>
      </c>
      <c r="D33" s="56" t="s">
        <v>172</v>
      </c>
      <c r="E33" s="56" t="s">
        <v>167</v>
      </c>
      <c r="F33" s="57" t="s">
        <v>154</v>
      </c>
      <c r="G33" s="61"/>
      <c r="H33" s="61"/>
      <c r="I33" s="62"/>
      <c r="J33" s="53"/>
    </row>
    <row r="34" ht="24.75" hidden="1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167</v>
      </c>
      <c r="F34" s="57" t="s">
        <v>154</v>
      </c>
      <c r="G34" s="61"/>
      <c r="H34" s="61"/>
      <c r="I34" s="62"/>
      <c r="J34" s="53"/>
    </row>
    <row r="35" ht="24.75" hidden="1" customHeight="1">
      <c r="A35" s="54">
        <v>60.0</v>
      </c>
      <c r="B35" s="56" t="s">
        <v>174</v>
      </c>
      <c r="C35" s="56" t="s">
        <v>165</v>
      </c>
      <c r="D35" s="56" t="s">
        <v>175</v>
      </c>
      <c r="E35" s="56" t="s">
        <v>176</v>
      </c>
      <c r="F35" s="57" t="s">
        <v>154</v>
      </c>
      <c r="G35" s="61"/>
      <c r="H35" s="61"/>
      <c r="I35" s="62"/>
      <c r="J35" s="53"/>
    </row>
    <row r="36" ht="24.75" hidden="1" customHeight="1">
      <c r="A36" s="54">
        <v>60.0</v>
      </c>
      <c r="B36" s="56" t="s">
        <v>177</v>
      </c>
      <c r="C36" s="56" t="s">
        <v>165</v>
      </c>
      <c r="D36" s="56" t="s">
        <v>178</v>
      </c>
      <c r="E36" s="56" t="s">
        <v>111</v>
      </c>
      <c r="F36" s="57" t="s">
        <v>154</v>
      </c>
      <c r="G36" s="61"/>
      <c r="H36" s="61"/>
      <c r="I36" s="62"/>
      <c r="J36" s="53"/>
    </row>
    <row r="37" ht="24.75" hidden="1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167</v>
      </c>
      <c r="F37" s="57" t="s">
        <v>154</v>
      </c>
      <c r="G37" s="61"/>
      <c r="H37" s="61"/>
      <c r="I37" s="62"/>
      <c r="J37" s="53"/>
    </row>
    <row r="38" ht="24.75" hidden="1" customHeight="1">
      <c r="A38" s="54">
        <v>60.0</v>
      </c>
      <c r="B38" s="56" t="s">
        <v>179</v>
      </c>
      <c r="C38" s="56" t="s">
        <v>165</v>
      </c>
      <c r="D38" s="56" t="s">
        <v>180</v>
      </c>
      <c r="E38" s="56" t="s">
        <v>176</v>
      </c>
      <c r="F38" s="57" t="s">
        <v>154</v>
      </c>
      <c r="G38" s="61"/>
      <c r="H38" s="61"/>
      <c r="I38" s="62"/>
      <c r="J38" s="53"/>
    </row>
    <row r="39" ht="24.75" hidden="1" customHeight="1">
      <c r="A39" s="54">
        <v>60.0</v>
      </c>
      <c r="B39" s="56" t="s">
        <v>181</v>
      </c>
      <c r="C39" s="56" t="s">
        <v>165</v>
      </c>
      <c r="D39" s="56" t="s">
        <v>178</v>
      </c>
      <c r="E39" s="56" t="s">
        <v>167</v>
      </c>
      <c r="F39" s="57" t="s">
        <v>154</v>
      </c>
      <c r="G39" s="61"/>
      <c r="H39" s="61"/>
      <c r="I39" s="62" t="s">
        <v>14</v>
      </c>
      <c r="J39" s="53"/>
    </row>
    <row r="40" ht="24.75" hidden="1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167</v>
      </c>
      <c r="F40" s="57" t="s">
        <v>154</v>
      </c>
      <c r="G40" s="61"/>
      <c r="H40" s="61"/>
      <c r="I40" s="62"/>
      <c r="J40" s="53"/>
    </row>
    <row r="41" ht="24.75" hidden="1" customHeight="1">
      <c r="A41" s="54">
        <v>60.0</v>
      </c>
      <c r="B41" s="56" t="s">
        <v>182</v>
      </c>
      <c r="C41" s="56" t="s">
        <v>165</v>
      </c>
      <c r="D41" s="56" t="s">
        <v>183</v>
      </c>
      <c r="E41" s="56" t="s">
        <v>176</v>
      </c>
      <c r="F41" s="57" t="s">
        <v>154</v>
      </c>
      <c r="G41" s="61"/>
      <c r="H41" s="61"/>
      <c r="I41" s="62"/>
      <c r="J41" s="53"/>
    </row>
    <row r="42" ht="24.75" hidden="1" customHeight="1">
      <c r="A42" s="54">
        <v>60.0</v>
      </c>
      <c r="B42" s="56" t="s">
        <v>184</v>
      </c>
      <c r="C42" s="56" t="s">
        <v>165</v>
      </c>
      <c r="D42" s="56" t="s">
        <v>178</v>
      </c>
      <c r="E42" s="56" t="s">
        <v>167</v>
      </c>
      <c r="F42" s="57" t="s">
        <v>154</v>
      </c>
      <c r="G42" s="61"/>
      <c r="H42" s="61"/>
      <c r="I42" s="62"/>
      <c r="J42" s="53"/>
    </row>
    <row r="43" ht="24.75" hidden="1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167</v>
      </c>
      <c r="F43" s="57" t="s">
        <v>154</v>
      </c>
      <c r="G43" s="61"/>
      <c r="H43" s="61"/>
      <c r="I43" s="62"/>
      <c r="J43" s="53"/>
    </row>
    <row r="44" ht="24.75" hidden="1" customHeight="1">
      <c r="A44" s="54">
        <v>60.0</v>
      </c>
      <c r="B44" s="56" t="s">
        <v>185</v>
      </c>
      <c r="C44" s="56" t="s">
        <v>165</v>
      </c>
      <c r="D44" s="56" t="s">
        <v>186</v>
      </c>
      <c r="E44" s="56" t="s">
        <v>176</v>
      </c>
      <c r="F44" s="57" t="s">
        <v>154</v>
      </c>
      <c r="G44" s="61"/>
      <c r="H44" s="61"/>
      <c r="I44" s="62"/>
      <c r="J44" s="53"/>
    </row>
    <row r="45" ht="24.75" hidden="1" customHeight="1">
      <c r="A45" s="54">
        <v>60.0</v>
      </c>
      <c r="B45" s="56" t="s">
        <v>187</v>
      </c>
      <c r="C45" s="56" t="s">
        <v>165</v>
      </c>
      <c r="D45" s="56" t="s">
        <v>178</v>
      </c>
      <c r="E45" s="56" t="s">
        <v>167</v>
      </c>
      <c r="F45" s="57" t="s">
        <v>154</v>
      </c>
      <c r="G45" s="61"/>
      <c r="H45" s="61"/>
      <c r="I45" s="62"/>
      <c r="J45" s="53"/>
    </row>
    <row r="46" ht="24.75" hidden="1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191</v>
      </c>
      <c r="F46" s="57" t="s">
        <v>192</v>
      </c>
      <c r="G46" s="61"/>
      <c r="H46" s="61"/>
      <c r="I46" s="62"/>
      <c r="J46" s="53"/>
    </row>
    <row r="47" ht="24.75" hidden="1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194</v>
      </c>
      <c r="F47" s="57" t="s">
        <v>192</v>
      </c>
      <c r="G47" s="61"/>
      <c r="H47" s="61"/>
      <c r="I47" s="62"/>
      <c r="J47" s="53"/>
    </row>
    <row r="48" ht="24.75" hidden="1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195</v>
      </c>
      <c r="F48" s="57" t="s">
        <v>34</v>
      </c>
      <c r="G48" s="61"/>
      <c r="H48" s="61" t="s">
        <v>197</v>
      </c>
      <c r="I48" s="62"/>
      <c r="J48" s="53"/>
    </row>
    <row r="49" ht="24.75" hidden="1" customHeight="1">
      <c r="A49" s="54">
        <v>80.0</v>
      </c>
      <c r="B49" s="56" t="s">
        <v>188</v>
      </c>
      <c r="C49" s="56" t="s">
        <v>189</v>
      </c>
      <c r="D49" s="56" t="s">
        <v>190</v>
      </c>
      <c r="E49" s="56" t="s">
        <v>196</v>
      </c>
      <c r="F49" s="57" t="s">
        <v>250</v>
      </c>
      <c r="G49" s="61"/>
      <c r="H49" s="61" t="s">
        <v>200</v>
      </c>
      <c r="I49" s="62" t="s">
        <v>201</v>
      </c>
      <c r="J49" s="53"/>
    </row>
    <row r="50" ht="24.75" hidden="1" customHeight="1">
      <c r="A50" s="54">
        <v>80.0</v>
      </c>
      <c r="B50" s="56" t="s">
        <v>198</v>
      </c>
      <c r="C50" s="56" t="s">
        <v>189</v>
      </c>
      <c r="D50" s="56" t="s">
        <v>199</v>
      </c>
      <c r="E50" s="56" t="s">
        <v>163</v>
      </c>
      <c r="F50" s="57" t="s">
        <v>154</v>
      </c>
      <c r="G50" s="61"/>
      <c r="H50" s="61"/>
      <c r="I50" s="62" t="s">
        <v>207</v>
      </c>
      <c r="J50" s="53"/>
    </row>
    <row r="51" ht="24.75" hidden="1" customHeight="1">
      <c r="A51" s="54">
        <v>80.0</v>
      </c>
      <c r="B51" s="56" t="s">
        <v>203</v>
      </c>
      <c r="C51" s="56" t="s">
        <v>204</v>
      </c>
      <c r="D51" s="56" t="s">
        <v>205</v>
      </c>
      <c r="E51" s="56" t="s">
        <v>208</v>
      </c>
      <c r="F51" s="57" t="s">
        <v>154</v>
      </c>
      <c r="G51" s="61"/>
      <c r="H51" s="61"/>
      <c r="I51" s="62" t="s">
        <v>207</v>
      </c>
      <c r="J51" s="53"/>
    </row>
    <row r="52" ht="24.75" hidden="1" customHeight="1">
      <c r="A52" s="54">
        <v>80.0</v>
      </c>
      <c r="B52" s="56" t="s">
        <v>210</v>
      </c>
      <c r="C52" s="56" t="s">
        <v>189</v>
      </c>
      <c r="D52" s="56" t="s">
        <v>212</v>
      </c>
      <c r="E52" s="56" t="s">
        <v>213</v>
      </c>
      <c r="F52" s="57"/>
      <c r="G52" s="61"/>
      <c r="H52" s="61"/>
      <c r="I52" s="62"/>
      <c r="J52" s="53"/>
    </row>
    <row r="53" ht="24.75" hidden="1" customHeight="1">
      <c r="A53" s="54">
        <v>80.0</v>
      </c>
      <c r="B53" s="56" t="s">
        <v>214</v>
      </c>
      <c r="C53" s="56" t="s">
        <v>204</v>
      </c>
      <c r="D53" s="56" t="s">
        <v>215</v>
      </c>
      <c r="E53" s="56" t="s">
        <v>216</v>
      </c>
      <c r="F53" s="57" t="s">
        <v>154</v>
      </c>
      <c r="G53" s="61"/>
      <c r="H53" s="61"/>
      <c r="I53" s="62" t="s">
        <v>207</v>
      </c>
      <c r="J53" s="53"/>
    </row>
    <row r="54" ht="24.75" hidden="1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217</v>
      </c>
      <c r="F54" s="57" t="s">
        <v>154</v>
      </c>
      <c r="G54" s="61"/>
      <c r="H54" s="61"/>
      <c r="I54" s="62" t="s">
        <v>207</v>
      </c>
      <c r="J54" s="53"/>
    </row>
    <row r="55" ht="24.75" hidden="1" customHeight="1">
      <c r="A55" s="54">
        <v>80.0</v>
      </c>
      <c r="B55" s="56" t="s">
        <v>214</v>
      </c>
      <c r="C55" s="56" t="s">
        <v>204</v>
      </c>
      <c r="D55" s="56" t="s">
        <v>215</v>
      </c>
      <c r="E55" s="56" t="s">
        <v>163</v>
      </c>
      <c r="F55" s="57" t="s">
        <v>154</v>
      </c>
      <c r="G55" s="61"/>
      <c r="H55" s="61"/>
      <c r="I55" s="62" t="s">
        <v>207</v>
      </c>
      <c r="J55" s="53"/>
    </row>
    <row r="56" ht="24.75" hidden="1" customHeight="1">
      <c r="A56" s="54">
        <v>80.0</v>
      </c>
      <c r="B56" s="56" t="s">
        <v>218</v>
      </c>
      <c r="C56" s="56" t="s">
        <v>204</v>
      </c>
      <c r="D56" s="56" t="s">
        <v>219</v>
      </c>
      <c r="E56" s="56" t="s">
        <v>191</v>
      </c>
      <c r="F56" s="57" t="s">
        <v>192</v>
      </c>
      <c r="G56" s="61"/>
      <c r="H56" s="61"/>
      <c r="I56" s="62"/>
      <c r="J56" s="53"/>
    </row>
    <row r="57" ht="24.75" hidden="1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194</v>
      </c>
      <c r="F57" s="57" t="s">
        <v>192</v>
      </c>
      <c r="G57" s="61"/>
      <c r="H57" s="61"/>
      <c r="I57" s="62"/>
      <c r="J57" s="53"/>
    </row>
    <row r="58" ht="24.75" hidden="1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195</v>
      </c>
      <c r="F58" s="57" t="s">
        <v>34</v>
      </c>
      <c r="G58" s="61"/>
      <c r="H58" s="61" t="s">
        <v>197</v>
      </c>
      <c r="I58" s="62"/>
      <c r="J58" s="53"/>
    </row>
    <row r="59" ht="24.75" hidden="1" customHeight="1">
      <c r="A59" s="54">
        <v>80.0</v>
      </c>
      <c r="B59" s="56" t="s">
        <v>218</v>
      </c>
      <c r="C59" s="56" t="s">
        <v>204</v>
      </c>
      <c r="D59" s="56" t="s">
        <v>219</v>
      </c>
      <c r="E59" s="56" t="s">
        <v>196</v>
      </c>
      <c r="F59" s="57" t="s">
        <v>250</v>
      </c>
      <c r="G59" s="61"/>
      <c r="H59" s="61" t="s">
        <v>200</v>
      </c>
      <c r="I59" s="62" t="s">
        <v>201</v>
      </c>
      <c r="J59" s="53"/>
    </row>
    <row r="60" ht="24.75" hidden="1" customHeight="1">
      <c r="A60" s="54">
        <v>80.0</v>
      </c>
      <c r="B60" s="56" t="s">
        <v>220</v>
      </c>
      <c r="C60" s="56" t="s">
        <v>204</v>
      </c>
      <c r="D60" s="56" t="s">
        <v>221</v>
      </c>
      <c r="E60" s="56" t="s">
        <v>222</v>
      </c>
      <c r="F60" s="57" t="s">
        <v>154</v>
      </c>
      <c r="G60" s="61"/>
      <c r="H60" s="61"/>
      <c r="I60" s="62"/>
      <c r="J60" s="53"/>
    </row>
    <row r="61" ht="24.75" hidden="1" customHeight="1">
      <c r="A61" s="54">
        <v>80.0</v>
      </c>
      <c r="B61" s="56" t="s">
        <v>223</v>
      </c>
      <c r="C61" s="56" t="s">
        <v>204</v>
      </c>
      <c r="D61" s="56" t="s">
        <v>224</v>
      </c>
      <c r="E61" s="56" t="s">
        <v>225</v>
      </c>
      <c r="F61" s="57" t="s">
        <v>34</v>
      </c>
      <c r="G61" s="61"/>
      <c r="H61" s="61"/>
      <c r="I61" s="62"/>
      <c r="J61" s="53"/>
    </row>
    <row r="62" ht="24.75" hidden="1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167</v>
      </c>
      <c r="F62" s="57" t="s">
        <v>154</v>
      </c>
      <c r="G62" s="61"/>
      <c r="H62" s="61"/>
      <c r="I62" s="62"/>
      <c r="J62" s="53"/>
    </row>
    <row r="63" ht="24.75" hidden="1" customHeight="1">
      <c r="A63" s="54">
        <v>80.0</v>
      </c>
      <c r="B63" s="56" t="s">
        <v>223</v>
      </c>
      <c r="C63" s="56" t="s">
        <v>204</v>
      </c>
      <c r="D63" s="56" t="s">
        <v>224</v>
      </c>
      <c r="E63" s="56" t="s">
        <v>226</v>
      </c>
      <c r="F63" s="57" t="s">
        <v>154</v>
      </c>
      <c r="G63" s="61"/>
      <c r="H63" s="61"/>
      <c r="I63" s="62"/>
      <c r="J63" s="53"/>
    </row>
    <row r="64" ht="24.75" hidden="1" customHeight="1">
      <c r="A64" s="54">
        <v>80.0</v>
      </c>
      <c r="B64" s="56" t="s">
        <v>227</v>
      </c>
      <c r="C64" s="56" t="s">
        <v>228</v>
      </c>
      <c r="D64" s="56" t="s">
        <v>229</v>
      </c>
      <c r="E64" s="56" t="s">
        <v>230</v>
      </c>
      <c r="F64" s="57" t="s">
        <v>154</v>
      </c>
      <c r="G64" s="61"/>
      <c r="H64" s="61"/>
      <c r="I64" s="62"/>
      <c r="J64" s="53"/>
    </row>
    <row r="65" ht="24.75" hidden="1" customHeight="1">
      <c r="A65" s="54">
        <v>80.0</v>
      </c>
      <c r="B65" s="56" t="s">
        <v>227</v>
      </c>
      <c r="C65" s="56" t="s">
        <v>228</v>
      </c>
      <c r="D65" s="56" t="s">
        <v>231</v>
      </c>
      <c r="E65" s="56" t="s">
        <v>232</v>
      </c>
      <c r="F65" s="57" t="s">
        <v>250</v>
      </c>
      <c r="G65" s="61"/>
      <c r="H65" s="61" t="s">
        <v>200</v>
      </c>
      <c r="I65" s="62" t="s">
        <v>240</v>
      </c>
      <c r="J65" s="53"/>
    </row>
    <row r="66" ht="24.75" customHeight="1">
      <c r="A66" s="54">
        <v>92.0</v>
      </c>
      <c r="B66" s="56" t="s">
        <v>233</v>
      </c>
      <c r="C66" s="56" t="s">
        <v>234</v>
      </c>
      <c r="D66" s="56" t="s">
        <v>235</v>
      </c>
      <c r="E66" s="56" t="s">
        <v>111</v>
      </c>
      <c r="F66" s="57" t="s">
        <v>87</v>
      </c>
      <c r="G66" s="61"/>
      <c r="H66" s="61"/>
      <c r="I66" s="60" t="s">
        <v>243</v>
      </c>
      <c r="J66" s="53"/>
    </row>
    <row r="67" ht="24.75" hidden="1" customHeight="1">
      <c r="A67" s="54">
        <v>90.0</v>
      </c>
      <c r="B67" s="56" t="s">
        <v>236</v>
      </c>
      <c r="C67" s="56" t="s">
        <v>237</v>
      </c>
      <c r="D67" s="56" t="s">
        <v>238</v>
      </c>
      <c r="E67" s="56" t="s">
        <v>239</v>
      </c>
      <c r="F67" s="57" t="s">
        <v>34</v>
      </c>
      <c r="G67" s="61"/>
      <c r="H67" s="61"/>
      <c r="I67" s="62" t="s">
        <v>245</v>
      </c>
      <c r="J67" s="53"/>
    </row>
    <row r="68" ht="24.75" hidden="1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241</v>
      </c>
      <c r="F68" s="57" t="s">
        <v>34</v>
      </c>
      <c r="G68" s="61"/>
      <c r="H68" s="61"/>
      <c r="I68" s="62" t="s">
        <v>245</v>
      </c>
      <c r="J68" s="53"/>
    </row>
    <row r="69" ht="24.75" hidden="1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242</v>
      </c>
      <c r="F69" s="57" t="s">
        <v>34</v>
      </c>
      <c r="G69" s="61"/>
      <c r="H69" s="61"/>
      <c r="I69" s="62" t="s">
        <v>245</v>
      </c>
      <c r="J69" s="53"/>
    </row>
    <row r="70" ht="24.75" hidden="1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244</v>
      </c>
      <c r="F70" s="57" t="s">
        <v>34</v>
      </c>
      <c r="G70" s="61"/>
      <c r="H70" s="61"/>
      <c r="I70" s="62" t="s">
        <v>245</v>
      </c>
      <c r="J70" s="53"/>
    </row>
    <row r="71" ht="24.75" hidden="1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247</v>
      </c>
      <c r="F71" s="57" t="s">
        <v>34</v>
      </c>
      <c r="G71" s="61"/>
      <c r="H71" s="61"/>
      <c r="I71" s="62" t="s">
        <v>245</v>
      </c>
      <c r="J71" s="53"/>
    </row>
    <row r="72" ht="24.75" hidden="1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248</v>
      </c>
      <c r="F72" s="57" t="s">
        <v>34</v>
      </c>
      <c r="G72" s="61"/>
      <c r="H72" s="61"/>
      <c r="I72" s="62"/>
      <c r="J72" s="53"/>
    </row>
    <row r="73" ht="24.75" hidden="1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252</v>
      </c>
      <c r="F73" s="57" t="s">
        <v>34</v>
      </c>
      <c r="G73" s="61"/>
      <c r="H73" s="61"/>
      <c r="I73" s="62" t="s">
        <v>245</v>
      </c>
      <c r="J73" s="53"/>
    </row>
    <row r="74" ht="24.75" customHeight="1">
      <c r="A74" s="54">
        <v>92.0</v>
      </c>
      <c r="B74" s="56" t="s">
        <v>253</v>
      </c>
      <c r="C74" s="56" t="s">
        <v>234</v>
      </c>
      <c r="D74" s="56" t="s">
        <v>254</v>
      </c>
      <c r="E74" s="56" t="s">
        <v>111</v>
      </c>
      <c r="F74" s="57" t="s">
        <v>87</v>
      </c>
      <c r="G74" s="61"/>
      <c r="H74" s="61"/>
      <c r="I74" s="60" t="s">
        <v>243</v>
      </c>
      <c r="J74" s="53"/>
    </row>
    <row r="75" ht="24.75" customHeight="1">
      <c r="A75" s="54">
        <v>92.0</v>
      </c>
      <c r="B75" s="56" t="s">
        <v>255</v>
      </c>
      <c r="C75" s="56" t="s">
        <v>234</v>
      </c>
      <c r="D75" s="56" t="s">
        <v>256</v>
      </c>
      <c r="E75" s="56" t="s">
        <v>257</v>
      </c>
      <c r="F75" s="57" t="s">
        <v>87</v>
      </c>
      <c r="G75" s="61"/>
      <c r="H75" s="61"/>
      <c r="I75" s="60"/>
      <c r="J75" s="53"/>
    </row>
    <row r="76" ht="24.75" customHeight="1">
      <c r="A76" s="54">
        <v>110.0</v>
      </c>
      <c r="B76" s="56" t="s">
        <v>258</v>
      </c>
      <c r="C76" s="56" t="s">
        <v>259</v>
      </c>
      <c r="D76" s="56" t="s">
        <v>85</v>
      </c>
      <c r="E76" s="56" t="s">
        <v>86</v>
      </c>
      <c r="F76" s="57" t="s">
        <v>87</v>
      </c>
      <c r="G76" s="61"/>
      <c r="H76" s="61"/>
      <c r="I76" s="60" t="s">
        <v>88</v>
      </c>
      <c r="J76" s="53"/>
    </row>
    <row r="77" ht="24.75" customHeight="1">
      <c r="A77" s="54">
        <v>110.0</v>
      </c>
      <c r="B77" s="56" t="s">
        <v>260</v>
      </c>
      <c r="C77" s="56" t="s">
        <v>259</v>
      </c>
      <c r="D77" s="56" t="s">
        <v>261</v>
      </c>
      <c r="E77" s="56" t="s">
        <v>86</v>
      </c>
      <c r="F77" s="57" t="s">
        <v>87</v>
      </c>
      <c r="G77" s="61"/>
      <c r="H77" s="61"/>
      <c r="I77" s="60" t="s">
        <v>88</v>
      </c>
      <c r="J77" s="53"/>
    </row>
    <row r="78" ht="24.75" customHeight="1">
      <c r="A78" s="54">
        <v>120.0</v>
      </c>
      <c r="B78" s="56" t="s">
        <v>262</v>
      </c>
      <c r="C78" s="56" t="s">
        <v>263</v>
      </c>
      <c r="D78" s="56" t="s">
        <v>263</v>
      </c>
      <c r="E78" s="56" t="s">
        <v>264</v>
      </c>
      <c r="F78" s="57" t="s">
        <v>87</v>
      </c>
      <c r="G78" s="61"/>
      <c r="H78" s="61"/>
      <c r="I78" s="60" t="s">
        <v>273</v>
      </c>
      <c r="J78" s="53"/>
    </row>
    <row r="79" ht="24.75" hidden="1" customHeight="1">
      <c r="A79" s="54">
        <v>90.0</v>
      </c>
      <c r="B79" s="56" t="s">
        <v>265</v>
      </c>
      <c r="C79" s="56" t="s">
        <v>237</v>
      </c>
      <c r="D79" s="56" t="s">
        <v>266</v>
      </c>
      <c r="E79" s="56" t="s">
        <v>267</v>
      </c>
      <c r="F79" s="57" t="s">
        <v>192</v>
      </c>
      <c r="G79" s="61"/>
      <c r="H79" s="61"/>
      <c r="I79" s="62" t="s">
        <v>245</v>
      </c>
      <c r="J79" s="53"/>
    </row>
    <row r="80" ht="24.75" hidden="1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268</v>
      </c>
      <c r="F80" s="57" t="s">
        <v>34</v>
      </c>
      <c r="G80" s="61"/>
      <c r="H80" s="61"/>
      <c r="I80" s="62" t="s">
        <v>245</v>
      </c>
      <c r="J80" s="53"/>
    </row>
    <row r="81" ht="24.75" customHeight="1">
      <c r="A81" s="54">
        <v>140.0</v>
      </c>
      <c r="B81" s="56" t="s">
        <v>269</v>
      </c>
      <c r="C81" s="56" t="s">
        <v>270</v>
      </c>
      <c r="D81" s="56" t="s">
        <v>271</v>
      </c>
      <c r="E81" s="56" t="s">
        <v>272</v>
      </c>
      <c r="F81" s="57" t="s">
        <v>87</v>
      </c>
      <c r="G81" s="61"/>
      <c r="H81" s="61"/>
      <c r="I81" s="60"/>
      <c r="J81" s="53"/>
    </row>
    <row r="82" ht="24.75" hidden="1" customHeight="1">
      <c r="A82" s="54">
        <v>90.0</v>
      </c>
      <c r="B82" s="56" t="s">
        <v>274</v>
      </c>
      <c r="C82" s="56" t="s">
        <v>237</v>
      </c>
      <c r="D82" s="56" t="s">
        <v>275</v>
      </c>
      <c r="E82" s="56" t="s">
        <v>239</v>
      </c>
      <c r="F82" s="57" t="s">
        <v>34</v>
      </c>
      <c r="G82" s="61"/>
      <c r="H82" s="61"/>
      <c r="I82" s="62" t="s">
        <v>245</v>
      </c>
      <c r="J82" s="53"/>
    </row>
    <row r="83" ht="24.75" hidden="1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248</v>
      </c>
      <c r="F83" s="57" t="s">
        <v>34</v>
      </c>
      <c r="G83" s="61"/>
      <c r="H83" s="61"/>
      <c r="I83" s="62"/>
      <c r="J83" s="53"/>
    </row>
    <row r="84" ht="24.75" customHeight="1">
      <c r="A84" s="54">
        <v>140.0</v>
      </c>
      <c r="B84" s="56" t="s">
        <v>269</v>
      </c>
      <c r="C84" s="56" t="s">
        <v>270</v>
      </c>
      <c r="D84" s="56" t="s">
        <v>271</v>
      </c>
      <c r="E84" s="56" t="s">
        <v>276</v>
      </c>
      <c r="F84" s="57" t="s">
        <v>87</v>
      </c>
      <c r="G84" s="61"/>
      <c r="H84" s="61"/>
      <c r="I84" s="60" t="s">
        <v>88</v>
      </c>
      <c r="J84" s="53"/>
    </row>
    <row r="85" ht="24.75" hidden="1" customHeight="1">
      <c r="A85" s="54">
        <v>90.0</v>
      </c>
      <c r="B85" s="56" t="s">
        <v>277</v>
      </c>
      <c r="C85" s="56" t="s">
        <v>278</v>
      </c>
      <c r="D85" s="56" t="s">
        <v>279</v>
      </c>
      <c r="E85" s="56" t="s">
        <v>239</v>
      </c>
      <c r="F85" s="57" t="s">
        <v>34</v>
      </c>
      <c r="G85" s="61"/>
      <c r="H85" s="61"/>
      <c r="I85" s="62" t="s">
        <v>283</v>
      </c>
      <c r="J85" s="53"/>
    </row>
    <row r="86" ht="24.75" hidden="1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163</v>
      </c>
      <c r="F86" s="57" t="s">
        <v>34</v>
      </c>
      <c r="G86" s="61"/>
      <c r="H86" s="61"/>
      <c r="I86" s="62" t="s">
        <v>283</v>
      </c>
      <c r="J86" s="53"/>
    </row>
    <row r="87" ht="24.75" hidden="1" customHeight="1">
      <c r="A87" s="54">
        <v>90.0</v>
      </c>
      <c r="B87" s="56" t="s">
        <v>277</v>
      </c>
      <c r="C87" s="56" t="s">
        <v>278</v>
      </c>
      <c r="D87" s="56" t="s">
        <v>279</v>
      </c>
      <c r="E87" s="56" t="s">
        <v>241</v>
      </c>
      <c r="F87" s="57" t="s">
        <v>34</v>
      </c>
      <c r="G87" s="61"/>
      <c r="H87" s="61"/>
      <c r="I87" s="62" t="s">
        <v>283</v>
      </c>
      <c r="J87" s="53"/>
    </row>
    <row r="88" ht="24.75" hidden="1" customHeight="1">
      <c r="A88" s="54">
        <v>90.0</v>
      </c>
      <c r="B88" s="56" t="s">
        <v>280</v>
      </c>
      <c r="C88" s="56" t="s">
        <v>278</v>
      </c>
      <c r="D88" s="56" t="s">
        <v>281</v>
      </c>
      <c r="E88" s="56" t="s">
        <v>196</v>
      </c>
      <c r="F88" s="57" t="s">
        <v>250</v>
      </c>
      <c r="G88" s="61"/>
      <c r="H88" s="61" t="s">
        <v>287</v>
      </c>
      <c r="I88" s="62" t="s">
        <v>288</v>
      </c>
      <c r="J88" s="53"/>
    </row>
    <row r="89" ht="24.75" customHeight="1">
      <c r="A89" s="54">
        <v>140.0</v>
      </c>
      <c r="B89" s="56" t="s">
        <v>284</v>
      </c>
      <c r="C89" s="56" t="s">
        <v>270</v>
      </c>
      <c r="D89" s="56" t="s">
        <v>285</v>
      </c>
      <c r="E89" s="56" t="s">
        <v>272</v>
      </c>
      <c r="F89" s="57" t="s">
        <v>87</v>
      </c>
      <c r="G89" s="61"/>
      <c r="H89" s="61"/>
      <c r="I89" s="60"/>
      <c r="J89" s="53"/>
    </row>
    <row r="90" ht="24.75" customHeight="1">
      <c r="A90" s="54">
        <v>140.0</v>
      </c>
      <c r="B90" s="56" t="s">
        <v>284</v>
      </c>
      <c r="C90" s="56" t="s">
        <v>270</v>
      </c>
      <c r="D90" s="56" t="s">
        <v>285</v>
      </c>
      <c r="E90" s="56" t="s">
        <v>276</v>
      </c>
      <c r="F90" s="57" t="s">
        <v>87</v>
      </c>
      <c r="G90" s="61"/>
      <c r="H90" s="61"/>
      <c r="I90" s="60" t="s">
        <v>88</v>
      </c>
      <c r="J90" s="53"/>
    </row>
    <row r="91" ht="24.75" hidden="1" customHeight="1">
      <c r="A91" s="54">
        <v>90.0</v>
      </c>
      <c r="B91" s="56" t="s">
        <v>286</v>
      </c>
      <c r="C91" s="56" t="s">
        <v>278</v>
      </c>
      <c r="D91" s="56" t="s">
        <v>266</v>
      </c>
      <c r="E91" s="56" t="s">
        <v>268</v>
      </c>
      <c r="F91" s="57" t="s">
        <v>34</v>
      </c>
      <c r="G91" s="61"/>
      <c r="H91" s="61"/>
      <c r="I91" s="62" t="s">
        <v>283</v>
      </c>
      <c r="J91" s="53"/>
    </row>
    <row r="92" ht="24.75" customHeight="1">
      <c r="A92" s="54" t="s">
        <v>289</v>
      </c>
      <c r="B92" s="56" t="s">
        <v>290</v>
      </c>
      <c r="C92" s="56" t="s">
        <v>291</v>
      </c>
      <c r="D92" s="56" t="s">
        <v>292</v>
      </c>
      <c r="E92" s="56" t="s">
        <v>167</v>
      </c>
      <c r="F92" s="57" t="s">
        <v>87</v>
      </c>
      <c r="G92" s="61"/>
      <c r="H92" s="79"/>
      <c r="I92" s="60"/>
      <c r="J92" s="53"/>
    </row>
    <row r="93" ht="24.75" hidden="1" customHeight="1">
      <c r="A93" s="54">
        <v>90.0</v>
      </c>
      <c r="B93" s="56" t="s">
        <v>294</v>
      </c>
      <c r="C93" s="56" t="s">
        <v>278</v>
      </c>
      <c r="D93" s="56" t="s">
        <v>275</v>
      </c>
      <c r="E93" s="56" t="s">
        <v>239</v>
      </c>
      <c r="F93" s="57" t="s">
        <v>34</v>
      </c>
      <c r="G93" s="61"/>
      <c r="H93" s="61"/>
      <c r="I93" s="62"/>
      <c r="J93" s="53"/>
    </row>
    <row r="94" ht="24.75" customHeight="1">
      <c r="A94" s="54" t="s">
        <v>289</v>
      </c>
      <c r="B94" s="56" t="s">
        <v>290</v>
      </c>
      <c r="C94" s="56" t="s">
        <v>291</v>
      </c>
      <c r="D94" s="56" t="s">
        <v>292</v>
      </c>
      <c r="E94" s="56" t="s">
        <v>295</v>
      </c>
      <c r="F94" s="57" t="s">
        <v>87</v>
      </c>
      <c r="G94" s="61"/>
      <c r="H94" s="79"/>
      <c r="I94" s="60"/>
      <c r="J94" s="53"/>
    </row>
    <row r="95" ht="24.75" hidden="1" customHeight="1">
      <c r="A95" s="54">
        <v>92.0</v>
      </c>
      <c r="B95" s="56" t="s">
        <v>233</v>
      </c>
      <c r="C95" s="56" t="s">
        <v>234</v>
      </c>
      <c r="D95" s="56" t="s">
        <v>296</v>
      </c>
      <c r="E95" s="56" t="s">
        <v>297</v>
      </c>
      <c r="F95" s="57"/>
      <c r="G95" s="61"/>
      <c r="H95" s="61"/>
      <c r="I95" s="62" t="s">
        <v>283</v>
      </c>
      <c r="J95" s="53"/>
    </row>
    <row r="96" ht="24.75" hidden="1" customHeight="1">
      <c r="A96" s="54">
        <v>90.0</v>
      </c>
      <c r="B96" s="56" t="s">
        <v>298</v>
      </c>
      <c r="C96" s="56" t="s">
        <v>278</v>
      </c>
      <c r="D96" s="56" t="s">
        <v>299</v>
      </c>
      <c r="E96" s="56" t="s">
        <v>167</v>
      </c>
      <c r="F96" s="57" t="s">
        <v>15</v>
      </c>
      <c r="G96" s="61"/>
      <c r="H96" s="61"/>
      <c r="I96" s="60"/>
      <c r="J96" s="53"/>
    </row>
    <row r="97" ht="24.75" hidden="1" customHeight="1">
      <c r="A97" s="54">
        <v>92.0</v>
      </c>
      <c r="B97" s="56" t="s">
        <v>253</v>
      </c>
      <c r="C97" s="56" t="s">
        <v>234</v>
      </c>
      <c r="D97" s="56" t="s">
        <v>300</v>
      </c>
      <c r="E97" s="56" t="s">
        <v>297</v>
      </c>
      <c r="F97" s="57"/>
      <c r="G97" s="61"/>
      <c r="H97" s="61"/>
      <c r="I97" s="62" t="s">
        <v>283</v>
      </c>
      <c r="J97" s="53"/>
    </row>
    <row r="98" ht="24.75" hidden="1" customHeight="1">
      <c r="A98" s="54">
        <v>92.0</v>
      </c>
      <c r="B98" s="56" t="s">
        <v>301</v>
      </c>
      <c r="C98" s="56" t="s">
        <v>234</v>
      </c>
      <c r="D98" s="56" t="s">
        <v>302</v>
      </c>
      <c r="E98" s="56" t="s">
        <v>163</v>
      </c>
      <c r="F98" s="57" t="s">
        <v>34</v>
      </c>
      <c r="G98" s="61"/>
      <c r="H98" s="61"/>
      <c r="I98" s="62"/>
      <c r="J98" s="53"/>
    </row>
    <row r="99" ht="24.75" hidden="1" customHeight="1">
      <c r="A99" s="54">
        <v>92.0</v>
      </c>
      <c r="B99" s="56" t="s">
        <v>301</v>
      </c>
      <c r="C99" s="56" t="s">
        <v>234</v>
      </c>
      <c r="D99" s="56" t="s">
        <v>302</v>
      </c>
      <c r="E99" s="56" t="s">
        <v>111</v>
      </c>
      <c r="F99" s="57" t="s">
        <v>154</v>
      </c>
      <c r="G99" s="61"/>
      <c r="H99" s="61"/>
      <c r="I99" s="62"/>
      <c r="J99" s="53"/>
    </row>
    <row r="100" ht="24.75" hidden="1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248</v>
      </c>
      <c r="F100" s="57" t="s">
        <v>303</v>
      </c>
      <c r="G100" s="61"/>
      <c r="H100" s="61"/>
      <c r="I100" s="62"/>
      <c r="J100" s="53"/>
    </row>
    <row r="101" ht="24.75" hidden="1" customHeight="1">
      <c r="A101" s="54">
        <v>92.0</v>
      </c>
      <c r="B101" s="56" t="s">
        <v>301</v>
      </c>
      <c r="C101" s="56" t="s">
        <v>234</v>
      </c>
      <c r="D101" s="56" t="s">
        <v>302</v>
      </c>
      <c r="E101" s="56" t="s">
        <v>247</v>
      </c>
      <c r="F101" s="57" t="s">
        <v>303</v>
      </c>
      <c r="G101" s="61"/>
      <c r="H101" s="61"/>
      <c r="I101" s="62"/>
      <c r="J101" s="53"/>
    </row>
    <row r="102" ht="24.75" hidden="1" customHeight="1">
      <c r="A102" s="54">
        <v>92.0</v>
      </c>
      <c r="B102" s="56" t="s">
        <v>304</v>
      </c>
      <c r="C102" s="56" t="s">
        <v>234</v>
      </c>
      <c r="D102" s="56" t="s">
        <v>305</v>
      </c>
      <c r="E102" s="56" t="s">
        <v>163</v>
      </c>
      <c r="F102" s="57" t="s">
        <v>34</v>
      </c>
      <c r="G102" s="61"/>
      <c r="H102" s="61"/>
      <c r="I102" s="62"/>
      <c r="J102" s="53"/>
    </row>
    <row r="103" ht="24.75" hidden="1" customHeight="1">
      <c r="A103" s="54">
        <v>92.0</v>
      </c>
      <c r="B103" s="56" t="s">
        <v>304</v>
      </c>
      <c r="C103" s="56" t="s">
        <v>234</v>
      </c>
      <c r="D103" s="56" t="s">
        <v>305</v>
      </c>
      <c r="E103" s="56" t="s">
        <v>111</v>
      </c>
      <c r="F103" s="57" t="s">
        <v>154</v>
      </c>
      <c r="G103" s="61"/>
      <c r="H103" s="61"/>
      <c r="I103" s="62"/>
      <c r="J103" s="53"/>
    </row>
    <row r="104" ht="24.75" hidden="1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248</v>
      </c>
      <c r="F104" s="57" t="s">
        <v>303</v>
      </c>
      <c r="G104" s="61"/>
      <c r="H104" s="61"/>
      <c r="I104" s="62"/>
      <c r="J104" s="53"/>
    </row>
    <row r="105" ht="24.75" hidden="1" customHeight="1">
      <c r="A105" s="54">
        <v>92.0</v>
      </c>
      <c r="B105" s="56" t="s">
        <v>304</v>
      </c>
      <c r="C105" s="56" t="s">
        <v>234</v>
      </c>
      <c r="D105" s="56" t="s">
        <v>305</v>
      </c>
      <c r="E105" s="56" t="s">
        <v>247</v>
      </c>
      <c r="F105" s="57" t="s">
        <v>303</v>
      </c>
      <c r="G105" s="61"/>
      <c r="H105" s="61"/>
      <c r="I105" s="62"/>
      <c r="J105" s="53"/>
    </row>
    <row r="106" ht="24.75" hidden="1" customHeight="1">
      <c r="A106" s="54">
        <v>92.0</v>
      </c>
      <c r="B106" s="56" t="s">
        <v>306</v>
      </c>
      <c r="C106" s="56" t="s">
        <v>234</v>
      </c>
      <c r="D106" s="56" t="s">
        <v>307</v>
      </c>
      <c r="E106" s="56" t="s">
        <v>163</v>
      </c>
      <c r="F106" s="57" t="s">
        <v>34</v>
      </c>
      <c r="G106" s="61"/>
      <c r="H106" s="61"/>
      <c r="I106" s="62"/>
      <c r="J106" s="53"/>
    </row>
    <row r="107" ht="24.75" hidden="1" customHeight="1">
      <c r="A107" s="54">
        <v>92.0</v>
      </c>
      <c r="B107" s="56" t="s">
        <v>306</v>
      </c>
      <c r="C107" s="56" t="s">
        <v>234</v>
      </c>
      <c r="D107" s="56" t="s">
        <v>307</v>
      </c>
      <c r="E107" s="56" t="s">
        <v>111</v>
      </c>
      <c r="F107" s="57" t="s">
        <v>154</v>
      </c>
      <c r="G107" s="61"/>
      <c r="H107" s="61"/>
      <c r="I107" s="62"/>
      <c r="J107" s="53"/>
    </row>
    <row r="108" ht="24.75" hidden="1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248</v>
      </c>
      <c r="F108" s="57" t="s">
        <v>303</v>
      </c>
      <c r="G108" s="61"/>
      <c r="H108" s="61"/>
      <c r="I108" s="62"/>
      <c r="J108" s="53"/>
    </row>
    <row r="109" ht="24.75" hidden="1" customHeight="1">
      <c r="A109" s="54">
        <v>92.0</v>
      </c>
      <c r="B109" s="56" t="s">
        <v>306</v>
      </c>
      <c r="C109" s="56" t="s">
        <v>234</v>
      </c>
      <c r="D109" s="56" t="s">
        <v>307</v>
      </c>
      <c r="E109" s="56" t="s">
        <v>247</v>
      </c>
      <c r="F109" s="57" t="s">
        <v>303</v>
      </c>
      <c r="G109" s="61"/>
      <c r="H109" s="61"/>
      <c r="I109" s="62"/>
      <c r="J109" s="53"/>
    </row>
    <row r="110" ht="24.75" hidden="1" customHeight="1">
      <c r="A110" s="54">
        <v>90.0</v>
      </c>
      <c r="B110" s="56" t="s">
        <v>236</v>
      </c>
      <c r="C110" s="56" t="s">
        <v>237</v>
      </c>
      <c r="D110" s="56" t="s">
        <v>238</v>
      </c>
      <c r="E110" s="56" t="s">
        <v>308</v>
      </c>
      <c r="F110" s="57" t="s">
        <v>15</v>
      </c>
      <c r="G110" s="61"/>
      <c r="H110" s="61"/>
      <c r="I110" s="60"/>
      <c r="J110" s="53"/>
    </row>
    <row r="111" ht="24.75" hidden="1" customHeight="1">
      <c r="A111" s="54">
        <v>92.0</v>
      </c>
      <c r="B111" s="56" t="s">
        <v>309</v>
      </c>
      <c r="C111" s="56" t="s">
        <v>234</v>
      </c>
      <c r="D111" s="80" t="s">
        <v>310</v>
      </c>
      <c r="E111" s="56" t="s">
        <v>297</v>
      </c>
      <c r="F111" s="57"/>
      <c r="G111" s="61"/>
      <c r="H111" s="61"/>
      <c r="I111" s="62"/>
      <c r="J111" s="53"/>
    </row>
    <row r="112" ht="24.75" hidden="1" customHeight="1">
      <c r="A112" s="54">
        <v>90.0</v>
      </c>
      <c r="B112" s="56" t="s">
        <v>236</v>
      </c>
      <c r="C112" s="56" t="s">
        <v>237</v>
      </c>
      <c r="D112" s="56" t="s">
        <v>238</v>
      </c>
      <c r="E112" s="56" t="s">
        <v>311</v>
      </c>
      <c r="F112" s="57" t="s">
        <v>15</v>
      </c>
      <c r="G112" s="61"/>
      <c r="H112" s="61"/>
      <c r="I112" s="60"/>
      <c r="J112" s="53"/>
    </row>
    <row r="113" ht="24.75" hidden="1" customHeight="1">
      <c r="A113" s="54">
        <v>90.0</v>
      </c>
      <c r="B113" s="56" t="s">
        <v>236</v>
      </c>
      <c r="C113" s="56" t="s">
        <v>237</v>
      </c>
      <c r="D113" s="56" t="s">
        <v>238</v>
      </c>
      <c r="E113" s="56" t="s">
        <v>312</v>
      </c>
      <c r="F113" s="57" t="s">
        <v>15</v>
      </c>
      <c r="G113" s="61"/>
      <c r="H113" s="61"/>
      <c r="I113" s="60"/>
      <c r="J113" s="53"/>
    </row>
    <row r="114" ht="24.75" hidden="1" customHeight="1">
      <c r="A114" s="54">
        <v>100.0</v>
      </c>
      <c r="B114" s="56" t="s">
        <v>314</v>
      </c>
      <c r="C114" s="56" t="s">
        <v>315</v>
      </c>
      <c r="D114" s="56" t="s">
        <v>316</v>
      </c>
      <c r="E114" s="56" t="s">
        <v>317</v>
      </c>
      <c r="F114" s="57" t="s">
        <v>34</v>
      </c>
      <c r="G114" s="81"/>
      <c r="H114" s="81"/>
      <c r="I114" s="57"/>
      <c r="J114" s="53"/>
    </row>
    <row r="115" ht="24.75" hidden="1" customHeight="1">
      <c r="A115" s="54">
        <v>100.0</v>
      </c>
      <c r="B115" s="56" t="s">
        <v>318</v>
      </c>
      <c r="C115" s="56" t="s">
        <v>315</v>
      </c>
      <c r="D115" s="56" t="s">
        <v>319</v>
      </c>
      <c r="E115" s="56" t="s">
        <v>320</v>
      </c>
      <c r="F115" s="57" t="s">
        <v>34</v>
      </c>
      <c r="G115" s="81"/>
      <c r="H115" s="81"/>
      <c r="I115" s="57"/>
      <c r="J115" s="5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82"/>
      <c r="EB115" s="82"/>
      <c r="EC115" s="82"/>
      <c r="ED115" s="82"/>
      <c r="EE115" s="82"/>
      <c r="EF115" s="82"/>
      <c r="EG115" s="82"/>
      <c r="EH115" s="82"/>
      <c r="EI115" s="82"/>
      <c r="EJ115" s="82"/>
      <c r="EK115" s="82"/>
      <c r="EL115" s="82"/>
      <c r="EM115" s="82"/>
      <c r="EN115" s="82"/>
      <c r="EO115" s="82"/>
      <c r="EP115" s="82"/>
      <c r="EQ115" s="82"/>
      <c r="ER115" s="82"/>
      <c r="ES115" s="82"/>
      <c r="ET115" s="82"/>
      <c r="EU115" s="82"/>
      <c r="EV115" s="82"/>
      <c r="EW115" s="82"/>
      <c r="EX115" s="82"/>
      <c r="EY115" s="82"/>
      <c r="EZ115" s="82"/>
      <c r="FA115" s="82"/>
      <c r="FB115" s="82"/>
      <c r="FC115" s="82"/>
      <c r="FD115" s="82"/>
      <c r="FE115" s="82"/>
      <c r="FF115" s="82"/>
      <c r="FG115" s="82"/>
      <c r="FH115" s="82"/>
      <c r="FI115" s="82"/>
      <c r="FJ115" s="82"/>
      <c r="FK115" s="82"/>
      <c r="FL115" s="82"/>
      <c r="FM115" s="82"/>
      <c r="FN115" s="82"/>
      <c r="FO115" s="82"/>
      <c r="FP115" s="82"/>
      <c r="FQ115" s="82"/>
      <c r="FR115" s="82"/>
      <c r="FS115" s="82"/>
      <c r="FT115" s="82"/>
      <c r="FU115" s="82"/>
      <c r="FV115" s="82"/>
      <c r="FW115" s="82"/>
      <c r="FX115" s="82"/>
      <c r="FY115" s="82"/>
      <c r="FZ115" s="82"/>
      <c r="GA115" s="82"/>
      <c r="GB115" s="82"/>
      <c r="GC115" s="82"/>
      <c r="GD115" s="82"/>
      <c r="GE115" s="82"/>
      <c r="GF115" s="82"/>
    </row>
    <row r="116" ht="24.75" hidden="1" customHeight="1">
      <c r="A116" s="54">
        <v>100.0</v>
      </c>
      <c r="B116" s="56" t="s">
        <v>318</v>
      </c>
      <c r="C116" s="56" t="s">
        <v>315</v>
      </c>
      <c r="D116" s="56" t="s">
        <v>319</v>
      </c>
      <c r="E116" s="56" t="s">
        <v>325</v>
      </c>
      <c r="F116" s="57" t="s">
        <v>34</v>
      </c>
      <c r="G116" s="53"/>
      <c r="H116" s="53"/>
      <c r="I116" s="53"/>
      <c r="J116" s="5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F116" s="82"/>
      <c r="EG116" s="82"/>
      <c r="EH116" s="82"/>
      <c r="EI116" s="82"/>
      <c r="EJ116" s="82"/>
      <c r="EK116" s="82"/>
      <c r="EL116" s="82"/>
      <c r="EM116" s="82"/>
      <c r="EN116" s="82"/>
      <c r="EO116" s="82"/>
      <c r="EP116" s="82"/>
      <c r="EQ116" s="82"/>
      <c r="ER116" s="82"/>
      <c r="ES116" s="82"/>
      <c r="ET116" s="82"/>
      <c r="EU116" s="82"/>
      <c r="EV116" s="82"/>
      <c r="EW116" s="82"/>
      <c r="EX116" s="82"/>
      <c r="EY116" s="82"/>
      <c r="EZ116" s="82"/>
      <c r="FA116" s="82"/>
      <c r="FB116" s="82"/>
      <c r="FC116" s="82"/>
      <c r="FD116" s="82"/>
      <c r="FE116" s="82"/>
      <c r="FF116" s="82"/>
      <c r="FG116" s="82"/>
      <c r="FH116" s="82"/>
      <c r="FI116" s="82"/>
      <c r="FJ116" s="82"/>
      <c r="FK116" s="82"/>
      <c r="FL116" s="82"/>
      <c r="FM116" s="82"/>
      <c r="FN116" s="82"/>
      <c r="FO116" s="82"/>
      <c r="FP116" s="82"/>
      <c r="FQ116" s="82"/>
      <c r="FR116" s="82"/>
      <c r="FS116" s="82"/>
      <c r="FT116" s="82"/>
      <c r="FU116" s="82"/>
      <c r="FV116" s="82"/>
      <c r="FW116" s="82"/>
      <c r="FX116" s="82"/>
      <c r="FY116" s="82"/>
      <c r="FZ116" s="82"/>
      <c r="GA116" s="82"/>
      <c r="GB116" s="82"/>
      <c r="GC116" s="82"/>
      <c r="GD116" s="82"/>
      <c r="GE116" s="82"/>
      <c r="GF116" s="82"/>
    </row>
    <row r="117" ht="24.75" hidden="1" customHeight="1">
      <c r="A117" s="54">
        <v>100.0</v>
      </c>
      <c r="B117" s="56" t="s">
        <v>328</v>
      </c>
      <c r="C117" s="56" t="s">
        <v>315</v>
      </c>
      <c r="D117" s="56" t="s">
        <v>329</v>
      </c>
      <c r="E117" s="56" t="s">
        <v>320</v>
      </c>
      <c r="F117" s="57" t="s">
        <v>34</v>
      </c>
      <c r="G117" s="53"/>
      <c r="H117" s="53"/>
      <c r="I117" s="53"/>
      <c r="J117" s="5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  <c r="FU117" s="82"/>
      <c r="FV117" s="82"/>
      <c r="FW117" s="82"/>
      <c r="FX117" s="82"/>
      <c r="FY117" s="82"/>
      <c r="FZ117" s="82"/>
      <c r="GA117" s="82"/>
      <c r="GB117" s="82"/>
      <c r="GC117" s="82"/>
      <c r="GD117" s="82"/>
      <c r="GE117" s="82"/>
      <c r="GF117" s="82"/>
    </row>
    <row r="118" ht="24.75" hidden="1" customHeight="1">
      <c r="A118" s="54">
        <v>100.0</v>
      </c>
      <c r="B118" s="56" t="s">
        <v>328</v>
      </c>
      <c r="C118" s="56" t="s">
        <v>315</v>
      </c>
      <c r="D118" s="56" t="s">
        <v>329</v>
      </c>
      <c r="E118" s="56" t="s">
        <v>325</v>
      </c>
      <c r="F118" s="57" t="s">
        <v>34</v>
      </c>
      <c r="G118" s="53"/>
      <c r="H118" s="53"/>
      <c r="I118" s="53"/>
      <c r="J118" s="5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  <c r="FU118" s="82"/>
      <c r="FV118" s="82"/>
      <c r="FW118" s="82"/>
      <c r="FX118" s="82"/>
      <c r="FY118" s="82"/>
      <c r="FZ118" s="82"/>
      <c r="GA118" s="82"/>
      <c r="GB118" s="82"/>
      <c r="GC118" s="82"/>
      <c r="GD118" s="82"/>
      <c r="GE118" s="82"/>
      <c r="GF118" s="82"/>
    </row>
    <row r="119" ht="24.75" hidden="1" customHeight="1">
      <c r="A119" s="54">
        <v>100.0</v>
      </c>
      <c r="B119" s="56" t="s">
        <v>331</v>
      </c>
      <c r="C119" s="56" t="s">
        <v>315</v>
      </c>
      <c r="D119" s="56" t="s">
        <v>332</v>
      </c>
      <c r="E119" s="56" t="s">
        <v>333</v>
      </c>
      <c r="F119" s="57" t="s">
        <v>250</v>
      </c>
      <c r="G119" s="50"/>
      <c r="H119" s="61" t="s">
        <v>346</v>
      </c>
      <c r="I119" s="84" t="s">
        <v>347</v>
      </c>
      <c r="J119" s="53"/>
    </row>
    <row r="120" ht="24.75" hidden="1" customHeight="1">
      <c r="A120" s="54">
        <v>100.0</v>
      </c>
      <c r="B120" s="56" t="s">
        <v>334</v>
      </c>
      <c r="C120" s="56" t="s">
        <v>315</v>
      </c>
      <c r="D120" s="56" t="s">
        <v>335</v>
      </c>
      <c r="E120" s="56" t="s">
        <v>336</v>
      </c>
      <c r="F120" s="57" t="s">
        <v>192</v>
      </c>
      <c r="G120" s="50"/>
      <c r="H120" s="50"/>
      <c r="I120" s="84"/>
      <c r="J120" s="53"/>
    </row>
    <row r="121" ht="24.75" hidden="1" customHeight="1">
      <c r="A121" s="54">
        <v>90.0</v>
      </c>
      <c r="B121" s="56" t="s">
        <v>337</v>
      </c>
      <c r="C121" s="56" t="s">
        <v>237</v>
      </c>
      <c r="D121" s="56" t="s">
        <v>338</v>
      </c>
      <c r="E121" s="56" t="s">
        <v>111</v>
      </c>
      <c r="F121" s="57" t="s">
        <v>15</v>
      </c>
      <c r="G121" s="61"/>
      <c r="H121" s="61"/>
      <c r="I121" s="60"/>
      <c r="J121" s="53"/>
    </row>
    <row r="122" ht="24.75" hidden="1" customHeight="1">
      <c r="A122" s="54">
        <v>101.0</v>
      </c>
      <c r="B122" s="56" t="s">
        <v>339</v>
      </c>
      <c r="C122" s="56" t="s">
        <v>315</v>
      </c>
      <c r="D122" s="56" t="s">
        <v>340</v>
      </c>
      <c r="E122" s="56" t="s">
        <v>341</v>
      </c>
      <c r="F122" s="57" t="s">
        <v>154</v>
      </c>
      <c r="G122" s="61"/>
      <c r="H122" s="61"/>
      <c r="I122" s="62"/>
      <c r="J122" s="53"/>
    </row>
    <row r="123" ht="24.75" hidden="1" customHeight="1">
      <c r="A123" s="54">
        <v>101.0</v>
      </c>
      <c r="B123" s="56" t="s">
        <v>342</v>
      </c>
      <c r="C123" s="56" t="s">
        <v>315</v>
      </c>
      <c r="D123" s="56" t="s">
        <v>340</v>
      </c>
      <c r="E123" s="56" t="s">
        <v>333</v>
      </c>
      <c r="F123" s="57" t="s">
        <v>250</v>
      </c>
      <c r="G123" s="61"/>
      <c r="H123" s="61" t="s">
        <v>346</v>
      </c>
      <c r="I123" s="62" t="s">
        <v>347</v>
      </c>
      <c r="J123" s="53"/>
    </row>
    <row r="124" ht="24.75" hidden="1" customHeight="1">
      <c r="A124" s="54">
        <v>101.0</v>
      </c>
      <c r="B124" s="56" t="s">
        <v>343</v>
      </c>
      <c r="C124" s="56" t="s">
        <v>315</v>
      </c>
      <c r="D124" s="56" t="s">
        <v>340</v>
      </c>
      <c r="E124" s="56" t="s">
        <v>333</v>
      </c>
      <c r="F124" s="57" t="s">
        <v>250</v>
      </c>
      <c r="G124" s="61"/>
      <c r="H124" s="61" t="s">
        <v>346</v>
      </c>
      <c r="I124" s="62" t="s">
        <v>347</v>
      </c>
      <c r="J124" s="53"/>
    </row>
    <row r="125" ht="24.75" hidden="1" customHeight="1">
      <c r="A125" s="54">
        <v>101.0</v>
      </c>
      <c r="B125" s="56" t="s">
        <v>344</v>
      </c>
      <c r="C125" s="56" t="s">
        <v>315</v>
      </c>
      <c r="D125" s="56" t="s">
        <v>340</v>
      </c>
      <c r="E125" s="56" t="s">
        <v>345</v>
      </c>
      <c r="F125" s="57" t="s">
        <v>154</v>
      </c>
      <c r="G125" s="61"/>
      <c r="H125" s="61"/>
      <c r="I125" s="62"/>
      <c r="J125" s="53"/>
    </row>
    <row r="126" ht="24.75" hidden="1" customHeight="1">
      <c r="A126" s="54">
        <v>90.0</v>
      </c>
      <c r="B126" s="56" t="s">
        <v>348</v>
      </c>
      <c r="C126" s="56" t="s">
        <v>237</v>
      </c>
      <c r="D126" s="56" t="s">
        <v>349</v>
      </c>
      <c r="E126" s="56" t="s">
        <v>111</v>
      </c>
      <c r="F126" s="57" t="s">
        <v>15</v>
      </c>
      <c r="G126" s="61"/>
      <c r="H126" s="61"/>
      <c r="I126" s="60"/>
      <c r="J126" s="53"/>
    </row>
    <row r="127" ht="24.75" hidden="1" customHeight="1">
      <c r="A127" s="54">
        <v>101.0</v>
      </c>
      <c r="B127" s="56" t="s">
        <v>350</v>
      </c>
      <c r="C127" s="56" t="s">
        <v>315</v>
      </c>
      <c r="D127" s="56" t="s">
        <v>351</v>
      </c>
      <c r="E127" s="56" t="s">
        <v>352</v>
      </c>
      <c r="F127" s="57" t="s">
        <v>154</v>
      </c>
      <c r="G127" s="61"/>
      <c r="H127" s="61"/>
      <c r="I127" s="62"/>
      <c r="J127" s="53"/>
    </row>
    <row r="128" ht="24.75" hidden="1" customHeight="1">
      <c r="A128" s="54">
        <v>102.0</v>
      </c>
      <c r="B128" s="56" t="s">
        <v>353</v>
      </c>
      <c r="C128" s="56" t="s">
        <v>315</v>
      </c>
      <c r="D128" s="56" t="s">
        <v>354</v>
      </c>
      <c r="E128" s="56" t="s">
        <v>355</v>
      </c>
      <c r="F128" s="57" t="s">
        <v>250</v>
      </c>
      <c r="G128" s="61"/>
      <c r="H128" s="61" t="s">
        <v>346</v>
      </c>
      <c r="I128" s="62" t="s">
        <v>363</v>
      </c>
      <c r="J128" s="53"/>
    </row>
    <row r="129" ht="24.75" hidden="1" customHeight="1">
      <c r="A129" s="54">
        <v>90.0</v>
      </c>
      <c r="B129" s="56" t="s">
        <v>265</v>
      </c>
      <c r="C129" s="56" t="s">
        <v>237</v>
      </c>
      <c r="D129" s="56" t="s">
        <v>266</v>
      </c>
      <c r="E129" s="56" t="s">
        <v>111</v>
      </c>
      <c r="F129" s="57" t="s">
        <v>15</v>
      </c>
      <c r="G129" s="61"/>
      <c r="H129" s="61"/>
      <c r="I129" s="60" t="s">
        <v>283</v>
      </c>
      <c r="J129" s="53"/>
    </row>
    <row r="130" ht="24.75" hidden="1" customHeight="1">
      <c r="A130" s="54">
        <v>110.0</v>
      </c>
      <c r="B130" s="56" t="s">
        <v>356</v>
      </c>
      <c r="C130" s="56" t="s">
        <v>259</v>
      </c>
      <c r="D130" s="56" t="s">
        <v>357</v>
      </c>
      <c r="E130" s="56" t="s">
        <v>358</v>
      </c>
      <c r="F130" s="57" t="s">
        <v>34</v>
      </c>
      <c r="G130" s="61"/>
      <c r="H130" s="61"/>
      <c r="I130" s="62"/>
      <c r="J130" s="53"/>
    </row>
    <row r="131" ht="24.75" hidden="1" customHeight="1">
      <c r="A131" s="54">
        <v>110.0</v>
      </c>
      <c r="B131" s="56" t="s">
        <v>359</v>
      </c>
      <c r="C131" s="56" t="s">
        <v>259</v>
      </c>
      <c r="D131" s="56" t="s">
        <v>360</v>
      </c>
      <c r="E131" s="56" t="s">
        <v>358</v>
      </c>
      <c r="F131" s="57" t="s">
        <v>34</v>
      </c>
      <c r="G131" s="61"/>
      <c r="H131" s="61"/>
      <c r="I131" s="62"/>
      <c r="J131" s="53"/>
    </row>
    <row r="132" ht="24.75" hidden="1" customHeight="1">
      <c r="A132" s="54">
        <v>90.0</v>
      </c>
      <c r="B132" s="56" t="s">
        <v>274</v>
      </c>
      <c r="C132" s="56" t="s">
        <v>237</v>
      </c>
      <c r="D132" s="56" t="s">
        <v>275</v>
      </c>
      <c r="E132" s="56" t="s">
        <v>111</v>
      </c>
      <c r="F132" s="57" t="s">
        <v>15</v>
      </c>
      <c r="G132" s="61"/>
      <c r="H132" s="61"/>
      <c r="I132" s="60"/>
      <c r="J132" s="53"/>
    </row>
    <row r="133" ht="24.75" hidden="1" customHeight="1">
      <c r="A133" s="54">
        <v>90.0</v>
      </c>
      <c r="B133" s="56" t="s">
        <v>280</v>
      </c>
      <c r="C133" s="56" t="s">
        <v>278</v>
      </c>
      <c r="D133" s="56" t="s">
        <v>281</v>
      </c>
      <c r="E133" s="56" t="s">
        <v>272</v>
      </c>
      <c r="F133" s="57" t="s">
        <v>15</v>
      </c>
      <c r="G133" s="61"/>
      <c r="H133" s="61"/>
      <c r="I133" s="60"/>
      <c r="J133" s="53"/>
    </row>
    <row r="134" ht="24.75" hidden="1" customHeight="1">
      <c r="A134" s="54">
        <v>110.0</v>
      </c>
      <c r="B134" s="56" t="s">
        <v>361</v>
      </c>
      <c r="C134" s="56" t="s">
        <v>259</v>
      </c>
      <c r="D134" s="56" t="s">
        <v>362</v>
      </c>
      <c r="E134" s="56" t="s">
        <v>358</v>
      </c>
      <c r="F134" s="57" t="s">
        <v>34</v>
      </c>
      <c r="G134" s="61"/>
      <c r="H134" s="61"/>
      <c r="I134" s="62"/>
      <c r="J134" s="53"/>
    </row>
    <row r="135" ht="24.75" hidden="1" customHeight="1">
      <c r="A135" s="54">
        <v>110.0</v>
      </c>
      <c r="B135" s="56" t="s">
        <v>364</v>
      </c>
      <c r="C135" s="56" t="s">
        <v>259</v>
      </c>
      <c r="D135" s="56" t="s">
        <v>365</v>
      </c>
      <c r="E135" s="56" t="s">
        <v>358</v>
      </c>
      <c r="F135" s="57" t="s">
        <v>34</v>
      </c>
      <c r="G135" s="61"/>
      <c r="H135" s="61"/>
      <c r="I135" s="62"/>
      <c r="J135" s="53"/>
    </row>
    <row r="136" ht="24.75" hidden="1" customHeight="1">
      <c r="A136" s="54">
        <v>110.0</v>
      </c>
      <c r="B136" s="56" t="s">
        <v>366</v>
      </c>
      <c r="C136" s="56" t="s">
        <v>259</v>
      </c>
      <c r="D136" s="56" t="s">
        <v>367</v>
      </c>
      <c r="E136" s="56" t="s">
        <v>358</v>
      </c>
      <c r="F136" s="57" t="s">
        <v>34</v>
      </c>
      <c r="G136" s="61"/>
      <c r="H136" s="61"/>
      <c r="I136" s="62"/>
      <c r="J136" s="53"/>
    </row>
    <row r="137" ht="24.75" hidden="1" customHeight="1">
      <c r="A137" s="54">
        <v>110.0</v>
      </c>
      <c r="B137" s="56" t="s">
        <v>368</v>
      </c>
      <c r="C137" s="56" t="s">
        <v>259</v>
      </c>
      <c r="D137" s="56" t="s">
        <v>369</v>
      </c>
      <c r="E137" s="56" t="s">
        <v>358</v>
      </c>
      <c r="F137" s="57" t="s">
        <v>34</v>
      </c>
      <c r="G137" s="61"/>
      <c r="H137" s="61"/>
      <c r="I137" s="62"/>
      <c r="J137" s="53"/>
    </row>
    <row r="138" ht="24.75" hidden="1" customHeight="1">
      <c r="A138" s="54">
        <v>110.0</v>
      </c>
      <c r="B138" s="56" t="s">
        <v>370</v>
      </c>
      <c r="C138" s="56" t="s">
        <v>259</v>
      </c>
      <c r="D138" s="56" t="s">
        <v>371</v>
      </c>
      <c r="E138" s="56" t="s">
        <v>336</v>
      </c>
      <c r="F138" s="57" t="s">
        <v>192</v>
      </c>
      <c r="G138" s="61"/>
      <c r="H138" s="61"/>
      <c r="I138" s="62"/>
      <c r="J138" s="53"/>
    </row>
    <row r="139" ht="24.75" hidden="1" customHeight="1">
      <c r="A139" s="54">
        <v>110.0</v>
      </c>
      <c r="B139" s="56" t="s">
        <v>370</v>
      </c>
      <c r="C139" s="56" t="s">
        <v>259</v>
      </c>
      <c r="D139" s="56" t="s">
        <v>371</v>
      </c>
      <c r="E139" s="56" t="s">
        <v>372</v>
      </c>
      <c r="F139" s="57" t="s">
        <v>34</v>
      </c>
      <c r="G139" s="61"/>
      <c r="H139" s="61"/>
      <c r="I139" s="62"/>
      <c r="J139" s="53"/>
    </row>
    <row r="140" ht="24.75" hidden="1" customHeight="1">
      <c r="A140" s="54">
        <v>110.0</v>
      </c>
      <c r="B140" s="56" t="s">
        <v>370</v>
      </c>
      <c r="C140" s="56" t="s">
        <v>259</v>
      </c>
      <c r="D140" s="56" t="s">
        <v>371</v>
      </c>
      <c r="E140" s="56" t="s">
        <v>158</v>
      </c>
      <c r="F140" s="57" t="s">
        <v>34</v>
      </c>
      <c r="G140" s="61"/>
      <c r="H140" s="61"/>
      <c r="I140" s="62"/>
      <c r="J140" s="53"/>
    </row>
    <row r="141" ht="24.75" hidden="1" customHeight="1">
      <c r="A141" s="54">
        <v>110.0</v>
      </c>
      <c r="B141" s="56" t="s">
        <v>373</v>
      </c>
      <c r="C141" s="56" t="s">
        <v>259</v>
      </c>
      <c r="D141" s="56" t="s">
        <v>374</v>
      </c>
      <c r="E141" s="56" t="s">
        <v>336</v>
      </c>
      <c r="F141" s="57" t="s">
        <v>192</v>
      </c>
      <c r="G141" s="61"/>
      <c r="H141" s="61"/>
      <c r="I141" s="62"/>
      <c r="J141" s="53"/>
    </row>
    <row r="142" ht="24.75" hidden="1" customHeight="1">
      <c r="A142" s="54">
        <v>110.0</v>
      </c>
      <c r="B142" s="56" t="s">
        <v>375</v>
      </c>
      <c r="C142" s="56" t="s">
        <v>259</v>
      </c>
      <c r="D142" s="56" t="s">
        <v>376</v>
      </c>
      <c r="E142" s="56" t="s">
        <v>336</v>
      </c>
      <c r="F142" s="57" t="s">
        <v>192</v>
      </c>
      <c r="G142" s="61"/>
      <c r="H142" s="61"/>
      <c r="I142" s="62"/>
      <c r="J142" s="53"/>
    </row>
    <row r="143" ht="24.75" hidden="1" customHeight="1">
      <c r="A143" s="54">
        <v>110.0</v>
      </c>
      <c r="B143" s="56" t="s">
        <v>375</v>
      </c>
      <c r="C143" s="56" t="s">
        <v>259</v>
      </c>
      <c r="D143" s="56" t="s">
        <v>376</v>
      </c>
      <c r="E143" s="56" t="s">
        <v>372</v>
      </c>
      <c r="F143" s="57" t="s">
        <v>34</v>
      </c>
      <c r="G143" s="61"/>
      <c r="H143" s="61"/>
      <c r="I143" s="62"/>
      <c r="J143" s="53"/>
    </row>
    <row r="144" ht="24.75" hidden="1" customHeight="1">
      <c r="A144" s="54">
        <v>110.0</v>
      </c>
      <c r="B144" s="56" t="s">
        <v>375</v>
      </c>
      <c r="C144" s="56" t="s">
        <v>259</v>
      </c>
      <c r="D144" s="56" t="s">
        <v>376</v>
      </c>
      <c r="E144" s="56" t="s">
        <v>158</v>
      </c>
      <c r="F144" s="57" t="s">
        <v>34</v>
      </c>
      <c r="G144" s="61"/>
      <c r="H144" s="61"/>
      <c r="I144" s="62"/>
      <c r="J144" s="53"/>
    </row>
    <row r="145" ht="24.75" hidden="1" customHeight="1">
      <c r="A145" s="54">
        <v>110.0</v>
      </c>
      <c r="B145" s="56" t="s">
        <v>377</v>
      </c>
      <c r="C145" s="56" t="s">
        <v>259</v>
      </c>
      <c r="D145" s="56" t="s">
        <v>378</v>
      </c>
      <c r="E145" s="56" t="s">
        <v>336</v>
      </c>
      <c r="F145" s="57" t="s">
        <v>192</v>
      </c>
      <c r="G145" s="61"/>
      <c r="H145" s="61"/>
      <c r="I145" s="62"/>
      <c r="J145" s="53"/>
    </row>
    <row r="146" ht="24.75" hidden="1" customHeight="1">
      <c r="A146" s="54">
        <v>110.0</v>
      </c>
      <c r="B146" s="56" t="s">
        <v>380</v>
      </c>
      <c r="C146" s="56" t="s">
        <v>259</v>
      </c>
      <c r="D146" s="56" t="s">
        <v>381</v>
      </c>
      <c r="E146" s="56" t="s">
        <v>336</v>
      </c>
      <c r="F146" s="57" t="s">
        <v>192</v>
      </c>
      <c r="G146" s="61"/>
      <c r="H146" s="61"/>
      <c r="I146" s="62"/>
      <c r="J146" s="53"/>
    </row>
    <row r="147" ht="24.75" hidden="1" customHeight="1">
      <c r="A147" s="54">
        <v>110.0</v>
      </c>
      <c r="B147" s="56" t="s">
        <v>382</v>
      </c>
      <c r="C147" s="56" t="s">
        <v>259</v>
      </c>
      <c r="D147" s="56" t="s">
        <v>383</v>
      </c>
      <c r="E147" s="56" t="s">
        <v>336</v>
      </c>
      <c r="F147" s="57" t="s">
        <v>192</v>
      </c>
      <c r="G147" s="61"/>
      <c r="H147" s="61"/>
      <c r="I147" s="62"/>
      <c r="J147" s="53"/>
    </row>
    <row r="148" ht="24.75" hidden="1" customHeight="1">
      <c r="A148" s="54">
        <v>110.0</v>
      </c>
      <c r="B148" s="56" t="s">
        <v>385</v>
      </c>
      <c r="C148" s="56" t="s">
        <v>259</v>
      </c>
      <c r="D148" s="56" t="s">
        <v>386</v>
      </c>
      <c r="E148" s="56" t="s">
        <v>336</v>
      </c>
      <c r="F148" s="57" t="s">
        <v>192</v>
      </c>
      <c r="G148" s="61"/>
      <c r="H148" s="61"/>
      <c r="I148" s="62"/>
      <c r="J148" s="53"/>
    </row>
    <row r="149" ht="24.75" hidden="1" customHeight="1">
      <c r="A149" s="54">
        <v>110.0</v>
      </c>
      <c r="B149" s="56" t="s">
        <v>385</v>
      </c>
      <c r="C149" s="56" t="s">
        <v>259</v>
      </c>
      <c r="D149" s="56" t="s">
        <v>386</v>
      </c>
      <c r="E149" s="56" t="s">
        <v>372</v>
      </c>
      <c r="F149" s="57" t="s">
        <v>34</v>
      </c>
      <c r="G149" s="61"/>
      <c r="H149" s="61"/>
      <c r="I149" s="62"/>
      <c r="J149" s="53"/>
    </row>
    <row r="150" ht="24.75" hidden="1" customHeight="1">
      <c r="A150" s="54">
        <v>110.0</v>
      </c>
      <c r="B150" s="56" t="s">
        <v>385</v>
      </c>
      <c r="C150" s="56" t="s">
        <v>259</v>
      </c>
      <c r="D150" s="56" t="s">
        <v>386</v>
      </c>
      <c r="E150" s="56" t="s">
        <v>158</v>
      </c>
      <c r="F150" s="57" t="s">
        <v>34</v>
      </c>
      <c r="G150" s="61"/>
      <c r="H150" s="61"/>
      <c r="I150" s="62"/>
      <c r="J150" s="53"/>
    </row>
    <row r="151" ht="24.75" hidden="1" customHeight="1">
      <c r="A151" s="54">
        <v>110.0</v>
      </c>
      <c r="B151" s="56" t="s">
        <v>388</v>
      </c>
      <c r="C151" s="56" t="s">
        <v>259</v>
      </c>
      <c r="D151" s="56" t="s">
        <v>389</v>
      </c>
      <c r="E151" s="56" t="s">
        <v>336</v>
      </c>
      <c r="F151" s="57" t="s">
        <v>192</v>
      </c>
      <c r="G151" s="61"/>
      <c r="H151" s="61"/>
      <c r="I151" s="62"/>
      <c r="J151" s="53"/>
    </row>
    <row r="152" ht="24.75" hidden="1" customHeight="1">
      <c r="A152" s="54">
        <v>110.0</v>
      </c>
      <c r="B152" s="56" t="s">
        <v>388</v>
      </c>
      <c r="C152" s="56" t="s">
        <v>259</v>
      </c>
      <c r="D152" s="56" t="s">
        <v>389</v>
      </c>
      <c r="E152" s="56" t="s">
        <v>372</v>
      </c>
      <c r="F152" s="57" t="s">
        <v>34</v>
      </c>
      <c r="G152" s="61"/>
      <c r="H152" s="61"/>
      <c r="I152" s="62"/>
      <c r="J152" s="53"/>
    </row>
    <row r="153" ht="24.75" hidden="1" customHeight="1">
      <c r="A153" s="54">
        <v>110.0</v>
      </c>
      <c r="B153" s="56" t="s">
        <v>388</v>
      </c>
      <c r="C153" s="56" t="s">
        <v>259</v>
      </c>
      <c r="D153" s="56" t="s">
        <v>389</v>
      </c>
      <c r="E153" s="56" t="s">
        <v>158</v>
      </c>
      <c r="F153" s="57" t="s">
        <v>34</v>
      </c>
      <c r="G153" s="61"/>
      <c r="H153" s="61"/>
      <c r="I153" s="62"/>
      <c r="J153" s="53"/>
    </row>
    <row r="154" ht="24.75" hidden="1" customHeight="1">
      <c r="A154" s="54">
        <v>110.0</v>
      </c>
      <c r="B154" s="56" t="s">
        <v>390</v>
      </c>
      <c r="C154" s="56" t="s">
        <v>259</v>
      </c>
      <c r="D154" s="56" t="s">
        <v>391</v>
      </c>
      <c r="E154" s="56" t="s">
        <v>372</v>
      </c>
      <c r="F154" s="57" t="s">
        <v>34</v>
      </c>
      <c r="G154" s="61"/>
      <c r="H154" s="61"/>
      <c r="I154" s="62"/>
      <c r="J154" s="53"/>
    </row>
    <row r="155" ht="24.75" hidden="1" customHeight="1">
      <c r="A155" s="54">
        <v>110.0</v>
      </c>
      <c r="B155" s="56" t="s">
        <v>390</v>
      </c>
      <c r="C155" s="56" t="s">
        <v>259</v>
      </c>
      <c r="D155" s="56" t="s">
        <v>391</v>
      </c>
      <c r="E155" s="56" t="s">
        <v>158</v>
      </c>
      <c r="F155" s="57" t="s">
        <v>34</v>
      </c>
      <c r="G155" s="61"/>
      <c r="H155" s="61"/>
      <c r="I155" s="62"/>
      <c r="J155" s="53"/>
    </row>
    <row r="156" ht="24.75" hidden="1" customHeight="1">
      <c r="A156" s="54">
        <v>110.0</v>
      </c>
      <c r="B156" s="56" t="s">
        <v>392</v>
      </c>
      <c r="C156" s="56" t="s">
        <v>101</v>
      </c>
      <c r="D156" s="56" t="s">
        <v>102</v>
      </c>
      <c r="E156" s="56" t="s">
        <v>111</v>
      </c>
      <c r="F156" s="57" t="s">
        <v>34</v>
      </c>
      <c r="G156" s="61"/>
      <c r="H156" s="61"/>
      <c r="I156" s="62"/>
      <c r="J156" s="53"/>
    </row>
    <row r="157" ht="24.75" hidden="1" customHeight="1">
      <c r="A157" s="54">
        <v>120.0</v>
      </c>
      <c r="B157" s="56" t="s">
        <v>393</v>
      </c>
      <c r="C157" s="56" t="s">
        <v>394</v>
      </c>
      <c r="D157" s="56" t="s">
        <v>299</v>
      </c>
      <c r="E157" s="56" t="s">
        <v>163</v>
      </c>
      <c r="F157" s="57" t="s">
        <v>154</v>
      </c>
      <c r="G157" s="61"/>
      <c r="H157" s="61"/>
      <c r="I157" s="62" t="s">
        <v>207</v>
      </c>
      <c r="J157" s="53"/>
    </row>
    <row r="158" ht="24.75" hidden="1" customHeight="1">
      <c r="A158" s="54">
        <v>120.0</v>
      </c>
      <c r="B158" s="56" t="s">
        <v>395</v>
      </c>
      <c r="C158" s="56" t="s">
        <v>394</v>
      </c>
      <c r="D158" s="56" t="s">
        <v>172</v>
      </c>
      <c r="E158" s="56" t="s">
        <v>163</v>
      </c>
      <c r="F158" s="57" t="s">
        <v>154</v>
      </c>
      <c r="G158" s="61"/>
      <c r="H158" s="61"/>
      <c r="I158" s="62"/>
      <c r="J158" s="53"/>
    </row>
    <row r="159" ht="24.75" hidden="1" customHeight="1">
      <c r="A159" s="54">
        <v>120.0</v>
      </c>
      <c r="B159" s="56" t="s">
        <v>396</v>
      </c>
      <c r="C159" s="56" t="s">
        <v>394</v>
      </c>
      <c r="D159" s="56" t="s">
        <v>397</v>
      </c>
      <c r="E159" s="56" t="s">
        <v>163</v>
      </c>
      <c r="F159" s="57" t="s">
        <v>154</v>
      </c>
      <c r="G159" s="61"/>
      <c r="H159" s="61"/>
      <c r="I159" s="62"/>
      <c r="J159" s="53"/>
    </row>
    <row r="160" ht="24.75" hidden="1" customHeight="1">
      <c r="A160" s="54">
        <v>120.0</v>
      </c>
      <c r="B160" s="56" t="s">
        <v>398</v>
      </c>
      <c r="C160" s="56" t="s">
        <v>394</v>
      </c>
      <c r="D160" s="56" t="s">
        <v>399</v>
      </c>
      <c r="E160" s="56" t="s">
        <v>163</v>
      </c>
      <c r="F160" s="57" t="s">
        <v>154</v>
      </c>
      <c r="G160" s="61"/>
      <c r="H160" s="61"/>
      <c r="I160" s="62"/>
      <c r="J160" s="53"/>
    </row>
    <row r="161" ht="24.75" hidden="1" customHeight="1">
      <c r="A161" s="54">
        <v>120.0</v>
      </c>
      <c r="B161" s="56" t="s">
        <v>400</v>
      </c>
      <c r="C161" s="56" t="s">
        <v>394</v>
      </c>
      <c r="D161" s="56" t="s">
        <v>401</v>
      </c>
      <c r="E161" s="56" t="s">
        <v>163</v>
      </c>
      <c r="F161" s="57" t="s">
        <v>154</v>
      </c>
      <c r="G161" s="61"/>
      <c r="H161" s="61"/>
      <c r="I161" s="62"/>
      <c r="J161" s="53"/>
    </row>
    <row r="162" ht="24.75" hidden="1" customHeight="1">
      <c r="A162" s="54">
        <v>90.0</v>
      </c>
      <c r="B162" s="56" t="s">
        <v>402</v>
      </c>
      <c r="C162" s="56" t="s">
        <v>278</v>
      </c>
      <c r="D162" s="56" t="s">
        <v>403</v>
      </c>
      <c r="E162" s="56" t="s">
        <v>111</v>
      </c>
      <c r="F162" s="57" t="s">
        <v>15</v>
      </c>
      <c r="G162" s="61"/>
      <c r="H162" s="61"/>
      <c r="I162" s="86"/>
      <c r="J162" s="53"/>
    </row>
    <row r="163" ht="24.75" hidden="1" customHeight="1">
      <c r="A163" s="54">
        <v>130.0</v>
      </c>
      <c r="B163" s="56" t="s">
        <v>404</v>
      </c>
      <c r="C163" s="56" t="s">
        <v>405</v>
      </c>
      <c r="D163" s="56" t="s">
        <v>406</v>
      </c>
      <c r="E163" s="56" t="s">
        <v>407</v>
      </c>
      <c r="F163" s="57" t="s">
        <v>250</v>
      </c>
      <c r="G163" s="61"/>
      <c r="H163" s="61" t="s">
        <v>346</v>
      </c>
      <c r="I163" s="62" t="s">
        <v>414</v>
      </c>
      <c r="J163" s="53"/>
    </row>
    <row r="164" ht="24.75" hidden="1" customHeight="1">
      <c r="A164" s="54">
        <v>130.0</v>
      </c>
      <c r="B164" s="56" t="s">
        <v>404</v>
      </c>
      <c r="C164" s="56" t="s">
        <v>405</v>
      </c>
      <c r="D164" s="56" t="s">
        <v>406</v>
      </c>
      <c r="E164" s="56" t="s">
        <v>408</v>
      </c>
      <c r="F164" s="57" t="s">
        <v>250</v>
      </c>
      <c r="G164" s="61"/>
      <c r="H164" s="61" t="s">
        <v>346</v>
      </c>
      <c r="I164" s="62" t="s">
        <v>417</v>
      </c>
      <c r="J164" s="53"/>
    </row>
    <row r="165" ht="24.75" hidden="1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111</v>
      </c>
      <c r="F165" s="57" t="s">
        <v>154</v>
      </c>
      <c r="G165" s="61"/>
      <c r="H165" s="61"/>
      <c r="I165" s="62"/>
      <c r="J165" s="53"/>
    </row>
    <row r="166" ht="24.75" hidden="1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409</v>
      </c>
      <c r="F166" s="57" t="s">
        <v>154</v>
      </c>
      <c r="G166" s="61"/>
      <c r="H166" s="61"/>
      <c r="I166" s="62"/>
      <c r="J166" s="53"/>
    </row>
    <row r="167" ht="24.75" hidden="1" customHeight="1">
      <c r="A167" s="54">
        <v>130.0</v>
      </c>
      <c r="B167" s="56" t="s">
        <v>404</v>
      </c>
      <c r="C167" s="56" t="s">
        <v>405</v>
      </c>
      <c r="D167" s="56" t="s">
        <v>406</v>
      </c>
      <c r="E167" s="56" t="s">
        <v>410</v>
      </c>
      <c r="F167" s="57" t="s">
        <v>154</v>
      </c>
      <c r="G167" s="61"/>
      <c r="H167" s="61"/>
      <c r="I167" s="62"/>
      <c r="J167" s="53"/>
    </row>
    <row r="168" ht="24.75" hidden="1" customHeight="1">
      <c r="A168" s="54">
        <v>130.0</v>
      </c>
      <c r="B168" s="56" t="s">
        <v>404</v>
      </c>
      <c r="C168" s="56" t="s">
        <v>405</v>
      </c>
      <c r="D168" s="56" t="s">
        <v>406</v>
      </c>
      <c r="E168" s="56" t="s">
        <v>411</v>
      </c>
      <c r="F168" s="57" t="s">
        <v>154</v>
      </c>
      <c r="G168" s="61"/>
      <c r="H168" s="61"/>
      <c r="I168" s="62"/>
      <c r="J168" s="53"/>
    </row>
    <row r="169" ht="24.75" hidden="1" customHeight="1">
      <c r="A169" s="54">
        <v>130.0</v>
      </c>
      <c r="B169" s="56" t="s">
        <v>412</v>
      </c>
      <c r="C169" s="56"/>
      <c r="D169" s="56" t="s">
        <v>413</v>
      </c>
      <c r="E169" s="56" t="s">
        <v>336</v>
      </c>
      <c r="F169" s="57" t="s">
        <v>192</v>
      </c>
      <c r="G169" s="61"/>
      <c r="H169" s="61"/>
      <c r="I169" s="62"/>
      <c r="J169" s="53"/>
    </row>
    <row r="170" ht="24.75" hidden="1" customHeight="1">
      <c r="A170" s="54">
        <v>130.0</v>
      </c>
      <c r="B170" s="56" t="s">
        <v>415</v>
      </c>
      <c r="C170" s="56" t="s">
        <v>148</v>
      </c>
      <c r="D170" s="56" t="s">
        <v>416</v>
      </c>
      <c r="E170" s="56" t="s">
        <v>150</v>
      </c>
      <c r="F170" s="57" t="s">
        <v>34</v>
      </c>
      <c r="G170" s="61"/>
      <c r="H170" s="61"/>
      <c r="I170" s="62"/>
      <c r="J170" s="53"/>
    </row>
    <row r="171" ht="24.75" hidden="1" customHeight="1">
      <c r="A171" s="54">
        <v>130.0</v>
      </c>
      <c r="B171" s="56" t="s">
        <v>418</v>
      </c>
      <c r="C171" s="56" t="s">
        <v>148</v>
      </c>
      <c r="D171" s="56" t="s">
        <v>419</v>
      </c>
      <c r="E171" s="56" t="s">
        <v>150</v>
      </c>
      <c r="F171" s="57" t="s">
        <v>34</v>
      </c>
      <c r="G171" s="61"/>
      <c r="H171" s="61"/>
      <c r="I171" s="62"/>
      <c r="J171" s="53"/>
    </row>
    <row r="172" ht="24.75" hidden="1" customHeight="1">
      <c r="A172" s="54">
        <v>136.0</v>
      </c>
      <c r="B172" s="56" t="s">
        <v>421</v>
      </c>
      <c r="C172" s="56" t="s">
        <v>422</v>
      </c>
      <c r="D172" s="56" t="s">
        <v>422</v>
      </c>
      <c r="E172" s="56" t="s">
        <v>423</v>
      </c>
      <c r="F172" s="57" t="s">
        <v>154</v>
      </c>
      <c r="G172" s="61"/>
      <c r="H172" s="61"/>
      <c r="I172" s="62" t="s">
        <v>207</v>
      </c>
      <c r="J172" s="53"/>
    </row>
    <row r="173" ht="24.75" hidden="1" customHeight="1">
      <c r="A173" s="54">
        <v>136.0</v>
      </c>
      <c r="B173" s="56" t="s">
        <v>421</v>
      </c>
      <c r="C173" s="56" t="s">
        <v>422</v>
      </c>
      <c r="D173" s="56" t="s">
        <v>422</v>
      </c>
      <c r="E173" s="80" t="s">
        <v>213</v>
      </c>
      <c r="F173" s="57"/>
      <c r="G173" s="61"/>
      <c r="H173" s="61"/>
      <c r="I173" s="62"/>
      <c r="J173" s="53"/>
    </row>
    <row r="174" ht="24.75" hidden="1" customHeight="1">
      <c r="A174" s="54">
        <v>136.0</v>
      </c>
      <c r="B174" s="56" t="s">
        <v>424</v>
      </c>
      <c r="C174" s="56" t="s">
        <v>422</v>
      </c>
      <c r="D174" s="56" t="s">
        <v>425</v>
      </c>
      <c r="E174" s="56" t="s">
        <v>111</v>
      </c>
      <c r="F174" s="57" t="s">
        <v>154</v>
      </c>
      <c r="G174" s="61"/>
      <c r="H174" s="61"/>
      <c r="I174" s="62"/>
      <c r="J174" s="53"/>
    </row>
    <row r="175" ht="24.75" hidden="1" customHeight="1">
      <c r="A175" s="54">
        <v>136.0</v>
      </c>
      <c r="B175" s="56" t="s">
        <v>426</v>
      </c>
      <c r="C175" s="56" t="s">
        <v>422</v>
      </c>
      <c r="D175" s="56" t="s">
        <v>427</v>
      </c>
      <c r="E175" s="56" t="s">
        <v>111</v>
      </c>
      <c r="F175" s="57" t="s">
        <v>154</v>
      </c>
      <c r="G175" s="61"/>
      <c r="H175" s="61"/>
      <c r="I175" s="62"/>
      <c r="J175" s="53"/>
    </row>
    <row r="176" ht="24.75" hidden="1" customHeight="1">
      <c r="A176" s="54">
        <v>136.0</v>
      </c>
      <c r="B176" s="56" t="s">
        <v>428</v>
      </c>
      <c r="C176" s="56" t="s">
        <v>422</v>
      </c>
      <c r="D176" s="56" t="s">
        <v>429</v>
      </c>
      <c r="E176" s="56" t="s">
        <v>111</v>
      </c>
      <c r="F176" s="57" t="s">
        <v>154</v>
      </c>
      <c r="G176" s="61"/>
      <c r="H176" s="61"/>
      <c r="I176" s="62"/>
      <c r="J176" s="53"/>
    </row>
    <row r="177" ht="24.75" hidden="1" customHeight="1">
      <c r="A177" s="54">
        <v>136.0</v>
      </c>
      <c r="B177" s="56" t="s">
        <v>430</v>
      </c>
      <c r="C177" s="56" t="s">
        <v>422</v>
      </c>
      <c r="D177" s="56" t="s">
        <v>431</v>
      </c>
      <c r="E177" s="56" t="s">
        <v>432</v>
      </c>
      <c r="F177" s="57" t="s">
        <v>154</v>
      </c>
      <c r="G177" s="61"/>
      <c r="H177" s="61"/>
      <c r="I177" s="62"/>
      <c r="J177" s="53"/>
    </row>
    <row r="178" ht="24.75" hidden="1" customHeight="1">
      <c r="A178" s="54">
        <v>140.0</v>
      </c>
      <c r="B178" s="56" t="s">
        <v>433</v>
      </c>
      <c r="C178" s="56" t="s">
        <v>434</v>
      </c>
      <c r="D178" s="56" t="s">
        <v>435</v>
      </c>
      <c r="E178" s="56" t="s">
        <v>167</v>
      </c>
      <c r="F178" s="57" t="s">
        <v>154</v>
      </c>
      <c r="G178" s="61"/>
      <c r="H178" s="61"/>
      <c r="I178" s="62"/>
      <c r="J178" s="53"/>
    </row>
    <row r="179" ht="24.75" hidden="1" customHeight="1">
      <c r="A179" s="54">
        <v>140.0</v>
      </c>
      <c r="B179" s="56" t="s">
        <v>436</v>
      </c>
      <c r="C179" s="56" t="s">
        <v>437</v>
      </c>
      <c r="D179" s="56" t="s">
        <v>438</v>
      </c>
      <c r="E179" s="56" t="s">
        <v>439</v>
      </c>
      <c r="F179" s="57" t="s">
        <v>154</v>
      </c>
      <c r="G179" s="61"/>
      <c r="H179" s="61"/>
      <c r="I179" s="62"/>
      <c r="J179" s="53"/>
    </row>
    <row r="180" ht="24.75" hidden="1" customHeight="1">
      <c r="A180" s="54">
        <v>140.0</v>
      </c>
      <c r="B180" s="56" t="s">
        <v>440</v>
      </c>
      <c r="C180" s="56" t="s">
        <v>437</v>
      </c>
      <c r="D180" s="56" t="s">
        <v>441</v>
      </c>
      <c r="E180" s="56" t="s">
        <v>439</v>
      </c>
      <c r="F180" s="57" t="s">
        <v>154</v>
      </c>
      <c r="G180" s="61"/>
      <c r="H180" s="61"/>
      <c r="I180" s="62"/>
      <c r="J180" s="53"/>
    </row>
    <row r="181" ht="24.75" hidden="1" customHeight="1">
      <c r="A181" s="54">
        <v>140.0</v>
      </c>
      <c r="B181" s="56" t="s">
        <v>442</v>
      </c>
      <c r="C181" s="56" t="s">
        <v>443</v>
      </c>
      <c r="D181" s="56" t="s">
        <v>444</v>
      </c>
      <c r="E181" s="56" t="s">
        <v>439</v>
      </c>
      <c r="F181" s="57" t="s">
        <v>154</v>
      </c>
      <c r="G181" s="61"/>
      <c r="H181" s="61"/>
      <c r="I181" s="62"/>
      <c r="J181" s="53"/>
    </row>
    <row r="182" ht="24.75" hidden="1" customHeight="1">
      <c r="A182" s="54">
        <v>140.0</v>
      </c>
      <c r="B182" s="56" t="s">
        <v>445</v>
      </c>
      <c r="C182" s="56" t="s">
        <v>446</v>
      </c>
      <c r="D182" s="56" t="s">
        <v>447</v>
      </c>
      <c r="E182" s="56" t="s">
        <v>439</v>
      </c>
      <c r="F182" s="57" t="s">
        <v>154</v>
      </c>
      <c r="G182" s="61"/>
      <c r="H182" s="61"/>
      <c r="I182" s="62"/>
      <c r="J182" s="53"/>
    </row>
    <row r="183" ht="24.75" hidden="1" customHeight="1">
      <c r="A183" s="54">
        <v>140.0</v>
      </c>
      <c r="B183" s="56" t="s">
        <v>448</v>
      </c>
      <c r="C183" s="88" t="s">
        <v>449</v>
      </c>
      <c r="D183" s="56" t="s">
        <v>450</v>
      </c>
      <c r="E183" s="56" t="s">
        <v>439</v>
      </c>
      <c r="F183" s="57" t="s">
        <v>154</v>
      </c>
      <c r="G183" s="61"/>
      <c r="H183" s="61"/>
      <c r="I183" s="62"/>
      <c r="J183" s="53"/>
    </row>
    <row r="184" ht="24.75" hidden="1" customHeight="1">
      <c r="A184" s="54">
        <v>90.0</v>
      </c>
      <c r="B184" s="56" t="s">
        <v>286</v>
      </c>
      <c r="C184" s="56" t="s">
        <v>278</v>
      </c>
      <c r="D184" s="56" t="s">
        <v>266</v>
      </c>
      <c r="E184" s="56" t="s">
        <v>111</v>
      </c>
      <c r="F184" s="57" t="s">
        <v>15</v>
      </c>
      <c r="G184" s="61"/>
      <c r="H184" s="61"/>
      <c r="I184" s="60"/>
      <c r="J184" s="53"/>
    </row>
    <row r="185" ht="24.75" hidden="1" customHeight="1">
      <c r="A185" s="54">
        <v>100.0</v>
      </c>
      <c r="B185" s="56" t="s">
        <v>451</v>
      </c>
      <c r="C185" s="56" t="s">
        <v>315</v>
      </c>
      <c r="D185" s="56" t="s">
        <v>452</v>
      </c>
      <c r="E185" s="56" t="s">
        <v>453</v>
      </c>
      <c r="F185" s="57" t="s">
        <v>15</v>
      </c>
      <c r="G185" s="61"/>
      <c r="H185" s="61"/>
      <c r="I185" s="60"/>
      <c r="J185" s="53"/>
    </row>
    <row r="186" ht="24.75" hidden="1" customHeight="1">
      <c r="A186" s="54">
        <v>100.0</v>
      </c>
      <c r="B186" s="56" t="s">
        <v>454</v>
      </c>
      <c r="C186" s="56" t="s">
        <v>315</v>
      </c>
      <c r="D186" s="56" t="s">
        <v>316</v>
      </c>
      <c r="E186" s="56" t="s">
        <v>455</v>
      </c>
      <c r="F186" s="57" t="s">
        <v>15</v>
      </c>
      <c r="G186" s="61"/>
      <c r="H186" s="61"/>
      <c r="I186" s="60"/>
      <c r="J186" s="53"/>
    </row>
    <row r="187" ht="24.75" hidden="1" customHeight="1">
      <c r="A187" s="54">
        <v>101.0</v>
      </c>
      <c r="B187" s="56" t="s">
        <v>456</v>
      </c>
      <c r="C187" s="56" t="s">
        <v>315</v>
      </c>
      <c r="D187" s="56" t="s">
        <v>340</v>
      </c>
      <c r="E187" s="56" t="s">
        <v>457</v>
      </c>
      <c r="F187" s="57" t="s">
        <v>15</v>
      </c>
      <c r="G187" s="61"/>
      <c r="H187" s="61"/>
      <c r="I187" s="60"/>
      <c r="J187" s="53"/>
    </row>
    <row r="188" ht="24.75" hidden="1" customHeight="1">
      <c r="A188" s="54">
        <v>101.0</v>
      </c>
      <c r="B188" s="56" t="s">
        <v>458</v>
      </c>
      <c r="C188" s="56" t="s">
        <v>315</v>
      </c>
      <c r="D188" s="56" t="s">
        <v>351</v>
      </c>
      <c r="E188" s="56" t="s">
        <v>459</v>
      </c>
      <c r="F188" s="57" t="s">
        <v>15</v>
      </c>
      <c r="G188" s="61"/>
      <c r="H188" s="61"/>
      <c r="I188" s="60"/>
      <c r="J188" s="53"/>
    </row>
    <row r="189" ht="24.75" hidden="1" customHeight="1">
      <c r="A189" s="54">
        <v>102.0</v>
      </c>
      <c r="B189" s="56" t="s">
        <v>353</v>
      </c>
      <c r="C189" s="56" t="s">
        <v>315</v>
      </c>
      <c r="D189" s="56" t="s">
        <v>354</v>
      </c>
      <c r="E189" s="56" t="s">
        <v>461</v>
      </c>
      <c r="F189" s="57" t="s">
        <v>15</v>
      </c>
      <c r="G189" s="61"/>
      <c r="H189" s="61"/>
      <c r="I189" s="60"/>
      <c r="J189" s="53"/>
    </row>
    <row r="190" ht="24.75" hidden="1" customHeight="1">
      <c r="A190" s="54">
        <v>140.0</v>
      </c>
      <c r="B190" s="56" t="s">
        <v>462</v>
      </c>
      <c r="C190" s="56" t="s">
        <v>434</v>
      </c>
      <c r="D190" s="56" t="s">
        <v>463</v>
      </c>
      <c r="E190" s="56" t="s">
        <v>272</v>
      </c>
      <c r="F190" s="57" t="s">
        <v>15</v>
      </c>
      <c r="G190" s="61"/>
      <c r="H190" s="61"/>
      <c r="I190" s="60"/>
      <c r="J190" s="53"/>
    </row>
    <row r="191" ht="24.75" hidden="1" customHeight="1">
      <c r="A191" s="54">
        <v>140.0</v>
      </c>
      <c r="B191" s="56" t="s">
        <v>464</v>
      </c>
      <c r="C191" s="56" t="s">
        <v>270</v>
      </c>
      <c r="D191" s="56" t="s">
        <v>465</v>
      </c>
      <c r="E191" s="56" t="s">
        <v>272</v>
      </c>
      <c r="F191" s="57" t="s">
        <v>15</v>
      </c>
      <c r="G191" s="61"/>
      <c r="H191" s="61"/>
      <c r="I191" s="60"/>
      <c r="J191" s="53"/>
    </row>
    <row r="192" ht="24.75" hidden="1" customHeight="1">
      <c r="A192" s="54">
        <v>140.0</v>
      </c>
      <c r="B192" s="56" t="s">
        <v>466</v>
      </c>
      <c r="C192" s="56" t="s">
        <v>443</v>
      </c>
      <c r="D192" s="56" t="s">
        <v>467</v>
      </c>
      <c r="E192" s="56" t="s">
        <v>272</v>
      </c>
      <c r="F192" s="57" t="s">
        <v>15</v>
      </c>
      <c r="G192" s="61"/>
      <c r="H192" s="61"/>
      <c r="I192" s="60"/>
      <c r="J192" s="53"/>
    </row>
    <row r="193" ht="24.75" hidden="1" customHeight="1">
      <c r="A193" s="54">
        <v>140.0</v>
      </c>
      <c r="B193" s="56" t="s">
        <v>468</v>
      </c>
      <c r="C193" s="56" t="s">
        <v>446</v>
      </c>
      <c r="D193" s="56" t="s">
        <v>469</v>
      </c>
      <c r="E193" s="56" t="s">
        <v>272</v>
      </c>
      <c r="F193" s="57" t="s">
        <v>15</v>
      </c>
      <c r="G193" s="61"/>
      <c r="H193" s="61"/>
      <c r="I193" s="60"/>
      <c r="J193" s="53"/>
    </row>
    <row r="194" ht="24.75" hidden="1" customHeight="1">
      <c r="A194" s="54">
        <v>140.0</v>
      </c>
      <c r="B194" s="56" t="s">
        <v>470</v>
      </c>
      <c r="C194" s="56" t="s">
        <v>443</v>
      </c>
      <c r="D194" s="56" t="s">
        <v>471</v>
      </c>
      <c r="E194" s="56" t="s">
        <v>272</v>
      </c>
      <c r="F194" s="57" t="s">
        <v>15</v>
      </c>
      <c r="G194" s="61"/>
      <c r="H194" s="61"/>
      <c r="I194" s="60"/>
      <c r="J194" s="53"/>
    </row>
    <row r="195" ht="24.75" hidden="1" customHeight="1">
      <c r="A195" s="54">
        <v>140.0</v>
      </c>
      <c r="B195" s="56" t="s">
        <v>472</v>
      </c>
      <c r="C195" s="56" t="s">
        <v>446</v>
      </c>
      <c r="D195" s="56" t="s">
        <v>473</v>
      </c>
      <c r="E195" s="56" t="s">
        <v>272</v>
      </c>
      <c r="F195" s="57" t="s">
        <v>15</v>
      </c>
      <c r="G195" s="61"/>
      <c r="H195" s="61"/>
      <c r="I195" s="60"/>
      <c r="J195" s="53"/>
    </row>
    <row r="196" ht="24.75" hidden="1" customHeight="1">
      <c r="A196" s="54">
        <v>140.0</v>
      </c>
      <c r="B196" s="56" t="s">
        <v>474</v>
      </c>
      <c r="C196" s="56" t="s">
        <v>443</v>
      </c>
      <c r="D196" s="56" t="s">
        <v>475</v>
      </c>
      <c r="E196" s="56" t="s">
        <v>272</v>
      </c>
      <c r="F196" s="57" t="s">
        <v>15</v>
      </c>
      <c r="G196" s="61"/>
      <c r="H196" s="61"/>
      <c r="I196" s="60"/>
      <c r="J196" s="53"/>
    </row>
    <row r="197" ht="24.75" hidden="1" customHeight="1">
      <c r="A197" s="54">
        <v>140.0</v>
      </c>
      <c r="B197" s="56" t="s">
        <v>476</v>
      </c>
      <c r="C197" s="56" t="s">
        <v>270</v>
      </c>
      <c r="D197" s="56" t="s">
        <v>477</v>
      </c>
      <c r="E197" s="56" t="s">
        <v>272</v>
      </c>
      <c r="F197" s="57" t="s">
        <v>15</v>
      </c>
      <c r="G197" s="61"/>
      <c r="H197" s="61"/>
      <c r="I197" s="60"/>
      <c r="J197" s="53"/>
    </row>
    <row r="198" ht="24.75" hidden="1" customHeight="1">
      <c r="A198" s="54">
        <v>140.0</v>
      </c>
      <c r="B198" s="56" t="s">
        <v>478</v>
      </c>
      <c r="C198" s="56" t="s">
        <v>270</v>
      </c>
      <c r="D198" s="56" t="s">
        <v>479</v>
      </c>
      <c r="E198" s="56" t="s">
        <v>272</v>
      </c>
      <c r="F198" s="57" t="s">
        <v>15</v>
      </c>
      <c r="G198" s="61"/>
      <c r="H198" s="61"/>
      <c r="I198" s="60"/>
      <c r="J198" s="53"/>
    </row>
    <row r="199" ht="24.75" hidden="1" customHeight="1">
      <c r="A199" s="54">
        <v>140.0</v>
      </c>
      <c r="B199" s="56" t="s">
        <v>480</v>
      </c>
      <c r="C199" s="56" t="s">
        <v>270</v>
      </c>
      <c r="D199" s="56" t="s">
        <v>481</v>
      </c>
      <c r="E199" s="56" t="s">
        <v>272</v>
      </c>
      <c r="F199" s="57" t="s">
        <v>15</v>
      </c>
      <c r="G199" s="61"/>
      <c r="H199" s="61"/>
      <c r="I199" s="60"/>
      <c r="J199" s="53"/>
    </row>
    <row r="200" ht="24.75" hidden="1" customHeight="1">
      <c r="A200" s="54">
        <v>140.0</v>
      </c>
      <c r="B200" s="56" t="s">
        <v>482</v>
      </c>
      <c r="C200" s="56" t="s">
        <v>443</v>
      </c>
      <c r="D200" s="56" t="s">
        <v>483</v>
      </c>
      <c r="E200" s="56" t="s">
        <v>272</v>
      </c>
      <c r="F200" s="57" t="s">
        <v>15</v>
      </c>
      <c r="G200" s="61"/>
      <c r="H200" s="61"/>
      <c r="I200" s="60"/>
      <c r="J200" s="53"/>
    </row>
    <row r="201" ht="24.75" hidden="1" customHeight="1">
      <c r="A201" s="54">
        <v>140.0</v>
      </c>
      <c r="B201" s="56" t="s">
        <v>484</v>
      </c>
      <c r="C201" s="56" t="s">
        <v>446</v>
      </c>
      <c r="D201" s="56" t="s">
        <v>485</v>
      </c>
      <c r="E201" s="56" t="s">
        <v>272</v>
      </c>
      <c r="F201" s="57" t="s">
        <v>15</v>
      </c>
      <c r="G201" s="61"/>
      <c r="H201" s="61"/>
      <c r="I201" s="60"/>
      <c r="J201" s="53"/>
    </row>
    <row r="202" ht="24.75" hidden="1" customHeight="1">
      <c r="A202" s="54">
        <v>140.0</v>
      </c>
      <c r="B202" s="56" t="s">
        <v>269</v>
      </c>
      <c r="C202" s="56" t="s">
        <v>270</v>
      </c>
      <c r="D202" s="56" t="s">
        <v>486</v>
      </c>
      <c r="E202" s="56" t="s">
        <v>487</v>
      </c>
      <c r="F202" s="56"/>
      <c r="G202" s="61"/>
      <c r="H202" s="61"/>
      <c r="I202" s="62"/>
      <c r="J202" s="53"/>
    </row>
    <row r="203" ht="24.75" hidden="1" customHeight="1">
      <c r="A203" s="54">
        <v>140.0</v>
      </c>
      <c r="B203" s="56" t="s">
        <v>488</v>
      </c>
      <c r="C203" s="88" t="s">
        <v>449</v>
      </c>
      <c r="D203" s="56" t="s">
        <v>489</v>
      </c>
      <c r="E203" s="56" t="s">
        <v>272</v>
      </c>
      <c r="F203" s="57" t="s">
        <v>15</v>
      </c>
      <c r="G203" s="61"/>
      <c r="H203" s="61"/>
      <c r="I203" s="60"/>
      <c r="J203" s="53"/>
    </row>
    <row r="204" ht="24.75" hidden="1" customHeight="1">
      <c r="A204" s="54">
        <v>140.0</v>
      </c>
      <c r="B204" s="56" t="s">
        <v>490</v>
      </c>
      <c r="C204" s="56" t="s">
        <v>270</v>
      </c>
      <c r="D204" s="56" t="s">
        <v>491</v>
      </c>
      <c r="E204" s="56" t="s">
        <v>272</v>
      </c>
      <c r="F204" s="57" t="s">
        <v>15</v>
      </c>
      <c r="G204" s="61"/>
      <c r="H204" s="61"/>
      <c r="I204" s="60"/>
      <c r="J204" s="53"/>
    </row>
    <row r="205" ht="24.75" hidden="1" customHeight="1">
      <c r="A205" s="54">
        <v>140.0</v>
      </c>
      <c r="B205" s="56" t="s">
        <v>284</v>
      </c>
      <c r="C205" s="56" t="s">
        <v>270</v>
      </c>
      <c r="D205" s="56" t="s">
        <v>492</v>
      </c>
      <c r="E205" s="56" t="s">
        <v>487</v>
      </c>
      <c r="F205" s="56"/>
      <c r="G205" s="61"/>
      <c r="H205" s="61"/>
      <c r="I205" s="62"/>
      <c r="J205" s="53"/>
    </row>
    <row r="206" ht="24.75" hidden="1" customHeight="1">
      <c r="A206" s="54">
        <v>140.0</v>
      </c>
      <c r="B206" s="56" t="s">
        <v>493</v>
      </c>
      <c r="C206" s="56" t="s">
        <v>270</v>
      </c>
      <c r="D206" s="56" t="s">
        <v>494</v>
      </c>
      <c r="E206" s="56" t="s">
        <v>272</v>
      </c>
      <c r="F206" s="57" t="s">
        <v>15</v>
      </c>
      <c r="G206" s="61"/>
      <c r="H206" s="61"/>
      <c r="I206" s="60"/>
      <c r="J206" s="53"/>
    </row>
    <row r="207" ht="24.75" hidden="1" customHeight="1">
      <c r="A207" s="54">
        <v>140.0</v>
      </c>
      <c r="B207" s="56" t="s">
        <v>496</v>
      </c>
      <c r="C207" s="56" t="s">
        <v>497</v>
      </c>
      <c r="D207" s="56" t="s">
        <v>498</v>
      </c>
      <c r="E207" s="56" t="s">
        <v>272</v>
      </c>
      <c r="F207" s="57" t="s">
        <v>15</v>
      </c>
      <c r="G207" s="61"/>
      <c r="H207" s="61"/>
      <c r="I207" s="60"/>
      <c r="J207" s="53"/>
    </row>
    <row r="208" ht="24.75" hidden="1" customHeight="1">
      <c r="A208" s="54">
        <v>140.0</v>
      </c>
      <c r="B208" s="56" t="s">
        <v>499</v>
      </c>
      <c r="C208" s="56" t="s">
        <v>500</v>
      </c>
      <c r="D208" s="56" t="s">
        <v>501</v>
      </c>
      <c r="E208" s="56" t="s">
        <v>225</v>
      </c>
      <c r="F208" s="57" t="s">
        <v>34</v>
      </c>
      <c r="G208" s="61"/>
      <c r="H208" s="61"/>
      <c r="I208" s="62"/>
      <c r="J208" s="53"/>
    </row>
    <row r="209" ht="24.75" hidden="1" customHeight="1">
      <c r="A209" s="54">
        <v>140.0</v>
      </c>
      <c r="B209" s="56" t="s">
        <v>499</v>
      </c>
      <c r="C209" s="56" t="s">
        <v>500</v>
      </c>
      <c r="D209" s="56" t="s">
        <v>501</v>
      </c>
      <c r="E209" s="56" t="s">
        <v>167</v>
      </c>
      <c r="F209" s="57" t="s">
        <v>154</v>
      </c>
      <c r="G209" s="61"/>
      <c r="H209" s="61"/>
      <c r="I209" s="62"/>
      <c r="J209" s="53"/>
    </row>
    <row r="210" ht="24.75" hidden="1" customHeight="1">
      <c r="A210" s="54">
        <v>140.0</v>
      </c>
      <c r="B210" s="56" t="s">
        <v>499</v>
      </c>
      <c r="C210" s="56" t="s">
        <v>500</v>
      </c>
      <c r="D210" s="56" t="s">
        <v>501</v>
      </c>
      <c r="E210" s="56" t="s">
        <v>226</v>
      </c>
      <c r="F210" s="57" t="s">
        <v>154</v>
      </c>
      <c r="G210" s="61"/>
      <c r="H210" s="61"/>
      <c r="I210" s="62"/>
      <c r="J210" s="53"/>
    </row>
    <row r="211" ht="24.75" hidden="1" customHeight="1">
      <c r="A211" s="54">
        <v>140.0</v>
      </c>
      <c r="B211" s="56" t="s">
        <v>502</v>
      </c>
      <c r="C211" s="56" t="s">
        <v>497</v>
      </c>
      <c r="D211" s="56" t="s">
        <v>503</v>
      </c>
      <c r="E211" s="56" t="s">
        <v>272</v>
      </c>
      <c r="F211" s="57" t="s">
        <v>15</v>
      </c>
      <c r="G211" s="61"/>
      <c r="H211" s="61"/>
      <c r="I211" s="60"/>
      <c r="J211" s="53"/>
    </row>
    <row r="212" ht="24.75" hidden="1" customHeight="1">
      <c r="A212" s="54">
        <v>140.0</v>
      </c>
      <c r="B212" s="56" t="s">
        <v>504</v>
      </c>
      <c r="C212" s="56" t="s">
        <v>443</v>
      </c>
      <c r="D212" s="56" t="s">
        <v>505</v>
      </c>
      <c r="E212" s="56" t="s">
        <v>439</v>
      </c>
      <c r="F212" s="57" t="s">
        <v>154</v>
      </c>
      <c r="G212" s="61"/>
      <c r="H212" s="61"/>
      <c r="I212" s="62"/>
      <c r="J212" s="53"/>
    </row>
    <row r="213" ht="24.75" hidden="1" customHeight="1">
      <c r="A213" s="54">
        <v>140.0</v>
      </c>
      <c r="B213" s="56" t="s">
        <v>506</v>
      </c>
      <c r="C213" s="56" t="s">
        <v>507</v>
      </c>
      <c r="D213" s="56" t="s">
        <v>508</v>
      </c>
      <c r="E213" s="56" t="s">
        <v>336</v>
      </c>
      <c r="F213" s="57" t="s">
        <v>192</v>
      </c>
      <c r="G213" s="61"/>
      <c r="H213" s="61"/>
      <c r="I213" s="62"/>
      <c r="J213" s="53"/>
    </row>
    <row r="214" ht="24.75" hidden="1" customHeight="1">
      <c r="A214" s="54">
        <v>140.0</v>
      </c>
      <c r="B214" s="56" t="s">
        <v>506</v>
      </c>
      <c r="C214" s="56" t="s">
        <v>507</v>
      </c>
      <c r="D214" s="56" t="s">
        <v>508</v>
      </c>
      <c r="E214" s="56" t="s">
        <v>372</v>
      </c>
      <c r="F214" s="57" t="s">
        <v>34</v>
      </c>
      <c r="G214" s="61"/>
      <c r="H214" s="61"/>
      <c r="I214" s="62"/>
      <c r="J214" s="53"/>
    </row>
    <row r="215" ht="24.75" hidden="1" customHeight="1">
      <c r="A215" s="54">
        <v>140.0</v>
      </c>
      <c r="B215" s="56" t="s">
        <v>506</v>
      </c>
      <c r="C215" s="56" t="s">
        <v>507</v>
      </c>
      <c r="D215" s="56" t="s">
        <v>508</v>
      </c>
      <c r="E215" s="56" t="s">
        <v>158</v>
      </c>
      <c r="F215" s="57" t="s">
        <v>34</v>
      </c>
      <c r="G215" s="61"/>
      <c r="H215" s="61"/>
      <c r="I215" s="62"/>
      <c r="J215" s="53"/>
    </row>
    <row r="216" ht="24.75" hidden="1" customHeight="1">
      <c r="A216" s="54">
        <v>140.0</v>
      </c>
      <c r="B216" s="56" t="s">
        <v>502</v>
      </c>
      <c r="C216" s="56" t="s">
        <v>497</v>
      </c>
      <c r="D216" s="56" t="s">
        <v>509</v>
      </c>
      <c r="E216" s="56" t="s">
        <v>272</v>
      </c>
      <c r="F216" s="57" t="s">
        <v>15</v>
      </c>
      <c r="G216" s="61"/>
      <c r="H216" s="61"/>
      <c r="I216" s="60"/>
      <c r="J216" s="53"/>
    </row>
    <row r="217" ht="24.75" hidden="1" customHeight="1">
      <c r="A217" s="54">
        <v>140.0</v>
      </c>
      <c r="B217" s="56" t="s">
        <v>499</v>
      </c>
      <c r="C217" s="56" t="s">
        <v>500</v>
      </c>
      <c r="D217" s="56" t="s">
        <v>510</v>
      </c>
      <c r="E217" s="56" t="s">
        <v>272</v>
      </c>
      <c r="F217" s="57" t="s">
        <v>15</v>
      </c>
      <c r="G217" s="61"/>
      <c r="H217" s="61"/>
      <c r="I217" s="60"/>
      <c r="J217" s="53"/>
    </row>
    <row r="218" ht="24.75" hidden="1" customHeight="1">
      <c r="A218" s="54">
        <v>140.0</v>
      </c>
      <c r="B218" s="56" t="s">
        <v>511</v>
      </c>
      <c r="C218" s="56" t="s">
        <v>497</v>
      </c>
      <c r="D218" s="56" t="s">
        <v>512</v>
      </c>
      <c r="E218" s="56" t="s">
        <v>272</v>
      </c>
      <c r="F218" s="57" t="s">
        <v>15</v>
      </c>
      <c r="G218" s="61"/>
      <c r="H218" s="61"/>
      <c r="I218" s="60"/>
      <c r="J218" s="53"/>
    </row>
    <row r="219" ht="24.75" hidden="1" customHeight="1">
      <c r="A219" s="54">
        <v>140.0</v>
      </c>
      <c r="B219" s="56" t="s">
        <v>513</v>
      </c>
      <c r="C219" s="56" t="s">
        <v>437</v>
      </c>
      <c r="D219" s="56" t="s">
        <v>514</v>
      </c>
      <c r="E219" s="56" t="s">
        <v>272</v>
      </c>
      <c r="F219" s="57" t="s">
        <v>15</v>
      </c>
      <c r="G219" s="61"/>
      <c r="H219" s="61"/>
      <c r="I219" s="60"/>
      <c r="J219" s="53"/>
    </row>
    <row r="220" ht="24.75" hidden="1" customHeight="1">
      <c r="A220" s="54">
        <v>140.0</v>
      </c>
      <c r="B220" s="56" t="s">
        <v>515</v>
      </c>
      <c r="C220" s="56" t="s">
        <v>437</v>
      </c>
      <c r="D220" s="56" t="s">
        <v>516</v>
      </c>
      <c r="E220" s="56" t="s">
        <v>272</v>
      </c>
      <c r="F220" s="57" t="s">
        <v>15</v>
      </c>
      <c r="G220" s="61"/>
      <c r="H220" s="61"/>
      <c r="I220" s="60"/>
      <c r="J220" s="53"/>
    </row>
    <row r="221" ht="24.75" hidden="1" customHeight="1">
      <c r="A221" s="54">
        <v>140.0</v>
      </c>
      <c r="B221" s="56" t="s">
        <v>517</v>
      </c>
      <c r="C221" s="56" t="s">
        <v>437</v>
      </c>
      <c r="D221" s="56" t="s">
        <v>518</v>
      </c>
      <c r="E221" s="56" t="s">
        <v>272</v>
      </c>
      <c r="F221" s="57" t="s">
        <v>15</v>
      </c>
      <c r="G221" s="81"/>
      <c r="H221" s="81"/>
      <c r="I221" s="93"/>
      <c r="J221" s="53"/>
    </row>
    <row r="222" ht="24.75" hidden="1" customHeight="1">
      <c r="A222" s="54">
        <v>140.0</v>
      </c>
      <c r="B222" s="56" t="s">
        <v>519</v>
      </c>
      <c r="C222" s="56" t="s">
        <v>437</v>
      </c>
      <c r="D222" s="56" t="s">
        <v>520</v>
      </c>
      <c r="E222" s="56" t="s">
        <v>272</v>
      </c>
      <c r="F222" s="57" t="s">
        <v>15</v>
      </c>
      <c r="G222" s="61"/>
      <c r="H222" s="61"/>
      <c r="I222" s="60"/>
      <c r="J222" s="53"/>
    </row>
    <row r="223" ht="24.75" hidden="1" customHeight="1">
      <c r="A223" s="54">
        <v>140.0</v>
      </c>
      <c r="B223" s="56" t="s">
        <v>521</v>
      </c>
      <c r="C223" s="56" t="s">
        <v>443</v>
      </c>
      <c r="D223" s="56" t="s">
        <v>522</v>
      </c>
      <c r="E223" s="56" t="s">
        <v>272</v>
      </c>
      <c r="F223" s="57" t="s">
        <v>15</v>
      </c>
      <c r="G223" s="61"/>
      <c r="H223" s="61"/>
      <c r="I223" s="60"/>
      <c r="J223" s="53"/>
    </row>
    <row r="224" ht="24.75" hidden="1" customHeight="1">
      <c r="A224" s="54">
        <v>140.0</v>
      </c>
      <c r="B224" s="56" t="s">
        <v>523</v>
      </c>
      <c r="C224" s="56" t="s">
        <v>443</v>
      </c>
      <c r="D224" s="56" t="s">
        <v>524</v>
      </c>
      <c r="E224" s="56" t="s">
        <v>272</v>
      </c>
      <c r="F224" s="57" t="s">
        <v>15</v>
      </c>
      <c r="G224" s="61"/>
      <c r="H224" s="61"/>
      <c r="I224" s="60"/>
      <c r="J224" s="53"/>
    </row>
    <row r="225" ht="24.75" hidden="1" customHeight="1">
      <c r="A225" s="54">
        <v>140.0</v>
      </c>
      <c r="B225" s="56" t="s">
        <v>525</v>
      </c>
      <c r="C225" s="56" t="s">
        <v>443</v>
      </c>
      <c r="D225" s="56" t="s">
        <v>526</v>
      </c>
      <c r="E225" s="56" t="s">
        <v>272</v>
      </c>
      <c r="F225" s="57" t="s">
        <v>15</v>
      </c>
      <c r="G225" s="61"/>
      <c r="H225" s="61"/>
      <c r="I225" s="60"/>
      <c r="J225" s="53"/>
    </row>
    <row r="226" ht="24.75" hidden="1" customHeight="1">
      <c r="A226" s="54">
        <v>140.0</v>
      </c>
      <c r="B226" s="56" t="s">
        <v>527</v>
      </c>
      <c r="C226" s="56" t="s">
        <v>446</v>
      </c>
      <c r="D226" s="56" t="s">
        <v>528</v>
      </c>
      <c r="E226" s="56" t="s">
        <v>272</v>
      </c>
      <c r="F226" s="57" t="s">
        <v>15</v>
      </c>
      <c r="G226" s="61"/>
      <c r="H226" s="61"/>
      <c r="I226" s="60"/>
      <c r="J226" s="53"/>
    </row>
    <row r="227" ht="24.75" hidden="1" customHeight="1">
      <c r="A227" s="54">
        <v>140.0</v>
      </c>
      <c r="B227" s="56" t="s">
        <v>529</v>
      </c>
      <c r="C227" s="56" t="s">
        <v>446</v>
      </c>
      <c r="D227" s="56" t="s">
        <v>530</v>
      </c>
      <c r="E227" s="56" t="s">
        <v>272</v>
      </c>
      <c r="F227" s="57" t="s">
        <v>15</v>
      </c>
      <c r="G227" s="61"/>
      <c r="H227" s="61"/>
      <c r="I227" s="60"/>
      <c r="J227" s="53"/>
    </row>
    <row r="228" ht="24.75" hidden="1" customHeight="1">
      <c r="A228" s="54">
        <v>140.0</v>
      </c>
      <c r="B228" s="56" t="s">
        <v>531</v>
      </c>
      <c r="C228" s="88" t="s">
        <v>449</v>
      </c>
      <c r="D228" s="56" t="s">
        <v>532</v>
      </c>
      <c r="E228" s="56" t="s">
        <v>272</v>
      </c>
      <c r="F228" s="57" t="s">
        <v>15</v>
      </c>
      <c r="G228" s="61"/>
      <c r="H228" s="61"/>
      <c r="I228" s="60"/>
      <c r="J228" s="53"/>
    </row>
    <row r="229" ht="24.75" hidden="1" customHeight="1">
      <c r="A229" s="54">
        <v>140.0</v>
      </c>
      <c r="B229" s="56" t="s">
        <v>533</v>
      </c>
      <c r="C229" s="56" t="s">
        <v>497</v>
      </c>
      <c r="D229" s="56" t="s">
        <v>534</v>
      </c>
      <c r="E229" s="56" t="s">
        <v>439</v>
      </c>
      <c r="F229" s="57" t="s">
        <v>154</v>
      </c>
      <c r="G229" s="61"/>
      <c r="H229" s="61"/>
      <c r="I229" s="62"/>
      <c r="J229" s="53"/>
    </row>
    <row r="230" ht="24.75" hidden="1" customHeight="1">
      <c r="A230" s="54">
        <v>140.0</v>
      </c>
      <c r="B230" s="56" t="s">
        <v>535</v>
      </c>
      <c r="C230" s="56" t="s">
        <v>443</v>
      </c>
      <c r="D230" s="56" t="s">
        <v>537</v>
      </c>
      <c r="E230" s="56" t="s">
        <v>439</v>
      </c>
      <c r="F230" s="57" t="s">
        <v>154</v>
      </c>
      <c r="G230" s="61"/>
      <c r="H230" s="61"/>
      <c r="I230" s="62"/>
      <c r="J230" s="53"/>
    </row>
    <row r="231" ht="24.75" hidden="1" customHeight="1">
      <c r="A231" s="54">
        <v>140.0</v>
      </c>
      <c r="B231" s="56" t="s">
        <v>538</v>
      </c>
      <c r="C231" s="56" t="s">
        <v>446</v>
      </c>
      <c r="D231" s="56" t="s">
        <v>539</v>
      </c>
      <c r="E231" s="56" t="s">
        <v>439</v>
      </c>
      <c r="F231" s="57" t="s">
        <v>154</v>
      </c>
      <c r="G231" s="61"/>
      <c r="H231" s="61"/>
      <c r="I231" s="62"/>
      <c r="J231" s="53"/>
    </row>
    <row r="232" ht="24.75" hidden="1" customHeight="1">
      <c r="A232" s="54">
        <v>140.0</v>
      </c>
      <c r="B232" s="56" t="s">
        <v>540</v>
      </c>
      <c r="C232" s="56" t="s">
        <v>434</v>
      </c>
      <c r="D232" s="56" t="s">
        <v>541</v>
      </c>
      <c r="E232" s="56" t="s">
        <v>167</v>
      </c>
      <c r="F232" s="57" t="s">
        <v>154</v>
      </c>
      <c r="G232" s="61"/>
      <c r="H232" s="61"/>
      <c r="I232" s="62"/>
      <c r="J232" s="53"/>
    </row>
    <row r="233" ht="24.75" hidden="1" customHeight="1">
      <c r="A233" s="54">
        <v>140.0</v>
      </c>
      <c r="B233" s="56" t="s">
        <v>540</v>
      </c>
      <c r="C233" s="56" t="s">
        <v>434</v>
      </c>
      <c r="D233" s="56" t="s">
        <v>541</v>
      </c>
      <c r="E233" s="56" t="s">
        <v>176</v>
      </c>
      <c r="F233" s="57" t="s">
        <v>154</v>
      </c>
      <c r="G233" s="61"/>
      <c r="H233" s="61"/>
      <c r="I233" s="62"/>
      <c r="J233" s="53"/>
    </row>
    <row r="234" ht="24.75" hidden="1" customHeight="1">
      <c r="A234" s="54">
        <v>140.0</v>
      </c>
      <c r="B234" s="56" t="s">
        <v>543</v>
      </c>
      <c r="C234" s="56" t="s">
        <v>437</v>
      </c>
      <c r="D234" s="56" t="s">
        <v>544</v>
      </c>
      <c r="E234" s="56" t="s">
        <v>167</v>
      </c>
      <c r="F234" s="57" t="s">
        <v>154</v>
      </c>
      <c r="G234" s="61"/>
      <c r="H234" s="61"/>
      <c r="I234" s="62"/>
      <c r="J234" s="53"/>
    </row>
    <row r="235" ht="24.75" hidden="1" customHeight="1">
      <c r="A235" s="54">
        <v>140.0</v>
      </c>
      <c r="B235" s="56" t="s">
        <v>543</v>
      </c>
      <c r="C235" s="56" t="s">
        <v>437</v>
      </c>
      <c r="D235" s="56" t="s">
        <v>544</v>
      </c>
      <c r="E235" s="56" t="s">
        <v>176</v>
      </c>
      <c r="F235" s="57" t="s">
        <v>154</v>
      </c>
      <c r="G235" s="61"/>
      <c r="H235" s="61"/>
      <c r="I235" s="62"/>
      <c r="J235" s="53"/>
    </row>
    <row r="236" ht="24.75" hidden="1" customHeight="1">
      <c r="A236" s="54">
        <v>140.0</v>
      </c>
      <c r="B236" s="56" t="s">
        <v>545</v>
      </c>
      <c r="C236" s="56" t="s">
        <v>437</v>
      </c>
      <c r="D236" s="56" t="s">
        <v>546</v>
      </c>
      <c r="E236" s="56" t="s">
        <v>167</v>
      </c>
      <c r="F236" s="57" t="s">
        <v>154</v>
      </c>
      <c r="G236" s="61"/>
      <c r="H236" s="61"/>
      <c r="I236" s="62"/>
      <c r="J236" s="53"/>
    </row>
    <row r="237" ht="24.75" hidden="1" customHeight="1">
      <c r="A237" s="54">
        <v>140.0</v>
      </c>
      <c r="B237" s="56" t="s">
        <v>545</v>
      </c>
      <c r="C237" s="56" t="s">
        <v>437</v>
      </c>
      <c r="D237" s="56" t="s">
        <v>546</v>
      </c>
      <c r="E237" s="56" t="s">
        <v>176</v>
      </c>
      <c r="F237" s="57" t="s">
        <v>154</v>
      </c>
      <c r="G237" s="61"/>
      <c r="H237" s="61"/>
      <c r="I237" s="62"/>
      <c r="J237" s="53"/>
    </row>
    <row r="238" ht="24.75" hidden="1" customHeight="1">
      <c r="A238" s="54">
        <v>140.0</v>
      </c>
      <c r="B238" s="56" t="s">
        <v>547</v>
      </c>
      <c r="C238" s="56" t="s">
        <v>437</v>
      </c>
      <c r="D238" s="56" t="s">
        <v>548</v>
      </c>
      <c r="E238" s="56" t="s">
        <v>167</v>
      </c>
      <c r="F238" s="57" t="s">
        <v>154</v>
      </c>
      <c r="G238" s="61"/>
      <c r="H238" s="61"/>
      <c r="I238" s="62"/>
      <c r="J238" s="53"/>
    </row>
    <row r="239" ht="24.75" hidden="1" customHeight="1">
      <c r="A239" s="54">
        <v>140.0</v>
      </c>
      <c r="B239" s="56" t="s">
        <v>547</v>
      </c>
      <c r="C239" s="56" t="s">
        <v>437</v>
      </c>
      <c r="D239" s="56" t="s">
        <v>548</v>
      </c>
      <c r="E239" s="56" t="s">
        <v>176</v>
      </c>
      <c r="F239" s="57" t="s">
        <v>154</v>
      </c>
      <c r="G239" s="61"/>
      <c r="H239" s="61"/>
      <c r="I239" s="62"/>
      <c r="J239" s="53"/>
    </row>
    <row r="240" ht="24.75" hidden="1" customHeight="1">
      <c r="A240" s="54">
        <v>140.0</v>
      </c>
      <c r="B240" s="56" t="s">
        <v>549</v>
      </c>
      <c r="C240" s="56" t="s">
        <v>434</v>
      </c>
      <c r="D240" s="56" t="s">
        <v>550</v>
      </c>
      <c r="E240" s="56" t="s">
        <v>167</v>
      </c>
      <c r="F240" s="57" t="s">
        <v>154</v>
      </c>
      <c r="G240" s="61"/>
      <c r="H240" s="61"/>
      <c r="I240" s="62"/>
      <c r="J240" s="53"/>
    </row>
    <row r="241" ht="24.75" hidden="1" customHeight="1">
      <c r="A241" s="54">
        <v>140.0</v>
      </c>
      <c r="B241" s="56" t="s">
        <v>549</v>
      </c>
      <c r="C241" s="56" t="s">
        <v>434</v>
      </c>
      <c r="D241" s="56" t="s">
        <v>550</v>
      </c>
      <c r="E241" s="56" t="s">
        <v>176</v>
      </c>
      <c r="F241" s="57" t="s">
        <v>154</v>
      </c>
      <c r="G241" s="61"/>
      <c r="H241" s="61"/>
      <c r="I241" s="62"/>
      <c r="J241" s="53"/>
    </row>
    <row r="242" ht="24.75" hidden="1" customHeight="1">
      <c r="A242" s="54">
        <v>140.0</v>
      </c>
      <c r="B242" s="56" t="s">
        <v>551</v>
      </c>
      <c r="C242" s="56" t="s">
        <v>497</v>
      </c>
      <c r="D242" s="56" t="s">
        <v>552</v>
      </c>
      <c r="E242" s="56" t="s">
        <v>167</v>
      </c>
      <c r="F242" s="57" t="s">
        <v>154</v>
      </c>
      <c r="G242" s="61"/>
      <c r="H242" s="61"/>
      <c r="I242" s="62"/>
      <c r="J242" s="53"/>
    </row>
    <row r="243" ht="24.75" hidden="1" customHeight="1">
      <c r="A243" s="54">
        <v>140.0</v>
      </c>
      <c r="B243" s="56" t="s">
        <v>551</v>
      </c>
      <c r="C243" s="56" t="s">
        <v>497</v>
      </c>
      <c r="D243" s="56" t="s">
        <v>552</v>
      </c>
      <c r="E243" s="56" t="s">
        <v>176</v>
      </c>
      <c r="F243" s="57" t="s">
        <v>154</v>
      </c>
      <c r="G243" s="61"/>
      <c r="H243" s="61"/>
      <c r="I243" s="62"/>
      <c r="J243" s="53"/>
    </row>
    <row r="244" ht="24.75" hidden="1" customHeight="1">
      <c r="A244" s="54">
        <v>140.0</v>
      </c>
      <c r="B244" s="56" t="s">
        <v>553</v>
      </c>
      <c r="C244" s="56" t="s">
        <v>443</v>
      </c>
      <c r="D244" s="56" t="s">
        <v>554</v>
      </c>
      <c r="E244" s="56" t="s">
        <v>167</v>
      </c>
      <c r="F244" s="57" t="s">
        <v>154</v>
      </c>
      <c r="G244" s="61"/>
      <c r="H244" s="61"/>
      <c r="I244" s="62"/>
      <c r="J244" s="53"/>
    </row>
    <row r="245" ht="24.75" hidden="1" customHeight="1">
      <c r="A245" s="54">
        <v>140.0</v>
      </c>
      <c r="B245" s="56" t="s">
        <v>553</v>
      </c>
      <c r="C245" s="56" t="s">
        <v>443</v>
      </c>
      <c r="D245" s="56" t="s">
        <v>554</v>
      </c>
      <c r="E245" s="56" t="s">
        <v>176</v>
      </c>
      <c r="F245" s="57" t="s">
        <v>154</v>
      </c>
      <c r="G245" s="61"/>
      <c r="H245" s="61"/>
      <c r="I245" s="62"/>
      <c r="J245" s="53"/>
    </row>
    <row r="246" ht="24.75" hidden="1" customHeight="1">
      <c r="A246" s="54">
        <v>140.0</v>
      </c>
      <c r="B246" s="56" t="s">
        <v>555</v>
      </c>
      <c r="C246" s="56" t="s">
        <v>434</v>
      </c>
      <c r="D246" s="56" t="s">
        <v>556</v>
      </c>
      <c r="E246" s="56" t="s">
        <v>167</v>
      </c>
      <c r="F246" s="57" t="s">
        <v>154</v>
      </c>
      <c r="G246" s="61"/>
      <c r="H246" s="61"/>
      <c r="I246" s="62"/>
      <c r="J246" s="53"/>
    </row>
    <row r="247" ht="24.75" hidden="1" customHeight="1">
      <c r="A247" s="54">
        <v>140.0</v>
      </c>
      <c r="B247" s="56" t="s">
        <v>555</v>
      </c>
      <c r="C247" s="56" t="s">
        <v>434</v>
      </c>
      <c r="D247" s="56" t="s">
        <v>556</v>
      </c>
      <c r="E247" s="56" t="s">
        <v>176</v>
      </c>
      <c r="F247" s="57" t="s">
        <v>154</v>
      </c>
      <c r="G247" s="61"/>
      <c r="H247" s="61"/>
      <c r="I247" s="62"/>
      <c r="J247" s="53"/>
    </row>
    <row r="248" ht="24.75" hidden="1" customHeight="1">
      <c r="A248" s="54">
        <v>140.0</v>
      </c>
      <c r="B248" s="56" t="s">
        <v>558</v>
      </c>
      <c r="C248" s="56" t="s">
        <v>270</v>
      </c>
      <c r="D248" s="56" t="s">
        <v>559</v>
      </c>
      <c r="E248" s="56" t="s">
        <v>167</v>
      </c>
      <c r="F248" s="57" t="s">
        <v>154</v>
      </c>
      <c r="G248" s="61"/>
      <c r="H248" s="61"/>
      <c r="I248" s="62"/>
      <c r="J248" s="53"/>
    </row>
    <row r="249" ht="24.75" hidden="1" customHeight="1">
      <c r="A249" s="54">
        <v>140.0</v>
      </c>
      <c r="B249" s="56" t="s">
        <v>558</v>
      </c>
      <c r="C249" s="56" t="s">
        <v>270</v>
      </c>
      <c r="D249" s="56" t="s">
        <v>559</v>
      </c>
      <c r="E249" s="56" t="s">
        <v>176</v>
      </c>
      <c r="F249" s="57" t="s">
        <v>154</v>
      </c>
      <c r="G249" s="61"/>
      <c r="H249" s="61"/>
      <c r="I249" s="62"/>
      <c r="J249" s="53"/>
    </row>
    <row r="250" ht="24.75" hidden="1" customHeight="1">
      <c r="A250" s="54">
        <v>140.0</v>
      </c>
      <c r="B250" s="56" t="s">
        <v>560</v>
      </c>
      <c r="C250" s="56" t="s">
        <v>446</v>
      </c>
      <c r="D250" s="56" t="s">
        <v>561</v>
      </c>
      <c r="E250" s="56" t="s">
        <v>167</v>
      </c>
      <c r="F250" s="57" t="s">
        <v>154</v>
      </c>
      <c r="G250" s="61"/>
      <c r="H250" s="61"/>
      <c r="I250" s="62"/>
      <c r="J250" s="53"/>
    </row>
    <row r="251" ht="24.75" hidden="1" customHeight="1">
      <c r="A251" s="54">
        <v>140.0</v>
      </c>
      <c r="B251" s="56" t="s">
        <v>560</v>
      </c>
      <c r="C251" s="56" t="s">
        <v>446</v>
      </c>
      <c r="D251" s="56" t="s">
        <v>561</v>
      </c>
      <c r="E251" s="56" t="s">
        <v>176</v>
      </c>
      <c r="F251" s="57" t="s">
        <v>154</v>
      </c>
      <c r="G251" s="61"/>
      <c r="H251" s="61"/>
      <c r="I251" s="62"/>
      <c r="J251" s="53"/>
    </row>
    <row r="252" ht="24.75" hidden="1" customHeight="1">
      <c r="A252" s="54">
        <v>140.0</v>
      </c>
      <c r="B252" s="56" t="s">
        <v>562</v>
      </c>
      <c r="C252" s="56" t="s">
        <v>443</v>
      </c>
      <c r="D252" s="56" t="s">
        <v>563</v>
      </c>
      <c r="E252" s="56" t="s">
        <v>167</v>
      </c>
      <c r="F252" s="57" t="s">
        <v>154</v>
      </c>
      <c r="G252" s="61"/>
      <c r="H252" s="61"/>
      <c r="I252" s="62"/>
      <c r="J252" s="53"/>
    </row>
    <row r="253" ht="24.75" hidden="1" customHeight="1">
      <c r="A253" s="54">
        <v>140.0</v>
      </c>
      <c r="B253" s="56" t="s">
        <v>562</v>
      </c>
      <c r="C253" s="56" t="s">
        <v>443</v>
      </c>
      <c r="D253" s="56" t="s">
        <v>563</v>
      </c>
      <c r="E253" s="56" t="s">
        <v>176</v>
      </c>
      <c r="F253" s="57" t="s">
        <v>154</v>
      </c>
      <c r="G253" s="61"/>
      <c r="H253" s="61"/>
      <c r="I253" s="62"/>
      <c r="J253" s="53"/>
    </row>
    <row r="254" ht="24.75" hidden="1" customHeight="1">
      <c r="A254" s="54">
        <v>140.0</v>
      </c>
      <c r="B254" s="56" t="s">
        <v>564</v>
      </c>
      <c r="C254" s="56" t="s">
        <v>446</v>
      </c>
      <c r="D254" s="56" t="s">
        <v>565</v>
      </c>
      <c r="E254" s="56" t="s">
        <v>167</v>
      </c>
      <c r="F254" s="57" t="s">
        <v>154</v>
      </c>
      <c r="G254" s="61"/>
      <c r="H254" s="61"/>
      <c r="I254" s="62"/>
      <c r="J254" s="53"/>
    </row>
    <row r="255" ht="24.75" hidden="1" customHeight="1">
      <c r="A255" s="54">
        <v>140.0</v>
      </c>
      <c r="B255" s="56" t="s">
        <v>564</v>
      </c>
      <c r="C255" s="56" t="s">
        <v>446</v>
      </c>
      <c r="D255" s="56" t="s">
        <v>565</v>
      </c>
      <c r="E255" s="56" t="s">
        <v>176</v>
      </c>
      <c r="F255" s="57" t="s">
        <v>154</v>
      </c>
      <c r="G255" s="61"/>
      <c r="H255" s="61"/>
      <c r="I255" s="62"/>
      <c r="J255" s="53"/>
    </row>
    <row r="256" ht="24.75" hidden="1" customHeight="1">
      <c r="A256" s="54">
        <v>140.0</v>
      </c>
      <c r="B256" s="56" t="s">
        <v>566</v>
      </c>
      <c r="C256" s="88" t="s">
        <v>449</v>
      </c>
      <c r="D256" s="56" t="s">
        <v>567</v>
      </c>
      <c r="E256" s="56" t="s">
        <v>167</v>
      </c>
      <c r="F256" s="57" t="s">
        <v>154</v>
      </c>
      <c r="G256" s="61"/>
      <c r="H256" s="61"/>
      <c r="I256" s="62"/>
      <c r="J256" s="53"/>
    </row>
    <row r="257" ht="24.75" hidden="1" customHeight="1">
      <c r="A257" s="54">
        <v>140.0</v>
      </c>
      <c r="B257" s="56" t="s">
        <v>566</v>
      </c>
      <c r="C257" s="88" t="s">
        <v>449</v>
      </c>
      <c r="D257" s="56" t="s">
        <v>567</v>
      </c>
      <c r="E257" s="56" t="s">
        <v>176</v>
      </c>
      <c r="F257" s="57" t="s">
        <v>154</v>
      </c>
      <c r="G257" s="61"/>
      <c r="H257" s="61"/>
      <c r="I257" s="62"/>
      <c r="J257" s="53"/>
    </row>
    <row r="258" ht="24.75" hidden="1" customHeight="1">
      <c r="A258" s="54">
        <v>140.0</v>
      </c>
      <c r="B258" s="56" t="s">
        <v>568</v>
      </c>
      <c r="C258" s="56" t="s">
        <v>446</v>
      </c>
      <c r="D258" s="56" t="s">
        <v>569</v>
      </c>
      <c r="E258" s="56" t="s">
        <v>272</v>
      </c>
      <c r="F258" s="57" t="s">
        <v>15</v>
      </c>
      <c r="G258" s="61"/>
      <c r="H258" s="61"/>
      <c r="I258" s="60"/>
      <c r="J258" s="53"/>
    </row>
    <row r="259" ht="24.75" hidden="1" customHeight="1">
      <c r="A259" s="54">
        <v>140.0</v>
      </c>
      <c r="B259" s="56" t="s">
        <v>570</v>
      </c>
      <c r="C259" s="88" t="s">
        <v>449</v>
      </c>
      <c r="D259" s="56" t="s">
        <v>571</v>
      </c>
      <c r="E259" s="56" t="s">
        <v>167</v>
      </c>
      <c r="F259" s="57" t="s">
        <v>154</v>
      </c>
      <c r="G259" s="61"/>
      <c r="H259" s="61"/>
      <c r="I259" s="62"/>
      <c r="J259" s="53"/>
    </row>
    <row r="260" ht="24.75" hidden="1" customHeight="1">
      <c r="A260" s="54">
        <v>140.0</v>
      </c>
      <c r="B260" s="56" t="s">
        <v>570</v>
      </c>
      <c r="C260" s="88" t="s">
        <v>449</v>
      </c>
      <c r="D260" s="56" t="s">
        <v>571</v>
      </c>
      <c r="E260" s="56" t="s">
        <v>176</v>
      </c>
      <c r="F260" s="57" t="s">
        <v>154</v>
      </c>
      <c r="G260" s="61"/>
      <c r="H260" s="61"/>
      <c r="I260" s="62"/>
      <c r="J260" s="53"/>
    </row>
    <row r="261" ht="24.75" hidden="1" customHeight="1">
      <c r="A261" s="54" t="s">
        <v>572</v>
      </c>
      <c r="B261" s="56" t="s">
        <v>573</v>
      </c>
      <c r="C261" s="56" t="s">
        <v>574</v>
      </c>
      <c r="D261" s="56" t="s">
        <v>575</v>
      </c>
      <c r="E261" s="56" t="s">
        <v>239</v>
      </c>
      <c r="F261" s="57" t="s">
        <v>154</v>
      </c>
      <c r="G261" s="61"/>
      <c r="H261" s="61"/>
      <c r="I261" s="62" t="s">
        <v>207</v>
      </c>
      <c r="J261" s="53"/>
    </row>
    <row r="262" ht="24.75" hidden="1" customHeight="1">
      <c r="A262" s="54" t="s">
        <v>572</v>
      </c>
      <c r="B262" s="56" t="s">
        <v>576</v>
      </c>
      <c r="C262" s="56" t="s">
        <v>574</v>
      </c>
      <c r="D262" s="56" t="s">
        <v>577</v>
      </c>
      <c r="E262" s="56" t="s">
        <v>578</v>
      </c>
      <c r="F262" s="57" t="s">
        <v>154</v>
      </c>
      <c r="G262" s="61"/>
      <c r="H262" s="61"/>
      <c r="I262" s="62"/>
      <c r="J262" s="53"/>
    </row>
    <row r="263" ht="24.75" hidden="1" customHeight="1">
      <c r="A263" s="54" t="s">
        <v>572</v>
      </c>
      <c r="B263" s="56" t="s">
        <v>576</v>
      </c>
      <c r="C263" s="56" t="s">
        <v>574</v>
      </c>
      <c r="D263" s="56" t="s">
        <v>577</v>
      </c>
      <c r="E263" s="56" t="s">
        <v>196</v>
      </c>
      <c r="F263" s="57" t="s">
        <v>250</v>
      </c>
      <c r="G263" s="61"/>
      <c r="H263" s="61" t="s">
        <v>197</v>
      </c>
      <c r="I263" s="62" t="s">
        <v>581</v>
      </c>
      <c r="J263" s="53"/>
    </row>
    <row r="264" ht="24.75" hidden="1" customHeight="1">
      <c r="A264" s="54" t="s">
        <v>572</v>
      </c>
      <c r="B264" s="56" t="s">
        <v>579</v>
      </c>
      <c r="C264" s="56" t="s">
        <v>574</v>
      </c>
      <c r="D264" s="56" t="s">
        <v>580</v>
      </c>
      <c r="E264" s="56" t="s">
        <v>578</v>
      </c>
      <c r="F264" s="57" t="s">
        <v>154</v>
      </c>
      <c r="G264" s="61"/>
      <c r="H264" s="61"/>
      <c r="I264" s="62"/>
      <c r="J264" s="53"/>
    </row>
    <row r="265" ht="24.75" hidden="1" customHeight="1">
      <c r="A265" s="54" t="s">
        <v>572</v>
      </c>
      <c r="B265" s="56" t="s">
        <v>579</v>
      </c>
      <c r="C265" s="56" t="s">
        <v>574</v>
      </c>
      <c r="D265" s="56" t="s">
        <v>580</v>
      </c>
      <c r="E265" s="56" t="s">
        <v>196</v>
      </c>
      <c r="F265" s="57" t="s">
        <v>250</v>
      </c>
      <c r="G265" s="61"/>
      <c r="H265" s="61" t="s">
        <v>197</v>
      </c>
      <c r="I265" s="62" t="s">
        <v>581</v>
      </c>
      <c r="J265" s="53"/>
    </row>
    <row r="266" ht="24.75" hidden="1" customHeight="1">
      <c r="A266" s="54" t="s">
        <v>572</v>
      </c>
      <c r="B266" s="56" t="s">
        <v>582</v>
      </c>
      <c r="C266" s="56" t="s">
        <v>583</v>
      </c>
      <c r="D266" s="56" t="s">
        <v>584</v>
      </c>
      <c r="E266" s="56" t="s">
        <v>585</v>
      </c>
      <c r="F266" s="57" t="s">
        <v>154</v>
      </c>
      <c r="G266" s="61"/>
      <c r="H266" s="61"/>
      <c r="I266" s="62" t="s">
        <v>207</v>
      </c>
      <c r="J266" s="53"/>
    </row>
    <row r="267" ht="24.75" hidden="1" customHeight="1">
      <c r="A267" s="54" t="s">
        <v>572</v>
      </c>
      <c r="B267" s="56" t="s">
        <v>586</v>
      </c>
      <c r="C267" s="56" t="s">
        <v>583</v>
      </c>
      <c r="D267" s="56" t="s">
        <v>587</v>
      </c>
      <c r="E267" s="56" t="s">
        <v>588</v>
      </c>
      <c r="F267" s="57" t="s">
        <v>154</v>
      </c>
      <c r="G267" s="61"/>
      <c r="H267" s="61"/>
      <c r="I267" s="62"/>
      <c r="J267" s="53"/>
    </row>
    <row r="268" ht="24.75" hidden="1" customHeight="1">
      <c r="A268" s="54" t="s">
        <v>572</v>
      </c>
      <c r="B268" s="56" t="s">
        <v>586</v>
      </c>
      <c r="C268" s="56" t="s">
        <v>583</v>
      </c>
      <c r="D268" s="56" t="s">
        <v>587</v>
      </c>
      <c r="E268" s="56" t="s">
        <v>589</v>
      </c>
      <c r="F268" s="57" t="s">
        <v>154</v>
      </c>
      <c r="G268" s="61"/>
      <c r="H268" s="61"/>
      <c r="I268" s="62"/>
      <c r="J268" s="53"/>
    </row>
    <row r="269" ht="24.75" hidden="1" customHeight="1">
      <c r="A269" s="54" t="s">
        <v>572</v>
      </c>
      <c r="B269" s="56" t="s">
        <v>586</v>
      </c>
      <c r="C269" s="56" t="s">
        <v>583</v>
      </c>
      <c r="D269" s="56" t="s">
        <v>587</v>
      </c>
      <c r="E269" s="56" t="s">
        <v>590</v>
      </c>
      <c r="F269" s="57" t="s">
        <v>250</v>
      </c>
      <c r="G269" s="61"/>
      <c r="H269" s="61" t="s">
        <v>592</v>
      </c>
      <c r="I269" s="62" t="s">
        <v>593</v>
      </c>
      <c r="J269" s="53"/>
    </row>
    <row r="270" ht="24.75" hidden="1" customHeight="1">
      <c r="A270" s="54" t="s">
        <v>572</v>
      </c>
      <c r="B270" s="56" t="s">
        <v>591</v>
      </c>
      <c r="C270" s="56" t="s">
        <v>574</v>
      </c>
      <c r="D270" s="56" t="s">
        <v>594</v>
      </c>
      <c r="E270" s="56" t="s">
        <v>239</v>
      </c>
      <c r="F270" s="57" t="s">
        <v>154</v>
      </c>
      <c r="G270" s="61"/>
      <c r="H270" s="61"/>
      <c r="I270" s="62"/>
      <c r="J270" s="53"/>
    </row>
    <row r="271" ht="24.75" hidden="1" customHeight="1">
      <c r="A271" s="54" t="s">
        <v>572</v>
      </c>
      <c r="B271" s="56" t="s">
        <v>595</v>
      </c>
      <c r="C271" s="56" t="s">
        <v>574</v>
      </c>
      <c r="D271" s="56" t="s">
        <v>577</v>
      </c>
      <c r="E271" s="56" t="s">
        <v>578</v>
      </c>
      <c r="F271" s="57" t="s">
        <v>154</v>
      </c>
      <c r="G271" s="61"/>
      <c r="H271" s="61"/>
      <c r="I271" s="62"/>
      <c r="J271" s="53"/>
    </row>
    <row r="272" ht="24.75" hidden="1" customHeight="1">
      <c r="A272" s="54" t="s">
        <v>572</v>
      </c>
      <c r="B272" s="56" t="s">
        <v>595</v>
      </c>
      <c r="C272" s="56" t="s">
        <v>574</v>
      </c>
      <c r="D272" s="56" t="s">
        <v>577</v>
      </c>
      <c r="E272" s="56" t="s">
        <v>196</v>
      </c>
      <c r="F272" s="57" t="s">
        <v>250</v>
      </c>
      <c r="G272" s="61"/>
      <c r="H272" s="61" t="s">
        <v>197</v>
      </c>
      <c r="I272" s="62" t="s">
        <v>581</v>
      </c>
      <c r="J272" s="53"/>
    </row>
    <row r="273" ht="24.75" hidden="1" customHeight="1">
      <c r="A273" s="54" t="s">
        <v>572</v>
      </c>
      <c r="B273" s="56" t="s">
        <v>596</v>
      </c>
      <c r="C273" s="56" t="s">
        <v>574</v>
      </c>
      <c r="D273" s="56" t="s">
        <v>597</v>
      </c>
      <c r="E273" s="56" t="s">
        <v>239</v>
      </c>
      <c r="F273" s="57" t="s">
        <v>154</v>
      </c>
      <c r="G273" s="61"/>
      <c r="H273" s="61"/>
      <c r="I273" s="62"/>
      <c r="J273" s="53"/>
    </row>
    <row r="274" ht="24.75" hidden="1" customHeight="1">
      <c r="A274" s="54" t="s">
        <v>572</v>
      </c>
      <c r="B274" s="56" t="s">
        <v>598</v>
      </c>
      <c r="C274" s="56" t="s">
        <v>574</v>
      </c>
      <c r="D274" s="56" t="s">
        <v>577</v>
      </c>
      <c r="E274" s="56" t="s">
        <v>578</v>
      </c>
      <c r="F274" s="57" t="s">
        <v>154</v>
      </c>
      <c r="G274" s="61"/>
      <c r="H274" s="61"/>
      <c r="I274" s="62"/>
      <c r="J274" s="53"/>
    </row>
    <row r="275" ht="24.75" hidden="1" customHeight="1">
      <c r="A275" s="54" t="s">
        <v>572</v>
      </c>
      <c r="B275" s="56" t="s">
        <v>598</v>
      </c>
      <c r="C275" s="56" t="s">
        <v>574</v>
      </c>
      <c r="D275" s="56" t="s">
        <v>577</v>
      </c>
      <c r="E275" s="56" t="s">
        <v>196</v>
      </c>
      <c r="F275" s="57" t="s">
        <v>250</v>
      </c>
      <c r="G275" s="61"/>
      <c r="H275" s="61" t="s">
        <v>197</v>
      </c>
      <c r="I275" s="62" t="s">
        <v>581</v>
      </c>
      <c r="J275" s="53"/>
    </row>
    <row r="276" ht="24.75" hidden="1" customHeight="1">
      <c r="A276" s="54" t="s">
        <v>289</v>
      </c>
      <c r="B276" s="56" t="s">
        <v>599</v>
      </c>
      <c r="C276" s="56" t="s">
        <v>291</v>
      </c>
      <c r="D276" s="56" t="s">
        <v>600</v>
      </c>
      <c r="E276" s="56" t="s">
        <v>163</v>
      </c>
      <c r="F276" s="57" t="s">
        <v>154</v>
      </c>
      <c r="G276" s="61"/>
      <c r="H276" s="79"/>
      <c r="I276" s="62"/>
      <c r="J276" s="53"/>
    </row>
    <row r="277" ht="24.75" hidden="1" customHeight="1">
      <c r="A277" s="54" t="s">
        <v>289</v>
      </c>
      <c r="B277" s="56" t="s">
        <v>290</v>
      </c>
      <c r="C277" s="56" t="s">
        <v>291</v>
      </c>
      <c r="D277" s="56" t="s">
        <v>292</v>
      </c>
      <c r="E277" s="56" t="s">
        <v>196</v>
      </c>
      <c r="F277" s="57" t="s">
        <v>250</v>
      </c>
      <c r="G277" s="61"/>
      <c r="H277" s="61" t="s">
        <v>287</v>
      </c>
      <c r="I277" s="62" t="s">
        <v>288</v>
      </c>
      <c r="J277" s="53"/>
    </row>
    <row r="278" ht="24.75" hidden="1" customHeight="1">
      <c r="A278" s="54" t="s">
        <v>289</v>
      </c>
      <c r="B278" s="56" t="s">
        <v>290</v>
      </c>
      <c r="C278" s="56" t="s">
        <v>291</v>
      </c>
      <c r="D278" s="56" t="s">
        <v>292</v>
      </c>
      <c r="E278" s="56" t="s">
        <v>601</v>
      </c>
      <c r="F278" s="57" t="s">
        <v>154</v>
      </c>
      <c r="G278" s="61"/>
      <c r="H278" s="79"/>
      <c r="I278" s="62"/>
      <c r="J278" s="53"/>
    </row>
    <row r="279" ht="24.75" hidden="1" customHeight="1">
      <c r="A279" s="54">
        <v>140.0</v>
      </c>
      <c r="B279" s="56" t="s">
        <v>602</v>
      </c>
      <c r="C279" s="56" t="s">
        <v>500</v>
      </c>
      <c r="D279" s="56" t="s">
        <v>603</v>
      </c>
      <c r="E279" s="56" t="s">
        <v>272</v>
      </c>
      <c r="F279" s="57" t="s">
        <v>15</v>
      </c>
      <c r="G279" s="61"/>
      <c r="H279" s="61"/>
      <c r="I279" s="60"/>
      <c r="J279" s="53"/>
    </row>
    <row r="280" ht="24.75" hidden="1" customHeight="1">
      <c r="A280" s="54">
        <v>140.0</v>
      </c>
      <c r="B280" s="56" t="s">
        <v>566</v>
      </c>
      <c r="C280" s="56" t="s">
        <v>500</v>
      </c>
      <c r="D280" s="56" t="s">
        <v>604</v>
      </c>
      <c r="E280" s="56" t="s">
        <v>272</v>
      </c>
      <c r="F280" s="57" t="s">
        <v>15</v>
      </c>
      <c r="G280" s="61"/>
      <c r="H280" s="61"/>
      <c r="I280" s="60"/>
      <c r="J280" s="53"/>
    </row>
    <row r="281" ht="24.75" hidden="1" customHeight="1">
      <c r="A281" s="54" t="s">
        <v>289</v>
      </c>
      <c r="B281" s="56" t="s">
        <v>605</v>
      </c>
      <c r="C281" s="56" t="s">
        <v>606</v>
      </c>
      <c r="D281" s="56" t="s">
        <v>607</v>
      </c>
      <c r="E281" s="56" t="s">
        <v>608</v>
      </c>
      <c r="F281" s="57" t="s">
        <v>154</v>
      </c>
      <c r="G281" s="61"/>
      <c r="H281" s="79"/>
      <c r="I281" s="62"/>
      <c r="J281" s="53"/>
    </row>
    <row r="282" ht="24.75" hidden="1" customHeight="1">
      <c r="A282" s="54" t="s">
        <v>289</v>
      </c>
      <c r="B282" s="56" t="s">
        <v>609</v>
      </c>
      <c r="C282" s="56" t="s">
        <v>610</v>
      </c>
      <c r="D282" s="56" t="s">
        <v>611</v>
      </c>
      <c r="E282" s="56" t="s">
        <v>612</v>
      </c>
      <c r="F282" s="57" t="s">
        <v>34</v>
      </c>
      <c r="G282" s="61"/>
      <c r="H282" s="79"/>
      <c r="I282" s="62"/>
      <c r="J282" s="53"/>
    </row>
    <row r="283" ht="24.75" hidden="1" customHeight="1">
      <c r="A283" s="54" t="s">
        <v>289</v>
      </c>
      <c r="B283" s="56" t="s">
        <v>609</v>
      </c>
      <c r="C283" s="56" t="s">
        <v>610</v>
      </c>
      <c r="D283" s="56" t="s">
        <v>611</v>
      </c>
      <c r="E283" s="56" t="s">
        <v>613</v>
      </c>
      <c r="F283" s="57" t="s">
        <v>34</v>
      </c>
      <c r="G283" s="61"/>
      <c r="H283" s="79"/>
      <c r="I283" s="62"/>
      <c r="J283" s="53"/>
    </row>
    <row r="284" ht="24.75" hidden="1" customHeight="1">
      <c r="A284" s="54" t="s">
        <v>289</v>
      </c>
      <c r="B284" s="56" t="s">
        <v>609</v>
      </c>
      <c r="C284" s="56" t="s">
        <v>610</v>
      </c>
      <c r="D284" s="56" t="s">
        <v>611</v>
      </c>
      <c r="E284" s="56" t="s">
        <v>614</v>
      </c>
      <c r="F284" s="57" t="s">
        <v>34</v>
      </c>
      <c r="G284" s="61"/>
      <c r="H284" s="79"/>
      <c r="I284" s="62" t="s">
        <v>615</v>
      </c>
      <c r="J284" s="53"/>
    </row>
    <row r="285" ht="24.75" hidden="1" customHeight="1">
      <c r="A285" s="54" t="s">
        <v>289</v>
      </c>
      <c r="B285" s="56" t="s">
        <v>609</v>
      </c>
      <c r="C285" s="56" t="s">
        <v>610</v>
      </c>
      <c r="D285" s="56" t="s">
        <v>611</v>
      </c>
      <c r="E285" s="56" t="s">
        <v>616</v>
      </c>
      <c r="F285" s="57" t="s">
        <v>154</v>
      </c>
      <c r="G285" s="61"/>
      <c r="H285" s="79"/>
      <c r="I285" s="62" t="s">
        <v>617</v>
      </c>
      <c r="J285" s="53"/>
    </row>
    <row r="286" ht="24.75" hidden="1" customHeight="1">
      <c r="A286" s="54" t="s">
        <v>289</v>
      </c>
      <c r="B286" s="56" t="s">
        <v>609</v>
      </c>
      <c r="C286" s="56" t="s">
        <v>610</v>
      </c>
      <c r="D286" s="56" t="s">
        <v>611</v>
      </c>
      <c r="E286" s="80" t="s">
        <v>618</v>
      </c>
      <c r="F286" s="57" t="s">
        <v>154</v>
      </c>
      <c r="G286" s="61"/>
      <c r="H286" s="79"/>
      <c r="I286" s="62" t="s">
        <v>617</v>
      </c>
      <c r="J286" s="53"/>
    </row>
    <row r="287" ht="24.75" hidden="1" customHeight="1">
      <c r="A287" s="54" t="s">
        <v>289</v>
      </c>
      <c r="B287" s="56" t="s">
        <v>619</v>
      </c>
      <c r="C287" s="56" t="s">
        <v>610</v>
      </c>
      <c r="D287" s="56" t="s">
        <v>620</v>
      </c>
      <c r="E287" s="56" t="s">
        <v>196</v>
      </c>
      <c r="F287" s="57" t="s">
        <v>250</v>
      </c>
      <c r="G287" s="61"/>
      <c r="H287" s="61" t="s">
        <v>287</v>
      </c>
      <c r="I287" s="62" t="s">
        <v>288</v>
      </c>
      <c r="J287" s="53"/>
    </row>
    <row r="288" ht="24.75" hidden="1" customHeight="1">
      <c r="A288" s="54" t="s">
        <v>289</v>
      </c>
      <c r="B288" s="56" t="s">
        <v>619</v>
      </c>
      <c r="C288" s="56" t="s">
        <v>610</v>
      </c>
      <c r="D288" s="56" t="s">
        <v>620</v>
      </c>
      <c r="E288" s="56" t="s">
        <v>621</v>
      </c>
      <c r="F288" s="57" t="s">
        <v>192</v>
      </c>
      <c r="G288" s="61"/>
      <c r="H288" s="79"/>
      <c r="I288" s="62"/>
      <c r="J288" s="53"/>
    </row>
    <row r="289" ht="24.75" hidden="1" customHeight="1">
      <c r="A289" s="54" t="s">
        <v>289</v>
      </c>
      <c r="B289" s="56" t="s">
        <v>619</v>
      </c>
      <c r="C289" s="56" t="s">
        <v>610</v>
      </c>
      <c r="D289" s="56" t="s">
        <v>620</v>
      </c>
      <c r="E289" s="56" t="s">
        <v>622</v>
      </c>
      <c r="F289" s="57" t="s">
        <v>154</v>
      </c>
      <c r="G289" s="61"/>
      <c r="H289" s="79"/>
      <c r="I289" s="62" t="s">
        <v>617</v>
      </c>
      <c r="J289" s="53"/>
    </row>
    <row r="290" ht="24.75" hidden="1" customHeight="1">
      <c r="A290" s="54" t="s">
        <v>289</v>
      </c>
      <c r="B290" s="56" t="s">
        <v>623</v>
      </c>
      <c r="C290" s="56" t="s">
        <v>624</v>
      </c>
      <c r="D290" s="56" t="s">
        <v>611</v>
      </c>
      <c r="E290" s="56" t="s">
        <v>612</v>
      </c>
      <c r="F290" s="57" t="s">
        <v>34</v>
      </c>
      <c r="G290" s="61"/>
      <c r="H290" s="79"/>
      <c r="I290" s="62"/>
      <c r="J290" s="53"/>
    </row>
    <row r="291" ht="24.75" hidden="1" customHeight="1">
      <c r="A291" s="54" t="s">
        <v>289</v>
      </c>
      <c r="B291" s="56" t="s">
        <v>623</v>
      </c>
      <c r="C291" s="56" t="s">
        <v>624</v>
      </c>
      <c r="D291" s="56" t="s">
        <v>611</v>
      </c>
      <c r="E291" s="56" t="s">
        <v>613</v>
      </c>
      <c r="F291" s="57" t="s">
        <v>34</v>
      </c>
      <c r="G291" s="61"/>
      <c r="H291" s="79"/>
      <c r="I291" s="62"/>
      <c r="J291" s="53"/>
    </row>
    <row r="292" ht="24.75" hidden="1" customHeight="1">
      <c r="A292" s="54" t="s">
        <v>289</v>
      </c>
      <c r="B292" s="56" t="s">
        <v>623</v>
      </c>
      <c r="C292" s="56" t="s">
        <v>624</v>
      </c>
      <c r="D292" s="56" t="s">
        <v>611</v>
      </c>
      <c r="E292" s="56" t="s">
        <v>614</v>
      </c>
      <c r="F292" s="57" t="s">
        <v>34</v>
      </c>
      <c r="G292" s="61"/>
      <c r="H292" s="79"/>
      <c r="I292" s="62" t="s">
        <v>615</v>
      </c>
      <c r="J292" s="53"/>
    </row>
    <row r="293" ht="24.75" hidden="1" customHeight="1">
      <c r="A293" s="54" t="s">
        <v>289</v>
      </c>
      <c r="B293" s="56" t="s">
        <v>623</v>
      </c>
      <c r="C293" s="56" t="s">
        <v>624</v>
      </c>
      <c r="D293" s="56" t="s">
        <v>611</v>
      </c>
      <c r="E293" s="56" t="s">
        <v>616</v>
      </c>
      <c r="F293" s="57" t="s">
        <v>154</v>
      </c>
      <c r="G293" s="61"/>
      <c r="H293" s="79"/>
      <c r="I293" s="62" t="s">
        <v>617</v>
      </c>
      <c r="J293" s="53"/>
    </row>
    <row r="294" ht="24.75" hidden="1" customHeight="1">
      <c r="A294" s="54" t="s">
        <v>289</v>
      </c>
      <c r="B294" s="56" t="s">
        <v>623</v>
      </c>
      <c r="C294" s="56" t="s">
        <v>624</v>
      </c>
      <c r="D294" s="56" t="s">
        <v>611</v>
      </c>
      <c r="E294" s="80" t="s">
        <v>618</v>
      </c>
      <c r="F294" s="57" t="s">
        <v>154</v>
      </c>
      <c r="G294" s="61"/>
      <c r="H294" s="79"/>
      <c r="I294" s="62" t="s">
        <v>617</v>
      </c>
      <c r="J294" s="53"/>
    </row>
    <row r="295" ht="24.75" hidden="1" customHeight="1">
      <c r="A295" s="54" t="s">
        <v>289</v>
      </c>
      <c r="B295" s="56" t="s">
        <v>625</v>
      </c>
      <c r="C295" s="56" t="s">
        <v>624</v>
      </c>
      <c r="D295" s="56" t="s">
        <v>620</v>
      </c>
      <c r="E295" s="56" t="s">
        <v>196</v>
      </c>
      <c r="F295" s="57" t="s">
        <v>250</v>
      </c>
      <c r="G295" s="61"/>
      <c r="H295" s="61" t="s">
        <v>287</v>
      </c>
      <c r="I295" s="62" t="s">
        <v>288</v>
      </c>
      <c r="J295" s="53"/>
    </row>
    <row r="296" ht="24.75" hidden="1" customHeight="1">
      <c r="A296" s="54" t="s">
        <v>289</v>
      </c>
      <c r="B296" s="56" t="s">
        <v>625</v>
      </c>
      <c r="C296" s="56" t="s">
        <v>624</v>
      </c>
      <c r="D296" s="56" t="s">
        <v>620</v>
      </c>
      <c r="E296" s="56" t="s">
        <v>621</v>
      </c>
      <c r="F296" s="57" t="s">
        <v>192</v>
      </c>
      <c r="G296" s="61"/>
      <c r="H296" s="79"/>
      <c r="I296" s="62"/>
      <c r="J296" s="53"/>
    </row>
    <row r="297" ht="24.75" hidden="1" customHeight="1">
      <c r="A297" s="54" t="s">
        <v>289</v>
      </c>
      <c r="B297" s="56" t="s">
        <v>625</v>
      </c>
      <c r="C297" s="56" t="s">
        <v>624</v>
      </c>
      <c r="D297" s="56" t="s">
        <v>620</v>
      </c>
      <c r="E297" s="56" t="s">
        <v>622</v>
      </c>
      <c r="F297" s="57" t="s">
        <v>154</v>
      </c>
      <c r="G297" s="61"/>
      <c r="H297" s="79"/>
      <c r="I297" s="62" t="s">
        <v>617</v>
      </c>
      <c r="J297" s="53"/>
    </row>
    <row r="298" ht="24.75" hidden="1" customHeight="1">
      <c r="A298" s="54" t="s">
        <v>289</v>
      </c>
      <c r="B298" s="56" t="s">
        <v>626</v>
      </c>
      <c r="C298" s="56" t="s">
        <v>627</v>
      </c>
      <c r="D298" s="56" t="s">
        <v>611</v>
      </c>
      <c r="E298" s="56" t="s">
        <v>612</v>
      </c>
      <c r="F298" s="57" t="s">
        <v>34</v>
      </c>
      <c r="G298" s="61"/>
      <c r="H298" s="79"/>
      <c r="I298" s="62"/>
      <c r="J298" s="53"/>
    </row>
    <row r="299" ht="24.75" hidden="1" customHeight="1">
      <c r="A299" s="54" t="s">
        <v>289</v>
      </c>
      <c r="B299" s="56" t="s">
        <v>626</v>
      </c>
      <c r="C299" s="56" t="s">
        <v>627</v>
      </c>
      <c r="D299" s="56" t="s">
        <v>611</v>
      </c>
      <c r="E299" s="56" t="s">
        <v>613</v>
      </c>
      <c r="F299" s="57" t="s">
        <v>34</v>
      </c>
      <c r="G299" s="61"/>
      <c r="H299" s="79"/>
      <c r="I299" s="62"/>
      <c r="J299" s="53"/>
    </row>
    <row r="300" ht="24.75" hidden="1" customHeight="1">
      <c r="A300" s="54" t="s">
        <v>289</v>
      </c>
      <c r="B300" s="56" t="s">
        <v>626</v>
      </c>
      <c r="C300" s="56" t="s">
        <v>627</v>
      </c>
      <c r="D300" s="56" t="s">
        <v>611</v>
      </c>
      <c r="E300" s="56" t="s">
        <v>614</v>
      </c>
      <c r="F300" s="57" t="s">
        <v>34</v>
      </c>
      <c r="G300" s="61"/>
      <c r="H300" s="79"/>
      <c r="I300" s="62" t="s">
        <v>615</v>
      </c>
      <c r="J300" s="53"/>
    </row>
    <row r="301" ht="24.75" hidden="1" customHeight="1">
      <c r="A301" s="54" t="s">
        <v>289</v>
      </c>
      <c r="B301" s="56" t="s">
        <v>626</v>
      </c>
      <c r="C301" s="56" t="s">
        <v>627</v>
      </c>
      <c r="D301" s="56" t="s">
        <v>611</v>
      </c>
      <c r="E301" s="56" t="s">
        <v>616</v>
      </c>
      <c r="F301" s="57" t="s">
        <v>154</v>
      </c>
      <c r="G301" s="61"/>
      <c r="H301" s="79"/>
      <c r="I301" s="62" t="s">
        <v>617</v>
      </c>
      <c r="J301" s="53"/>
    </row>
    <row r="302" ht="24.75" hidden="1" customHeight="1">
      <c r="A302" s="54" t="s">
        <v>289</v>
      </c>
      <c r="B302" s="56" t="s">
        <v>626</v>
      </c>
      <c r="C302" s="56" t="s">
        <v>627</v>
      </c>
      <c r="D302" s="56" t="s">
        <v>611</v>
      </c>
      <c r="E302" s="56" t="s">
        <v>618</v>
      </c>
      <c r="F302" s="57" t="s">
        <v>154</v>
      </c>
      <c r="G302" s="61"/>
      <c r="H302" s="79"/>
      <c r="I302" s="62" t="s">
        <v>617</v>
      </c>
      <c r="J302" s="53"/>
    </row>
    <row r="303" ht="24.75" hidden="1" customHeight="1">
      <c r="A303" s="54" t="s">
        <v>289</v>
      </c>
      <c r="B303" s="56" t="s">
        <v>628</v>
      </c>
      <c r="C303" s="56" t="s">
        <v>627</v>
      </c>
      <c r="D303" s="56" t="s">
        <v>620</v>
      </c>
      <c r="E303" s="56" t="s">
        <v>196</v>
      </c>
      <c r="F303" s="57" t="s">
        <v>250</v>
      </c>
      <c r="G303" s="61"/>
      <c r="H303" s="61" t="s">
        <v>287</v>
      </c>
      <c r="I303" s="62" t="s">
        <v>288</v>
      </c>
      <c r="J303" s="53"/>
    </row>
    <row r="304" ht="24.75" hidden="1" customHeight="1">
      <c r="A304" s="54" t="s">
        <v>289</v>
      </c>
      <c r="B304" s="56" t="s">
        <v>628</v>
      </c>
      <c r="C304" s="56" t="s">
        <v>627</v>
      </c>
      <c r="D304" s="56" t="s">
        <v>620</v>
      </c>
      <c r="E304" s="56" t="s">
        <v>621</v>
      </c>
      <c r="F304" s="57" t="s">
        <v>192</v>
      </c>
      <c r="G304" s="61"/>
      <c r="H304" s="79"/>
      <c r="I304" s="62"/>
      <c r="J304" s="53"/>
    </row>
    <row r="305" ht="24.75" hidden="1" customHeight="1">
      <c r="A305" s="54" t="s">
        <v>289</v>
      </c>
      <c r="B305" s="56" t="s">
        <v>628</v>
      </c>
      <c r="C305" s="56" t="s">
        <v>627</v>
      </c>
      <c r="D305" s="56" t="s">
        <v>620</v>
      </c>
      <c r="E305" s="56" t="s">
        <v>622</v>
      </c>
      <c r="F305" s="57" t="s">
        <v>154</v>
      </c>
      <c r="G305" s="61"/>
      <c r="H305" s="79"/>
      <c r="I305" s="62" t="s">
        <v>617</v>
      </c>
      <c r="J305" s="53"/>
    </row>
    <row r="306" ht="24.75" hidden="1" customHeight="1">
      <c r="A306" s="54" t="s">
        <v>289</v>
      </c>
      <c r="B306" s="56" t="s">
        <v>629</v>
      </c>
      <c r="C306" s="56" t="s">
        <v>627</v>
      </c>
      <c r="D306" s="56" t="s">
        <v>631</v>
      </c>
      <c r="E306" s="56" t="s">
        <v>191</v>
      </c>
      <c r="F306" s="57" t="s">
        <v>192</v>
      </c>
      <c r="G306" s="61"/>
      <c r="H306" s="79"/>
      <c r="I306" s="62"/>
      <c r="J306" s="53"/>
    </row>
    <row r="307" ht="24.75" hidden="1" customHeight="1">
      <c r="A307" s="54" t="s">
        <v>289</v>
      </c>
      <c r="B307" s="56" t="s">
        <v>629</v>
      </c>
      <c r="C307" s="56" t="s">
        <v>627</v>
      </c>
      <c r="D307" s="56" t="s">
        <v>631</v>
      </c>
      <c r="E307" s="56" t="s">
        <v>632</v>
      </c>
      <c r="F307" s="57" t="s">
        <v>34</v>
      </c>
      <c r="G307" s="61"/>
      <c r="H307" s="61" t="s">
        <v>197</v>
      </c>
      <c r="I307" s="62"/>
      <c r="J307" s="53"/>
    </row>
    <row r="308" ht="24.75" hidden="1" customHeight="1">
      <c r="A308" s="54" t="s">
        <v>289</v>
      </c>
      <c r="B308" s="56" t="s">
        <v>629</v>
      </c>
      <c r="C308" s="56" t="s">
        <v>627</v>
      </c>
      <c r="D308" s="56" t="s">
        <v>631</v>
      </c>
      <c r="E308" s="56" t="s">
        <v>633</v>
      </c>
      <c r="F308" s="57" t="s">
        <v>154</v>
      </c>
      <c r="G308" s="61"/>
      <c r="H308" s="79"/>
      <c r="I308" s="62"/>
      <c r="J308" s="53"/>
    </row>
    <row r="309" ht="24.75" hidden="1" customHeight="1">
      <c r="A309" s="54" t="s">
        <v>289</v>
      </c>
      <c r="B309" s="56" t="s">
        <v>629</v>
      </c>
      <c r="C309" s="56" t="s">
        <v>627</v>
      </c>
      <c r="D309" s="56" t="s">
        <v>631</v>
      </c>
      <c r="E309" s="56" t="s">
        <v>196</v>
      </c>
      <c r="F309" s="57" t="s">
        <v>250</v>
      </c>
      <c r="G309" s="61"/>
      <c r="H309" s="61" t="s">
        <v>200</v>
      </c>
      <c r="I309" s="62" t="s">
        <v>201</v>
      </c>
      <c r="J309" s="53"/>
    </row>
    <row r="310" ht="24.75" hidden="1" customHeight="1">
      <c r="A310" s="54" t="s">
        <v>289</v>
      </c>
      <c r="B310" s="56" t="s">
        <v>635</v>
      </c>
      <c r="C310" s="56" t="s">
        <v>627</v>
      </c>
      <c r="D310" s="56" t="s">
        <v>636</v>
      </c>
      <c r="E310" s="56" t="s">
        <v>191</v>
      </c>
      <c r="F310" s="57" t="s">
        <v>192</v>
      </c>
      <c r="G310" s="61"/>
      <c r="H310" s="79"/>
      <c r="I310" s="62"/>
      <c r="J310" s="53"/>
    </row>
    <row r="311" ht="24.75" hidden="1" customHeight="1">
      <c r="A311" s="54" t="s">
        <v>289</v>
      </c>
      <c r="B311" s="56" t="s">
        <v>635</v>
      </c>
      <c r="C311" s="56" t="s">
        <v>627</v>
      </c>
      <c r="D311" s="56" t="s">
        <v>636</v>
      </c>
      <c r="E311" s="56" t="s">
        <v>632</v>
      </c>
      <c r="F311" s="57" t="s">
        <v>34</v>
      </c>
      <c r="G311" s="61"/>
      <c r="H311" s="61" t="s">
        <v>197</v>
      </c>
      <c r="I311" s="62"/>
      <c r="J311" s="53"/>
    </row>
    <row r="312" ht="24.75" hidden="1" customHeight="1">
      <c r="A312" s="54" t="s">
        <v>289</v>
      </c>
      <c r="B312" s="56" t="s">
        <v>635</v>
      </c>
      <c r="C312" s="56" t="s">
        <v>627</v>
      </c>
      <c r="D312" s="56" t="s">
        <v>636</v>
      </c>
      <c r="E312" s="56" t="s">
        <v>633</v>
      </c>
      <c r="F312" s="57" t="s">
        <v>154</v>
      </c>
      <c r="G312" s="61"/>
      <c r="H312" s="79"/>
      <c r="I312" s="62"/>
      <c r="J312" s="53"/>
    </row>
    <row r="313" ht="24.75" hidden="1" customHeight="1">
      <c r="A313" s="54" t="s">
        <v>289</v>
      </c>
      <c r="B313" s="56" t="s">
        <v>635</v>
      </c>
      <c r="C313" s="56" t="s">
        <v>627</v>
      </c>
      <c r="D313" s="56" t="s">
        <v>636</v>
      </c>
      <c r="E313" s="56" t="s">
        <v>196</v>
      </c>
      <c r="F313" s="57" t="s">
        <v>250</v>
      </c>
      <c r="G313" s="61"/>
      <c r="H313" s="61" t="s">
        <v>200</v>
      </c>
      <c r="I313" s="62" t="s">
        <v>201</v>
      </c>
      <c r="J313" s="53"/>
    </row>
    <row r="314" ht="24.75" hidden="1" customHeight="1">
      <c r="A314" s="54" t="s">
        <v>289</v>
      </c>
      <c r="B314" s="56" t="s">
        <v>639</v>
      </c>
      <c r="C314" s="56" t="s">
        <v>640</v>
      </c>
      <c r="D314" s="56" t="s">
        <v>611</v>
      </c>
      <c r="E314" s="56" t="s">
        <v>612</v>
      </c>
      <c r="F314" s="57" t="s">
        <v>34</v>
      </c>
      <c r="G314" s="61"/>
      <c r="H314" s="79"/>
      <c r="I314" s="62"/>
      <c r="J314" s="53"/>
    </row>
    <row r="315" ht="24.75" hidden="1" customHeight="1">
      <c r="A315" s="54" t="s">
        <v>289</v>
      </c>
      <c r="B315" s="56" t="s">
        <v>639</v>
      </c>
      <c r="C315" s="56" t="s">
        <v>640</v>
      </c>
      <c r="D315" s="56" t="s">
        <v>611</v>
      </c>
      <c r="E315" s="56" t="s">
        <v>613</v>
      </c>
      <c r="F315" s="57" t="s">
        <v>34</v>
      </c>
      <c r="G315" s="61"/>
      <c r="H315" s="79"/>
      <c r="I315" s="62"/>
      <c r="J315" s="53"/>
    </row>
    <row r="316" ht="24.75" hidden="1" customHeight="1">
      <c r="A316" s="54" t="s">
        <v>289</v>
      </c>
      <c r="B316" s="56" t="s">
        <v>639</v>
      </c>
      <c r="C316" s="56" t="s">
        <v>640</v>
      </c>
      <c r="D316" s="56" t="s">
        <v>611</v>
      </c>
      <c r="E316" s="56" t="s">
        <v>614</v>
      </c>
      <c r="F316" s="57" t="s">
        <v>34</v>
      </c>
      <c r="G316" s="61"/>
      <c r="H316" s="79"/>
      <c r="I316" s="62" t="s">
        <v>615</v>
      </c>
      <c r="J316" s="53"/>
    </row>
    <row r="317" ht="24.75" hidden="1" customHeight="1">
      <c r="A317" s="54" t="s">
        <v>289</v>
      </c>
      <c r="B317" s="56" t="s">
        <v>639</v>
      </c>
      <c r="C317" s="56" t="s">
        <v>640</v>
      </c>
      <c r="D317" s="56" t="s">
        <v>611</v>
      </c>
      <c r="E317" s="56" t="s">
        <v>616</v>
      </c>
      <c r="F317" s="57" t="s">
        <v>154</v>
      </c>
      <c r="G317" s="61"/>
      <c r="H317" s="79"/>
      <c r="I317" s="62" t="s">
        <v>617</v>
      </c>
      <c r="J317" s="53"/>
    </row>
    <row r="318" ht="24.75" hidden="1" customHeight="1">
      <c r="A318" s="54" t="s">
        <v>289</v>
      </c>
      <c r="B318" s="56" t="s">
        <v>639</v>
      </c>
      <c r="C318" s="56" t="s">
        <v>640</v>
      </c>
      <c r="D318" s="56" t="s">
        <v>611</v>
      </c>
      <c r="E318" s="56" t="s">
        <v>618</v>
      </c>
      <c r="F318" s="57" t="s">
        <v>154</v>
      </c>
      <c r="G318" s="61"/>
      <c r="H318" s="79"/>
      <c r="I318" s="62" t="s">
        <v>617</v>
      </c>
      <c r="J318" s="53"/>
    </row>
    <row r="319" ht="24.75" hidden="1" customHeight="1">
      <c r="A319" s="54" t="s">
        <v>289</v>
      </c>
      <c r="B319" s="56" t="s">
        <v>641</v>
      </c>
      <c r="C319" s="56" t="s">
        <v>640</v>
      </c>
      <c r="D319" s="56" t="s">
        <v>620</v>
      </c>
      <c r="E319" s="56" t="s">
        <v>196</v>
      </c>
      <c r="F319" s="57" t="s">
        <v>250</v>
      </c>
      <c r="G319" s="61"/>
      <c r="H319" s="61" t="s">
        <v>287</v>
      </c>
      <c r="I319" s="62" t="s">
        <v>288</v>
      </c>
      <c r="J319" s="53"/>
    </row>
    <row r="320" ht="24.75" hidden="1" customHeight="1">
      <c r="A320" s="54" t="s">
        <v>289</v>
      </c>
      <c r="B320" s="56" t="s">
        <v>641</v>
      </c>
      <c r="C320" s="56" t="s">
        <v>640</v>
      </c>
      <c r="D320" s="56" t="s">
        <v>620</v>
      </c>
      <c r="E320" s="56" t="s">
        <v>621</v>
      </c>
      <c r="F320" s="57" t="s">
        <v>192</v>
      </c>
      <c r="G320" s="61"/>
      <c r="H320" s="79"/>
      <c r="I320" s="62"/>
      <c r="J320" s="53"/>
    </row>
    <row r="321" ht="24.75" hidden="1" customHeight="1">
      <c r="A321" s="54" t="s">
        <v>289</v>
      </c>
      <c r="B321" s="56" t="s">
        <v>641</v>
      </c>
      <c r="C321" s="56" t="s">
        <v>640</v>
      </c>
      <c r="D321" s="56" t="s">
        <v>620</v>
      </c>
      <c r="E321" s="56" t="s">
        <v>622</v>
      </c>
      <c r="F321" s="57" t="s">
        <v>154</v>
      </c>
      <c r="G321" s="61"/>
      <c r="H321" s="79"/>
      <c r="I321" s="62" t="s">
        <v>617</v>
      </c>
      <c r="J321" s="53"/>
    </row>
    <row r="322" ht="24.75" hidden="1" customHeight="1">
      <c r="A322" s="54" t="s">
        <v>289</v>
      </c>
      <c r="B322" s="56" t="s">
        <v>642</v>
      </c>
      <c r="C322" s="56" t="s">
        <v>640</v>
      </c>
      <c r="D322" s="56" t="s">
        <v>631</v>
      </c>
      <c r="E322" s="56" t="s">
        <v>191</v>
      </c>
      <c r="F322" s="57" t="s">
        <v>192</v>
      </c>
      <c r="G322" s="61"/>
      <c r="H322" s="79"/>
      <c r="I322" s="62"/>
      <c r="J322" s="53"/>
    </row>
    <row r="323" ht="24.75" hidden="1" customHeight="1">
      <c r="A323" s="54" t="s">
        <v>289</v>
      </c>
      <c r="B323" s="56" t="s">
        <v>642</v>
      </c>
      <c r="C323" s="56" t="s">
        <v>640</v>
      </c>
      <c r="D323" s="56" t="s">
        <v>631</v>
      </c>
      <c r="E323" s="56" t="s">
        <v>632</v>
      </c>
      <c r="F323" s="57" t="s">
        <v>34</v>
      </c>
      <c r="G323" s="61"/>
      <c r="H323" s="61" t="s">
        <v>197</v>
      </c>
      <c r="I323" s="62"/>
      <c r="J323" s="53"/>
    </row>
    <row r="324" ht="24.75" hidden="1" customHeight="1">
      <c r="A324" s="54" t="s">
        <v>289</v>
      </c>
      <c r="B324" s="56" t="s">
        <v>642</v>
      </c>
      <c r="C324" s="56" t="s">
        <v>640</v>
      </c>
      <c r="D324" s="56" t="s">
        <v>631</v>
      </c>
      <c r="E324" s="56" t="s">
        <v>633</v>
      </c>
      <c r="F324" s="57" t="s">
        <v>154</v>
      </c>
      <c r="G324" s="61"/>
      <c r="H324" s="79"/>
      <c r="I324" s="62"/>
      <c r="J324" s="53"/>
    </row>
    <row r="325" ht="24.75" hidden="1" customHeight="1">
      <c r="A325" s="54" t="s">
        <v>289</v>
      </c>
      <c r="B325" s="56" t="s">
        <v>642</v>
      </c>
      <c r="C325" s="56" t="s">
        <v>640</v>
      </c>
      <c r="D325" s="56" t="s">
        <v>631</v>
      </c>
      <c r="E325" s="56" t="s">
        <v>196</v>
      </c>
      <c r="F325" s="57" t="s">
        <v>250</v>
      </c>
      <c r="G325" s="61"/>
      <c r="H325" s="61" t="s">
        <v>200</v>
      </c>
      <c r="I325" s="62" t="s">
        <v>201</v>
      </c>
      <c r="J325" s="53"/>
    </row>
    <row r="326" ht="24.75" hidden="1" customHeight="1">
      <c r="A326" s="54" t="s">
        <v>289</v>
      </c>
      <c r="B326" s="56" t="s">
        <v>643</v>
      </c>
      <c r="C326" s="56" t="s">
        <v>640</v>
      </c>
      <c r="D326" s="56" t="s">
        <v>636</v>
      </c>
      <c r="E326" s="56" t="s">
        <v>191</v>
      </c>
      <c r="F326" s="57" t="s">
        <v>192</v>
      </c>
      <c r="G326" s="61"/>
      <c r="H326" s="79"/>
      <c r="I326" s="62"/>
      <c r="J326" s="53"/>
    </row>
    <row r="327" ht="24.75" hidden="1" customHeight="1">
      <c r="A327" s="54" t="s">
        <v>289</v>
      </c>
      <c r="B327" s="56" t="s">
        <v>643</v>
      </c>
      <c r="C327" s="56" t="s">
        <v>640</v>
      </c>
      <c r="D327" s="56" t="s">
        <v>636</v>
      </c>
      <c r="E327" s="56" t="s">
        <v>632</v>
      </c>
      <c r="F327" s="57" t="s">
        <v>34</v>
      </c>
      <c r="G327" s="61"/>
      <c r="H327" s="61" t="s">
        <v>197</v>
      </c>
      <c r="I327" s="62"/>
      <c r="J327" s="53"/>
    </row>
    <row r="328" ht="24.75" hidden="1" customHeight="1">
      <c r="A328" s="54" t="s">
        <v>289</v>
      </c>
      <c r="B328" s="56" t="s">
        <v>643</v>
      </c>
      <c r="C328" s="56" t="s">
        <v>640</v>
      </c>
      <c r="D328" s="56" t="s">
        <v>636</v>
      </c>
      <c r="E328" s="56" t="s">
        <v>633</v>
      </c>
      <c r="F328" s="57" t="s">
        <v>154</v>
      </c>
      <c r="G328" s="61"/>
      <c r="H328" s="79"/>
      <c r="I328" s="62"/>
      <c r="J328" s="53"/>
    </row>
    <row r="329" ht="24.75" hidden="1" customHeight="1">
      <c r="A329" s="54" t="s">
        <v>289</v>
      </c>
      <c r="B329" s="56" t="s">
        <v>643</v>
      </c>
      <c r="C329" s="56" t="s">
        <v>640</v>
      </c>
      <c r="D329" s="56" t="s">
        <v>636</v>
      </c>
      <c r="E329" s="56" t="s">
        <v>196</v>
      </c>
      <c r="F329" s="57" t="s">
        <v>250</v>
      </c>
      <c r="G329" s="61"/>
      <c r="H329" s="61" t="s">
        <v>200</v>
      </c>
      <c r="I329" s="62" t="s">
        <v>201</v>
      </c>
      <c r="J329" s="53"/>
    </row>
    <row r="330" ht="24.75" hidden="1" customHeight="1">
      <c r="A330" s="54" t="s">
        <v>289</v>
      </c>
      <c r="B330" s="56" t="s">
        <v>644</v>
      </c>
      <c r="C330" s="56" t="s">
        <v>645</v>
      </c>
      <c r="D330" s="56" t="s">
        <v>611</v>
      </c>
      <c r="E330" s="56" t="s">
        <v>612</v>
      </c>
      <c r="F330" s="57" t="s">
        <v>34</v>
      </c>
      <c r="G330" s="61"/>
      <c r="H330" s="79"/>
      <c r="I330" s="62"/>
      <c r="J330" s="53"/>
    </row>
    <row r="331" ht="24.75" hidden="1" customHeight="1">
      <c r="A331" s="54" t="s">
        <v>289</v>
      </c>
      <c r="B331" s="56" t="s">
        <v>644</v>
      </c>
      <c r="C331" s="56" t="s">
        <v>645</v>
      </c>
      <c r="D331" s="56" t="s">
        <v>611</v>
      </c>
      <c r="E331" s="56" t="s">
        <v>613</v>
      </c>
      <c r="F331" s="57" t="s">
        <v>34</v>
      </c>
      <c r="G331" s="61"/>
      <c r="H331" s="79"/>
      <c r="I331" s="62"/>
      <c r="J331" s="53"/>
    </row>
    <row r="332" ht="24.75" hidden="1" customHeight="1">
      <c r="A332" s="54" t="s">
        <v>289</v>
      </c>
      <c r="B332" s="56" t="s">
        <v>644</v>
      </c>
      <c r="C332" s="56" t="s">
        <v>645</v>
      </c>
      <c r="D332" s="56" t="s">
        <v>611</v>
      </c>
      <c r="E332" s="56" t="s">
        <v>614</v>
      </c>
      <c r="F332" s="57" t="s">
        <v>34</v>
      </c>
      <c r="G332" s="61"/>
      <c r="H332" s="79"/>
      <c r="I332" s="62" t="s">
        <v>615</v>
      </c>
      <c r="J332" s="53"/>
    </row>
    <row r="333" ht="24.75" hidden="1" customHeight="1">
      <c r="A333" s="54" t="s">
        <v>289</v>
      </c>
      <c r="B333" s="56" t="s">
        <v>644</v>
      </c>
      <c r="C333" s="56" t="s">
        <v>645</v>
      </c>
      <c r="D333" s="56" t="s">
        <v>611</v>
      </c>
      <c r="E333" s="56" t="s">
        <v>616</v>
      </c>
      <c r="F333" s="57" t="s">
        <v>154</v>
      </c>
      <c r="G333" s="61"/>
      <c r="H333" s="79"/>
      <c r="I333" s="62" t="s">
        <v>617</v>
      </c>
      <c r="J333" s="53"/>
    </row>
    <row r="334" ht="24.75" hidden="1" customHeight="1">
      <c r="A334" s="54" t="s">
        <v>289</v>
      </c>
      <c r="B334" s="56" t="s">
        <v>644</v>
      </c>
      <c r="C334" s="56" t="s">
        <v>645</v>
      </c>
      <c r="D334" s="56" t="s">
        <v>611</v>
      </c>
      <c r="E334" s="56" t="s">
        <v>618</v>
      </c>
      <c r="F334" s="57" t="s">
        <v>154</v>
      </c>
      <c r="G334" s="61"/>
      <c r="H334" s="79"/>
      <c r="I334" s="62" t="s">
        <v>617</v>
      </c>
      <c r="J334" s="53"/>
    </row>
    <row r="335" ht="24.75" hidden="1" customHeight="1">
      <c r="A335" s="54" t="s">
        <v>289</v>
      </c>
      <c r="B335" s="56" t="s">
        <v>646</v>
      </c>
      <c r="C335" s="56" t="s">
        <v>645</v>
      </c>
      <c r="D335" s="56" t="s">
        <v>620</v>
      </c>
      <c r="E335" s="56" t="s">
        <v>196</v>
      </c>
      <c r="F335" s="57" t="s">
        <v>250</v>
      </c>
      <c r="G335" s="61"/>
      <c r="H335" s="61" t="s">
        <v>287</v>
      </c>
      <c r="I335" s="62" t="s">
        <v>288</v>
      </c>
      <c r="J335" s="53"/>
    </row>
    <row r="336" ht="24.75" hidden="1" customHeight="1">
      <c r="A336" s="54" t="s">
        <v>289</v>
      </c>
      <c r="B336" s="56" t="s">
        <v>646</v>
      </c>
      <c r="C336" s="56" t="s">
        <v>645</v>
      </c>
      <c r="D336" s="56" t="s">
        <v>620</v>
      </c>
      <c r="E336" s="56" t="s">
        <v>621</v>
      </c>
      <c r="F336" s="57" t="s">
        <v>192</v>
      </c>
      <c r="G336" s="61"/>
      <c r="H336" s="79"/>
      <c r="I336" s="62"/>
      <c r="J336" s="53"/>
    </row>
    <row r="337" ht="24.75" hidden="1" customHeight="1">
      <c r="A337" s="54" t="s">
        <v>289</v>
      </c>
      <c r="B337" s="56" t="s">
        <v>646</v>
      </c>
      <c r="C337" s="56" t="s">
        <v>645</v>
      </c>
      <c r="D337" s="56" t="s">
        <v>620</v>
      </c>
      <c r="E337" s="56" t="s">
        <v>622</v>
      </c>
      <c r="F337" s="57" t="s">
        <v>154</v>
      </c>
      <c r="G337" s="61"/>
      <c r="H337" s="79"/>
      <c r="I337" s="62" t="s">
        <v>617</v>
      </c>
      <c r="J337" s="53"/>
    </row>
    <row r="338" ht="24.75" hidden="1" customHeight="1">
      <c r="A338" s="54" t="s">
        <v>289</v>
      </c>
      <c r="B338" s="56" t="s">
        <v>647</v>
      </c>
      <c r="C338" s="56" t="s">
        <v>645</v>
      </c>
      <c r="D338" s="56" t="s">
        <v>631</v>
      </c>
      <c r="E338" s="56" t="s">
        <v>191</v>
      </c>
      <c r="F338" s="57" t="s">
        <v>192</v>
      </c>
      <c r="G338" s="61"/>
      <c r="H338" s="79"/>
      <c r="I338" s="62"/>
      <c r="J338" s="53"/>
    </row>
    <row r="339" ht="24.75" hidden="1" customHeight="1">
      <c r="A339" s="54" t="s">
        <v>289</v>
      </c>
      <c r="B339" s="56" t="s">
        <v>647</v>
      </c>
      <c r="C339" s="56" t="s">
        <v>645</v>
      </c>
      <c r="D339" s="56" t="s">
        <v>631</v>
      </c>
      <c r="E339" s="56" t="s">
        <v>632</v>
      </c>
      <c r="F339" s="57" t="s">
        <v>34</v>
      </c>
      <c r="G339" s="61"/>
      <c r="H339" s="61" t="s">
        <v>197</v>
      </c>
      <c r="I339" s="62"/>
      <c r="J339" s="53"/>
    </row>
    <row r="340" ht="24.75" hidden="1" customHeight="1">
      <c r="A340" s="54" t="s">
        <v>289</v>
      </c>
      <c r="B340" s="56" t="s">
        <v>647</v>
      </c>
      <c r="C340" s="56" t="s">
        <v>645</v>
      </c>
      <c r="D340" s="56" t="s">
        <v>631</v>
      </c>
      <c r="E340" s="56" t="s">
        <v>633</v>
      </c>
      <c r="F340" s="57" t="s">
        <v>154</v>
      </c>
      <c r="G340" s="50"/>
      <c r="H340" s="79"/>
      <c r="I340" s="62"/>
      <c r="J340" s="53"/>
    </row>
    <row r="341" ht="24.75" hidden="1" customHeight="1">
      <c r="A341" s="54" t="s">
        <v>289</v>
      </c>
      <c r="B341" s="56" t="s">
        <v>647</v>
      </c>
      <c r="C341" s="56" t="s">
        <v>645</v>
      </c>
      <c r="D341" s="56" t="s">
        <v>631</v>
      </c>
      <c r="E341" s="56" t="s">
        <v>196</v>
      </c>
      <c r="F341" s="57" t="s">
        <v>250</v>
      </c>
      <c r="G341" s="61"/>
      <c r="H341" s="61" t="s">
        <v>200</v>
      </c>
      <c r="I341" s="62" t="s">
        <v>201</v>
      </c>
      <c r="J341" s="53"/>
    </row>
    <row r="342" ht="24.75" hidden="1" customHeight="1">
      <c r="A342" s="54" t="s">
        <v>289</v>
      </c>
      <c r="B342" s="56" t="s">
        <v>648</v>
      </c>
      <c r="C342" s="56" t="s">
        <v>645</v>
      </c>
      <c r="D342" s="56" t="s">
        <v>636</v>
      </c>
      <c r="E342" s="56" t="s">
        <v>191</v>
      </c>
      <c r="F342" s="57" t="s">
        <v>192</v>
      </c>
      <c r="G342" s="61"/>
      <c r="H342" s="79"/>
      <c r="I342" s="62"/>
      <c r="J342" s="53"/>
    </row>
    <row r="343" ht="24.75" hidden="1" customHeight="1">
      <c r="A343" s="54" t="s">
        <v>289</v>
      </c>
      <c r="B343" s="56" t="s">
        <v>648</v>
      </c>
      <c r="C343" s="56" t="s">
        <v>645</v>
      </c>
      <c r="D343" s="56" t="s">
        <v>636</v>
      </c>
      <c r="E343" s="56" t="s">
        <v>632</v>
      </c>
      <c r="F343" s="57" t="s">
        <v>34</v>
      </c>
      <c r="G343" s="61"/>
      <c r="H343" s="61" t="s">
        <v>197</v>
      </c>
      <c r="I343" s="62"/>
      <c r="J343" s="53"/>
    </row>
    <row r="344" ht="24.75" hidden="1" customHeight="1">
      <c r="A344" s="54" t="s">
        <v>289</v>
      </c>
      <c r="B344" s="56" t="s">
        <v>648</v>
      </c>
      <c r="C344" s="56" t="s">
        <v>645</v>
      </c>
      <c r="D344" s="56" t="s">
        <v>636</v>
      </c>
      <c r="E344" s="56" t="s">
        <v>633</v>
      </c>
      <c r="F344" s="57" t="s">
        <v>154</v>
      </c>
      <c r="G344" s="61"/>
      <c r="H344" s="79"/>
      <c r="I344" s="62"/>
      <c r="J344" s="53"/>
    </row>
    <row r="345" ht="24.75" hidden="1" customHeight="1">
      <c r="A345" s="54" t="s">
        <v>289</v>
      </c>
      <c r="B345" s="56" t="s">
        <v>648</v>
      </c>
      <c r="C345" s="56" t="s">
        <v>645</v>
      </c>
      <c r="D345" s="56" t="s">
        <v>636</v>
      </c>
      <c r="E345" s="56" t="s">
        <v>196</v>
      </c>
      <c r="F345" s="57" t="s">
        <v>250</v>
      </c>
      <c r="G345" s="61"/>
      <c r="H345" s="61" t="s">
        <v>200</v>
      </c>
      <c r="I345" s="62" t="s">
        <v>201</v>
      </c>
      <c r="J345" s="53"/>
    </row>
    <row r="346" ht="24.75" hidden="1" customHeight="1">
      <c r="A346" s="54" t="s">
        <v>289</v>
      </c>
      <c r="B346" s="56" t="s">
        <v>649</v>
      </c>
      <c r="C346" s="56" t="s">
        <v>606</v>
      </c>
      <c r="D346" s="56" t="s">
        <v>611</v>
      </c>
      <c r="E346" s="56" t="s">
        <v>612</v>
      </c>
      <c r="F346" s="57" t="s">
        <v>34</v>
      </c>
      <c r="G346" s="61"/>
      <c r="H346" s="79"/>
      <c r="I346" s="62"/>
      <c r="J346" s="53"/>
    </row>
    <row r="347" ht="24.75" hidden="1" customHeight="1">
      <c r="A347" s="54" t="s">
        <v>289</v>
      </c>
      <c r="B347" s="56" t="s">
        <v>649</v>
      </c>
      <c r="C347" s="56" t="s">
        <v>606</v>
      </c>
      <c r="D347" s="56" t="s">
        <v>611</v>
      </c>
      <c r="E347" s="56" t="s">
        <v>613</v>
      </c>
      <c r="F347" s="57" t="s">
        <v>34</v>
      </c>
      <c r="G347" s="61"/>
      <c r="H347" s="79"/>
      <c r="I347" s="62"/>
      <c r="J347" s="53"/>
    </row>
    <row r="348" ht="24.75" hidden="1" customHeight="1">
      <c r="A348" s="54" t="s">
        <v>289</v>
      </c>
      <c r="B348" s="56" t="s">
        <v>649</v>
      </c>
      <c r="C348" s="56" t="s">
        <v>606</v>
      </c>
      <c r="D348" s="56" t="s">
        <v>611</v>
      </c>
      <c r="E348" s="56" t="s">
        <v>614</v>
      </c>
      <c r="F348" s="57" t="s">
        <v>34</v>
      </c>
      <c r="G348" s="61"/>
      <c r="H348" s="79"/>
      <c r="I348" s="62" t="s">
        <v>615</v>
      </c>
      <c r="J348" s="53"/>
    </row>
    <row r="349" ht="24.75" hidden="1" customHeight="1">
      <c r="A349" s="54" t="s">
        <v>289</v>
      </c>
      <c r="B349" s="56" t="s">
        <v>649</v>
      </c>
      <c r="C349" s="56" t="s">
        <v>606</v>
      </c>
      <c r="D349" s="56" t="s">
        <v>611</v>
      </c>
      <c r="E349" s="56" t="s">
        <v>616</v>
      </c>
      <c r="F349" s="57" t="s">
        <v>154</v>
      </c>
      <c r="G349" s="61"/>
      <c r="H349" s="79"/>
      <c r="I349" s="62" t="s">
        <v>617</v>
      </c>
      <c r="J349" s="53"/>
    </row>
    <row r="350" ht="24.75" hidden="1" customHeight="1">
      <c r="A350" s="54" t="s">
        <v>289</v>
      </c>
      <c r="B350" s="56" t="s">
        <v>649</v>
      </c>
      <c r="C350" s="56" t="s">
        <v>606</v>
      </c>
      <c r="D350" s="56" t="s">
        <v>611</v>
      </c>
      <c r="E350" s="56" t="s">
        <v>618</v>
      </c>
      <c r="F350" s="57" t="s">
        <v>154</v>
      </c>
      <c r="G350" s="61"/>
      <c r="H350" s="79"/>
      <c r="I350" s="62" t="s">
        <v>617</v>
      </c>
      <c r="J350" s="53"/>
    </row>
    <row r="351" ht="24.75" hidden="1" customHeight="1">
      <c r="A351" s="54" t="s">
        <v>289</v>
      </c>
      <c r="B351" s="56" t="s">
        <v>650</v>
      </c>
      <c r="C351" s="56" t="s">
        <v>606</v>
      </c>
      <c r="D351" s="56" t="s">
        <v>651</v>
      </c>
      <c r="E351" s="56" t="s">
        <v>196</v>
      </c>
      <c r="F351" s="57" t="s">
        <v>250</v>
      </c>
      <c r="G351" s="61"/>
      <c r="H351" s="61" t="s">
        <v>287</v>
      </c>
      <c r="I351" s="62" t="s">
        <v>288</v>
      </c>
      <c r="J351" s="53"/>
    </row>
    <row r="352" ht="24.75" hidden="1" customHeight="1">
      <c r="A352" s="54" t="s">
        <v>289</v>
      </c>
      <c r="B352" s="56" t="s">
        <v>650</v>
      </c>
      <c r="C352" s="56" t="s">
        <v>606</v>
      </c>
      <c r="D352" s="56" t="s">
        <v>651</v>
      </c>
      <c r="E352" s="56" t="s">
        <v>621</v>
      </c>
      <c r="F352" s="57" t="s">
        <v>192</v>
      </c>
      <c r="G352" s="61"/>
      <c r="H352" s="79"/>
      <c r="I352" s="62"/>
      <c r="J352" s="53"/>
    </row>
    <row r="353" ht="24.75" hidden="1" customHeight="1">
      <c r="A353" s="54" t="s">
        <v>289</v>
      </c>
      <c r="B353" s="56" t="s">
        <v>650</v>
      </c>
      <c r="C353" s="56" t="s">
        <v>606</v>
      </c>
      <c r="D353" s="56" t="s">
        <v>651</v>
      </c>
      <c r="E353" s="56" t="s">
        <v>622</v>
      </c>
      <c r="F353" s="57" t="s">
        <v>154</v>
      </c>
      <c r="G353" s="61"/>
      <c r="H353" s="79"/>
      <c r="I353" s="62" t="s">
        <v>617</v>
      </c>
      <c r="J353" s="53"/>
    </row>
    <row r="354" ht="24.75" hidden="1" customHeight="1">
      <c r="A354" s="54" t="s">
        <v>289</v>
      </c>
      <c r="B354" s="56" t="s">
        <v>654</v>
      </c>
      <c r="C354" s="56" t="s">
        <v>606</v>
      </c>
      <c r="D354" s="56" t="s">
        <v>655</v>
      </c>
      <c r="E354" s="56" t="s">
        <v>191</v>
      </c>
      <c r="F354" s="57" t="s">
        <v>192</v>
      </c>
      <c r="G354" s="61"/>
      <c r="H354" s="79"/>
      <c r="I354" s="62"/>
      <c r="J354" s="53"/>
    </row>
    <row r="355" ht="24.75" hidden="1" customHeight="1">
      <c r="A355" s="54" t="s">
        <v>289</v>
      </c>
      <c r="B355" s="56" t="s">
        <v>654</v>
      </c>
      <c r="C355" s="56" t="s">
        <v>606</v>
      </c>
      <c r="D355" s="56" t="s">
        <v>655</v>
      </c>
      <c r="E355" s="56" t="s">
        <v>632</v>
      </c>
      <c r="F355" s="57" t="s">
        <v>34</v>
      </c>
      <c r="G355" s="61"/>
      <c r="H355" s="61" t="s">
        <v>197</v>
      </c>
      <c r="I355" s="62"/>
      <c r="J355" s="53"/>
    </row>
    <row r="356" ht="24.75" hidden="1" customHeight="1">
      <c r="A356" s="54" t="s">
        <v>289</v>
      </c>
      <c r="B356" s="56" t="s">
        <v>654</v>
      </c>
      <c r="C356" s="56" t="s">
        <v>606</v>
      </c>
      <c r="D356" s="56" t="s">
        <v>655</v>
      </c>
      <c r="E356" s="56" t="s">
        <v>633</v>
      </c>
      <c r="F356" s="57" t="s">
        <v>154</v>
      </c>
      <c r="G356" s="61"/>
      <c r="H356" s="79"/>
      <c r="I356" s="62"/>
      <c r="J356" s="53"/>
    </row>
    <row r="357" ht="24.75" hidden="1" customHeight="1">
      <c r="A357" s="54" t="s">
        <v>289</v>
      </c>
      <c r="B357" s="56" t="s">
        <v>654</v>
      </c>
      <c r="C357" s="56" t="s">
        <v>606</v>
      </c>
      <c r="D357" s="56" t="s">
        <v>655</v>
      </c>
      <c r="E357" s="56" t="s">
        <v>196</v>
      </c>
      <c r="F357" s="57" t="s">
        <v>250</v>
      </c>
      <c r="G357" s="61"/>
      <c r="H357" s="61" t="s">
        <v>200</v>
      </c>
      <c r="I357" s="62" t="s">
        <v>201</v>
      </c>
      <c r="J357" s="53"/>
    </row>
    <row r="358" ht="24.75" hidden="1" customHeight="1">
      <c r="A358" s="54" t="s">
        <v>289</v>
      </c>
      <c r="B358" s="56" t="s">
        <v>656</v>
      </c>
      <c r="C358" s="56" t="s">
        <v>606</v>
      </c>
      <c r="D358" s="56" t="s">
        <v>657</v>
      </c>
      <c r="E358" s="56" t="s">
        <v>191</v>
      </c>
      <c r="F358" s="57" t="s">
        <v>192</v>
      </c>
      <c r="G358" s="61"/>
      <c r="H358" s="79"/>
      <c r="I358" s="62"/>
      <c r="J358" s="53"/>
    </row>
    <row r="359" ht="24.75" hidden="1" customHeight="1">
      <c r="A359" s="54" t="s">
        <v>289</v>
      </c>
      <c r="B359" s="56" t="s">
        <v>656</v>
      </c>
      <c r="C359" s="56" t="s">
        <v>606</v>
      </c>
      <c r="D359" s="56" t="s">
        <v>657</v>
      </c>
      <c r="E359" s="56" t="s">
        <v>632</v>
      </c>
      <c r="F359" s="57" t="s">
        <v>34</v>
      </c>
      <c r="G359" s="61"/>
      <c r="H359" s="61" t="s">
        <v>197</v>
      </c>
      <c r="I359" s="62"/>
      <c r="J359" s="53"/>
    </row>
    <row r="360" ht="24.75" hidden="1" customHeight="1">
      <c r="A360" s="54" t="s">
        <v>289</v>
      </c>
      <c r="B360" s="56" t="s">
        <v>656</v>
      </c>
      <c r="C360" s="56" t="s">
        <v>606</v>
      </c>
      <c r="D360" s="56" t="s">
        <v>657</v>
      </c>
      <c r="E360" s="56" t="s">
        <v>633</v>
      </c>
      <c r="F360" s="57" t="s">
        <v>154</v>
      </c>
      <c r="G360" s="61"/>
      <c r="H360" s="79"/>
      <c r="I360" s="62"/>
      <c r="J360" s="53"/>
    </row>
    <row r="361" ht="24.75" hidden="1" customHeight="1">
      <c r="A361" s="54" t="s">
        <v>289</v>
      </c>
      <c r="B361" s="56" t="s">
        <v>656</v>
      </c>
      <c r="C361" s="56" t="s">
        <v>606</v>
      </c>
      <c r="D361" s="56" t="s">
        <v>657</v>
      </c>
      <c r="E361" s="56" t="s">
        <v>196</v>
      </c>
      <c r="F361" s="57" t="s">
        <v>250</v>
      </c>
      <c r="G361" s="61"/>
      <c r="H361" s="61" t="s">
        <v>200</v>
      </c>
      <c r="I361" s="62" t="s">
        <v>201</v>
      </c>
      <c r="J361" s="53"/>
    </row>
    <row r="362" ht="24.75" hidden="1" customHeight="1">
      <c r="A362" s="54" t="s">
        <v>658</v>
      </c>
      <c r="B362" s="56" t="s">
        <v>659</v>
      </c>
      <c r="C362" s="56" t="s">
        <v>610</v>
      </c>
      <c r="D362" s="56" t="s">
        <v>660</v>
      </c>
      <c r="E362" s="56" t="s">
        <v>661</v>
      </c>
      <c r="F362" s="57" t="s">
        <v>34</v>
      </c>
      <c r="G362" s="61"/>
      <c r="H362" s="79"/>
      <c r="I362" s="62"/>
      <c r="J362" s="53"/>
    </row>
    <row r="363" ht="24.75" hidden="1" customHeight="1">
      <c r="A363" s="54" t="s">
        <v>658</v>
      </c>
      <c r="B363" s="56" t="s">
        <v>659</v>
      </c>
      <c r="C363" s="56" t="s">
        <v>610</v>
      </c>
      <c r="D363" s="56" t="s">
        <v>660</v>
      </c>
      <c r="E363" s="56" t="s">
        <v>662</v>
      </c>
      <c r="F363" s="57" t="s">
        <v>34</v>
      </c>
      <c r="G363" s="61"/>
      <c r="H363" s="79"/>
      <c r="I363" s="62"/>
      <c r="J363" s="53"/>
    </row>
    <row r="364" ht="24.75" hidden="1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663</v>
      </c>
      <c r="F364" s="57" t="s">
        <v>34</v>
      </c>
      <c r="G364" s="61"/>
      <c r="H364" s="79"/>
      <c r="I364" s="62"/>
      <c r="J364" s="53"/>
    </row>
    <row r="365" ht="24.75" hidden="1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664</v>
      </c>
      <c r="F365" s="57" t="s">
        <v>34</v>
      </c>
      <c r="G365" s="61"/>
      <c r="H365" s="79"/>
      <c r="I365" s="62"/>
      <c r="J365" s="53"/>
    </row>
    <row r="366" ht="24.75" hidden="1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665</v>
      </c>
      <c r="F366" s="57" t="s">
        <v>34</v>
      </c>
      <c r="G366" s="61"/>
      <c r="H366" s="79"/>
      <c r="I366" s="62"/>
      <c r="J366" s="53"/>
    </row>
    <row r="367" ht="24.75" hidden="1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614</v>
      </c>
      <c r="F367" s="57" t="s">
        <v>34</v>
      </c>
      <c r="G367" s="61"/>
      <c r="H367" s="79"/>
      <c r="I367" s="62"/>
      <c r="J367" s="53"/>
    </row>
    <row r="368" ht="24.75" hidden="1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666</v>
      </c>
      <c r="F368" s="57" t="s">
        <v>34</v>
      </c>
      <c r="G368" s="61"/>
      <c r="H368" s="79"/>
      <c r="I368" s="62"/>
      <c r="J368" s="53"/>
    </row>
    <row r="369" ht="24.75" hidden="1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667</v>
      </c>
      <c r="F369" s="57" t="s">
        <v>34</v>
      </c>
      <c r="G369" s="61"/>
      <c r="H369" s="79"/>
      <c r="I369" s="62"/>
      <c r="J369" s="53"/>
    </row>
    <row r="370" ht="24.75" hidden="1" customHeight="1">
      <c r="A370" s="54" t="s">
        <v>658</v>
      </c>
      <c r="B370" s="56" t="s">
        <v>659</v>
      </c>
      <c r="C370" s="56" t="s">
        <v>610</v>
      </c>
      <c r="D370" s="56" t="s">
        <v>660</v>
      </c>
      <c r="E370" s="56" t="s">
        <v>668</v>
      </c>
      <c r="F370" s="57" t="s">
        <v>154</v>
      </c>
      <c r="G370" s="61"/>
      <c r="H370" s="79"/>
      <c r="I370" s="62" t="s">
        <v>617</v>
      </c>
      <c r="J370" s="53"/>
    </row>
    <row r="371" ht="24.75" hidden="1" customHeight="1">
      <c r="A371" s="54" t="s">
        <v>658</v>
      </c>
      <c r="B371" s="56" t="s">
        <v>659</v>
      </c>
      <c r="C371" s="56" t="s">
        <v>610</v>
      </c>
      <c r="D371" s="56" t="s">
        <v>660</v>
      </c>
      <c r="E371" s="56" t="s">
        <v>669</v>
      </c>
      <c r="F371" s="57" t="s">
        <v>154</v>
      </c>
      <c r="G371" s="61"/>
      <c r="H371" s="79"/>
      <c r="I371" s="62" t="s">
        <v>617</v>
      </c>
      <c r="J371" s="53"/>
    </row>
    <row r="372" ht="24.75" hidden="1" customHeight="1">
      <c r="A372" s="54" t="s">
        <v>658</v>
      </c>
      <c r="B372" s="56" t="s">
        <v>659</v>
      </c>
      <c r="C372" s="56" t="s">
        <v>610</v>
      </c>
      <c r="D372" s="56" t="s">
        <v>660</v>
      </c>
      <c r="E372" s="56" t="s">
        <v>671</v>
      </c>
      <c r="F372" s="57" t="s">
        <v>154</v>
      </c>
      <c r="G372" s="61"/>
      <c r="H372" s="79"/>
      <c r="I372" s="62" t="s">
        <v>617</v>
      </c>
      <c r="J372" s="53"/>
    </row>
    <row r="373" ht="24.75" hidden="1" customHeight="1">
      <c r="A373" s="54" t="s">
        <v>658</v>
      </c>
      <c r="B373" s="56" t="s">
        <v>659</v>
      </c>
      <c r="C373" s="56" t="s">
        <v>610</v>
      </c>
      <c r="D373" s="56" t="s">
        <v>660</v>
      </c>
      <c r="E373" s="56" t="s">
        <v>672</v>
      </c>
      <c r="F373" s="57" t="s">
        <v>154</v>
      </c>
      <c r="G373" s="61"/>
      <c r="H373" s="79"/>
      <c r="I373" s="62" t="s">
        <v>617</v>
      </c>
      <c r="J373" s="53"/>
    </row>
    <row r="374" ht="24.75" hidden="1" customHeight="1">
      <c r="A374" s="54" t="s">
        <v>658</v>
      </c>
      <c r="B374" s="56" t="s">
        <v>659</v>
      </c>
      <c r="C374" s="56" t="s">
        <v>610</v>
      </c>
      <c r="D374" s="56" t="s">
        <v>660</v>
      </c>
      <c r="E374" s="56" t="s">
        <v>673</v>
      </c>
      <c r="F374" s="57" t="s">
        <v>154</v>
      </c>
      <c r="G374" s="61"/>
      <c r="H374" s="79"/>
      <c r="I374" s="62" t="s">
        <v>617</v>
      </c>
      <c r="J374" s="53"/>
    </row>
    <row r="375" ht="24.75" hidden="1" customHeight="1">
      <c r="A375" s="54" t="s">
        <v>658</v>
      </c>
      <c r="B375" s="56" t="s">
        <v>674</v>
      </c>
      <c r="C375" s="56" t="s">
        <v>610</v>
      </c>
      <c r="D375" s="56" t="s">
        <v>675</v>
      </c>
      <c r="E375" s="56" t="s">
        <v>676</v>
      </c>
      <c r="F375" s="57" t="s">
        <v>34</v>
      </c>
      <c r="G375" s="61"/>
      <c r="H375" s="79"/>
      <c r="I375" s="62"/>
      <c r="J375" s="53"/>
    </row>
    <row r="376" ht="24.75" hidden="1" customHeight="1">
      <c r="A376" s="54" t="s">
        <v>658</v>
      </c>
      <c r="B376" s="56" t="s">
        <v>677</v>
      </c>
      <c r="C376" s="56" t="s">
        <v>610</v>
      </c>
      <c r="D376" s="56" t="s">
        <v>678</v>
      </c>
      <c r="E376" s="56" t="s">
        <v>679</v>
      </c>
      <c r="F376" s="57" t="s">
        <v>34</v>
      </c>
      <c r="G376" s="61"/>
      <c r="H376" s="61" t="s">
        <v>681</v>
      </c>
      <c r="I376" s="62"/>
      <c r="J376" s="53"/>
    </row>
    <row r="377" ht="24.75" hidden="1" customHeight="1">
      <c r="A377" s="54" t="s">
        <v>658</v>
      </c>
      <c r="B377" s="56" t="s">
        <v>677</v>
      </c>
      <c r="C377" s="56" t="s">
        <v>610</v>
      </c>
      <c r="D377" s="56" t="s">
        <v>678</v>
      </c>
      <c r="E377" s="56" t="s">
        <v>680</v>
      </c>
      <c r="F377" s="57" t="s">
        <v>34</v>
      </c>
      <c r="G377" s="61"/>
      <c r="H377" s="79"/>
      <c r="I377" s="62"/>
      <c r="J377" s="53"/>
    </row>
    <row r="378" ht="24.75" hidden="1" customHeight="1">
      <c r="A378" s="54" t="s">
        <v>658</v>
      </c>
      <c r="B378" s="56" t="s">
        <v>677</v>
      </c>
      <c r="C378" s="56" t="s">
        <v>610</v>
      </c>
      <c r="D378" s="56" t="s">
        <v>678</v>
      </c>
      <c r="E378" s="56" t="s">
        <v>682</v>
      </c>
      <c r="F378" s="57" t="s">
        <v>34</v>
      </c>
      <c r="G378" s="61"/>
      <c r="H378" s="79"/>
      <c r="I378" s="62"/>
      <c r="J378" s="53"/>
    </row>
    <row r="379" ht="24.75" hidden="1" customHeight="1">
      <c r="A379" s="54" t="s">
        <v>658</v>
      </c>
      <c r="B379" s="56" t="s">
        <v>677</v>
      </c>
      <c r="C379" s="56" t="s">
        <v>610</v>
      </c>
      <c r="D379" s="56" t="s">
        <v>678</v>
      </c>
      <c r="E379" s="56" t="s">
        <v>683</v>
      </c>
      <c r="F379" s="57" t="s">
        <v>34</v>
      </c>
      <c r="G379" s="61"/>
      <c r="H379" s="79"/>
      <c r="I379" s="62"/>
      <c r="J379" s="53"/>
    </row>
    <row r="380" ht="24.75" hidden="1" customHeight="1">
      <c r="A380" s="54" t="s">
        <v>658</v>
      </c>
      <c r="B380" s="56" t="s">
        <v>677</v>
      </c>
      <c r="C380" s="56" t="s">
        <v>610</v>
      </c>
      <c r="D380" s="56" t="s">
        <v>678</v>
      </c>
      <c r="E380" s="56" t="s">
        <v>684</v>
      </c>
      <c r="F380" s="57" t="s">
        <v>250</v>
      </c>
      <c r="G380" s="61"/>
      <c r="H380" s="61" t="s">
        <v>686</v>
      </c>
      <c r="I380" s="62" t="s">
        <v>687</v>
      </c>
      <c r="J380" s="53"/>
    </row>
    <row r="381" ht="24.75" hidden="1" customHeight="1">
      <c r="A381" s="54" t="s">
        <v>658</v>
      </c>
      <c r="B381" s="56" t="s">
        <v>677</v>
      </c>
      <c r="C381" s="56" t="s">
        <v>610</v>
      </c>
      <c r="D381" s="56" t="s">
        <v>678</v>
      </c>
      <c r="E381" s="56" t="s">
        <v>685</v>
      </c>
      <c r="F381" s="57" t="s">
        <v>250</v>
      </c>
      <c r="G381" s="61"/>
      <c r="H381" s="61" t="s">
        <v>200</v>
      </c>
      <c r="I381" s="62" t="s">
        <v>689</v>
      </c>
      <c r="J381" s="53"/>
    </row>
    <row r="382" ht="24.75" hidden="1" customHeight="1">
      <c r="A382" s="54" t="s">
        <v>658</v>
      </c>
      <c r="B382" s="56" t="s">
        <v>688</v>
      </c>
      <c r="C382" s="56" t="s">
        <v>624</v>
      </c>
      <c r="D382" s="56" t="s">
        <v>660</v>
      </c>
      <c r="E382" s="56" t="s">
        <v>661</v>
      </c>
      <c r="F382" s="57" t="s">
        <v>34</v>
      </c>
      <c r="G382" s="61"/>
      <c r="H382" s="79"/>
      <c r="I382" s="62"/>
      <c r="J382" s="53"/>
    </row>
    <row r="383" ht="24.75" hidden="1" customHeight="1">
      <c r="A383" s="54" t="s">
        <v>658</v>
      </c>
      <c r="B383" s="56" t="s">
        <v>688</v>
      </c>
      <c r="C383" s="56" t="s">
        <v>624</v>
      </c>
      <c r="D383" s="56" t="s">
        <v>660</v>
      </c>
      <c r="E383" s="56" t="s">
        <v>662</v>
      </c>
      <c r="F383" s="57" t="s">
        <v>34</v>
      </c>
      <c r="G383" s="61"/>
      <c r="H383" s="79"/>
      <c r="I383" s="62"/>
      <c r="J383" s="53"/>
    </row>
    <row r="384" ht="24.75" hidden="1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663</v>
      </c>
      <c r="F384" s="57" t="s">
        <v>34</v>
      </c>
      <c r="G384" s="61"/>
      <c r="H384" s="79"/>
      <c r="I384" s="62"/>
      <c r="J384" s="53"/>
    </row>
    <row r="385" ht="24.75" hidden="1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664</v>
      </c>
      <c r="F385" s="57" t="s">
        <v>34</v>
      </c>
      <c r="G385" s="61"/>
      <c r="H385" s="79"/>
      <c r="I385" s="62"/>
      <c r="J385" s="53"/>
    </row>
    <row r="386" ht="24.75" hidden="1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665</v>
      </c>
      <c r="F386" s="57" t="s">
        <v>34</v>
      </c>
      <c r="G386" s="61"/>
      <c r="H386" s="79"/>
      <c r="I386" s="62"/>
      <c r="J386" s="53"/>
    </row>
    <row r="387" ht="24.75" hidden="1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614</v>
      </c>
      <c r="F387" s="57" t="s">
        <v>34</v>
      </c>
      <c r="G387" s="61"/>
      <c r="H387" s="79"/>
      <c r="I387" s="62"/>
      <c r="J387" s="53"/>
    </row>
    <row r="388" ht="24.75" hidden="1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666</v>
      </c>
      <c r="F388" s="57" t="s">
        <v>34</v>
      </c>
      <c r="G388" s="61"/>
      <c r="H388" s="79"/>
      <c r="I388" s="62"/>
      <c r="J388" s="53"/>
    </row>
    <row r="389" ht="24.75" hidden="1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667</v>
      </c>
      <c r="F389" s="57" t="s">
        <v>34</v>
      </c>
      <c r="G389" s="61"/>
      <c r="H389" s="79"/>
      <c r="I389" s="62"/>
      <c r="J389" s="53"/>
    </row>
    <row r="390" ht="24.75" hidden="1" customHeight="1">
      <c r="A390" s="54" t="s">
        <v>658</v>
      </c>
      <c r="B390" s="56" t="s">
        <v>688</v>
      </c>
      <c r="C390" s="56" t="s">
        <v>624</v>
      </c>
      <c r="D390" s="56" t="s">
        <v>660</v>
      </c>
      <c r="E390" s="56" t="s">
        <v>668</v>
      </c>
      <c r="F390" s="57" t="s">
        <v>154</v>
      </c>
      <c r="G390" s="61"/>
      <c r="H390" s="79"/>
      <c r="I390" s="62" t="s">
        <v>617</v>
      </c>
      <c r="J390" s="53"/>
    </row>
    <row r="391" ht="24.75" hidden="1" customHeight="1">
      <c r="A391" s="54" t="s">
        <v>658</v>
      </c>
      <c r="B391" s="56" t="s">
        <v>688</v>
      </c>
      <c r="C391" s="56" t="s">
        <v>624</v>
      </c>
      <c r="D391" s="56" t="s">
        <v>660</v>
      </c>
      <c r="E391" s="56" t="s">
        <v>669</v>
      </c>
      <c r="F391" s="57" t="s">
        <v>154</v>
      </c>
      <c r="G391" s="61"/>
      <c r="H391" s="79"/>
      <c r="I391" s="62" t="s">
        <v>617</v>
      </c>
      <c r="J391" s="53"/>
    </row>
    <row r="392" ht="24.75" hidden="1" customHeight="1">
      <c r="A392" s="54" t="s">
        <v>658</v>
      </c>
      <c r="B392" s="56" t="s">
        <v>688</v>
      </c>
      <c r="C392" s="56" t="s">
        <v>624</v>
      </c>
      <c r="D392" s="56" t="s">
        <v>660</v>
      </c>
      <c r="E392" s="56" t="s">
        <v>671</v>
      </c>
      <c r="F392" s="57" t="s">
        <v>154</v>
      </c>
      <c r="G392" s="61"/>
      <c r="H392" s="79"/>
      <c r="I392" s="62" t="s">
        <v>617</v>
      </c>
      <c r="J392" s="53"/>
    </row>
    <row r="393" ht="24.75" hidden="1" customHeight="1">
      <c r="A393" s="54" t="s">
        <v>658</v>
      </c>
      <c r="B393" s="56" t="s">
        <v>688</v>
      </c>
      <c r="C393" s="56" t="s">
        <v>624</v>
      </c>
      <c r="D393" s="56" t="s">
        <v>660</v>
      </c>
      <c r="E393" s="56" t="s">
        <v>672</v>
      </c>
      <c r="F393" s="57" t="s">
        <v>154</v>
      </c>
      <c r="G393" s="61"/>
      <c r="H393" s="79"/>
      <c r="I393" s="62" t="s">
        <v>617</v>
      </c>
      <c r="J393" s="53"/>
    </row>
    <row r="394" ht="24.75" hidden="1" customHeight="1">
      <c r="A394" s="54" t="s">
        <v>658</v>
      </c>
      <c r="B394" s="56" t="s">
        <v>688</v>
      </c>
      <c r="C394" s="56" t="s">
        <v>624</v>
      </c>
      <c r="D394" s="56" t="s">
        <v>660</v>
      </c>
      <c r="E394" s="56" t="s">
        <v>673</v>
      </c>
      <c r="F394" s="57" t="s">
        <v>154</v>
      </c>
      <c r="G394" s="61"/>
      <c r="H394" s="79"/>
      <c r="I394" s="62" t="s">
        <v>617</v>
      </c>
      <c r="J394" s="53"/>
    </row>
    <row r="395" ht="24.75" hidden="1" customHeight="1">
      <c r="A395" s="54" t="s">
        <v>658</v>
      </c>
      <c r="B395" s="56" t="s">
        <v>690</v>
      </c>
      <c r="C395" s="56" t="s">
        <v>624</v>
      </c>
      <c r="D395" s="56" t="s">
        <v>675</v>
      </c>
      <c r="E395" s="56" t="s">
        <v>676</v>
      </c>
      <c r="F395" s="57" t="s">
        <v>34</v>
      </c>
      <c r="G395" s="61"/>
      <c r="H395" s="79"/>
      <c r="I395" s="62"/>
      <c r="J395" s="53"/>
    </row>
    <row r="396" ht="24.75" hidden="1" customHeight="1">
      <c r="A396" s="54" t="s">
        <v>658</v>
      </c>
      <c r="B396" s="56" t="s">
        <v>691</v>
      </c>
      <c r="C396" s="56" t="s">
        <v>624</v>
      </c>
      <c r="D396" s="56" t="s">
        <v>678</v>
      </c>
      <c r="E396" s="56" t="s">
        <v>679</v>
      </c>
      <c r="F396" s="57" t="s">
        <v>34</v>
      </c>
      <c r="G396" s="61"/>
      <c r="H396" s="61" t="s">
        <v>681</v>
      </c>
      <c r="I396" s="62"/>
      <c r="J396" s="53"/>
    </row>
    <row r="397" ht="24.75" hidden="1" customHeight="1">
      <c r="A397" s="54" t="s">
        <v>658</v>
      </c>
      <c r="B397" s="56" t="s">
        <v>691</v>
      </c>
      <c r="C397" s="56" t="s">
        <v>624</v>
      </c>
      <c r="D397" s="56" t="s">
        <v>678</v>
      </c>
      <c r="E397" s="56" t="s">
        <v>680</v>
      </c>
      <c r="F397" s="57" t="s">
        <v>34</v>
      </c>
      <c r="G397" s="61"/>
      <c r="H397" s="79"/>
      <c r="I397" s="62"/>
      <c r="J397" s="53"/>
    </row>
    <row r="398" ht="24.75" hidden="1" customHeight="1">
      <c r="A398" s="54" t="s">
        <v>658</v>
      </c>
      <c r="B398" s="56" t="s">
        <v>691</v>
      </c>
      <c r="C398" s="56" t="s">
        <v>624</v>
      </c>
      <c r="D398" s="56" t="s">
        <v>678</v>
      </c>
      <c r="E398" s="56" t="s">
        <v>682</v>
      </c>
      <c r="F398" s="57" t="s">
        <v>34</v>
      </c>
      <c r="G398" s="61"/>
      <c r="H398" s="79"/>
      <c r="I398" s="62"/>
      <c r="J398" s="53"/>
    </row>
    <row r="399" ht="24.75" hidden="1" customHeight="1">
      <c r="A399" s="54" t="s">
        <v>658</v>
      </c>
      <c r="B399" s="56" t="s">
        <v>691</v>
      </c>
      <c r="C399" s="56" t="s">
        <v>624</v>
      </c>
      <c r="D399" s="56" t="s">
        <v>678</v>
      </c>
      <c r="E399" s="56" t="s">
        <v>683</v>
      </c>
      <c r="F399" s="57" t="s">
        <v>34</v>
      </c>
      <c r="G399" s="61"/>
      <c r="H399" s="79"/>
      <c r="I399" s="62"/>
      <c r="J399" s="53"/>
    </row>
    <row r="400" ht="24.75" hidden="1" customHeight="1">
      <c r="A400" s="54" t="s">
        <v>658</v>
      </c>
      <c r="B400" s="56" t="s">
        <v>691</v>
      </c>
      <c r="C400" s="56" t="s">
        <v>624</v>
      </c>
      <c r="D400" s="56" t="s">
        <v>678</v>
      </c>
      <c r="E400" s="56" t="s">
        <v>684</v>
      </c>
      <c r="F400" s="57" t="s">
        <v>250</v>
      </c>
      <c r="G400" s="61"/>
      <c r="H400" s="61" t="s">
        <v>686</v>
      </c>
      <c r="I400" s="62" t="s">
        <v>687</v>
      </c>
      <c r="J400" s="53"/>
    </row>
    <row r="401" ht="24.75" hidden="1" customHeight="1">
      <c r="A401" s="54" t="s">
        <v>658</v>
      </c>
      <c r="B401" s="56" t="s">
        <v>691</v>
      </c>
      <c r="C401" s="56" t="s">
        <v>624</v>
      </c>
      <c r="D401" s="56" t="s">
        <v>678</v>
      </c>
      <c r="E401" s="56" t="s">
        <v>685</v>
      </c>
      <c r="F401" s="57" t="s">
        <v>250</v>
      </c>
      <c r="G401" s="61"/>
      <c r="H401" s="61" t="s">
        <v>200</v>
      </c>
      <c r="I401" s="62" t="s">
        <v>689</v>
      </c>
      <c r="J401" s="53"/>
    </row>
    <row r="402" ht="24.75" hidden="1" customHeight="1">
      <c r="A402" s="54" t="s">
        <v>658</v>
      </c>
      <c r="B402" s="56" t="s">
        <v>692</v>
      </c>
      <c r="C402" s="56" t="s">
        <v>627</v>
      </c>
      <c r="D402" s="56" t="s">
        <v>660</v>
      </c>
      <c r="E402" s="56" t="s">
        <v>661</v>
      </c>
      <c r="F402" s="57" t="s">
        <v>34</v>
      </c>
      <c r="G402" s="61"/>
      <c r="H402" s="79"/>
      <c r="I402" s="62"/>
      <c r="J402" s="53"/>
    </row>
    <row r="403" ht="24.75" hidden="1" customHeight="1">
      <c r="A403" s="54" t="s">
        <v>658</v>
      </c>
      <c r="B403" s="56" t="s">
        <v>692</v>
      </c>
      <c r="C403" s="56" t="s">
        <v>627</v>
      </c>
      <c r="D403" s="56" t="s">
        <v>660</v>
      </c>
      <c r="E403" s="56" t="s">
        <v>662</v>
      </c>
      <c r="F403" s="57" t="s">
        <v>34</v>
      </c>
      <c r="G403" s="61"/>
      <c r="H403" s="79"/>
      <c r="I403" s="62"/>
      <c r="J403" s="53"/>
    </row>
    <row r="404" ht="24.75" hidden="1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663</v>
      </c>
      <c r="F404" s="57" t="s">
        <v>34</v>
      </c>
      <c r="G404" s="61"/>
      <c r="H404" s="79"/>
      <c r="I404" s="62"/>
      <c r="J404" s="53"/>
    </row>
    <row r="405" ht="24.75" hidden="1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664</v>
      </c>
      <c r="F405" s="57" t="s">
        <v>34</v>
      </c>
      <c r="G405" s="61"/>
      <c r="H405" s="79"/>
      <c r="I405" s="62"/>
      <c r="J405" s="53"/>
    </row>
    <row r="406" ht="24.75" hidden="1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665</v>
      </c>
      <c r="F406" s="57" t="s">
        <v>34</v>
      </c>
      <c r="G406" s="61"/>
      <c r="H406" s="79"/>
      <c r="I406" s="62"/>
      <c r="J406" s="53"/>
    </row>
    <row r="407" ht="24.75" hidden="1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614</v>
      </c>
      <c r="F407" s="57" t="s">
        <v>34</v>
      </c>
      <c r="G407" s="61"/>
      <c r="H407" s="79"/>
      <c r="I407" s="62"/>
      <c r="J407" s="53"/>
    </row>
    <row r="408" ht="24.75" hidden="1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666</v>
      </c>
      <c r="F408" s="57" t="s">
        <v>34</v>
      </c>
      <c r="G408" s="61"/>
      <c r="H408" s="79"/>
      <c r="I408" s="62"/>
      <c r="J408" s="53"/>
    </row>
    <row r="409" ht="24.75" hidden="1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667</v>
      </c>
      <c r="F409" s="57" t="s">
        <v>34</v>
      </c>
      <c r="G409" s="61"/>
      <c r="H409" s="79"/>
      <c r="I409" s="62"/>
      <c r="J409" s="53"/>
    </row>
    <row r="410" ht="24.75" hidden="1" customHeight="1">
      <c r="A410" s="54" t="s">
        <v>658</v>
      </c>
      <c r="B410" s="56" t="s">
        <v>692</v>
      </c>
      <c r="C410" s="56" t="s">
        <v>627</v>
      </c>
      <c r="D410" s="56" t="s">
        <v>660</v>
      </c>
      <c r="E410" s="56" t="s">
        <v>668</v>
      </c>
      <c r="F410" s="57" t="s">
        <v>154</v>
      </c>
      <c r="G410" s="61"/>
      <c r="H410" s="79"/>
      <c r="I410" s="62" t="s">
        <v>617</v>
      </c>
      <c r="J410" s="53"/>
    </row>
    <row r="411" ht="24.75" hidden="1" customHeight="1">
      <c r="A411" s="54" t="s">
        <v>658</v>
      </c>
      <c r="B411" s="56" t="s">
        <v>692</v>
      </c>
      <c r="C411" s="56" t="s">
        <v>627</v>
      </c>
      <c r="D411" s="56" t="s">
        <v>660</v>
      </c>
      <c r="E411" s="56" t="s">
        <v>669</v>
      </c>
      <c r="F411" s="57" t="s">
        <v>154</v>
      </c>
      <c r="G411" s="61"/>
      <c r="H411" s="79"/>
      <c r="I411" s="62" t="s">
        <v>617</v>
      </c>
      <c r="J411" s="53"/>
    </row>
    <row r="412" ht="24.75" hidden="1" customHeight="1">
      <c r="A412" s="54" t="s">
        <v>658</v>
      </c>
      <c r="B412" s="56" t="s">
        <v>692</v>
      </c>
      <c r="C412" s="56" t="s">
        <v>627</v>
      </c>
      <c r="D412" s="56" t="s">
        <v>660</v>
      </c>
      <c r="E412" s="56" t="s">
        <v>671</v>
      </c>
      <c r="F412" s="57" t="s">
        <v>154</v>
      </c>
      <c r="G412" s="61"/>
      <c r="H412" s="79"/>
      <c r="I412" s="62" t="s">
        <v>617</v>
      </c>
      <c r="J412" s="53"/>
    </row>
    <row r="413" ht="24.75" hidden="1" customHeight="1">
      <c r="A413" s="54" t="s">
        <v>658</v>
      </c>
      <c r="B413" s="56" t="s">
        <v>692</v>
      </c>
      <c r="C413" s="56" t="s">
        <v>627</v>
      </c>
      <c r="D413" s="56" t="s">
        <v>660</v>
      </c>
      <c r="E413" s="56" t="s">
        <v>672</v>
      </c>
      <c r="F413" s="57" t="s">
        <v>154</v>
      </c>
      <c r="G413" s="61"/>
      <c r="H413" s="79"/>
      <c r="I413" s="62" t="s">
        <v>617</v>
      </c>
      <c r="J413" s="53"/>
    </row>
    <row r="414" ht="24.75" hidden="1" customHeight="1">
      <c r="A414" s="54" t="s">
        <v>658</v>
      </c>
      <c r="B414" s="56" t="s">
        <v>692</v>
      </c>
      <c r="C414" s="56" t="s">
        <v>627</v>
      </c>
      <c r="D414" s="56" t="s">
        <v>660</v>
      </c>
      <c r="E414" s="56" t="s">
        <v>673</v>
      </c>
      <c r="F414" s="57" t="s">
        <v>154</v>
      </c>
      <c r="G414" s="61"/>
      <c r="H414" s="79"/>
      <c r="I414" s="62" t="s">
        <v>617</v>
      </c>
      <c r="J414" s="53"/>
    </row>
    <row r="415" ht="24.75" hidden="1" customHeight="1">
      <c r="A415" s="54" t="s">
        <v>658</v>
      </c>
      <c r="B415" s="56" t="s">
        <v>693</v>
      </c>
      <c r="C415" s="56" t="s">
        <v>627</v>
      </c>
      <c r="D415" s="56" t="s">
        <v>675</v>
      </c>
      <c r="E415" s="56" t="s">
        <v>676</v>
      </c>
      <c r="F415" s="57" t="s">
        <v>34</v>
      </c>
      <c r="G415" s="61"/>
      <c r="H415" s="79"/>
      <c r="I415" s="62"/>
      <c r="J415" s="53"/>
    </row>
    <row r="416" ht="24.75" hidden="1" customHeight="1">
      <c r="A416" s="54" t="s">
        <v>658</v>
      </c>
      <c r="B416" s="56" t="s">
        <v>694</v>
      </c>
      <c r="C416" s="56" t="s">
        <v>627</v>
      </c>
      <c r="D416" s="56" t="s">
        <v>678</v>
      </c>
      <c r="E416" s="56" t="s">
        <v>679</v>
      </c>
      <c r="F416" s="57" t="s">
        <v>34</v>
      </c>
      <c r="G416" s="61"/>
      <c r="H416" s="61" t="s">
        <v>197</v>
      </c>
      <c r="I416" s="62"/>
      <c r="J416" s="53"/>
    </row>
    <row r="417" ht="24.75" hidden="1" customHeight="1">
      <c r="A417" s="54" t="s">
        <v>658</v>
      </c>
      <c r="B417" s="56" t="s">
        <v>694</v>
      </c>
      <c r="C417" s="56" t="s">
        <v>627</v>
      </c>
      <c r="D417" s="56" t="s">
        <v>678</v>
      </c>
      <c r="E417" s="56" t="s">
        <v>680</v>
      </c>
      <c r="F417" s="57" t="s">
        <v>34</v>
      </c>
      <c r="G417" s="61"/>
      <c r="H417" s="79"/>
      <c r="I417" s="62"/>
      <c r="J417" s="53"/>
    </row>
    <row r="418" ht="24.75" hidden="1" customHeight="1">
      <c r="A418" s="54" t="s">
        <v>658</v>
      </c>
      <c r="B418" s="56" t="s">
        <v>694</v>
      </c>
      <c r="C418" s="56" t="s">
        <v>627</v>
      </c>
      <c r="D418" s="56" t="s">
        <v>678</v>
      </c>
      <c r="E418" s="56" t="s">
        <v>683</v>
      </c>
      <c r="F418" s="57" t="s">
        <v>34</v>
      </c>
      <c r="G418" s="61"/>
      <c r="H418" s="79"/>
      <c r="I418" s="62"/>
      <c r="J418" s="53"/>
    </row>
    <row r="419" ht="24.75" hidden="1" customHeight="1">
      <c r="A419" s="54" t="s">
        <v>658</v>
      </c>
      <c r="B419" s="56" t="s">
        <v>694</v>
      </c>
      <c r="C419" s="56" t="s">
        <v>627</v>
      </c>
      <c r="D419" s="56" t="s">
        <v>678</v>
      </c>
      <c r="E419" s="56" t="s">
        <v>684</v>
      </c>
      <c r="F419" s="57" t="s">
        <v>250</v>
      </c>
      <c r="G419" s="61"/>
      <c r="H419" s="61" t="s">
        <v>686</v>
      </c>
      <c r="I419" s="62" t="s">
        <v>687</v>
      </c>
      <c r="J419" s="53"/>
    </row>
    <row r="420" ht="24.75" hidden="1" customHeight="1">
      <c r="A420" s="54" t="s">
        <v>658</v>
      </c>
      <c r="B420" s="56" t="s">
        <v>694</v>
      </c>
      <c r="C420" s="56" t="s">
        <v>627</v>
      </c>
      <c r="D420" s="56" t="s">
        <v>678</v>
      </c>
      <c r="E420" s="56" t="s">
        <v>695</v>
      </c>
      <c r="F420" s="57" t="s">
        <v>250</v>
      </c>
      <c r="G420" s="61"/>
      <c r="H420" s="61" t="s">
        <v>346</v>
      </c>
      <c r="I420" s="62" t="s">
        <v>696</v>
      </c>
      <c r="J420" s="53"/>
    </row>
    <row r="421" ht="24.75" hidden="1" customHeight="1">
      <c r="A421" s="54" t="s">
        <v>658</v>
      </c>
      <c r="B421" s="56" t="s">
        <v>694</v>
      </c>
      <c r="C421" s="56" t="s">
        <v>627</v>
      </c>
      <c r="D421" s="56" t="s">
        <v>678</v>
      </c>
      <c r="E421" s="56" t="s">
        <v>685</v>
      </c>
      <c r="F421" s="57" t="s">
        <v>250</v>
      </c>
      <c r="G421" s="61"/>
      <c r="H421" s="61" t="s">
        <v>200</v>
      </c>
      <c r="I421" s="62" t="s">
        <v>689</v>
      </c>
      <c r="J421" s="53"/>
    </row>
    <row r="422" ht="24.75" hidden="1" customHeight="1">
      <c r="A422" s="54" t="s">
        <v>658</v>
      </c>
      <c r="B422" s="56" t="s">
        <v>697</v>
      </c>
      <c r="C422" s="56" t="s">
        <v>640</v>
      </c>
      <c r="D422" s="56" t="s">
        <v>660</v>
      </c>
      <c r="E422" s="56" t="s">
        <v>661</v>
      </c>
      <c r="F422" s="57" t="s">
        <v>34</v>
      </c>
      <c r="G422" s="61"/>
      <c r="H422" s="79"/>
      <c r="I422" s="62"/>
      <c r="J422" s="53"/>
    </row>
    <row r="423" ht="24.75" hidden="1" customHeight="1">
      <c r="A423" s="54" t="s">
        <v>658</v>
      </c>
      <c r="B423" s="56" t="s">
        <v>697</v>
      </c>
      <c r="C423" s="56" t="s">
        <v>640</v>
      </c>
      <c r="D423" s="56" t="s">
        <v>660</v>
      </c>
      <c r="E423" s="56" t="s">
        <v>662</v>
      </c>
      <c r="F423" s="57" t="s">
        <v>34</v>
      </c>
      <c r="G423" s="61"/>
      <c r="H423" s="79"/>
      <c r="I423" s="62"/>
      <c r="J423" s="53"/>
    </row>
    <row r="424" ht="24.75" hidden="1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663</v>
      </c>
      <c r="F424" s="57" t="s">
        <v>34</v>
      </c>
      <c r="G424" s="61"/>
      <c r="H424" s="79"/>
      <c r="I424" s="62"/>
      <c r="J424" s="53"/>
    </row>
    <row r="425" ht="24.75" hidden="1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664</v>
      </c>
      <c r="F425" s="57" t="s">
        <v>34</v>
      </c>
      <c r="G425" s="61"/>
      <c r="H425" s="79"/>
      <c r="I425" s="62"/>
      <c r="J425" s="53"/>
    </row>
    <row r="426" ht="24.75" hidden="1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665</v>
      </c>
      <c r="F426" s="57" t="s">
        <v>34</v>
      </c>
      <c r="G426" s="61"/>
      <c r="H426" s="79"/>
      <c r="I426" s="62"/>
      <c r="J426" s="53"/>
    </row>
    <row r="427" ht="24.75" hidden="1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614</v>
      </c>
      <c r="F427" s="57" t="s">
        <v>34</v>
      </c>
      <c r="G427" s="61"/>
      <c r="H427" s="79"/>
      <c r="I427" s="62"/>
      <c r="J427" s="53"/>
    </row>
    <row r="428" ht="24.75" hidden="1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666</v>
      </c>
      <c r="F428" s="57" t="s">
        <v>34</v>
      </c>
      <c r="G428" s="61"/>
      <c r="H428" s="79"/>
      <c r="I428" s="62"/>
      <c r="J428" s="53"/>
    </row>
    <row r="429" ht="24.75" hidden="1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667</v>
      </c>
      <c r="F429" s="57" t="s">
        <v>34</v>
      </c>
      <c r="G429" s="61"/>
      <c r="H429" s="79"/>
      <c r="I429" s="62"/>
      <c r="J429" s="53"/>
    </row>
    <row r="430" ht="24.75" hidden="1" customHeight="1">
      <c r="A430" s="54" t="s">
        <v>658</v>
      </c>
      <c r="B430" s="56" t="s">
        <v>697</v>
      </c>
      <c r="C430" s="56" t="s">
        <v>640</v>
      </c>
      <c r="D430" s="56" t="s">
        <v>660</v>
      </c>
      <c r="E430" s="56" t="s">
        <v>668</v>
      </c>
      <c r="F430" s="57" t="s">
        <v>154</v>
      </c>
      <c r="G430" s="61"/>
      <c r="H430" s="79"/>
      <c r="I430" s="62" t="s">
        <v>617</v>
      </c>
      <c r="J430" s="53"/>
    </row>
    <row r="431" ht="24.75" hidden="1" customHeight="1">
      <c r="A431" s="54" t="s">
        <v>658</v>
      </c>
      <c r="B431" s="56" t="s">
        <v>697</v>
      </c>
      <c r="C431" s="56" t="s">
        <v>640</v>
      </c>
      <c r="D431" s="56" t="s">
        <v>660</v>
      </c>
      <c r="E431" s="56" t="s">
        <v>669</v>
      </c>
      <c r="F431" s="57" t="s">
        <v>154</v>
      </c>
      <c r="G431" s="61"/>
      <c r="H431" s="79"/>
      <c r="I431" s="62" t="s">
        <v>617</v>
      </c>
      <c r="J431" s="53"/>
    </row>
    <row r="432" ht="24.75" hidden="1" customHeight="1">
      <c r="A432" s="54" t="s">
        <v>658</v>
      </c>
      <c r="B432" s="56" t="s">
        <v>697</v>
      </c>
      <c r="C432" s="56" t="s">
        <v>640</v>
      </c>
      <c r="D432" s="56" t="s">
        <v>660</v>
      </c>
      <c r="E432" s="56" t="s">
        <v>671</v>
      </c>
      <c r="F432" s="57" t="s">
        <v>154</v>
      </c>
      <c r="G432" s="61"/>
      <c r="H432" s="79"/>
      <c r="I432" s="62" t="s">
        <v>617</v>
      </c>
      <c r="J432" s="53"/>
    </row>
    <row r="433" ht="24.75" hidden="1" customHeight="1">
      <c r="A433" s="54" t="s">
        <v>658</v>
      </c>
      <c r="B433" s="56" t="s">
        <v>697</v>
      </c>
      <c r="C433" s="56" t="s">
        <v>640</v>
      </c>
      <c r="D433" s="56" t="s">
        <v>660</v>
      </c>
      <c r="E433" s="56" t="s">
        <v>672</v>
      </c>
      <c r="F433" s="57" t="s">
        <v>154</v>
      </c>
      <c r="G433" s="61"/>
      <c r="H433" s="79"/>
      <c r="I433" s="62" t="s">
        <v>617</v>
      </c>
      <c r="J433" s="53"/>
    </row>
    <row r="434" ht="24.75" hidden="1" customHeight="1">
      <c r="A434" s="54" t="s">
        <v>658</v>
      </c>
      <c r="B434" s="56" t="s">
        <v>697</v>
      </c>
      <c r="C434" s="56" t="s">
        <v>640</v>
      </c>
      <c r="D434" s="56" t="s">
        <v>660</v>
      </c>
      <c r="E434" s="56" t="s">
        <v>673</v>
      </c>
      <c r="F434" s="57" t="s">
        <v>154</v>
      </c>
      <c r="G434" s="61"/>
      <c r="H434" s="79"/>
      <c r="I434" s="62" t="s">
        <v>617</v>
      </c>
      <c r="J434" s="53"/>
    </row>
    <row r="435" ht="24.75" hidden="1" customHeight="1">
      <c r="A435" s="54" t="s">
        <v>658</v>
      </c>
      <c r="B435" s="56" t="s">
        <v>698</v>
      </c>
      <c r="C435" s="56" t="s">
        <v>640</v>
      </c>
      <c r="D435" s="56" t="s">
        <v>675</v>
      </c>
      <c r="E435" s="56" t="s">
        <v>676</v>
      </c>
      <c r="F435" s="57" t="s">
        <v>34</v>
      </c>
      <c r="G435" s="61"/>
      <c r="H435" s="79"/>
      <c r="I435" s="62"/>
      <c r="J435" s="53"/>
    </row>
    <row r="436" ht="24.75" hidden="1" customHeight="1">
      <c r="A436" s="54" t="s">
        <v>658</v>
      </c>
      <c r="B436" s="56" t="s">
        <v>699</v>
      </c>
      <c r="C436" s="56" t="s">
        <v>640</v>
      </c>
      <c r="D436" s="56" t="s">
        <v>678</v>
      </c>
      <c r="E436" s="56" t="s">
        <v>679</v>
      </c>
      <c r="F436" s="57" t="s">
        <v>34</v>
      </c>
      <c r="G436" s="61"/>
      <c r="H436" s="61" t="s">
        <v>197</v>
      </c>
      <c r="I436" s="62"/>
      <c r="J436" s="53"/>
    </row>
    <row r="437" ht="24.75" hidden="1" customHeight="1">
      <c r="A437" s="54" t="s">
        <v>658</v>
      </c>
      <c r="B437" s="56" t="s">
        <v>699</v>
      </c>
      <c r="C437" s="56" t="s">
        <v>640</v>
      </c>
      <c r="D437" s="56" t="s">
        <v>678</v>
      </c>
      <c r="E437" s="56" t="s">
        <v>680</v>
      </c>
      <c r="F437" s="57" t="s">
        <v>34</v>
      </c>
      <c r="G437" s="61"/>
      <c r="H437" s="79"/>
      <c r="I437" s="62"/>
      <c r="J437" s="53"/>
    </row>
    <row r="438" ht="24.75" hidden="1" customHeight="1">
      <c r="A438" s="54" t="s">
        <v>658</v>
      </c>
      <c r="B438" s="56" t="s">
        <v>699</v>
      </c>
      <c r="C438" s="56" t="s">
        <v>640</v>
      </c>
      <c r="D438" s="56" t="s">
        <v>678</v>
      </c>
      <c r="E438" s="56" t="s">
        <v>682</v>
      </c>
      <c r="F438" s="57" t="s">
        <v>34</v>
      </c>
      <c r="G438" s="61"/>
      <c r="H438" s="79"/>
      <c r="I438" s="62"/>
      <c r="J438" s="53"/>
    </row>
    <row r="439" ht="24.75" hidden="1" customHeight="1">
      <c r="A439" s="54" t="s">
        <v>658</v>
      </c>
      <c r="B439" s="56" t="s">
        <v>699</v>
      </c>
      <c r="C439" s="56" t="s">
        <v>640</v>
      </c>
      <c r="D439" s="56" t="s">
        <v>678</v>
      </c>
      <c r="E439" s="56" t="s">
        <v>683</v>
      </c>
      <c r="F439" s="57" t="s">
        <v>34</v>
      </c>
      <c r="G439" s="61"/>
      <c r="H439" s="79"/>
      <c r="I439" s="62"/>
      <c r="J439" s="53"/>
    </row>
    <row r="440" ht="24.75" hidden="1" customHeight="1">
      <c r="A440" s="54" t="s">
        <v>658</v>
      </c>
      <c r="B440" s="56" t="s">
        <v>699</v>
      </c>
      <c r="C440" s="56" t="s">
        <v>640</v>
      </c>
      <c r="D440" s="56" t="s">
        <v>678</v>
      </c>
      <c r="E440" s="56" t="s">
        <v>684</v>
      </c>
      <c r="F440" s="57" t="s">
        <v>250</v>
      </c>
      <c r="G440" s="61"/>
      <c r="H440" s="61" t="s">
        <v>686</v>
      </c>
      <c r="I440" s="62" t="s">
        <v>687</v>
      </c>
      <c r="J440" s="53"/>
    </row>
    <row r="441" ht="24.75" hidden="1" customHeight="1">
      <c r="A441" s="54" t="s">
        <v>658</v>
      </c>
      <c r="B441" s="56" t="s">
        <v>699</v>
      </c>
      <c r="C441" s="56" t="s">
        <v>640</v>
      </c>
      <c r="D441" s="56" t="s">
        <v>678</v>
      </c>
      <c r="E441" s="56" t="s">
        <v>695</v>
      </c>
      <c r="F441" s="57" t="s">
        <v>250</v>
      </c>
      <c r="G441" s="61"/>
      <c r="H441" s="61" t="s">
        <v>346</v>
      </c>
      <c r="I441" s="62" t="s">
        <v>696</v>
      </c>
      <c r="J441" s="53"/>
    </row>
    <row r="442" ht="24.75" hidden="1" customHeight="1">
      <c r="A442" s="54" t="s">
        <v>658</v>
      </c>
      <c r="B442" s="56" t="s">
        <v>699</v>
      </c>
      <c r="C442" s="56" t="s">
        <v>640</v>
      </c>
      <c r="D442" s="56" t="s">
        <v>678</v>
      </c>
      <c r="E442" s="56" t="s">
        <v>685</v>
      </c>
      <c r="F442" s="57" t="s">
        <v>250</v>
      </c>
      <c r="G442" s="61"/>
      <c r="H442" s="61" t="s">
        <v>200</v>
      </c>
      <c r="I442" s="62" t="s">
        <v>689</v>
      </c>
      <c r="J442" s="53"/>
    </row>
    <row r="443" ht="24.75" hidden="1" customHeight="1">
      <c r="A443" s="54" t="s">
        <v>658</v>
      </c>
      <c r="B443" s="56" t="s">
        <v>700</v>
      </c>
      <c r="C443" s="56" t="s">
        <v>645</v>
      </c>
      <c r="D443" s="56" t="s">
        <v>660</v>
      </c>
      <c r="E443" s="56" t="s">
        <v>661</v>
      </c>
      <c r="F443" s="57" t="s">
        <v>34</v>
      </c>
      <c r="G443" s="61"/>
      <c r="H443" s="79"/>
      <c r="I443" s="62"/>
      <c r="J443" s="53"/>
    </row>
    <row r="444" ht="24.75" hidden="1" customHeight="1">
      <c r="A444" s="54" t="s">
        <v>658</v>
      </c>
      <c r="B444" s="56" t="s">
        <v>700</v>
      </c>
      <c r="C444" s="56" t="s">
        <v>645</v>
      </c>
      <c r="D444" s="56" t="s">
        <v>660</v>
      </c>
      <c r="E444" s="56" t="s">
        <v>662</v>
      </c>
      <c r="F444" s="57" t="s">
        <v>34</v>
      </c>
      <c r="G444" s="61"/>
      <c r="H444" s="61"/>
      <c r="I444" s="62"/>
      <c r="J444" s="53"/>
    </row>
    <row r="445" ht="24.75" hidden="1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663</v>
      </c>
      <c r="F445" s="57" t="s">
        <v>34</v>
      </c>
      <c r="G445" s="61"/>
      <c r="H445" s="61"/>
      <c r="I445" s="62"/>
      <c r="J445" s="53"/>
    </row>
    <row r="446" ht="24.75" hidden="1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664</v>
      </c>
      <c r="F446" s="57" t="s">
        <v>34</v>
      </c>
      <c r="G446" s="61"/>
      <c r="H446" s="79"/>
      <c r="I446" s="62"/>
      <c r="J446" s="53"/>
    </row>
    <row r="447" ht="24.75" hidden="1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665</v>
      </c>
      <c r="F447" s="57" t="s">
        <v>34</v>
      </c>
      <c r="G447" s="61"/>
      <c r="H447" s="79"/>
      <c r="I447" s="62"/>
      <c r="J447" s="53"/>
    </row>
    <row r="448" ht="24.75" hidden="1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614</v>
      </c>
      <c r="F448" s="57" t="s">
        <v>34</v>
      </c>
      <c r="G448" s="61"/>
      <c r="H448" s="79"/>
      <c r="I448" s="62"/>
      <c r="J448" s="53"/>
    </row>
    <row r="449" ht="24.75" hidden="1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666</v>
      </c>
      <c r="F449" s="57" t="s">
        <v>34</v>
      </c>
      <c r="G449" s="61"/>
      <c r="H449" s="79"/>
      <c r="I449" s="62"/>
      <c r="J449" s="53"/>
    </row>
    <row r="450" ht="24.75" hidden="1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667</v>
      </c>
      <c r="F450" s="57" t="s">
        <v>34</v>
      </c>
      <c r="G450" s="61"/>
      <c r="H450" s="61"/>
      <c r="I450" s="62"/>
      <c r="J450" s="53"/>
    </row>
    <row r="451" ht="24.75" hidden="1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668</v>
      </c>
      <c r="F451" s="57" t="s">
        <v>154</v>
      </c>
      <c r="G451" s="61"/>
      <c r="H451" s="61"/>
      <c r="I451" s="62" t="s">
        <v>617</v>
      </c>
      <c r="J451" s="53"/>
    </row>
    <row r="452" ht="24.75" hidden="1" customHeight="1">
      <c r="A452" s="54" t="s">
        <v>658</v>
      </c>
      <c r="B452" s="56" t="s">
        <v>700</v>
      </c>
      <c r="C452" s="56" t="s">
        <v>645</v>
      </c>
      <c r="D452" s="56" t="s">
        <v>660</v>
      </c>
      <c r="E452" s="56" t="s">
        <v>669</v>
      </c>
      <c r="F452" s="57" t="s">
        <v>154</v>
      </c>
      <c r="G452" s="61"/>
      <c r="H452" s="61"/>
      <c r="I452" s="62" t="s">
        <v>617</v>
      </c>
      <c r="J452" s="53"/>
    </row>
    <row r="453" ht="24.75" hidden="1" customHeight="1">
      <c r="A453" s="54" t="s">
        <v>658</v>
      </c>
      <c r="B453" s="56" t="s">
        <v>700</v>
      </c>
      <c r="C453" s="56" t="s">
        <v>645</v>
      </c>
      <c r="D453" s="56" t="s">
        <v>660</v>
      </c>
      <c r="E453" s="56" t="s">
        <v>680</v>
      </c>
      <c r="F453" s="57" t="s">
        <v>154</v>
      </c>
      <c r="G453" s="61"/>
      <c r="H453" s="61"/>
      <c r="I453" s="62" t="s">
        <v>617</v>
      </c>
      <c r="J453" s="53"/>
    </row>
    <row r="454" ht="24.75" hidden="1" customHeight="1">
      <c r="A454" s="54" t="s">
        <v>658</v>
      </c>
      <c r="B454" s="56" t="s">
        <v>700</v>
      </c>
      <c r="C454" s="56" t="s">
        <v>645</v>
      </c>
      <c r="D454" s="56" t="s">
        <v>660</v>
      </c>
      <c r="E454" s="56" t="s">
        <v>671</v>
      </c>
      <c r="F454" s="57" t="s">
        <v>154</v>
      </c>
      <c r="G454" s="61"/>
      <c r="H454" s="79"/>
      <c r="I454" s="62" t="s">
        <v>617</v>
      </c>
      <c r="J454" s="53"/>
    </row>
    <row r="455" ht="24.75" hidden="1" customHeight="1">
      <c r="A455" s="54" t="s">
        <v>658</v>
      </c>
      <c r="B455" s="56" t="s">
        <v>700</v>
      </c>
      <c r="C455" s="56" t="s">
        <v>645</v>
      </c>
      <c r="D455" s="56" t="s">
        <v>660</v>
      </c>
      <c r="E455" s="56" t="s">
        <v>672</v>
      </c>
      <c r="F455" s="57" t="s">
        <v>154</v>
      </c>
      <c r="G455" s="61"/>
      <c r="H455" s="79"/>
      <c r="I455" s="62" t="s">
        <v>617</v>
      </c>
      <c r="J455" s="53"/>
    </row>
    <row r="456" ht="24.75" hidden="1" customHeight="1">
      <c r="A456" s="54" t="s">
        <v>658</v>
      </c>
      <c r="B456" s="56" t="s">
        <v>700</v>
      </c>
      <c r="C456" s="56" t="s">
        <v>645</v>
      </c>
      <c r="D456" s="56" t="s">
        <v>660</v>
      </c>
      <c r="E456" s="56" t="s">
        <v>673</v>
      </c>
      <c r="F456" s="57" t="s">
        <v>154</v>
      </c>
      <c r="G456" s="61"/>
      <c r="H456" s="79"/>
      <c r="I456" s="62" t="s">
        <v>617</v>
      </c>
      <c r="J456" s="53"/>
    </row>
    <row r="457" ht="24.75" hidden="1" customHeight="1">
      <c r="A457" s="54" t="s">
        <v>658</v>
      </c>
      <c r="B457" s="56" t="s">
        <v>703</v>
      </c>
      <c r="C457" s="56" t="s">
        <v>645</v>
      </c>
      <c r="D457" s="56" t="s">
        <v>675</v>
      </c>
      <c r="E457" s="56" t="s">
        <v>676</v>
      </c>
      <c r="F457" s="57" t="s">
        <v>34</v>
      </c>
      <c r="G457" s="61"/>
      <c r="H457" s="79"/>
      <c r="I457" s="62"/>
      <c r="J457" s="53"/>
    </row>
    <row r="458" ht="24.75" hidden="1" customHeight="1">
      <c r="A458" s="54" t="s">
        <v>658</v>
      </c>
      <c r="B458" s="56" t="s">
        <v>704</v>
      </c>
      <c r="C458" s="56" t="s">
        <v>645</v>
      </c>
      <c r="D458" s="56" t="s">
        <v>678</v>
      </c>
      <c r="E458" s="56" t="s">
        <v>679</v>
      </c>
      <c r="F458" s="57" t="s">
        <v>34</v>
      </c>
      <c r="G458" s="61"/>
      <c r="H458" s="61" t="s">
        <v>197</v>
      </c>
      <c r="I458" s="62"/>
      <c r="J458" s="53"/>
    </row>
    <row r="459" ht="24.75" hidden="1" customHeight="1">
      <c r="A459" s="54" t="s">
        <v>658</v>
      </c>
      <c r="B459" s="56" t="s">
        <v>704</v>
      </c>
      <c r="C459" s="56" t="s">
        <v>645</v>
      </c>
      <c r="D459" s="56" t="s">
        <v>678</v>
      </c>
      <c r="E459" s="56" t="s">
        <v>680</v>
      </c>
      <c r="F459" s="57" t="s">
        <v>34</v>
      </c>
      <c r="G459" s="61"/>
      <c r="H459" s="79"/>
      <c r="I459" s="62"/>
      <c r="J459" s="53"/>
    </row>
    <row r="460" ht="24.75" hidden="1" customHeight="1">
      <c r="A460" s="54" t="s">
        <v>658</v>
      </c>
      <c r="B460" s="56" t="s">
        <v>704</v>
      </c>
      <c r="C460" s="56" t="s">
        <v>645</v>
      </c>
      <c r="D460" s="56" t="s">
        <v>678</v>
      </c>
      <c r="E460" s="56" t="s">
        <v>682</v>
      </c>
      <c r="F460" s="57" t="s">
        <v>34</v>
      </c>
      <c r="G460" s="61"/>
      <c r="H460" s="79"/>
      <c r="I460" s="62"/>
      <c r="J460" s="53"/>
    </row>
    <row r="461" ht="24.75" hidden="1" customHeight="1">
      <c r="A461" s="54" t="s">
        <v>658</v>
      </c>
      <c r="B461" s="56" t="s">
        <v>704</v>
      </c>
      <c r="C461" s="56" t="s">
        <v>645</v>
      </c>
      <c r="D461" s="56" t="s">
        <v>678</v>
      </c>
      <c r="E461" s="56" t="s">
        <v>683</v>
      </c>
      <c r="F461" s="57" t="s">
        <v>34</v>
      </c>
      <c r="G461" s="61"/>
      <c r="H461" s="79"/>
      <c r="I461" s="62"/>
      <c r="J461" s="53"/>
    </row>
    <row r="462" ht="24.75" hidden="1" customHeight="1">
      <c r="A462" s="54" t="s">
        <v>658</v>
      </c>
      <c r="B462" s="56" t="s">
        <v>704</v>
      </c>
      <c r="C462" s="56" t="s">
        <v>645</v>
      </c>
      <c r="D462" s="56" t="s">
        <v>678</v>
      </c>
      <c r="E462" s="56" t="s">
        <v>684</v>
      </c>
      <c r="F462" s="57" t="s">
        <v>250</v>
      </c>
      <c r="G462" s="61"/>
      <c r="H462" s="61" t="s">
        <v>686</v>
      </c>
      <c r="I462" s="62" t="s">
        <v>687</v>
      </c>
      <c r="J462" s="53"/>
    </row>
    <row r="463" ht="24.75" hidden="1" customHeight="1">
      <c r="A463" s="54" t="s">
        <v>658</v>
      </c>
      <c r="B463" s="56" t="s">
        <v>704</v>
      </c>
      <c r="C463" s="56" t="s">
        <v>645</v>
      </c>
      <c r="D463" s="56" t="s">
        <v>678</v>
      </c>
      <c r="E463" s="56" t="s">
        <v>695</v>
      </c>
      <c r="F463" s="57" t="s">
        <v>250</v>
      </c>
      <c r="G463" s="61"/>
      <c r="H463" s="61" t="s">
        <v>346</v>
      </c>
      <c r="I463" s="62" t="s">
        <v>696</v>
      </c>
      <c r="J463" s="53"/>
    </row>
    <row r="464" ht="24.75" hidden="1" customHeight="1">
      <c r="A464" s="54" t="s">
        <v>658</v>
      </c>
      <c r="B464" s="56" t="s">
        <v>704</v>
      </c>
      <c r="C464" s="56" t="s">
        <v>645</v>
      </c>
      <c r="D464" s="56" t="s">
        <v>678</v>
      </c>
      <c r="E464" s="56" t="s">
        <v>685</v>
      </c>
      <c r="F464" s="57" t="s">
        <v>250</v>
      </c>
      <c r="G464" s="61"/>
      <c r="H464" s="61" t="s">
        <v>200</v>
      </c>
      <c r="I464" s="62" t="s">
        <v>689</v>
      </c>
      <c r="J464" s="53"/>
    </row>
    <row r="465" ht="24.75" hidden="1" customHeight="1">
      <c r="A465" s="54" t="s">
        <v>658</v>
      </c>
      <c r="B465" s="56" t="s">
        <v>705</v>
      </c>
      <c r="C465" s="56" t="s">
        <v>606</v>
      </c>
      <c r="D465" s="56" t="s">
        <v>660</v>
      </c>
      <c r="E465" s="56" t="s">
        <v>661</v>
      </c>
      <c r="F465" s="57" t="s">
        <v>34</v>
      </c>
      <c r="G465" s="61"/>
      <c r="H465" s="79"/>
      <c r="I465" s="62"/>
      <c r="J465" s="53"/>
    </row>
    <row r="466" ht="24.75" hidden="1" customHeight="1">
      <c r="A466" s="54" t="s">
        <v>658</v>
      </c>
      <c r="B466" s="56" t="s">
        <v>705</v>
      </c>
      <c r="C466" s="56" t="s">
        <v>606</v>
      </c>
      <c r="D466" s="56" t="s">
        <v>660</v>
      </c>
      <c r="E466" s="56" t="s">
        <v>662</v>
      </c>
      <c r="F466" s="57" t="s">
        <v>34</v>
      </c>
      <c r="G466" s="61"/>
      <c r="H466" s="61"/>
      <c r="I466" s="62"/>
      <c r="J466" s="53"/>
    </row>
    <row r="467" ht="24.75" hidden="1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663</v>
      </c>
      <c r="F467" s="57" t="s">
        <v>34</v>
      </c>
      <c r="G467" s="61"/>
      <c r="H467" s="61"/>
      <c r="I467" s="62"/>
      <c r="J467" s="53"/>
    </row>
    <row r="468" ht="24.75" hidden="1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664</v>
      </c>
      <c r="F468" s="57" t="s">
        <v>34</v>
      </c>
      <c r="G468" s="61"/>
      <c r="H468" s="79"/>
      <c r="I468" s="62"/>
      <c r="J468" s="53"/>
    </row>
    <row r="469" ht="24.75" hidden="1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665</v>
      </c>
      <c r="F469" s="57" t="s">
        <v>34</v>
      </c>
      <c r="G469" s="61"/>
      <c r="H469" s="79"/>
      <c r="I469" s="103"/>
      <c r="J469" s="53"/>
    </row>
    <row r="470" ht="24.75" hidden="1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614</v>
      </c>
      <c r="F470" s="57" t="s">
        <v>34</v>
      </c>
      <c r="G470" s="61"/>
      <c r="H470" s="79"/>
      <c r="I470" s="62"/>
      <c r="J470" s="53"/>
    </row>
    <row r="471" ht="24.75" hidden="1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666</v>
      </c>
      <c r="F471" s="57" t="s">
        <v>34</v>
      </c>
      <c r="G471" s="61"/>
      <c r="H471" s="79"/>
      <c r="I471" s="62"/>
      <c r="J471" s="53"/>
    </row>
    <row r="472" ht="24.75" hidden="1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667</v>
      </c>
      <c r="F472" s="57" t="s">
        <v>34</v>
      </c>
      <c r="G472" s="61"/>
      <c r="H472" s="61"/>
      <c r="I472" s="62"/>
      <c r="J472" s="53"/>
    </row>
    <row r="473" ht="24.75" hidden="1" customHeight="1">
      <c r="A473" s="54" t="s">
        <v>658</v>
      </c>
      <c r="B473" s="56" t="s">
        <v>705</v>
      </c>
      <c r="C473" s="56" t="s">
        <v>606</v>
      </c>
      <c r="D473" s="56" t="s">
        <v>660</v>
      </c>
      <c r="E473" s="56" t="s">
        <v>668</v>
      </c>
      <c r="F473" s="57" t="s">
        <v>154</v>
      </c>
      <c r="G473" s="61"/>
      <c r="H473" s="61"/>
      <c r="I473" s="62" t="s">
        <v>617</v>
      </c>
      <c r="J473" s="53"/>
    </row>
    <row r="474" ht="24.75" hidden="1" customHeight="1">
      <c r="A474" s="54" t="s">
        <v>658</v>
      </c>
      <c r="B474" s="56" t="s">
        <v>705</v>
      </c>
      <c r="C474" s="56" t="s">
        <v>606</v>
      </c>
      <c r="D474" s="56" t="s">
        <v>660</v>
      </c>
      <c r="E474" s="56" t="s">
        <v>669</v>
      </c>
      <c r="F474" s="57" t="s">
        <v>154</v>
      </c>
      <c r="G474" s="61"/>
      <c r="H474" s="61"/>
      <c r="I474" s="62" t="s">
        <v>617</v>
      </c>
      <c r="J474" s="53"/>
    </row>
    <row r="475" ht="24.75" hidden="1" customHeight="1">
      <c r="A475" s="54" t="s">
        <v>658</v>
      </c>
      <c r="B475" s="56" t="s">
        <v>705</v>
      </c>
      <c r="C475" s="56" t="s">
        <v>606</v>
      </c>
      <c r="D475" s="56" t="s">
        <v>660</v>
      </c>
      <c r="E475" s="56" t="s">
        <v>671</v>
      </c>
      <c r="F475" s="57" t="s">
        <v>154</v>
      </c>
      <c r="G475" s="61"/>
      <c r="H475" s="61"/>
      <c r="I475" s="62" t="s">
        <v>617</v>
      </c>
      <c r="J475" s="53"/>
    </row>
    <row r="476" ht="24.75" hidden="1" customHeight="1">
      <c r="A476" s="54" t="s">
        <v>658</v>
      </c>
      <c r="B476" s="56" t="s">
        <v>705</v>
      </c>
      <c r="C476" s="56" t="s">
        <v>606</v>
      </c>
      <c r="D476" s="56" t="s">
        <v>660</v>
      </c>
      <c r="E476" s="56" t="s">
        <v>672</v>
      </c>
      <c r="F476" s="57" t="s">
        <v>154</v>
      </c>
      <c r="G476" s="61"/>
      <c r="H476" s="61"/>
      <c r="I476" s="62" t="s">
        <v>617</v>
      </c>
      <c r="J476" s="53"/>
    </row>
    <row r="477" ht="24.75" hidden="1" customHeight="1">
      <c r="A477" s="54" t="s">
        <v>658</v>
      </c>
      <c r="B477" s="56" t="s">
        <v>705</v>
      </c>
      <c r="C477" s="56" t="s">
        <v>606</v>
      </c>
      <c r="D477" s="56" t="s">
        <v>660</v>
      </c>
      <c r="E477" s="56" t="s">
        <v>673</v>
      </c>
      <c r="F477" s="57" t="s">
        <v>154</v>
      </c>
      <c r="G477" s="61"/>
      <c r="H477" s="79"/>
      <c r="I477" s="62" t="s">
        <v>617</v>
      </c>
      <c r="J477" s="53"/>
    </row>
    <row r="478" ht="24.75" hidden="1" customHeight="1">
      <c r="A478" s="54" t="s">
        <v>658</v>
      </c>
      <c r="B478" s="56" t="s">
        <v>714</v>
      </c>
      <c r="C478" s="56" t="s">
        <v>606</v>
      </c>
      <c r="D478" s="56" t="s">
        <v>675</v>
      </c>
      <c r="E478" s="56" t="s">
        <v>676</v>
      </c>
      <c r="F478" s="57" t="s">
        <v>34</v>
      </c>
      <c r="G478" s="61"/>
      <c r="H478" s="79"/>
      <c r="I478" s="62"/>
      <c r="J478" s="53"/>
    </row>
    <row r="479" ht="24.75" hidden="1" customHeight="1">
      <c r="A479" s="54" t="s">
        <v>658</v>
      </c>
      <c r="B479" s="56" t="s">
        <v>715</v>
      </c>
      <c r="C479" s="56" t="s">
        <v>606</v>
      </c>
      <c r="D479" s="56" t="s">
        <v>716</v>
      </c>
      <c r="E479" s="56" t="s">
        <v>679</v>
      </c>
      <c r="F479" s="57" t="s">
        <v>34</v>
      </c>
      <c r="G479" s="61"/>
      <c r="H479" s="61" t="s">
        <v>197</v>
      </c>
      <c r="I479" s="62"/>
      <c r="J479" s="53"/>
    </row>
    <row r="480" ht="24.75" hidden="1" customHeight="1">
      <c r="A480" s="54" t="s">
        <v>658</v>
      </c>
      <c r="B480" s="56" t="s">
        <v>715</v>
      </c>
      <c r="C480" s="56" t="s">
        <v>606</v>
      </c>
      <c r="D480" s="56" t="s">
        <v>678</v>
      </c>
      <c r="E480" s="56" t="s">
        <v>680</v>
      </c>
      <c r="F480" s="57" t="s">
        <v>34</v>
      </c>
      <c r="G480" s="61"/>
      <c r="H480" s="79"/>
      <c r="I480" s="62"/>
      <c r="J480" s="53"/>
    </row>
    <row r="481" ht="24.75" hidden="1" customHeight="1">
      <c r="A481" s="54" t="s">
        <v>658</v>
      </c>
      <c r="B481" s="56" t="s">
        <v>715</v>
      </c>
      <c r="C481" s="56" t="s">
        <v>606</v>
      </c>
      <c r="D481" s="56" t="s">
        <v>716</v>
      </c>
      <c r="E481" s="56" t="s">
        <v>682</v>
      </c>
      <c r="F481" s="57" t="s">
        <v>34</v>
      </c>
      <c r="G481" s="61"/>
      <c r="H481" s="79"/>
      <c r="I481" s="62"/>
      <c r="J481" s="53"/>
    </row>
    <row r="482" ht="24.75" hidden="1" customHeight="1">
      <c r="A482" s="54" t="s">
        <v>658</v>
      </c>
      <c r="B482" s="56" t="s">
        <v>715</v>
      </c>
      <c r="C482" s="56" t="s">
        <v>606</v>
      </c>
      <c r="D482" s="56" t="s">
        <v>716</v>
      </c>
      <c r="E482" s="56" t="s">
        <v>683</v>
      </c>
      <c r="F482" s="57" t="s">
        <v>34</v>
      </c>
      <c r="G482" s="61"/>
      <c r="H482" s="79"/>
      <c r="I482" s="62"/>
      <c r="J482" s="53"/>
    </row>
    <row r="483" ht="24.75" hidden="1" customHeight="1">
      <c r="A483" s="54" t="s">
        <v>658</v>
      </c>
      <c r="B483" s="56" t="s">
        <v>715</v>
      </c>
      <c r="C483" s="56" t="s">
        <v>606</v>
      </c>
      <c r="D483" s="56" t="s">
        <v>716</v>
      </c>
      <c r="E483" s="56" t="s">
        <v>684</v>
      </c>
      <c r="F483" s="57" t="s">
        <v>250</v>
      </c>
      <c r="G483" s="61"/>
      <c r="H483" s="61" t="s">
        <v>686</v>
      </c>
      <c r="I483" s="62" t="s">
        <v>687</v>
      </c>
      <c r="J483" s="53"/>
    </row>
    <row r="484" ht="24.75" hidden="1" customHeight="1">
      <c r="A484" s="54" t="s">
        <v>658</v>
      </c>
      <c r="B484" s="56" t="s">
        <v>715</v>
      </c>
      <c r="C484" s="56" t="s">
        <v>606</v>
      </c>
      <c r="D484" s="56" t="s">
        <v>716</v>
      </c>
      <c r="E484" s="56" t="s">
        <v>695</v>
      </c>
      <c r="F484" s="57" t="s">
        <v>250</v>
      </c>
      <c r="G484" s="61"/>
      <c r="H484" s="61" t="s">
        <v>346</v>
      </c>
      <c r="I484" s="62" t="s">
        <v>696</v>
      </c>
      <c r="J484" s="53"/>
    </row>
    <row r="485" ht="24.75" hidden="1" customHeight="1">
      <c r="A485" s="54" t="s">
        <v>658</v>
      </c>
      <c r="B485" s="56" t="s">
        <v>715</v>
      </c>
      <c r="C485" s="56" t="s">
        <v>606</v>
      </c>
      <c r="D485" s="56" t="s">
        <v>716</v>
      </c>
      <c r="E485" s="56" t="s">
        <v>685</v>
      </c>
      <c r="F485" s="57" t="s">
        <v>250</v>
      </c>
      <c r="G485" s="61"/>
      <c r="H485" s="61" t="s">
        <v>200</v>
      </c>
      <c r="I485" s="62" t="s">
        <v>689</v>
      </c>
      <c r="J485" s="53"/>
    </row>
    <row r="486" ht="24.75" hidden="1" customHeight="1">
      <c r="A486" s="54" t="s">
        <v>658</v>
      </c>
      <c r="B486" s="56" t="s">
        <v>717</v>
      </c>
      <c r="C486" s="56" t="s">
        <v>718</v>
      </c>
      <c r="D486" s="56" t="s">
        <v>719</v>
      </c>
      <c r="E486" s="56" t="s">
        <v>239</v>
      </c>
      <c r="F486" s="57" t="s">
        <v>154</v>
      </c>
      <c r="G486" s="61"/>
      <c r="H486" s="79"/>
      <c r="I486" s="62" t="s">
        <v>207</v>
      </c>
      <c r="J486" s="53"/>
    </row>
    <row r="487" ht="24.75" hidden="1" customHeight="1">
      <c r="A487" s="54" t="s">
        <v>658</v>
      </c>
      <c r="B487" s="56" t="s">
        <v>720</v>
      </c>
      <c r="C487" s="56" t="s">
        <v>718</v>
      </c>
      <c r="D487" s="56" t="s">
        <v>721</v>
      </c>
      <c r="E487" s="56" t="s">
        <v>722</v>
      </c>
      <c r="F487" s="57" t="s">
        <v>154</v>
      </c>
      <c r="G487" s="61"/>
      <c r="H487" s="79"/>
      <c r="I487" s="62"/>
      <c r="J487" s="53"/>
    </row>
    <row r="488" ht="24.75" hidden="1" customHeight="1">
      <c r="A488" s="54" t="s">
        <v>658</v>
      </c>
      <c r="B488" s="56" t="s">
        <v>720</v>
      </c>
      <c r="C488" s="56" t="s">
        <v>718</v>
      </c>
      <c r="D488" s="56" t="s">
        <v>721</v>
      </c>
      <c r="E488" s="56" t="s">
        <v>723</v>
      </c>
      <c r="F488" s="57" t="s">
        <v>154</v>
      </c>
      <c r="G488" s="61"/>
      <c r="H488" s="79"/>
      <c r="I488" s="62"/>
      <c r="J488" s="53"/>
    </row>
    <row r="489" ht="24.75" hidden="1" customHeight="1">
      <c r="A489" s="54" t="s">
        <v>658</v>
      </c>
      <c r="B489" s="56" t="s">
        <v>724</v>
      </c>
      <c r="C489" s="56" t="s">
        <v>718</v>
      </c>
      <c r="D489" s="56" t="s">
        <v>725</v>
      </c>
      <c r="E489" s="56" t="s">
        <v>239</v>
      </c>
      <c r="F489" s="57" t="s">
        <v>154</v>
      </c>
      <c r="G489" s="61"/>
      <c r="H489" s="79"/>
      <c r="I489" s="62" t="s">
        <v>207</v>
      </c>
      <c r="J489" s="53"/>
    </row>
    <row r="490" ht="24.75" hidden="1" customHeight="1">
      <c r="A490" s="54" t="s">
        <v>658</v>
      </c>
      <c r="B490" s="56" t="s">
        <v>720</v>
      </c>
      <c r="C490" s="56" t="s">
        <v>718</v>
      </c>
      <c r="D490" s="56" t="s">
        <v>728</v>
      </c>
      <c r="E490" s="56" t="s">
        <v>722</v>
      </c>
      <c r="F490" s="57" t="s">
        <v>154</v>
      </c>
      <c r="G490" s="61"/>
      <c r="H490" s="79"/>
      <c r="I490" s="62"/>
      <c r="J490" s="53"/>
    </row>
    <row r="491" ht="24.75" hidden="1" customHeight="1">
      <c r="A491" s="54" t="s">
        <v>658</v>
      </c>
      <c r="B491" s="56" t="s">
        <v>720</v>
      </c>
      <c r="C491" s="56" t="s">
        <v>718</v>
      </c>
      <c r="D491" s="56" t="s">
        <v>728</v>
      </c>
      <c r="E491" s="56" t="s">
        <v>723</v>
      </c>
      <c r="F491" s="57" t="s">
        <v>154</v>
      </c>
      <c r="G491" s="61"/>
      <c r="H491" s="79"/>
      <c r="I491" s="62"/>
      <c r="J491" s="53"/>
    </row>
    <row r="492" ht="24.75" hidden="1" customHeight="1">
      <c r="A492" s="54" t="s">
        <v>729</v>
      </c>
      <c r="B492" s="56" t="s">
        <v>730</v>
      </c>
      <c r="C492" s="56" t="s">
        <v>731</v>
      </c>
      <c r="D492" s="56" t="s">
        <v>732</v>
      </c>
      <c r="E492" s="56" t="s">
        <v>167</v>
      </c>
      <c r="F492" s="57" t="s">
        <v>154</v>
      </c>
      <c r="G492" s="61"/>
      <c r="H492" s="61"/>
      <c r="I492" s="62"/>
      <c r="J492" s="53"/>
    </row>
    <row r="493" ht="24.75" hidden="1" customHeight="1">
      <c r="A493" s="54" t="s">
        <v>729</v>
      </c>
      <c r="B493" s="56" t="s">
        <v>730</v>
      </c>
      <c r="C493" s="56" t="s">
        <v>731</v>
      </c>
      <c r="D493" s="56" t="s">
        <v>732</v>
      </c>
      <c r="E493" s="56" t="s">
        <v>733</v>
      </c>
      <c r="F493" s="57" t="s">
        <v>154</v>
      </c>
      <c r="G493" s="61"/>
      <c r="H493" s="61"/>
      <c r="I493" s="62"/>
      <c r="J493" s="53"/>
    </row>
    <row r="494" ht="24.75" hidden="1" customHeight="1">
      <c r="A494" s="54" t="s">
        <v>729</v>
      </c>
      <c r="B494" s="56" t="s">
        <v>730</v>
      </c>
      <c r="C494" s="56" t="s">
        <v>731</v>
      </c>
      <c r="D494" s="56" t="s">
        <v>732</v>
      </c>
      <c r="E494" s="56" t="s">
        <v>176</v>
      </c>
      <c r="F494" s="57" t="s">
        <v>154</v>
      </c>
      <c r="G494" s="61"/>
      <c r="H494" s="61"/>
      <c r="I494" s="62"/>
      <c r="J494" s="53"/>
    </row>
    <row r="495" ht="24.75" hidden="1" customHeight="1">
      <c r="A495" s="54" t="s">
        <v>729</v>
      </c>
      <c r="B495" s="56" t="s">
        <v>734</v>
      </c>
      <c r="C495" s="56" t="s">
        <v>731</v>
      </c>
      <c r="D495" s="56" t="s">
        <v>735</v>
      </c>
      <c r="E495" s="56" t="s">
        <v>167</v>
      </c>
      <c r="F495" s="57" t="s">
        <v>154</v>
      </c>
      <c r="G495" s="61"/>
      <c r="H495" s="61"/>
      <c r="I495" s="62"/>
      <c r="J495" s="53"/>
    </row>
    <row r="496" ht="24.75" hidden="1" customHeight="1">
      <c r="A496" s="54" t="s">
        <v>729</v>
      </c>
      <c r="B496" s="56" t="s">
        <v>734</v>
      </c>
      <c r="C496" s="56" t="s">
        <v>731</v>
      </c>
      <c r="D496" s="56" t="s">
        <v>735</v>
      </c>
      <c r="E496" s="56" t="s">
        <v>733</v>
      </c>
      <c r="F496" s="57" t="s">
        <v>154</v>
      </c>
      <c r="G496" s="61"/>
      <c r="H496" s="61"/>
      <c r="I496" s="62"/>
      <c r="J496" s="53"/>
    </row>
    <row r="497" ht="24.75" hidden="1" customHeight="1">
      <c r="A497" s="54" t="s">
        <v>729</v>
      </c>
      <c r="B497" s="56" t="s">
        <v>734</v>
      </c>
      <c r="C497" s="56" t="s">
        <v>731</v>
      </c>
      <c r="D497" s="56" t="s">
        <v>735</v>
      </c>
      <c r="E497" s="56" t="s">
        <v>176</v>
      </c>
      <c r="F497" s="57" t="s">
        <v>154</v>
      </c>
      <c r="G497" s="61"/>
      <c r="H497" s="61"/>
      <c r="I497" s="62"/>
      <c r="J497" s="53"/>
    </row>
    <row r="498" ht="24.75" hidden="1" customHeight="1">
      <c r="A498" s="54" t="s">
        <v>729</v>
      </c>
      <c r="B498" s="56" t="s">
        <v>736</v>
      </c>
      <c r="C498" s="56" t="s">
        <v>731</v>
      </c>
      <c r="D498" s="56" t="s">
        <v>737</v>
      </c>
      <c r="E498" s="56" t="s">
        <v>167</v>
      </c>
      <c r="F498" s="57" t="s">
        <v>154</v>
      </c>
      <c r="G498" s="61"/>
      <c r="H498" s="61"/>
      <c r="I498" s="62"/>
      <c r="J498" s="53"/>
    </row>
    <row r="499" ht="24.75" hidden="1" customHeight="1">
      <c r="A499" s="54" t="s">
        <v>729</v>
      </c>
      <c r="B499" s="56" t="s">
        <v>736</v>
      </c>
      <c r="C499" s="56" t="s">
        <v>731</v>
      </c>
      <c r="D499" s="56" t="s">
        <v>737</v>
      </c>
      <c r="E499" s="56" t="s">
        <v>733</v>
      </c>
      <c r="F499" s="57" t="s">
        <v>154</v>
      </c>
      <c r="G499" s="61"/>
      <c r="H499" s="61"/>
      <c r="I499" s="62"/>
      <c r="J499" s="53"/>
    </row>
    <row r="500" ht="24.75" hidden="1" customHeight="1">
      <c r="A500" s="54" t="s">
        <v>729</v>
      </c>
      <c r="B500" s="56" t="s">
        <v>736</v>
      </c>
      <c r="C500" s="56" t="s">
        <v>731</v>
      </c>
      <c r="D500" s="56" t="s">
        <v>737</v>
      </c>
      <c r="E500" s="56" t="s">
        <v>176</v>
      </c>
      <c r="F500" s="57" t="s">
        <v>154</v>
      </c>
      <c r="G500" s="61"/>
      <c r="H500" s="61"/>
      <c r="I500" s="62"/>
      <c r="J500" s="53"/>
    </row>
    <row r="501" ht="24.75" hidden="1" customHeight="1">
      <c r="A501" s="54" t="s">
        <v>729</v>
      </c>
      <c r="B501" s="56" t="s">
        <v>738</v>
      </c>
      <c r="C501" s="56" t="s">
        <v>731</v>
      </c>
      <c r="D501" s="56" t="s">
        <v>175</v>
      </c>
      <c r="E501" s="56" t="s">
        <v>163</v>
      </c>
      <c r="F501" s="57" t="s">
        <v>154</v>
      </c>
      <c r="G501" s="61"/>
      <c r="H501" s="61"/>
      <c r="I501" s="62"/>
      <c r="J501" s="53"/>
    </row>
    <row r="502" ht="24.75" hidden="1" customHeight="1">
      <c r="A502" s="54" t="s">
        <v>729</v>
      </c>
      <c r="B502" s="56" t="s">
        <v>738</v>
      </c>
      <c r="C502" s="56" t="s">
        <v>731</v>
      </c>
      <c r="D502" s="56" t="s">
        <v>175</v>
      </c>
      <c r="E502" s="56" t="s">
        <v>176</v>
      </c>
      <c r="F502" s="57" t="s">
        <v>154</v>
      </c>
      <c r="G502" s="61"/>
      <c r="H502" s="61"/>
      <c r="I502" s="62"/>
      <c r="J502" s="53"/>
    </row>
    <row r="503" ht="24.75" hidden="1" customHeight="1">
      <c r="A503" s="54" t="s">
        <v>729</v>
      </c>
      <c r="B503" s="56" t="s">
        <v>739</v>
      </c>
      <c r="C503" s="56" t="s">
        <v>731</v>
      </c>
      <c r="D503" s="56" t="s">
        <v>186</v>
      </c>
      <c r="E503" s="56" t="s">
        <v>163</v>
      </c>
      <c r="F503" s="57" t="s">
        <v>154</v>
      </c>
      <c r="G503" s="61"/>
      <c r="H503" s="61"/>
      <c r="I503" s="62"/>
      <c r="J503" s="53"/>
    </row>
    <row r="504" ht="24.75" hidden="1" customHeight="1">
      <c r="A504" s="54" t="s">
        <v>729</v>
      </c>
      <c r="B504" s="56" t="s">
        <v>739</v>
      </c>
      <c r="C504" s="56" t="s">
        <v>731</v>
      </c>
      <c r="D504" s="56" t="s">
        <v>186</v>
      </c>
      <c r="E504" s="56" t="s">
        <v>176</v>
      </c>
      <c r="F504" s="57" t="s">
        <v>154</v>
      </c>
      <c r="G504" s="61"/>
      <c r="H504" s="61"/>
      <c r="I504" s="62"/>
      <c r="J504" s="53"/>
    </row>
    <row r="505" ht="24.75" hidden="1" customHeight="1">
      <c r="A505" s="54" t="s">
        <v>729</v>
      </c>
      <c r="B505" s="56" t="s">
        <v>740</v>
      </c>
      <c r="C505" s="56" t="s">
        <v>731</v>
      </c>
      <c r="D505" s="56" t="s">
        <v>183</v>
      </c>
      <c r="E505" s="56" t="s">
        <v>163</v>
      </c>
      <c r="F505" s="57" t="s">
        <v>154</v>
      </c>
      <c r="G505" s="61"/>
      <c r="H505" s="61"/>
      <c r="I505" s="62"/>
      <c r="J505" s="53"/>
    </row>
    <row r="506" ht="24.75" hidden="1" customHeight="1">
      <c r="A506" s="54" t="s">
        <v>729</v>
      </c>
      <c r="B506" s="56" t="s">
        <v>740</v>
      </c>
      <c r="C506" s="56" t="s">
        <v>731</v>
      </c>
      <c r="D506" s="56" t="s">
        <v>183</v>
      </c>
      <c r="E506" s="56" t="s">
        <v>176</v>
      </c>
      <c r="F506" s="57" t="s">
        <v>154</v>
      </c>
      <c r="G506" s="61"/>
      <c r="H506" s="61"/>
      <c r="I506" s="62"/>
      <c r="J506" s="53"/>
    </row>
    <row r="507" ht="24.75" hidden="1" customHeight="1">
      <c r="A507" s="54" t="s">
        <v>741</v>
      </c>
      <c r="B507" s="56" t="s">
        <v>742</v>
      </c>
      <c r="C507" s="56" t="s">
        <v>405</v>
      </c>
      <c r="D507" s="56" t="s">
        <v>743</v>
      </c>
      <c r="E507" s="56" t="s">
        <v>409</v>
      </c>
      <c r="F507" s="57" t="s">
        <v>154</v>
      </c>
      <c r="G507" s="61"/>
      <c r="H507" s="61"/>
      <c r="I507" s="62"/>
      <c r="J507" s="53"/>
    </row>
    <row r="508" ht="24.75" hidden="1" customHeight="1">
      <c r="A508" s="54" t="s">
        <v>741</v>
      </c>
      <c r="B508" s="56" t="s">
        <v>744</v>
      </c>
      <c r="C508" s="56" t="s">
        <v>745</v>
      </c>
      <c r="D508" s="56" t="s">
        <v>746</v>
      </c>
      <c r="E508" s="56" t="s">
        <v>747</v>
      </c>
      <c r="F508" s="57" t="s">
        <v>34</v>
      </c>
      <c r="G508" s="61"/>
      <c r="H508" s="61"/>
      <c r="I508" s="62"/>
      <c r="J508" s="53"/>
    </row>
    <row r="509" ht="24.75" hidden="1" customHeight="1">
      <c r="A509" s="54" t="s">
        <v>741</v>
      </c>
      <c r="B509" s="56" t="s">
        <v>744</v>
      </c>
      <c r="C509" s="56" t="s">
        <v>745</v>
      </c>
      <c r="D509" s="56" t="s">
        <v>746</v>
      </c>
      <c r="E509" s="56" t="s">
        <v>748</v>
      </c>
      <c r="F509" s="57" t="s">
        <v>154</v>
      </c>
      <c r="G509" s="61"/>
      <c r="H509" s="61"/>
      <c r="I509" s="62"/>
      <c r="J509" s="53"/>
    </row>
    <row r="510" ht="24.75" hidden="1" customHeight="1">
      <c r="A510" s="54" t="s">
        <v>741</v>
      </c>
      <c r="B510" s="56" t="s">
        <v>749</v>
      </c>
      <c r="C510" s="56" t="s">
        <v>745</v>
      </c>
      <c r="D510" s="56" t="s">
        <v>750</v>
      </c>
      <c r="E510" s="56" t="s">
        <v>747</v>
      </c>
      <c r="F510" s="57" t="s">
        <v>34</v>
      </c>
      <c r="G510" s="61"/>
      <c r="H510" s="61"/>
      <c r="I510" s="62" t="s">
        <v>617</v>
      </c>
      <c r="J510" s="53"/>
    </row>
    <row r="511" ht="24.75" hidden="1" customHeight="1">
      <c r="A511" s="54" t="s">
        <v>741</v>
      </c>
      <c r="B511" s="56" t="s">
        <v>749</v>
      </c>
      <c r="C511" s="56" t="s">
        <v>745</v>
      </c>
      <c r="D511" s="56" t="s">
        <v>750</v>
      </c>
      <c r="E511" s="56" t="s">
        <v>748</v>
      </c>
      <c r="F511" s="57" t="s">
        <v>154</v>
      </c>
      <c r="G511" s="61"/>
      <c r="H511" s="61"/>
      <c r="I511" s="62" t="s">
        <v>617</v>
      </c>
      <c r="J511" s="53"/>
    </row>
    <row r="512" ht="24.75" hidden="1" customHeight="1">
      <c r="A512" s="54" t="s">
        <v>741</v>
      </c>
      <c r="B512" s="56" t="s">
        <v>751</v>
      </c>
      <c r="C512" s="56" t="s">
        <v>610</v>
      </c>
      <c r="D512" s="56" t="s">
        <v>752</v>
      </c>
      <c r="E512" s="56" t="s">
        <v>753</v>
      </c>
      <c r="F512" s="57" t="s">
        <v>154</v>
      </c>
      <c r="G512" s="61"/>
      <c r="H512" s="61"/>
      <c r="I512" s="62" t="s">
        <v>617</v>
      </c>
      <c r="J512" s="53"/>
    </row>
    <row r="513" ht="24.75" hidden="1" customHeight="1">
      <c r="A513" s="54" t="s">
        <v>741</v>
      </c>
      <c r="B513" s="56" t="s">
        <v>751</v>
      </c>
      <c r="C513" s="56" t="s">
        <v>610</v>
      </c>
      <c r="D513" s="56" t="s">
        <v>752</v>
      </c>
      <c r="E513" s="56" t="s">
        <v>754</v>
      </c>
      <c r="F513" s="57" t="s">
        <v>154</v>
      </c>
      <c r="G513" s="61"/>
      <c r="H513" s="61"/>
      <c r="I513" s="62" t="s">
        <v>617</v>
      </c>
      <c r="J513" s="53"/>
    </row>
    <row r="514" ht="24.75" hidden="1" customHeight="1">
      <c r="A514" s="54" t="s">
        <v>741</v>
      </c>
      <c r="B514" s="56" t="s">
        <v>751</v>
      </c>
      <c r="C514" s="56" t="s">
        <v>610</v>
      </c>
      <c r="D514" s="56" t="s">
        <v>752</v>
      </c>
      <c r="E514" s="56" t="s">
        <v>755</v>
      </c>
      <c r="F514" s="57" t="s">
        <v>154</v>
      </c>
      <c r="G514" s="61"/>
      <c r="H514" s="61"/>
      <c r="I514" s="62" t="s">
        <v>617</v>
      </c>
      <c r="J514" s="53"/>
    </row>
    <row r="515" ht="24.75" hidden="1" customHeight="1">
      <c r="A515" s="54" t="s">
        <v>741</v>
      </c>
      <c r="B515" s="56" t="s">
        <v>756</v>
      </c>
      <c r="C515" s="56" t="s">
        <v>624</v>
      </c>
      <c r="D515" s="56" t="s">
        <v>752</v>
      </c>
      <c r="E515" s="56" t="s">
        <v>753</v>
      </c>
      <c r="F515" s="57" t="s">
        <v>154</v>
      </c>
      <c r="G515" s="61"/>
      <c r="H515" s="61"/>
      <c r="I515" s="62" t="s">
        <v>617</v>
      </c>
      <c r="J515" s="53"/>
    </row>
    <row r="516" ht="24.75" hidden="1" customHeight="1">
      <c r="A516" s="54" t="s">
        <v>741</v>
      </c>
      <c r="B516" s="56" t="s">
        <v>756</v>
      </c>
      <c r="C516" s="56" t="s">
        <v>624</v>
      </c>
      <c r="D516" s="56" t="s">
        <v>752</v>
      </c>
      <c r="E516" s="56" t="s">
        <v>754</v>
      </c>
      <c r="F516" s="57" t="s">
        <v>154</v>
      </c>
      <c r="G516" s="61"/>
      <c r="H516" s="61"/>
      <c r="I516" s="62" t="s">
        <v>617</v>
      </c>
      <c r="J516" s="53"/>
    </row>
    <row r="517" ht="24.75" hidden="1" customHeight="1">
      <c r="A517" s="54" t="s">
        <v>741</v>
      </c>
      <c r="B517" s="56" t="s">
        <v>756</v>
      </c>
      <c r="C517" s="56" t="s">
        <v>624</v>
      </c>
      <c r="D517" s="56" t="s">
        <v>752</v>
      </c>
      <c r="E517" s="56" t="s">
        <v>755</v>
      </c>
      <c r="F517" s="57" t="s">
        <v>154</v>
      </c>
      <c r="G517" s="61"/>
      <c r="H517" s="61"/>
      <c r="I517" s="62" t="s">
        <v>617</v>
      </c>
      <c r="J517" s="53"/>
    </row>
    <row r="518" ht="24.75" hidden="1" customHeight="1">
      <c r="A518" s="54" t="s">
        <v>741</v>
      </c>
      <c r="B518" s="56" t="s">
        <v>757</v>
      </c>
      <c r="C518" s="56" t="s">
        <v>627</v>
      </c>
      <c r="D518" s="56" t="s">
        <v>752</v>
      </c>
      <c r="E518" s="56" t="s">
        <v>753</v>
      </c>
      <c r="F518" s="57" t="s">
        <v>250</v>
      </c>
      <c r="G518" s="61"/>
      <c r="H518" s="61"/>
      <c r="I518" s="60" t="s">
        <v>88</v>
      </c>
      <c r="J518" s="53"/>
    </row>
    <row r="519" ht="24.75" hidden="1" customHeight="1">
      <c r="A519" s="54" t="s">
        <v>741</v>
      </c>
      <c r="B519" s="56" t="s">
        <v>757</v>
      </c>
      <c r="C519" s="56" t="s">
        <v>627</v>
      </c>
      <c r="D519" s="56" t="s">
        <v>752</v>
      </c>
      <c r="E519" s="56" t="s">
        <v>754</v>
      </c>
      <c r="F519" s="57" t="s">
        <v>250</v>
      </c>
      <c r="G519" s="61"/>
      <c r="H519" s="61"/>
      <c r="I519" s="60" t="s">
        <v>88</v>
      </c>
      <c r="J519" s="53"/>
    </row>
    <row r="520" ht="24.75" hidden="1" customHeight="1">
      <c r="A520" s="54" t="s">
        <v>741</v>
      </c>
      <c r="B520" s="56" t="s">
        <v>757</v>
      </c>
      <c r="C520" s="56" t="s">
        <v>627</v>
      </c>
      <c r="D520" s="56" t="s">
        <v>752</v>
      </c>
      <c r="E520" s="56" t="s">
        <v>755</v>
      </c>
      <c r="F520" s="57" t="s">
        <v>250</v>
      </c>
      <c r="G520" s="61"/>
      <c r="H520" s="61"/>
      <c r="I520" s="60" t="s">
        <v>88</v>
      </c>
      <c r="J520" s="53"/>
    </row>
    <row r="521" ht="24.75" hidden="1" customHeight="1">
      <c r="A521" s="54" t="s">
        <v>741</v>
      </c>
      <c r="B521" s="56" t="s">
        <v>758</v>
      </c>
      <c r="C521" s="56" t="s">
        <v>640</v>
      </c>
      <c r="D521" s="56" t="s">
        <v>752</v>
      </c>
      <c r="E521" s="56" t="s">
        <v>753</v>
      </c>
      <c r="F521" s="57" t="s">
        <v>250</v>
      </c>
      <c r="G521" s="61"/>
      <c r="H521" s="61"/>
      <c r="I521" s="60" t="s">
        <v>88</v>
      </c>
      <c r="J521" s="53"/>
    </row>
    <row r="522" ht="24.75" hidden="1" customHeight="1">
      <c r="A522" s="54" t="s">
        <v>741</v>
      </c>
      <c r="B522" s="56" t="s">
        <v>758</v>
      </c>
      <c r="C522" s="56" t="s">
        <v>640</v>
      </c>
      <c r="D522" s="56" t="s">
        <v>752</v>
      </c>
      <c r="E522" s="56" t="s">
        <v>754</v>
      </c>
      <c r="F522" s="57" t="s">
        <v>250</v>
      </c>
      <c r="G522" s="61"/>
      <c r="H522" s="61"/>
      <c r="I522" s="60" t="s">
        <v>88</v>
      </c>
      <c r="J522" s="53"/>
    </row>
    <row r="523" ht="24.75" hidden="1" customHeight="1">
      <c r="A523" s="54" t="s">
        <v>741</v>
      </c>
      <c r="B523" s="56" t="s">
        <v>758</v>
      </c>
      <c r="C523" s="56" t="s">
        <v>640</v>
      </c>
      <c r="D523" s="56" t="s">
        <v>752</v>
      </c>
      <c r="E523" s="56" t="s">
        <v>755</v>
      </c>
      <c r="F523" s="57" t="s">
        <v>250</v>
      </c>
      <c r="G523" s="61"/>
      <c r="H523" s="61"/>
      <c r="I523" s="60" t="s">
        <v>88</v>
      </c>
      <c r="J523" s="53"/>
    </row>
    <row r="524" ht="24.75" hidden="1" customHeight="1">
      <c r="A524" s="54" t="s">
        <v>741</v>
      </c>
      <c r="B524" s="56" t="s">
        <v>759</v>
      </c>
      <c r="C524" s="56" t="s">
        <v>645</v>
      </c>
      <c r="D524" s="56" t="s">
        <v>752</v>
      </c>
      <c r="E524" s="56" t="s">
        <v>753</v>
      </c>
      <c r="F524" s="57" t="s">
        <v>250</v>
      </c>
      <c r="G524" s="61"/>
      <c r="H524" s="61"/>
      <c r="I524" s="60" t="s">
        <v>88</v>
      </c>
      <c r="J524" s="53"/>
    </row>
    <row r="525" ht="24.75" hidden="1" customHeight="1">
      <c r="A525" s="54" t="s">
        <v>741</v>
      </c>
      <c r="B525" s="56" t="s">
        <v>759</v>
      </c>
      <c r="C525" s="56" t="s">
        <v>645</v>
      </c>
      <c r="D525" s="56" t="s">
        <v>752</v>
      </c>
      <c r="E525" s="56" t="s">
        <v>754</v>
      </c>
      <c r="F525" s="57" t="s">
        <v>250</v>
      </c>
      <c r="G525" s="61"/>
      <c r="H525" s="61"/>
      <c r="I525" s="60" t="s">
        <v>88</v>
      </c>
      <c r="J525" s="53"/>
    </row>
    <row r="526" ht="24.75" hidden="1" customHeight="1">
      <c r="A526" s="54" t="s">
        <v>741</v>
      </c>
      <c r="B526" s="56" t="s">
        <v>759</v>
      </c>
      <c r="C526" s="56" t="s">
        <v>645</v>
      </c>
      <c r="D526" s="56" t="s">
        <v>752</v>
      </c>
      <c r="E526" s="56" t="s">
        <v>755</v>
      </c>
      <c r="F526" s="57" t="s">
        <v>250</v>
      </c>
      <c r="G526" s="61"/>
      <c r="H526" s="61"/>
      <c r="I526" s="60" t="s">
        <v>88</v>
      </c>
      <c r="J526" s="53"/>
    </row>
    <row r="527" ht="24.75" hidden="1" customHeight="1">
      <c r="A527" s="54" t="s">
        <v>741</v>
      </c>
      <c r="B527" s="56" t="s">
        <v>760</v>
      </c>
      <c r="C527" s="56" t="s">
        <v>606</v>
      </c>
      <c r="D527" s="56" t="s">
        <v>752</v>
      </c>
      <c r="E527" s="56" t="s">
        <v>753</v>
      </c>
      <c r="F527" s="57" t="s">
        <v>250</v>
      </c>
      <c r="G527" s="61"/>
      <c r="H527" s="61"/>
      <c r="I527" s="60" t="s">
        <v>88</v>
      </c>
      <c r="J527" s="53"/>
    </row>
    <row r="528" ht="24.75" hidden="1" customHeight="1">
      <c r="A528" s="54" t="s">
        <v>741</v>
      </c>
      <c r="B528" s="56" t="s">
        <v>760</v>
      </c>
      <c r="C528" s="56" t="s">
        <v>606</v>
      </c>
      <c r="D528" s="56" t="s">
        <v>752</v>
      </c>
      <c r="E528" s="56" t="s">
        <v>754</v>
      </c>
      <c r="F528" s="57" t="s">
        <v>250</v>
      </c>
      <c r="G528" s="61"/>
      <c r="H528" s="61"/>
      <c r="I528" s="60" t="s">
        <v>88</v>
      </c>
      <c r="J528" s="53"/>
    </row>
    <row r="529" ht="24.75" hidden="1" customHeight="1">
      <c r="A529" s="54" t="s">
        <v>741</v>
      </c>
      <c r="B529" s="56" t="s">
        <v>760</v>
      </c>
      <c r="C529" s="56" t="s">
        <v>606</v>
      </c>
      <c r="D529" s="56" t="s">
        <v>752</v>
      </c>
      <c r="E529" s="56" t="s">
        <v>755</v>
      </c>
      <c r="F529" s="57" t="s">
        <v>250</v>
      </c>
      <c r="G529" s="61"/>
      <c r="H529" s="61"/>
      <c r="I529" s="60" t="s">
        <v>88</v>
      </c>
      <c r="J529" s="53"/>
    </row>
    <row r="530" ht="24.75" hidden="1" customHeight="1">
      <c r="A530" s="54" t="s">
        <v>761</v>
      </c>
      <c r="B530" s="56" t="s">
        <v>762</v>
      </c>
      <c r="C530" s="56" t="s">
        <v>763</v>
      </c>
      <c r="D530" s="56" t="s">
        <v>764</v>
      </c>
      <c r="E530" s="56" t="s">
        <v>195</v>
      </c>
      <c r="F530" s="57" t="s">
        <v>34</v>
      </c>
      <c r="G530" s="61"/>
      <c r="H530" s="61" t="s">
        <v>197</v>
      </c>
      <c r="I530" s="62"/>
      <c r="J530" s="53"/>
    </row>
    <row r="531" ht="24.75" hidden="1" customHeight="1">
      <c r="A531" s="54" t="s">
        <v>761</v>
      </c>
      <c r="B531" s="56" t="s">
        <v>762</v>
      </c>
      <c r="C531" s="56" t="s">
        <v>763</v>
      </c>
      <c r="D531" s="56" t="s">
        <v>764</v>
      </c>
      <c r="E531" s="56" t="s">
        <v>196</v>
      </c>
      <c r="F531" s="57" t="s">
        <v>250</v>
      </c>
      <c r="G531" s="61"/>
      <c r="H531" s="61" t="s">
        <v>200</v>
      </c>
      <c r="I531" s="62" t="s">
        <v>201</v>
      </c>
      <c r="J531" s="53"/>
    </row>
    <row r="532" ht="24.75" hidden="1" customHeight="1">
      <c r="A532" s="54" t="s">
        <v>761</v>
      </c>
      <c r="B532" s="56" t="s">
        <v>762</v>
      </c>
      <c r="C532" s="56" t="s">
        <v>763</v>
      </c>
      <c r="D532" s="56" t="s">
        <v>764</v>
      </c>
      <c r="E532" s="56" t="s">
        <v>191</v>
      </c>
      <c r="F532" s="57" t="s">
        <v>192</v>
      </c>
      <c r="G532" s="61"/>
      <c r="H532" s="61"/>
      <c r="I532" s="62"/>
      <c r="J532" s="53"/>
    </row>
    <row r="533" ht="24.75" hidden="1" customHeight="1">
      <c r="A533" s="54" t="s">
        <v>761</v>
      </c>
      <c r="B533" s="56" t="s">
        <v>762</v>
      </c>
      <c r="C533" s="56" t="s">
        <v>763</v>
      </c>
      <c r="D533" s="56" t="s">
        <v>764</v>
      </c>
      <c r="E533" s="56" t="s">
        <v>194</v>
      </c>
      <c r="F533" s="57" t="s">
        <v>192</v>
      </c>
      <c r="G533" s="61"/>
      <c r="H533" s="61"/>
      <c r="I533" s="62"/>
      <c r="J533" s="53"/>
    </row>
    <row r="534" ht="24.75" hidden="1" customHeight="1">
      <c r="A534" s="54" t="s">
        <v>761</v>
      </c>
      <c r="B534" s="56" t="s">
        <v>765</v>
      </c>
      <c r="C534" s="56" t="s">
        <v>766</v>
      </c>
      <c r="D534" s="56" t="s">
        <v>767</v>
      </c>
      <c r="E534" s="56" t="s">
        <v>768</v>
      </c>
      <c r="F534" s="57" t="s">
        <v>250</v>
      </c>
      <c r="G534" s="61"/>
      <c r="H534" s="61" t="s">
        <v>769</v>
      </c>
      <c r="I534" s="62" t="s">
        <v>770</v>
      </c>
      <c r="J534" s="53"/>
    </row>
    <row r="535" ht="24.75" hidden="1" customHeight="1">
      <c r="A535" s="54" t="s">
        <v>761</v>
      </c>
      <c r="B535" s="56" t="s">
        <v>765</v>
      </c>
      <c r="C535" s="56" t="s">
        <v>766</v>
      </c>
      <c r="D535" s="56" t="s">
        <v>767</v>
      </c>
      <c r="E535" s="56" t="s">
        <v>771</v>
      </c>
      <c r="F535" s="57" t="s">
        <v>250</v>
      </c>
      <c r="G535" s="61"/>
      <c r="H535" s="61" t="s">
        <v>769</v>
      </c>
      <c r="I535" s="62" t="s">
        <v>772</v>
      </c>
      <c r="J535" s="53"/>
    </row>
    <row r="536" ht="24.75" hidden="1" customHeight="1">
      <c r="A536" s="54" t="s">
        <v>761</v>
      </c>
      <c r="B536" s="56" t="s">
        <v>765</v>
      </c>
      <c r="C536" s="56" t="s">
        <v>766</v>
      </c>
      <c r="D536" s="56" t="s">
        <v>767</v>
      </c>
      <c r="E536" s="56" t="s">
        <v>773</v>
      </c>
      <c r="F536" s="57" t="s">
        <v>154</v>
      </c>
      <c r="G536" s="61"/>
      <c r="H536" s="61"/>
      <c r="I536" s="62"/>
      <c r="J536" s="53"/>
    </row>
    <row r="537" ht="24.75" hidden="1" customHeight="1">
      <c r="A537" s="54" t="s">
        <v>761</v>
      </c>
      <c r="B537" s="56" t="s">
        <v>765</v>
      </c>
      <c r="C537" s="56" t="s">
        <v>766</v>
      </c>
      <c r="D537" s="56" t="s">
        <v>767</v>
      </c>
      <c r="E537" s="56" t="s">
        <v>774</v>
      </c>
      <c r="F537" s="57" t="s">
        <v>154</v>
      </c>
      <c r="G537" s="61"/>
      <c r="H537" s="61"/>
      <c r="I537" s="62"/>
      <c r="J537" s="53"/>
    </row>
    <row r="538" ht="24.75" hidden="1" customHeight="1">
      <c r="A538" s="54" t="s">
        <v>761</v>
      </c>
      <c r="B538" s="56" t="s">
        <v>765</v>
      </c>
      <c r="C538" s="56" t="s">
        <v>766</v>
      </c>
      <c r="D538" s="56" t="s">
        <v>767</v>
      </c>
      <c r="E538" s="56" t="s">
        <v>775</v>
      </c>
      <c r="F538" s="57" t="s">
        <v>154</v>
      </c>
      <c r="G538" s="61"/>
      <c r="H538" s="61"/>
      <c r="I538" s="62"/>
      <c r="J538" s="53"/>
    </row>
    <row r="539" ht="24.75" hidden="1" customHeight="1">
      <c r="A539" s="54" t="s">
        <v>761</v>
      </c>
      <c r="B539" s="56" t="s">
        <v>765</v>
      </c>
      <c r="C539" s="56" t="s">
        <v>766</v>
      </c>
      <c r="D539" s="56" t="s">
        <v>776</v>
      </c>
      <c r="E539" s="56" t="s">
        <v>777</v>
      </c>
      <c r="F539" s="57" t="s">
        <v>15</v>
      </c>
      <c r="G539" s="61"/>
      <c r="H539" s="61"/>
      <c r="I539" s="60"/>
      <c r="J539" s="53"/>
    </row>
    <row r="540" ht="24.75" hidden="1" customHeight="1">
      <c r="A540" s="54" t="s">
        <v>761</v>
      </c>
      <c r="B540" s="56" t="s">
        <v>765</v>
      </c>
      <c r="C540" s="56" t="s">
        <v>766</v>
      </c>
      <c r="D540" s="56" t="s">
        <v>776</v>
      </c>
      <c r="E540" s="56" t="s">
        <v>778</v>
      </c>
      <c r="F540" s="57" t="s">
        <v>15</v>
      </c>
      <c r="G540" s="61"/>
      <c r="H540" s="61"/>
      <c r="I540" s="60"/>
      <c r="J540" s="53"/>
    </row>
    <row r="541" ht="24.75" hidden="1" customHeight="1">
      <c r="A541" s="54" t="s">
        <v>761</v>
      </c>
      <c r="B541" s="56" t="s">
        <v>779</v>
      </c>
      <c r="C541" s="56" t="s">
        <v>780</v>
      </c>
      <c r="D541" s="56" t="s">
        <v>781</v>
      </c>
      <c r="E541" s="56" t="s">
        <v>232</v>
      </c>
      <c r="F541" s="57" t="s">
        <v>250</v>
      </c>
      <c r="G541" s="61"/>
      <c r="H541" s="61" t="s">
        <v>769</v>
      </c>
      <c r="I541" s="62" t="s">
        <v>782</v>
      </c>
      <c r="J541" s="83"/>
    </row>
    <row r="542" ht="24.75" hidden="1" customHeight="1">
      <c r="A542" s="54" t="s">
        <v>761</v>
      </c>
      <c r="B542" s="56" t="s">
        <v>779</v>
      </c>
      <c r="C542" s="56" t="s">
        <v>780</v>
      </c>
      <c r="D542" s="56" t="s">
        <v>781</v>
      </c>
      <c r="E542" s="56" t="s">
        <v>783</v>
      </c>
      <c r="F542" s="57" t="s">
        <v>154</v>
      </c>
      <c r="G542" s="61"/>
      <c r="H542" s="61"/>
      <c r="I542" s="62"/>
      <c r="J542" s="53"/>
    </row>
    <row r="543" ht="24.75" hidden="1" customHeight="1">
      <c r="A543" s="54" t="s">
        <v>761</v>
      </c>
      <c r="B543" s="56" t="s">
        <v>779</v>
      </c>
      <c r="C543" s="56" t="s">
        <v>780</v>
      </c>
      <c r="D543" s="56" t="s">
        <v>781</v>
      </c>
      <c r="E543" s="56" t="s">
        <v>230</v>
      </c>
      <c r="F543" s="57" t="s">
        <v>154</v>
      </c>
      <c r="G543" s="61"/>
      <c r="H543" s="61"/>
      <c r="I543" s="62"/>
      <c r="J543" s="83"/>
    </row>
    <row r="544" ht="24.75" hidden="1" customHeight="1">
      <c r="A544" s="54" t="s">
        <v>761</v>
      </c>
      <c r="B544" s="56" t="s">
        <v>784</v>
      </c>
      <c r="C544" s="56" t="s">
        <v>763</v>
      </c>
      <c r="D544" s="56" t="s">
        <v>785</v>
      </c>
      <c r="E544" s="56" t="s">
        <v>216</v>
      </c>
      <c r="F544" s="57" t="s">
        <v>34</v>
      </c>
      <c r="G544" s="61"/>
      <c r="H544" s="61"/>
      <c r="I544" s="62"/>
      <c r="J544" s="53"/>
    </row>
    <row r="545" ht="24.75" hidden="1" customHeight="1">
      <c r="A545" s="54" t="s">
        <v>761</v>
      </c>
      <c r="B545" s="56" t="s">
        <v>784</v>
      </c>
      <c r="C545" s="56" t="s">
        <v>763</v>
      </c>
      <c r="D545" s="56" t="s">
        <v>785</v>
      </c>
      <c r="E545" s="56" t="s">
        <v>786</v>
      </c>
      <c r="F545" s="57" t="s">
        <v>34</v>
      </c>
      <c r="G545" s="61"/>
      <c r="H545" s="61"/>
      <c r="I545" s="62"/>
      <c r="J545" s="53"/>
    </row>
    <row r="546" ht="24.75" hidden="1" customHeight="1">
      <c r="A546" s="54" t="s">
        <v>761</v>
      </c>
      <c r="B546" s="56" t="s">
        <v>784</v>
      </c>
      <c r="C546" s="56" t="s">
        <v>763</v>
      </c>
      <c r="D546" s="56" t="s">
        <v>787</v>
      </c>
      <c r="E546" s="56" t="s">
        <v>163</v>
      </c>
      <c r="F546" s="57" t="s">
        <v>34</v>
      </c>
      <c r="G546" s="61"/>
      <c r="H546" s="61"/>
      <c r="I546" s="62"/>
      <c r="J546" s="53"/>
    </row>
    <row r="547" ht="24.75" hidden="1" customHeight="1">
      <c r="A547" s="54" t="s">
        <v>761</v>
      </c>
      <c r="B547" s="56" t="s">
        <v>784</v>
      </c>
      <c r="C547" s="56" t="s">
        <v>763</v>
      </c>
      <c r="D547" s="56" t="s">
        <v>787</v>
      </c>
      <c r="E547" s="56" t="s">
        <v>788</v>
      </c>
      <c r="F547" s="57" t="s">
        <v>154</v>
      </c>
      <c r="G547" s="61"/>
      <c r="H547" s="61"/>
      <c r="I547" s="62"/>
      <c r="J547" s="53"/>
    </row>
    <row r="548" ht="24.75" hidden="1" customHeight="1">
      <c r="A548" s="54" t="s">
        <v>761</v>
      </c>
      <c r="B548" s="56" t="s">
        <v>784</v>
      </c>
      <c r="C548" s="56" t="s">
        <v>763</v>
      </c>
      <c r="D548" s="56" t="s">
        <v>787</v>
      </c>
      <c r="E548" s="56" t="s">
        <v>213</v>
      </c>
      <c r="F548" s="57"/>
      <c r="G548" s="50"/>
      <c r="H548" s="50"/>
      <c r="I548" s="84"/>
      <c r="J548" s="53"/>
    </row>
    <row r="549" ht="24.75" hidden="1" customHeight="1">
      <c r="A549" s="54" t="s">
        <v>761</v>
      </c>
      <c r="B549" s="56" t="s">
        <v>784</v>
      </c>
      <c r="C549" s="56" t="s">
        <v>763</v>
      </c>
      <c r="D549" s="56" t="s">
        <v>789</v>
      </c>
      <c r="E549" s="56" t="s">
        <v>790</v>
      </c>
      <c r="F549" s="57" t="s">
        <v>250</v>
      </c>
      <c r="G549" s="61"/>
      <c r="H549" s="61"/>
      <c r="I549" s="62"/>
      <c r="J549" s="53"/>
    </row>
    <row r="550" ht="24.75" hidden="1" customHeight="1">
      <c r="A550" s="54" t="s">
        <v>761</v>
      </c>
      <c r="B550" s="56" t="s">
        <v>791</v>
      </c>
      <c r="C550" s="56" t="s">
        <v>792</v>
      </c>
      <c r="D550" s="56" t="s">
        <v>793</v>
      </c>
      <c r="E550" s="56" t="s">
        <v>794</v>
      </c>
      <c r="F550" s="57" t="s">
        <v>154</v>
      </c>
      <c r="G550" s="61"/>
      <c r="H550" s="61"/>
      <c r="I550" s="62"/>
      <c r="J550" s="53"/>
    </row>
    <row r="551" ht="24.75" hidden="1" customHeight="1">
      <c r="A551" s="54" t="s">
        <v>761</v>
      </c>
      <c r="B551" s="56" t="s">
        <v>795</v>
      </c>
      <c r="C551" s="56" t="s">
        <v>792</v>
      </c>
      <c r="D551" s="56" t="s">
        <v>796</v>
      </c>
      <c r="E551" s="56" t="s">
        <v>797</v>
      </c>
      <c r="F551" s="57" t="s">
        <v>250</v>
      </c>
      <c r="G551" s="81"/>
      <c r="H551" s="61" t="s">
        <v>769</v>
      </c>
      <c r="I551" s="62" t="s">
        <v>800</v>
      </c>
      <c r="J551" s="53"/>
    </row>
    <row r="552" ht="24.75" hidden="1" customHeight="1">
      <c r="A552" s="54" t="s">
        <v>761</v>
      </c>
      <c r="B552" s="56" t="s">
        <v>798</v>
      </c>
      <c r="C552" s="56" t="s">
        <v>792</v>
      </c>
      <c r="D552" s="56" t="s">
        <v>799</v>
      </c>
      <c r="E552" s="56" t="s">
        <v>790</v>
      </c>
      <c r="F552" s="57" t="s">
        <v>250</v>
      </c>
      <c r="G552" s="61"/>
      <c r="H552" s="61" t="s">
        <v>769</v>
      </c>
      <c r="I552" s="62" t="s">
        <v>803</v>
      </c>
      <c r="J552" s="53"/>
    </row>
    <row r="553" ht="24.75" hidden="1" customHeight="1">
      <c r="A553" s="54" t="s">
        <v>761</v>
      </c>
      <c r="B553" s="56" t="s">
        <v>801</v>
      </c>
      <c r="C553" s="56" t="s">
        <v>792</v>
      </c>
      <c r="D553" s="56" t="s">
        <v>802</v>
      </c>
      <c r="E553" s="56" t="s">
        <v>790</v>
      </c>
      <c r="F553" s="57" t="s">
        <v>250</v>
      </c>
      <c r="G553" s="61"/>
      <c r="H553" s="61" t="s">
        <v>769</v>
      </c>
      <c r="I553" s="62" t="s">
        <v>806</v>
      </c>
      <c r="J553" s="53"/>
    </row>
    <row r="554" ht="24.75" hidden="1" customHeight="1">
      <c r="A554" s="54" t="s">
        <v>761</v>
      </c>
      <c r="B554" s="56" t="s">
        <v>804</v>
      </c>
      <c r="C554" s="56" t="s">
        <v>792</v>
      </c>
      <c r="D554" s="56" t="s">
        <v>805</v>
      </c>
      <c r="E554" s="56" t="s">
        <v>790</v>
      </c>
      <c r="F554" s="57" t="s">
        <v>250</v>
      </c>
      <c r="G554" s="61"/>
      <c r="H554" s="61" t="s">
        <v>769</v>
      </c>
      <c r="I554" s="62" t="s">
        <v>810</v>
      </c>
      <c r="J554" s="53"/>
    </row>
    <row r="555" ht="24.75" hidden="1" customHeight="1">
      <c r="A555" s="54" t="s">
        <v>761</v>
      </c>
      <c r="B555" s="56" t="s">
        <v>807</v>
      </c>
      <c r="C555" s="56" t="s">
        <v>792</v>
      </c>
      <c r="D555" s="56" t="s">
        <v>808</v>
      </c>
      <c r="E555" s="56" t="s">
        <v>790</v>
      </c>
      <c r="F555" s="57" t="s">
        <v>250</v>
      </c>
      <c r="G555" s="61"/>
      <c r="H555" s="61" t="s">
        <v>769</v>
      </c>
      <c r="I555" s="62" t="s">
        <v>806</v>
      </c>
      <c r="J555" s="53"/>
    </row>
    <row r="556" ht="24.75" hidden="1" customHeight="1">
      <c r="A556" s="54" t="s">
        <v>761</v>
      </c>
      <c r="B556" s="56" t="s">
        <v>807</v>
      </c>
      <c r="C556" s="56" t="s">
        <v>792</v>
      </c>
      <c r="D556" s="56" t="s">
        <v>809</v>
      </c>
      <c r="E556" s="56" t="s">
        <v>790</v>
      </c>
      <c r="F556" s="57" t="s">
        <v>250</v>
      </c>
      <c r="G556" s="61"/>
      <c r="H556" s="61" t="s">
        <v>769</v>
      </c>
      <c r="I556" s="62" t="s">
        <v>806</v>
      </c>
      <c r="J556" s="53"/>
    </row>
    <row r="557" ht="24.75" hidden="1" customHeight="1">
      <c r="A557" s="54" t="s">
        <v>761</v>
      </c>
      <c r="B557" s="56" t="s">
        <v>811</v>
      </c>
      <c r="C557" s="56" t="s">
        <v>792</v>
      </c>
      <c r="D557" s="56" t="s">
        <v>812</v>
      </c>
      <c r="E557" s="56" t="s">
        <v>790</v>
      </c>
      <c r="F557" s="57" t="s">
        <v>250</v>
      </c>
      <c r="G557" s="61"/>
      <c r="H557" s="61" t="s">
        <v>769</v>
      </c>
      <c r="I557" s="62" t="s">
        <v>806</v>
      </c>
      <c r="J557" s="53"/>
    </row>
    <row r="558" ht="24.75" hidden="1" customHeight="1">
      <c r="A558" s="54" t="s">
        <v>761</v>
      </c>
      <c r="B558" s="56" t="s">
        <v>813</v>
      </c>
      <c r="C558" s="56" t="s">
        <v>792</v>
      </c>
      <c r="D558" s="56" t="s">
        <v>814</v>
      </c>
      <c r="E558" s="56" t="s">
        <v>790</v>
      </c>
      <c r="F558" s="57" t="s">
        <v>250</v>
      </c>
      <c r="G558" s="61"/>
      <c r="H558" s="61" t="s">
        <v>769</v>
      </c>
      <c r="I558" s="62" t="s">
        <v>810</v>
      </c>
      <c r="J558" s="53"/>
    </row>
    <row r="559" ht="24.75" hidden="1" customHeight="1">
      <c r="A559" s="54" t="s">
        <v>761</v>
      </c>
      <c r="B559" s="56" t="s">
        <v>815</v>
      </c>
      <c r="C559" s="56" t="s">
        <v>792</v>
      </c>
      <c r="D559" s="56" t="s">
        <v>816</v>
      </c>
      <c r="E559" s="56" t="s">
        <v>790</v>
      </c>
      <c r="F559" s="57" t="s">
        <v>250</v>
      </c>
      <c r="G559" s="61"/>
      <c r="H559" s="61" t="s">
        <v>769</v>
      </c>
      <c r="I559" s="62" t="s">
        <v>806</v>
      </c>
      <c r="J559" s="53"/>
    </row>
    <row r="560" ht="24.75" hidden="1" customHeight="1">
      <c r="A560" s="54" t="s">
        <v>761</v>
      </c>
      <c r="B560" s="56" t="s">
        <v>815</v>
      </c>
      <c r="C560" s="104" t="s">
        <v>792</v>
      </c>
      <c r="D560" s="56" t="s">
        <v>816</v>
      </c>
      <c r="E560" s="56" t="s">
        <v>817</v>
      </c>
      <c r="F560" s="57" t="s">
        <v>250</v>
      </c>
      <c r="G560" s="61"/>
      <c r="H560" s="61" t="s">
        <v>769</v>
      </c>
      <c r="I560" s="62" t="s">
        <v>823</v>
      </c>
      <c r="J560" s="53"/>
    </row>
    <row r="561" ht="24.75" hidden="1" customHeight="1">
      <c r="A561" s="54" t="s">
        <v>761</v>
      </c>
      <c r="B561" s="56" t="s">
        <v>818</v>
      </c>
      <c r="C561" s="104" t="s">
        <v>792</v>
      </c>
      <c r="D561" s="56" t="s">
        <v>819</v>
      </c>
      <c r="E561" s="56" t="s">
        <v>790</v>
      </c>
      <c r="F561" s="57" t="s">
        <v>250</v>
      </c>
      <c r="G561" s="61"/>
      <c r="H561" s="61" t="s">
        <v>769</v>
      </c>
      <c r="I561" s="62" t="s">
        <v>806</v>
      </c>
      <c r="J561" s="53"/>
    </row>
    <row r="562" ht="24.75" hidden="1" customHeight="1">
      <c r="A562" s="54" t="s">
        <v>761</v>
      </c>
      <c r="B562" s="56" t="s">
        <v>818</v>
      </c>
      <c r="C562" s="104" t="s">
        <v>792</v>
      </c>
      <c r="D562" s="56" t="s">
        <v>820</v>
      </c>
      <c r="E562" s="56" t="s">
        <v>817</v>
      </c>
      <c r="F562" s="57" t="s">
        <v>250</v>
      </c>
      <c r="G562" s="61"/>
      <c r="H562" s="61" t="s">
        <v>769</v>
      </c>
      <c r="I562" s="62" t="s">
        <v>823</v>
      </c>
      <c r="J562" s="53"/>
    </row>
    <row r="563" ht="24.75" hidden="1" customHeight="1">
      <c r="A563" s="54" t="s">
        <v>761</v>
      </c>
      <c r="B563" s="56" t="s">
        <v>818</v>
      </c>
      <c r="C563" s="104" t="s">
        <v>792</v>
      </c>
      <c r="D563" s="56" t="s">
        <v>821</v>
      </c>
      <c r="E563" s="56" t="s">
        <v>817</v>
      </c>
      <c r="F563" s="57" t="s">
        <v>250</v>
      </c>
      <c r="G563" s="61"/>
      <c r="H563" s="61" t="s">
        <v>769</v>
      </c>
      <c r="I563" s="62" t="s">
        <v>823</v>
      </c>
      <c r="J563" s="53"/>
    </row>
    <row r="564" ht="24.75" hidden="1" customHeight="1">
      <c r="A564" s="54" t="s">
        <v>761</v>
      </c>
      <c r="B564" s="56" t="s">
        <v>818</v>
      </c>
      <c r="C564" s="104" t="s">
        <v>792</v>
      </c>
      <c r="D564" s="56" t="s">
        <v>822</v>
      </c>
      <c r="E564" s="56" t="s">
        <v>790</v>
      </c>
      <c r="F564" s="57" t="s">
        <v>250</v>
      </c>
      <c r="G564" s="61"/>
      <c r="H564" s="61" t="s">
        <v>769</v>
      </c>
      <c r="I564" s="62" t="s">
        <v>823</v>
      </c>
      <c r="J564" s="53"/>
    </row>
    <row r="565" ht="24.75" hidden="1" customHeight="1">
      <c r="A565" s="54" t="s">
        <v>761</v>
      </c>
      <c r="B565" s="56" t="s">
        <v>791</v>
      </c>
      <c r="C565" s="104" t="s">
        <v>792</v>
      </c>
      <c r="D565" s="56" t="s">
        <v>793</v>
      </c>
      <c r="E565" s="56" t="s">
        <v>824</v>
      </c>
      <c r="F565" s="57" t="s">
        <v>192</v>
      </c>
      <c r="G565" s="61"/>
      <c r="H565" s="61"/>
      <c r="I565" s="62"/>
      <c r="J565" s="53"/>
    </row>
    <row r="566" ht="24.75" hidden="1" customHeight="1">
      <c r="A566" s="54" t="s">
        <v>761</v>
      </c>
      <c r="B566" s="56" t="s">
        <v>825</v>
      </c>
      <c r="C566" s="56" t="s">
        <v>792</v>
      </c>
      <c r="D566" s="56" t="s">
        <v>826</v>
      </c>
      <c r="E566" s="56" t="s">
        <v>794</v>
      </c>
      <c r="F566" s="57" t="s">
        <v>154</v>
      </c>
      <c r="G566" s="61"/>
      <c r="H566" s="61"/>
      <c r="I566" s="62"/>
      <c r="J566" s="53"/>
    </row>
    <row r="567" ht="24.75" hidden="1" customHeight="1">
      <c r="A567" s="54" t="s">
        <v>761</v>
      </c>
      <c r="B567" s="56" t="s">
        <v>825</v>
      </c>
      <c r="C567" s="56" t="s">
        <v>792</v>
      </c>
      <c r="D567" s="56" t="s">
        <v>826</v>
      </c>
      <c r="E567" s="56" t="s">
        <v>824</v>
      </c>
      <c r="F567" s="57" t="s">
        <v>192</v>
      </c>
      <c r="G567" s="61"/>
      <c r="H567" s="61"/>
      <c r="I567" s="62"/>
      <c r="J567" s="53"/>
    </row>
    <row r="568" ht="24.75" hidden="1" customHeight="1">
      <c r="A568" s="54" t="s">
        <v>761</v>
      </c>
      <c r="B568" s="56" t="s">
        <v>827</v>
      </c>
      <c r="C568" s="56" t="s">
        <v>792</v>
      </c>
      <c r="D568" s="56" t="s">
        <v>828</v>
      </c>
      <c r="E568" s="56" t="s">
        <v>830</v>
      </c>
      <c r="F568" s="57" t="s">
        <v>154</v>
      </c>
      <c r="G568" s="61"/>
      <c r="H568" s="61"/>
      <c r="I568" s="62"/>
      <c r="J568" s="53"/>
    </row>
    <row r="569" ht="24.75" hidden="1" customHeight="1">
      <c r="A569" s="54" t="s">
        <v>831</v>
      </c>
      <c r="B569" s="56" t="s">
        <v>832</v>
      </c>
      <c r="C569" s="56" t="s">
        <v>833</v>
      </c>
      <c r="D569" s="56" t="s">
        <v>834</v>
      </c>
      <c r="E569" s="56" t="s">
        <v>111</v>
      </c>
      <c r="F569" s="57" t="s">
        <v>34</v>
      </c>
      <c r="G569" s="61"/>
      <c r="H569" s="61"/>
      <c r="I569" s="62"/>
      <c r="J569" s="53"/>
    </row>
    <row r="570" ht="24.75" hidden="1" customHeight="1">
      <c r="A570" s="54" t="s">
        <v>831</v>
      </c>
      <c r="B570" s="56" t="s">
        <v>832</v>
      </c>
      <c r="C570" s="56" t="s">
        <v>833</v>
      </c>
      <c r="D570" s="56" t="s">
        <v>834</v>
      </c>
      <c r="E570" s="56" t="s">
        <v>835</v>
      </c>
      <c r="F570" s="57" t="s">
        <v>34</v>
      </c>
      <c r="G570" s="61"/>
      <c r="H570" s="61"/>
      <c r="I570" s="62"/>
      <c r="J570" s="53"/>
    </row>
    <row r="571" ht="24.75" hidden="1" customHeight="1">
      <c r="A571" s="54" t="s">
        <v>831</v>
      </c>
      <c r="B571" s="56" t="s">
        <v>832</v>
      </c>
      <c r="C571" s="56" t="s">
        <v>833</v>
      </c>
      <c r="D571" s="56" t="s">
        <v>834</v>
      </c>
      <c r="E571" s="56" t="s">
        <v>836</v>
      </c>
      <c r="F571" s="57" t="s">
        <v>250</v>
      </c>
      <c r="G571" s="61"/>
      <c r="H571" s="61" t="s">
        <v>159</v>
      </c>
      <c r="I571" s="62" t="s">
        <v>160</v>
      </c>
      <c r="J571" s="53"/>
    </row>
    <row r="572" ht="24.75" hidden="1" customHeight="1">
      <c r="A572" s="54" t="s">
        <v>831</v>
      </c>
      <c r="B572" s="56" t="s">
        <v>837</v>
      </c>
      <c r="C572" s="56" t="s">
        <v>838</v>
      </c>
      <c r="D572" s="56" t="s">
        <v>839</v>
      </c>
      <c r="E572" s="56" t="s">
        <v>771</v>
      </c>
      <c r="F572" s="57" t="s">
        <v>250</v>
      </c>
      <c r="G572" s="61"/>
      <c r="H572" s="61" t="s">
        <v>159</v>
      </c>
      <c r="I572" s="62" t="s">
        <v>772</v>
      </c>
      <c r="J572" s="53"/>
    </row>
    <row r="573" ht="24.75" hidden="1" customHeight="1">
      <c r="A573" s="54" t="s">
        <v>831</v>
      </c>
      <c r="B573" s="56" t="s">
        <v>837</v>
      </c>
      <c r="C573" s="56" t="s">
        <v>838</v>
      </c>
      <c r="D573" s="56" t="s">
        <v>839</v>
      </c>
      <c r="E573" s="56" t="s">
        <v>768</v>
      </c>
      <c r="F573" s="57" t="s">
        <v>250</v>
      </c>
      <c r="G573" s="61"/>
      <c r="H573" s="61" t="s">
        <v>592</v>
      </c>
      <c r="I573" s="62" t="s">
        <v>770</v>
      </c>
      <c r="J573" s="53"/>
    </row>
    <row r="574" ht="24.75" hidden="1" customHeight="1">
      <c r="A574" s="54" t="s">
        <v>831</v>
      </c>
      <c r="B574" s="56" t="s">
        <v>837</v>
      </c>
      <c r="C574" s="56" t="s">
        <v>838</v>
      </c>
      <c r="D574" s="56" t="s">
        <v>839</v>
      </c>
      <c r="E574" s="56" t="s">
        <v>773</v>
      </c>
      <c r="F574" s="57" t="s">
        <v>154</v>
      </c>
      <c r="G574" s="61"/>
      <c r="H574" s="61"/>
      <c r="I574" s="62"/>
      <c r="J574" s="53"/>
    </row>
    <row r="575" ht="24.75" hidden="1" customHeight="1">
      <c r="A575" s="54" t="s">
        <v>831</v>
      </c>
      <c r="B575" s="56" t="s">
        <v>837</v>
      </c>
      <c r="C575" s="56" t="s">
        <v>838</v>
      </c>
      <c r="D575" s="56" t="s">
        <v>839</v>
      </c>
      <c r="E575" s="56" t="s">
        <v>841</v>
      </c>
      <c r="F575" s="57" t="s">
        <v>154</v>
      </c>
      <c r="G575" s="61"/>
      <c r="H575" s="61"/>
      <c r="I575" s="62"/>
      <c r="J575" s="53"/>
    </row>
    <row r="576" ht="24.75" hidden="1" customHeight="1">
      <c r="A576" s="54" t="s">
        <v>831</v>
      </c>
      <c r="B576" s="56" t="s">
        <v>837</v>
      </c>
      <c r="C576" s="56" t="s">
        <v>838</v>
      </c>
      <c r="D576" s="56" t="s">
        <v>839</v>
      </c>
      <c r="E576" s="56" t="s">
        <v>777</v>
      </c>
      <c r="F576" s="57" t="s">
        <v>15</v>
      </c>
      <c r="G576" s="61"/>
      <c r="H576" s="61"/>
      <c r="I576" s="60"/>
      <c r="J576" s="53"/>
    </row>
    <row r="577" ht="24.75" hidden="1" customHeight="1">
      <c r="A577" s="54" t="s">
        <v>831</v>
      </c>
      <c r="B577" s="56" t="s">
        <v>837</v>
      </c>
      <c r="C577" s="56" t="s">
        <v>838</v>
      </c>
      <c r="D577" s="56" t="s">
        <v>839</v>
      </c>
      <c r="E577" s="56" t="s">
        <v>778</v>
      </c>
      <c r="F577" s="57" t="s">
        <v>15</v>
      </c>
      <c r="G577" s="61"/>
      <c r="H577" s="61"/>
      <c r="I577" s="60"/>
      <c r="J577" s="53"/>
    </row>
    <row r="578" ht="24.75" hidden="1" customHeight="1">
      <c r="A578" s="54" t="s">
        <v>831</v>
      </c>
      <c r="B578" s="56" t="s">
        <v>842</v>
      </c>
      <c r="C578" s="56" t="s">
        <v>838</v>
      </c>
      <c r="D578" s="56" t="s">
        <v>843</v>
      </c>
      <c r="E578" s="56" t="s">
        <v>111</v>
      </c>
      <c r="F578" s="57" t="s">
        <v>154</v>
      </c>
      <c r="G578" s="61"/>
      <c r="H578" s="61"/>
      <c r="I578" s="62"/>
      <c r="J578" s="53"/>
    </row>
    <row r="579" ht="24.75" hidden="1" customHeight="1">
      <c r="A579" s="54" t="s">
        <v>831</v>
      </c>
      <c r="B579" s="56" t="s">
        <v>842</v>
      </c>
      <c r="C579" s="56" t="s">
        <v>838</v>
      </c>
      <c r="D579" s="56" t="s">
        <v>843</v>
      </c>
      <c r="E579" s="56" t="s">
        <v>844</v>
      </c>
      <c r="F579" s="57" t="s">
        <v>154</v>
      </c>
      <c r="G579" s="61"/>
      <c r="H579" s="61"/>
      <c r="I579" s="62"/>
      <c r="J579" s="53"/>
    </row>
    <row r="580" ht="24.75" hidden="1" customHeight="1">
      <c r="A580" s="54" t="s">
        <v>831</v>
      </c>
      <c r="B580" s="56" t="s">
        <v>842</v>
      </c>
      <c r="C580" s="56" t="s">
        <v>838</v>
      </c>
      <c r="D580" s="56" t="s">
        <v>843</v>
      </c>
      <c r="E580" s="56" t="s">
        <v>797</v>
      </c>
      <c r="F580" s="57" t="s">
        <v>250</v>
      </c>
      <c r="G580" s="61"/>
      <c r="H580" s="61" t="s">
        <v>592</v>
      </c>
      <c r="I580" s="62" t="s">
        <v>855</v>
      </c>
      <c r="J580" s="53"/>
    </row>
    <row r="581" ht="24.75" hidden="1" customHeight="1">
      <c r="A581" s="54" t="s">
        <v>831</v>
      </c>
      <c r="B581" s="56" t="s">
        <v>845</v>
      </c>
      <c r="C581" s="56" t="s">
        <v>838</v>
      </c>
      <c r="D581" s="56" t="s">
        <v>846</v>
      </c>
      <c r="E581" s="56" t="s">
        <v>771</v>
      </c>
      <c r="F581" s="57" t="s">
        <v>250</v>
      </c>
      <c r="G581" s="61"/>
      <c r="H581" s="61" t="s">
        <v>159</v>
      </c>
      <c r="I581" s="62" t="s">
        <v>772</v>
      </c>
      <c r="J581" s="53"/>
    </row>
    <row r="582" ht="24.75" hidden="1" customHeight="1">
      <c r="A582" s="54" t="s">
        <v>831</v>
      </c>
      <c r="B582" s="56" t="s">
        <v>845</v>
      </c>
      <c r="C582" s="56" t="s">
        <v>838</v>
      </c>
      <c r="D582" s="56" t="s">
        <v>846</v>
      </c>
      <c r="E582" s="56" t="s">
        <v>768</v>
      </c>
      <c r="F582" s="57" t="s">
        <v>250</v>
      </c>
      <c r="G582" s="61"/>
      <c r="H582" s="61" t="s">
        <v>592</v>
      </c>
      <c r="I582" s="62" t="s">
        <v>770</v>
      </c>
      <c r="J582" s="53"/>
    </row>
    <row r="583" ht="24.75" hidden="1" customHeight="1">
      <c r="A583" s="54" t="s">
        <v>831</v>
      </c>
      <c r="B583" s="56" t="s">
        <v>845</v>
      </c>
      <c r="C583" s="56" t="s">
        <v>838</v>
      </c>
      <c r="D583" s="56" t="s">
        <v>846</v>
      </c>
      <c r="E583" s="56" t="s">
        <v>773</v>
      </c>
      <c r="F583" s="57" t="s">
        <v>154</v>
      </c>
      <c r="G583" s="61"/>
      <c r="H583" s="61"/>
      <c r="I583" s="62"/>
      <c r="J583" s="53"/>
    </row>
    <row r="584" ht="24.75" hidden="1" customHeight="1">
      <c r="A584" s="54" t="s">
        <v>831</v>
      </c>
      <c r="B584" s="56" t="s">
        <v>845</v>
      </c>
      <c r="C584" s="56" t="s">
        <v>838</v>
      </c>
      <c r="D584" s="56" t="s">
        <v>846</v>
      </c>
      <c r="E584" s="56" t="s">
        <v>841</v>
      </c>
      <c r="F584" s="57" t="s">
        <v>154</v>
      </c>
      <c r="G584" s="61"/>
      <c r="H584" s="61"/>
      <c r="I584" s="62"/>
      <c r="J584" s="53"/>
    </row>
    <row r="585" ht="24.75" hidden="1" customHeight="1">
      <c r="A585" s="54" t="s">
        <v>831</v>
      </c>
      <c r="B585" s="56" t="s">
        <v>845</v>
      </c>
      <c r="C585" s="56" t="s">
        <v>838</v>
      </c>
      <c r="D585" s="56" t="s">
        <v>846</v>
      </c>
      <c r="E585" s="56" t="s">
        <v>777</v>
      </c>
      <c r="F585" s="57" t="s">
        <v>15</v>
      </c>
      <c r="G585" s="61"/>
      <c r="H585" s="61"/>
      <c r="I585" s="60"/>
      <c r="J585" s="53"/>
    </row>
    <row r="586" ht="24.75" hidden="1" customHeight="1">
      <c r="A586" s="54" t="s">
        <v>831</v>
      </c>
      <c r="B586" s="56" t="s">
        <v>845</v>
      </c>
      <c r="C586" s="56" t="s">
        <v>838</v>
      </c>
      <c r="D586" s="56" t="s">
        <v>846</v>
      </c>
      <c r="E586" s="56" t="s">
        <v>778</v>
      </c>
      <c r="F586" s="57" t="s">
        <v>15</v>
      </c>
      <c r="G586" s="61"/>
      <c r="H586" s="61"/>
      <c r="I586" s="60"/>
      <c r="J586" s="53"/>
    </row>
    <row r="587" ht="24.75" hidden="1" customHeight="1">
      <c r="A587" s="54" t="s">
        <v>831</v>
      </c>
      <c r="B587" s="56" t="s">
        <v>847</v>
      </c>
      <c r="C587" s="56" t="s">
        <v>838</v>
      </c>
      <c r="D587" s="56" t="s">
        <v>848</v>
      </c>
      <c r="E587" s="56" t="s">
        <v>111</v>
      </c>
      <c r="F587" s="57" t="s">
        <v>154</v>
      </c>
      <c r="G587" s="61"/>
      <c r="H587" s="61"/>
      <c r="I587" s="62"/>
      <c r="J587" s="53"/>
    </row>
    <row r="588" ht="24.75" hidden="1" customHeight="1">
      <c r="A588" s="54" t="s">
        <v>831</v>
      </c>
      <c r="B588" s="56" t="s">
        <v>847</v>
      </c>
      <c r="C588" s="56" t="s">
        <v>838</v>
      </c>
      <c r="D588" s="56" t="s">
        <v>848</v>
      </c>
      <c r="E588" s="56" t="s">
        <v>844</v>
      </c>
      <c r="F588" s="57" t="s">
        <v>154</v>
      </c>
      <c r="G588" s="61"/>
      <c r="H588" s="61"/>
      <c r="I588" s="62"/>
      <c r="J588" s="53"/>
    </row>
    <row r="589" ht="24.75" hidden="1" customHeight="1">
      <c r="A589" s="54" t="s">
        <v>831</v>
      </c>
      <c r="B589" s="56" t="s">
        <v>847</v>
      </c>
      <c r="C589" s="56" t="s">
        <v>838</v>
      </c>
      <c r="D589" s="56" t="s">
        <v>848</v>
      </c>
      <c r="E589" s="56" t="s">
        <v>797</v>
      </c>
      <c r="F589" s="57" t="s">
        <v>250</v>
      </c>
      <c r="G589" s="61"/>
      <c r="H589" s="61" t="s">
        <v>592</v>
      </c>
      <c r="I589" s="62" t="s">
        <v>855</v>
      </c>
      <c r="J589" s="53"/>
    </row>
    <row r="590" ht="24.75" hidden="1" customHeight="1">
      <c r="A590" s="54" t="s">
        <v>831</v>
      </c>
      <c r="B590" s="56" t="s">
        <v>849</v>
      </c>
      <c r="C590" s="56" t="s">
        <v>833</v>
      </c>
      <c r="D590" s="56" t="s">
        <v>850</v>
      </c>
      <c r="E590" s="56" t="s">
        <v>336</v>
      </c>
      <c r="F590" s="57" t="s">
        <v>192</v>
      </c>
      <c r="G590" s="61"/>
      <c r="H590" s="61"/>
      <c r="I590" s="62"/>
      <c r="J590" s="53"/>
    </row>
    <row r="591" ht="24.75" hidden="1" customHeight="1">
      <c r="A591" s="54" t="s">
        <v>831</v>
      </c>
      <c r="B591" s="56" t="s">
        <v>851</v>
      </c>
      <c r="C591" s="56" t="s">
        <v>852</v>
      </c>
      <c r="D591" s="56" t="s">
        <v>853</v>
      </c>
      <c r="E591" s="56" t="s">
        <v>854</v>
      </c>
      <c r="F591" s="57" t="s">
        <v>250</v>
      </c>
      <c r="G591" s="61"/>
      <c r="H591" s="61" t="s">
        <v>592</v>
      </c>
      <c r="I591" s="62" t="s">
        <v>864</v>
      </c>
      <c r="J591" s="53"/>
    </row>
    <row r="592" ht="24.75" hidden="1" customHeight="1">
      <c r="A592" s="54" t="s">
        <v>831</v>
      </c>
      <c r="B592" s="56" t="s">
        <v>851</v>
      </c>
      <c r="C592" s="56" t="s">
        <v>852</v>
      </c>
      <c r="D592" s="56" t="s">
        <v>853</v>
      </c>
      <c r="E592" s="56" t="s">
        <v>824</v>
      </c>
      <c r="F592" s="57" t="s">
        <v>154</v>
      </c>
      <c r="G592" s="61"/>
      <c r="H592" s="61"/>
      <c r="I592" s="62"/>
      <c r="J592" s="53"/>
    </row>
    <row r="593" ht="24.75" hidden="1" customHeight="1">
      <c r="A593" s="54" t="s">
        <v>831</v>
      </c>
      <c r="B593" s="56" t="s">
        <v>851</v>
      </c>
      <c r="C593" s="56" t="s">
        <v>852</v>
      </c>
      <c r="D593" s="56" t="s">
        <v>853</v>
      </c>
      <c r="E593" s="56" t="s">
        <v>111</v>
      </c>
      <c r="F593" s="57" t="s">
        <v>192</v>
      </c>
      <c r="G593" s="61"/>
      <c r="H593" s="61"/>
      <c r="I593" s="62"/>
      <c r="J593" s="53"/>
    </row>
    <row r="594" ht="24.75" hidden="1" customHeight="1">
      <c r="A594" s="54" t="s">
        <v>831</v>
      </c>
      <c r="B594" s="56" t="s">
        <v>851</v>
      </c>
      <c r="C594" s="56" t="s">
        <v>852</v>
      </c>
      <c r="D594" s="56" t="s">
        <v>853</v>
      </c>
      <c r="E594" s="56" t="s">
        <v>856</v>
      </c>
      <c r="F594" s="57" t="s">
        <v>192</v>
      </c>
      <c r="G594" s="61"/>
      <c r="H594" s="61"/>
      <c r="I594" s="62"/>
      <c r="J594" s="53"/>
    </row>
    <row r="595" ht="24.75" hidden="1" customHeight="1">
      <c r="A595" s="54" t="s">
        <v>831</v>
      </c>
      <c r="B595" s="56" t="s">
        <v>851</v>
      </c>
      <c r="C595" s="56" t="s">
        <v>852</v>
      </c>
      <c r="D595" s="56" t="s">
        <v>853</v>
      </c>
      <c r="E595" s="56" t="s">
        <v>857</v>
      </c>
      <c r="F595" s="57" t="s">
        <v>192</v>
      </c>
      <c r="G595" s="61"/>
      <c r="H595" s="61"/>
      <c r="I595" s="62"/>
      <c r="J595" s="53"/>
    </row>
    <row r="596" ht="24.75" hidden="1" customHeight="1">
      <c r="A596" s="54" t="s">
        <v>831</v>
      </c>
      <c r="B596" s="56" t="s">
        <v>858</v>
      </c>
      <c r="C596" s="56" t="s">
        <v>838</v>
      </c>
      <c r="D596" s="56" t="s">
        <v>859</v>
      </c>
      <c r="E596" s="56" t="s">
        <v>111</v>
      </c>
      <c r="F596" s="57" t="s">
        <v>154</v>
      </c>
      <c r="G596" s="61"/>
      <c r="H596" s="61"/>
      <c r="I596" s="62"/>
      <c r="J596" s="53"/>
    </row>
    <row r="597" ht="24.75" hidden="1" customHeight="1">
      <c r="A597" s="54" t="s">
        <v>831</v>
      </c>
      <c r="B597" s="56" t="s">
        <v>858</v>
      </c>
      <c r="C597" s="56" t="s">
        <v>838</v>
      </c>
      <c r="D597" s="56" t="s">
        <v>859</v>
      </c>
      <c r="E597" s="56" t="s">
        <v>824</v>
      </c>
      <c r="F597" s="57" t="s">
        <v>154</v>
      </c>
      <c r="G597" s="61"/>
      <c r="H597" s="61"/>
      <c r="I597" s="62"/>
      <c r="J597" s="53"/>
    </row>
    <row r="598" ht="24.75" hidden="1" customHeight="1">
      <c r="A598" s="54" t="s">
        <v>831</v>
      </c>
      <c r="B598" s="56" t="s">
        <v>858</v>
      </c>
      <c r="C598" s="56" t="s">
        <v>838</v>
      </c>
      <c r="D598" s="56" t="s">
        <v>859</v>
      </c>
      <c r="E598" s="56" t="s">
        <v>797</v>
      </c>
      <c r="F598" s="57" t="s">
        <v>250</v>
      </c>
      <c r="G598" s="61"/>
      <c r="H598" s="61" t="s">
        <v>592</v>
      </c>
      <c r="I598" s="62" t="s">
        <v>872</v>
      </c>
      <c r="J598" s="53"/>
    </row>
    <row r="599" ht="24.75" hidden="1" customHeight="1">
      <c r="A599" s="54" t="s">
        <v>831</v>
      </c>
      <c r="B599" s="56" t="s">
        <v>860</v>
      </c>
      <c r="C599" s="56" t="s">
        <v>852</v>
      </c>
      <c r="D599" s="56" t="s">
        <v>861</v>
      </c>
      <c r="E599" s="56" t="s">
        <v>854</v>
      </c>
      <c r="F599" s="57" t="s">
        <v>250</v>
      </c>
      <c r="G599" s="61"/>
      <c r="H599" s="61" t="s">
        <v>592</v>
      </c>
      <c r="I599" s="62" t="s">
        <v>864</v>
      </c>
      <c r="J599" s="53"/>
    </row>
    <row r="600" ht="24.75" hidden="1" customHeight="1">
      <c r="A600" s="54" t="s">
        <v>831</v>
      </c>
      <c r="B600" s="56" t="s">
        <v>860</v>
      </c>
      <c r="C600" s="56" t="s">
        <v>852</v>
      </c>
      <c r="D600" s="56" t="s">
        <v>861</v>
      </c>
      <c r="E600" s="56" t="s">
        <v>824</v>
      </c>
      <c r="F600" s="57" t="s">
        <v>154</v>
      </c>
      <c r="G600" s="61"/>
      <c r="H600" s="61"/>
      <c r="I600" s="62"/>
      <c r="J600" s="53"/>
    </row>
    <row r="601" ht="24.75" hidden="1" customHeight="1">
      <c r="A601" s="54" t="s">
        <v>831</v>
      </c>
      <c r="B601" s="56" t="s">
        <v>860</v>
      </c>
      <c r="C601" s="56" t="s">
        <v>852</v>
      </c>
      <c r="D601" s="56" t="s">
        <v>861</v>
      </c>
      <c r="E601" s="56" t="s">
        <v>856</v>
      </c>
      <c r="F601" s="57" t="s">
        <v>154</v>
      </c>
      <c r="G601" s="61"/>
      <c r="H601" s="61"/>
      <c r="I601" s="62"/>
      <c r="J601" s="53"/>
    </row>
    <row r="602" ht="24.75" hidden="1" customHeight="1">
      <c r="A602" s="54" t="s">
        <v>831</v>
      </c>
      <c r="B602" s="56" t="s">
        <v>860</v>
      </c>
      <c r="C602" s="56" t="s">
        <v>852</v>
      </c>
      <c r="D602" s="56" t="s">
        <v>861</v>
      </c>
      <c r="E602" s="56" t="s">
        <v>111</v>
      </c>
      <c r="F602" s="57" t="s">
        <v>192</v>
      </c>
      <c r="G602" s="61"/>
      <c r="H602" s="61"/>
      <c r="I602" s="62"/>
      <c r="J602" s="53"/>
    </row>
    <row r="603" ht="24.75" hidden="1" customHeight="1">
      <c r="A603" s="54" t="s">
        <v>831</v>
      </c>
      <c r="B603" s="56" t="s">
        <v>860</v>
      </c>
      <c r="C603" s="56" t="s">
        <v>852</v>
      </c>
      <c r="D603" s="56" t="s">
        <v>861</v>
      </c>
      <c r="E603" s="56" t="s">
        <v>857</v>
      </c>
      <c r="F603" s="57" t="s">
        <v>192</v>
      </c>
      <c r="G603" s="61"/>
      <c r="H603" s="61"/>
      <c r="I603" s="62"/>
      <c r="J603" s="53"/>
    </row>
    <row r="604" ht="24.75" hidden="1" customHeight="1">
      <c r="A604" s="54" t="s">
        <v>831</v>
      </c>
      <c r="B604" s="56" t="s">
        <v>862</v>
      </c>
      <c r="C604" s="56" t="s">
        <v>838</v>
      </c>
      <c r="D604" s="56" t="s">
        <v>863</v>
      </c>
      <c r="E604" s="56" t="s">
        <v>111</v>
      </c>
      <c r="F604" s="57" t="s">
        <v>154</v>
      </c>
      <c r="G604" s="61"/>
      <c r="H604" s="61"/>
      <c r="I604" s="62"/>
      <c r="J604" s="53"/>
    </row>
    <row r="605" ht="24.75" hidden="1" customHeight="1">
      <c r="A605" s="54" t="s">
        <v>831</v>
      </c>
      <c r="B605" s="56" t="s">
        <v>862</v>
      </c>
      <c r="C605" s="56" t="s">
        <v>838</v>
      </c>
      <c r="D605" s="56" t="s">
        <v>863</v>
      </c>
      <c r="E605" s="56" t="s">
        <v>824</v>
      </c>
      <c r="F605" s="57" t="s">
        <v>154</v>
      </c>
      <c r="G605" s="61"/>
      <c r="H605" s="61"/>
      <c r="I605" s="62"/>
      <c r="J605" s="53"/>
    </row>
    <row r="606" ht="24.75" hidden="1" customHeight="1">
      <c r="A606" s="54" t="s">
        <v>831</v>
      </c>
      <c r="B606" s="56" t="s">
        <v>862</v>
      </c>
      <c r="C606" s="56" t="s">
        <v>838</v>
      </c>
      <c r="D606" s="56" t="s">
        <v>863</v>
      </c>
      <c r="E606" s="56" t="s">
        <v>797</v>
      </c>
      <c r="F606" s="57" t="s">
        <v>250</v>
      </c>
      <c r="G606" s="61"/>
      <c r="H606" s="61" t="s">
        <v>592</v>
      </c>
      <c r="I606" s="62" t="s">
        <v>872</v>
      </c>
      <c r="J606" s="53"/>
    </row>
    <row r="607" ht="24.75" hidden="1" customHeight="1">
      <c r="A607" s="54" t="s">
        <v>831</v>
      </c>
      <c r="B607" s="56" t="s">
        <v>865</v>
      </c>
      <c r="C607" s="56" t="s">
        <v>838</v>
      </c>
      <c r="D607" s="56" t="s">
        <v>866</v>
      </c>
      <c r="E607" s="56" t="s">
        <v>867</v>
      </c>
      <c r="F607" s="57" t="s">
        <v>154</v>
      </c>
      <c r="G607" s="61"/>
      <c r="H607" s="61"/>
      <c r="I607" s="62"/>
      <c r="J607" s="53"/>
    </row>
    <row r="608" ht="24.75" hidden="1" customHeight="1">
      <c r="A608" s="54" t="s">
        <v>831</v>
      </c>
      <c r="B608" s="56" t="s">
        <v>865</v>
      </c>
      <c r="C608" s="56" t="s">
        <v>838</v>
      </c>
      <c r="D608" s="56" t="s">
        <v>866</v>
      </c>
      <c r="E608" s="56" t="s">
        <v>868</v>
      </c>
      <c r="F608" s="57" t="s">
        <v>154</v>
      </c>
      <c r="G608" s="61"/>
      <c r="H608" s="61"/>
      <c r="I608" s="62"/>
      <c r="J608" s="53"/>
    </row>
    <row r="609" ht="24.75" hidden="1" customHeight="1">
      <c r="A609" s="54" t="s">
        <v>831</v>
      </c>
      <c r="B609" s="56" t="s">
        <v>869</v>
      </c>
      <c r="C609" s="56" t="s">
        <v>833</v>
      </c>
      <c r="D609" s="56" t="s">
        <v>850</v>
      </c>
      <c r="E609" s="56" t="s">
        <v>870</v>
      </c>
      <c r="F609" s="57" t="s">
        <v>154</v>
      </c>
      <c r="G609" s="61"/>
      <c r="H609" s="61"/>
      <c r="I609" s="62"/>
      <c r="J609" s="53"/>
    </row>
    <row r="610" ht="24.75" hidden="1" customHeight="1">
      <c r="A610" s="54" t="s">
        <v>831</v>
      </c>
      <c r="B610" s="56" t="s">
        <v>869</v>
      </c>
      <c r="C610" s="56" t="s">
        <v>833</v>
      </c>
      <c r="D610" s="56" t="s">
        <v>850</v>
      </c>
      <c r="E610" s="56" t="s">
        <v>871</v>
      </c>
      <c r="F610" s="57" t="s">
        <v>192</v>
      </c>
      <c r="G610" s="61"/>
      <c r="H610" s="61"/>
      <c r="I610" s="62"/>
      <c r="J610" s="53"/>
    </row>
    <row r="611" ht="15.75" hidden="1" customHeight="1">
      <c r="A611" s="54"/>
      <c r="B611" s="56"/>
      <c r="C611" s="56"/>
      <c r="D611" s="56"/>
      <c r="E611" s="56"/>
      <c r="F611" s="57"/>
      <c r="G611" s="61"/>
      <c r="H611" s="61"/>
      <c r="I611" s="62"/>
      <c r="J611" s="53"/>
    </row>
  </sheetData>
  <autoFilter ref="$A$4:$GF$611">
    <filterColumn colId="5">
      <filters>
        <filter val="JAN, FEV, MAR, ABR, MAI, JUN, JUL, AGO, SET, OUT, NOV, DEZ"/>
      </filters>
    </filterColumn>
    <sortState ref="A4:GF611">
      <sortCondition ref="A4:A611"/>
    </sortState>
  </autoFilter>
  <mergeCells count="2">
    <mergeCell ref="I1:J3"/>
    <mergeCell ref="H2:H3"/>
  </mergeCells>
  <printOptions/>
  <pageMargins bottom="0.7480314960629921" footer="0.0" header="0.0" left="0.2362204724409449" right="0.2362204724409449" top="0.35433070866141736"/>
  <pageSetup fitToHeight="0" paperSize="9" orientation="landscape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7.71"/>
    <col customWidth="1" min="2" max="2" width="10.86"/>
    <col customWidth="1" min="3" max="3" width="16.57"/>
    <col customWidth="1" min="4" max="4" width="69.29"/>
    <col customWidth="1" min="5" max="5" width="46.86"/>
    <col customWidth="1" min="6" max="6" width="12.0"/>
    <col customWidth="1" hidden="1" min="7" max="7" width="6.86"/>
    <col customWidth="1" min="8" max="8" width="26.57"/>
    <col customWidth="1" min="9" max="9" width="31.86"/>
    <col customWidth="1" min="10" max="10" width="15.71"/>
  </cols>
  <sheetData>
    <row r="1" ht="24.75" customHeight="1">
      <c r="I1" s="25" t="s">
        <v>13</v>
      </c>
    </row>
    <row r="2" ht="24.75" customHeight="1">
      <c r="A2" s="1"/>
      <c r="B2" s="2"/>
      <c r="C2" s="2"/>
      <c r="D2" s="2"/>
      <c r="E2" s="2"/>
      <c r="F2" s="3"/>
      <c r="G2" s="8"/>
      <c r="H2" s="10"/>
    </row>
    <row r="3" ht="24.75" customHeight="1">
      <c r="A3" s="8"/>
      <c r="B3" s="9"/>
      <c r="C3" s="9"/>
      <c r="D3" s="9"/>
      <c r="E3" s="9"/>
      <c r="F3" s="2"/>
      <c r="G3" s="8"/>
      <c r="H3" s="35"/>
      <c r="I3" s="35"/>
      <c r="J3" s="35"/>
    </row>
    <row r="4" ht="51.0" customHeight="1">
      <c r="A4" s="39" t="s">
        <v>17</v>
      </c>
      <c r="B4" s="39" t="s">
        <v>18</v>
      </c>
      <c r="C4" s="39" t="s">
        <v>19</v>
      </c>
      <c r="D4" s="39" t="s">
        <v>20</v>
      </c>
      <c r="E4" s="39" t="s">
        <v>21</v>
      </c>
      <c r="F4" s="39" t="s">
        <v>22</v>
      </c>
      <c r="G4" s="40" t="s">
        <v>23</v>
      </c>
      <c r="H4" s="39" t="s">
        <v>24</v>
      </c>
      <c r="I4" s="42" t="s">
        <v>26</v>
      </c>
      <c r="J4" s="39" t="s">
        <v>25</v>
      </c>
    </row>
    <row r="5" ht="24.75" hidden="1" customHeight="1">
      <c r="A5" s="44">
        <v>10.0</v>
      </c>
      <c r="B5" s="47" t="s">
        <v>27</v>
      </c>
      <c r="C5" s="47" t="s">
        <v>29</v>
      </c>
      <c r="D5" s="47" t="s">
        <v>29</v>
      </c>
      <c r="E5" s="47" t="s">
        <v>32</v>
      </c>
      <c r="F5" s="48" t="s">
        <v>34</v>
      </c>
      <c r="G5" s="50"/>
      <c r="H5" s="51"/>
      <c r="I5" s="108"/>
      <c r="J5" s="53"/>
    </row>
    <row r="6" ht="24.75" customHeight="1">
      <c r="A6" s="54">
        <v>20.0</v>
      </c>
      <c r="B6" s="56" t="s">
        <v>83</v>
      </c>
      <c r="C6" s="56" t="s">
        <v>84</v>
      </c>
      <c r="D6" s="56" t="s">
        <v>85</v>
      </c>
      <c r="E6" s="56" t="s">
        <v>86</v>
      </c>
      <c r="F6" s="57" t="s">
        <v>87</v>
      </c>
      <c r="G6" s="58"/>
      <c r="H6" s="58"/>
      <c r="I6" s="60" t="s">
        <v>88</v>
      </c>
      <c r="J6" s="59"/>
    </row>
    <row r="7" ht="24.75" hidden="1" customHeight="1">
      <c r="A7" s="54">
        <v>20.0</v>
      </c>
      <c r="B7" s="56" t="s">
        <v>89</v>
      </c>
      <c r="C7" s="56" t="s">
        <v>90</v>
      </c>
      <c r="D7" s="56" t="s">
        <v>91</v>
      </c>
      <c r="E7" s="56"/>
      <c r="F7" s="57" t="s">
        <v>34</v>
      </c>
      <c r="G7" s="61"/>
      <c r="H7" s="61"/>
      <c r="I7" s="60"/>
      <c r="J7" s="53"/>
    </row>
    <row r="8" ht="24.75" hidden="1" customHeight="1">
      <c r="A8" s="54">
        <v>20.0</v>
      </c>
      <c r="B8" s="56" t="s">
        <v>95</v>
      </c>
      <c r="C8" s="56" t="s">
        <v>90</v>
      </c>
      <c r="D8" s="56" t="s">
        <v>96</v>
      </c>
      <c r="E8" s="56" t="s">
        <v>97</v>
      </c>
      <c r="F8" s="57" t="s">
        <v>34</v>
      </c>
      <c r="G8" s="61"/>
      <c r="H8" s="61"/>
      <c r="I8" s="60"/>
      <c r="J8" s="53"/>
    </row>
    <row r="9" ht="24.75" hidden="1" customHeight="1">
      <c r="A9" s="54">
        <v>20.0</v>
      </c>
      <c r="B9" s="56" t="s">
        <v>98</v>
      </c>
      <c r="C9" s="56" t="s">
        <v>90</v>
      </c>
      <c r="D9" s="56" t="s">
        <v>99</v>
      </c>
      <c r="E9" s="56" t="s">
        <v>97</v>
      </c>
      <c r="F9" s="57" t="s">
        <v>34</v>
      </c>
      <c r="G9" s="61"/>
      <c r="H9" s="61"/>
      <c r="I9" s="60"/>
      <c r="J9" s="53"/>
    </row>
    <row r="10" ht="24.75" hidden="1" customHeight="1">
      <c r="A10" s="54">
        <v>20.0</v>
      </c>
      <c r="B10" s="56" t="s">
        <v>100</v>
      </c>
      <c r="C10" s="56" t="s">
        <v>101</v>
      </c>
      <c r="D10" s="56" t="s">
        <v>102</v>
      </c>
      <c r="E10" s="56" t="s">
        <v>103</v>
      </c>
      <c r="F10" s="57" t="s">
        <v>34</v>
      </c>
      <c r="G10" s="61"/>
      <c r="H10" s="61"/>
      <c r="I10" s="60"/>
      <c r="J10" s="53"/>
    </row>
    <row r="11" ht="24.75" customHeight="1">
      <c r="A11" s="54">
        <v>30.0</v>
      </c>
      <c r="B11" s="56" t="s">
        <v>108</v>
      </c>
      <c r="C11" s="56" t="s">
        <v>109</v>
      </c>
      <c r="D11" s="56" t="s">
        <v>110</v>
      </c>
      <c r="E11" s="56" t="s">
        <v>111</v>
      </c>
      <c r="F11" s="57" t="s">
        <v>87</v>
      </c>
      <c r="G11" s="61"/>
      <c r="H11" s="61"/>
      <c r="I11" s="60"/>
      <c r="J11" s="53"/>
    </row>
    <row r="12" ht="24.75" customHeight="1">
      <c r="A12" s="54">
        <v>30.0</v>
      </c>
      <c r="B12" s="56" t="s">
        <v>113</v>
      </c>
      <c r="C12" s="56" t="s">
        <v>109</v>
      </c>
      <c r="D12" s="56" t="s">
        <v>114</v>
      </c>
      <c r="E12" s="56" t="s">
        <v>111</v>
      </c>
      <c r="F12" s="57" t="s">
        <v>87</v>
      </c>
      <c r="G12" s="61"/>
      <c r="H12" s="61"/>
      <c r="I12" s="60"/>
      <c r="J12" s="53"/>
    </row>
    <row r="13" ht="24.75" customHeight="1">
      <c r="A13" s="54">
        <v>30.0</v>
      </c>
      <c r="B13" s="56" t="s">
        <v>116</v>
      </c>
      <c r="C13" s="56" t="s">
        <v>109</v>
      </c>
      <c r="D13" s="56" t="s">
        <v>117</v>
      </c>
      <c r="E13" s="56" t="s">
        <v>118</v>
      </c>
      <c r="F13" s="57" t="s">
        <v>87</v>
      </c>
      <c r="G13" s="61"/>
      <c r="H13" s="61"/>
      <c r="I13" s="60"/>
      <c r="J13" s="53"/>
    </row>
    <row r="14" ht="24.75" hidden="1" customHeight="1">
      <c r="A14" s="54">
        <v>30.0</v>
      </c>
      <c r="B14" s="56" t="s">
        <v>116</v>
      </c>
      <c r="C14" s="56" t="s">
        <v>109</v>
      </c>
      <c r="D14" s="56" t="s">
        <v>117</v>
      </c>
      <c r="E14" s="56" t="s">
        <v>119</v>
      </c>
      <c r="F14" s="57" t="s">
        <v>34</v>
      </c>
      <c r="G14" s="61"/>
      <c r="H14" s="61"/>
      <c r="I14" s="60"/>
      <c r="J14" s="53"/>
    </row>
    <row r="15" ht="24.75" customHeight="1">
      <c r="A15" s="54">
        <v>30.0</v>
      </c>
      <c r="B15" s="56" t="s">
        <v>120</v>
      </c>
      <c r="C15" s="56" t="s">
        <v>109</v>
      </c>
      <c r="D15" s="56" t="s">
        <v>121</v>
      </c>
      <c r="E15" s="56" t="s">
        <v>111</v>
      </c>
      <c r="F15" s="57" t="s">
        <v>87</v>
      </c>
      <c r="G15" s="61"/>
      <c r="H15" s="61"/>
      <c r="I15" s="60"/>
      <c r="J15" s="53"/>
    </row>
    <row r="16" ht="24.75" hidden="1" customHeight="1">
      <c r="A16" s="54">
        <v>30.0</v>
      </c>
      <c r="B16" s="56" t="s">
        <v>120</v>
      </c>
      <c r="C16" s="56" t="s">
        <v>109</v>
      </c>
      <c r="D16" s="56" t="s">
        <v>121</v>
      </c>
      <c r="E16" s="56" t="s">
        <v>122</v>
      </c>
      <c r="F16" s="57" t="s">
        <v>34</v>
      </c>
      <c r="G16" s="61"/>
      <c r="H16" s="61"/>
      <c r="I16" s="60"/>
      <c r="J16" s="53"/>
    </row>
    <row r="17" ht="24.75" customHeight="1">
      <c r="A17" s="54">
        <v>30.0</v>
      </c>
      <c r="B17" s="56" t="s">
        <v>123</v>
      </c>
      <c r="C17" s="56" t="s">
        <v>109</v>
      </c>
      <c r="D17" s="56" t="s">
        <v>124</v>
      </c>
      <c r="E17" s="56" t="s">
        <v>86</v>
      </c>
      <c r="F17" s="57" t="s">
        <v>87</v>
      </c>
      <c r="G17" s="61"/>
      <c r="H17" s="61"/>
      <c r="I17" s="60"/>
      <c r="J17" s="53"/>
    </row>
    <row r="18" ht="24.75" hidden="1" customHeight="1">
      <c r="A18" s="54">
        <v>31.0</v>
      </c>
      <c r="B18" s="56" t="s">
        <v>126</v>
      </c>
      <c r="C18" s="56" t="s">
        <v>127</v>
      </c>
      <c r="D18" s="56" t="s">
        <v>128</v>
      </c>
      <c r="E18" s="56" t="s">
        <v>129</v>
      </c>
      <c r="F18" s="57" t="s">
        <v>34</v>
      </c>
      <c r="G18" s="61"/>
      <c r="H18" s="61"/>
      <c r="I18" s="60" t="s">
        <v>133</v>
      </c>
      <c r="J18" s="53"/>
    </row>
    <row r="19" ht="24.75" hidden="1" customHeight="1">
      <c r="A19" s="54">
        <v>31.0</v>
      </c>
      <c r="B19" s="56" t="s">
        <v>126</v>
      </c>
      <c r="C19" s="56" t="s">
        <v>127</v>
      </c>
      <c r="D19" s="56" t="s">
        <v>128</v>
      </c>
      <c r="E19" s="56" t="s">
        <v>132</v>
      </c>
      <c r="F19" s="57" t="s">
        <v>34</v>
      </c>
      <c r="G19" s="61"/>
      <c r="H19" s="61"/>
      <c r="I19" s="60" t="s">
        <v>133</v>
      </c>
      <c r="J19" s="53"/>
    </row>
    <row r="20" ht="24.75" hidden="1" customHeight="1">
      <c r="A20" s="54">
        <v>31.0</v>
      </c>
      <c r="B20" s="56" t="s">
        <v>126</v>
      </c>
      <c r="C20" s="56" t="s">
        <v>127</v>
      </c>
      <c r="D20" s="56" t="s">
        <v>128</v>
      </c>
      <c r="E20" s="56" t="s">
        <v>134</v>
      </c>
      <c r="F20" s="57" t="s">
        <v>34</v>
      </c>
      <c r="G20" s="61"/>
      <c r="H20" s="61"/>
      <c r="I20" s="60" t="s">
        <v>133</v>
      </c>
      <c r="J20" s="53"/>
    </row>
    <row r="21" ht="24.75" hidden="1" customHeight="1">
      <c r="A21" s="54">
        <v>40.0</v>
      </c>
      <c r="B21" s="56" t="s">
        <v>135</v>
      </c>
      <c r="C21" s="56" t="s">
        <v>136</v>
      </c>
      <c r="D21" s="56" t="s">
        <v>137</v>
      </c>
      <c r="E21" s="56" t="s">
        <v>111</v>
      </c>
      <c r="F21" s="57" t="s">
        <v>34</v>
      </c>
      <c r="G21" s="61"/>
      <c r="H21" s="61"/>
      <c r="I21" s="60"/>
      <c r="J21" s="53"/>
    </row>
    <row r="22" ht="24.75" hidden="1" customHeight="1">
      <c r="A22" s="54">
        <v>40.0</v>
      </c>
      <c r="B22" s="56" t="s">
        <v>139</v>
      </c>
      <c r="C22" s="56" t="s">
        <v>101</v>
      </c>
      <c r="D22" s="56" t="s">
        <v>102</v>
      </c>
      <c r="E22" s="56" t="s">
        <v>111</v>
      </c>
      <c r="F22" s="57" t="s">
        <v>34</v>
      </c>
      <c r="G22" s="61"/>
      <c r="H22" s="61"/>
      <c r="I22" s="60"/>
      <c r="J22" s="53"/>
    </row>
    <row r="23" ht="24.75" hidden="1" customHeight="1">
      <c r="A23" s="54">
        <v>40.0</v>
      </c>
      <c r="B23" s="56" t="s">
        <v>140</v>
      </c>
      <c r="C23" s="56" t="s">
        <v>141</v>
      </c>
      <c r="D23" s="56" t="s">
        <v>142</v>
      </c>
      <c r="E23" s="56" t="s">
        <v>111</v>
      </c>
      <c r="F23" s="57" t="s">
        <v>34</v>
      </c>
      <c r="G23" s="61"/>
      <c r="H23" s="61"/>
      <c r="I23" s="60"/>
      <c r="J23" s="53"/>
    </row>
    <row r="24" ht="24.75" hidden="1" customHeight="1">
      <c r="A24" s="54">
        <v>40.0</v>
      </c>
      <c r="B24" s="56" t="s">
        <v>143</v>
      </c>
      <c r="C24" s="56" t="s">
        <v>144</v>
      </c>
      <c r="D24" s="56" t="s">
        <v>145</v>
      </c>
      <c r="E24" s="56" t="s">
        <v>111</v>
      </c>
      <c r="F24" s="57" t="s">
        <v>34</v>
      </c>
      <c r="G24" s="61"/>
      <c r="H24" s="61"/>
      <c r="I24" s="60"/>
      <c r="J24" s="53"/>
    </row>
    <row r="25" ht="24.75" hidden="1" customHeight="1">
      <c r="A25" s="54">
        <v>50.0</v>
      </c>
      <c r="B25" s="56" t="s">
        <v>147</v>
      </c>
      <c r="C25" s="56" t="s">
        <v>148</v>
      </c>
      <c r="D25" s="56" t="s">
        <v>149</v>
      </c>
      <c r="E25" s="56" t="s">
        <v>150</v>
      </c>
      <c r="F25" s="57" t="s">
        <v>34</v>
      </c>
      <c r="G25" s="61"/>
      <c r="H25" s="61"/>
      <c r="I25" s="60"/>
      <c r="J25" s="53"/>
    </row>
    <row r="26" ht="24.75" hidden="1" customHeight="1">
      <c r="A26" s="54">
        <v>50.0</v>
      </c>
      <c r="B26" s="56" t="s">
        <v>151</v>
      </c>
      <c r="C26" s="56" t="s">
        <v>152</v>
      </c>
      <c r="D26" s="56" t="s">
        <v>152</v>
      </c>
      <c r="E26" s="56" t="s">
        <v>111</v>
      </c>
      <c r="F26" s="57" t="s">
        <v>34</v>
      </c>
      <c r="G26" s="61"/>
      <c r="H26" s="61"/>
      <c r="I26" s="60"/>
      <c r="J26" s="53"/>
    </row>
    <row r="27" ht="24.75" customHeight="1">
      <c r="A27" s="54">
        <v>50.0</v>
      </c>
      <c r="B27" s="56" t="s">
        <v>151</v>
      </c>
      <c r="C27" s="56" t="s">
        <v>152</v>
      </c>
      <c r="D27" s="56" t="s">
        <v>152</v>
      </c>
      <c r="E27" s="56" t="s">
        <v>153</v>
      </c>
      <c r="F27" s="57" t="s">
        <v>154</v>
      </c>
      <c r="G27" s="61"/>
      <c r="H27" s="61"/>
      <c r="I27" s="60"/>
      <c r="J27" s="53"/>
    </row>
    <row r="28" ht="24.75" customHeight="1">
      <c r="A28" s="54">
        <v>50.0</v>
      </c>
      <c r="B28" s="56" t="s">
        <v>151</v>
      </c>
      <c r="C28" s="56" t="s">
        <v>152</v>
      </c>
      <c r="D28" s="56" t="s">
        <v>152</v>
      </c>
      <c r="E28" s="56" t="s">
        <v>155</v>
      </c>
      <c r="F28" s="57" t="s">
        <v>250</v>
      </c>
      <c r="G28" s="61"/>
      <c r="H28" s="61" t="s">
        <v>159</v>
      </c>
      <c r="I28" s="60" t="s">
        <v>160</v>
      </c>
      <c r="J28" s="53"/>
    </row>
    <row r="29" ht="24.75" hidden="1" customHeight="1">
      <c r="A29" s="54">
        <v>50.0</v>
      </c>
      <c r="B29" s="56" t="s">
        <v>156</v>
      </c>
      <c r="C29" s="56" t="s">
        <v>152</v>
      </c>
      <c r="D29" s="56" t="s">
        <v>157</v>
      </c>
      <c r="E29" s="56" t="s">
        <v>158</v>
      </c>
      <c r="F29" s="57" t="s">
        <v>34</v>
      </c>
      <c r="G29" s="61"/>
      <c r="H29" s="61"/>
      <c r="I29" s="60"/>
      <c r="J29" s="53"/>
    </row>
    <row r="30" ht="24.75" hidden="1" customHeight="1">
      <c r="A30" s="54">
        <v>50.0</v>
      </c>
      <c r="B30" s="56" t="s">
        <v>161</v>
      </c>
      <c r="C30" s="56" t="s">
        <v>152</v>
      </c>
      <c r="D30" s="56" t="s">
        <v>162</v>
      </c>
      <c r="E30" s="56" t="s">
        <v>163</v>
      </c>
      <c r="F30" s="57" t="s">
        <v>34</v>
      </c>
      <c r="G30" s="61"/>
      <c r="H30" s="61"/>
      <c r="I30" s="60"/>
      <c r="J30" s="53"/>
    </row>
    <row r="31" ht="24.75" customHeight="1">
      <c r="A31" s="54">
        <v>60.0</v>
      </c>
      <c r="B31" s="56" t="s">
        <v>164</v>
      </c>
      <c r="C31" s="56" t="s">
        <v>165</v>
      </c>
      <c r="D31" s="56" t="s">
        <v>166</v>
      </c>
      <c r="E31" s="56" t="s">
        <v>167</v>
      </c>
      <c r="F31" s="57" t="s">
        <v>154</v>
      </c>
      <c r="G31" s="61"/>
      <c r="H31" s="61"/>
      <c r="I31" s="60"/>
      <c r="J31" s="53"/>
    </row>
    <row r="32" ht="24.75" customHeight="1">
      <c r="A32" s="54">
        <v>60.0</v>
      </c>
      <c r="B32" s="56" t="s">
        <v>169</v>
      </c>
      <c r="C32" s="56" t="s">
        <v>165</v>
      </c>
      <c r="D32" s="56" t="s">
        <v>170</v>
      </c>
      <c r="E32" s="56" t="s">
        <v>167</v>
      </c>
      <c r="F32" s="57" t="s">
        <v>154</v>
      </c>
      <c r="G32" s="61"/>
      <c r="H32" s="61"/>
      <c r="I32" s="60"/>
      <c r="J32" s="53"/>
    </row>
    <row r="33" ht="24.75" customHeight="1">
      <c r="A33" s="54">
        <v>60.0</v>
      </c>
      <c r="B33" s="56" t="s">
        <v>171</v>
      </c>
      <c r="C33" s="56" t="s">
        <v>165</v>
      </c>
      <c r="D33" s="56" t="s">
        <v>172</v>
      </c>
      <c r="E33" s="56" t="s">
        <v>167</v>
      </c>
      <c r="F33" s="57" t="s">
        <v>154</v>
      </c>
      <c r="G33" s="61"/>
      <c r="H33" s="61"/>
      <c r="I33" s="60"/>
      <c r="J33" s="53"/>
    </row>
    <row r="34" ht="24.75" customHeight="1">
      <c r="A34" s="54">
        <v>60.0</v>
      </c>
      <c r="B34" s="56" t="s">
        <v>174</v>
      </c>
      <c r="C34" s="56" t="s">
        <v>165</v>
      </c>
      <c r="D34" s="56" t="s">
        <v>175</v>
      </c>
      <c r="E34" s="56" t="s">
        <v>167</v>
      </c>
      <c r="F34" s="57" t="s">
        <v>154</v>
      </c>
      <c r="G34" s="61"/>
      <c r="H34" s="61"/>
      <c r="I34" s="60"/>
      <c r="J34" s="53"/>
    </row>
    <row r="35" ht="24.75" customHeight="1">
      <c r="A35" s="54">
        <v>60.0</v>
      </c>
      <c r="B35" s="56" t="s">
        <v>174</v>
      </c>
      <c r="C35" s="56" t="s">
        <v>165</v>
      </c>
      <c r="D35" s="56" t="s">
        <v>175</v>
      </c>
      <c r="E35" s="56" t="s">
        <v>176</v>
      </c>
      <c r="F35" s="57" t="s">
        <v>154</v>
      </c>
      <c r="G35" s="61"/>
      <c r="H35" s="61"/>
      <c r="I35" s="60"/>
      <c r="J35" s="53"/>
    </row>
    <row r="36" ht="24.75" customHeight="1">
      <c r="A36" s="54">
        <v>60.0</v>
      </c>
      <c r="B36" s="56" t="s">
        <v>177</v>
      </c>
      <c r="C36" s="56" t="s">
        <v>165</v>
      </c>
      <c r="D36" s="56" t="s">
        <v>178</v>
      </c>
      <c r="E36" s="56" t="s">
        <v>111</v>
      </c>
      <c r="F36" s="57" t="s">
        <v>154</v>
      </c>
      <c r="G36" s="61"/>
      <c r="H36" s="61"/>
      <c r="I36" s="60"/>
      <c r="J36" s="53"/>
    </row>
    <row r="37" ht="24.75" customHeight="1">
      <c r="A37" s="54">
        <v>60.0</v>
      </c>
      <c r="B37" s="56" t="s">
        <v>179</v>
      </c>
      <c r="C37" s="56" t="s">
        <v>165</v>
      </c>
      <c r="D37" s="56" t="s">
        <v>180</v>
      </c>
      <c r="E37" s="56" t="s">
        <v>167</v>
      </c>
      <c r="F37" s="57" t="s">
        <v>154</v>
      </c>
      <c r="G37" s="61"/>
      <c r="H37" s="61"/>
      <c r="I37" s="60"/>
      <c r="J37" s="53"/>
    </row>
    <row r="38" ht="24.75" customHeight="1">
      <c r="A38" s="54">
        <v>60.0</v>
      </c>
      <c r="B38" s="56" t="s">
        <v>179</v>
      </c>
      <c r="C38" s="56" t="s">
        <v>165</v>
      </c>
      <c r="D38" s="56" t="s">
        <v>180</v>
      </c>
      <c r="E38" s="56" t="s">
        <v>176</v>
      </c>
      <c r="F38" s="57" t="s">
        <v>154</v>
      </c>
      <c r="G38" s="61"/>
      <c r="H38" s="61"/>
      <c r="I38" s="60"/>
      <c r="J38" s="53"/>
    </row>
    <row r="39" ht="24.75" customHeight="1">
      <c r="A39" s="54">
        <v>60.0</v>
      </c>
      <c r="B39" s="56" t="s">
        <v>181</v>
      </c>
      <c r="C39" s="56" t="s">
        <v>165</v>
      </c>
      <c r="D39" s="56" t="s">
        <v>178</v>
      </c>
      <c r="E39" s="56" t="s">
        <v>167</v>
      </c>
      <c r="F39" s="57" t="s">
        <v>154</v>
      </c>
      <c r="G39" s="61"/>
      <c r="H39" s="61"/>
      <c r="I39" s="60"/>
      <c r="J39" s="53"/>
    </row>
    <row r="40" ht="24.75" customHeight="1">
      <c r="A40" s="54">
        <v>60.0</v>
      </c>
      <c r="B40" s="56" t="s">
        <v>182</v>
      </c>
      <c r="C40" s="56" t="s">
        <v>165</v>
      </c>
      <c r="D40" s="56" t="s">
        <v>183</v>
      </c>
      <c r="E40" s="56" t="s">
        <v>167</v>
      </c>
      <c r="F40" s="57" t="s">
        <v>154</v>
      </c>
      <c r="G40" s="61"/>
      <c r="H40" s="61"/>
      <c r="I40" s="60"/>
      <c r="J40" s="53"/>
    </row>
    <row r="41" ht="24.75" customHeight="1">
      <c r="A41" s="54">
        <v>60.0</v>
      </c>
      <c r="B41" s="56" t="s">
        <v>182</v>
      </c>
      <c r="C41" s="56" t="s">
        <v>165</v>
      </c>
      <c r="D41" s="56" t="s">
        <v>183</v>
      </c>
      <c r="E41" s="56" t="s">
        <v>176</v>
      </c>
      <c r="F41" s="57" t="s">
        <v>154</v>
      </c>
      <c r="G41" s="61"/>
      <c r="H41" s="61"/>
      <c r="I41" s="60"/>
      <c r="J41" s="53"/>
    </row>
    <row r="42" ht="24.75" customHeight="1">
      <c r="A42" s="54">
        <v>60.0</v>
      </c>
      <c r="B42" s="56" t="s">
        <v>184</v>
      </c>
      <c r="C42" s="56" t="s">
        <v>165</v>
      </c>
      <c r="D42" s="56" t="s">
        <v>178</v>
      </c>
      <c r="E42" s="56" t="s">
        <v>167</v>
      </c>
      <c r="F42" s="57" t="s">
        <v>154</v>
      </c>
      <c r="G42" s="61"/>
      <c r="H42" s="61"/>
      <c r="I42" s="60"/>
      <c r="J42" s="53"/>
    </row>
    <row r="43" ht="24.75" customHeight="1">
      <c r="A43" s="54">
        <v>60.0</v>
      </c>
      <c r="B43" s="56" t="s">
        <v>185</v>
      </c>
      <c r="C43" s="56" t="s">
        <v>165</v>
      </c>
      <c r="D43" s="56" t="s">
        <v>186</v>
      </c>
      <c r="E43" s="56" t="s">
        <v>167</v>
      </c>
      <c r="F43" s="57" t="s">
        <v>154</v>
      </c>
      <c r="G43" s="61"/>
      <c r="H43" s="61"/>
      <c r="I43" s="60"/>
      <c r="J43" s="53"/>
    </row>
    <row r="44" ht="24.75" customHeight="1">
      <c r="A44" s="54">
        <v>60.0</v>
      </c>
      <c r="B44" s="56" t="s">
        <v>185</v>
      </c>
      <c r="C44" s="56" t="s">
        <v>165</v>
      </c>
      <c r="D44" s="56" t="s">
        <v>186</v>
      </c>
      <c r="E44" s="56" t="s">
        <v>176</v>
      </c>
      <c r="F44" s="57" t="s">
        <v>154</v>
      </c>
      <c r="G44" s="61"/>
      <c r="H44" s="61"/>
      <c r="I44" s="60"/>
      <c r="J44" s="53"/>
    </row>
    <row r="45" ht="24.75" customHeight="1">
      <c r="A45" s="54">
        <v>60.0</v>
      </c>
      <c r="B45" s="56" t="s">
        <v>187</v>
      </c>
      <c r="C45" s="56" t="s">
        <v>165</v>
      </c>
      <c r="D45" s="56" t="s">
        <v>178</v>
      </c>
      <c r="E45" s="56" t="s">
        <v>167</v>
      </c>
      <c r="F45" s="57" t="s">
        <v>154</v>
      </c>
      <c r="G45" s="61"/>
      <c r="H45" s="61"/>
      <c r="I45" s="60"/>
      <c r="J45" s="53"/>
    </row>
    <row r="46" ht="24.75" customHeight="1">
      <c r="A46" s="54">
        <v>80.0</v>
      </c>
      <c r="B46" s="56" t="s">
        <v>188</v>
      </c>
      <c r="C46" s="56" t="s">
        <v>189</v>
      </c>
      <c r="D46" s="56" t="s">
        <v>190</v>
      </c>
      <c r="E46" s="56" t="s">
        <v>191</v>
      </c>
      <c r="F46" s="57" t="s">
        <v>192</v>
      </c>
      <c r="G46" s="61"/>
      <c r="H46" s="61"/>
      <c r="I46" s="60"/>
      <c r="J46" s="53"/>
    </row>
    <row r="47" ht="24.75" customHeight="1">
      <c r="A47" s="54">
        <v>80.0</v>
      </c>
      <c r="B47" s="56" t="s">
        <v>188</v>
      </c>
      <c r="C47" s="56" t="s">
        <v>189</v>
      </c>
      <c r="D47" s="56" t="s">
        <v>190</v>
      </c>
      <c r="E47" s="56" t="s">
        <v>194</v>
      </c>
      <c r="F47" s="57" t="s">
        <v>192</v>
      </c>
      <c r="G47" s="61"/>
      <c r="H47" s="61"/>
      <c r="I47" s="60"/>
      <c r="J47" s="53"/>
    </row>
    <row r="48" ht="24.75" hidden="1" customHeight="1">
      <c r="A48" s="54">
        <v>80.0</v>
      </c>
      <c r="B48" s="56" t="s">
        <v>188</v>
      </c>
      <c r="C48" s="56" t="s">
        <v>189</v>
      </c>
      <c r="D48" s="56" t="s">
        <v>190</v>
      </c>
      <c r="E48" s="56" t="s">
        <v>195</v>
      </c>
      <c r="F48" s="57" t="s">
        <v>34</v>
      </c>
      <c r="G48" s="61"/>
      <c r="H48" s="61" t="s">
        <v>197</v>
      </c>
      <c r="I48" s="60"/>
      <c r="J48" s="53"/>
    </row>
    <row r="49" ht="24.75" customHeight="1">
      <c r="A49" s="54">
        <v>80.0</v>
      </c>
      <c r="B49" s="56" t="s">
        <v>188</v>
      </c>
      <c r="C49" s="56" t="s">
        <v>189</v>
      </c>
      <c r="D49" s="56" t="s">
        <v>190</v>
      </c>
      <c r="E49" s="56" t="s">
        <v>196</v>
      </c>
      <c r="F49" s="57" t="s">
        <v>250</v>
      </c>
      <c r="G49" s="61"/>
      <c r="H49" s="61" t="s">
        <v>200</v>
      </c>
      <c r="I49" s="60" t="s">
        <v>201</v>
      </c>
      <c r="J49" s="53"/>
    </row>
    <row r="50" ht="24.75" customHeight="1">
      <c r="A50" s="54">
        <v>80.0</v>
      </c>
      <c r="B50" s="56" t="s">
        <v>198</v>
      </c>
      <c r="C50" s="56" t="s">
        <v>189</v>
      </c>
      <c r="D50" s="56" t="s">
        <v>199</v>
      </c>
      <c r="E50" s="56" t="s">
        <v>163</v>
      </c>
      <c r="F50" s="57" t="s">
        <v>154</v>
      </c>
      <c r="G50" s="61"/>
      <c r="H50" s="61"/>
      <c r="I50" s="60"/>
      <c r="J50" s="53"/>
    </row>
    <row r="51" ht="24.75" customHeight="1">
      <c r="A51" s="54">
        <v>80.0</v>
      </c>
      <c r="B51" s="56" t="s">
        <v>203</v>
      </c>
      <c r="C51" s="56" t="s">
        <v>204</v>
      </c>
      <c r="D51" s="56" t="s">
        <v>205</v>
      </c>
      <c r="E51" s="56" t="s">
        <v>208</v>
      </c>
      <c r="F51" s="57" t="s">
        <v>154</v>
      </c>
      <c r="G51" s="61"/>
      <c r="H51" s="61"/>
      <c r="I51" s="60"/>
      <c r="J51" s="53"/>
    </row>
    <row r="52" ht="24.75" hidden="1" customHeight="1">
      <c r="A52" s="54">
        <v>80.0</v>
      </c>
      <c r="B52" s="56" t="s">
        <v>210</v>
      </c>
      <c r="C52" s="56" t="s">
        <v>189</v>
      </c>
      <c r="D52" s="56" t="s">
        <v>212</v>
      </c>
      <c r="E52" s="56" t="s">
        <v>213</v>
      </c>
      <c r="F52" s="57"/>
      <c r="G52" s="61"/>
      <c r="H52" s="61"/>
      <c r="I52" s="62"/>
      <c r="J52" s="53"/>
    </row>
    <row r="53" ht="24.75" customHeight="1">
      <c r="A53" s="54">
        <v>80.0</v>
      </c>
      <c r="B53" s="56" t="s">
        <v>214</v>
      </c>
      <c r="C53" s="56" t="s">
        <v>204</v>
      </c>
      <c r="D53" s="56" t="s">
        <v>215</v>
      </c>
      <c r="E53" s="56" t="s">
        <v>216</v>
      </c>
      <c r="F53" s="57" t="s">
        <v>154</v>
      </c>
      <c r="G53" s="61"/>
      <c r="H53" s="61"/>
      <c r="I53" s="60"/>
      <c r="J53" s="53"/>
    </row>
    <row r="54" ht="24.75" customHeight="1">
      <c r="A54" s="54">
        <v>80.0</v>
      </c>
      <c r="B54" s="56" t="s">
        <v>214</v>
      </c>
      <c r="C54" s="56" t="s">
        <v>204</v>
      </c>
      <c r="D54" s="56" t="s">
        <v>215</v>
      </c>
      <c r="E54" s="56" t="s">
        <v>217</v>
      </c>
      <c r="F54" s="57" t="s">
        <v>154</v>
      </c>
      <c r="G54" s="61"/>
      <c r="H54" s="61"/>
      <c r="I54" s="60"/>
      <c r="J54" s="53"/>
    </row>
    <row r="55" ht="24.75" customHeight="1">
      <c r="A55" s="54">
        <v>80.0</v>
      </c>
      <c r="B55" s="56" t="s">
        <v>214</v>
      </c>
      <c r="C55" s="56" t="s">
        <v>204</v>
      </c>
      <c r="D55" s="56" t="s">
        <v>215</v>
      </c>
      <c r="E55" s="56" t="s">
        <v>163</v>
      </c>
      <c r="F55" s="57" t="s">
        <v>154</v>
      </c>
      <c r="G55" s="61"/>
      <c r="H55" s="61"/>
      <c r="I55" s="60"/>
      <c r="J55" s="53"/>
    </row>
    <row r="56" ht="24.75" customHeight="1">
      <c r="A56" s="54">
        <v>80.0</v>
      </c>
      <c r="B56" s="56" t="s">
        <v>218</v>
      </c>
      <c r="C56" s="56" t="s">
        <v>204</v>
      </c>
      <c r="D56" s="56" t="s">
        <v>219</v>
      </c>
      <c r="E56" s="56" t="s">
        <v>191</v>
      </c>
      <c r="F56" s="57" t="s">
        <v>192</v>
      </c>
      <c r="G56" s="61"/>
      <c r="H56" s="61"/>
      <c r="I56" s="60"/>
      <c r="J56" s="53"/>
    </row>
    <row r="57" ht="24.75" customHeight="1">
      <c r="A57" s="54">
        <v>80.0</v>
      </c>
      <c r="B57" s="56" t="s">
        <v>218</v>
      </c>
      <c r="C57" s="56" t="s">
        <v>204</v>
      </c>
      <c r="D57" s="56" t="s">
        <v>219</v>
      </c>
      <c r="E57" s="56" t="s">
        <v>194</v>
      </c>
      <c r="F57" s="57" t="s">
        <v>192</v>
      </c>
      <c r="G57" s="61"/>
      <c r="H57" s="61"/>
      <c r="I57" s="60"/>
      <c r="J57" s="53"/>
    </row>
    <row r="58" ht="24.75" hidden="1" customHeight="1">
      <c r="A58" s="54">
        <v>80.0</v>
      </c>
      <c r="B58" s="56" t="s">
        <v>218</v>
      </c>
      <c r="C58" s="56" t="s">
        <v>204</v>
      </c>
      <c r="D58" s="56" t="s">
        <v>219</v>
      </c>
      <c r="E58" s="56" t="s">
        <v>195</v>
      </c>
      <c r="F58" s="57" t="s">
        <v>34</v>
      </c>
      <c r="G58" s="61"/>
      <c r="H58" s="61" t="s">
        <v>197</v>
      </c>
      <c r="I58" s="60"/>
      <c r="J58" s="53"/>
    </row>
    <row r="59" ht="24.75" customHeight="1">
      <c r="A59" s="54">
        <v>80.0</v>
      </c>
      <c r="B59" s="56" t="s">
        <v>218</v>
      </c>
      <c r="C59" s="56" t="s">
        <v>204</v>
      </c>
      <c r="D59" s="56" t="s">
        <v>219</v>
      </c>
      <c r="E59" s="56" t="s">
        <v>196</v>
      </c>
      <c r="F59" s="57" t="s">
        <v>250</v>
      </c>
      <c r="G59" s="61"/>
      <c r="H59" s="61" t="s">
        <v>200</v>
      </c>
      <c r="I59" s="60" t="s">
        <v>201</v>
      </c>
      <c r="J59" s="53"/>
    </row>
    <row r="60" ht="24.75" customHeight="1">
      <c r="A60" s="54">
        <v>80.0</v>
      </c>
      <c r="B60" s="56" t="s">
        <v>220</v>
      </c>
      <c r="C60" s="56" t="s">
        <v>204</v>
      </c>
      <c r="D60" s="56" t="s">
        <v>221</v>
      </c>
      <c r="E60" s="56" t="s">
        <v>222</v>
      </c>
      <c r="F60" s="57" t="s">
        <v>154</v>
      </c>
      <c r="G60" s="61"/>
      <c r="H60" s="61"/>
      <c r="I60" s="60"/>
      <c r="J60" s="53"/>
    </row>
    <row r="61" ht="24.75" hidden="1" customHeight="1">
      <c r="A61" s="54">
        <v>80.0</v>
      </c>
      <c r="B61" s="56" t="s">
        <v>223</v>
      </c>
      <c r="C61" s="56" t="s">
        <v>204</v>
      </c>
      <c r="D61" s="56" t="s">
        <v>224</v>
      </c>
      <c r="E61" s="56" t="s">
        <v>225</v>
      </c>
      <c r="F61" s="57" t="s">
        <v>34</v>
      </c>
      <c r="G61" s="61"/>
      <c r="H61" s="61"/>
      <c r="I61" s="60"/>
      <c r="J61" s="53"/>
    </row>
    <row r="62" ht="24.75" customHeight="1">
      <c r="A62" s="54">
        <v>80.0</v>
      </c>
      <c r="B62" s="56" t="s">
        <v>223</v>
      </c>
      <c r="C62" s="56" t="s">
        <v>204</v>
      </c>
      <c r="D62" s="56" t="s">
        <v>224</v>
      </c>
      <c r="E62" s="56" t="s">
        <v>167</v>
      </c>
      <c r="F62" s="57" t="s">
        <v>154</v>
      </c>
      <c r="G62" s="61"/>
      <c r="H62" s="61"/>
      <c r="I62" s="60"/>
      <c r="J62" s="53"/>
    </row>
    <row r="63" ht="24.75" customHeight="1">
      <c r="A63" s="54">
        <v>80.0</v>
      </c>
      <c r="B63" s="56" t="s">
        <v>223</v>
      </c>
      <c r="C63" s="56" t="s">
        <v>204</v>
      </c>
      <c r="D63" s="56" t="s">
        <v>224</v>
      </c>
      <c r="E63" s="56" t="s">
        <v>226</v>
      </c>
      <c r="F63" s="57" t="s">
        <v>154</v>
      </c>
      <c r="G63" s="61"/>
      <c r="H63" s="61"/>
      <c r="I63" s="60"/>
      <c r="J63" s="53"/>
    </row>
    <row r="64" ht="24.75" customHeight="1">
      <c r="A64" s="54">
        <v>80.0</v>
      </c>
      <c r="B64" s="56" t="s">
        <v>227</v>
      </c>
      <c r="C64" s="56" t="s">
        <v>228</v>
      </c>
      <c r="D64" s="56" t="s">
        <v>229</v>
      </c>
      <c r="E64" s="56" t="s">
        <v>230</v>
      </c>
      <c r="F64" s="57" t="s">
        <v>154</v>
      </c>
      <c r="G64" s="61"/>
      <c r="H64" s="61"/>
      <c r="I64" s="60"/>
      <c r="J64" s="53"/>
    </row>
    <row r="65" ht="24.75" customHeight="1">
      <c r="A65" s="54">
        <v>80.0</v>
      </c>
      <c r="B65" s="56" t="s">
        <v>227</v>
      </c>
      <c r="C65" s="56" t="s">
        <v>228</v>
      </c>
      <c r="D65" s="56" t="s">
        <v>231</v>
      </c>
      <c r="E65" s="56" t="s">
        <v>232</v>
      </c>
      <c r="F65" s="57" t="s">
        <v>250</v>
      </c>
      <c r="G65" s="61"/>
      <c r="H65" s="61" t="s">
        <v>200</v>
      </c>
      <c r="I65" s="60" t="s">
        <v>240</v>
      </c>
      <c r="J65" s="53"/>
    </row>
    <row r="66" ht="24.75" customHeight="1">
      <c r="A66" s="54">
        <v>92.0</v>
      </c>
      <c r="B66" s="56" t="s">
        <v>233</v>
      </c>
      <c r="C66" s="56" t="s">
        <v>234</v>
      </c>
      <c r="D66" s="56" t="s">
        <v>235</v>
      </c>
      <c r="E66" s="56" t="s">
        <v>111</v>
      </c>
      <c r="F66" s="57" t="s">
        <v>87</v>
      </c>
      <c r="G66" s="61"/>
      <c r="H66" s="61"/>
      <c r="I66" s="60" t="s">
        <v>243</v>
      </c>
      <c r="J66" s="53"/>
    </row>
    <row r="67" ht="24.75" hidden="1" customHeight="1">
      <c r="A67" s="54">
        <v>90.0</v>
      </c>
      <c r="B67" s="56" t="s">
        <v>236</v>
      </c>
      <c r="C67" s="56" t="s">
        <v>237</v>
      </c>
      <c r="D67" s="56" t="s">
        <v>238</v>
      </c>
      <c r="E67" s="56" t="s">
        <v>239</v>
      </c>
      <c r="F67" s="57" t="s">
        <v>34</v>
      </c>
      <c r="G67" s="61"/>
      <c r="H67" s="61"/>
      <c r="I67" s="60" t="s">
        <v>245</v>
      </c>
      <c r="J67" s="53"/>
    </row>
    <row r="68" ht="24.75" hidden="1" customHeight="1">
      <c r="A68" s="54">
        <v>90.0</v>
      </c>
      <c r="B68" s="56" t="s">
        <v>236</v>
      </c>
      <c r="C68" s="56" t="s">
        <v>237</v>
      </c>
      <c r="D68" s="56" t="s">
        <v>238</v>
      </c>
      <c r="E68" s="56" t="s">
        <v>241</v>
      </c>
      <c r="F68" s="57" t="s">
        <v>34</v>
      </c>
      <c r="G68" s="61"/>
      <c r="H68" s="61"/>
      <c r="I68" s="60" t="s">
        <v>245</v>
      </c>
      <c r="J68" s="53"/>
    </row>
    <row r="69" ht="24.75" hidden="1" customHeight="1">
      <c r="A69" s="54">
        <v>90.0</v>
      </c>
      <c r="B69" s="56" t="s">
        <v>236</v>
      </c>
      <c r="C69" s="56" t="s">
        <v>237</v>
      </c>
      <c r="D69" s="56" t="s">
        <v>238</v>
      </c>
      <c r="E69" s="56" t="s">
        <v>242</v>
      </c>
      <c r="F69" s="57" t="s">
        <v>34</v>
      </c>
      <c r="G69" s="61"/>
      <c r="H69" s="61"/>
      <c r="I69" s="60" t="s">
        <v>245</v>
      </c>
      <c r="J69" s="53"/>
    </row>
    <row r="70" ht="24.75" hidden="1" customHeight="1">
      <c r="A70" s="54">
        <v>90.0</v>
      </c>
      <c r="B70" s="56" t="s">
        <v>236</v>
      </c>
      <c r="C70" s="56" t="s">
        <v>237</v>
      </c>
      <c r="D70" s="56" t="s">
        <v>238</v>
      </c>
      <c r="E70" s="56" t="s">
        <v>244</v>
      </c>
      <c r="F70" s="57" t="s">
        <v>34</v>
      </c>
      <c r="G70" s="61"/>
      <c r="H70" s="61"/>
      <c r="I70" s="60" t="s">
        <v>245</v>
      </c>
      <c r="J70" s="53"/>
    </row>
    <row r="71" ht="24.75" hidden="1" customHeight="1">
      <c r="A71" s="54">
        <v>90.0</v>
      </c>
      <c r="B71" s="56" t="s">
        <v>236</v>
      </c>
      <c r="C71" s="56" t="s">
        <v>237</v>
      </c>
      <c r="D71" s="56" t="s">
        <v>238</v>
      </c>
      <c r="E71" s="56" t="s">
        <v>247</v>
      </c>
      <c r="F71" s="57" t="s">
        <v>34</v>
      </c>
      <c r="G71" s="61"/>
      <c r="H71" s="61"/>
      <c r="I71" s="60" t="s">
        <v>245</v>
      </c>
      <c r="J71" s="53"/>
    </row>
    <row r="72" ht="24.75" hidden="1" customHeight="1">
      <c r="A72" s="54">
        <v>90.0</v>
      </c>
      <c r="B72" s="56" t="s">
        <v>236</v>
      </c>
      <c r="C72" s="56" t="s">
        <v>237</v>
      </c>
      <c r="D72" s="56" t="s">
        <v>238</v>
      </c>
      <c r="E72" s="56" t="s">
        <v>248</v>
      </c>
      <c r="F72" s="57" t="s">
        <v>34</v>
      </c>
      <c r="G72" s="61"/>
      <c r="H72" s="61"/>
      <c r="I72" s="60"/>
      <c r="J72" s="53"/>
    </row>
    <row r="73" ht="24.75" hidden="1" customHeight="1">
      <c r="A73" s="54">
        <v>90.0</v>
      </c>
      <c r="B73" s="56" t="s">
        <v>236</v>
      </c>
      <c r="C73" s="56" t="s">
        <v>237</v>
      </c>
      <c r="D73" s="56" t="s">
        <v>238</v>
      </c>
      <c r="E73" s="56" t="s">
        <v>252</v>
      </c>
      <c r="F73" s="57" t="s">
        <v>34</v>
      </c>
      <c r="G73" s="61"/>
      <c r="H73" s="61"/>
      <c r="I73" s="60" t="s">
        <v>245</v>
      </c>
      <c r="J73" s="53"/>
    </row>
    <row r="74" ht="24.75" customHeight="1">
      <c r="A74" s="54">
        <v>92.0</v>
      </c>
      <c r="B74" s="56" t="s">
        <v>253</v>
      </c>
      <c r="C74" s="56" t="s">
        <v>234</v>
      </c>
      <c r="D74" s="56" t="s">
        <v>254</v>
      </c>
      <c r="E74" s="56" t="s">
        <v>111</v>
      </c>
      <c r="F74" s="57" t="s">
        <v>87</v>
      </c>
      <c r="G74" s="61"/>
      <c r="H74" s="61"/>
      <c r="I74" s="60" t="s">
        <v>243</v>
      </c>
      <c r="J74" s="53"/>
    </row>
    <row r="75" ht="24.75" customHeight="1">
      <c r="A75" s="54">
        <v>92.0</v>
      </c>
      <c r="B75" s="56" t="s">
        <v>255</v>
      </c>
      <c r="C75" s="56" t="s">
        <v>234</v>
      </c>
      <c r="D75" s="56" t="s">
        <v>256</v>
      </c>
      <c r="E75" s="56" t="s">
        <v>257</v>
      </c>
      <c r="F75" s="57" t="s">
        <v>87</v>
      </c>
      <c r="G75" s="61"/>
      <c r="H75" s="61"/>
      <c r="I75" s="60"/>
      <c r="J75" s="53"/>
    </row>
    <row r="76" ht="24.75" customHeight="1">
      <c r="A76" s="54">
        <v>110.0</v>
      </c>
      <c r="B76" s="56" t="s">
        <v>258</v>
      </c>
      <c r="C76" s="56" t="s">
        <v>259</v>
      </c>
      <c r="D76" s="56" t="s">
        <v>85</v>
      </c>
      <c r="E76" s="56" t="s">
        <v>86</v>
      </c>
      <c r="F76" s="57" t="s">
        <v>87</v>
      </c>
      <c r="G76" s="61"/>
      <c r="H76" s="61"/>
      <c r="I76" s="60" t="s">
        <v>88</v>
      </c>
      <c r="J76" s="53"/>
    </row>
    <row r="77" ht="24.75" customHeight="1">
      <c r="A77" s="54">
        <v>110.0</v>
      </c>
      <c r="B77" s="56" t="s">
        <v>260</v>
      </c>
      <c r="C77" s="56" t="s">
        <v>259</v>
      </c>
      <c r="D77" s="56" t="s">
        <v>261</v>
      </c>
      <c r="E77" s="56" t="s">
        <v>86</v>
      </c>
      <c r="F77" s="57" t="s">
        <v>87</v>
      </c>
      <c r="G77" s="61"/>
      <c r="H77" s="61"/>
      <c r="I77" s="60" t="s">
        <v>88</v>
      </c>
      <c r="J77" s="53"/>
    </row>
    <row r="78" ht="24.75" customHeight="1">
      <c r="A78" s="54">
        <v>120.0</v>
      </c>
      <c r="B78" s="56" t="s">
        <v>262</v>
      </c>
      <c r="C78" s="56" t="s">
        <v>263</v>
      </c>
      <c r="D78" s="56" t="s">
        <v>263</v>
      </c>
      <c r="E78" s="56" t="s">
        <v>264</v>
      </c>
      <c r="F78" s="57" t="s">
        <v>87</v>
      </c>
      <c r="G78" s="61"/>
      <c r="H78" s="61"/>
      <c r="I78" s="60" t="s">
        <v>273</v>
      </c>
      <c r="J78" s="53"/>
    </row>
    <row r="79" ht="24.75" customHeight="1">
      <c r="A79" s="54">
        <v>90.0</v>
      </c>
      <c r="B79" s="56" t="s">
        <v>265</v>
      </c>
      <c r="C79" s="56" t="s">
        <v>237</v>
      </c>
      <c r="D79" s="56" t="s">
        <v>266</v>
      </c>
      <c r="E79" s="56" t="s">
        <v>267</v>
      </c>
      <c r="F79" s="57" t="s">
        <v>192</v>
      </c>
      <c r="G79" s="61"/>
      <c r="H79" s="61"/>
      <c r="I79" s="60" t="s">
        <v>245</v>
      </c>
      <c r="J79" s="53"/>
    </row>
    <row r="80" ht="24.75" hidden="1" customHeight="1">
      <c r="A80" s="54">
        <v>90.0</v>
      </c>
      <c r="B80" s="56" t="s">
        <v>265</v>
      </c>
      <c r="C80" s="56" t="s">
        <v>237</v>
      </c>
      <c r="D80" s="56" t="s">
        <v>266</v>
      </c>
      <c r="E80" s="56" t="s">
        <v>268</v>
      </c>
      <c r="F80" s="57" t="s">
        <v>34</v>
      </c>
      <c r="G80" s="61"/>
      <c r="H80" s="61"/>
      <c r="I80" s="60" t="s">
        <v>245</v>
      </c>
      <c r="J80" s="53"/>
    </row>
    <row r="81" ht="24.75" customHeight="1">
      <c r="A81" s="54">
        <v>140.0</v>
      </c>
      <c r="B81" s="56" t="s">
        <v>269</v>
      </c>
      <c r="C81" s="56" t="s">
        <v>270</v>
      </c>
      <c r="D81" s="56" t="s">
        <v>271</v>
      </c>
      <c r="E81" s="56" t="s">
        <v>272</v>
      </c>
      <c r="F81" s="57" t="s">
        <v>87</v>
      </c>
      <c r="G81" s="61"/>
      <c r="H81" s="61"/>
      <c r="I81" s="60"/>
      <c r="J81" s="53"/>
    </row>
    <row r="82" ht="24.75" hidden="1" customHeight="1">
      <c r="A82" s="54">
        <v>90.0</v>
      </c>
      <c r="B82" s="56" t="s">
        <v>274</v>
      </c>
      <c r="C82" s="56" t="s">
        <v>237</v>
      </c>
      <c r="D82" s="56" t="s">
        <v>275</v>
      </c>
      <c r="E82" s="56" t="s">
        <v>239</v>
      </c>
      <c r="F82" s="57" t="s">
        <v>34</v>
      </c>
      <c r="G82" s="61"/>
      <c r="H82" s="61"/>
      <c r="I82" s="60" t="s">
        <v>245</v>
      </c>
      <c r="J82" s="53"/>
    </row>
    <row r="83" ht="24.75" hidden="1" customHeight="1">
      <c r="A83" s="54">
        <v>90.0</v>
      </c>
      <c r="B83" s="56" t="s">
        <v>274</v>
      </c>
      <c r="C83" s="56" t="s">
        <v>237</v>
      </c>
      <c r="D83" s="56" t="s">
        <v>275</v>
      </c>
      <c r="E83" s="56" t="s">
        <v>248</v>
      </c>
      <c r="F83" s="57" t="s">
        <v>34</v>
      </c>
      <c r="G83" s="61"/>
      <c r="H83" s="61"/>
      <c r="I83" s="60"/>
      <c r="J83" s="53"/>
    </row>
    <row r="84" ht="24.75" customHeight="1">
      <c r="A84" s="54">
        <v>140.0</v>
      </c>
      <c r="B84" s="56" t="s">
        <v>269</v>
      </c>
      <c r="C84" s="56" t="s">
        <v>270</v>
      </c>
      <c r="D84" s="56" t="s">
        <v>271</v>
      </c>
      <c r="E84" s="56" t="s">
        <v>276</v>
      </c>
      <c r="F84" s="57" t="s">
        <v>87</v>
      </c>
      <c r="G84" s="61"/>
      <c r="H84" s="61"/>
      <c r="I84" s="60" t="s">
        <v>88</v>
      </c>
      <c r="J84" s="53"/>
    </row>
    <row r="85" ht="24.75" hidden="1" customHeight="1">
      <c r="A85" s="54">
        <v>90.0</v>
      </c>
      <c r="B85" s="56" t="s">
        <v>277</v>
      </c>
      <c r="C85" s="56" t="s">
        <v>278</v>
      </c>
      <c r="D85" s="56" t="s">
        <v>279</v>
      </c>
      <c r="E85" s="56" t="s">
        <v>239</v>
      </c>
      <c r="F85" s="57" t="s">
        <v>34</v>
      </c>
      <c r="G85" s="61"/>
      <c r="H85" s="61"/>
      <c r="I85" s="60" t="s">
        <v>283</v>
      </c>
      <c r="J85" s="53"/>
    </row>
    <row r="86" ht="24.75" hidden="1" customHeight="1">
      <c r="A86" s="54">
        <v>90.0</v>
      </c>
      <c r="B86" s="56" t="s">
        <v>277</v>
      </c>
      <c r="C86" s="56" t="s">
        <v>278</v>
      </c>
      <c r="D86" s="56" t="s">
        <v>279</v>
      </c>
      <c r="E86" s="56" t="s">
        <v>163</v>
      </c>
      <c r="F86" s="57" t="s">
        <v>34</v>
      </c>
      <c r="G86" s="61"/>
      <c r="H86" s="61"/>
      <c r="I86" s="60" t="s">
        <v>283</v>
      </c>
      <c r="J86" s="53"/>
    </row>
    <row r="87" ht="24.75" hidden="1" customHeight="1">
      <c r="A87" s="54">
        <v>90.0</v>
      </c>
      <c r="B87" s="56" t="s">
        <v>277</v>
      </c>
      <c r="C87" s="56" t="s">
        <v>278</v>
      </c>
      <c r="D87" s="56" t="s">
        <v>279</v>
      </c>
      <c r="E87" s="56" t="s">
        <v>241</v>
      </c>
      <c r="F87" s="57" t="s">
        <v>34</v>
      </c>
      <c r="G87" s="61"/>
      <c r="H87" s="61"/>
      <c r="I87" s="60" t="s">
        <v>283</v>
      </c>
      <c r="J87" s="53"/>
    </row>
    <row r="88" ht="24.75" customHeight="1">
      <c r="A88" s="54">
        <v>90.0</v>
      </c>
      <c r="B88" s="56" t="s">
        <v>280</v>
      </c>
      <c r="C88" s="56" t="s">
        <v>278</v>
      </c>
      <c r="D88" s="56" t="s">
        <v>281</v>
      </c>
      <c r="E88" s="56" t="s">
        <v>196</v>
      </c>
      <c r="F88" s="57" t="s">
        <v>250</v>
      </c>
      <c r="G88" s="61"/>
      <c r="H88" s="61" t="s">
        <v>287</v>
      </c>
      <c r="I88" s="60" t="s">
        <v>288</v>
      </c>
      <c r="J88" s="53"/>
    </row>
    <row r="89" ht="24.75" customHeight="1">
      <c r="A89" s="54">
        <v>140.0</v>
      </c>
      <c r="B89" s="56" t="s">
        <v>284</v>
      </c>
      <c r="C89" s="56" t="s">
        <v>270</v>
      </c>
      <c r="D89" s="56" t="s">
        <v>285</v>
      </c>
      <c r="E89" s="56" t="s">
        <v>272</v>
      </c>
      <c r="F89" s="57" t="s">
        <v>87</v>
      </c>
      <c r="G89" s="61"/>
      <c r="H89" s="61"/>
      <c r="I89" s="60"/>
      <c r="J89" s="53"/>
    </row>
    <row r="90" ht="24.75" customHeight="1">
      <c r="A90" s="54">
        <v>140.0</v>
      </c>
      <c r="B90" s="56" t="s">
        <v>284</v>
      </c>
      <c r="C90" s="56" t="s">
        <v>270</v>
      </c>
      <c r="D90" s="56" t="s">
        <v>285</v>
      </c>
      <c r="E90" s="56" t="s">
        <v>276</v>
      </c>
      <c r="F90" s="57" t="s">
        <v>87</v>
      </c>
      <c r="G90" s="61"/>
      <c r="H90" s="61"/>
      <c r="I90" s="60" t="s">
        <v>88</v>
      </c>
      <c r="J90" s="53"/>
    </row>
    <row r="91" ht="24.75" hidden="1" customHeight="1">
      <c r="A91" s="54">
        <v>90.0</v>
      </c>
      <c r="B91" s="56" t="s">
        <v>286</v>
      </c>
      <c r="C91" s="56" t="s">
        <v>278</v>
      </c>
      <c r="D91" s="56" t="s">
        <v>266</v>
      </c>
      <c r="E91" s="56" t="s">
        <v>268</v>
      </c>
      <c r="F91" s="57" t="s">
        <v>34</v>
      </c>
      <c r="G91" s="61"/>
      <c r="H91" s="61"/>
      <c r="I91" s="60" t="s">
        <v>283</v>
      </c>
      <c r="J91" s="53"/>
    </row>
    <row r="92" ht="24.75" customHeight="1">
      <c r="A92" s="54" t="s">
        <v>289</v>
      </c>
      <c r="B92" s="56" t="s">
        <v>290</v>
      </c>
      <c r="C92" s="56" t="s">
        <v>291</v>
      </c>
      <c r="D92" s="56" t="s">
        <v>292</v>
      </c>
      <c r="E92" s="56" t="s">
        <v>167</v>
      </c>
      <c r="F92" s="57" t="s">
        <v>87</v>
      </c>
      <c r="G92" s="61"/>
      <c r="H92" s="79"/>
      <c r="I92" s="60"/>
      <c r="J92" s="53"/>
    </row>
    <row r="93" ht="24.75" hidden="1" customHeight="1">
      <c r="A93" s="54">
        <v>90.0</v>
      </c>
      <c r="B93" s="56" t="s">
        <v>294</v>
      </c>
      <c r="C93" s="56" t="s">
        <v>278</v>
      </c>
      <c r="D93" s="56" t="s">
        <v>275</v>
      </c>
      <c r="E93" s="56" t="s">
        <v>239</v>
      </c>
      <c r="F93" s="57" t="s">
        <v>34</v>
      </c>
      <c r="G93" s="61"/>
      <c r="H93" s="61"/>
      <c r="I93" s="60"/>
      <c r="J93" s="53"/>
    </row>
    <row r="94" ht="24.75" customHeight="1">
      <c r="A94" s="54" t="s">
        <v>289</v>
      </c>
      <c r="B94" s="56" t="s">
        <v>290</v>
      </c>
      <c r="C94" s="56" t="s">
        <v>291</v>
      </c>
      <c r="D94" s="56" t="s">
        <v>292</v>
      </c>
      <c r="E94" s="56" t="s">
        <v>295</v>
      </c>
      <c r="F94" s="57" t="s">
        <v>87</v>
      </c>
      <c r="G94" s="61"/>
      <c r="H94" s="79"/>
      <c r="I94" s="60"/>
      <c r="J94" s="53"/>
    </row>
    <row r="95" ht="24.75" hidden="1" customHeight="1">
      <c r="A95" s="54">
        <v>92.0</v>
      </c>
      <c r="B95" s="56" t="s">
        <v>233</v>
      </c>
      <c r="C95" s="56" t="s">
        <v>234</v>
      </c>
      <c r="D95" s="56" t="s">
        <v>296</v>
      </c>
      <c r="E95" s="56" t="s">
        <v>297</v>
      </c>
      <c r="F95" s="57"/>
      <c r="G95" s="61"/>
      <c r="H95" s="61"/>
      <c r="I95" s="62" t="s">
        <v>283</v>
      </c>
      <c r="J95" s="53"/>
    </row>
    <row r="96" ht="24.75" hidden="1" customHeight="1">
      <c r="A96" s="54">
        <v>90.0</v>
      </c>
      <c r="B96" s="56" t="s">
        <v>298</v>
      </c>
      <c r="C96" s="56" t="s">
        <v>278</v>
      </c>
      <c r="D96" s="56" t="s">
        <v>299</v>
      </c>
      <c r="E96" s="56" t="s">
        <v>167</v>
      </c>
      <c r="F96" s="57" t="s">
        <v>15</v>
      </c>
      <c r="G96" s="61"/>
      <c r="H96" s="61"/>
      <c r="I96" s="60"/>
      <c r="J96" s="53"/>
    </row>
    <row r="97" ht="24.75" hidden="1" customHeight="1">
      <c r="A97" s="54">
        <v>92.0</v>
      </c>
      <c r="B97" s="56" t="s">
        <v>253</v>
      </c>
      <c r="C97" s="56" t="s">
        <v>234</v>
      </c>
      <c r="D97" s="56" t="s">
        <v>300</v>
      </c>
      <c r="E97" s="56" t="s">
        <v>297</v>
      </c>
      <c r="F97" s="57"/>
      <c r="G97" s="61"/>
      <c r="H97" s="61"/>
      <c r="I97" s="62" t="s">
        <v>283</v>
      </c>
      <c r="J97" s="53"/>
    </row>
    <row r="98" ht="24.75" hidden="1" customHeight="1">
      <c r="A98" s="54">
        <v>92.0</v>
      </c>
      <c r="B98" s="56" t="s">
        <v>301</v>
      </c>
      <c r="C98" s="56" t="s">
        <v>234</v>
      </c>
      <c r="D98" s="56" t="s">
        <v>302</v>
      </c>
      <c r="E98" s="56" t="s">
        <v>163</v>
      </c>
      <c r="F98" s="57" t="s">
        <v>34</v>
      </c>
      <c r="G98" s="61"/>
      <c r="H98" s="61"/>
      <c r="I98" s="60"/>
      <c r="J98" s="53"/>
    </row>
    <row r="99" ht="24.75" customHeight="1">
      <c r="A99" s="54">
        <v>92.0</v>
      </c>
      <c r="B99" s="56" t="s">
        <v>301</v>
      </c>
      <c r="C99" s="56" t="s">
        <v>234</v>
      </c>
      <c r="D99" s="56" t="s">
        <v>302</v>
      </c>
      <c r="E99" s="56" t="s">
        <v>111</v>
      </c>
      <c r="F99" s="57" t="s">
        <v>154</v>
      </c>
      <c r="G99" s="61"/>
      <c r="H99" s="61"/>
      <c r="I99" s="60"/>
      <c r="J99" s="53"/>
    </row>
    <row r="100" ht="24.75" customHeight="1">
      <c r="A100" s="54">
        <v>92.0</v>
      </c>
      <c r="B100" s="56" t="s">
        <v>301</v>
      </c>
      <c r="C100" s="56" t="s">
        <v>234</v>
      </c>
      <c r="D100" s="56" t="s">
        <v>302</v>
      </c>
      <c r="E100" s="56" t="s">
        <v>248</v>
      </c>
      <c r="F100" s="57" t="s">
        <v>303</v>
      </c>
      <c r="G100" s="61"/>
      <c r="H100" s="61"/>
      <c r="I100" s="60"/>
      <c r="J100" s="53"/>
    </row>
    <row r="101" ht="24.75" customHeight="1">
      <c r="A101" s="54">
        <v>92.0</v>
      </c>
      <c r="B101" s="56" t="s">
        <v>301</v>
      </c>
      <c r="C101" s="56" t="s">
        <v>234</v>
      </c>
      <c r="D101" s="56" t="s">
        <v>302</v>
      </c>
      <c r="E101" s="56" t="s">
        <v>247</v>
      </c>
      <c r="F101" s="57" t="s">
        <v>303</v>
      </c>
      <c r="G101" s="61"/>
      <c r="H101" s="61"/>
      <c r="I101" s="60"/>
      <c r="J101" s="53"/>
    </row>
    <row r="102" ht="24.75" hidden="1" customHeight="1">
      <c r="A102" s="54">
        <v>92.0</v>
      </c>
      <c r="B102" s="56" t="s">
        <v>304</v>
      </c>
      <c r="C102" s="56" t="s">
        <v>234</v>
      </c>
      <c r="D102" s="56" t="s">
        <v>305</v>
      </c>
      <c r="E102" s="56" t="s">
        <v>163</v>
      </c>
      <c r="F102" s="57" t="s">
        <v>34</v>
      </c>
      <c r="G102" s="61"/>
      <c r="H102" s="61"/>
      <c r="I102" s="60"/>
      <c r="J102" s="53"/>
    </row>
    <row r="103" ht="24.75" customHeight="1">
      <c r="A103" s="54">
        <v>92.0</v>
      </c>
      <c r="B103" s="56" t="s">
        <v>304</v>
      </c>
      <c r="C103" s="56" t="s">
        <v>234</v>
      </c>
      <c r="D103" s="56" t="s">
        <v>305</v>
      </c>
      <c r="E103" s="56" t="s">
        <v>111</v>
      </c>
      <c r="F103" s="57" t="s">
        <v>154</v>
      </c>
      <c r="G103" s="61"/>
      <c r="H103" s="61"/>
      <c r="I103" s="60"/>
      <c r="J103" s="53"/>
    </row>
    <row r="104" ht="24.75" customHeight="1">
      <c r="A104" s="54">
        <v>92.0</v>
      </c>
      <c r="B104" s="56" t="s">
        <v>304</v>
      </c>
      <c r="C104" s="56" t="s">
        <v>234</v>
      </c>
      <c r="D104" s="56" t="s">
        <v>305</v>
      </c>
      <c r="E104" s="56" t="s">
        <v>248</v>
      </c>
      <c r="F104" s="57" t="s">
        <v>303</v>
      </c>
      <c r="G104" s="61"/>
      <c r="H104" s="61"/>
      <c r="I104" s="60"/>
      <c r="J104" s="53"/>
    </row>
    <row r="105" ht="24.75" customHeight="1">
      <c r="A105" s="54">
        <v>92.0</v>
      </c>
      <c r="B105" s="56" t="s">
        <v>304</v>
      </c>
      <c r="C105" s="56" t="s">
        <v>234</v>
      </c>
      <c r="D105" s="56" t="s">
        <v>305</v>
      </c>
      <c r="E105" s="56" t="s">
        <v>247</v>
      </c>
      <c r="F105" s="57" t="s">
        <v>303</v>
      </c>
      <c r="G105" s="61"/>
      <c r="H105" s="61"/>
      <c r="I105" s="60"/>
      <c r="J105" s="53"/>
    </row>
    <row r="106" ht="24.75" hidden="1" customHeight="1">
      <c r="A106" s="54">
        <v>92.0</v>
      </c>
      <c r="B106" s="56" t="s">
        <v>306</v>
      </c>
      <c r="C106" s="56" t="s">
        <v>234</v>
      </c>
      <c r="D106" s="56" t="s">
        <v>307</v>
      </c>
      <c r="E106" s="56" t="s">
        <v>163</v>
      </c>
      <c r="F106" s="57" t="s">
        <v>34</v>
      </c>
      <c r="G106" s="61"/>
      <c r="H106" s="61"/>
      <c r="I106" s="60"/>
      <c r="J106" s="53"/>
    </row>
    <row r="107" ht="24.75" customHeight="1">
      <c r="A107" s="54">
        <v>92.0</v>
      </c>
      <c r="B107" s="56" t="s">
        <v>306</v>
      </c>
      <c r="C107" s="56" t="s">
        <v>234</v>
      </c>
      <c r="D107" s="56" t="s">
        <v>307</v>
      </c>
      <c r="E107" s="56" t="s">
        <v>111</v>
      </c>
      <c r="F107" s="57" t="s">
        <v>154</v>
      </c>
      <c r="G107" s="61"/>
      <c r="H107" s="61"/>
      <c r="I107" s="60"/>
      <c r="J107" s="53"/>
    </row>
    <row r="108" ht="24.75" customHeight="1">
      <c r="A108" s="54">
        <v>92.0</v>
      </c>
      <c r="B108" s="56" t="s">
        <v>306</v>
      </c>
      <c r="C108" s="56" t="s">
        <v>234</v>
      </c>
      <c r="D108" s="56" t="s">
        <v>307</v>
      </c>
      <c r="E108" s="56" t="s">
        <v>248</v>
      </c>
      <c r="F108" s="57" t="s">
        <v>303</v>
      </c>
      <c r="G108" s="61"/>
      <c r="H108" s="61"/>
      <c r="I108" s="60"/>
      <c r="J108" s="53"/>
    </row>
    <row r="109" ht="24.75" customHeight="1">
      <c r="A109" s="54">
        <v>92.0</v>
      </c>
      <c r="B109" s="56" t="s">
        <v>306</v>
      </c>
      <c r="C109" s="56" t="s">
        <v>234</v>
      </c>
      <c r="D109" s="56" t="s">
        <v>307</v>
      </c>
      <c r="E109" s="56" t="s">
        <v>247</v>
      </c>
      <c r="F109" s="57" t="s">
        <v>303</v>
      </c>
      <c r="G109" s="61"/>
      <c r="H109" s="61"/>
      <c r="I109" s="60"/>
      <c r="J109" s="53"/>
    </row>
    <row r="110" ht="24.75" hidden="1" customHeight="1">
      <c r="A110" s="54">
        <v>90.0</v>
      </c>
      <c r="B110" s="56" t="s">
        <v>236</v>
      </c>
      <c r="C110" s="56" t="s">
        <v>237</v>
      </c>
      <c r="D110" s="56" t="s">
        <v>238</v>
      </c>
      <c r="E110" s="56" t="s">
        <v>308</v>
      </c>
      <c r="F110" s="57" t="s">
        <v>15</v>
      </c>
      <c r="G110" s="61"/>
      <c r="H110" s="61"/>
      <c r="I110" s="60"/>
      <c r="J110" s="53"/>
    </row>
    <row r="111" ht="24.75" hidden="1" customHeight="1">
      <c r="A111" s="54">
        <v>92.0</v>
      </c>
      <c r="B111" s="56" t="s">
        <v>309</v>
      </c>
      <c r="C111" s="56" t="s">
        <v>234</v>
      </c>
      <c r="D111" s="80" t="s">
        <v>310</v>
      </c>
      <c r="E111" s="56" t="s">
        <v>297</v>
      </c>
      <c r="F111" s="57"/>
      <c r="G111" s="61"/>
      <c r="H111" s="61"/>
      <c r="I111" s="62"/>
      <c r="J111" s="53"/>
    </row>
    <row r="112" ht="24.75" hidden="1" customHeight="1">
      <c r="A112" s="54">
        <v>90.0</v>
      </c>
      <c r="B112" s="56" t="s">
        <v>236</v>
      </c>
      <c r="C112" s="56" t="s">
        <v>237</v>
      </c>
      <c r="D112" s="56" t="s">
        <v>238</v>
      </c>
      <c r="E112" s="56" t="s">
        <v>311</v>
      </c>
      <c r="F112" s="57" t="s">
        <v>15</v>
      </c>
      <c r="G112" s="61"/>
      <c r="H112" s="61"/>
      <c r="I112" s="60"/>
      <c r="J112" s="53"/>
    </row>
    <row r="113" ht="24.75" hidden="1" customHeight="1">
      <c r="A113" s="54">
        <v>90.0</v>
      </c>
      <c r="B113" s="56" t="s">
        <v>236</v>
      </c>
      <c r="C113" s="56" t="s">
        <v>237</v>
      </c>
      <c r="D113" s="56" t="s">
        <v>238</v>
      </c>
      <c r="E113" s="56" t="s">
        <v>312</v>
      </c>
      <c r="F113" s="57" t="s">
        <v>15</v>
      </c>
      <c r="G113" s="61"/>
      <c r="H113" s="61"/>
      <c r="I113" s="60"/>
      <c r="J113" s="53"/>
    </row>
    <row r="114" ht="24.75" hidden="1" customHeight="1">
      <c r="A114" s="54">
        <v>100.0</v>
      </c>
      <c r="B114" s="56" t="s">
        <v>314</v>
      </c>
      <c r="C114" s="56" t="s">
        <v>315</v>
      </c>
      <c r="D114" s="56" t="s">
        <v>316</v>
      </c>
      <c r="E114" s="56" t="s">
        <v>317</v>
      </c>
      <c r="F114" s="57" t="s">
        <v>34</v>
      </c>
      <c r="G114" s="81"/>
      <c r="H114" s="81"/>
      <c r="I114" s="93"/>
      <c r="J114" s="53"/>
    </row>
    <row r="115" ht="24.75" hidden="1" customHeight="1">
      <c r="A115" s="54">
        <v>100.0</v>
      </c>
      <c r="B115" s="56" t="s">
        <v>318</v>
      </c>
      <c r="C115" s="56" t="s">
        <v>315</v>
      </c>
      <c r="D115" s="56" t="s">
        <v>319</v>
      </c>
      <c r="E115" s="56" t="s">
        <v>320</v>
      </c>
      <c r="F115" s="57" t="s">
        <v>34</v>
      </c>
      <c r="G115" s="81"/>
      <c r="H115" s="81"/>
      <c r="I115" s="93"/>
      <c r="J115" s="5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82"/>
      <c r="EB115" s="82"/>
      <c r="EC115" s="82"/>
      <c r="ED115" s="82"/>
      <c r="EE115" s="82"/>
      <c r="EF115" s="82"/>
      <c r="EG115" s="82"/>
      <c r="EH115" s="82"/>
      <c r="EI115" s="82"/>
      <c r="EJ115" s="82"/>
      <c r="EK115" s="82"/>
      <c r="EL115" s="82"/>
      <c r="EM115" s="82"/>
      <c r="EN115" s="82"/>
      <c r="EO115" s="82"/>
      <c r="EP115" s="82"/>
      <c r="EQ115" s="82"/>
      <c r="ER115" s="82"/>
      <c r="ES115" s="82"/>
      <c r="ET115" s="82"/>
      <c r="EU115" s="82"/>
      <c r="EV115" s="82"/>
      <c r="EW115" s="82"/>
      <c r="EX115" s="82"/>
      <c r="EY115" s="82"/>
      <c r="EZ115" s="82"/>
      <c r="FA115" s="82"/>
      <c r="FB115" s="82"/>
      <c r="FC115" s="82"/>
      <c r="FD115" s="82"/>
      <c r="FE115" s="82"/>
      <c r="FF115" s="82"/>
      <c r="FG115" s="82"/>
      <c r="FH115" s="82"/>
      <c r="FI115" s="82"/>
      <c r="FJ115" s="82"/>
      <c r="FK115" s="82"/>
      <c r="FL115" s="82"/>
      <c r="FM115" s="82"/>
      <c r="FN115" s="82"/>
      <c r="FO115" s="82"/>
      <c r="FP115" s="82"/>
      <c r="FQ115" s="82"/>
      <c r="FR115" s="82"/>
      <c r="FS115" s="82"/>
      <c r="FT115" s="82"/>
      <c r="FU115" s="82"/>
      <c r="FV115" s="82"/>
      <c r="FW115" s="82"/>
      <c r="FX115" s="82"/>
      <c r="FY115" s="82"/>
      <c r="FZ115" s="82"/>
      <c r="GA115" s="82"/>
      <c r="GB115" s="82"/>
      <c r="GC115" s="82"/>
      <c r="GD115" s="82"/>
      <c r="GE115" s="82"/>
      <c r="GF115" s="82"/>
    </row>
    <row r="116" ht="24.75" hidden="1" customHeight="1">
      <c r="A116" s="54">
        <v>100.0</v>
      </c>
      <c r="B116" s="56" t="s">
        <v>318</v>
      </c>
      <c r="C116" s="56" t="s">
        <v>315</v>
      </c>
      <c r="D116" s="56" t="s">
        <v>319</v>
      </c>
      <c r="E116" s="56" t="s">
        <v>325</v>
      </c>
      <c r="F116" s="57" t="s">
        <v>34</v>
      </c>
      <c r="G116" s="53"/>
      <c r="H116" s="53"/>
      <c r="I116" s="109"/>
      <c r="J116" s="5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F116" s="82"/>
      <c r="EG116" s="82"/>
      <c r="EH116" s="82"/>
      <c r="EI116" s="82"/>
      <c r="EJ116" s="82"/>
      <c r="EK116" s="82"/>
      <c r="EL116" s="82"/>
      <c r="EM116" s="82"/>
      <c r="EN116" s="82"/>
      <c r="EO116" s="82"/>
      <c r="EP116" s="82"/>
      <c r="EQ116" s="82"/>
      <c r="ER116" s="82"/>
      <c r="ES116" s="82"/>
      <c r="ET116" s="82"/>
      <c r="EU116" s="82"/>
      <c r="EV116" s="82"/>
      <c r="EW116" s="82"/>
      <c r="EX116" s="82"/>
      <c r="EY116" s="82"/>
      <c r="EZ116" s="82"/>
      <c r="FA116" s="82"/>
      <c r="FB116" s="82"/>
      <c r="FC116" s="82"/>
      <c r="FD116" s="82"/>
      <c r="FE116" s="82"/>
      <c r="FF116" s="82"/>
      <c r="FG116" s="82"/>
      <c r="FH116" s="82"/>
      <c r="FI116" s="82"/>
      <c r="FJ116" s="82"/>
      <c r="FK116" s="82"/>
      <c r="FL116" s="82"/>
      <c r="FM116" s="82"/>
      <c r="FN116" s="82"/>
      <c r="FO116" s="82"/>
      <c r="FP116" s="82"/>
      <c r="FQ116" s="82"/>
      <c r="FR116" s="82"/>
      <c r="FS116" s="82"/>
      <c r="FT116" s="82"/>
      <c r="FU116" s="82"/>
      <c r="FV116" s="82"/>
      <c r="FW116" s="82"/>
      <c r="FX116" s="82"/>
      <c r="FY116" s="82"/>
      <c r="FZ116" s="82"/>
      <c r="GA116" s="82"/>
      <c r="GB116" s="82"/>
      <c r="GC116" s="82"/>
      <c r="GD116" s="82"/>
      <c r="GE116" s="82"/>
      <c r="GF116" s="82"/>
    </row>
    <row r="117" ht="24.75" hidden="1" customHeight="1">
      <c r="A117" s="54">
        <v>100.0</v>
      </c>
      <c r="B117" s="56" t="s">
        <v>328</v>
      </c>
      <c r="C117" s="56" t="s">
        <v>315</v>
      </c>
      <c r="D117" s="56" t="s">
        <v>329</v>
      </c>
      <c r="E117" s="56" t="s">
        <v>320</v>
      </c>
      <c r="F117" s="57" t="s">
        <v>34</v>
      </c>
      <c r="G117" s="53"/>
      <c r="H117" s="53"/>
      <c r="I117" s="109"/>
      <c r="J117" s="5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  <c r="FU117" s="82"/>
      <c r="FV117" s="82"/>
      <c r="FW117" s="82"/>
      <c r="FX117" s="82"/>
      <c r="FY117" s="82"/>
      <c r="FZ117" s="82"/>
      <c r="GA117" s="82"/>
      <c r="GB117" s="82"/>
      <c r="GC117" s="82"/>
      <c r="GD117" s="82"/>
      <c r="GE117" s="82"/>
      <c r="GF117" s="82"/>
    </row>
    <row r="118" ht="24.75" hidden="1" customHeight="1">
      <c r="A118" s="54">
        <v>100.0</v>
      </c>
      <c r="B118" s="56" t="s">
        <v>328</v>
      </c>
      <c r="C118" s="56" t="s">
        <v>315</v>
      </c>
      <c r="D118" s="56" t="s">
        <v>329</v>
      </c>
      <c r="E118" s="56" t="s">
        <v>325</v>
      </c>
      <c r="F118" s="57" t="s">
        <v>34</v>
      </c>
      <c r="G118" s="53"/>
      <c r="H118" s="53"/>
      <c r="I118" s="109"/>
      <c r="J118" s="5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  <c r="FU118" s="82"/>
      <c r="FV118" s="82"/>
      <c r="FW118" s="82"/>
      <c r="FX118" s="82"/>
      <c r="FY118" s="82"/>
      <c r="FZ118" s="82"/>
      <c r="GA118" s="82"/>
      <c r="GB118" s="82"/>
      <c r="GC118" s="82"/>
      <c r="GD118" s="82"/>
      <c r="GE118" s="82"/>
      <c r="GF118" s="82"/>
    </row>
    <row r="119" ht="24.75" customHeight="1">
      <c r="A119" s="54">
        <v>100.0</v>
      </c>
      <c r="B119" s="56" t="s">
        <v>331</v>
      </c>
      <c r="C119" s="56" t="s">
        <v>315</v>
      </c>
      <c r="D119" s="56" t="s">
        <v>332</v>
      </c>
      <c r="E119" s="56" t="s">
        <v>333</v>
      </c>
      <c r="F119" s="57" t="s">
        <v>250</v>
      </c>
      <c r="G119" s="50"/>
      <c r="H119" s="61" t="s">
        <v>346</v>
      </c>
      <c r="I119" s="110" t="s">
        <v>347</v>
      </c>
      <c r="J119" s="53"/>
    </row>
    <row r="120" ht="24.75" customHeight="1">
      <c r="A120" s="54">
        <v>100.0</v>
      </c>
      <c r="B120" s="56" t="s">
        <v>334</v>
      </c>
      <c r="C120" s="56" t="s">
        <v>315</v>
      </c>
      <c r="D120" s="56" t="s">
        <v>335</v>
      </c>
      <c r="E120" s="56" t="s">
        <v>336</v>
      </c>
      <c r="F120" s="57" t="s">
        <v>192</v>
      </c>
      <c r="G120" s="50"/>
      <c r="H120" s="50"/>
      <c r="I120" s="110"/>
      <c r="J120" s="53"/>
    </row>
    <row r="121" ht="24.75" hidden="1" customHeight="1">
      <c r="A121" s="54">
        <v>90.0</v>
      </c>
      <c r="B121" s="56" t="s">
        <v>337</v>
      </c>
      <c r="C121" s="56" t="s">
        <v>237</v>
      </c>
      <c r="D121" s="56" t="s">
        <v>338</v>
      </c>
      <c r="E121" s="56" t="s">
        <v>111</v>
      </c>
      <c r="F121" s="57" t="s">
        <v>15</v>
      </c>
      <c r="G121" s="61"/>
      <c r="H121" s="61"/>
      <c r="I121" s="60"/>
      <c r="J121" s="53"/>
    </row>
    <row r="122" ht="24.75" customHeight="1">
      <c r="A122" s="54">
        <v>101.0</v>
      </c>
      <c r="B122" s="56" t="s">
        <v>339</v>
      </c>
      <c r="C122" s="56" t="s">
        <v>315</v>
      </c>
      <c r="D122" s="56" t="s">
        <v>340</v>
      </c>
      <c r="E122" s="56" t="s">
        <v>341</v>
      </c>
      <c r="F122" s="57" t="s">
        <v>154</v>
      </c>
      <c r="G122" s="61"/>
      <c r="H122" s="61"/>
      <c r="I122" s="60"/>
      <c r="J122" s="53"/>
    </row>
    <row r="123" ht="24.75" customHeight="1">
      <c r="A123" s="54">
        <v>101.0</v>
      </c>
      <c r="B123" s="56" t="s">
        <v>342</v>
      </c>
      <c r="C123" s="56" t="s">
        <v>315</v>
      </c>
      <c r="D123" s="56" t="s">
        <v>340</v>
      </c>
      <c r="E123" s="56" t="s">
        <v>333</v>
      </c>
      <c r="F123" s="57" t="s">
        <v>250</v>
      </c>
      <c r="G123" s="61"/>
      <c r="H123" s="61" t="s">
        <v>346</v>
      </c>
      <c r="I123" s="60" t="s">
        <v>347</v>
      </c>
      <c r="J123" s="53"/>
    </row>
    <row r="124" ht="24.75" customHeight="1">
      <c r="A124" s="54">
        <v>101.0</v>
      </c>
      <c r="B124" s="56" t="s">
        <v>343</v>
      </c>
      <c r="C124" s="56" t="s">
        <v>315</v>
      </c>
      <c r="D124" s="56" t="s">
        <v>340</v>
      </c>
      <c r="E124" s="56" t="s">
        <v>333</v>
      </c>
      <c r="F124" s="57" t="s">
        <v>250</v>
      </c>
      <c r="G124" s="61"/>
      <c r="H124" s="61" t="s">
        <v>346</v>
      </c>
      <c r="I124" s="60" t="s">
        <v>347</v>
      </c>
      <c r="J124" s="53"/>
    </row>
    <row r="125" ht="24.75" customHeight="1">
      <c r="A125" s="54">
        <v>101.0</v>
      </c>
      <c r="B125" s="56" t="s">
        <v>344</v>
      </c>
      <c r="C125" s="56" t="s">
        <v>315</v>
      </c>
      <c r="D125" s="56" t="s">
        <v>340</v>
      </c>
      <c r="E125" s="56" t="s">
        <v>345</v>
      </c>
      <c r="F125" s="57" t="s">
        <v>154</v>
      </c>
      <c r="G125" s="61"/>
      <c r="H125" s="61"/>
      <c r="I125" s="60"/>
      <c r="J125" s="53"/>
    </row>
    <row r="126" ht="24.75" hidden="1" customHeight="1">
      <c r="A126" s="54">
        <v>90.0</v>
      </c>
      <c r="B126" s="56" t="s">
        <v>348</v>
      </c>
      <c r="C126" s="56" t="s">
        <v>237</v>
      </c>
      <c r="D126" s="56" t="s">
        <v>349</v>
      </c>
      <c r="E126" s="56" t="s">
        <v>111</v>
      </c>
      <c r="F126" s="57" t="s">
        <v>15</v>
      </c>
      <c r="G126" s="61"/>
      <c r="H126" s="61"/>
      <c r="I126" s="60"/>
      <c r="J126" s="53"/>
    </row>
    <row r="127" ht="24.75" customHeight="1">
      <c r="A127" s="54">
        <v>101.0</v>
      </c>
      <c r="B127" s="56" t="s">
        <v>350</v>
      </c>
      <c r="C127" s="56" t="s">
        <v>315</v>
      </c>
      <c r="D127" s="56" t="s">
        <v>351</v>
      </c>
      <c r="E127" s="56" t="s">
        <v>352</v>
      </c>
      <c r="F127" s="57" t="s">
        <v>154</v>
      </c>
      <c r="G127" s="61"/>
      <c r="H127" s="61"/>
      <c r="I127" s="60"/>
      <c r="J127" s="53"/>
    </row>
    <row r="128" ht="24.75" customHeight="1">
      <c r="A128" s="54">
        <v>102.0</v>
      </c>
      <c r="B128" s="56" t="s">
        <v>353</v>
      </c>
      <c r="C128" s="56" t="s">
        <v>315</v>
      </c>
      <c r="D128" s="56" t="s">
        <v>354</v>
      </c>
      <c r="E128" s="56" t="s">
        <v>355</v>
      </c>
      <c r="F128" s="57" t="s">
        <v>250</v>
      </c>
      <c r="G128" s="61"/>
      <c r="H128" s="61" t="s">
        <v>346</v>
      </c>
      <c r="I128" s="60" t="s">
        <v>363</v>
      </c>
      <c r="J128" s="53"/>
    </row>
    <row r="129" ht="24.75" hidden="1" customHeight="1">
      <c r="A129" s="54">
        <v>90.0</v>
      </c>
      <c r="B129" s="56" t="s">
        <v>265</v>
      </c>
      <c r="C129" s="56" t="s">
        <v>237</v>
      </c>
      <c r="D129" s="56" t="s">
        <v>266</v>
      </c>
      <c r="E129" s="56" t="s">
        <v>111</v>
      </c>
      <c r="F129" s="57" t="s">
        <v>15</v>
      </c>
      <c r="G129" s="61"/>
      <c r="H129" s="61"/>
      <c r="I129" s="60" t="s">
        <v>283</v>
      </c>
      <c r="J129" s="53"/>
    </row>
    <row r="130" ht="24.75" hidden="1" customHeight="1">
      <c r="A130" s="54">
        <v>110.0</v>
      </c>
      <c r="B130" s="56" t="s">
        <v>356</v>
      </c>
      <c r="C130" s="56" t="s">
        <v>259</v>
      </c>
      <c r="D130" s="56" t="s">
        <v>357</v>
      </c>
      <c r="E130" s="56" t="s">
        <v>358</v>
      </c>
      <c r="F130" s="57" t="s">
        <v>34</v>
      </c>
      <c r="G130" s="61"/>
      <c r="H130" s="61"/>
      <c r="I130" s="60"/>
      <c r="J130" s="53"/>
    </row>
    <row r="131" ht="24.75" hidden="1" customHeight="1">
      <c r="A131" s="54">
        <v>110.0</v>
      </c>
      <c r="B131" s="56" t="s">
        <v>359</v>
      </c>
      <c r="C131" s="56" t="s">
        <v>259</v>
      </c>
      <c r="D131" s="56" t="s">
        <v>360</v>
      </c>
      <c r="E131" s="56" t="s">
        <v>358</v>
      </c>
      <c r="F131" s="57" t="s">
        <v>34</v>
      </c>
      <c r="G131" s="61"/>
      <c r="H131" s="61"/>
      <c r="I131" s="60"/>
      <c r="J131" s="53"/>
    </row>
    <row r="132" ht="24.75" hidden="1" customHeight="1">
      <c r="A132" s="54">
        <v>90.0</v>
      </c>
      <c r="B132" s="56" t="s">
        <v>274</v>
      </c>
      <c r="C132" s="56" t="s">
        <v>237</v>
      </c>
      <c r="D132" s="56" t="s">
        <v>275</v>
      </c>
      <c r="E132" s="56" t="s">
        <v>111</v>
      </c>
      <c r="F132" s="57" t="s">
        <v>15</v>
      </c>
      <c r="G132" s="61"/>
      <c r="H132" s="61"/>
      <c r="I132" s="60"/>
      <c r="J132" s="53"/>
    </row>
    <row r="133" ht="24.75" hidden="1" customHeight="1">
      <c r="A133" s="54">
        <v>90.0</v>
      </c>
      <c r="B133" s="56" t="s">
        <v>280</v>
      </c>
      <c r="C133" s="56" t="s">
        <v>278</v>
      </c>
      <c r="D133" s="56" t="s">
        <v>281</v>
      </c>
      <c r="E133" s="56" t="s">
        <v>272</v>
      </c>
      <c r="F133" s="57" t="s">
        <v>15</v>
      </c>
      <c r="G133" s="61"/>
      <c r="H133" s="61"/>
      <c r="I133" s="60"/>
      <c r="J133" s="53"/>
    </row>
    <row r="134" ht="24.75" hidden="1" customHeight="1">
      <c r="A134" s="54">
        <v>110.0</v>
      </c>
      <c r="B134" s="56" t="s">
        <v>361</v>
      </c>
      <c r="C134" s="56" t="s">
        <v>259</v>
      </c>
      <c r="D134" s="56" t="s">
        <v>362</v>
      </c>
      <c r="E134" s="56" t="s">
        <v>358</v>
      </c>
      <c r="F134" s="57" t="s">
        <v>34</v>
      </c>
      <c r="G134" s="61"/>
      <c r="H134" s="61"/>
      <c r="I134" s="60"/>
      <c r="J134" s="53"/>
    </row>
    <row r="135" ht="24.75" hidden="1" customHeight="1">
      <c r="A135" s="54">
        <v>110.0</v>
      </c>
      <c r="B135" s="56" t="s">
        <v>364</v>
      </c>
      <c r="C135" s="56" t="s">
        <v>259</v>
      </c>
      <c r="D135" s="56" t="s">
        <v>365</v>
      </c>
      <c r="E135" s="56" t="s">
        <v>358</v>
      </c>
      <c r="F135" s="57" t="s">
        <v>34</v>
      </c>
      <c r="G135" s="61"/>
      <c r="H135" s="61"/>
      <c r="I135" s="60"/>
      <c r="J135" s="53"/>
    </row>
    <row r="136" ht="24.75" hidden="1" customHeight="1">
      <c r="A136" s="54">
        <v>110.0</v>
      </c>
      <c r="B136" s="56" t="s">
        <v>366</v>
      </c>
      <c r="C136" s="56" t="s">
        <v>259</v>
      </c>
      <c r="D136" s="56" t="s">
        <v>367</v>
      </c>
      <c r="E136" s="56" t="s">
        <v>358</v>
      </c>
      <c r="F136" s="57" t="s">
        <v>34</v>
      </c>
      <c r="G136" s="61"/>
      <c r="H136" s="61"/>
      <c r="I136" s="60"/>
      <c r="J136" s="53"/>
    </row>
    <row r="137" ht="24.75" hidden="1" customHeight="1">
      <c r="A137" s="54">
        <v>110.0</v>
      </c>
      <c r="B137" s="56" t="s">
        <v>368</v>
      </c>
      <c r="C137" s="56" t="s">
        <v>259</v>
      </c>
      <c r="D137" s="56" t="s">
        <v>369</v>
      </c>
      <c r="E137" s="56" t="s">
        <v>358</v>
      </c>
      <c r="F137" s="57" t="s">
        <v>34</v>
      </c>
      <c r="G137" s="61"/>
      <c r="H137" s="61"/>
      <c r="I137" s="60"/>
      <c r="J137" s="53"/>
    </row>
    <row r="138" ht="24.75" customHeight="1">
      <c r="A138" s="54">
        <v>110.0</v>
      </c>
      <c r="B138" s="56" t="s">
        <v>370</v>
      </c>
      <c r="C138" s="56" t="s">
        <v>259</v>
      </c>
      <c r="D138" s="56" t="s">
        <v>371</v>
      </c>
      <c r="E138" s="56" t="s">
        <v>336</v>
      </c>
      <c r="F138" s="57" t="s">
        <v>192</v>
      </c>
      <c r="G138" s="61"/>
      <c r="H138" s="61"/>
      <c r="I138" s="60"/>
      <c r="J138" s="53"/>
    </row>
    <row r="139" ht="24.75" hidden="1" customHeight="1">
      <c r="A139" s="54">
        <v>110.0</v>
      </c>
      <c r="B139" s="56" t="s">
        <v>370</v>
      </c>
      <c r="C139" s="56" t="s">
        <v>259</v>
      </c>
      <c r="D139" s="56" t="s">
        <v>371</v>
      </c>
      <c r="E139" s="56" t="s">
        <v>372</v>
      </c>
      <c r="F139" s="57" t="s">
        <v>34</v>
      </c>
      <c r="G139" s="61"/>
      <c r="H139" s="61"/>
      <c r="I139" s="60"/>
      <c r="J139" s="53"/>
    </row>
    <row r="140" ht="24.75" hidden="1" customHeight="1">
      <c r="A140" s="54">
        <v>110.0</v>
      </c>
      <c r="B140" s="56" t="s">
        <v>370</v>
      </c>
      <c r="C140" s="56" t="s">
        <v>259</v>
      </c>
      <c r="D140" s="56" t="s">
        <v>371</v>
      </c>
      <c r="E140" s="56" t="s">
        <v>158</v>
      </c>
      <c r="F140" s="57" t="s">
        <v>34</v>
      </c>
      <c r="G140" s="61"/>
      <c r="H140" s="61"/>
      <c r="I140" s="60"/>
      <c r="J140" s="53"/>
    </row>
    <row r="141" ht="24.75" customHeight="1">
      <c r="A141" s="54">
        <v>110.0</v>
      </c>
      <c r="B141" s="56" t="s">
        <v>373</v>
      </c>
      <c r="C141" s="56" t="s">
        <v>259</v>
      </c>
      <c r="D141" s="56" t="s">
        <v>374</v>
      </c>
      <c r="E141" s="56" t="s">
        <v>336</v>
      </c>
      <c r="F141" s="57" t="s">
        <v>192</v>
      </c>
      <c r="G141" s="61"/>
      <c r="H141" s="61"/>
      <c r="I141" s="60"/>
      <c r="J141" s="53"/>
    </row>
    <row r="142" ht="24.75" customHeight="1">
      <c r="A142" s="54">
        <v>110.0</v>
      </c>
      <c r="B142" s="56" t="s">
        <v>375</v>
      </c>
      <c r="C142" s="56" t="s">
        <v>259</v>
      </c>
      <c r="D142" s="56" t="s">
        <v>376</v>
      </c>
      <c r="E142" s="56" t="s">
        <v>336</v>
      </c>
      <c r="F142" s="57" t="s">
        <v>192</v>
      </c>
      <c r="G142" s="61"/>
      <c r="H142" s="61"/>
      <c r="I142" s="60"/>
      <c r="J142" s="53"/>
    </row>
    <row r="143" ht="24.75" hidden="1" customHeight="1">
      <c r="A143" s="54">
        <v>110.0</v>
      </c>
      <c r="B143" s="56" t="s">
        <v>375</v>
      </c>
      <c r="C143" s="56" t="s">
        <v>259</v>
      </c>
      <c r="D143" s="56" t="s">
        <v>376</v>
      </c>
      <c r="E143" s="56" t="s">
        <v>372</v>
      </c>
      <c r="F143" s="57" t="s">
        <v>34</v>
      </c>
      <c r="G143" s="61"/>
      <c r="H143" s="61"/>
      <c r="I143" s="60"/>
      <c r="J143" s="53"/>
    </row>
    <row r="144" ht="24.75" hidden="1" customHeight="1">
      <c r="A144" s="54">
        <v>110.0</v>
      </c>
      <c r="B144" s="56" t="s">
        <v>375</v>
      </c>
      <c r="C144" s="56" t="s">
        <v>259</v>
      </c>
      <c r="D144" s="56" t="s">
        <v>376</v>
      </c>
      <c r="E144" s="56" t="s">
        <v>158</v>
      </c>
      <c r="F144" s="57" t="s">
        <v>34</v>
      </c>
      <c r="G144" s="61"/>
      <c r="H144" s="61"/>
      <c r="I144" s="60"/>
      <c r="J144" s="53"/>
    </row>
    <row r="145" ht="24.75" customHeight="1">
      <c r="A145" s="54">
        <v>110.0</v>
      </c>
      <c r="B145" s="56" t="s">
        <v>377</v>
      </c>
      <c r="C145" s="56" t="s">
        <v>259</v>
      </c>
      <c r="D145" s="56" t="s">
        <v>378</v>
      </c>
      <c r="E145" s="56" t="s">
        <v>336</v>
      </c>
      <c r="F145" s="57" t="s">
        <v>192</v>
      </c>
      <c r="G145" s="61"/>
      <c r="H145" s="61"/>
      <c r="I145" s="60"/>
      <c r="J145" s="53"/>
    </row>
    <row r="146" ht="24.75" customHeight="1">
      <c r="A146" s="54">
        <v>110.0</v>
      </c>
      <c r="B146" s="56" t="s">
        <v>380</v>
      </c>
      <c r="C146" s="56" t="s">
        <v>259</v>
      </c>
      <c r="D146" s="56" t="s">
        <v>381</v>
      </c>
      <c r="E146" s="56" t="s">
        <v>336</v>
      </c>
      <c r="F146" s="57" t="s">
        <v>192</v>
      </c>
      <c r="G146" s="61"/>
      <c r="H146" s="61"/>
      <c r="I146" s="60"/>
      <c r="J146" s="53"/>
    </row>
    <row r="147" ht="24.75" customHeight="1">
      <c r="A147" s="54">
        <v>110.0</v>
      </c>
      <c r="B147" s="56" t="s">
        <v>382</v>
      </c>
      <c r="C147" s="56" t="s">
        <v>259</v>
      </c>
      <c r="D147" s="56" t="s">
        <v>383</v>
      </c>
      <c r="E147" s="56" t="s">
        <v>336</v>
      </c>
      <c r="F147" s="57" t="s">
        <v>192</v>
      </c>
      <c r="G147" s="61"/>
      <c r="H147" s="61"/>
      <c r="I147" s="60"/>
      <c r="J147" s="53"/>
    </row>
    <row r="148" ht="24.75" customHeight="1">
      <c r="A148" s="54">
        <v>110.0</v>
      </c>
      <c r="B148" s="56" t="s">
        <v>385</v>
      </c>
      <c r="C148" s="56" t="s">
        <v>259</v>
      </c>
      <c r="D148" s="56" t="s">
        <v>386</v>
      </c>
      <c r="E148" s="56" t="s">
        <v>336</v>
      </c>
      <c r="F148" s="57" t="s">
        <v>192</v>
      </c>
      <c r="G148" s="61"/>
      <c r="H148" s="61"/>
      <c r="I148" s="60"/>
      <c r="J148" s="53"/>
    </row>
    <row r="149" ht="24.75" hidden="1" customHeight="1">
      <c r="A149" s="54">
        <v>110.0</v>
      </c>
      <c r="B149" s="56" t="s">
        <v>385</v>
      </c>
      <c r="C149" s="56" t="s">
        <v>259</v>
      </c>
      <c r="D149" s="56" t="s">
        <v>386</v>
      </c>
      <c r="E149" s="56" t="s">
        <v>372</v>
      </c>
      <c r="F149" s="57" t="s">
        <v>34</v>
      </c>
      <c r="G149" s="61"/>
      <c r="H149" s="61"/>
      <c r="I149" s="60"/>
      <c r="J149" s="53"/>
    </row>
    <row r="150" ht="24.75" hidden="1" customHeight="1">
      <c r="A150" s="54">
        <v>110.0</v>
      </c>
      <c r="B150" s="56" t="s">
        <v>385</v>
      </c>
      <c r="C150" s="56" t="s">
        <v>259</v>
      </c>
      <c r="D150" s="56" t="s">
        <v>386</v>
      </c>
      <c r="E150" s="56" t="s">
        <v>158</v>
      </c>
      <c r="F150" s="57" t="s">
        <v>34</v>
      </c>
      <c r="G150" s="61"/>
      <c r="H150" s="61"/>
      <c r="I150" s="60"/>
      <c r="J150" s="53"/>
    </row>
    <row r="151" ht="24.75" customHeight="1">
      <c r="A151" s="54">
        <v>110.0</v>
      </c>
      <c r="B151" s="56" t="s">
        <v>388</v>
      </c>
      <c r="C151" s="56" t="s">
        <v>259</v>
      </c>
      <c r="D151" s="56" t="s">
        <v>389</v>
      </c>
      <c r="E151" s="56" t="s">
        <v>336</v>
      </c>
      <c r="F151" s="57" t="s">
        <v>192</v>
      </c>
      <c r="G151" s="61"/>
      <c r="H151" s="61"/>
      <c r="I151" s="60"/>
      <c r="J151" s="53"/>
    </row>
    <row r="152" ht="24.75" hidden="1" customHeight="1">
      <c r="A152" s="54">
        <v>110.0</v>
      </c>
      <c r="B152" s="56" t="s">
        <v>388</v>
      </c>
      <c r="C152" s="56" t="s">
        <v>259</v>
      </c>
      <c r="D152" s="56" t="s">
        <v>389</v>
      </c>
      <c r="E152" s="56" t="s">
        <v>372</v>
      </c>
      <c r="F152" s="57" t="s">
        <v>34</v>
      </c>
      <c r="G152" s="61"/>
      <c r="H152" s="61"/>
      <c r="I152" s="60"/>
      <c r="J152" s="53"/>
    </row>
    <row r="153" ht="24.75" hidden="1" customHeight="1">
      <c r="A153" s="54">
        <v>110.0</v>
      </c>
      <c r="B153" s="56" t="s">
        <v>388</v>
      </c>
      <c r="C153" s="56" t="s">
        <v>259</v>
      </c>
      <c r="D153" s="56" t="s">
        <v>389</v>
      </c>
      <c r="E153" s="56" t="s">
        <v>158</v>
      </c>
      <c r="F153" s="57" t="s">
        <v>34</v>
      </c>
      <c r="G153" s="61"/>
      <c r="H153" s="61"/>
      <c r="I153" s="60"/>
      <c r="J153" s="53"/>
    </row>
    <row r="154" ht="24.75" hidden="1" customHeight="1">
      <c r="A154" s="54">
        <v>110.0</v>
      </c>
      <c r="B154" s="56" t="s">
        <v>390</v>
      </c>
      <c r="C154" s="56" t="s">
        <v>259</v>
      </c>
      <c r="D154" s="56" t="s">
        <v>391</v>
      </c>
      <c r="E154" s="56" t="s">
        <v>372</v>
      </c>
      <c r="F154" s="57" t="s">
        <v>34</v>
      </c>
      <c r="G154" s="61"/>
      <c r="H154" s="61"/>
      <c r="I154" s="60"/>
      <c r="J154" s="53"/>
    </row>
    <row r="155" ht="24.75" hidden="1" customHeight="1">
      <c r="A155" s="54">
        <v>110.0</v>
      </c>
      <c r="B155" s="56" t="s">
        <v>390</v>
      </c>
      <c r="C155" s="56" t="s">
        <v>259</v>
      </c>
      <c r="D155" s="56" t="s">
        <v>391</v>
      </c>
      <c r="E155" s="56" t="s">
        <v>158</v>
      </c>
      <c r="F155" s="57" t="s">
        <v>34</v>
      </c>
      <c r="G155" s="61"/>
      <c r="H155" s="61"/>
      <c r="I155" s="60"/>
      <c r="J155" s="53"/>
    </row>
    <row r="156" ht="24.75" hidden="1" customHeight="1">
      <c r="A156" s="54">
        <v>110.0</v>
      </c>
      <c r="B156" s="56" t="s">
        <v>392</v>
      </c>
      <c r="C156" s="56" t="s">
        <v>101</v>
      </c>
      <c r="D156" s="56" t="s">
        <v>102</v>
      </c>
      <c r="E156" s="56" t="s">
        <v>111</v>
      </c>
      <c r="F156" s="57" t="s">
        <v>34</v>
      </c>
      <c r="G156" s="61"/>
      <c r="H156" s="61"/>
      <c r="I156" s="60"/>
      <c r="J156" s="53"/>
    </row>
    <row r="157" ht="24.75" customHeight="1">
      <c r="A157" s="54">
        <v>120.0</v>
      </c>
      <c r="B157" s="56" t="s">
        <v>393</v>
      </c>
      <c r="C157" s="56" t="s">
        <v>394</v>
      </c>
      <c r="D157" s="56" t="s">
        <v>299</v>
      </c>
      <c r="E157" s="56" t="s">
        <v>163</v>
      </c>
      <c r="F157" s="57" t="s">
        <v>154</v>
      </c>
      <c r="G157" s="61"/>
      <c r="H157" s="61"/>
      <c r="I157" s="60"/>
      <c r="J157" s="53"/>
    </row>
    <row r="158" ht="24.75" customHeight="1">
      <c r="A158" s="54">
        <v>120.0</v>
      </c>
      <c r="B158" s="56" t="s">
        <v>395</v>
      </c>
      <c r="C158" s="56" t="s">
        <v>394</v>
      </c>
      <c r="D158" s="56" t="s">
        <v>172</v>
      </c>
      <c r="E158" s="56" t="s">
        <v>163</v>
      </c>
      <c r="F158" s="57" t="s">
        <v>154</v>
      </c>
      <c r="G158" s="61"/>
      <c r="H158" s="61"/>
      <c r="I158" s="60"/>
      <c r="J158" s="53"/>
    </row>
    <row r="159" ht="24.75" customHeight="1">
      <c r="A159" s="54">
        <v>120.0</v>
      </c>
      <c r="B159" s="56" t="s">
        <v>396</v>
      </c>
      <c r="C159" s="56" t="s">
        <v>394</v>
      </c>
      <c r="D159" s="56" t="s">
        <v>397</v>
      </c>
      <c r="E159" s="56" t="s">
        <v>163</v>
      </c>
      <c r="F159" s="57" t="s">
        <v>154</v>
      </c>
      <c r="G159" s="61"/>
      <c r="H159" s="61"/>
      <c r="I159" s="60"/>
      <c r="J159" s="53"/>
    </row>
    <row r="160" ht="24.75" customHeight="1">
      <c r="A160" s="54">
        <v>120.0</v>
      </c>
      <c r="B160" s="56" t="s">
        <v>398</v>
      </c>
      <c r="C160" s="56" t="s">
        <v>394</v>
      </c>
      <c r="D160" s="56" t="s">
        <v>399</v>
      </c>
      <c r="E160" s="56" t="s">
        <v>163</v>
      </c>
      <c r="F160" s="57" t="s">
        <v>154</v>
      </c>
      <c r="G160" s="61"/>
      <c r="H160" s="61"/>
      <c r="I160" s="60"/>
      <c r="J160" s="53"/>
    </row>
    <row r="161" ht="24.75" customHeight="1">
      <c r="A161" s="54">
        <v>120.0</v>
      </c>
      <c r="B161" s="56" t="s">
        <v>400</v>
      </c>
      <c r="C161" s="56" t="s">
        <v>394</v>
      </c>
      <c r="D161" s="56" t="s">
        <v>401</v>
      </c>
      <c r="E161" s="56" t="s">
        <v>163</v>
      </c>
      <c r="F161" s="57" t="s">
        <v>154</v>
      </c>
      <c r="G161" s="61"/>
      <c r="H161" s="61"/>
      <c r="I161" s="60"/>
      <c r="J161" s="53"/>
    </row>
    <row r="162" ht="24.75" hidden="1" customHeight="1">
      <c r="A162" s="54">
        <v>90.0</v>
      </c>
      <c r="B162" s="56" t="s">
        <v>402</v>
      </c>
      <c r="C162" s="56" t="s">
        <v>278</v>
      </c>
      <c r="D162" s="56" t="s">
        <v>403</v>
      </c>
      <c r="E162" s="56" t="s">
        <v>111</v>
      </c>
      <c r="F162" s="57" t="s">
        <v>15</v>
      </c>
      <c r="G162" s="61"/>
      <c r="H162" s="61"/>
      <c r="I162" s="86"/>
      <c r="J162" s="53"/>
    </row>
    <row r="163" ht="24.75" customHeight="1">
      <c r="A163" s="54">
        <v>130.0</v>
      </c>
      <c r="B163" s="56" t="s">
        <v>404</v>
      </c>
      <c r="C163" s="56" t="s">
        <v>405</v>
      </c>
      <c r="D163" s="56" t="s">
        <v>406</v>
      </c>
      <c r="E163" s="56" t="s">
        <v>407</v>
      </c>
      <c r="F163" s="57" t="s">
        <v>250</v>
      </c>
      <c r="G163" s="61"/>
      <c r="H163" s="61" t="s">
        <v>346</v>
      </c>
      <c r="I163" s="60" t="s">
        <v>414</v>
      </c>
      <c r="J163" s="53"/>
    </row>
    <row r="164" ht="24.75" customHeight="1">
      <c r="A164" s="54">
        <v>130.0</v>
      </c>
      <c r="B164" s="56" t="s">
        <v>404</v>
      </c>
      <c r="C164" s="56" t="s">
        <v>405</v>
      </c>
      <c r="D164" s="56" t="s">
        <v>406</v>
      </c>
      <c r="E164" s="56" t="s">
        <v>408</v>
      </c>
      <c r="F164" s="57" t="s">
        <v>250</v>
      </c>
      <c r="G164" s="61"/>
      <c r="H164" s="61" t="s">
        <v>346</v>
      </c>
      <c r="I164" s="60" t="s">
        <v>417</v>
      </c>
      <c r="J164" s="53"/>
    </row>
    <row r="165" ht="24.75" customHeight="1">
      <c r="A165" s="54">
        <v>130.0</v>
      </c>
      <c r="B165" s="56" t="s">
        <v>404</v>
      </c>
      <c r="C165" s="56" t="s">
        <v>405</v>
      </c>
      <c r="D165" s="56" t="s">
        <v>406</v>
      </c>
      <c r="E165" s="56" t="s">
        <v>111</v>
      </c>
      <c r="F165" s="57" t="s">
        <v>154</v>
      </c>
      <c r="G165" s="61"/>
      <c r="H165" s="61"/>
      <c r="I165" s="60"/>
      <c r="J165" s="53"/>
    </row>
    <row r="166" ht="24.75" customHeight="1">
      <c r="A166" s="54">
        <v>130.0</v>
      </c>
      <c r="B166" s="56" t="s">
        <v>404</v>
      </c>
      <c r="C166" s="56" t="s">
        <v>405</v>
      </c>
      <c r="D166" s="56" t="s">
        <v>406</v>
      </c>
      <c r="E166" s="56" t="s">
        <v>409</v>
      </c>
      <c r="F166" s="57" t="s">
        <v>154</v>
      </c>
      <c r="G166" s="61"/>
      <c r="H166" s="61"/>
      <c r="I166" s="60"/>
      <c r="J166" s="53"/>
    </row>
    <row r="167" ht="24.75" customHeight="1">
      <c r="A167" s="54">
        <v>130.0</v>
      </c>
      <c r="B167" s="56" t="s">
        <v>404</v>
      </c>
      <c r="C167" s="56" t="s">
        <v>405</v>
      </c>
      <c r="D167" s="56" t="s">
        <v>406</v>
      </c>
      <c r="E167" s="56" t="s">
        <v>410</v>
      </c>
      <c r="F167" s="57" t="s">
        <v>154</v>
      </c>
      <c r="G167" s="61"/>
      <c r="H167" s="61"/>
      <c r="I167" s="60"/>
      <c r="J167" s="53"/>
    </row>
    <row r="168" ht="24.75" customHeight="1">
      <c r="A168" s="54">
        <v>130.0</v>
      </c>
      <c r="B168" s="56" t="s">
        <v>404</v>
      </c>
      <c r="C168" s="56" t="s">
        <v>405</v>
      </c>
      <c r="D168" s="56" t="s">
        <v>406</v>
      </c>
      <c r="E168" s="56" t="s">
        <v>411</v>
      </c>
      <c r="F168" s="57" t="s">
        <v>154</v>
      </c>
      <c r="G168" s="61"/>
      <c r="H168" s="61"/>
      <c r="I168" s="60"/>
      <c r="J168" s="53"/>
    </row>
    <row r="169" ht="24.75" customHeight="1">
      <c r="A169" s="54">
        <v>130.0</v>
      </c>
      <c r="B169" s="56" t="s">
        <v>412</v>
      </c>
      <c r="C169" s="56"/>
      <c r="D169" s="56" t="s">
        <v>413</v>
      </c>
      <c r="E169" s="56" t="s">
        <v>336</v>
      </c>
      <c r="F169" s="57" t="s">
        <v>192</v>
      </c>
      <c r="G169" s="61"/>
      <c r="H169" s="61"/>
      <c r="I169" s="60"/>
      <c r="J169" s="53"/>
    </row>
    <row r="170" ht="24.75" hidden="1" customHeight="1">
      <c r="A170" s="54">
        <v>130.0</v>
      </c>
      <c r="B170" s="56" t="s">
        <v>415</v>
      </c>
      <c r="C170" s="56" t="s">
        <v>148</v>
      </c>
      <c r="D170" s="56" t="s">
        <v>416</v>
      </c>
      <c r="E170" s="56" t="s">
        <v>150</v>
      </c>
      <c r="F170" s="57" t="s">
        <v>34</v>
      </c>
      <c r="G170" s="61"/>
      <c r="H170" s="61"/>
      <c r="I170" s="60"/>
      <c r="J170" s="53"/>
    </row>
    <row r="171" ht="24.75" hidden="1" customHeight="1">
      <c r="A171" s="54">
        <v>130.0</v>
      </c>
      <c r="B171" s="56" t="s">
        <v>418</v>
      </c>
      <c r="C171" s="56" t="s">
        <v>148</v>
      </c>
      <c r="D171" s="56" t="s">
        <v>419</v>
      </c>
      <c r="E171" s="56" t="s">
        <v>150</v>
      </c>
      <c r="F171" s="57" t="s">
        <v>34</v>
      </c>
      <c r="G171" s="61"/>
      <c r="H171" s="61"/>
      <c r="I171" s="60"/>
      <c r="J171" s="53"/>
    </row>
    <row r="172" ht="24.75" customHeight="1">
      <c r="A172" s="54">
        <v>136.0</v>
      </c>
      <c r="B172" s="56" t="s">
        <v>421</v>
      </c>
      <c r="C172" s="56" t="s">
        <v>422</v>
      </c>
      <c r="D172" s="56" t="s">
        <v>422</v>
      </c>
      <c r="E172" s="56" t="s">
        <v>423</v>
      </c>
      <c r="F172" s="57" t="s">
        <v>154</v>
      </c>
      <c r="G172" s="61"/>
      <c r="H172" s="61"/>
      <c r="I172" s="60"/>
      <c r="J172" s="53"/>
    </row>
    <row r="173" ht="24.75" hidden="1" customHeight="1">
      <c r="A173" s="54">
        <v>136.0</v>
      </c>
      <c r="B173" s="56" t="s">
        <v>421</v>
      </c>
      <c r="C173" s="56" t="s">
        <v>422</v>
      </c>
      <c r="D173" s="56" t="s">
        <v>422</v>
      </c>
      <c r="E173" s="80" t="s">
        <v>213</v>
      </c>
      <c r="F173" s="57"/>
      <c r="G173" s="61"/>
      <c r="H173" s="61"/>
      <c r="I173" s="62"/>
      <c r="J173" s="53"/>
    </row>
    <row r="174" ht="24.75" customHeight="1">
      <c r="A174" s="54">
        <v>136.0</v>
      </c>
      <c r="B174" s="56" t="s">
        <v>424</v>
      </c>
      <c r="C174" s="56" t="s">
        <v>422</v>
      </c>
      <c r="D174" s="56" t="s">
        <v>425</v>
      </c>
      <c r="E174" s="56" t="s">
        <v>111</v>
      </c>
      <c r="F174" s="57" t="s">
        <v>154</v>
      </c>
      <c r="G174" s="61"/>
      <c r="H174" s="61"/>
      <c r="I174" s="60"/>
      <c r="J174" s="53"/>
    </row>
    <row r="175" ht="24.75" customHeight="1">
      <c r="A175" s="54">
        <v>136.0</v>
      </c>
      <c r="B175" s="56" t="s">
        <v>426</v>
      </c>
      <c r="C175" s="56" t="s">
        <v>422</v>
      </c>
      <c r="D175" s="56" t="s">
        <v>427</v>
      </c>
      <c r="E175" s="56" t="s">
        <v>111</v>
      </c>
      <c r="F175" s="57" t="s">
        <v>154</v>
      </c>
      <c r="G175" s="61"/>
      <c r="H175" s="61"/>
      <c r="I175" s="60"/>
      <c r="J175" s="53"/>
    </row>
    <row r="176" ht="24.75" customHeight="1">
      <c r="A176" s="54">
        <v>136.0</v>
      </c>
      <c r="B176" s="56" t="s">
        <v>428</v>
      </c>
      <c r="C176" s="56" t="s">
        <v>422</v>
      </c>
      <c r="D176" s="56" t="s">
        <v>429</v>
      </c>
      <c r="E176" s="56" t="s">
        <v>111</v>
      </c>
      <c r="F176" s="57" t="s">
        <v>154</v>
      </c>
      <c r="G176" s="61"/>
      <c r="H176" s="61"/>
      <c r="I176" s="60"/>
      <c r="J176" s="53"/>
    </row>
    <row r="177" ht="24.75" customHeight="1">
      <c r="A177" s="54">
        <v>136.0</v>
      </c>
      <c r="B177" s="56" t="s">
        <v>430</v>
      </c>
      <c r="C177" s="56" t="s">
        <v>422</v>
      </c>
      <c r="D177" s="56" t="s">
        <v>431</v>
      </c>
      <c r="E177" s="56" t="s">
        <v>432</v>
      </c>
      <c r="F177" s="57" t="s">
        <v>154</v>
      </c>
      <c r="G177" s="61"/>
      <c r="H177" s="61"/>
      <c r="I177" s="60"/>
      <c r="J177" s="53"/>
    </row>
    <row r="178" ht="24.75" customHeight="1">
      <c r="A178" s="54">
        <v>140.0</v>
      </c>
      <c r="B178" s="56" t="s">
        <v>433</v>
      </c>
      <c r="C178" s="56" t="s">
        <v>434</v>
      </c>
      <c r="D178" s="56" t="s">
        <v>435</v>
      </c>
      <c r="E178" s="56" t="s">
        <v>167</v>
      </c>
      <c r="F178" s="57" t="s">
        <v>154</v>
      </c>
      <c r="G178" s="61"/>
      <c r="H178" s="61"/>
      <c r="I178" s="60"/>
      <c r="J178" s="53"/>
    </row>
    <row r="179" ht="24.75" customHeight="1">
      <c r="A179" s="54">
        <v>140.0</v>
      </c>
      <c r="B179" s="56" t="s">
        <v>436</v>
      </c>
      <c r="C179" s="56" t="s">
        <v>437</v>
      </c>
      <c r="D179" s="56" t="s">
        <v>438</v>
      </c>
      <c r="E179" s="56" t="s">
        <v>439</v>
      </c>
      <c r="F179" s="57" t="s">
        <v>154</v>
      </c>
      <c r="G179" s="61"/>
      <c r="H179" s="61"/>
      <c r="I179" s="60"/>
      <c r="J179" s="53"/>
    </row>
    <row r="180" ht="24.75" customHeight="1">
      <c r="A180" s="54">
        <v>140.0</v>
      </c>
      <c r="B180" s="56" t="s">
        <v>440</v>
      </c>
      <c r="C180" s="56" t="s">
        <v>437</v>
      </c>
      <c r="D180" s="56" t="s">
        <v>441</v>
      </c>
      <c r="E180" s="56" t="s">
        <v>439</v>
      </c>
      <c r="F180" s="57" t="s">
        <v>154</v>
      </c>
      <c r="G180" s="61"/>
      <c r="H180" s="61"/>
      <c r="I180" s="60"/>
      <c r="J180" s="53"/>
    </row>
    <row r="181" ht="24.75" customHeight="1">
      <c r="A181" s="54">
        <v>140.0</v>
      </c>
      <c r="B181" s="56" t="s">
        <v>442</v>
      </c>
      <c r="C181" s="56" t="s">
        <v>443</v>
      </c>
      <c r="D181" s="56" t="s">
        <v>444</v>
      </c>
      <c r="E181" s="56" t="s">
        <v>439</v>
      </c>
      <c r="F181" s="57" t="s">
        <v>154</v>
      </c>
      <c r="G181" s="61"/>
      <c r="H181" s="61"/>
      <c r="I181" s="60"/>
      <c r="J181" s="53"/>
    </row>
    <row r="182" ht="24.75" customHeight="1">
      <c r="A182" s="54">
        <v>140.0</v>
      </c>
      <c r="B182" s="56" t="s">
        <v>445</v>
      </c>
      <c r="C182" s="56" t="s">
        <v>446</v>
      </c>
      <c r="D182" s="56" t="s">
        <v>447</v>
      </c>
      <c r="E182" s="56" t="s">
        <v>439</v>
      </c>
      <c r="F182" s="57" t="s">
        <v>154</v>
      </c>
      <c r="G182" s="61"/>
      <c r="H182" s="61"/>
      <c r="I182" s="60"/>
      <c r="J182" s="53"/>
    </row>
    <row r="183" ht="24.75" customHeight="1">
      <c r="A183" s="54">
        <v>140.0</v>
      </c>
      <c r="B183" s="56" t="s">
        <v>448</v>
      </c>
      <c r="C183" s="88" t="s">
        <v>449</v>
      </c>
      <c r="D183" s="56" t="s">
        <v>450</v>
      </c>
      <c r="E183" s="56" t="s">
        <v>439</v>
      </c>
      <c r="F183" s="57" t="s">
        <v>154</v>
      </c>
      <c r="G183" s="61"/>
      <c r="H183" s="61"/>
      <c r="I183" s="60"/>
      <c r="J183" s="53"/>
    </row>
    <row r="184" ht="24.75" hidden="1" customHeight="1">
      <c r="A184" s="54">
        <v>90.0</v>
      </c>
      <c r="B184" s="56" t="s">
        <v>286</v>
      </c>
      <c r="C184" s="56" t="s">
        <v>278</v>
      </c>
      <c r="D184" s="56" t="s">
        <v>266</v>
      </c>
      <c r="E184" s="56" t="s">
        <v>111</v>
      </c>
      <c r="F184" s="57" t="s">
        <v>15</v>
      </c>
      <c r="G184" s="61"/>
      <c r="H184" s="61"/>
      <c r="I184" s="60"/>
      <c r="J184" s="53"/>
    </row>
    <row r="185" ht="24.75" hidden="1" customHeight="1">
      <c r="A185" s="54">
        <v>100.0</v>
      </c>
      <c r="B185" s="56" t="s">
        <v>451</v>
      </c>
      <c r="C185" s="56" t="s">
        <v>315</v>
      </c>
      <c r="D185" s="56" t="s">
        <v>452</v>
      </c>
      <c r="E185" s="56" t="s">
        <v>453</v>
      </c>
      <c r="F185" s="57" t="s">
        <v>15</v>
      </c>
      <c r="G185" s="61"/>
      <c r="H185" s="61"/>
      <c r="I185" s="60"/>
      <c r="J185" s="53"/>
    </row>
    <row r="186" ht="24.75" hidden="1" customHeight="1">
      <c r="A186" s="54">
        <v>100.0</v>
      </c>
      <c r="B186" s="56" t="s">
        <v>454</v>
      </c>
      <c r="C186" s="56" t="s">
        <v>315</v>
      </c>
      <c r="D186" s="56" t="s">
        <v>316</v>
      </c>
      <c r="E186" s="56" t="s">
        <v>455</v>
      </c>
      <c r="F186" s="57" t="s">
        <v>15</v>
      </c>
      <c r="G186" s="61"/>
      <c r="H186" s="61"/>
      <c r="I186" s="60"/>
      <c r="J186" s="53"/>
    </row>
    <row r="187" ht="24.75" hidden="1" customHeight="1">
      <c r="A187" s="54">
        <v>101.0</v>
      </c>
      <c r="B187" s="56" t="s">
        <v>456</v>
      </c>
      <c r="C187" s="56" t="s">
        <v>315</v>
      </c>
      <c r="D187" s="56" t="s">
        <v>340</v>
      </c>
      <c r="E187" s="56" t="s">
        <v>457</v>
      </c>
      <c r="F187" s="57" t="s">
        <v>15</v>
      </c>
      <c r="G187" s="61"/>
      <c r="H187" s="61"/>
      <c r="I187" s="60"/>
      <c r="J187" s="53"/>
    </row>
    <row r="188" ht="24.75" hidden="1" customHeight="1">
      <c r="A188" s="54">
        <v>101.0</v>
      </c>
      <c r="B188" s="56" t="s">
        <v>458</v>
      </c>
      <c r="C188" s="56" t="s">
        <v>315</v>
      </c>
      <c r="D188" s="56" t="s">
        <v>351</v>
      </c>
      <c r="E188" s="56" t="s">
        <v>459</v>
      </c>
      <c r="F188" s="57" t="s">
        <v>15</v>
      </c>
      <c r="G188" s="61"/>
      <c r="H188" s="61"/>
      <c r="I188" s="60"/>
      <c r="J188" s="53"/>
    </row>
    <row r="189" ht="24.75" hidden="1" customHeight="1">
      <c r="A189" s="54">
        <v>102.0</v>
      </c>
      <c r="B189" s="56" t="s">
        <v>353</v>
      </c>
      <c r="C189" s="56" t="s">
        <v>315</v>
      </c>
      <c r="D189" s="56" t="s">
        <v>354</v>
      </c>
      <c r="E189" s="56" t="s">
        <v>461</v>
      </c>
      <c r="F189" s="57" t="s">
        <v>15</v>
      </c>
      <c r="G189" s="61"/>
      <c r="H189" s="61"/>
      <c r="I189" s="60"/>
      <c r="J189" s="53"/>
    </row>
    <row r="190" ht="24.75" hidden="1" customHeight="1">
      <c r="A190" s="54">
        <v>140.0</v>
      </c>
      <c r="B190" s="56" t="s">
        <v>462</v>
      </c>
      <c r="C190" s="56" t="s">
        <v>434</v>
      </c>
      <c r="D190" s="56" t="s">
        <v>463</v>
      </c>
      <c r="E190" s="56" t="s">
        <v>272</v>
      </c>
      <c r="F190" s="57" t="s">
        <v>15</v>
      </c>
      <c r="G190" s="61"/>
      <c r="H190" s="61"/>
      <c r="I190" s="60"/>
      <c r="J190" s="53"/>
    </row>
    <row r="191" ht="24.75" hidden="1" customHeight="1">
      <c r="A191" s="54">
        <v>140.0</v>
      </c>
      <c r="B191" s="56" t="s">
        <v>464</v>
      </c>
      <c r="C191" s="56" t="s">
        <v>270</v>
      </c>
      <c r="D191" s="56" t="s">
        <v>465</v>
      </c>
      <c r="E191" s="56" t="s">
        <v>272</v>
      </c>
      <c r="F191" s="57" t="s">
        <v>15</v>
      </c>
      <c r="G191" s="61"/>
      <c r="H191" s="61"/>
      <c r="I191" s="60"/>
      <c r="J191" s="53"/>
    </row>
    <row r="192" ht="24.75" hidden="1" customHeight="1">
      <c r="A192" s="54">
        <v>140.0</v>
      </c>
      <c r="B192" s="56" t="s">
        <v>466</v>
      </c>
      <c r="C192" s="56" t="s">
        <v>443</v>
      </c>
      <c r="D192" s="56" t="s">
        <v>467</v>
      </c>
      <c r="E192" s="56" t="s">
        <v>272</v>
      </c>
      <c r="F192" s="57" t="s">
        <v>15</v>
      </c>
      <c r="G192" s="61"/>
      <c r="H192" s="61"/>
      <c r="I192" s="60"/>
      <c r="J192" s="53"/>
    </row>
    <row r="193" ht="24.75" hidden="1" customHeight="1">
      <c r="A193" s="54">
        <v>140.0</v>
      </c>
      <c r="B193" s="56" t="s">
        <v>468</v>
      </c>
      <c r="C193" s="56" t="s">
        <v>446</v>
      </c>
      <c r="D193" s="56" t="s">
        <v>469</v>
      </c>
      <c r="E193" s="56" t="s">
        <v>272</v>
      </c>
      <c r="F193" s="57" t="s">
        <v>15</v>
      </c>
      <c r="G193" s="61"/>
      <c r="H193" s="61"/>
      <c r="I193" s="60"/>
      <c r="J193" s="53"/>
    </row>
    <row r="194" ht="24.75" hidden="1" customHeight="1">
      <c r="A194" s="54">
        <v>140.0</v>
      </c>
      <c r="B194" s="56" t="s">
        <v>470</v>
      </c>
      <c r="C194" s="56" t="s">
        <v>443</v>
      </c>
      <c r="D194" s="56" t="s">
        <v>471</v>
      </c>
      <c r="E194" s="56" t="s">
        <v>272</v>
      </c>
      <c r="F194" s="57" t="s">
        <v>15</v>
      </c>
      <c r="G194" s="61"/>
      <c r="H194" s="61"/>
      <c r="I194" s="60"/>
      <c r="J194" s="53"/>
    </row>
    <row r="195" ht="24.75" hidden="1" customHeight="1">
      <c r="A195" s="54">
        <v>140.0</v>
      </c>
      <c r="B195" s="56" t="s">
        <v>472</v>
      </c>
      <c r="C195" s="56" t="s">
        <v>446</v>
      </c>
      <c r="D195" s="56" t="s">
        <v>473</v>
      </c>
      <c r="E195" s="56" t="s">
        <v>272</v>
      </c>
      <c r="F195" s="57" t="s">
        <v>15</v>
      </c>
      <c r="G195" s="61"/>
      <c r="H195" s="61"/>
      <c r="I195" s="60"/>
      <c r="J195" s="53"/>
    </row>
    <row r="196" ht="24.75" hidden="1" customHeight="1">
      <c r="A196" s="54">
        <v>140.0</v>
      </c>
      <c r="B196" s="56" t="s">
        <v>474</v>
      </c>
      <c r="C196" s="56" t="s">
        <v>443</v>
      </c>
      <c r="D196" s="56" t="s">
        <v>475</v>
      </c>
      <c r="E196" s="56" t="s">
        <v>272</v>
      </c>
      <c r="F196" s="57" t="s">
        <v>15</v>
      </c>
      <c r="G196" s="61"/>
      <c r="H196" s="61"/>
      <c r="I196" s="60"/>
      <c r="J196" s="53"/>
    </row>
    <row r="197" ht="24.75" hidden="1" customHeight="1">
      <c r="A197" s="54">
        <v>140.0</v>
      </c>
      <c r="B197" s="56" t="s">
        <v>476</v>
      </c>
      <c r="C197" s="56" t="s">
        <v>270</v>
      </c>
      <c r="D197" s="56" t="s">
        <v>477</v>
      </c>
      <c r="E197" s="56" t="s">
        <v>272</v>
      </c>
      <c r="F197" s="57" t="s">
        <v>15</v>
      </c>
      <c r="G197" s="61"/>
      <c r="H197" s="61"/>
      <c r="I197" s="60"/>
      <c r="J197" s="53"/>
    </row>
    <row r="198" ht="24.75" hidden="1" customHeight="1">
      <c r="A198" s="54">
        <v>140.0</v>
      </c>
      <c r="B198" s="56" t="s">
        <v>478</v>
      </c>
      <c r="C198" s="56" t="s">
        <v>270</v>
      </c>
      <c r="D198" s="56" t="s">
        <v>479</v>
      </c>
      <c r="E198" s="56" t="s">
        <v>272</v>
      </c>
      <c r="F198" s="57" t="s">
        <v>15</v>
      </c>
      <c r="G198" s="61"/>
      <c r="H198" s="61"/>
      <c r="I198" s="60"/>
      <c r="J198" s="53"/>
    </row>
    <row r="199" ht="24.75" hidden="1" customHeight="1">
      <c r="A199" s="54">
        <v>140.0</v>
      </c>
      <c r="B199" s="56" t="s">
        <v>480</v>
      </c>
      <c r="C199" s="56" t="s">
        <v>270</v>
      </c>
      <c r="D199" s="56" t="s">
        <v>481</v>
      </c>
      <c r="E199" s="56" t="s">
        <v>272</v>
      </c>
      <c r="F199" s="57" t="s">
        <v>15</v>
      </c>
      <c r="G199" s="61"/>
      <c r="H199" s="61"/>
      <c r="I199" s="60"/>
      <c r="J199" s="53"/>
    </row>
    <row r="200" ht="24.75" hidden="1" customHeight="1">
      <c r="A200" s="54">
        <v>140.0</v>
      </c>
      <c r="B200" s="56" t="s">
        <v>482</v>
      </c>
      <c r="C200" s="56" t="s">
        <v>443</v>
      </c>
      <c r="D200" s="56" t="s">
        <v>483</v>
      </c>
      <c r="E200" s="56" t="s">
        <v>272</v>
      </c>
      <c r="F200" s="57" t="s">
        <v>15</v>
      </c>
      <c r="G200" s="61"/>
      <c r="H200" s="61"/>
      <c r="I200" s="60"/>
      <c r="J200" s="53"/>
    </row>
    <row r="201" ht="24.75" hidden="1" customHeight="1">
      <c r="A201" s="54">
        <v>140.0</v>
      </c>
      <c r="B201" s="56" t="s">
        <v>484</v>
      </c>
      <c r="C201" s="56" t="s">
        <v>446</v>
      </c>
      <c r="D201" s="56" t="s">
        <v>485</v>
      </c>
      <c r="E201" s="56" t="s">
        <v>272</v>
      </c>
      <c r="F201" s="57" t="s">
        <v>15</v>
      </c>
      <c r="G201" s="61"/>
      <c r="H201" s="61"/>
      <c r="I201" s="60"/>
      <c r="J201" s="53"/>
    </row>
    <row r="202" ht="24.75" hidden="1" customHeight="1">
      <c r="A202" s="54">
        <v>140.0</v>
      </c>
      <c r="B202" s="56" t="s">
        <v>269</v>
      </c>
      <c r="C202" s="56" t="s">
        <v>270</v>
      </c>
      <c r="D202" s="56" t="s">
        <v>486</v>
      </c>
      <c r="E202" s="56" t="s">
        <v>487</v>
      </c>
      <c r="F202" s="56"/>
      <c r="G202" s="61"/>
      <c r="H202" s="61"/>
      <c r="I202" s="62"/>
      <c r="J202" s="53"/>
    </row>
    <row r="203" ht="24.75" hidden="1" customHeight="1">
      <c r="A203" s="54">
        <v>140.0</v>
      </c>
      <c r="B203" s="56" t="s">
        <v>488</v>
      </c>
      <c r="C203" s="88" t="s">
        <v>449</v>
      </c>
      <c r="D203" s="56" t="s">
        <v>489</v>
      </c>
      <c r="E203" s="56" t="s">
        <v>272</v>
      </c>
      <c r="F203" s="57" t="s">
        <v>15</v>
      </c>
      <c r="G203" s="61"/>
      <c r="H203" s="61"/>
      <c r="I203" s="60"/>
      <c r="J203" s="53"/>
    </row>
    <row r="204" ht="24.75" hidden="1" customHeight="1">
      <c r="A204" s="54">
        <v>140.0</v>
      </c>
      <c r="B204" s="56" t="s">
        <v>490</v>
      </c>
      <c r="C204" s="56" t="s">
        <v>270</v>
      </c>
      <c r="D204" s="56" t="s">
        <v>491</v>
      </c>
      <c r="E204" s="56" t="s">
        <v>272</v>
      </c>
      <c r="F204" s="57" t="s">
        <v>15</v>
      </c>
      <c r="G204" s="61"/>
      <c r="H204" s="61"/>
      <c r="I204" s="60"/>
      <c r="J204" s="53"/>
    </row>
    <row r="205" ht="24.75" hidden="1" customHeight="1">
      <c r="A205" s="54">
        <v>140.0</v>
      </c>
      <c r="B205" s="56" t="s">
        <v>284</v>
      </c>
      <c r="C205" s="56" t="s">
        <v>270</v>
      </c>
      <c r="D205" s="56" t="s">
        <v>492</v>
      </c>
      <c r="E205" s="56" t="s">
        <v>487</v>
      </c>
      <c r="F205" s="56"/>
      <c r="G205" s="61"/>
      <c r="H205" s="61"/>
      <c r="I205" s="62"/>
      <c r="J205" s="53"/>
    </row>
    <row r="206" ht="24.75" hidden="1" customHeight="1">
      <c r="A206" s="54">
        <v>140.0</v>
      </c>
      <c r="B206" s="56" t="s">
        <v>493</v>
      </c>
      <c r="C206" s="56" t="s">
        <v>270</v>
      </c>
      <c r="D206" s="56" t="s">
        <v>494</v>
      </c>
      <c r="E206" s="56" t="s">
        <v>272</v>
      </c>
      <c r="F206" s="57" t="s">
        <v>15</v>
      </c>
      <c r="G206" s="61"/>
      <c r="H206" s="61"/>
      <c r="I206" s="60"/>
      <c r="J206" s="53"/>
    </row>
    <row r="207" ht="24.75" hidden="1" customHeight="1">
      <c r="A207" s="54">
        <v>140.0</v>
      </c>
      <c r="B207" s="56" t="s">
        <v>496</v>
      </c>
      <c r="C207" s="56" t="s">
        <v>497</v>
      </c>
      <c r="D207" s="56" t="s">
        <v>498</v>
      </c>
      <c r="E207" s="56" t="s">
        <v>272</v>
      </c>
      <c r="F207" s="57" t="s">
        <v>15</v>
      </c>
      <c r="G207" s="61"/>
      <c r="H207" s="61"/>
      <c r="I207" s="60"/>
      <c r="J207" s="53"/>
    </row>
    <row r="208" ht="24.75" hidden="1" customHeight="1">
      <c r="A208" s="54">
        <v>140.0</v>
      </c>
      <c r="B208" s="56" t="s">
        <v>499</v>
      </c>
      <c r="C208" s="56" t="s">
        <v>500</v>
      </c>
      <c r="D208" s="56" t="s">
        <v>501</v>
      </c>
      <c r="E208" s="56" t="s">
        <v>225</v>
      </c>
      <c r="F208" s="57" t="s">
        <v>34</v>
      </c>
      <c r="G208" s="61"/>
      <c r="H208" s="61"/>
      <c r="I208" s="60"/>
      <c r="J208" s="53"/>
    </row>
    <row r="209" ht="24.75" customHeight="1">
      <c r="A209" s="54">
        <v>140.0</v>
      </c>
      <c r="B209" s="56" t="s">
        <v>499</v>
      </c>
      <c r="C209" s="56" t="s">
        <v>500</v>
      </c>
      <c r="D209" s="56" t="s">
        <v>501</v>
      </c>
      <c r="E209" s="56" t="s">
        <v>167</v>
      </c>
      <c r="F209" s="57" t="s">
        <v>154</v>
      </c>
      <c r="G209" s="61"/>
      <c r="H209" s="61"/>
      <c r="I209" s="60"/>
      <c r="J209" s="53"/>
    </row>
    <row r="210" ht="24.75" customHeight="1">
      <c r="A210" s="54">
        <v>140.0</v>
      </c>
      <c r="B210" s="56" t="s">
        <v>499</v>
      </c>
      <c r="C210" s="56" t="s">
        <v>500</v>
      </c>
      <c r="D210" s="56" t="s">
        <v>501</v>
      </c>
      <c r="E210" s="56" t="s">
        <v>226</v>
      </c>
      <c r="F210" s="57" t="s">
        <v>154</v>
      </c>
      <c r="G210" s="61"/>
      <c r="H210" s="61"/>
      <c r="I210" s="60"/>
      <c r="J210" s="53"/>
    </row>
    <row r="211" ht="24.75" hidden="1" customHeight="1">
      <c r="A211" s="54">
        <v>140.0</v>
      </c>
      <c r="B211" s="56" t="s">
        <v>502</v>
      </c>
      <c r="C211" s="56" t="s">
        <v>497</v>
      </c>
      <c r="D211" s="56" t="s">
        <v>503</v>
      </c>
      <c r="E211" s="56" t="s">
        <v>272</v>
      </c>
      <c r="F211" s="57" t="s">
        <v>15</v>
      </c>
      <c r="G211" s="61"/>
      <c r="H211" s="61"/>
      <c r="I211" s="60"/>
      <c r="J211" s="53"/>
    </row>
    <row r="212" ht="24.75" customHeight="1">
      <c r="A212" s="54">
        <v>140.0</v>
      </c>
      <c r="B212" s="56" t="s">
        <v>504</v>
      </c>
      <c r="C212" s="56" t="s">
        <v>443</v>
      </c>
      <c r="D212" s="56" t="s">
        <v>505</v>
      </c>
      <c r="E212" s="56" t="s">
        <v>439</v>
      </c>
      <c r="F212" s="57" t="s">
        <v>154</v>
      </c>
      <c r="G212" s="61"/>
      <c r="H212" s="61"/>
      <c r="I212" s="60"/>
      <c r="J212" s="53"/>
    </row>
    <row r="213" ht="24.75" customHeight="1">
      <c r="A213" s="54">
        <v>140.0</v>
      </c>
      <c r="B213" s="56" t="s">
        <v>506</v>
      </c>
      <c r="C213" s="56" t="s">
        <v>507</v>
      </c>
      <c r="D213" s="56" t="s">
        <v>508</v>
      </c>
      <c r="E213" s="56" t="s">
        <v>336</v>
      </c>
      <c r="F213" s="57" t="s">
        <v>192</v>
      </c>
      <c r="G213" s="61"/>
      <c r="H213" s="61"/>
      <c r="I213" s="60"/>
      <c r="J213" s="53"/>
    </row>
    <row r="214" ht="24.75" hidden="1" customHeight="1">
      <c r="A214" s="54">
        <v>140.0</v>
      </c>
      <c r="B214" s="56" t="s">
        <v>506</v>
      </c>
      <c r="C214" s="56" t="s">
        <v>507</v>
      </c>
      <c r="D214" s="56" t="s">
        <v>508</v>
      </c>
      <c r="E214" s="56" t="s">
        <v>372</v>
      </c>
      <c r="F214" s="57" t="s">
        <v>34</v>
      </c>
      <c r="G214" s="61"/>
      <c r="H214" s="61"/>
      <c r="I214" s="60"/>
      <c r="J214" s="53"/>
    </row>
    <row r="215" ht="24.75" hidden="1" customHeight="1">
      <c r="A215" s="54">
        <v>140.0</v>
      </c>
      <c r="B215" s="56" t="s">
        <v>506</v>
      </c>
      <c r="C215" s="56" t="s">
        <v>507</v>
      </c>
      <c r="D215" s="56" t="s">
        <v>508</v>
      </c>
      <c r="E215" s="56" t="s">
        <v>158</v>
      </c>
      <c r="F215" s="57" t="s">
        <v>34</v>
      </c>
      <c r="G215" s="61"/>
      <c r="H215" s="61"/>
      <c r="I215" s="60"/>
      <c r="J215" s="53"/>
    </row>
    <row r="216" ht="24.75" hidden="1" customHeight="1">
      <c r="A216" s="54">
        <v>140.0</v>
      </c>
      <c r="B216" s="56" t="s">
        <v>502</v>
      </c>
      <c r="C216" s="56" t="s">
        <v>497</v>
      </c>
      <c r="D216" s="56" t="s">
        <v>509</v>
      </c>
      <c r="E216" s="56" t="s">
        <v>272</v>
      </c>
      <c r="F216" s="57" t="s">
        <v>15</v>
      </c>
      <c r="G216" s="61"/>
      <c r="H216" s="61"/>
      <c r="I216" s="60"/>
      <c r="J216" s="53"/>
    </row>
    <row r="217" ht="24.75" hidden="1" customHeight="1">
      <c r="A217" s="54">
        <v>140.0</v>
      </c>
      <c r="B217" s="56" t="s">
        <v>499</v>
      </c>
      <c r="C217" s="56" t="s">
        <v>500</v>
      </c>
      <c r="D217" s="56" t="s">
        <v>510</v>
      </c>
      <c r="E217" s="56" t="s">
        <v>272</v>
      </c>
      <c r="F217" s="57" t="s">
        <v>15</v>
      </c>
      <c r="G217" s="61"/>
      <c r="H217" s="61"/>
      <c r="I217" s="60"/>
      <c r="J217" s="53"/>
    </row>
    <row r="218" ht="24.75" hidden="1" customHeight="1">
      <c r="A218" s="54">
        <v>140.0</v>
      </c>
      <c r="B218" s="56" t="s">
        <v>511</v>
      </c>
      <c r="C218" s="56" t="s">
        <v>497</v>
      </c>
      <c r="D218" s="56" t="s">
        <v>512</v>
      </c>
      <c r="E218" s="56" t="s">
        <v>272</v>
      </c>
      <c r="F218" s="57" t="s">
        <v>15</v>
      </c>
      <c r="G218" s="61"/>
      <c r="H218" s="61"/>
      <c r="I218" s="60"/>
      <c r="J218" s="53"/>
    </row>
    <row r="219" ht="24.75" hidden="1" customHeight="1">
      <c r="A219" s="54">
        <v>140.0</v>
      </c>
      <c r="B219" s="56" t="s">
        <v>513</v>
      </c>
      <c r="C219" s="56" t="s">
        <v>437</v>
      </c>
      <c r="D219" s="56" t="s">
        <v>514</v>
      </c>
      <c r="E219" s="56" t="s">
        <v>272</v>
      </c>
      <c r="F219" s="57" t="s">
        <v>15</v>
      </c>
      <c r="G219" s="61"/>
      <c r="H219" s="61"/>
      <c r="I219" s="60"/>
      <c r="J219" s="53"/>
    </row>
    <row r="220" ht="24.75" hidden="1" customHeight="1">
      <c r="A220" s="54">
        <v>140.0</v>
      </c>
      <c r="B220" s="56" t="s">
        <v>515</v>
      </c>
      <c r="C220" s="56" t="s">
        <v>437</v>
      </c>
      <c r="D220" s="56" t="s">
        <v>516</v>
      </c>
      <c r="E220" s="56" t="s">
        <v>272</v>
      </c>
      <c r="F220" s="57" t="s">
        <v>15</v>
      </c>
      <c r="G220" s="61"/>
      <c r="H220" s="61"/>
      <c r="I220" s="60"/>
      <c r="J220" s="53"/>
    </row>
    <row r="221" ht="24.75" hidden="1" customHeight="1">
      <c r="A221" s="54">
        <v>140.0</v>
      </c>
      <c r="B221" s="56" t="s">
        <v>517</v>
      </c>
      <c r="C221" s="56" t="s">
        <v>437</v>
      </c>
      <c r="D221" s="56" t="s">
        <v>518</v>
      </c>
      <c r="E221" s="56" t="s">
        <v>272</v>
      </c>
      <c r="F221" s="57" t="s">
        <v>15</v>
      </c>
      <c r="G221" s="81"/>
      <c r="H221" s="81"/>
      <c r="I221" s="93"/>
      <c r="J221" s="53"/>
    </row>
    <row r="222" ht="24.75" hidden="1" customHeight="1">
      <c r="A222" s="54">
        <v>140.0</v>
      </c>
      <c r="B222" s="56" t="s">
        <v>519</v>
      </c>
      <c r="C222" s="56" t="s">
        <v>437</v>
      </c>
      <c r="D222" s="56" t="s">
        <v>520</v>
      </c>
      <c r="E222" s="56" t="s">
        <v>272</v>
      </c>
      <c r="F222" s="57" t="s">
        <v>15</v>
      </c>
      <c r="G222" s="61"/>
      <c r="H222" s="61"/>
      <c r="I222" s="60"/>
      <c r="J222" s="53"/>
    </row>
    <row r="223" ht="24.75" hidden="1" customHeight="1">
      <c r="A223" s="54">
        <v>140.0</v>
      </c>
      <c r="B223" s="56" t="s">
        <v>521</v>
      </c>
      <c r="C223" s="56" t="s">
        <v>443</v>
      </c>
      <c r="D223" s="56" t="s">
        <v>522</v>
      </c>
      <c r="E223" s="56" t="s">
        <v>272</v>
      </c>
      <c r="F223" s="57" t="s">
        <v>15</v>
      </c>
      <c r="G223" s="61"/>
      <c r="H223" s="61"/>
      <c r="I223" s="60"/>
      <c r="J223" s="53"/>
    </row>
    <row r="224" ht="24.75" hidden="1" customHeight="1">
      <c r="A224" s="54">
        <v>140.0</v>
      </c>
      <c r="B224" s="56" t="s">
        <v>523</v>
      </c>
      <c r="C224" s="56" t="s">
        <v>443</v>
      </c>
      <c r="D224" s="56" t="s">
        <v>524</v>
      </c>
      <c r="E224" s="56" t="s">
        <v>272</v>
      </c>
      <c r="F224" s="57" t="s">
        <v>15</v>
      </c>
      <c r="G224" s="61"/>
      <c r="H224" s="61"/>
      <c r="I224" s="60"/>
      <c r="J224" s="53"/>
    </row>
    <row r="225" ht="24.75" hidden="1" customHeight="1">
      <c r="A225" s="54">
        <v>140.0</v>
      </c>
      <c r="B225" s="56" t="s">
        <v>525</v>
      </c>
      <c r="C225" s="56" t="s">
        <v>443</v>
      </c>
      <c r="D225" s="56" t="s">
        <v>526</v>
      </c>
      <c r="E225" s="56" t="s">
        <v>272</v>
      </c>
      <c r="F225" s="57" t="s">
        <v>15</v>
      </c>
      <c r="G225" s="61"/>
      <c r="H225" s="61"/>
      <c r="I225" s="60"/>
      <c r="J225" s="53"/>
    </row>
    <row r="226" ht="24.75" hidden="1" customHeight="1">
      <c r="A226" s="54">
        <v>140.0</v>
      </c>
      <c r="B226" s="56" t="s">
        <v>527</v>
      </c>
      <c r="C226" s="56" t="s">
        <v>446</v>
      </c>
      <c r="D226" s="56" t="s">
        <v>528</v>
      </c>
      <c r="E226" s="56" t="s">
        <v>272</v>
      </c>
      <c r="F226" s="57" t="s">
        <v>15</v>
      </c>
      <c r="G226" s="61"/>
      <c r="H226" s="61"/>
      <c r="I226" s="60"/>
      <c r="J226" s="53"/>
    </row>
    <row r="227" ht="24.75" hidden="1" customHeight="1">
      <c r="A227" s="54">
        <v>140.0</v>
      </c>
      <c r="B227" s="56" t="s">
        <v>529</v>
      </c>
      <c r="C227" s="56" t="s">
        <v>446</v>
      </c>
      <c r="D227" s="56" t="s">
        <v>530</v>
      </c>
      <c r="E227" s="56" t="s">
        <v>272</v>
      </c>
      <c r="F227" s="57" t="s">
        <v>15</v>
      </c>
      <c r="G227" s="61"/>
      <c r="H227" s="61"/>
      <c r="I227" s="60"/>
      <c r="J227" s="53"/>
    </row>
    <row r="228" ht="24.75" hidden="1" customHeight="1">
      <c r="A228" s="54">
        <v>140.0</v>
      </c>
      <c r="B228" s="56" t="s">
        <v>531</v>
      </c>
      <c r="C228" s="88" t="s">
        <v>449</v>
      </c>
      <c r="D228" s="56" t="s">
        <v>532</v>
      </c>
      <c r="E228" s="56" t="s">
        <v>272</v>
      </c>
      <c r="F228" s="57" t="s">
        <v>15</v>
      </c>
      <c r="G228" s="61"/>
      <c r="H228" s="61"/>
      <c r="I228" s="60"/>
      <c r="J228" s="53"/>
    </row>
    <row r="229" ht="24.75" customHeight="1">
      <c r="A229" s="54">
        <v>140.0</v>
      </c>
      <c r="B229" s="56" t="s">
        <v>533</v>
      </c>
      <c r="C229" s="56" t="s">
        <v>497</v>
      </c>
      <c r="D229" s="56" t="s">
        <v>534</v>
      </c>
      <c r="E229" s="56" t="s">
        <v>439</v>
      </c>
      <c r="F229" s="57" t="s">
        <v>154</v>
      </c>
      <c r="G229" s="61"/>
      <c r="H229" s="61"/>
      <c r="I229" s="60"/>
      <c r="J229" s="53"/>
    </row>
    <row r="230" ht="24.75" customHeight="1">
      <c r="A230" s="54">
        <v>140.0</v>
      </c>
      <c r="B230" s="56" t="s">
        <v>535</v>
      </c>
      <c r="C230" s="56" t="s">
        <v>443</v>
      </c>
      <c r="D230" s="56" t="s">
        <v>537</v>
      </c>
      <c r="E230" s="56" t="s">
        <v>439</v>
      </c>
      <c r="F230" s="57" t="s">
        <v>154</v>
      </c>
      <c r="G230" s="61"/>
      <c r="H230" s="61"/>
      <c r="I230" s="60"/>
      <c r="J230" s="53"/>
    </row>
    <row r="231" ht="24.75" customHeight="1">
      <c r="A231" s="54">
        <v>140.0</v>
      </c>
      <c r="B231" s="56" t="s">
        <v>538</v>
      </c>
      <c r="C231" s="56" t="s">
        <v>446</v>
      </c>
      <c r="D231" s="56" t="s">
        <v>539</v>
      </c>
      <c r="E231" s="56" t="s">
        <v>439</v>
      </c>
      <c r="F231" s="57" t="s">
        <v>154</v>
      </c>
      <c r="G231" s="61"/>
      <c r="H231" s="61"/>
      <c r="I231" s="60"/>
      <c r="J231" s="53"/>
    </row>
    <row r="232" ht="24.75" customHeight="1">
      <c r="A232" s="54">
        <v>140.0</v>
      </c>
      <c r="B232" s="56" t="s">
        <v>540</v>
      </c>
      <c r="C232" s="56" t="s">
        <v>434</v>
      </c>
      <c r="D232" s="56" t="s">
        <v>541</v>
      </c>
      <c r="E232" s="56" t="s">
        <v>167</v>
      </c>
      <c r="F232" s="57" t="s">
        <v>154</v>
      </c>
      <c r="G232" s="61"/>
      <c r="H232" s="61"/>
      <c r="I232" s="60"/>
      <c r="J232" s="53"/>
    </row>
    <row r="233" ht="24.75" customHeight="1">
      <c r="A233" s="54">
        <v>140.0</v>
      </c>
      <c r="B233" s="56" t="s">
        <v>540</v>
      </c>
      <c r="C233" s="56" t="s">
        <v>434</v>
      </c>
      <c r="D233" s="56" t="s">
        <v>541</v>
      </c>
      <c r="E233" s="56" t="s">
        <v>176</v>
      </c>
      <c r="F233" s="57" t="s">
        <v>154</v>
      </c>
      <c r="G233" s="61"/>
      <c r="H233" s="61"/>
      <c r="I233" s="60"/>
      <c r="J233" s="53"/>
    </row>
    <row r="234" ht="24.75" customHeight="1">
      <c r="A234" s="54">
        <v>140.0</v>
      </c>
      <c r="B234" s="56" t="s">
        <v>543</v>
      </c>
      <c r="C234" s="56" t="s">
        <v>437</v>
      </c>
      <c r="D234" s="56" t="s">
        <v>544</v>
      </c>
      <c r="E234" s="56" t="s">
        <v>167</v>
      </c>
      <c r="F234" s="57" t="s">
        <v>154</v>
      </c>
      <c r="G234" s="61"/>
      <c r="H234" s="61"/>
      <c r="I234" s="60"/>
      <c r="J234" s="53"/>
    </row>
    <row r="235" ht="24.75" customHeight="1">
      <c r="A235" s="54">
        <v>140.0</v>
      </c>
      <c r="B235" s="56" t="s">
        <v>543</v>
      </c>
      <c r="C235" s="56" t="s">
        <v>437</v>
      </c>
      <c r="D235" s="56" t="s">
        <v>544</v>
      </c>
      <c r="E235" s="56" t="s">
        <v>176</v>
      </c>
      <c r="F235" s="57" t="s">
        <v>154</v>
      </c>
      <c r="G235" s="61"/>
      <c r="H235" s="61"/>
      <c r="I235" s="60"/>
      <c r="J235" s="53"/>
    </row>
    <row r="236" ht="24.75" customHeight="1">
      <c r="A236" s="54">
        <v>140.0</v>
      </c>
      <c r="B236" s="56" t="s">
        <v>545</v>
      </c>
      <c r="C236" s="56" t="s">
        <v>437</v>
      </c>
      <c r="D236" s="56" t="s">
        <v>546</v>
      </c>
      <c r="E236" s="56" t="s">
        <v>167</v>
      </c>
      <c r="F236" s="57" t="s">
        <v>154</v>
      </c>
      <c r="G236" s="61"/>
      <c r="H236" s="61"/>
      <c r="I236" s="60"/>
      <c r="J236" s="53"/>
    </row>
    <row r="237" ht="24.75" customHeight="1">
      <c r="A237" s="54">
        <v>140.0</v>
      </c>
      <c r="B237" s="56" t="s">
        <v>545</v>
      </c>
      <c r="C237" s="56" t="s">
        <v>437</v>
      </c>
      <c r="D237" s="56" t="s">
        <v>546</v>
      </c>
      <c r="E237" s="56" t="s">
        <v>176</v>
      </c>
      <c r="F237" s="57" t="s">
        <v>154</v>
      </c>
      <c r="G237" s="61"/>
      <c r="H237" s="61"/>
      <c r="I237" s="60"/>
      <c r="J237" s="53"/>
    </row>
    <row r="238" ht="24.75" customHeight="1">
      <c r="A238" s="54">
        <v>140.0</v>
      </c>
      <c r="B238" s="56" t="s">
        <v>547</v>
      </c>
      <c r="C238" s="56" t="s">
        <v>437</v>
      </c>
      <c r="D238" s="56" t="s">
        <v>548</v>
      </c>
      <c r="E238" s="56" t="s">
        <v>167</v>
      </c>
      <c r="F238" s="57" t="s">
        <v>154</v>
      </c>
      <c r="G238" s="61"/>
      <c r="H238" s="61"/>
      <c r="I238" s="60"/>
      <c r="J238" s="53"/>
    </row>
    <row r="239" ht="24.75" customHeight="1">
      <c r="A239" s="54">
        <v>140.0</v>
      </c>
      <c r="B239" s="56" t="s">
        <v>547</v>
      </c>
      <c r="C239" s="56" t="s">
        <v>437</v>
      </c>
      <c r="D239" s="56" t="s">
        <v>548</v>
      </c>
      <c r="E239" s="56" t="s">
        <v>176</v>
      </c>
      <c r="F239" s="57" t="s">
        <v>154</v>
      </c>
      <c r="G239" s="61"/>
      <c r="H239" s="61"/>
      <c r="I239" s="60"/>
      <c r="J239" s="53"/>
    </row>
    <row r="240" ht="24.75" customHeight="1">
      <c r="A240" s="54">
        <v>140.0</v>
      </c>
      <c r="B240" s="56" t="s">
        <v>549</v>
      </c>
      <c r="C240" s="56" t="s">
        <v>434</v>
      </c>
      <c r="D240" s="56" t="s">
        <v>550</v>
      </c>
      <c r="E240" s="56" t="s">
        <v>167</v>
      </c>
      <c r="F240" s="57" t="s">
        <v>154</v>
      </c>
      <c r="G240" s="61"/>
      <c r="H240" s="61"/>
      <c r="I240" s="60"/>
      <c r="J240" s="53"/>
    </row>
    <row r="241" ht="24.75" customHeight="1">
      <c r="A241" s="54">
        <v>140.0</v>
      </c>
      <c r="B241" s="56" t="s">
        <v>549</v>
      </c>
      <c r="C241" s="56" t="s">
        <v>434</v>
      </c>
      <c r="D241" s="56" t="s">
        <v>550</v>
      </c>
      <c r="E241" s="56" t="s">
        <v>176</v>
      </c>
      <c r="F241" s="57" t="s">
        <v>154</v>
      </c>
      <c r="G241" s="61"/>
      <c r="H241" s="61"/>
      <c r="I241" s="60"/>
      <c r="J241" s="53"/>
    </row>
    <row r="242" ht="24.75" customHeight="1">
      <c r="A242" s="54">
        <v>140.0</v>
      </c>
      <c r="B242" s="56" t="s">
        <v>551</v>
      </c>
      <c r="C242" s="56" t="s">
        <v>497</v>
      </c>
      <c r="D242" s="56" t="s">
        <v>552</v>
      </c>
      <c r="E242" s="56" t="s">
        <v>167</v>
      </c>
      <c r="F242" s="57" t="s">
        <v>154</v>
      </c>
      <c r="G242" s="61"/>
      <c r="H242" s="61"/>
      <c r="I242" s="60"/>
      <c r="J242" s="53"/>
    </row>
    <row r="243" ht="24.75" customHeight="1">
      <c r="A243" s="54">
        <v>140.0</v>
      </c>
      <c r="B243" s="56" t="s">
        <v>551</v>
      </c>
      <c r="C243" s="56" t="s">
        <v>497</v>
      </c>
      <c r="D243" s="56" t="s">
        <v>552</v>
      </c>
      <c r="E243" s="56" t="s">
        <v>176</v>
      </c>
      <c r="F243" s="57" t="s">
        <v>154</v>
      </c>
      <c r="G243" s="61"/>
      <c r="H243" s="61"/>
      <c r="I243" s="60"/>
      <c r="J243" s="53"/>
    </row>
    <row r="244" ht="24.75" customHeight="1">
      <c r="A244" s="54">
        <v>140.0</v>
      </c>
      <c r="B244" s="56" t="s">
        <v>553</v>
      </c>
      <c r="C244" s="56" t="s">
        <v>443</v>
      </c>
      <c r="D244" s="56" t="s">
        <v>554</v>
      </c>
      <c r="E244" s="56" t="s">
        <v>167</v>
      </c>
      <c r="F244" s="57" t="s">
        <v>154</v>
      </c>
      <c r="G244" s="61"/>
      <c r="H244" s="61"/>
      <c r="I244" s="60"/>
      <c r="J244" s="53"/>
    </row>
    <row r="245" ht="24.75" customHeight="1">
      <c r="A245" s="54">
        <v>140.0</v>
      </c>
      <c r="B245" s="56" t="s">
        <v>553</v>
      </c>
      <c r="C245" s="56" t="s">
        <v>443</v>
      </c>
      <c r="D245" s="56" t="s">
        <v>554</v>
      </c>
      <c r="E245" s="56" t="s">
        <v>176</v>
      </c>
      <c r="F245" s="57" t="s">
        <v>154</v>
      </c>
      <c r="G245" s="61"/>
      <c r="H245" s="61"/>
      <c r="I245" s="60"/>
      <c r="J245" s="53"/>
    </row>
    <row r="246" ht="24.75" customHeight="1">
      <c r="A246" s="54">
        <v>140.0</v>
      </c>
      <c r="B246" s="56" t="s">
        <v>555</v>
      </c>
      <c r="C246" s="56" t="s">
        <v>434</v>
      </c>
      <c r="D246" s="56" t="s">
        <v>556</v>
      </c>
      <c r="E246" s="56" t="s">
        <v>167</v>
      </c>
      <c r="F246" s="57" t="s">
        <v>154</v>
      </c>
      <c r="G246" s="61"/>
      <c r="H246" s="61"/>
      <c r="I246" s="60"/>
      <c r="J246" s="53"/>
    </row>
    <row r="247" ht="24.75" customHeight="1">
      <c r="A247" s="54">
        <v>140.0</v>
      </c>
      <c r="B247" s="56" t="s">
        <v>555</v>
      </c>
      <c r="C247" s="56" t="s">
        <v>434</v>
      </c>
      <c r="D247" s="56" t="s">
        <v>556</v>
      </c>
      <c r="E247" s="56" t="s">
        <v>176</v>
      </c>
      <c r="F247" s="57" t="s">
        <v>154</v>
      </c>
      <c r="G247" s="61"/>
      <c r="H247" s="61"/>
      <c r="I247" s="60"/>
      <c r="J247" s="53"/>
    </row>
    <row r="248" ht="24.75" customHeight="1">
      <c r="A248" s="54">
        <v>140.0</v>
      </c>
      <c r="B248" s="56" t="s">
        <v>558</v>
      </c>
      <c r="C248" s="56" t="s">
        <v>270</v>
      </c>
      <c r="D248" s="56" t="s">
        <v>559</v>
      </c>
      <c r="E248" s="56" t="s">
        <v>167</v>
      </c>
      <c r="F248" s="57" t="s">
        <v>154</v>
      </c>
      <c r="G248" s="61"/>
      <c r="H248" s="61"/>
      <c r="I248" s="60"/>
      <c r="J248" s="53"/>
    </row>
    <row r="249" ht="24.75" customHeight="1">
      <c r="A249" s="54">
        <v>140.0</v>
      </c>
      <c r="B249" s="56" t="s">
        <v>558</v>
      </c>
      <c r="C249" s="56" t="s">
        <v>270</v>
      </c>
      <c r="D249" s="56" t="s">
        <v>559</v>
      </c>
      <c r="E249" s="56" t="s">
        <v>176</v>
      </c>
      <c r="F249" s="57" t="s">
        <v>154</v>
      </c>
      <c r="G249" s="61"/>
      <c r="H249" s="61"/>
      <c r="I249" s="60"/>
      <c r="J249" s="53"/>
    </row>
    <row r="250" ht="24.75" customHeight="1">
      <c r="A250" s="54">
        <v>140.0</v>
      </c>
      <c r="B250" s="56" t="s">
        <v>560</v>
      </c>
      <c r="C250" s="56" t="s">
        <v>446</v>
      </c>
      <c r="D250" s="56" t="s">
        <v>561</v>
      </c>
      <c r="E250" s="56" t="s">
        <v>167</v>
      </c>
      <c r="F250" s="57" t="s">
        <v>154</v>
      </c>
      <c r="G250" s="61"/>
      <c r="H250" s="61"/>
      <c r="I250" s="60"/>
      <c r="J250" s="53"/>
    </row>
    <row r="251" ht="24.75" customHeight="1">
      <c r="A251" s="54">
        <v>140.0</v>
      </c>
      <c r="B251" s="56" t="s">
        <v>560</v>
      </c>
      <c r="C251" s="56" t="s">
        <v>446</v>
      </c>
      <c r="D251" s="56" t="s">
        <v>561</v>
      </c>
      <c r="E251" s="56" t="s">
        <v>176</v>
      </c>
      <c r="F251" s="57" t="s">
        <v>154</v>
      </c>
      <c r="G251" s="61"/>
      <c r="H251" s="61"/>
      <c r="I251" s="60"/>
      <c r="J251" s="53"/>
    </row>
    <row r="252" ht="24.75" customHeight="1">
      <c r="A252" s="54">
        <v>140.0</v>
      </c>
      <c r="B252" s="56" t="s">
        <v>562</v>
      </c>
      <c r="C252" s="56" t="s">
        <v>443</v>
      </c>
      <c r="D252" s="56" t="s">
        <v>563</v>
      </c>
      <c r="E252" s="56" t="s">
        <v>167</v>
      </c>
      <c r="F252" s="57" t="s">
        <v>154</v>
      </c>
      <c r="G252" s="61"/>
      <c r="H252" s="61"/>
      <c r="I252" s="60"/>
      <c r="J252" s="53"/>
    </row>
    <row r="253" ht="24.75" customHeight="1">
      <c r="A253" s="54">
        <v>140.0</v>
      </c>
      <c r="B253" s="56" t="s">
        <v>562</v>
      </c>
      <c r="C253" s="56" t="s">
        <v>443</v>
      </c>
      <c r="D253" s="56" t="s">
        <v>563</v>
      </c>
      <c r="E253" s="56" t="s">
        <v>176</v>
      </c>
      <c r="F253" s="57" t="s">
        <v>154</v>
      </c>
      <c r="G253" s="61"/>
      <c r="H253" s="61"/>
      <c r="I253" s="60"/>
      <c r="J253" s="53"/>
    </row>
    <row r="254" ht="24.75" customHeight="1">
      <c r="A254" s="54">
        <v>140.0</v>
      </c>
      <c r="B254" s="56" t="s">
        <v>564</v>
      </c>
      <c r="C254" s="56" t="s">
        <v>446</v>
      </c>
      <c r="D254" s="56" t="s">
        <v>565</v>
      </c>
      <c r="E254" s="56" t="s">
        <v>167</v>
      </c>
      <c r="F254" s="57" t="s">
        <v>154</v>
      </c>
      <c r="G254" s="61"/>
      <c r="H254" s="61"/>
      <c r="I254" s="60"/>
      <c r="J254" s="53"/>
    </row>
    <row r="255" ht="24.75" customHeight="1">
      <c r="A255" s="54">
        <v>140.0</v>
      </c>
      <c r="B255" s="56" t="s">
        <v>564</v>
      </c>
      <c r="C255" s="56" t="s">
        <v>446</v>
      </c>
      <c r="D255" s="56" t="s">
        <v>565</v>
      </c>
      <c r="E255" s="56" t="s">
        <v>176</v>
      </c>
      <c r="F255" s="57" t="s">
        <v>154</v>
      </c>
      <c r="G255" s="61"/>
      <c r="H255" s="61"/>
      <c r="I255" s="60"/>
      <c r="J255" s="53"/>
    </row>
    <row r="256" ht="24.75" customHeight="1">
      <c r="A256" s="54">
        <v>140.0</v>
      </c>
      <c r="B256" s="56" t="s">
        <v>566</v>
      </c>
      <c r="C256" s="88" t="s">
        <v>449</v>
      </c>
      <c r="D256" s="56" t="s">
        <v>567</v>
      </c>
      <c r="E256" s="56" t="s">
        <v>167</v>
      </c>
      <c r="F256" s="57" t="s">
        <v>154</v>
      </c>
      <c r="G256" s="61"/>
      <c r="H256" s="61"/>
      <c r="I256" s="60"/>
      <c r="J256" s="53"/>
    </row>
    <row r="257" ht="24.75" customHeight="1">
      <c r="A257" s="54">
        <v>140.0</v>
      </c>
      <c r="B257" s="56" t="s">
        <v>566</v>
      </c>
      <c r="C257" s="88" t="s">
        <v>449</v>
      </c>
      <c r="D257" s="56" t="s">
        <v>567</v>
      </c>
      <c r="E257" s="56" t="s">
        <v>176</v>
      </c>
      <c r="F257" s="57" t="s">
        <v>154</v>
      </c>
      <c r="G257" s="61"/>
      <c r="H257" s="61"/>
      <c r="I257" s="60"/>
      <c r="J257" s="53"/>
    </row>
    <row r="258" ht="24.75" hidden="1" customHeight="1">
      <c r="A258" s="54">
        <v>140.0</v>
      </c>
      <c r="B258" s="56" t="s">
        <v>568</v>
      </c>
      <c r="C258" s="56" t="s">
        <v>446</v>
      </c>
      <c r="D258" s="56" t="s">
        <v>569</v>
      </c>
      <c r="E258" s="56" t="s">
        <v>272</v>
      </c>
      <c r="F258" s="57" t="s">
        <v>15</v>
      </c>
      <c r="G258" s="61"/>
      <c r="H258" s="61"/>
      <c r="I258" s="60"/>
      <c r="J258" s="53"/>
    </row>
    <row r="259" ht="24.75" customHeight="1">
      <c r="A259" s="54">
        <v>140.0</v>
      </c>
      <c r="B259" s="56" t="s">
        <v>570</v>
      </c>
      <c r="C259" s="88" t="s">
        <v>449</v>
      </c>
      <c r="D259" s="56" t="s">
        <v>571</v>
      </c>
      <c r="E259" s="56" t="s">
        <v>167</v>
      </c>
      <c r="F259" s="57" t="s">
        <v>154</v>
      </c>
      <c r="G259" s="61"/>
      <c r="H259" s="61"/>
      <c r="I259" s="60"/>
      <c r="J259" s="53"/>
    </row>
    <row r="260" ht="24.75" customHeight="1">
      <c r="A260" s="54">
        <v>140.0</v>
      </c>
      <c r="B260" s="56" t="s">
        <v>570</v>
      </c>
      <c r="C260" s="88" t="s">
        <v>449</v>
      </c>
      <c r="D260" s="56" t="s">
        <v>571</v>
      </c>
      <c r="E260" s="56" t="s">
        <v>176</v>
      </c>
      <c r="F260" s="57" t="s">
        <v>154</v>
      </c>
      <c r="G260" s="61"/>
      <c r="H260" s="61"/>
      <c r="I260" s="60"/>
      <c r="J260" s="53"/>
    </row>
    <row r="261" ht="24.75" customHeight="1">
      <c r="A261" s="54" t="s">
        <v>572</v>
      </c>
      <c r="B261" s="56" t="s">
        <v>573</v>
      </c>
      <c r="C261" s="56" t="s">
        <v>574</v>
      </c>
      <c r="D261" s="56" t="s">
        <v>575</v>
      </c>
      <c r="E261" s="56" t="s">
        <v>239</v>
      </c>
      <c r="F261" s="57" t="s">
        <v>154</v>
      </c>
      <c r="G261" s="61"/>
      <c r="H261" s="61"/>
      <c r="I261" s="60"/>
      <c r="J261" s="53"/>
    </row>
    <row r="262" ht="24.75" customHeight="1">
      <c r="A262" s="54" t="s">
        <v>572</v>
      </c>
      <c r="B262" s="56" t="s">
        <v>576</v>
      </c>
      <c r="C262" s="56" t="s">
        <v>574</v>
      </c>
      <c r="D262" s="56" t="s">
        <v>577</v>
      </c>
      <c r="E262" s="56" t="s">
        <v>578</v>
      </c>
      <c r="F262" s="57" t="s">
        <v>154</v>
      </c>
      <c r="G262" s="61"/>
      <c r="H262" s="61"/>
      <c r="I262" s="60"/>
      <c r="J262" s="53"/>
    </row>
    <row r="263" ht="24.75" customHeight="1">
      <c r="A263" s="54" t="s">
        <v>572</v>
      </c>
      <c r="B263" s="56" t="s">
        <v>576</v>
      </c>
      <c r="C263" s="56" t="s">
        <v>574</v>
      </c>
      <c r="D263" s="56" t="s">
        <v>577</v>
      </c>
      <c r="E263" s="56" t="s">
        <v>196</v>
      </c>
      <c r="F263" s="57" t="s">
        <v>250</v>
      </c>
      <c r="G263" s="61"/>
      <c r="H263" s="61" t="s">
        <v>197</v>
      </c>
      <c r="I263" s="60" t="s">
        <v>581</v>
      </c>
      <c r="J263" s="53"/>
    </row>
    <row r="264" ht="24.75" customHeight="1">
      <c r="A264" s="54" t="s">
        <v>572</v>
      </c>
      <c r="B264" s="56" t="s">
        <v>579</v>
      </c>
      <c r="C264" s="56" t="s">
        <v>574</v>
      </c>
      <c r="D264" s="56" t="s">
        <v>580</v>
      </c>
      <c r="E264" s="56" t="s">
        <v>578</v>
      </c>
      <c r="F264" s="57" t="s">
        <v>154</v>
      </c>
      <c r="G264" s="61"/>
      <c r="H264" s="61"/>
      <c r="I264" s="60"/>
      <c r="J264" s="53"/>
    </row>
    <row r="265" ht="24.75" customHeight="1">
      <c r="A265" s="54" t="s">
        <v>572</v>
      </c>
      <c r="B265" s="56" t="s">
        <v>579</v>
      </c>
      <c r="C265" s="56" t="s">
        <v>574</v>
      </c>
      <c r="D265" s="56" t="s">
        <v>580</v>
      </c>
      <c r="E265" s="56" t="s">
        <v>196</v>
      </c>
      <c r="F265" s="57" t="s">
        <v>250</v>
      </c>
      <c r="G265" s="61"/>
      <c r="H265" s="61" t="s">
        <v>197</v>
      </c>
      <c r="I265" s="60" t="s">
        <v>581</v>
      </c>
      <c r="J265" s="53"/>
    </row>
    <row r="266" ht="24.75" customHeight="1">
      <c r="A266" s="54" t="s">
        <v>572</v>
      </c>
      <c r="B266" s="56" t="s">
        <v>582</v>
      </c>
      <c r="C266" s="56" t="s">
        <v>583</v>
      </c>
      <c r="D266" s="56" t="s">
        <v>584</v>
      </c>
      <c r="E266" s="56" t="s">
        <v>585</v>
      </c>
      <c r="F266" s="57" t="s">
        <v>154</v>
      </c>
      <c r="G266" s="61"/>
      <c r="H266" s="61"/>
      <c r="I266" s="60"/>
      <c r="J266" s="53"/>
    </row>
    <row r="267" ht="24.75" customHeight="1">
      <c r="A267" s="54" t="s">
        <v>572</v>
      </c>
      <c r="B267" s="56" t="s">
        <v>586</v>
      </c>
      <c r="C267" s="56" t="s">
        <v>583</v>
      </c>
      <c r="D267" s="56" t="s">
        <v>587</v>
      </c>
      <c r="E267" s="56" t="s">
        <v>588</v>
      </c>
      <c r="F267" s="57" t="s">
        <v>154</v>
      </c>
      <c r="G267" s="61"/>
      <c r="H267" s="61"/>
      <c r="I267" s="60"/>
      <c r="J267" s="53"/>
    </row>
    <row r="268" ht="24.75" customHeight="1">
      <c r="A268" s="54" t="s">
        <v>572</v>
      </c>
      <c r="B268" s="56" t="s">
        <v>586</v>
      </c>
      <c r="C268" s="56" t="s">
        <v>583</v>
      </c>
      <c r="D268" s="56" t="s">
        <v>587</v>
      </c>
      <c r="E268" s="56" t="s">
        <v>589</v>
      </c>
      <c r="F268" s="57" t="s">
        <v>154</v>
      </c>
      <c r="G268" s="61"/>
      <c r="H268" s="61"/>
      <c r="I268" s="60"/>
      <c r="J268" s="53"/>
    </row>
    <row r="269" ht="24.75" customHeight="1">
      <c r="A269" s="54" t="s">
        <v>572</v>
      </c>
      <c r="B269" s="56" t="s">
        <v>586</v>
      </c>
      <c r="C269" s="56" t="s">
        <v>583</v>
      </c>
      <c r="D269" s="56" t="s">
        <v>587</v>
      </c>
      <c r="E269" s="56" t="s">
        <v>590</v>
      </c>
      <c r="F269" s="57" t="s">
        <v>250</v>
      </c>
      <c r="G269" s="61"/>
      <c r="H269" s="61" t="s">
        <v>592</v>
      </c>
      <c r="I269" s="60" t="s">
        <v>593</v>
      </c>
      <c r="J269" s="53"/>
    </row>
    <row r="270" ht="24.75" customHeight="1">
      <c r="A270" s="54" t="s">
        <v>572</v>
      </c>
      <c r="B270" s="56" t="s">
        <v>591</v>
      </c>
      <c r="C270" s="56" t="s">
        <v>574</v>
      </c>
      <c r="D270" s="56" t="s">
        <v>594</v>
      </c>
      <c r="E270" s="56" t="s">
        <v>239</v>
      </c>
      <c r="F270" s="57" t="s">
        <v>154</v>
      </c>
      <c r="G270" s="61"/>
      <c r="H270" s="61"/>
      <c r="I270" s="60"/>
      <c r="J270" s="53"/>
    </row>
    <row r="271" ht="24.75" customHeight="1">
      <c r="A271" s="54" t="s">
        <v>572</v>
      </c>
      <c r="B271" s="56" t="s">
        <v>595</v>
      </c>
      <c r="C271" s="56" t="s">
        <v>574</v>
      </c>
      <c r="D271" s="56" t="s">
        <v>577</v>
      </c>
      <c r="E271" s="56" t="s">
        <v>578</v>
      </c>
      <c r="F271" s="57" t="s">
        <v>154</v>
      </c>
      <c r="G271" s="61"/>
      <c r="H271" s="61"/>
      <c r="I271" s="60"/>
      <c r="J271" s="53"/>
    </row>
    <row r="272" ht="24.75" customHeight="1">
      <c r="A272" s="54" t="s">
        <v>572</v>
      </c>
      <c r="B272" s="56" t="s">
        <v>595</v>
      </c>
      <c r="C272" s="56" t="s">
        <v>574</v>
      </c>
      <c r="D272" s="56" t="s">
        <v>577</v>
      </c>
      <c r="E272" s="56" t="s">
        <v>196</v>
      </c>
      <c r="F272" s="57" t="s">
        <v>250</v>
      </c>
      <c r="G272" s="61"/>
      <c r="H272" s="61" t="s">
        <v>197</v>
      </c>
      <c r="I272" s="60" t="s">
        <v>581</v>
      </c>
      <c r="J272" s="53"/>
    </row>
    <row r="273" ht="24.75" customHeight="1">
      <c r="A273" s="54" t="s">
        <v>572</v>
      </c>
      <c r="B273" s="56" t="s">
        <v>596</v>
      </c>
      <c r="C273" s="56" t="s">
        <v>574</v>
      </c>
      <c r="D273" s="56" t="s">
        <v>597</v>
      </c>
      <c r="E273" s="56" t="s">
        <v>239</v>
      </c>
      <c r="F273" s="57" t="s">
        <v>154</v>
      </c>
      <c r="G273" s="61"/>
      <c r="H273" s="61"/>
      <c r="I273" s="60"/>
      <c r="J273" s="53"/>
    </row>
    <row r="274" ht="24.75" customHeight="1">
      <c r="A274" s="54" t="s">
        <v>572</v>
      </c>
      <c r="B274" s="56" t="s">
        <v>598</v>
      </c>
      <c r="C274" s="56" t="s">
        <v>574</v>
      </c>
      <c r="D274" s="56" t="s">
        <v>577</v>
      </c>
      <c r="E274" s="56" t="s">
        <v>578</v>
      </c>
      <c r="F274" s="57" t="s">
        <v>154</v>
      </c>
      <c r="G274" s="61"/>
      <c r="H274" s="61"/>
      <c r="I274" s="60"/>
      <c r="J274" s="53"/>
    </row>
    <row r="275" ht="24.75" customHeight="1">
      <c r="A275" s="54" t="s">
        <v>572</v>
      </c>
      <c r="B275" s="56" t="s">
        <v>598</v>
      </c>
      <c r="C275" s="56" t="s">
        <v>574</v>
      </c>
      <c r="D275" s="56" t="s">
        <v>577</v>
      </c>
      <c r="E275" s="56" t="s">
        <v>196</v>
      </c>
      <c r="F275" s="57" t="s">
        <v>250</v>
      </c>
      <c r="G275" s="61"/>
      <c r="H275" s="61" t="s">
        <v>197</v>
      </c>
      <c r="I275" s="60" t="s">
        <v>581</v>
      </c>
      <c r="J275" s="53"/>
    </row>
    <row r="276" ht="24.75" customHeight="1">
      <c r="A276" s="54" t="s">
        <v>289</v>
      </c>
      <c r="B276" s="56" t="s">
        <v>599</v>
      </c>
      <c r="C276" s="56" t="s">
        <v>291</v>
      </c>
      <c r="D276" s="56" t="s">
        <v>600</v>
      </c>
      <c r="E276" s="56" t="s">
        <v>163</v>
      </c>
      <c r="F276" s="57" t="s">
        <v>154</v>
      </c>
      <c r="G276" s="61"/>
      <c r="H276" s="79"/>
      <c r="I276" s="60"/>
      <c r="J276" s="53"/>
    </row>
    <row r="277" ht="24.75" customHeight="1">
      <c r="A277" s="54" t="s">
        <v>289</v>
      </c>
      <c r="B277" s="56" t="s">
        <v>290</v>
      </c>
      <c r="C277" s="56" t="s">
        <v>291</v>
      </c>
      <c r="D277" s="56" t="s">
        <v>292</v>
      </c>
      <c r="E277" s="56" t="s">
        <v>196</v>
      </c>
      <c r="F277" s="57" t="s">
        <v>250</v>
      </c>
      <c r="G277" s="61"/>
      <c r="H277" s="61" t="s">
        <v>287</v>
      </c>
      <c r="I277" s="60" t="s">
        <v>288</v>
      </c>
      <c r="J277" s="53"/>
    </row>
    <row r="278" ht="24.75" customHeight="1">
      <c r="A278" s="54" t="s">
        <v>289</v>
      </c>
      <c r="B278" s="56" t="s">
        <v>290</v>
      </c>
      <c r="C278" s="56" t="s">
        <v>291</v>
      </c>
      <c r="D278" s="56" t="s">
        <v>292</v>
      </c>
      <c r="E278" s="56" t="s">
        <v>601</v>
      </c>
      <c r="F278" s="57" t="s">
        <v>154</v>
      </c>
      <c r="G278" s="61"/>
      <c r="H278" s="79"/>
      <c r="I278" s="60"/>
      <c r="J278" s="53"/>
    </row>
    <row r="279" ht="24.75" hidden="1" customHeight="1">
      <c r="A279" s="54">
        <v>140.0</v>
      </c>
      <c r="B279" s="56" t="s">
        <v>602</v>
      </c>
      <c r="C279" s="56" t="s">
        <v>500</v>
      </c>
      <c r="D279" s="56" t="s">
        <v>603</v>
      </c>
      <c r="E279" s="56" t="s">
        <v>272</v>
      </c>
      <c r="F279" s="57" t="s">
        <v>15</v>
      </c>
      <c r="G279" s="61"/>
      <c r="H279" s="61"/>
      <c r="I279" s="60"/>
      <c r="J279" s="53"/>
    </row>
    <row r="280" ht="24.75" hidden="1" customHeight="1">
      <c r="A280" s="54">
        <v>140.0</v>
      </c>
      <c r="B280" s="56" t="s">
        <v>566</v>
      </c>
      <c r="C280" s="56" t="s">
        <v>500</v>
      </c>
      <c r="D280" s="56" t="s">
        <v>604</v>
      </c>
      <c r="E280" s="56" t="s">
        <v>272</v>
      </c>
      <c r="F280" s="57" t="s">
        <v>15</v>
      </c>
      <c r="G280" s="61"/>
      <c r="H280" s="61"/>
      <c r="I280" s="60"/>
      <c r="J280" s="53"/>
    </row>
    <row r="281" ht="24.75" customHeight="1">
      <c r="A281" s="54" t="s">
        <v>289</v>
      </c>
      <c r="B281" s="56" t="s">
        <v>605</v>
      </c>
      <c r="C281" s="56" t="s">
        <v>606</v>
      </c>
      <c r="D281" s="56" t="s">
        <v>607</v>
      </c>
      <c r="E281" s="56" t="s">
        <v>608</v>
      </c>
      <c r="F281" s="57" t="s">
        <v>154</v>
      </c>
      <c r="G281" s="61"/>
      <c r="H281" s="79"/>
      <c r="I281" s="60"/>
      <c r="J281" s="53"/>
    </row>
    <row r="282" ht="24.75" hidden="1" customHeight="1">
      <c r="A282" s="54" t="s">
        <v>289</v>
      </c>
      <c r="B282" s="56" t="s">
        <v>609</v>
      </c>
      <c r="C282" s="56" t="s">
        <v>610</v>
      </c>
      <c r="D282" s="56" t="s">
        <v>611</v>
      </c>
      <c r="E282" s="56" t="s">
        <v>612</v>
      </c>
      <c r="F282" s="57" t="s">
        <v>34</v>
      </c>
      <c r="G282" s="61"/>
      <c r="H282" s="79"/>
      <c r="I282" s="60"/>
      <c r="J282" s="53"/>
    </row>
    <row r="283" ht="24.75" hidden="1" customHeight="1">
      <c r="A283" s="54" t="s">
        <v>289</v>
      </c>
      <c r="B283" s="56" t="s">
        <v>609</v>
      </c>
      <c r="C283" s="56" t="s">
        <v>610</v>
      </c>
      <c r="D283" s="56" t="s">
        <v>611</v>
      </c>
      <c r="E283" s="56" t="s">
        <v>613</v>
      </c>
      <c r="F283" s="57" t="s">
        <v>34</v>
      </c>
      <c r="G283" s="61"/>
      <c r="H283" s="79"/>
      <c r="I283" s="60"/>
      <c r="J283" s="53"/>
    </row>
    <row r="284" ht="24.75" hidden="1" customHeight="1">
      <c r="A284" s="54" t="s">
        <v>289</v>
      </c>
      <c r="B284" s="56" t="s">
        <v>609</v>
      </c>
      <c r="C284" s="56" t="s">
        <v>610</v>
      </c>
      <c r="D284" s="56" t="s">
        <v>611</v>
      </c>
      <c r="E284" s="56" t="s">
        <v>614</v>
      </c>
      <c r="F284" s="57" t="s">
        <v>34</v>
      </c>
      <c r="G284" s="61"/>
      <c r="H284" s="79"/>
      <c r="I284" s="60"/>
      <c r="J284" s="53"/>
    </row>
    <row r="285" ht="24.75" customHeight="1">
      <c r="A285" s="54" t="s">
        <v>289</v>
      </c>
      <c r="B285" s="56" t="s">
        <v>609</v>
      </c>
      <c r="C285" s="56" t="s">
        <v>610</v>
      </c>
      <c r="D285" s="56" t="s">
        <v>611</v>
      </c>
      <c r="E285" s="56" t="s">
        <v>616</v>
      </c>
      <c r="F285" s="57" t="s">
        <v>154</v>
      </c>
      <c r="G285" s="61"/>
      <c r="H285" s="79"/>
      <c r="I285" s="60"/>
      <c r="J285" s="53"/>
    </row>
    <row r="286" ht="24.75" customHeight="1">
      <c r="A286" s="54" t="s">
        <v>289</v>
      </c>
      <c r="B286" s="56" t="s">
        <v>619</v>
      </c>
      <c r="C286" s="56" t="s">
        <v>610</v>
      </c>
      <c r="D286" s="56" t="s">
        <v>620</v>
      </c>
      <c r="E286" s="56" t="s">
        <v>196</v>
      </c>
      <c r="F286" s="57" t="s">
        <v>250</v>
      </c>
      <c r="G286" s="61"/>
      <c r="H286" s="61" t="s">
        <v>287</v>
      </c>
      <c r="I286" s="60" t="s">
        <v>288</v>
      </c>
      <c r="J286" s="53"/>
    </row>
    <row r="287" ht="24.75" customHeight="1">
      <c r="A287" s="54" t="s">
        <v>289</v>
      </c>
      <c r="B287" s="56" t="s">
        <v>619</v>
      </c>
      <c r="C287" s="56" t="s">
        <v>610</v>
      </c>
      <c r="D287" s="56" t="s">
        <v>620</v>
      </c>
      <c r="E287" s="56" t="s">
        <v>621</v>
      </c>
      <c r="F287" s="57" t="s">
        <v>192</v>
      </c>
      <c r="G287" s="61"/>
      <c r="H287" s="79"/>
      <c r="I287" s="60"/>
      <c r="J287" s="53"/>
    </row>
    <row r="288" ht="24.75" customHeight="1">
      <c r="A288" s="54" t="s">
        <v>289</v>
      </c>
      <c r="B288" s="56" t="s">
        <v>619</v>
      </c>
      <c r="C288" s="56" t="s">
        <v>610</v>
      </c>
      <c r="D288" s="56" t="s">
        <v>620</v>
      </c>
      <c r="E288" s="56" t="s">
        <v>622</v>
      </c>
      <c r="F288" s="57" t="s">
        <v>154</v>
      </c>
      <c r="G288" s="61"/>
      <c r="H288" s="79"/>
      <c r="I288" s="60"/>
      <c r="J288" s="53"/>
    </row>
    <row r="289" ht="24.75" hidden="1" customHeight="1">
      <c r="A289" s="54" t="s">
        <v>289</v>
      </c>
      <c r="B289" s="56" t="s">
        <v>623</v>
      </c>
      <c r="C289" s="56" t="s">
        <v>624</v>
      </c>
      <c r="D289" s="56" t="s">
        <v>611</v>
      </c>
      <c r="E289" s="56" t="s">
        <v>612</v>
      </c>
      <c r="F289" s="57" t="s">
        <v>34</v>
      </c>
      <c r="G289" s="61"/>
      <c r="H289" s="79"/>
      <c r="I289" s="60"/>
      <c r="J289" s="53"/>
    </row>
    <row r="290" ht="24.75" hidden="1" customHeight="1">
      <c r="A290" s="54" t="s">
        <v>289</v>
      </c>
      <c r="B290" s="56" t="s">
        <v>623</v>
      </c>
      <c r="C290" s="56" t="s">
        <v>624</v>
      </c>
      <c r="D290" s="56" t="s">
        <v>611</v>
      </c>
      <c r="E290" s="56" t="s">
        <v>613</v>
      </c>
      <c r="F290" s="57" t="s">
        <v>34</v>
      </c>
      <c r="G290" s="61"/>
      <c r="H290" s="79"/>
      <c r="I290" s="60"/>
      <c r="J290" s="53"/>
    </row>
    <row r="291" ht="24.75" hidden="1" customHeight="1">
      <c r="A291" s="54" t="s">
        <v>289</v>
      </c>
      <c r="B291" s="56" t="s">
        <v>623</v>
      </c>
      <c r="C291" s="56" t="s">
        <v>624</v>
      </c>
      <c r="D291" s="56" t="s">
        <v>611</v>
      </c>
      <c r="E291" s="56" t="s">
        <v>614</v>
      </c>
      <c r="F291" s="57" t="s">
        <v>34</v>
      </c>
      <c r="G291" s="61"/>
      <c r="H291" s="79"/>
      <c r="I291" s="60"/>
      <c r="J291" s="53"/>
    </row>
    <row r="292" ht="24.75" customHeight="1">
      <c r="A292" s="54" t="s">
        <v>289</v>
      </c>
      <c r="B292" s="56" t="s">
        <v>623</v>
      </c>
      <c r="C292" s="56" t="s">
        <v>624</v>
      </c>
      <c r="D292" s="56" t="s">
        <v>611</v>
      </c>
      <c r="E292" s="56" t="s">
        <v>616</v>
      </c>
      <c r="F292" s="57" t="s">
        <v>154</v>
      </c>
      <c r="G292" s="61"/>
      <c r="H292" s="79"/>
      <c r="I292" s="60"/>
      <c r="J292" s="53"/>
    </row>
    <row r="293" ht="24.75" customHeight="1">
      <c r="A293" s="54" t="s">
        <v>289</v>
      </c>
      <c r="B293" s="56" t="s">
        <v>625</v>
      </c>
      <c r="C293" s="56" t="s">
        <v>624</v>
      </c>
      <c r="D293" s="56" t="s">
        <v>620</v>
      </c>
      <c r="E293" s="56" t="s">
        <v>196</v>
      </c>
      <c r="F293" s="57" t="s">
        <v>250</v>
      </c>
      <c r="G293" s="61"/>
      <c r="H293" s="61" t="s">
        <v>287</v>
      </c>
      <c r="I293" s="60" t="s">
        <v>288</v>
      </c>
      <c r="J293" s="53"/>
    </row>
    <row r="294" ht="24.75" customHeight="1">
      <c r="A294" s="54" t="s">
        <v>289</v>
      </c>
      <c r="B294" s="56" t="s">
        <v>625</v>
      </c>
      <c r="C294" s="56" t="s">
        <v>624</v>
      </c>
      <c r="D294" s="56" t="s">
        <v>620</v>
      </c>
      <c r="E294" s="56" t="s">
        <v>621</v>
      </c>
      <c r="F294" s="57" t="s">
        <v>192</v>
      </c>
      <c r="G294" s="61"/>
      <c r="H294" s="79"/>
      <c r="I294" s="60"/>
      <c r="J294" s="53"/>
    </row>
    <row r="295" ht="24.75" customHeight="1">
      <c r="A295" s="54" t="s">
        <v>289</v>
      </c>
      <c r="B295" s="56" t="s">
        <v>625</v>
      </c>
      <c r="C295" s="56" t="s">
        <v>624</v>
      </c>
      <c r="D295" s="56" t="s">
        <v>620</v>
      </c>
      <c r="E295" s="56" t="s">
        <v>622</v>
      </c>
      <c r="F295" s="57" t="s">
        <v>154</v>
      </c>
      <c r="G295" s="61"/>
      <c r="H295" s="79"/>
      <c r="I295" s="60"/>
      <c r="J295" s="53"/>
    </row>
    <row r="296" ht="24.75" hidden="1" customHeight="1">
      <c r="A296" s="54" t="s">
        <v>289</v>
      </c>
      <c r="B296" s="56" t="s">
        <v>626</v>
      </c>
      <c r="C296" s="56" t="s">
        <v>627</v>
      </c>
      <c r="D296" s="56" t="s">
        <v>611</v>
      </c>
      <c r="E296" s="56" t="s">
        <v>612</v>
      </c>
      <c r="F296" s="57" t="s">
        <v>34</v>
      </c>
      <c r="G296" s="61"/>
      <c r="H296" s="79"/>
      <c r="I296" s="60"/>
      <c r="J296" s="53"/>
    </row>
    <row r="297" ht="24.75" hidden="1" customHeight="1">
      <c r="A297" s="54" t="s">
        <v>289</v>
      </c>
      <c r="B297" s="56" t="s">
        <v>626</v>
      </c>
      <c r="C297" s="56" t="s">
        <v>627</v>
      </c>
      <c r="D297" s="56" t="s">
        <v>611</v>
      </c>
      <c r="E297" s="56" t="s">
        <v>613</v>
      </c>
      <c r="F297" s="57" t="s">
        <v>34</v>
      </c>
      <c r="G297" s="61"/>
      <c r="H297" s="79"/>
      <c r="I297" s="60"/>
      <c r="J297" s="53"/>
    </row>
    <row r="298" ht="24.75" hidden="1" customHeight="1">
      <c r="A298" s="54" t="s">
        <v>289</v>
      </c>
      <c r="B298" s="56" t="s">
        <v>626</v>
      </c>
      <c r="C298" s="56" t="s">
        <v>627</v>
      </c>
      <c r="D298" s="56" t="s">
        <v>611</v>
      </c>
      <c r="E298" s="56" t="s">
        <v>614</v>
      </c>
      <c r="F298" s="57" t="s">
        <v>34</v>
      </c>
      <c r="G298" s="61"/>
      <c r="H298" s="79"/>
      <c r="I298" s="60"/>
      <c r="J298" s="53"/>
    </row>
    <row r="299" ht="24.75" customHeight="1">
      <c r="A299" s="54" t="s">
        <v>289</v>
      </c>
      <c r="B299" s="56" t="s">
        <v>626</v>
      </c>
      <c r="C299" s="56" t="s">
        <v>627</v>
      </c>
      <c r="D299" s="56" t="s">
        <v>611</v>
      </c>
      <c r="E299" s="56" t="s">
        <v>616</v>
      </c>
      <c r="F299" s="57" t="s">
        <v>154</v>
      </c>
      <c r="G299" s="61"/>
      <c r="H299" s="79"/>
      <c r="I299" s="60"/>
      <c r="J299" s="53"/>
    </row>
    <row r="300" ht="24.75" customHeight="1">
      <c r="A300" s="54" t="s">
        <v>289</v>
      </c>
      <c r="B300" s="56" t="s">
        <v>626</v>
      </c>
      <c r="C300" s="56" t="s">
        <v>627</v>
      </c>
      <c r="D300" s="56" t="s">
        <v>611</v>
      </c>
      <c r="E300" s="56" t="s">
        <v>618</v>
      </c>
      <c r="F300" s="57" t="s">
        <v>154</v>
      </c>
      <c r="G300" s="61"/>
      <c r="H300" s="79"/>
      <c r="I300" s="60"/>
      <c r="J300" s="53"/>
    </row>
    <row r="301" ht="24.75" customHeight="1">
      <c r="A301" s="54" t="s">
        <v>289</v>
      </c>
      <c r="B301" s="56" t="s">
        <v>628</v>
      </c>
      <c r="C301" s="56" t="s">
        <v>627</v>
      </c>
      <c r="D301" s="56" t="s">
        <v>620</v>
      </c>
      <c r="E301" s="56" t="s">
        <v>196</v>
      </c>
      <c r="F301" s="57" t="s">
        <v>250</v>
      </c>
      <c r="G301" s="61"/>
      <c r="H301" s="61" t="s">
        <v>287</v>
      </c>
      <c r="I301" s="60" t="s">
        <v>288</v>
      </c>
      <c r="J301" s="53"/>
    </row>
    <row r="302" ht="24.75" customHeight="1">
      <c r="A302" s="54" t="s">
        <v>289</v>
      </c>
      <c r="B302" s="56" t="s">
        <v>628</v>
      </c>
      <c r="C302" s="56" t="s">
        <v>627</v>
      </c>
      <c r="D302" s="56" t="s">
        <v>620</v>
      </c>
      <c r="E302" s="56" t="s">
        <v>621</v>
      </c>
      <c r="F302" s="57" t="s">
        <v>192</v>
      </c>
      <c r="G302" s="61"/>
      <c r="H302" s="79"/>
      <c r="I302" s="60"/>
      <c r="J302" s="53"/>
    </row>
    <row r="303" ht="24.75" customHeight="1">
      <c r="A303" s="54" t="s">
        <v>289</v>
      </c>
      <c r="B303" s="56" t="s">
        <v>628</v>
      </c>
      <c r="C303" s="56" t="s">
        <v>627</v>
      </c>
      <c r="D303" s="56" t="s">
        <v>620</v>
      </c>
      <c r="E303" s="56" t="s">
        <v>622</v>
      </c>
      <c r="F303" s="57" t="s">
        <v>154</v>
      </c>
      <c r="G303" s="61"/>
      <c r="H303" s="79"/>
      <c r="I303" s="60"/>
      <c r="J303" s="53"/>
    </row>
    <row r="304" ht="24.75" customHeight="1">
      <c r="A304" s="54" t="s">
        <v>289</v>
      </c>
      <c r="B304" s="56" t="s">
        <v>629</v>
      </c>
      <c r="C304" s="56" t="s">
        <v>627</v>
      </c>
      <c r="D304" s="56" t="s">
        <v>631</v>
      </c>
      <c r="E304" s="56" t="s">
        <v>191</v>
      </c>
      <c r="F304" s="57" t="s">
        <v>192</v>
      </c>
      <c r="G304" s="61"/>
      <c r="H304" s="79"/>
      <c r="I304" s="60"/>
      <c r="J304" s="53"/>
    </row>
    <row r="305" ht="24.75" hidden="1" customHeight="1">
      <c r="A305" s="54" t="s">
        <v>289</v>
      </c>
      <c r="B305" s="56" t="s">
        <v>629</v>
      </c>
      <c r="C305" s="56" t="s">
        <v>627</v>
      </c>
      <c r="D305" s="56" t="s">
        <v>631</v>
      </c>
      <c r="E305" s="56" t="s">
        <v>632</v>
      </c>
      <c r="F305" s="57" t="s">
        <v>34</v>
      </c>
      <c r="G305" s="61"/>
      <c r="H305" s="61" t="s">
        <v>197</v>
      </c>
      <c r="I305" s="60"/>
      <c r="J305" s="53"/>
    </row>
    <row r="306" ht="24.75" customHeight="1">
      <c r="A306" s="54" t="s">
        <v>289</v>
      </c>
      <c r="B306" s="56" t="s">
        <v>629</v>
      </c>
      <c r="C306" s="56" t="s">
        <v>627</v>
      </c>
      <c r="D306" s="56" t="s">
        <v>631</v>
      </c>
      <c r="E306" s="56" t="s">
        <v>633</v>
      </c>
      <c r="F306" s="57" t="s">
        <v>154</v>
      </c>
      <c r="G306" s="61"/>
      <c r="H306" s="79"/>
      <c r="I306" s="60"/>
      <c r="J306" s="53"/>
    </row>
    <row r="307" ht="24.75" customHeight="1">
      <c r="A307" s="54" t="s">
        <v>289</v>
      </c>
      <c r="B307" s="56" t="s">
        <v>629</v>
      </c>
      <c r="C307" s="56" t="s">
        <v>627</v>
      </c>
      <c r="D307" s="56" t="s">
        <v>631</v>
      </c>
      <c r="E307" s="56" t="s">
        <v>196</v>
      </c>
      <c r="F307" s="57" t="s">
        <v>250</v>
      </c>
      <c r="G307" s="61"/>
      <c r="H307" s="61" t="s">
        <v>200</v>
      </c>
      <c r="I307" s="60" t="s">
        <v>201</v>
      </c>
      <c r="J307" s="53"/>
    </row>
    <row r="308" ht="24.75" customHeight="1">
      <c r="A308" s="54" t="s">
        <v>289</v>
      </c>
      <c r="B308" s="56" t="s">
        <v>635</v>
      </c>
      <c r="C308" s="56" t="s">
        <v>627</v>
      </c>
      <c r="D308" s="56" t="s">
        <v>636</v>
      </c>
      <c r="E308" s="56" t="s">
        <v>191</v>
      </c>
      <c r="F308" s="57" t="s">
        <v>192</v>
      </c>
      <c r="G308" s="61"/>
      <c r="H308" s="79"/>
      <c r="I308" s="60"/>
      <c r="J308" s="53"/>
    </row>
    <row r="309" ht="24.75" hidden="1" customHeight="1">
      <c r="A309" s="54" t="s">
        <v>289</v>
      </c>
      <c r="B309" s="56" t="s">
        <v>635</v>
      </c>
      <c r="C309" s="56" t="s">
        <v>627</v>
      </c>
      <c r="D309" s="56" t="s">
        <v>636</v>
      </c>
      <c r="E309" s="56" t="s">
        <v>632</v>
      </c>
      <c r="F309" s="57" t="s">
        <v>34</v>
      </c>
      <c r="G309" s="61"/>
      <c r="H309" s="61" t="s">
        <v>197</v>
      </c>
      <c r="I309" s="60"/>
      <c r="J309" s="53"/>
    </row>
    <row r="310" ht="24.75" customHeight="1">
      <c r="A310" s="54" t="s">
        <v>289</v>
      </c>
      <c r="B310" s="56" t="s">
        <v>635</v>
      </c>
      <c r="C310" s="56" t="s">
        <v>627</v>
      </c>
      <c r="D310" s="56" t="s">
        <v>636</v>
      </c>
      <c r="E310" s="56" t="s">
        <v>633</v>
      </c>
      <c r="F310" s="57" t="s">
        <v>154</v>
      </c>
      <c r="G310" s="61"/>
      <c r="H310" s="79"/>
      <c r="I310" s="60"/>
      <c r="J310" s="53"/>
    </row>
    <row r="311" ht="24.75" customHeight="1">
      <c r="A311" s="54" t="s">
        <v>289</v>
      </c>
      <c r="B311" s="56" t="s">
        <v>635</v>
      </c>
      <c r="C311" s="56" t="s">
        <v>627</v>
      </c>
      <c r="D311" s="56" t="s">
        <v>636</v>
      </c>
      <c r="E311" s="56" t="s">
        <v>196</v>
      </c>
      <c r="F311" s="57" t="s">
        <v>250</v>
      </c>
      <c r="G311" s="61"/>
      <c r="H311" s="61" t="s">
        <v>200</v>
      </c>
      <c r="I311" s="60" t="s">
        <v>201</v>
      </c>
      <c r="J311" s="53"/>
    </row>
    <row r="312" ht="24.75" hidden="1" customHeight="1">
      <c r="A312" s="54" t="s">
        <v>289</v>
      </c>
      <c r="B312" s="56" t="s">
        <v>639</v>
      </c>
      <c r="C312" s="56" t="s">
        <v>640</v>
      </c>
      <c r="D312" s="56" t="s">
        <v>611</v>
      </c>
      <c r="E312" s="56" t="s">
        <v>612</v>
      </c>
      <c r="F312" s="57" t="s">
        <v>34</v>
      </c>
      <c r="G312" s="61"/>
      <c r="H312" s="79"/>
      <c r="I312" s="60"/>
      <c r="J312" s="53"/>
    </row>
    <row r="313" ht="24.75" hidden="1" customHeight="1">
      <c r="A313" s="54" t="s">
        <v>289</v>
      </c>
      <c r="B313" s="56" t="s">
        <v>639</v>
      </c>
      <c r="C313" s="56" t="s">
        <v>640</v>
      </c>
      <c r="D313" s="56" t="s">
        <v>611</v>
      </c>
      <c r="E313" s="56" t="s">
        <v>613</v>
      </c>
      <c r="F313" s="57" t="s">
        <v>34</v>
      </c>
      <c r="G313" s="61"/>
      <c r="H313" s="79"/>
      <c r="I313" s="60"/>
      <c r="J313" s="53"/>
    </row>
    <row r="314" ht="24.75" hidden="1" customHeight="1">
      <c r="A314" s="54" t="s">
        <v>289</v>
      </c>
      <c r="B314" s="56" t="s">
        <v>639</v>
      </c>
      <c r="C314" s="56" t="s">
        <v>640</v>
      </c>
      <c r="D314" s="56" t="s">
        <v>611</v>
      </c>
      <c r="E314" s="56" t="s">
        <v>614</v>
      </c>
      <c r="F314" s="57" t="s">
        <v>34</v>
      </c>
      <c r="G314" s="61"/>
      <c r="H314" s="79"/>
      <c r="I314" s="60"/>
      <c r="J314" s="53"/>
    </row>
    <row r="315" ht="24.75" customHeight="1">
      <c r="A315" s="54" t="s">
        <v>289</v>
      </c>
      <c r="B315" s="56" t="s">
        <v>639</v>
      </c>
      <c r="C315" s="56" t="s">
        <v>640</v>
      </c>
      <c r="D315" s="56" t="s">
        <v>611</v>
      </c>
      <c r="E315" s="56" t="s">
        <v>616</v>
      </c>
      <c r="F315" s="57" t="s">
        <v>154</v>
      </c>
      <c r="G315" s="61"/>
      <c r="H315" s="79"/>
      <c r="I315" s="60"/>
      <c r="J315" s="53"/>
    </row>
    <row r="316" ht="24.75" customHeight="1">
      <c r="A316" s="54" t="s">
        <v>289</v>
      </c>
      <c r="B316" s="56" t="s">
        <v>639</v>
      </c>
      <c r="C316" s="56" t="s">
        <v>640</v>
      </c>
      <c r="D316" s="56" t="s">
        <v>611</v>
      </c>
      <c r="E316" s="56" t="s">
        <v>618</v>
      </c>
      <c r="F316" s="57" t="s">
        <v>154</v>
      </c>
      <c r="G316" s="61"/>
      <c r="H316" s="79"/>
      <c r="I316" s="60"/>
      <c r="J316" s="53"/>
    </row>
    <row r="317" ht="24.75" customHeight="1">
      <c r="A317" s="54" t="s">
        <v>289</v>
      </c>
      <c r="B317" s="56" t="s">
        <v>641</v>
      </c>
      <c r="C317" s="56" t="s">
        <v>640</v>
      </c>
      <c r="D317" s="56" t="s">
        <v>620</v>
      </c>
      <c r="E317" s="56" t="s">
        <v>196</v>
      </c>
      <c r="F317" s="57" t="s">
        <v>250</v>
      </c>
      <c r="G317" s="61"/>
      <c r="H317" s="61" t="s">
        <v>287</v>
      </c>
      <c r="I317" s="60" t="s">
        <v>288</v>
      </c>
      <c r="J317" s="53"/>
    </row>
    <row r="318" ht="24.75" customHeight="1">
      <c r="A318" s="54" t="s">
        <v>289</v>
      </c>
      <c r="B318" s="56" t="s">
        <v>641</v>
      </c>
      <c r="C318" s="56" t="s">
        <v>640</v>
      </c>
      <c r="D318" s="56" t="s">
        <v>620</v>
      </c>
      <c r="E318" s="56" t="s">
        <v>621</v>
      </c>
      <c r="F318" s="57" t="s">
        <v>192</v>
      </c>
      <c r="G318" s="61"/>
      <c r="H318" s="79"/>
      <c r="I318" s="60"/>
      <c r="J318" s="53"/>
    </row>
    <row r="319" ht="24.75" customHeight="1">
      <c r="A319" s="54" t="s">
        <v>289</v>
      </c>
      <c r="B319" s="56" t="s">
        <v>641</v>
      </c>
      <c r="C319" s="56" t="s">
        <v>640</v>
      </c>
      <c r="D319" s="56" t="s">
        <v>620</v>
      </c>
      <c r="E319" s="56" t="s">
        <v>622</v>
      </c>
      <c r="F319" s="57" t="s">
        <v>154</v>
      </c>
      <c r="G319" s="61"/>
      <c r="H319" s="79"/>
      <c r="I319" s="60"/>
      <c r="J319" s="53"/>
    </row>
    <row r="320" ht="24.75" customHeight="1">
      <c r="A320" s="54" t="s">
        <v>289</v>
      </c>
      <c r="B320" s="56" t="s">
        <v>642</v>
      </c>
      <c r="C320" s="56" t="s">
        <v>640</v>
      </c>
      <c r="D320" s="56" t="s">
        <v>631</v>
      </c>
      <c r="E320" s="56" t="s">
        <v>191</v>
      </c>
      <c r="F320" s="57" t="s">
        <v>192</v>
      </c>
      <c r="G320" s="61"/>
      <c r="H320" s="79"/>
      <c r="I320" s="60"/>
      <c r="J320" s="53"/>
    </row>
    <row r="321" ht="24.75" hidden="1" customHeight="1">
      <c r="A321" s="54" t="s">
        <v>289</v>
      </c>
      <c r="B321" s="56" t="s">
        <v>642</v>
      </c>
      <c r="C321" s="56" t="s">
        <v>640</v>
      </c>
      <c r="D321" s="56" t="s">
        <v>631</v>
      </c>
      <c r="E321" s="56" t="s">
        <v>632</v>
      </c>
      <c r="F321" s="57" t="s">
        <v>34</v>
      </c>
      <c r="G321" s="61"/>
      <c r="H321" s="61" t="s">
        <v>197</v>
      </c>
      <c r="I321" s="60"/>
      <c r="J321" s="53"/>
    </row>
    <row r="322" ht="24.75" customHeight="1">
      <c r="A322" s="54" t="s">
        <v>289</v>
      </c>
      <c r="B322" s="56" t="s">
        <v>642</v>
      </c>
      <c r="C322" s="56" t="s">
        <v>640</v>
      </c>
      <c r="D322" s="56" t="s">
        <v>631</v>
      </c>
      <c r="E322" s="56" t="s">
        <v>633</v>
      </c>
      <c r="F322" s="57" t="s">
        <v>154</v>
      </c>
      <c r="G322" s="61"/>
      <c r="H322" s="79"/>
      <c r="I322" s="60"/>
      <c r="J322" s="53"/>
    </row>
    <row r="323" ht="24.75" customHeight="1">
      <c r="A323" s="54" t="s">
        <v>289</v>
      </c>
      <c r="B323" s="56" t="s">
        <v>642</v>
      </c>
      <c r="C323" s="56" t="s">
        <v>640</v>
      </c>
      <c r="D323" s="56" t="s">
        <v>631</v>
      </c>
      <c r="E323" s="56" t="s">
        <v>196</v>
      </c>
      <c r="F323" s="57" t="s">
        <v>250</v>
      </c>
      <c r="G323" s="61"/>
      <c r="H323" s="61" t="s">
        <v>200</v>
      </c>
      <c r="I323" s="60" t="s">
        <v>201</v>
      </c>
      <c r="J323" s="53"/>
    </row>
    <row r="324" ht="24.75" customHeight="1">
      <c r="A324" s="54" t="s">
        <v>289</v>
      </c>
      <c r="B324" s="56" t="s">
        <v>643</v>
      </c>
      <c r="C324" s="56" t="s">
        <v>640</v>
      </c>
      <c r="D324" s="56" t="s">
        <v>636</v>
      </c>
      <c r="E324" s="56" t="s">
        <v>191</v>
      </c>
      <c r="F324" s="57" t="s">
        <v>192</v>
      </c>
      <c r="G324" s="61"/>
      <c r="H324" s="79"/>
      <c r="I324" s="60"/>
      <c r="J324" s="53"/>
    </row>
    <row r="325" ht="24.75" hidden="1" customHeight="1">
      <c r="A325" s="54" t="s">
        <v>289</v>
      </c>
      <c r="B325" s="56" t="s">
        <v>643</v>
      </c>
      <c r="C325" s="56" t="s">
        <v>640</v>
      </c>
      <c r="D325" s="56" t="s">
        <v>636</v>
      </c>
      <c r="E325" s="56" t="s">
        <v>632</v>
      </c>
      <c r="F325" s="57" t="s">
        <v>34</v>
      </c>
      <c r="G325" s="61"/>
      <c r="H325" s="61" t="s">
        <v>197</v>
      </c>
      <c r="I325" s="60"/>
      <c r="J325" s="53"/>
    </row>
    <row r="326" ht="24.75" customHeight="1">
      <c r="A326" s="54" t="s">
        <v>289</v>
      </c>
      <c r="B326" s="56" t="s">
        <v>643</v>
      </c>
      <c r="C326" s="56" t="s">
        <v>640</v>
      </c>
      <c r="D326" s="56" t="s">
        <v>636</v>
      </c>
      <c r="E326" s="56" t="s">
        <v>633</v>
      </c>
      <c r="F326" s="57" t="s">
        <v>154</v>
      </c>
      <c r="G326" s="61"/>
      <c r="H326" s="79"/>
      <c r="I326" s="60"/>
      <c r="J326" s="53"/>
    </row>
    <row r="327" ht="24.75" customHeight="1">
      <c r="A327" s="54" t="s">
        <v>289</v>
      </c>
      <c r="B327" s="56" t="s">
        <v>643</v>
      </c>
      <c r="C327" s="56" t="s">
        <v>640</v>
      </c>
      <c r="D327" s="56" t="s">
        <v>636</v>
      </c>
      <c r="E327" s="56" t="s">
        <v>196</v>
      </c>
      <c r="F327" s="57" t="s">
        <v>250</v>
      </c>
      <c r="G327" s="61"/>
      <c r="H327" s="61" t="s">
        <v>200</v>
      </c>
      <c r="I327" s="60" t="s">
        <v>201</v>
      </c>
      <c r="J327" s="53"/>
    </row>
    <row r="328" ht="24.75" hidden="1" customHeight="1">
      <c r="A328" s="54" t="s">
        <v>289</v>
      </c>
      <c r="B328" s="56" t="s">
        <v>644</v>
      </c>
      <c r="C328" s="56" t="s">
        <v>645</v>
      </c>
      <c r="D328" s="56" t="s">
        <v>611</v>
      </c>
      <c r="E328" s="56" t="s">
        <v>612</v>
      </c>
      <c r="F328" s="57" t="s">
        <v>34</v>
      </c>
      <c r="G328" s="61"/>
      <c r="H328" s="79"/>
      <c r="I328" s="60"/>
      <c r="J328" s="53"/>
    </row>
    <row r="329" ht="24.75" hidden="1" customHeight="1">
      <c r="A329" s="54" t="s">
        <v>289</v>
      </c>
      <c r="B329" s="56" t="s">
        <v>644</v>
      </c>
      <c r="C329" s="56" t="s">
        <v>645</v>
      </c>
      <c r="D329" s="56" t="s">
        <v>611</v>
      </c>
      <c r="E329" s="56" t="s">
        <v>613</v>
      </c>
      <c r="F329" s="57" t="s">
        <v>34</v>
      </c>
      <c r="G329" s="61"/>
      <c r="H329" s="79"/>
      <c r="I329" s="60"/>
      <c r="J329" s="53"/>
    </row>
    <row r="330" ht="24.75" hidden="1" customHeight="1">
      <c r="A330" s="54" t="s">
        <v>289</v>
      </c>
      <c r="B330" s="56" t="s">
        <v>644</v>
      </c>
      <c r="C330" s="56" t="s">
        <v>645</v>
      </c>
      <c r="D330" s="56" t="s">
        <v>611</v>
      </c>
      <c r="E330" s="56" t="s">
        <v>614</v>
      </c>
      <c r="F330" s="57" t="s">
        <v>34</v>
      </c>
      <c r="G330" s="61"/>
      <c r="H330" s="79"/>
      <c r="I330" s="60"/>
      <c r="J330" s="53"/>
    </row>
    <row r="331" ht="24.75" customHeight="1">
      <c r="A331" s="54" t="s">
        <v>289</v>
      </c>
      <c r="B331" s="56" t="s">
        <v>644</v>
      </c>
      <c r="C331" s="56" t="s">
        <v>645</v>
      </c>
      <c r="D331" s="56" t="s">
        <v>611</v>
      </c>
      <c r="E331" s="56" t="s">
        <v>616</v>
      </c>
      <c r="F331" s="57" t="s">
        <v>154</v>
      </c>
      <c r="G331" s="61"/>
      <c r="H331" s="79"/>
      <c r="I331" s="60"/>
      <c r="J331" s="53"/>
    </row>
    <row r="332" ht="24.75" customHeight="1">
      <c r="A332" s="54" t="s">
        <v>289</v>
      </c>
      <c r="B332" s="56" t="s">
        <v>644</v>
      </c>
      <c r="C332" s="56" t="s">
        <v>645</v>
      </c>
      <c r="D332" s="56" t="s">
        <v>611</v>
      </c>
      <c r="E332" s="56" t="s">
        <v>618</v>
      </c>
      <c r="F332" s="57" t="s">
        <v>154</v>
      </c>
      <c r="G332" s="61"/>
      <c r="H332" s="79"/>
      <c r="I332" s="60"/>
      <c r="J332" s="53"/>
    </row>
    <row r="333" ht="24.75" customHeight="1">
      <c r="A333" s="54" t="s">
        <v>289</v>
      </c>
      <c r="B333" s="56" t="s">
        <v>646</v>
      </c>
      <c r="C333" s="56" t="s">
        <v>645</v>
      </c>
      <c r="D333" s="56" t="s">
        <v>620</v>
      </c>
      <c r="E333" s="56" t="s">
        <v>196</v>
      </c>
      <c r="F333" s="57" t="s">
        <v>250</v>
      </c>
      <c r="G333" s="61"/>
      <c r="H333" s="61" t="s">
        <v>287</v>
      </c>
      <c r="I333" s="60" t="s">
        <v>288</v>
      </c>
      <c r="J333" s="53"/>
    </row>
    <row r="334" ht="24.75" customHeight="1">
      <c r="A334" s="54" t="s">
        <v>289</v>
      </c>
      <c r="B334" s="56" t="s">
        <v>646</v>
      </c>
      <c r="C334" s="56" t="s">
        <v>645</v>
      </c>
      <c r="D334" s="56" t="s">
        <v>620</v>
      </c>
      <c r="E334" s="56" t="s">
        <v>621</v>
      </c>
      <c r="F334" s="57" t="s">
        <v>192</v>
      </c>
      <c r="G334" s="61"/>
      <c r="H334" s="79"/>
      <c r="I334" s="60"/>
      <c r="J334" s="53"/>
    </row>
    <row r="335" ht="24.75" customHeight="1">
      <c r="A335" s="54" t="s">
        <v>289</v>
      </c>
      <c r="B335" s="56" t="s">
        <v>646</v>
      </c>
      <c r="C335" s="56" t="s">
        <v>645</v>
      </c>
      <c r="D335" s="56" t="s">
        <v>620</v>
      </c>
      <c r="E335" s="56" t="s">
        <v>622</v>
      </c>
      <c r="F335" s="57" t="s">
        <v>154</v>
      </c>
      <c r="G335" s="61"/>
      <c r="H335" s="79"/>
      <c r="I335" s="60"/>
      <c r="J335" s="53"/>
    </row>
    <row r="336" ht="24.75" customHeight="1">
      <c r="A336" s="54" t="s">
        <v>289</v>
      </c>
      <c r="B336" s="56" t="s">
        <v>647</v>
      </c>
      <c r="C336" s="56" t="s">
        <v>645</v>
      </c>
      <c r="D336" s="56" t="s">
        <v>631</v>
      </c>
      <c r="E336" s="56" t="s">
        <v>191</v>
      </c>
      <c r="F336" s="57" t="s">
        <v>192</v>
      </c>
      <c r="G336" s="61"/>
      <c r="H336" s="79"/>
      <c r="I336" s="60"/>
      <c r="J336" s="53"/>
    </row>
    <row r="337" ht="24.75" hidden="1" customHeight="1">
      <c r="A337" s="54" t="s">
        <v>289</v>
      </c>
      <c r="B337" s="56" t="s">
        <v>647</v>
      </c>
      <c r="C337" s="56" t="s">
        <v>645</v>
      </c>
      <c r="D337" s="56" t="s">
        <v>631</v>
      </c>
      <c r="E337" s="56" t="s">
        <v>632</v>
      </c>
      <c r="F337" s="57" t="s">
        <v>34</v>
      </c>
      <c r="G337" s="61"/>
      <c r="H337" s="61" t="s">
        <v>197</v>
      </c>
      <c r="I337" s="60"/>
      <c r="J337" s="53"/>
    </row>
    <row r="338" ht="24.75" customHeight="1">
      <c r="A338" s="54" t="s">
        <v>289</v>
      </c>
      <c r="B338" s="56" t="s">
        <v>647</v>
      </c>
      <c r="C338" s="56" t="s">
        <v>645</v>
      </c>
      <c r="D338" s="56" t="s">
        <v>631</v>
      </c>
      <c r="E338" s="56" t="s">
        <v>633</v>
      </c>
      <c r="F338" s="57" t="s">
        <v>154</v>
      </c>
      <c r="G338" s="50"/>
      <c r="H338" s="79"/>
      <c r="I338" s="60"/>
      <c r="J338" s="53"/>
    </row>
    <row r="339" ht="24.75" customHeight="1">
      <c r="A339" s="54" t="s">
        <v>289</v>
      </c>
      <c r="B339" s="56" t="s">
        <v>647</v>
      </c>
      <c r="C339" s="56" t="s">
        <v>645</v>
      </c>
      <c r="D339" s="56" t="s">
        <v>631</v>
      </c>
      <c r="E339" s="56" t="s">
        <v>196</v>
      </c>
      <c r="F339" s="57" t="s">
        <v>250</v>
      </c>
      <c r="G339" s="61"/>
      <c r="H339" s="61" t="s">
        <v>200</v>
      </c>
      <c r="I339" s="60" t="s">
        <v>201</v>
      </c>
      <c r="J339" s="53"/>
    </row>
    <row r="340" ht="24.75" customHeight="1">
      <c r="A340" s="54" t="s">
        <v>289</v>
      </c>
      <c r="B340" s="56" t="s">
        <v>648</v>
      </c>
      <c r="C340" s="56" t="s">
        <v>645</v>
      </c>
      <c r="D340" s="56" t="s">
        <v>636</v>
      </c>
      <c r="E340" s="56" t="s">
        <v>191</v>
      </c>
      <c r="F340" s="57" t="s">
        <v>192</v>
      </c>
      <c r="G340" s="61"/>
      <c r="H340" s="79"/>
      <c r="I340" s="60"/>
      <c r="J340" s="53"/>
    </row>
    <row r="341" ht="24.75" hidden="1" customHeight="1">
      <c r="A341" s="54" t="s">
        <v>289</v>
      </c>
      <c r="B341" s="56" t="s">
        <v>648</v>
      </c>
      <c r="C341" s="56" t="s">
        <v>645</v>
      </c>
      <c r="D341" s="56" t="s">
        <v>636</v>
      </c>
      <c r="E341" s="56" t="s">
        <v>632</v>
      </c>
      <c r="F341" s="57" t="s">
        <v>34</v>
      </c>
      <c r="G341" s="61"/>
      <c r="H341" s="61" t="s">
        <v>197</v>
      </c>
      <c r="I341" s="60"/>
      <c r="J341" s="53"/>
    </row>
    <row r="342" ht="24.75" customHeight="1">
      <c r="A342" s="54" t="s">
        <v>289</v>
      </c>
      <c r="B342" s="56" t="s">
        <v>648</v>
      </c>
      <c r="C342" s="56" t="s">
        <v>645</v>
      </c>
      <c r="D342" s="56" t="s">
        <v>636</v>
      </c>
      <c r="E342" s="56" t="s">
        <v>633</v>
      </c>
      <c r="F342" s="57" t="s">
        <v>154</v>
      </c>
      <c r="G342" s="61"/>
      <c r="H342" s="79"/>
      <c r="I342" s="60"/>
      <c r="J342" s="53"/>
    </row>
    <row r="343" ht="24.75" customHeight="1">
      <c r="A343" s="54" t="s">
        <v>289</v>
      </c>
      <c r="B343" s="56" t="s">
        <v>648</v>
      </c>
      <c r="C343" s="56" t="s">
        <v>645</v>
      </c>
      <c r="D343" s="56" t="s">
        <v>636</v>
      </c>
      <c r="E343" s="56" t="s">
        <v>196</v>
      </c>
      <c r="F343" s="57" t="s">
        <v>250</v>
      </c>
      <c r="G343" s="61"/>
      <c r="H343" s="61" t="s">
        <v>200</v>
      </c>
      <c r="I343" s="60" t="s">
        <v>201</v>
      </c>
      <c r="J343" s="53"/>
    </row>
    <row r="344" ht="24.75" hidden="1" customHeight="1">
      <c r="A344" s="54" t="s">
        <v>289</v>
      </c>
      <c r="B344" s="56" t="s">
        <v>649</v>
      </c>
      <c r="C344" s="56" t="s">
        <v>606</v>
      </c>
      <c r="D344" s="56" t="s">
        <v>611</v>
      </c>
      <c r="E344" s="56" t="s">
        <v>612</v>
      </c>
      <c r="F344" s="57" t="s">
        <v>34</v>
      </c>
      <c r="G344" s="61"/>
      <c r="H344" s="79"/>
      <c r="I344" s="60"/>
      <c r="J344" s="53"/>
    </row>
    <row r="345" ht="24.75" hidden="1" customHeight="1">
      <c r="A345" s="54" t="s">
        <v>289</v>
      </c>
      <c r="B345" s="56" t="s">
        <v>649</v>
      </c>
      <c r="C345" s="56" t="s">
        <v>606</v>
      </c>
      <c r="D345" s="56" t="s">
        <v>611</v>
      </c>
      <c r="E345" s="56" t="s">
        <v>613</v>
      </c>
      <c r="F345" s="57" t="s">
        <v>34</v>
      </c>
      <c r="G345" s="61"/>
      <c r="H345" s="79"/>
      <c r="I345" s="60"/>
      <c r="J345" s="53"/>
    </row>
    <row r="346" ht="24.75" hidden="1" customHeight="1">
      <c r="A346" s="54" t="s">
        <v>289</v>
      </c>
      <c r="B346" s="56" t="s">
        <v>649</v>
      </c>
      <c r="C346" s="56" t="s">
        <v>606</v>
      </c>
      <c r="D346" s="56" t="s">
        <v>611</v>
      </c>
      <c r="E346" s="56" t="s">
        <v>614</v>
      </c>
      <c r="F346" s="57" t="s">
        <v>34</v>
      </c>
      <c r="G346" s="61"/>
      <c r="H346" s="79"/>
      <c r="I346" s="60"/>
      <c r="J346" s="53"/>
    </row>
    <row r="347" ht="24.75" customHeight="1">
      <c r="A347" s="54" t="s">
        <v>289</v>
      </c>
      <c r="B347" s="56" t="s">
        <v>649</v>
      </c>
      <c r="C347" s="56" t="s">
        <v>606</v>
      </c>
      <c r="D347" s="56" t="s">
        <v>611</v>
      </c>
      <c r="E347" s="56" t="s">
        <v>616</v>
      </c>
      <c r="F347" s="57" t="s">
        <v>154</v>
      </c>
      <c r="G347" s="61"/>
      <c r="H347" s="79"/>
      <c r="I347" s="60"/>
      <c r="J347" s="53"/>
    </row>
    <row r="348" ht="24.75" customHeight="1">
      <c r="A348" s="54" t="s">
        <v>289</v>
      </c>
      <c r="B348" s="56" t="s">
        <v>649</v>
      </c>
      <c r="C348" s="56" t="s">
        <v>606</v>
      </c>
      <c r="D348" s="56" t="s">
        <v>611</v>
      </c>
      <c r="E348" s="56" t="s">
        <v>618</v>
      </c>
      <c r="F348" s="57" t="s">
        <v>154</v>
      </c>
      <c r="G348" s="61"/>
      <c r="H348" s="79"/>
      <c r="I348" s="60"/>
      <c r="J348" s="53"/>
    </row>
    <row r="349" ht="24.75" customHeight="1">
      <c r="A349" s="54" t="s">
        <v>289</v>
      </c>
      <c r="B349" s="56" t="s">
        <v>650</v>
      </c>
      <c r="C349" s="56" t="s">
        <v>606</v>
      </c>
      <c r="D349" s="56" t="s">
        <v>651</v>
      </c>
      <c r="E349" s="56" t="s">
        <v>196</v>
      </c>
      <c r="F349" s="57" t="s">
        <v>250</v>
      </c>
      <c r="G349" s="61"/>
      <c r="H349" s="61" t="s">
        <v>287</v>
      </c>
      <c r="I349" s="60" t="s">
        <v>288</v>
      </c>
      <c r="J349" s="53"/>
    </row>
    <row r="350" ht="24.75" customHeight="1">
      <c r="A350" s="54" t="s">
        <v>289</v>
      </c>
      <c r="B350" s="56" t="s">
        <v>650</v>
      </c>
      <c r="C350" s="56" t="s">
        <v>606</v>
      </c>
      <c r="D350" s="56" t="s">
        <v>651</v>
      </c>
      <c r="E350" s="56" t="s">
        <v>621</v>
      </c>
      <c r="F350" s="57" t="s">
        <v>192</v>
      </c>
      <c r="G350" s="61"/>
      <c r="H350" s="79"/>
      <c r="I350" s="60"/>
      <c r="J350" s="53"/>
    </row>
    <row r="351" ht="24.75" customHeight="1">
      <c r="A351" s="54" t="s">
        <v>289</v>
      </c>
      <c r="B351" s="56" t="s">
        <v>650</v>
      </c>
      <c r="C351" s="56" t="s">
        <v>606</v>
      </c>
      <c r="D351" s="56" t="s">
        <v>651</v>
      </c>
      <c r="E351" s="56" t="s">
        <v>622</v>
      </c>
      <c r="F351" s="57" t="s">
        <v>154</v>
      </c>
      <c r="G351" s="61"/>
      <c r="H351" s="79"/>
      <c r="I351" s="60"/>
      <c r="J351" s="53"/>
    </row>
    <row r="352" ht="24.75" customHeight="1">
      <c r="A352" s="54" t="s">
        <v>289</v>
      </c>
      <c r="B352" s="56" t="s">
        <v>654</v>
      </c>
      <c r="C352" s="56" t="s">
        <v>606</v>
      </c>
      <c r="D352" s="56" t="s">
        <v>655</v>
      </c>
      <c r="E352" s="56" t="s">
        <v>191</v>
      </c>
      <c r="F352" s="57" t="s">
        <v>192</v>
      </c>
      <c r="G352" s="61"/>
      <c r="H352" s="79"/>
      <c r="I352" s="60"/>
      <c r="J352" s="53"/>
    </row>
    <row r="353" ht="24.75" hidden="1" customHeight="1">
      <c r="A353" s="54" t="s">
        <v>289</v>
      </c>
      <c r="B353" s="56" t="s">
        <v>654</v>
      </c>
      <c r="C353" s="56" t="s">
        <v>606</v>
      </c>
      <c r="D353" s="56" t="s">
        <v>655</v>
      </c>
      <c r="E353" s="56" t="s">
        <v>632</v>
      </c>
      <c r="F353" s="57" t="s">
        <v>34</v>
      </c>
      <c r="G353" s="61"/>
      <c r="H353" s="61" t="s">
        <v>197</v>
      </c>
      <c r="I353" s="60"/>
      <c r="J353" s="53"/>
    </row>
    <row r="354" ht="24.75" customHeight="1">
      <c r="A354" s="54" t="s">
        <v>289</v>
      </c>
      <c r="B354" s="56" t="s">
        <v>654</v>
      </c>
      <c r="C354" s="56" t="s">
        <v>606</v>
      </c>
      <c r="D354" s="56" t="s">
        <v>655</v>
      </c>
      <c r="E354" s="56" t="s">
        <v>633</v>
      </c>
      <c r="F354" s="57" t="s">
        <v>154</v>
      </c>
      <c r="G354" s="61"/>
      <c r="H354" s="79"/>
      <c r="I354" s="60"/>
      <c r="J354" s="53"/>
    </row>
    <row r="355" ht="24.75" customHeight="1">
      <c r="A355" s="54" t="s">
        <v>289</v>
      </c>
      <c r="B355" s="56" t="s">
        <v>654</v>
      </c>
      <c r="C355" s="56" t="s">
        <v>606</v>
      </c>
      <c r="D355" s="56" t="s">
        <v>655</v>
      </c>
      <c r="E355" s="56" t="s">
        <v>196</v>
      </c>
      <c r="F355" s="57" t="s">
        <v>250</v>
      </c>
      <c r="G355" s="61"/>
      <c r="H355" s="61" t="s">
        <v>200</v>
      </c>
      <c r="I355" s="60" t="s">
        <v>201</v>
      </c>
      <c r="J355" s="53"/>
    </row>
    <row r="356" ht="24.75" customHeight="1">
      <c r="A356" s="54" t="s">
        <v>289</v>
      </c>
      <c r="B356" s="56" t="s">
        <v>656</v>
      </c>
      <c r="C356" s="56" t="s">
        <v>606</v>
      </c>
      <c r="D356" s="56" t="s">
        <v>657</v>
      </c>
      <c r="E356" s="56" t="s">
        <v>191</v>
      </c>
      <c r="F356" s="57" t="s">
        <v>192</v>
      </c>
      <c r="G356" s="61"/>
      <c r="H356" s="79"/>
      <c r="I356" s="60"/>
      <c r="J356" s="53"/>
    </row>
    <row r="357" ht="24.75" hidden="1" customHeight="1">
      <c r="A357" s="54" t="s">
        <v>289</v>
      </c>
      <c r="B357" s="56" t="s">
        <v>656</v>
      </c>
      <c r="C357" s="56" t="s">
        <v>606</v>
      </c>
      <c r="D357" s="56" t="s">
        <v>657</v>
      </c>
      <c r="E357" s="56" t="s">
        <v>632</v>
      </c>
      <c r="F357" s="57" t="s">
        <v>34</v>
      </c>
      <c r="G357" s="61"/>
      <c r="H357" s="61" t="s">
        <v>197</v>
      </c>
      <c r="I357" s="60"/>
      <c r="J357" s="53"/>
    </row>
    <row r="358" ht="24.75" customHeight="1">
      <c r="A358" s="54" t="s">
        <v>289</v>
      </c>
      <c r="B358" s="56" t="s">
        <v>656</v>
      </c>
      <c r="C358" s="56" t="s">
        <v>606</v>
      </c>
      <c r="D358" s="56" t="s">
        <v>657</v>
      </c>
      <c r="E358" s="56" t="s">
        <v>633</v>
      </c>
      <c r="F358" s="57" t="s">
        <v>154</v>
      </c>
      <c r="G358" s="61"/>
      <c r="H358" s="79"/>
      <c r="I358" s="60"/>
      <c r="J358" s="53"/>
    </row>
    <row r="359" ht="24.75" customHeight="1">
      <c r="A359" s="54" t="s">
        <v>289</v>
      </c>
      <c r="B359" s="56" t="s">
        <v>656</v>
      </c>
      <c r="C359" s="56" t="s">
        <v>606</v>
      </c>
      <c r="D359" s="56" t="s">
        <v>657</v>
      </c>
      <c r="E359" s="56" t="s">
        <v>196</v>
      </c>
      <c r="F359" s="57" t="s">
        <v>250</v>
      </c>
      <c r="G359" s="61"/>
      <c r="H359" s="61" t="s">
        <v>200</v>
      </c>
      <c r="I359" s="60" t="s">
        <v>201</v>
      </c>
      <c r="J359" s="53"/>
    </row>
    <row r="360" ht="24.75" hidden="1" customHeight="1">
      <c r="A360" s="54" t="s">
        <v>658</v>
      </c>
      <c r="B360" s="56" t="s">
        <v>659</v>
      </c>
      <c r="C360" s="56" t="s">
        <v>610</v>
      </c>
      <c r="D360" s="56" t="s">
        <v>660</v>
      </c>
      <c r="E360" s="56" t="s">
        <v>661</v>
      </c>
      <c r="F360" s="57" t="s">
        <v>34</v>
      </c>
      <c r="G360" s="61"/>
      <c r="H360" s="79"/>
      <c r="I360" s="60"/>
      <c r="J360" s="53"/>
    </row>
    <row r="361" ht="24.75" hidden="1" customHeight="1">
      <c r="A361" s="54" t="s">
        <v>658</v>
      </c>
      <c r="B361" s="56" t="s">
        <v>659</v>
      </c>
      <c r="C361" s="56" t="s">
        <v>610</v>
      </c>
      <c r="D361" s="56" t="s">
        <v>660</v>
      </c>
      <c r="E361" s="56" t="s">
        <v>662</v>
      </c>
      <c r="F361" s="57" t="s">
        <v>34</v>
      </c>
      <c r="G361" s="61"/>
      <c r="H361" s="79"/>
      <c r="I361" s="60"/>
      <c r="J361" s="53"/>
    </row>
    <row r="362" ht="24.75" hidden="1" customHeight="1">
      <c r="A362" s="54" t="s">
        <v>658</v>
      </c>
      <c r="B362" s="56" t="s">
        <v>659</v>
      </c>
      <c r="C362" s="56" t="s">
        <v>610</v>
      </c>
      <c r="D362" s="56" t="s">
        <v>660</v>
      </c>
      <c r="E362" s="56" t="s">
        <v>663</v>
      </c>
      <c r="F362" s="57" t="s">
        <v>34</v>
      </c>
      <c r="G362" s="61"/>
      <c r="H362" s="79"/>
      <c r="I362" s="60"/>
      <c r="J362" s="53"/>
    </row>
    <row r="363" ht="24.75" hidden="1" customHeight="1">
      <c r="A363" s="54" t="s">
        <v>658</v>
      </c>
      <c r="B363" s="56" t="s">
        <v>659</v>
      </c>
      <c r="C363" s="56" t="s">
        <v>610</v>
      </c>
      <c r="D363" s="56" t="s">
        <v>660</v>
      </c>
      <c r="E363" s="56" t="s">
        <v>664</v>
      </c>
      <c r="F363" s="57" t="s">
        <v>34</v>
      </c>
      <c r="G363" s="61"/>
      <c r="H363" s="79"/>
      <c r="I363" s="60"/>
      <c r="J363" s="53"/>
    </row>
    <row r="364" ht="24.75" hidden="1" customHeight="1">
      <c r="A364" s="54" t="s">
        <v>658</v>
      </c>
      <c r="B364" s="56" t="s">
        <v>659</v>
      </c>
      <c r="C364" s="56" t="s">
        <v>610</v>
      </c>
      <c r="D364" s="56" t="s">
        <v>660</v>
      </c>
      <c r="E364" s="56" t="s">
        <v>665</v>
      </c>
      <c r="F364" s="57" t="s">
        <v>34</v>
      </c>
      <c r="G364" s="61"/>
      <c r="H364" s="79"/>
      <c r="I364" s="60"/>
      <c r="J364" s="53"/>
    </row>
    <row r="365" ht="24.75" hidden="1" customHeight="1">
      <c r="A365" s="54" t="s">
        <v>658</v>
      </c>
      <c r="B365" s="56" t="s">
        <v>659</v>
      </c>
      <c r="C365" s="56" t="s">
        <v>610</v>
      </c>
      <c r="D365" s="56" t="s">
        <v>660</v>
      </c>
      <c r="E365" s="56" t="s">
        <v>614</v>
      </c>
      <c r="F365" s="57" t="s">
        <v>34</v>
      </c>
      <c r="G365" s="61"/>
      <c r="H365" s="79"/>
      <c r="I365" s="60"/>
      <c r="J365" s="53"/>
    </row>
    <row r="366" ht="24.75" hidden="1" customHeight="1">
      <c r="A366" s="54" t="s">
        <v>658</v>
      </c>
      <c r="B366" s="56" t="s">
        <v>659</v>
      </c>
      <c r="C366" s="56" t="s">
        <v>610</v>
      </c>
      <c r="D366" s="56" t="s">
        <v>660</v>
      </c>
      <c r="E366" s="56" t="s">
        <v>666</v>
      </c>
      <c r="F366" s="57" t="s">
        <v>34</v>
      </c>
      <c r="G366" s="61"/>
      <c r="H366" s="79"/>
      <c r="I366" s="60"/>
      <c r="J366" s="53"/>
    </row>
    <row r="367" ht="24.75" hidden="1" customHeight="1">
      <c r="A367" s="54" t="s">
        <v>658</v>
      </c>
      <c r="B367" s="56" t="s">
        <v>659</v>
      </c>
      <c r="C367" s="56" t="s">
        <v>610</v>
      </c>
      <c r="D367" s="56" t="s">
        <v>660</v>
      </c>
      <c r="E367" s="56" t="s">
        <v>667</v>
      </c>
      <c r="F367" s="57" t="s">
        <v>34</v>
      </c>
      <c r="G367" s="61"/>
      <c r="H367" s="79"/>
      <c r="I367" s="60"/>
      <c r="J367" s="53"/>
    </row>
    <row r="368" ht="24.75" customHeight="1">
      <c r="A368" s="54" t="s">
        <v>658</v>
      </c>
      <c r="B368" s="56" t="s">
        <v>659</v>
      </c>
      <c r="C368" s="56" t="s">
        <v>610</v>
      </c>
      <c r="D368" s="56" t="s">
        <v>660</v>
      </c>
      <c r="E368" s="56" t="s">
        <v>668</v>
      </c>
      <c r="F368" s="57" t="s">
        <v>154</v>
      </c>
      <c r="G368" s="61"/>
      <c r="H368" s="79"/>
      <c r="I368" s="60"/>
      <c r="J368" s="53"/>
    </row>
    <row r="369" ht="24.75" customHeight="1">
      <c r="A369" s="54" t="s">
        <v>658</v>
      </c>
      <c r="B369" s="56" t="s">
        <v>659</v>
      </c>
      <c r="C369" s="56" t="s">
        <v>610</v>
      </c>
      <c r="D369" s="56" t="s">
        <v>660</v>
      </c>
      <c r="E369" s="56" t="s">
        <v>669</v>
      </c>
      <c r="F369" s="57" t="s">
        <v>154</v>
      </c>
      <c r="G369" s="61"/>
      <c r="H369" s="79"/>
      <c r="I369" s="60"/>
      <c r="J369" s="53"/>
    </row>
    <row r="370" ht="24.75" customHeight="1">
      <c r="A370" s="54" t="s">
        <v>658</v>
      </c>
      <c r="B370" s="56" t="s">
        <v>659</v>
      </c>
      <c r="C370" s="56" t="s">
        <v>610</v>
      </c>
      <c r="D370" s="56" t="s">
        <v>660</v>
      </c>
      <c r="E370" s="56" t="s">
        <v>671</v>
      </c>
      <c r="F370" s="57" t="s">
        <v>154</v>
      </c>
      <c r="G370" s="61"/>
      <c r="H370" s="79"/>
      <c r="I370" s="60"/>
      <c r="J370" s="53"/>
    </row>
    <row r="371" ht="24.75" customHeight="1">
      <c r="A371" s="54" t="s">
        <v>658</v>
      </c>
      <c r="B371" s="56" t="s">
        <v>659</v>
      </c>
      <c r="C371" s="56" t="s">
        <v>610</v>
      </c>
      <c r="D371" s="56" t="s">
        <v>660</v>
      </c>
      <c r="E371" s="56" t="s">
        <v>672</v>
      </c>
      <c r="F371" s="57" t="s">
        <v>154</v>
      </c>
      <c r="G371" s="61"/>
      <c r="H371" s="79"/>
      <c r="I371" s="60"/>
      <c r="J371" s="53"/>
    </row>
    <row r="372" ht="24.75" customHeight="1">
      <c r="A372" s="54" t="s">
        <v>658</v>
      </c>
      <c r="B372" s="56" t="s">
        <v>659</v>
      </c>
      <c r="C372" s="56" t="s">
        <v>610</v>
      </c>
      <c r="D372" s="56" t="s">
        <v>660</v>
      </c>
      <c r="E372" s="56" t="s">
        <v>673</v>
      </c>
      <c r="F372" s="57" t="s">
        <v>154</v>
      </c>
      <c r="G372" s="61"/>
      <c r="H372" s="79"/>
      <c r="I372" s="60"/>
      <c r="J372" s="53"/>
    </row>
    <row r="373" ht="24.75" hidden="1" customHeight="1">
      <c r="A373" s="54" t="s">
        <v>658</v>
      </c>
      <c r="B373" s="56" t="s">
        <v>674</v>
      </c>
      <c r="C373" s="56" t="s">
        <v>610</v>
      </c>
      <c r="D373" s="56" t="s">
        <v>675</v>
      </c>
      <c r="E373" s="56" t="s">
        <v>676</v>
      </c>
      <c r="F373" s="57" t="s">
        <v>34</v>
      </c>
      <c r="G373" s="61"/>
      <c r="H373" s="79"/>
      <c r="I373" s="60"/>
      <c r="J373" s="53"/>
    </row>
    <row r="374" ht="24.75" hidden="1" customHeight="1">
      <c r="A374" s="54" t="s">
        <v>658</v>
      </c>
      <c r="B374" s="56" t="s">
        <v>677</v>
      </c>
      <c r="C374" s="56" t="s">
        <v>610</v>
      </c>
      <c r="D374" s="56" t="s">
        <v>678</v>
      </c>
      <c r="E374" s="56" t="s">
        <v>679</v>
      </c>
      <c r="F374" s="57" t="s">
        <v>34</v>
      </c>
      <c r="G374" s="61"/>
      <c r="H374" s="61" t="s">
        <v>681</v>
      </c>
      <c r="I374" s="60"/>
      <c r="J374" s="53"/>
    </row>
    <row r="375" ht="24.75" hidden="1" customHeight="1">
      <c r="A375" s="54" t="s">
        <v>658</v>
      </c>
      <c r="B375" s="56" t="s">
        <v>677</v>
      </c>
      <c r="C375" s="56" t="s">
        <v>610</v>
      </c>
      <c r="D375" s="56" t="s">
        <v>678</v>
      </c>
      <c r="E375" s="56" t="s">
        <v>680</v>
      </c>
      <c r="F375" s="57" t="s">
        <v>34</v>
      </c>
      <c r="G375" s="61"/>
      <c r="H375" s="79"/>
      <c r="I375" s="60"/>
      <c r="J375" s="53"/>
    </row>
    <row r="376" ht="24.75" hidden="1" customHeight="1">
      <c r="A376" s="54" t="s">
        <v>658</v>
      </c>
      <c r="B376" s="56" t="s">
        <v>677</v>
      </c>
      <c r="C376" s="56" t="s">
        <v>610</v>
      </c>
      <c r="D376" s="56" t="s">
        <v>678</v>
      </c>
      <c r="E376" s="56" t="s">
        <v>682</v>
      </c>
      <c r="F376" s="57" t="s">
        <v>34</v>
      </c>
      <c r="G376" s="61"/>
      <c r="H376" s="79"/>
      <c r="I376" s="60"/>
      <c r="J376" s="53"/>
    </row>
    <row r="377" ht="24.75" hidden="1" customHeight="1">
      <c r="A377" s="54" t="s">
        <v>658</v>
      </c>
      <c r="B377" s="56" t="s">
        <v>677</v>
      </c>
      <c r="C377" s="56" t="s">
        <v>610</v>
      </c>
      <c r="D377" s="56" t="s">
        <v>678</v>
      </c>
      <c r="E377" s="56" t="s">
        <v>683</v>
      </c>
      <c r="F377" s="57" t="s">
        <v>34</v>
      </c>
      <c r="G377" s="61"/>
      <c r="H377" s="79"/>
      <c r="I377" s="60"/>
      <c r="J377" s="53"/>
    </row>
    <row r="378" ht="24.75" customHeight="1">
      <c r="A378" s="54" t="s">
        <v>658</v>
      </c>
      <c r="B378" s="56" t="s">
        <v>677</v>
      </c>
      <c r="C378" s="56" t="s">
        <v>610</v>
      </c>
      <c r="D378" s="56" t="s">
        <v>678</v>
      </c>
      <c r="E378" s="56" t="s">
        <v>684</v>
      </c>
      <c r="F378" s="57" t="s">
        <v>250</v>
      </c>
      <c r="G378" s="61"/>
      <c r="H378" s="61" t="s">
        <v>686</v>
      </c>
      <c r="I378" s="60" t="s">
        <v>687</v>
      </c>
      <c r="J378" s="53"/>
    </row>
    <row r="379" ht="24.75" customHeight="1">
      <c r="A379" s="54" t="s">
        <v>658</v>
      </c>
      <c r="B379" s="56" t="s">
        <v>677</v>
      </c>
      <c r="C379" s="56" t="s">
        <v>610</v>
      </c>
      <c r="D379" s="56" t="s">
        <v>678</v>
      </c>
      <c r="E379" s="56" t="s">
        <v>685</v>
      </c>
      <c r="F379" s="57" t="s">
        <v>250</v>
      </c>
      <c r="G379" s="61"/>
      <c r="H379" s="61" t="s">
        <v>200</v>
      </c>
      <c r="I379" s="60" t="s">
        <v>689</v>
      </c>
      <c r="J379" s="53"/>
    </row>
    <row r="380" ht="24.75" hidden="1" customHeight="1">
      <c r="A380" s="54" t="s">
        <v>658</v>
      </c>
      <c r="B380" s="56" t="s">
        <v>688</v>
      </c>
      <c r="C380" s="56" t="s">
        <v>624</v>
      </c>
      <c r="D380" s="56" t="s">
        <v>660</v>
      </c>
      <c r="E380" s="56" t="s">
        <v>661</v>
      </c>
      <c r="F380" s="57" t="s">
        <v>34</v>
      </c>
      <c r="G380" s="61"/>
      <c r="H380" s="79"/>
      <c r="I380" s="60"/>
      <c r="J380" s="53"/>
    </row>
    <row r="381" ht="24.75" hidden="1" customHeight="1">
      <c r="A381" s="54" t="s">
        <v>658</v>
      </c>
      <c r="B381" s="56" t="s">
        <v>688</v>
      </c>
      <c r="C381" s="56" t="s">
        <v>624</v>
      </c>
      <c r="D381" s="56" t="s">
        <v>660</v>
      </c>
      <c r="E381" s="56" t="s">
        <v>662</v>
      </c>
      <c r="F381" s="57" t="s">
        <v>34</v>
      </c>
      <c r="G381" s="61"/>
      <c r="H381" s="79"/>
      <c r="I381" s="60"/>
      <c r="J381" s="53"/>
    </row>
    <row r="382" ht="24.75" hidden="1" customHeight="1">
      <c r="A382" s="54" t="s">
        <v>658</v>
      </c>
      <c r="B382" s="56" t="s">
        <v>688</v>
      </c>
      <c r="C382" s="56" t="s">
        <v>624</v>
      </c>
      <c r="D382" s="56" t="s">
        <v>660</v>
      </c>
      <c r="E382" s="56" t="s">
        <v>663</v>
      </c>
      <c r="F382" s="57" t="s">
        <v>34</v>
      </c>
      <c r="G382" s="61"/>
      <c r="H382" s="79"/>
      <c r="I382" s="60"/>
      <c r="J382" s="53"/>
    </row>
    <row r="383" ht="24.75" hidden="1" customHeight="1">
      <c r="A383" s="54" t="s">
        <v>658</v>
      </c>
      <c r="B383" s="56" t="s">
        <v>688</v>
      </c>
      <c r="C383" s="56" t="s">
        <v>624</v>
      </c>
      <c r="D383" s="56" t="s">
        <v>660</v>
      </c>
      <c r="E383" s="56" t="s">
        <v>664</v>
      </c>
      <c r="F383" s="57" t="s">
        <v>34</v>
      </c>
      <c r="G383" s="61"/>
      <c r="H383" s="79"/>
      <c r="I383" s="60"/>
      <c r="J383" s="53"/>
    </row>
    <row r="384" ht="24.75" hidden="1" customHeight="1">
      <c r="A384" s="54" t="s">
        <v>658</v>
      </c>
      <c r="B384" s="56" t="s">
        <v>688</v>
      </c>
      <c r="C384" s="56" t="s">
        <v>624</v>
      </c>
      <c r="D384" s="56" t="s">
        <v>660</v>
      </c>
      <c r="E384" s="56" t="s">
        <v>665</v>
      </c>
      <c r="F384" s="57" t="s">
        <v>34</v>
      </c>
      <c r="G384" s="61"/>
      <c r="H384" s="79"/>
      <c r="I384" s="60"/>
      <c r="J384" s="53"/>
    </row>
    <row r="385" ht="24.75" hidden="1" customHeight="1">
      <c r="A385" s="54" t="s">
        <v>658</v>
      </c>
      <c r="B385" s="56" t="s">
        <v>688</v>
      </c>
      <c r="C385" s="56" t="s">
        <v>624</v>
      </c>
      <c r="D385" s="56" t="s">
        <v>660</v>
      </c>
      <c r="E385" s="56" t="s">
        <v>614</v>
      </c>
      <c r="F385" s="57" t="s">
        <v>34</v>
      </c>
      <c r="G385" s="61"/>
      <c r="H385" s="79"/>
      <c r="I385" s="60"/>
      <c r="J385" s="53"/>
    </row>
    <row r="386" ht="24.75" hidden="1" customHeight="1">
      <c r="A386" s="54" t="s">
        <v>658</v>
      </c>
      <c r="B386" s="56" t="s">
        <v>688</v>
      </c>
      <c r="C386" s="56" t="s">
        <v>624</v>
      </c>
      <c r="D386" s="56" t="s">
        <v>660</v>
      </c>
      <c r="E386" s="56" t="s">
        <v>666</v>
      </c>
      <c r="F386" s="57" t="s">
        <v>34</v>
      </c>
      <c r="G386" s="61"/>
      <c r="H386" s="79"/>
      <c r="I386" s="60"/>
      <c r="J386" s="53"/>
    </row>
    <row r="387" ht="24.75" hidden="1" customHeight="1">
      <c r="A387" s="54" t="s">
        <v>658</v>
      </c>
      <c r="B387" s="56" t="s">
        <v>688</v>
      </c>
      <c r="C387" s="56" t="s">
        <v>624</v>
      </c>
      <c r="D387" s="56" t="s">
        <v>660</v>
      </c>
      <c r="E387" s="56" t="s">
        <v>667</v>
      </c>
      <c r="F387" s="57" t="s">
        <v>34</v>
      </c>
      <c r="G387" s="61"/>
      <c r="H387" s="79"/>
      <c r="I387" s="60"/>
      <c r="J387" s="53"/>
    </row>
    <row r="388" ht="24.75" customHeight="1">
      <c r="A388" s="54" t="s">
        <v>658</v>
      </c>
      <c r="B388" s="56" t="s">
        <v>688</v>
      </c>
      <c r="C388" s="56" t="s">
        <v>624</v>
      </c>
      <c r="D388" s="56" t="s">
        <v>660</v>
      </c>
      <c r="E388" s="56" t="s">
        <v>668</v>
      </c>
      <c r="F388" s="57" t="s">
        <v>154</v>
      </c>
      <c r="G388" s="61"/>
      <c r="H388" s="79"/>
      <c r="I388" s="60"/>
      <c r="J388" s="53"/>
    </row>
    <row r="389" ht="24.75" customHeight="1">
      <c r="A389" s="54" t="s">
        <v>658</v>
      </c>
      <c r="B389" s="56" t="s">
        <v>688</v>
      </c>
      <c r="C389" s="56" t="s">
        <v>624</v>
      </c>
      <c r="D389" s="56" t="s">
        <v>660</v>
      </c>
      <c r="E389" s="56" t="s">
        <v>669</v>
      </c>
      <c r="F389" s="57" t="s">
        <v>154</v>
      </c>
      <c r="G389" s="61"/>
      <c r="H389" s="79"/>
      <c r="I389" s="60"/>
      <c r="J389" s="53"/>
    </row>
    <row r="390" ht="24.75" customHeight="1">
      <c r="A390" s="54" t="s">
        <v>658</v>
      </c>
      <c r="B390" s="56" t="s">
        <v>688</v>
      </c>
      <c r="C390" s="56" t="s">
        <v>624</v>
      </c>
      <c r="D390" s="56" t="s">
        <v>660</v>
      </c>
      <c r="E390" s="56" t="s">
        <v>671</v>
      </c>
      <c r="F390" s="57" t="s">
        <v>154</v>
      </c>
      <c r="G390" s="61"/>
      <c r="H390" s="79"/>
      <c r="I390" s="60"/>
      <c r="J390" s="53"/>
    </row>
    <row r="391" ht="24.75" customHeight="1">
      <c r="A391" s="54" t="s">
        <v>658</v>
      </c>
      <c r="B391" s="56" t="s">
        <v>688</v>
      </c>
      <c r="C391" s="56" t="s">
        <v>624</v>
      </c>
      <c r="D391" s="56" t="s">
        <v>660</v>
      </c>
      <c r="E391" s="56" t="s">
        <v>672</v>
      </c>
      <c r="F391" s="57" t="s">
        <v>154</v>
      </c>
      <c r="G391" s="61"/>
      <c r="H391" s="79"/>
      <c r="I391" s="60"/>
      <c r="J391" s="53"/>
    </row>
    <row r="392" ht="24.75" customHeight="1">
      <c r="A392" s="54" t="s">
        <v>658</v>
      </c>
      <c r="B392" s="56" t="s">
        <v>688</v>
      </c>
      <c r="C392" s="56" t="s">
        <v>624</v>
      </c>
      <c r="D392" s="56" t="s">
        <v>660</v>
      </c>
      <c r="E392" s="56" t="s">
        <v>673</v>
      </c>
      <c r="F392" s="57" t="s">
        <v>154</v>
      </c>
      <c r="G392" s="61"/>
      <c r="H392" s="79"/>
      <c r="I392" s="60"/>
      <c r="J392" s="53"/>
    </row>
    <row r="393" ht="24.75" hidden="1" customHeight="1">
      <c r="A393" s="54" t="s">
        <v>658</v>
      </c>
      <c r="B393" s="56" t="s">
        <v>690</v>
      </c>
      <c r="C393" s="56" t="s">
        <v>624</v>
      </c>
      <c r="D393" s="56" t="s">
        <v>675</v>
      </c>
      <c r="E393" s="56" t="s">
        <v>676</v>
      </c>
      <c r="F393" s="57" t="s">
        <v>34</v>
      </c>
      <c r="G393" s="61"/>
      <c r="H393" s="79"/>
      <c r="I393" s="60"/>
      <c r="J393" s="53"/>
    </row>
    <row r="394" ht="24.75" hidden="1" customHeight="1">
      <c r="A394" s="54" t="s">
        <v>658</v>
      </c>
      <c r="B394" s="56" t="s">
        <v>691</v>
      </c>
      <c r="C394" s="56" t="s">
        <v>624</v>
      </c>
      <c r="D394" s="56" t="s">
        <v>678</v>
      </c>
      <c r="E394" s="56" t="s">
        <v>679</v>
      </c>
      <c r="F394" s="57" t="s">
        <v>34</v>
      </c>
      <c r="G394" s="61"/>
      <c r="H394" s="61" t="s">
        <v>681</v>
      </c>
      <c r="I394" s="60"/>
      <c r="J394" s="53"/>
    </row>
    <row r="395" ht="24.75" hidden="1" customHeight="1">
      <c r="A395" s="54" t="s">
        <v>658</v>
      </c>
      <c r="B395" s="56" t="s">
        <v>691</v>
      </c>
      <c r="C395" s="56" t="s">
        <v>624</v>
      </c>
      <c r="D395" s="56" t="s">
        <v>678</v>
      </c>
      <c r="E395" s="56" t="s">
        <v>680</v>
      </c>
      <c r="F395" s="57" t="s">
        <v>34</v>
      </c>
      <c r="G395" s="61"/>
      <c r="H395" s="79"/>
      <c r="I395" s="60"/>
      <c r="J395" s="53"/>
    </row>
    <row r="396" ht="24.75" hidden="1" customHeight="1">
      <c r="A396" s="54" t="s">
        <v>658</v>
      </c>
      <c r="B396" s="56" t="s">
        <v>691</v>
      </c>
      <c r="C396" s="56" t="s">
        <v>624</v>
      </c>
      <c r="D396" s="56" t="s">
        <v>678</v>
      </c>
      <c r="E396" s="56" t="s">
        <v>682</v>
      </c>
      <c r="F396" s="57" t="s">
        <v>34</v>
      </c>
      <c r="G396" s="61"/>
      <c r="H396" s="79"/>
      <c r="I396" s="60"/>
      <c r="J396" s="53"/>
    </row>
    <row r="397" ht="24.75" hidden="1" customHeight="1">
      <c r="A397" s="54" t="s">
        <v>658</v>
      </c>
      <c r="B397" s="56" t="s">
        <v>691</v>
      </c>
      <c r="C397" s="56" t="s">
        <v>624</v>
      </c>
      <c r="D397" s="56" t="s">
        <v>678</v>
      </c>
      <c r="E397" s="56" t="s">
        <v>683</v>
      </c>
      <c r="F397" s="57" t="s">
        <v>34</v>
      </c>
      <c r="G397" s="61"/>
      <c r="H397" s="79"/>
      <c r="I397" s="60"/>
      <c r="J397" s="53"/>
    </row>
    <row r="398" ht="24.75" customHeight="1">
      <c r="A398" s="54" t="s">
        <v>658</v>
      </c>
      <c r="B398" s="56" t="s">
        <v>691</v>
      </c>
      <c r="C398" s="56" t="s">
        <v>624</v>
      </c>
      <c r="D398" s="56" t="s">
        <v>678</v>
      </c>
      <c r="E398" s="56" t="s">
        <v>684</v>
      </c>
      <c r="F398" s="57" t="s">
        <v>250</v>
      </c>
      <c r="G398" s="61"/>
      <c r="H398" s="61" t="s">
        <v>686</v>
      </c>
      <c r="I398" s="60" t="s">
        <v>687</v>
      </c>
      <c r="J398" s="53"/>
    </row>
    <row r="399" ht="24.75" customHeight="1">
      <c r="A399" s="54" t="s">
        <v>658</v>
      </c>
      <c r="B399" s="56" t="s">
        <v>691</v>
      </c>
      <c r="C399" s="56" t="s">
        <v>624</v>
      </c>
      <c r="D399" s="56" t="s">
        <v>678</v>
      </c>
      <c r="E399" s="56" t="s">
        <v>685</v>
      </c>
      <c r="F399" s="57" t="s">
        <v>250</v>
      </c>
      <c r="G399" s="61"/>
      <c r="H399" s="61" t="s">
        <v>200</v>
      </c>
      <c r="I399" s="60" t="s">
        <v>689</v>
      </c>
      <c r="J399" s="53"/>
    </row>
    <row r="400" ht="24.75" hidden="1" customHeight="1">
      <c r="A400" s="54" t="s">
        <v>658</v>
      </c>
      <c r="B400" s="56" t="s">
        <v>692</v>
      </c>
      <c r="C400" s="56" t="s">
        <v>627</v>
      </c>
      <c r="D400" s="56" t="s">
        <v>660</v>
      </c>
      <c r="E400" s="56" t="s">
        <v>661</v>
      </c>
      <c r="F400" s="57" t="s">
        <v>34</v>
      </c>
      <c r="G400" s="61"/>
      <c r="H400" s="79"/>
      <c r="I400" s="60"/>
      <c r="J400" s="53"/>
    </row>
    <row r="401" ht="24.75" hidden="1" customHeight="1">
      <c r="A401" s="54" t="s">
        <v>658</v>
      </c>
      <c r="B401" s="56" t="s">
        <v>692</v>
      </c>
      <c r="C401" s="56" t="s">
        <v>627</v>
      </c>
      <c r="D401" s="56" t="s">
        <v>660</v>
      </c>
      <c r="E401" s="56" t="s">
        <v>662</v>
      </c>
      <c r="F401" s="57" t="s">
        <v>34</v>
      </c>
      <c r="G401" s="61"/>
      <c r="H401" s="79"/>
      <c r="I401" s="60"/>
      <c r="J401" s="53"/>
    </row>
    <row r="402" ht="24.75" hidden="1" customHeight="1">
      <c r="A402" s="54" t="s">
        <v>658</v>
      </c>
      <c r="B402" s="56" t="s">
        <v>692</v>
      </c>
      <c r="C402" s="56" t="s">
        <v>627</v>
      </c>
      <c r="D402" s="56" t="s">
        <v>660</v>
      </c>
      <c r="E402" s="56" t="s">
        <v>663</v>
      </c>
      <c r="F402" s="57" t="s">
        <v>34</v>
      </c>
      <c r="G402" s="61"/>
      <c r="H402" s="79"/>
      <c r="I402" s="60"/>
      <c r="J402" s="53"/>
    </row>
    <row r="403" ht="24.75" hidden="1" customHeight="1">
      <c r="A403" s="54" t="s">
        <v>658</v>
      </c>
      <c r="B403" s="56" t="s">
        <v>692</v>
      </c>
      <c r="C403" s="56" t="s">
        <v>627</v>
      </c>
      <c r="D403" s="56" t="s">
        <v>660</v>
      </c>
      <c r="E403" s="56" t="s">
        <v>664</v>
      </c>
      <c r="F403" s="57" t="s">
        <v>34</v>
      </c>
      <c r="G403" s="61"/>
      <c r="H403" s="79"/>
      <c r="I403" s="60"/>
      <c r="J403" s="53"/>
    </row>
    <row r="404" ht="24.75" hidden="1" customHeight="1">
      <c r="A404" s="54" t="s">
        <v>658</v>
      </c>
      <c r="B404" s="56" t="s">
        <v>692</v>
      </c>
      <c r="C404" s="56" t="s">
        <v>627</v>
      </c>
      <c r="D404" s="56" t="s">
        <v>660</v>
      </c>
      <c r="E404" s="56" t="s">
        <v>665</v>
      </c>
      <c r="F404" s="57" t="s">
        <v>34</v>
      </c>
      <c r="G404" s="61"/>
      <c r="H404" s="79"/>
      <c r="I404" s="60"/>
      <c r="J404" s="53"/>
    </row>
    <row r="405" ht="24.75" hidden="1" customHeight="1">
      <c r="A405" s="54" t="s">
        <v>658</v>
      </c>
      <c r="B405" s="56" t="s">
        <v>692</v>
      </c>
      <c r="C405" s="56" t="s">
        <v>627</v>
      </c>
      <c r="D405" s="56" t="s">
        <v>660</v>
      </c>
      <c r="E405" s="56" t="s">
        <v>614</v>
      </c>
      <c r="F405" s="57" t="s">
        <v>34</v>
      </c>
      <c r="G405" s="61"/>
      <c r="H405" s="79"/>
      <c r="I405" s="60"/>
      <c r="J405" s="53"/>
    </row>
    <row r="406" ht="24.75" hidden="1" customHeight="1">
      <c r="A406" s="54" t="s">
        <v>658</v>
      </c>
      <c r="B406" s="56" t="s">
        <v>692</v>
      </c>
      <c r="C406" s="56" t="s">
        <v>627</v>
      </c>
      <c r="D406" s="56" t="s">
        <v>660</v>
      </c>
      <c r="E406" s="56" t="s">
        <v>666</v>
      </c>
      <c r="F406" s="57" t="s">
        <v>34</v>
      </c>
      <c r="G406" s="61"/>
      <c r="H406" s="79"/>
      <c r="I406" s="60"/>
      <c r="J406" s="53"/>
    </row>
    <row r="407" ht="24.75" hidden="1" customHeight="1">
      <c r="A407" s="54" t="s">
        <v>658</v>
      </c>
      <c r="B407" s="56" t="s">
        <v>692</v>
      </c>
      <c r="C407" s="56" t="s">
        <v>627</v>
      </c>
      <c r="D407" s="56" t="s">
        <v>660</v>
      </c>
      <c r="E407" s="56" t="s">
        <v>667</v>
      </c>
      <c r="F407" s="57" t="s">
        <v>34</v>
      </c>
      <c r="G407" s="61"/>
      <c r="H407" s="79"/>
      <c r="I407" s="60"/>
      <c r="J407" s="53"/>
    </row>
    <row r="408" ht="24.75" customHeight="1">
      <c r="A408" s="54" t="s">
        <v>658</v>
      </c>
      <c r="B408" s="56" t="s">
        <v>692</v>
      </c>
      <c r="C408" s="56" t="s">
        <v>627</v>
      </c>
      <c r="D408" s="56" t="s">
        <v>660</v>
      </c>
      <c r="E408" s="56" t="s">
        <v>668</v>
      </c>
      <c r="F408" s="57" t="s">
        <v>154</v>
      </c>
      <c r="G408" s="61"/>
      <c r="H408" s="79"/>
      <c r="I408" s="60"/>
      <c r="J408" s="53"/>
    </row>
    <row r="409" ht="24.75" customHeight="1">
      <c r="A409" s="54" t="s">
        <v>658</v>
      </c>
      <c r="B409" s="56" t="s">
        <v>692</v>
      </c>
      <c r="C409" s="56" t="s">
        <v>627</v>
      </c>
      <c r="D409" s="56" t="s">
        <v>660</v>
      </c>
      <c r="E409" s="56" t="s">
        <v>669</v>
      </c>
      <c r="F409" s="57" t="s">
        <v>154</v>
      </c>
      <c r="G409" s="61"/>
      <c r="H409" s="79"/>
      <c r="I409" s="60"/>
      <c r="J409" s="53"/>
    </row>
    <row r="410" ht="24.75" customHeight="1">
      <c r="A410" s="54" t="s">
        <v>658</v>
      </c>
      <c r="B410" s="56" t="s">
        <v>692</v>
      </c>
      <c r="C410" s="56" t="s">
        <v>627</v>
      </c>
      <c r="D410" s="56" t="s">
        <v>660</v>
      </c>
      <c r="E410" s="56" t="s">
        <v>671</v>
      </c>
      <c r="F410" s="57" t="s">
        <v>154</v>
      </c>
      <c r="G410" s="61"/>
      <c r="H410" s="79"/>
      <c r="I410" s="60"/>
      <c r="J410" s="53"/>
    </row>
    <row r="411" ht="24.75" customHeight="1">
      <c r="A411" s="54" t="s">
        <v>658</v>
      </c>
      <c r="B411" s="56" t="s">
        <v>692</v>
      </c>
      <c r="C411" s="56" t="s">
        <v>627</v>
      </c>
      <c r="D411" s="56" t="s">
        <v>660</v>
      </c>
      <c r="E411" s="56" t="s">
        <v>672</v>
      </c>
      <c r="F411" s="57" t="s">
        <v>154</v>
      </c>
      <c r="G411" s="61"/>
      <c r="H411" s="79"/>
      <c r="I411" s="60"/>
      <c r="J411" s="53"/>
    </row>
    <row r="412" ht="24.75" customHeight="1">
      <c r="A412" s="54" t="s">
        <v>658</v>
      </c>
      <c r="B412" s="56" t="s">
        <v>692</v>
      </c>
      <c r="C412" s="56" t="s">
        <v>627</v>
      </c>
      <c r="D412" s="56" t="s">
        <v>660</v>
      </c>
      <c r="E412" s="56" t="s">
        <v>673</v>
      </c>
      <c r="F412" s="57" t="s">
        <v>154</v>
      </c>
      <c r="G412" s="61"/>
      <c r="H412" s="79"/>
      <c r="I412" s="60"/>
      <c r="J412" s="53"/>
    </row>
    <row r="413" ht="24.75" hidden="1" customHeight="1">
      <c r="A413" s="54" t="s">
        <v>658</v>
      </c>
      <c r="B413" s="56" t="s">
        <v>693</v>
      </c>
      <c r="C413" s="56" t="s">
        <v>627</v>
      </c>
      <c r="D413" s="56" t="s">
        <v>675</v>
      </c>
      <c r="E413" s="56" t="s">
        <v>676</v>
      </c>
      <c r="F413" s="57" t="s">
        <v>34</v>
      </c>
      <c r="G413" s="61"/>
      <c r="H413" s="79"/>
      <c r="I413" s="60"/>
      <c r="J413" s="53"/>
    </row>
    <row r="414" ht="24.75" hidden="1" customHeight="1">
      <c r="A414" s="54" t="s">
        <v>658</v>
      </c>
      <c r="B414" s="56" t="s">
        <v>694</v>
      </c>
      <c r="C414" s="56" t="s">
        <v>627</v>
      </c>
      <c r="D414" s="56" t="s">
        <v>678</v>
      </c>
      <c r="E414" s="56" t="s">
        <v>679</v>
      </c>
      <c r="F414" s="57" t="s">
        <v>34</v>
      </c>
      <c r="G414" s="61"/>
      <c r="H414" s="61" t="s">
        <v>197</v>
      </c>
      <c r="I414" s="60"/>
      <c r="J414" s="53"/>
    </row>
    <row r="415" ht="24.75" hidden="1" customHeight="1">
      <c r="A415" s="54" t="s">
        <v>658</v>
      </c>
      <c r="B415" s="56" t="s">
        <v>694</v>
      </c>
      <c r="C415" s="56" t="s">
        <v>627</v>
      </c>
      <c r="D415" s="56" t="s">
        <v>678</v>
      </c>
      <c r="E415" s="56" t="s">
        <v>680</v>
      </c>
      <c r="F415" s="57" t="s">
        <v>34</v>
      </c>
      <c r="G415" s="61"/>
      <c r="H415" s="79"/>
      <c r="I415" s="60"/>
      <c r="J415" s="53"/>
    </row>
    <row r="416" ht="24.75" hidden="1" customHeight="1">
      <c r="A416" s="54" t="s">
        <v>658</v>
      </c>
      <c r="B416" s="56" t="s">
        <v>694</v>
      </c>
      <c r="C416" s="56" t="s">
        <v>627</v>
      </c>
      <c r="D416" s="56" t="s">
        <v>678</v>
      </c>
      <c r="E416" s="56" t="s">
        <v>683</v>
      </c>
      <c r="F416" s="57" t="s">
        <v>34</v>
      </c>
      <c r="G416" s="61"/>
      <c r="H416" s="79"/>
      <c r="I416" s="60"/>
      <c r="J416" s="53"/>
    </row>
    <row r="417" ht="24.75" customHeight="1">
      <c r="A417" s="54" t="s">
        <v>658</v>
      </c>
      <c r="B417" s="56" t="s">
        <v>694</v>
      </c>
      <c r="C417" s="56" t="s">
        <v>627</v>
      </c>
      <c r="D417" s="56" t="s">
        <v>678</v>
      </c>
      <c r="E417" s="56" t="s">
        <v>684</v>
      </c>
      <c r="F417" s="57" t="s">
        <v>250</v>
      </c>
      <c r="G417" s="61"/>
      <c r="H417" s="61" t="s">
        <v>686</v>
      </c>
      <c r="I417" s="60" t="s">
        <v>687</v>
      </c>
      <c r="J417" s="53"/>
    </row>
    <row r="418" ht="24.75" customHeight="1">
      <c r="A418" s="54" t="s">
        <v>658</v>
      </c>
      <c r="B418" s="56" t="s">
        <v>694</v>
      </c>
      <c r="C418" s="56" t="s">
        <v>627</v>
      </c>
      <c r="D418" s="56" t="s">
        <v>678</v>
      </c>
      <c r="E418" s="56" t="s">
        <v>695</v>
      </c>
      <c r="F418" s="57" t="s">
        <v>250</v>
      </c>
      <c r="G418" s="61"/>
      <c r="H418" s="61" t="s">
        <v>346</v>
      </c>
      <c r="I418" s="60" t="s">
        <v>696</v>
      </c>
      <c r="J418" s="53"/>
    </row>
    <row r="419" ht="24.75" customHeight="1">
      <c r="A419" s="54" t="s">
        <v>658</v>
      </c>
      <c r="B419" s="56" t="s">
        <v>694</v>
      </c>
      <c r="C419" s="56" t="s">
        <v>627</v>
      </c>
      <c r="D419" s="56" t="s">
        <v>678</v>
      </c>
      <c r="E419" s="56" t="s">
        <v>685</v>
      </c>
      <c r="F419" s="57" t="s">
        <v>250</v>
      </c>
      <c r="G419" s="61"/>
      <c r="H419" s="61" t="s">
        <v>200</v>
      </c>
      <c r="I419" s="60" t="s">
        <v>689</v>
      </c>
      <c r="J419" s="53"/>
    </row>
    <row r="420" ht="24.75" hidden="1" customHeight="1">
      <c r="A420" s="54" t="s">
        <v>658</v>
      </c>
      <c r="B420" s="56" t="s">
        <v>697</v>
      </c>
      <c r="C420" s="56" t="s">
        <v>640</v>
      </c>
      <c r="D420" s="56" t="s">
        <v>660</v>
      </c>
      <c r="E420" s="56" t="s">
        <v>661</v>
      </c>
      <c r="F420" s="57" t="s">
        <v>34</v>
      </c>
      <c r="G420" s="61"/>
      <c r="H420" s="79"/>
      <c r="I420" s="60"/>
      <c r="J420" s="53"/>
    </row>
    <row r="421" ht="24.75" hidden="1" customHeight="1">
      <c r="A421" s="54" t="s">
        <v>658</v>
      </c>
      <c r="B421" s="56" t="s">
        <v>697</v>
      </c>
      <c r="C421" s="56" t="s">
        <v>640</v>
      </c>
      <c r="D421" s="56" t="s">
        <v>660</v>
      </c>
      <c r="E421" s="56" t="s">
        <v>662</v>
      </c>
      <c r="F421" s="57" t="s">
        <v>34</v>
      </c>
      <c r="G421" s="61"/>
      <c r="H421" s="79"/>
      <c r="I421" s="60"/>
      <c r="J421" s="53"/>
    </row>
    <row r="422" ht="24.75" hidden="1" customHeight="1">
      <c r="A422" s="54" t="s">
        <v>658</v>
      </c>
      <c r="B422" s="56" t="s">
        <v>697</v>
      </c>
      <c r="C422" s="56" t="s">
        <v>640</v>
      </c>
      <c r="D422" s="56" t="s">
        <v>660</v>
      </c>
      <c r="E422" s="56" t="s">
        <v>663</v>
      </c>
      <c r="F422" s="57" t="s">
        <v>34</v>
      </c>
      <c r="G422" s="61"/>
      <c r="H422" s="79"/>
      <c r="I422" s="60"/>
      <c r="J422" s="53"/>
    </row>
    <row r="423" ht="24.75" hidden="1" customHeight="1">
      <c r="A423" s="54" t="s">
        <v>658</v>
      </c>
      <c r="B423" s="56" t="s">
        <v>697</v>
      </c>
      <c r="C423" s="56" t="s">
        <v>640</v>
      </c>
      <c r="D423" s="56" t="s">
        <v>660</v>
      </c>
      <c r="E423" s="56" t="s">
        <v>664</v>
      </c>
      <c r="F423" s="57" t="s">
        <v>34</v>
      </c>
      <c r="G423" s="61"/>
      <c r="H423" s="79"/>
      <c r="I423" s="60"/>
      <c r="J423" s="53"/>
    </row>
    <row r="424" ht="24.75" hidden="1" customHeight="1">
      <c r="A424" s="54" t="s">
        <v>658</v>
      </c>
      <c r="B424" s="56" t="s">
        <v>697</v>
      </c>
      <c r="C424" s="56" t="s">
        <v>640</v>
      </c>
      <c r="D424" s="56" t="s">
        <v>660</v>
      </c>
      <c r="E424" s="56" t="s">
        <v>665</v>
      </c>
      <c r="F424" s="57" t="s">
        <v>34</v>
      </c>
      <c r="G424" s="61"/>
      <c r="H424" s="79"/>
      <c r="I424" s="60"/>
      <c r="J424" s="53"/>
    </row>
    <row r="425" ht="24.75" hidden="1" customHeight="1">
      <c r="A425" s="54" t="s">
        <v>658</v>
      </c>
      <c r="B425" s="56" t="s">
        <v>697</v>
      </c>
      <c r="C425" s="56" t="s">
        <v>640</v>
      </c>
      <c r="D425" s="56" t="s">
        <v>660</v>
      </c>
      <c r="E425" s="56" t="s">
        <v>614</v>
      </c>
      <c r="F425" s="57" t="s">
        <v>34</v>
      </c>
      <c r="G425" s="61"/>
      <c r="H425" s="79"/>
      <c r="I425" s="60"/>
      <c r="J425" s="53"/>
    </row>
    <row r="426" ht="24.75" hidden="1" customHeight="1">
      <c r="A426" s="54" t="s">
        <v>658</v>
      </c>
      <c r="B426" s="56" t="s">
        <v>697</v>
      </c>
      <c r="C426" s="56" t="s">
        <v>640</v>
      </c>
      <c r="D426" s="56" t="s">
        <v>660</v>
      </c>
      <c r="E426" s="56" t="s">
        <v>666</v>
      </c>
      <c r="F426" s="57" t="s">
        <v>34</v>
      </c>
      <c r="G426" s="61"/>
      <c r="H426" s="79"/>
      <c r="I426" s="60"/>
      <c r="J426" s="53"/>
    </row>
    <row r="427" ht="24.75" hidden="1" customHeight="1">
      <c r="A427" s="54" t="s">
        <v>658</v>
      </c>
      <c r="B427" s="56" t="s">
        <v>697</v>
      </c>
      <c r="C427" s="56" t="s">
        <v>640</v>
      </c>
      <c r="D427" s="56" t="s">
        <v>660</v>
      </c>
      <c r="E427" s="56" t="s">
        <v>667</v>
      </c>
      <c r="F427" s="57" t="s">
        <v>34</v>
      </c>
      <c r="G427" s="61"/>
      <c r="H427" s="79"/>
      <c r="I427" s="60"/>
      <c r="J427" s="53"/>
    </row>
    <row r="428" ht="24.75" customHeight="1">
      <c r="A428" s="54" t="s">
        <v>658</v>
      </c>
      <c r="B428" s="56" t="s">
        <v>697</v>
      </c>
      <c r="C428" s="56" t="s">
        <v>640</v>
      </c>
      <c r="D428" s="56" t="s">
        <v>660</v>
      </c>
      <c r="E428" s="56" t="s">
        <v>668</v>
      </c>
      <c r="F428" s="57" t="s">
        <v>154</v>
      </c>
      <c r="G428" s="61"/>
      <c r="H428" s="79"/>
      <c r="I428" s="60"/>
      <c r="J428" s="53"/>
    </row>
    <row r="429" ht="24.75" customHeight="1">
      <c r="A429" s="54" t="s">
        <v>658</v>
      </c>
      <c r="B429" s="56" t="s">
        <v>697</v>
      </c>
      <c r="C429" s="56" t="s">
        <v>640</v>
      </c>
      <c r="D429" s="56" t="s">
        <v>660</v>
      </c>
      <c r="E429" s="56" t="s">
        <v>669</v>
      </c>
      <c r="F429" s="57" t="s">
        <v>154</v>
      </c>
      <c r="G429" s="61"/>
      <c r="H429" s="79"/>
      <c r="I429" s="60"/>
      <c r="J429" s="53"/>
    </row>
    <row r="430" ht="24.75" customHeight="1">
      <c r="A430" s="54" t="s">
        <v>658</v>
      </c>
      <c r="B430" s="56" t="s">
        <v>697</v>
      </c>
      <c r="C430" s="56" t="s">
        <v>640</v>
      </c>
      <c r="D430" s="56" t="s">
        <v>660</v>
      </c>
      <c r="E430" s="56" t="s">
        <v>671</v>
      </c>
      <c r="F430" s="57" t="s">
        <v>154</v>
      </c>
      <c r="G430" s="61"/>
      <c r="H430" s="79"/>
      <c r="I430" s="60"/>
      <c r="J430" s="53"/>
    </row>
    <row r="431" ht="24.75" customHeight="1">
      <c r="A431" s="54" t="s">
        <v>658</v>
      </c>
      <c r="B431" s="56" t="s">
        <v>697</v>
      </c>
      <c r="C431" s="56" t="s">
        <v>640</v>
      </c>
      <c r="D431" s="56" t="s">
        <v>660</v>
      </c>
      <c r="E431" s="56" t="s">
        <v>672</v>
      </c>
      <c r="F431" s="57" t="s">
        <v>154</v>
      </c>
      <c r="G431" s="61"/>
      <c r="H431" s="79"/>
      <c r="I431" s="60"/>
      <c r="J431" s="53"/>
    </row>
    <row r="432" ht="24.75" customHeight="1">
      <c r="A432" s="54" t="s">
        <v>658</v>
      </c>
      <c r="B432" s="56" t="s">
        <v>697</v>
      </c>
      <c r="C432" s="56" t="s">
        <v>640</v>
      </c>
      <c r="D432" s="56" t="s">
        <v>660</v>
      </c>
      <c r="E432" s="56" t="s">
        <v>673</v>
      </c>
      <c r="F432" s="57" t="s">
        <v>154</v>
      </c>
      <c r="G432" s="61"/>
      <c r="H432" s="79"/>
      <c r="I432" s="60"/>
      <c r="J432" s="53"/>
    </row>
    <row r="433" ht="24.75" hidden="1" customHeight="1">
      <c r="A433" s="54" t="s">
        <v>658</v>
      </c>
      <c r="B433" s="56" t="s">
        <v>698</v>
      </c>
      <c r="C433" s="56" t="s">
        <v>640</v>
      </c>
      <c r="D433" s="56" t="s">
        <v>675</v>
      </c>
      <c r="E433" s="56" t="s">
        <v>676</v>
      </c>
      <c r="F433" s="57" t="s">
        <v>34</v>
      </c>
      <c r="G433" s="61"/>
      <c r="H433" s="79"/>
      <c r="I433" s="60"/>
      <c r="J433" s="53"/>
    </row>
    <row r="434" ht="24.75" hidden="1" customHeight="1">
      <c r="A434" s="54" t="s">
        <v>658</v>
      </c>
      <c r="B434" s="56" t="s">
        <v>699</v>
      </c>
      <c r="C434" s="56" t="s">
        <v>640</v>
      </c>
      <c r="D434" s="56" t="s">
        <v>678</v>
      </c>
      <c r="E434" s="56" t="s">
        <v>679</v>
      </c>
      <c r="F434" s="57" t="s">
        <v>34</v>
      </c>
      <c r="G434" s="61"/>
      <c r="H434" s="61" t="s">
        <v>197</v>
      </c>
      <c r="I434" s="60"/>
      <c r="J434" s="53"/>
    </row>
    <row r="435" ht="24.75" hidden="1" customHeight="1">
      <c r="A435" s="54" t="s">
        <v>658</v>
      </c>
      <c r="B435" s="56" t="s">
        <v>699</v>
      </c>
      <c r="C435" s="56" t="s">
        <v>640</v>
      </c>
      <c r="D435" s="56" t="s">
        <v>678</v>
      </c>
      <c r="E435" s="56" t="s">
        <v>680</v>
      </c>
      <c r="F435" s="57" t="s">
        <v>34</v>
      </c>
      <c r="G435" s="61"/>
      <c r="H435" s="79"/>
      <c r="I435" s="60"/>
      <c r="J435" s="53"/>
    </row>
    <row r="436" ht="24.75" hidden="1" customHeight="1">
      <c r="A436" s="54" t="s">
        <v>658</v>
      </c>
      <c r="B436" s="56" t="s">
        <v>699</v>
      </c>
      <c r="C436" s="56" t="s">
        <v>640</v>
      </c>
      <c r="D436" s="56" t="s">
        <v>678</v>
      </c>
      <c r="E436" s="56" t="s">
        <v>682</v>
      </c>
      <c r="F436" s="57" t="s">
        <v>34</v>
      </c>
      <c r="G436" s="61"/>
      <c r="H436" s="79"/>
      <c r="I436" s="60"/>
      <c r="J436" s="53"/>
    </row>
    <row r="437" ht="24.75" hidden="1" customHeight="1">
      <c r="A437" s="54" t="s">
        <v>658</v>
      </c>
      <c r="B437" s="56" t="s">
        <v>699</v>
      </c>
      <c r="C437" s="56" t="s">
        <v>640</v>
      </c>
      <c r="D437" s="56" t="s">
        <v>678</v>
      </c>
      <c r="E437" s="56" t="s">
        <v>683</v>
      </c>
      <c r="F437" s="57" t="s">
        <v>34</v>
      </c>
      <c r="G437" s="61"/>
      <c r="H437" s="79"/>
      <c r="I437" s="60"/>
      <c r="J437" s="53"/>
    </row>
    <row r="438" ht="24.75" customHeight="1">
      <c r="A438" s="54" t="s">
        <v>658</v>
      </c>
      <c r="B438" s="56" t="s">
        <v>699</v>
      </c>
      <c r="C438" s="56" t="s">
        <v>640</v>
      </c>
      <c r="D438" s="56" t="s">
        <v>678</v>
      </c>
      <c r="E438" s="56" t="s">
        <v>684</v>
      </c>
      <c r="F438" s="57" t="s">
        <v>250</v>
      </c>
      <c r="G438" s="61"/>
      <c r="H438" s="61" t="s">
        <v>686</v>
      </c>
      <c r="I438" s="60" t="s">
        <v>687</v>
      </c>
      <c r="J438" s="53"/>
    </row>
    <row r="439" ht="24.75" customHeight="1">
      <c r="A439" s="54" t="s">
        <v>658</v>
      </c>
      <c r="B439" s="56" t="s">
        <v>699</v>
      </c>
      <c r="C439" s="56" t="s">
        <v>640</v>
      </c>
      <c r="D439" s="56" t="s">
        <v>678</v>
      </c>
      <c r="E439" s="56" t="s">
        <v>695</v>
      </c>
      <c r="F439" s="57" t="s">
        <v>250</v>
      </c>
      <c r="G439" s="61"/>
      <c r="H439" s="61" t="s">
        <v>346</v>
      </c>
      <c r="I439" s="60" t="s">
        <v>696</v>
      </c>
      <c r="J439" s="53"/>
    </row>
    <row r="440" ht="24.75" customHeight="1">
      <c r="A440" s="54" t="s">
        <v>658</v>
      </c>
      <c r="B440" s="56" t="s">
        <v>699</v>
      </c>
      <c r="C440" s="56" t="s">
        <v>640</v>
      </c>
      <c r="D440" s="56" t="s">
        <v>678</v>
      </c>
      <c r="E440" s="56" t="s">
        <v>685</v>
      </c>
      <c r="F440" s="57" t="s">
        <v>250</v>
      </c>
      <c r="G440" s="61"/>
      <c r="H440" s="61" t="s">
        <v>200</v>
      </c>
      <c r="I440" s="60" t="s">
        <v>689</v>
      </c>
      <c r="J440" s="53"/>
    </row>
    <row r="441" ht="24.75" hidden="1" customHeight="1">
      <c r="A441" s="54" t="s">
        <v>658</v>
      </c>
      <c r="B441" s="56" t="s">
        <v>700</v>
      </c>
      <c r="C441" s="56" t="s">
        <v>645</v>
      </c>
      <c r="D441" s="56" t="s">
        <v>660</v>
      </c>
      <c r="E441" s="56" t="s">
        <v>661</v>
      </c>
      <c r="F441" s="57" t="s">
        <v>34</v>
      </c>
      <c r="G441" s="61"/>
      <c r="H441" s="79"/>
      <c r="I441" s="60"/>
      <c r="J441" s="53"/>
    </row>
    <row r="442" ht="24.75" hidden="1" customHeight="1">
      <c r="A442" s="54" t="s">
        <v>658</v>
      </c>
      <c r="B442" s="56" t="s">
        <v>700</v>
      </c>
      <c r="C442" s="56" t="s">
        <v>645</v>
      </c>
      <c r="D442" s="56" t="s">
        <v>660</v>
      </c>
      <c r="E442" s="56" t="s">
        <v>662</v>
      </c>
      <c r="F442" s="57" t="s">
        <v>34</v>
      </c>
      <c r="G442" s="61"/>
      <c r="H442" s="61"/>
      <c r="I442" s="60"/>
      <c r="J442" s="53"/>
    </row>
    <row r="443" ht="24.75" hidden="1" customHeight="1">
      <c r="A443" s="54" t="s">
        <v>658</v>
      </c>
      <c r="B443" s="56" t="s">
        <v>700</v>
      </c>
      <c r="C443" s="56" t="s">
        <v>645</v>
      </c>
      <c r="D443" s="56" t="s">
        <v>660</v>
      </c>
      <c r="E443" s="56" t="s">
        <v>663</v>
      </c>
      <c r="F443" s="57" t="s">
        <v>34</v>
      </c>
      <c r="G443" s="61"/>
      <c r="H443" s="61"/>
      <c r="I443" s="60"/>
      <c r="J443" s="53"/>
    </row>
    <row r="444" ht="24.75" hidden="1" customHeight="1">
      <c r="A444" s="54" t="s">
        <v>658</v>
      </c>
      <c r="B444" s="56" t="s">
        <v>700</v>
      </c>
      <c r="C444" s="56" t="s">
        <v>645</v>
      </c>
      <c r="D444" s="56" t="s">
        <v>660</v>
      </c>
      <c r="E444" s="56" t="s">
        <v>664</v>
      </c>
      <c r="F444" s="57" t="s">
        <v>34</v>
      </c>
      <c r="G444" s="61"/>
      <c r="H444" s="79"/>
      <c r="I444" s="60"/>
      <c r="J444" s="53"/>
    </row>
    <row r="445" ht="24.75" hidden="1" customHeight="1">
      <c r="A445" s="54" t="s">
        <v>658</v>
      </c>
      <c r="B445" s="56" t="s">
        <v>700</v>
      </c>
      <c r="C445" s="56" t="s">
        <v>645</v>
      </c>
      <c r="D445" s="56" t="s">
        <v>660</v>
      </c>
      <c r="E445" s="56" t="s">
        <v>665</v>
      </c>
      <c r="F445" s="57" t="s">
        <v>34</v>
      </c>
      <c r="G445" s="61"/>
      <c r="H445" s="79"/>
      <c r="I445" s="60"/>
      <c r="J445" s="53"/>
    </row>
    <row r="446" ht="24.75" hidden="1" customHeight="1">
      <c r="A446" s="54" t="s">
        <v>658</v>
      </c>
      <c r="B446" s="56" t="s">
        <v>700</v>
      </c>
      <c r="C446" s="56" t="s">
        <v>645</v>
      </c>
      <c r="D446" s="56" t="s">
        <v>660</v>
      </c>
      <c r="E446" s="56" t="s">
        <v>614</v>
      </c>
      <c r="F446" s="57" t="s">
        <v>34</v>
      </c>
      <c r="G446" s="61"/>
      <c r="H446" s="79"/>
      <c r="I446" s="60"/>
      <c r="J446" s="53"/>
    </row>
    <row r="447" ht="24.75" hidden="1" customHeight="1">
      <c r="A447" s="54" t="s">
        <v>658</v>
      </c>
      <c r="B447" s="56" t="s">
        <v>700</v>
      </c>
      <c r="C447" s="56" t="s">
        <v>645</v>
      </c>
      <c r="D447" s="56" t="s">
        <v>660</v>
      </c>
      <c r="E447" s="56" t="s">
        <v>666</v>
      </c>
      <c r="F447" s="57" t="s">
        <v>34</v>
      </c>
      <c r="G447" s="61"/>
      <c r="H447" s="79"/>
      <c r="I447" s="60"/>
      <c r="J447" s="53"/>
    </row>
    <row r="448" ht="24.75" hidden="1" customHeight="1">
      <c r="A448" s="54" t="s">
        <v>658</v>
      </c>
      <c r="B448" s="56" t="s">
        <v>700</v>
      </c>
      <c r="C448" s="56" t="s">
        <v>645</v>
      </c>
      <c r="D448" s="56" t="s">
        <v>660</v>
      </c>
      <c r="E448" s="56" t="s">
        <v>667</v>
      </c>
      <c r="F448" s="57" t="s">
        <v>34</v>
      </c>
      <c r="G448" s="61"/>
      <c r="H448" s="61"/>
      <c r="I448" s="60"/>
      <c r="J448" s="53"/>
    </row>
    <row r="449" ht="24.75" customHeight="1">
      <c r="A449" s="54" t="s">
        <v>658</v>
      </c>
      <c r="B449" s="56" t="s">
        <v>700</v>
      </c>
      <c r="C449" s="56" t="s">
        <v>645</v>
      </c>
      <c r="D449" s="56" t="s">
        <v>660</v>
      </c>
      <c r="E449" s="56" t="s">
        <v>668</v>
      </c>
      <c r="F449" s="57" t="s">
        <v>154</v>
      </c>
      <c r="G449" s="61"/>
      <c r="H449" s="61"/>
      <c r="I449" s="60"/>
      <c r="J449" s="53"/>
    </row>
    <row r="450" ht="24.75" customHeight="1">
      <c r="A450" s="54" t="s">
        <v>658</v>
      </c>
      <c r="B450" s="56" t="s">
        <v>700</v>
      </c>
      <c r="C450" s="56" t="s">
        <v>645</v>
      </c>
      <c r="D450" s="56" t="s">
        <v>660</v>
      </c>
      <c r="E450" s="56" t="s">
        <v>669</v>
      </c>
      <c r="F450" s="57" t="s">
        <v>154</v>
      </c>
      <c r="G450" s="61"/>
      <c r="H450" s="61"/>
      <c r="I450" s="60"/>
      <c r="J450" s="53"/>
    </row>
    <row r="451" ht="24.75" customHeight="1">
      <c r="A451" s="54" t="s">
        <v>658</v>
      </c>
      <c r="B451" s="56" t="s">
        <v>700</v>
      </c>
      <c r="C451" s="56" t="s">
        <v>645</v>
      </c>
      <c r="D451" s="56" t="s">
        <v>660</v>
      </c>
      <c r="E451" s="56" t="s">
        <v>680</v>
      </c>
      <c r="F451" s="57" t="s">
        <v>154</v>
      </c>
      <c r="G451" s="61"/>
      <c r="H451" s="61"/>
      <c r="I451" s="60"/>
      <c r="J451" s="53"/>
    </row>
    <row r="452" ht="24.75" customHeight="1">
      <c r="A452" s="54" t="s">
        <v>658</v>
      </c>
      <c r="B452" s="56" t="s">
        <v>700</v>
      </c>
      <c r="C452" s="56" t="s">
        <v>645</v>
      </c>
      <c r="D452" s="56" t="s">
        <v>660</v>
      </c>
      <c r="E452" s="56" t="s">
        <v>671</v>
      </c>
      <c r="F452" s="57" t="s">
        <v>154</v>
      </c>
      <c r="G452" s="61"/>
      <c r="H452" s="79"/>
      <c r="I452" s="60"/>
      <c r="J452" s="53"/>
    </row>
    <row r="453" ht="24.75" customHeight="1">
      <c r="A453" s="54" t="s">
        <v>658</v>
      </c>
      <c r="B453" s="56" t="s">
        <v>700</v>
      </c>
      <c r="C453" s="56" t="s">
        <v>645</v>
      </c>
      <c r="D453" s="56" t="s">
        <v>660</v>
      </c>
      <c r="E453" s="56" t="s">
        <v>672</v>
      </c>
      <c r="F453" s="57" t="s">
        <v>154</v>
      </c>
      <c r="G453" s="61"/>
      <c r="H453" s="79"/>
      <c r="I453" s="60"/>
      <c r="J453" s="53"/>
    </row>
    <row r="454" ht="24.75" customHeight="1">
      <c r="A454" s="54" t="s">
        <v>658</v>
      </c>
      <c r="B454" s="56" t="s">
        <v>700</v>
      </c>
      <c r="C454" s="56" t="s">
        <v>645</v>
      </c>
      <c r="D454" s="56" t="s">
        <v>660</v>
      </c>
      <c r="E454" s="56" t="s">
        <v>673</v>
      </c>
      <c r="F454" s="57" t="s">
        <v>154</v>
      </c>
      <c r="G454" s="61"/>
      <c r="H454" s="79"/>
      <c r="I454" s="60"/>
      <c r="J454" s="53"/>
    </row>
    <row r="455" ht="24.75" hidden="1" customHeight="1">
      <c r="A455" s="54" t="s">
        <v>658</v>
      </c>
      <c r="B455" s="56" t="s">
        <v>703</v>
      </c>
      <c r="C455" s="56" t="s">
        <v>645</v>
      </c>
      <c r="D455" s="56" t="s">
        <v>675</v>
      </c>
      <c r="E455" s="56" t="s">
        <v>676</v>
      </c>
      <c r="F455" s="57" t="s">
        <v>34</v>
      </c>
      <c r="G455" s="61"/>
      <c r="H455" s="79"/>
      <c r="I455" s="60"/>
      <c r="J455" s="53"/>
    </row>
    <row r="456" ht="24.75" hidden="1" customHeight="1">
      <c r="A456" s="54" t="s">
        <v>658</v>
      </c>
      <c r="B456" s="56" t="s">
        <v>704</v>
      </c>
      <c r="C456" s="56" t="s">
        <v>645</v>
      </c>
      <c r="D456" s="56" t="s">
        <v>678</v>
      </c>
      <c r="E456" s="56" t="s">
        <v>679</v>
      </c>
      <c r="F456" s="57" t="s">
        <v>34</v>
      </c>
      <c r="G456" s="61"/>
      <c r="H456" s="61" t="s">
        <v>197</v>
      </c>
      <c r="I456" s="60"/>
      <c r="J456" s="53"/>
    </row>
    <row r="457" ht="24.75" hidden="1" customHeight="1">
      <c r="A457" s="54" t="s">
        <v>658</v>
      </c>
      <c r="B457" s="56" t="s">
        <v>704</v>
      </c>
      <c r="C457" s="56" t="s">
        <v>645</v>
      </c>
      <c r="D457" s="56" t="s">
        <v>678</v>
      </c>
      <c r="E457" s="56" t="s">
        <v>680</v>
      </c>
      <c r="F457" s="57" t="s">
        <v>34</v>
      </c>
      <c r="G457" s="61"/>
      <c r="H457" s="79"/>
      <c r="I457" s="60"/>
      <c r="J457" s="53"/>
    </row>
    <row r="458" ht="24.75" hidden="1" customHeight="1">
      <c r="A458" s="54" t="s">
        <v>658</v>
      </c>
      <c r="B458" s="56" t="s">
        <v>704</v>
      </c>
      <c r="C458" s="56" t="s">
        <v>645</v>
      </c>
      <c r="D458" s="56" t="s">
        <v>678</v>
      </c>
      <c r="E458" s="56" t="s">
        <v>682</v>
      </c>
      <c r="F458" s="57" t="s">
        <v>34</v>
      </c>
      <c r="G458" s="61"/>
      <c r="H458" s="79"/>
      <c r="I458" s="60"/>
      <c r="J458" s="53"/>
    </row>
    <row r="459" ht="24.75" hidden="1" customHeight="1">
      <c r="A459" s="54" t="s">
        <v>658</v>
      </c>
      <c r="B459" s="56" t="s">
        <v>704</v>
      </c>
      <c r="C459" s="56" t="s">
        <v>645</v>
      </c>
      <c r="D459" s="56" t="s">
        <v>678</v>
      </c>
      <c r="E459" s="56" t="s">
        <v>683</v>
      </c>
      <c r="F459" s="57" t="s">
        <v>34</v>
      </c>
      <c r="G459" s="61"/>
      <c r="H459" s="79"/>
      <c r="I459" s="60"/>
      <c r="J459" s="53"/>
    </row>
    <row r="460" ht="24.75" customHeight="1">
      <c r="A460" s="54" t="s">
        <v>658</v>
      </c>
      <c r="B460" s="56" t="s">
        <v>704</v>
      </c>
      <c r="C460" s="56" t="s">
        <v>645</v>
      </c>
      <c r="D460" s="56" t="s">
        <v>678</v>
      </c>
      <c r="E460" s="56" t="s">
        <v>684</v>
      </c>
      <c r="F460" s="57" t="s">
        <v>250</v>
      </c>
      <c r="G460" s="61"/>
      <c r="H460" s="61" t="s">
        <v>686</v>
      </c>
      <c r="I460" s="60" t="s">
        <v>687</v>
      </c>
      <c r="J460" s="53"/>
    </row>
    <row r="461" ht="24.75" customHeight="1">
      <c r="A461" s="54" t="s">
        <v>658</v>
      </c>
      <c r="B461" s="56" t="s">
        <v>704</v>
      </c>
      <c r="C461" s="56" t="s">
        <v>645</v>
      </c>
      <c r="D461" s="56" t="s">
        <v>678</v>
      </c>
      <c r="E461" s="56" t="s">
        <v>695</v>
      </c>
      <c r="F461" s="57" t="s">
        <v>250</v>
      </c>
      <c r="G461" s="61"/>
      <c r="H461" s="61" t="s">
        <v>346</v>
      </c>
      <c r="I461" s="60" t="s">
        <v>696</v>
      </c>
      <c r="J461" s="53"/>
    </row>
    <row r="462" ht="24.75" customHeight="1">
      <c r="A462" s="54" t="s">
        <v>658</v>
      </c>
      <c r="B462" s="56" t="s">
        <v>704</v>
      </c>
      <c r="C462" s="56" t="s">
        <v>645</v>
      </c>
      <c r="D462" s="56" t="s">
        <v>678</v>
      </c>
      <c r="E462" s="56" t="s">
        <v>685</v>
      </c>
      <c r="F462" s="57" t="s">
        <v>250</v>
      </c>
      <c r="G462" s="61"/>
      <c r="H462" s="61" t="s">
        <v>200</v>
      </c>
      <c r="I462" s="60" t="s">
        <v>689</v>
      </c>
      <c r="J462" s="53"/>
    </row>
    <row r="463" ht="24.75" hidden="1" customHeight="1">
      <c r="A463" s="54" t="s">
        <v>658</v>
      </c>
      <c r="B463" s="56" t="s">
        <v>705</v>
      </c>
      <c r="C463" s="56" t="s">
        <v>606</v>
      </c>
      <c r="D463" s="56" t="s">
        <v>660</v>
      </c>
      <c r="E463" s="56" t="s">
        <v>661</v>
      </c>
      <c r="F463" s="57" t="s">
        <v>34</v>
      </c>
      <c r="G463" s="61"/>
      <c r="H463" s="79"/>
      <c r="I463" s="60"/>
      <c r="J463" s="53"/>
    </row>
    <row r="464" ht="24.75" hidden="1" customHeight="1">
      <c r="A464" s="54" t="s">
        <v>658</v>
      </c>
      <c r="B464" s="56" t="s">
        <v>705</v>
      </c>
      <c r="C464" s="56" t="s">
        <v>606</v>
      </c>
      <c r="D464" s="56" t="s">
        <v>660</v>
      </c>
      <c r="E464" s="56" t="s">
        <v>662</v>
      </c>
      <c r="F464" s="57" t="s">
        <v>34</v>
      </c>
      <c r="G464" s="61"/>
      <c r="H464" s="61"/>
      <c r="I464" s="60"/>
      <c r="J464" s="53"/>
    </row>
    <row r="465" ht="24.75" hidden="1" customHeight="1">
      <c r="A465" s="54" t="s">
        <v>658</v>
      </c>
      <c r="B465" s="56" t="s">
        <v>705</v>
      </c>
      <c r="C465" s="56" t="s">
        <v>606</v>
      </c>
      <c r="D465" s="56" t="s">
        <v>660</v>
      </c>
      <c r="E465" s="56" t="s">
        <v>663</v>
      </c>
      <c r="F465" s="57" t="s">
        <v>34</v>
      </c>
      <c r="G465" s="61"/>
      <c r="H465" s="61"/>
      <c r="I465" s="60"/>
      <c r="J465" s="53"/>
    </row>
    <row r="466" ht="24.75" hidden="1" customHeight="1">
      <c r="A466" s="54" t="s">
        <v>658</v>
      </c>
      <c r="B466" s="56" t="s">
        <v>705</v>
      </c>
      <c r="C466" s="56" t="s">
        <v>606</v>
      </c>
      <c r="D466" s="56" t="s">
        <v>660</v>
      </c>
      <c r="E466" s="56" t="s">
        <v>664</v>
      </c>
      <c r="F466" s="57" t="s">
        <v>34</v>
      </c>
      <c r="G466" s="61"/>
      <c r="H466" s="79"/>
      <c r="I466" s="60"/>
      <c r="J466" s="53"/>
    </row>
    <row r="467" ht="24.75" hidden="1" customHeight="1">
      <c r="A467" s="54" t="s">
        <v>658</v>
      </c>
      <c r="B467" s="56" t="s">
        <v>705</v>
      </c>
      <c r="C467" s="56" t="s">
        <v>606</v>
      </c>
      <c r="D467" s="56" t="s">
        <v>660</v>
      </c>
      <c r="E467" s="56" t="s">
        <v>665</v>
      </c>
      <c r="F467" s="57" t="s">
        <v>34</v>
      </c>
      <c r="G467" s="61"/>
      <c r="H467" s="79"/>
      <c r="I467" s="86"/>
      <c r="J467" s="53"/>
    </row>
    <row r="468" ht="24.75" hidden="1" customHeight="1">
      <c r="A468" s="54" t="s">
        <v>658</v>
      </c>
      <c r="B468" s="56" t="s">
        <v>705</v>
      </c>
      <c r="C468" s="56" t="s">
        <v>606</v>
      </c>
      <c r="D468" s="56" t="s">
        <v>660</v>
      </c>
      <c r="E468" s="56" t="s">
        <v>614</v>
      </c>
      <c r="F468" s="57" t="s">
        <v>34</v>
      </c>
      <c r="G468" s="61"/>
      <c r="H468" s="79"/>
      <c r="I468" s="60"/>
      <c r="J468" s="53"/>
    </row>
    <row r="469" ht="24.75" hidden="1" customHeight="1">
      <c r="A469" s="54" t="s">
        <v>658</v>
      </c>
      <c r="B469" s="56" t="s">
        <v>705</v>
      </c>
      <c r="C469" s="56" t="s">
        <v>606</v>
      </c>
      <c r="D469" s="56" t="s">
        <v>660</v>
      </c>
      <c r="E469" s="56" t="s">
        <v>666</v>
      </c>
      <c r="F469" s="57" t="s">
        <v>34</v>
      </c>
      <c r="G469" s="61"/>
      <c r="H469" s="79"/>
      <c r="I469" s="60"/>
      <c r="J469" s="53"/>
    </row>
    <row r="470" ht="24.75" hidden="1" customHeight="1">
      <c r="A470" s="54" t="s">
        <v>658</v>
      </c>
      <c r="B470" s="56" t="s">
        <v>705</v>
      </c>
      <c r="C470" s="56" t="s">
        <v>606</v>
      </c>
      <c r="D470" s="56" t="s">
        <v>660</v>
      </c>
      <c r="E470" s="56" t="s">
        <v>667</v>
      </c>
      <c r="F470" s="57" t="s">
        <v>34</v>
      </c>
      <c r="G470" s="61"/>
      <c r="H470" s="61"/>
      <c r="I470" s="60"/>
      <c r="J470" s="53"/>
    </row>
    <row r="471" ht="24.75" customHeight="1">
      <c r="A471" s="54" t="s">
        <v>658</v>
      </c>
      <c r="B471" s="56" t="s">
        <v>705</v>
      </c>
      <c r="C471" s="56" t="s">
        <v>606</v>
      </c>
      <c r="D471" s="56" t="s">
        <v>660</v>
      </c>
      <c r="E471" s="56" t="s">
        <v>668</v>
      </c>
      <c r="F471" s="57" t="s">
        <v>154</v>
      </c>
      <c r="G471" s="61"/>
      <c r="H471" s="61"/>
      <c r="I471" s="60"/>
      <c r="J471" s="53"/>
    </row>
    <row r="472" ht="24.75" customHeight="1">
      <c r="A472" s="54" t="s">
        <v>658</v>
      </c>
      <c r="B472" s="56" t="s">
        <v>705</v>
      </c>
      <c r="C472" s="56" t="s">
        <v>606</v>
      </c>
      <c r="D472" s="56" t="s">
        <v>660</v>
      </c>
      <c r="E472" s="56" t="s">
        <v>669</v>
      </c>
      <c r="F472" s="57" t="s">
        <v>154</v>
      </c>
      <c r="G472" s="61"/>
      <c r="H472" s="61"/>
      <c r="I472" s="60"/>
      <c r="J472" s="53"/>
    </row>
    <row r="473" ht="24.75" customHeight="1">
      <c r="A473" s="54" t="s">
        <v>658</v>
      </c>
      <c r="B473" s="56" t="s">
        <v>705</v>
      </c>
      <c r="C473" s="56" t="s">
        <v>606</v>
      </c>
      <c r="D473" s="56" t="s">
        <v>660</v>
      </c>
      <c r="E473" s="56" t="s">
        <v>671</v>
      </c>
      <c r="F473" s="57" t="s">
        <v>154</v>
      </c>
      <c r="G473" s="61"/>
      <c r="H473" s="61"/>
      <c r="I473" s="60"/>
      <c r="J473" s="53"/>
    </row>
    <row r="474" ht="24.75" customHeight="1">
      <c r="A474" s="54" t="s">
        <v>658</v>
      </c>
      <c r="B474" s="56" t="s">
        <v>705</v>
      </c>
      <c r="C474" s="56" t="s">
        <v>606</v>
      </c>
      <c r="D474" s="56" t="s">
        <v>660</v>
      </c>
      <c r="E474" s="56" t="s">
        <v>672</v>
      </c>
      <c r="F474" s="57" t="s">
        <v>154</v>
      </c>
      <c r="G474" s="61"/>
      <c r="H474" s="61"/>
      <c r="I474" s="60"/>
      <c r="J474" s="53"/>
    </row>
    <row r="475" ht="24.75" customHeight="1">
      <c r="A475" s="54" t="s">
        <v>658</v>
      </c>
      <c r="B475" s="56" t="s">
        <v>705</v>
      </c>
      <c r="C475" s="56" t="s">
        <v>606</v>
      </c>
      <c r="D475" s="56" t="s">
        <v>660</v>
      </c>
      <c r="E475" s="56" t="s">
        <v>673</v>
      </c>
      <c r="F475" s="57" t="s">
        <v>154</v>
      </c>
      <c r="G475" s="61"/>
      <c r="H475" s="79"/>
      <c r="I475" s="60"/>
      <c r="J475" s="53"/>
    </row>
    <row r="476" ht="24.75" hidden="1" customHeight="1">
      <c r="A476" s="54" t="s">
        <v>658</v>
      </c>
      <c r="B476" s="56" t="s">
        <v>714</v>
      </c>
      <c r="C476" s="56" t="s">
        <v>606</v>
      </c>
      <c r="D476" s="56" t="s">
        <v>675</v>
      </c>
      <c r="E476" s="56" t="s">
        <v>676</v>
      </c>
      <c r="F476" s="57" t="s">
        <v>34</v>
      </c>
      <c r="G476" s="61"/>
      <c r="H476" s="79"/>
      <c r="I476" s="60"/>
      <c r="J476" s="53"/>
    </row>
    <row r="477" ht="24.75" hidden="1" customHeight="1">
      <c r="A477" s="54" t="s">
        <v>658</v>
      </c>
      <c r="B477" s="56" t="s">
        <v>715</v>
      </c>
      <c r="C477" s="56" t="s">
        <v>606</v>
      </c>
      <c r="D477" s="56" t="s">
        <v>716</v>
      </c>
      <c r="E477" s="56" t="s">
        <v>679</v>
      </c>
      <c r="F477" s="57" t="s">
        <v>34</v>
      </c>
      <c r="G477" s="61"/>
      <c r="H477" s="61" t="s">
        <v>197</v>
      </c>
      <c r="I477" s="60"/>
      <c r="J477" s="53"/>
    </row>
    <row r="478" ht="24.75" hidden="1" customHeight="1">
      <c r="A478" s="54" t="s">
        <v>658</v>
      </c>
      <c r="B478" s="56" t="s">
        <v>715</v>
      </c>
      <c r="C478" s="56" t="s">
        <v>606</v>
      </c>
      <c r="D478" s="56" t="s">
        <v>678</v>
      </c>
      <c r="E478" s="56" t="s">
        <v>680</v>
      </c>
      <c r="F478" s="57" t="s">
        <v>34</v>
      </c>
      <c r="G478" s="61"/>
      <c r="H478" s="79"/>
      <c r="I478" s="60"/>
      <c r="J478" s="53"/>
    </row>
    <row r="479" ht="24.75" hidden="1" customHeight="1">
      <c r="A479" s="54" t="s">
        <v>658</v>
      </c>
      <c r="B479" s="56" t="s">
        <v>715</v>
      </c>
      <c r="C479" s="56" t="s">
        <v>606</v>
      </c>
      <c r="D479" s="56" t="s">
        <v>716</v>
      </c>
      <c r="E479" s="56" t="s">
        <v>682</v>
      </c>
      <c r="F479" s="57" t="s">
        <v>34</v>
      </c>
      <c r="G479" s="61"/>
      <c r="H479" s="79"/>
      <c r="I479" s="60"/>
      <c r="J479" s="53"/>
    </row>
    <row r="480" ht="24.75" hidden="1" customHeight="1">
      <c r="A480" s="54" t="s">
        <v>658</v>
      </c>
      <c r="B480" s="56" t="s">
        <v>715</v>
      </c>
      <c r="C480" s="56" t="s">
        <v>606</v>
      </c>
      <c r="D480" s="56" t="s">
        <v>716</v>
      </c>
      <c r="E480" s="56" t="s">
        <v>683</v>
      </c>
      <c r="F480" s="57" t="s">
        <v>34</v>
      </c>
      <c r="G480" s="61"/>
      <c r="H480" s="79"/>
      <c r="I480" s="60"/>
      <c r="J480" s="53"/>
    </row>
    <row r="481" ht="24.75" customHeight="1">
      <c r="A481" s="54" t="s">
        <v>658</v>
      </c>
      <c r="B481" s="56" t="s">
        <v>715</v>
      </c>
      <c r="C481" s="56" t="s">
        <v>606</v>
      </c>
      <c r="D481" s="56" t="s">
        <v>716</v>
      </c>
      <c r="E481" s="56" t="s">
        <v>684</v>
      </c>
      <c r="F481" s="57" t="s">
        <v>250</v>
      </c>
      <c r="G481" s="61"/>
      <c r="H481" s="61" t="s">
        <v>686</v>
      </c>
      <c r="I481" s="60" t="s">
        <v>687</v>
      </c>
      <c r="J481" s="53"/>
    </row>
    <row r="482" ht="24.75" customHeight="1">
      <c r="A482" s="54" t="s">
        <v>658</v>
      </c>
      <c r="B482" s="56" t="s">
        <v>715</v>
      </c>
      <c r="C482" s="56" t="s">
        <v>606</v>
      </c>
      <c r="D482" s="56" t="s">
        <v>716</v>
      </c>
      <c r="E482" s="56" t="s">
        <v>695</v>
      </c>
      <c r="F482" s="57" t="s">
        <v>250</v>
      </c>
      <c r="G482" s="61"/>
      <c r="H482" s="61" t="s">
        <v>346</v>
      </c>
      <c r="I482" s="60" t="s">
        <v>696</v>
      </c>
      <c r="J482" s="53"/>
    </row>
    <row r="483" ht="24.75" customHeight="1">
      <c r="A483" s="54" t="s">
        <v>658</v>
      </c>
      <c r="B483" s="56" t="s">
        <v>715</v>
      </c>
      <c r="C483" s="56" t="s">
        <v>606</v>
      </c>
      <c r="D483" s="56" t="s">
        <v>716</v>
      </c>
      <c r="E483" s="56" t="s">
        <v>685</v>
      </c>
      <c r="F483" s="57" t="s">
        <v>250</v>
      </c>
      <c r="G483" s="61"/>
      <c r="H483" s="61" t="s">
        <v>200</v>
      </c>
      <c r="I483" s="60" t="s">
        <v>689</v>
      </c>
      <c r="J483" s="53"/>
    </row>
    <row r="484" ht="24.75" customHeight="1">
      <c r="A484" s="54" t="s">
        <v>658</v>
      </c>
      <c r="B484" s="56" t="s">
        <v>717</v>
      </c>
      <c r="C484" s="56" t="s">
        <v>718</v>
      </c>
      <c r="D484" s="56" t="s">
        <v>719</v>
      </c>
      <c r="E484" s="56" t="s">
        <v>239</v>
      </c>
      <c r="F484" s="57" t="s">
        <v>154</v>
      </c>
      <c r="G484" s="61"/>
      <c r="H484" s="79"/>
      <c r="I484" s="60"/>
      <c r="J484" s="53"/>
    </row>
    <row r="485" ht="24.75" customHeight="1">
      <c r="A485" s="54" t="s">
        <v>658</v>
      </c>
      <c r="B485" s="56" t="s">
        <v>720</v>
      </c>
      <c r="C485" s="56" t="s">
        <v>718</v>
      </c>
      <c r="D485" s="56" t="s">
        <v>721</v>
      </c>
      <c r="E485" s="56" t="s">
        <v>722</v>
      </c>
      <c r="F485" s="57" t="s">
        <v>154</v>
      </c>
      <c r="G485" s="61"/>
      <c r="H485" s="79"/>
      <c r="I485" s="60"/>
      <c r="J485" s="53"/>
    </row>
    <row r="486" ht="24.75" customHeight="1">
      <c r="A486" s="54" t="s">
        <v>658</v>
      </c>
      <c r="B486" s="56" t="s">
        <v>720</v>
      </c>
      <c r="C486" s="56" t="s">
        <v>718</v>
      </c>
      <c r="D486" s="56" t="s">
        <v>721</v>
      </c>
      <c r="E486" s="56" t="s">
        <v>723</v>
      </c>
      <c r="F486" s="57" t="s">
        <v>154</v>
      </c>
      <c r="G486" s="61"/>
      <c r="H486" s="79"/>
      <c r="I486" s="60"/>
      <c r="J486" s="53"/>
    </row>
    <row r="487" ht="24.75" customHeight="1">
      <c r="A487" s="54" t="s">
        <v>658</v>
      </c>
      <c r="B487" s="56" t="s">
        <v>724</v>
      </c>
      <c r="C487" s="56" t="s">
        <v>718</v>
      </c>
      <c r="D487" s="56" t="s">
        <v>725</v>
      </c>
      <c r="E487" s="56" t="s">
        <v>239</v>
      </c>
      <c r="F487" s="57" t="s">
        <v>154</v>
      </c>
      <c r="G487" s="61"/>
      <c r="H487" s="79"/>
      <c r="I487" s="60"/>
      <c r="J487" s="53"/>
    </row>
    <row r="488" ht="24.75" customHeight="1">
      <c r="A488" s="54" t="s">
        <v>658</v>
      </c>
      <c r="B488" s="56" t="s">
        <v>720</v>
      </c>
      <c r="C488" s="56" t="s">
        <v>718</v>
      </c>
      <c r="D488" s="56" t="s">
        <v>728</v>
      </c>
      <c r="E488" s="56" t="s">
        <v>722</v>
      </c>
      <c r="F488" s="57" t="s">
        <v>154</v>
      </c>
      <c r="G488" s="61"/>
      <c r="H488" s="79"/>
      <c r="I488" s="60"/>
      <c r="J488" s="53"/>
    </row>
    <row r="489" ht="24.75" customHeight="1">
      <c r="A489" s="54" t="s">
        <v>658</v>
      </c>
      <c r="B489" s="56" t="s">
        <v>720</v>
      </c>
      <c r="C489" s="56" t="s">
        <v>718</v>
      </c>
      <c r="D489" s="56" t="s">
        <v>728</v>
      </c>
      <c r="E489" s="56" t="s">
        <v>723</v>
      </c>
      <c r="F489" s="57" t="s">
        <v>154</v>
      </c>
      <c r="G489" s="61"/>
      <c r="H489" s="79"/>
      <c r="I489" s="60"/>
      <c r="J489" s="53"/>
    </row>
    <row r="490" ht="24.75" customHeight="1">
      <c r="A490" s="54" t="s">
        <v>729</v>
      </c>
      <c r="B490" s="56" t="s">
        <v>730</v>
      </c>
      <c r="C490" s="56" t="s">
        <v>731</v>
      </c>
      <c r="D490" s="56" t="s">
        <v>732</v>
      </c>
      <c r="E490" s="56" t="s">
        <v>167</v>
      </c>
      <c r="F490" s="57" t="s">
        <v>154</v>
      </c>
      <c r="G490" s="61"/>
      <c r="H490" s="61"/>
      <c r="I490" s="60"/>
      <c r="J490" s="53"/>
    </row>
    <row r="491" ht="24.75" customHeight="1">
      <c r="A491" s="54" t="s">
        <v>729</v>
      </c>
      <c r="B491" s="56" t="s">
        <v>730</v>
      </c>
      <c r="C491" s="56" t="s">
        <v>731</v>
      </c>
      <c r="D491" s="56" t="s">
        <v>732</v>
      </c>
      <c r="E491" s="56" t="s">
        <v>733</v>
      </c>
      <c r="F491" s="57" t="s">
        <v>154</v>
      </c>
      <c r="G491" s="61"/>
      <c r="H491" s="61"/>
      <c r="I491" s="60"/>
      <c r="J491" s="53"/>
    </row>
    <row r="492" ht="24.75" customHeight="1">
      <c r="A492" s="54" t="s">
        <v>729</v>
      </c>
      <c r="B492" s="56" t="s">
        <v>730</v>
      </c>
      <c r="C492" s="56" t="s">
        <v>731</v>
      </c>
      <c r="D492" s="56" t="s">
        <v>732</v>
      </c>
      <c r="E492" s="56" t="s">
        <v>176</v>
      </c>
      <c r="F492" s="57" t="s">
        <v>154</v>
      </c>
      <c r="G492" s="61"/>
      <c r="H492" s="61"/>
      <c r="I492" s="60"/>
      <c r="J492" s="53"/>
    </row>
    <row r="493" ht="24.75" customHeight="1">
      <c r="A493" s="54" t="s">
        <v>729</v>
      </c>
      <c r="B493" s="56" t="s">
        <v>734</v>
      </c>
      <c r="C493" s="56" t="s">
        <v>731</v>
      </c>
      <c r="D493" s="56" t="s">
        <v>735</v>
      </c>
      <c r="E493" s="56" t="s">
        <v>167</v>
      </c>
      <c r="F493" s="57" t="s">
        <v>154</v>
      </c>
      <c r="G493" s="61"/>
      <c r="H493" s="61"/>
      <c r="I493" s="60"/>
      <c r="J493" s="53"/>
    </row>
    <row r="494" ht="24.75" customHeight="1">
      <c r="A494" s="54" t="s">
        <v>729</v>
      </c>
      <c r="B494" s="56" t="s">
        <v>734</v>
      </c>
      <c r="C494" s="56" t="s">
        <v>731</v>
      </c>
      <c r="D494" s="56" t="s">
        <v>735</v>
      </c>
      <c r="E494" s="56" t="s">
        <v>733</v>
      </c>
      <c r="F494" s="57" t="s">
        <v>154</v>
      </c>
      <c r="G494" s="61"/>
      <c r="H494" s="61"/>
      <c r="I494" s="60"/>
      <c r="J494" s="53"/>
    </row>
    <row r="495" ht="24.75" customHeight="1">
      <c r="A495" s="54" t="s">
        <v>729</v>
      </c>
      <c r="B495" s="56" t="s">
        <v>734</v>
      </c>
      <c r="C495" s="56" t="s">
        <v>731</v>
      </c>
      <c r="D495" s="56" t="s">
        <v>735</v>
      </c>
      <c r="E495" s="56" t="s">
        <v>176</v>
      </c>
      <c r="F495" s="57" t="s">
        <v>154</v>
      </c>
      <c r="G495" s="61"/>
      <c r="H495" s="61"/>
      <c r="I495" s="60"/>
      <c r="J495" s="53"/>
    </row>
    <row r="496" ht="24.75" customHeight="1">
      <c r="A496" s="54" t="s">
        <v>729</v>
      </c>
      <c r="B496" s="56" t="s">
        <v>736</v>
      </c>
      <c r="C496" s="56" t="s">
        <v>731</v>
      </c>
      <c r="D496" s="56" t="s">
        <v>737</v>
      </c>
      <c r="E496" s="56" t="s">
        <v>167</v>
      </c>
      <c r="F496" s="57" t="s">
        <v>154</v>
      </c>
      <c r="G496" s="61"/>
      <c r="H496" s="61"/>
      <c r="I496" s="60"/>
      <c r="J496" s="53"/>
    </row>
    <row r="497" ht="24.75" customHeight="1">
      <c r="A497" s="54" t="s">
        <v>729</v>
      </c>
      <c r="B497" s="56" t="s">
        <v>736</v>
      </c>
      <c r="C497" s="56" t="s">
        <v>731</v>
      </c>
      <c r="D497" s="56" t="s">
        <v>737</v>
      </c>
      <c r="E497" s="56" t="s">
        <v>733</v>
      </c>
      <c r="F497" s="57" t="s">
        <v>154</v>
      </c>
      <c r="G497" s="61"/>
      <c r="H497" s="61"/>
      <c r="I497" s="60"/>
      <c r="J497" s="53"/>
    </row>
    <row r="498" ht="24.75" customHeight="1">
      <c r="A498" s="54" t="s">
        <v>729</v>
      </c>
      <c r="B498" s="56" t="s">
        <v>736</v>
      </c>
      <c r="C498" s="56" t="s">
        <v>731</v>
      </c>
      <c r="D498" s="56" t="s">
        <v>737</v>
      </c>
      <c r="E498" s="56" t="s">
        <v>176</v>
      </c>
      <c r="F498" s="57" t="s">
        <v>154</v>
      </c>
      <c r="G498" s="61"/>
      <c r="H498" s="61"/>
      <c r="I498" s="60"/>
      <c r="J498" s="53"/>
    </row>
    <row r="499" ht="24.75" customHeight="1">
      <c r="A499" s="54" t="s">
        <v>729</v>
      </c>
      <c r="B499" s="56" t="s">
        <v>738</v>
      </c>
      <c r="C499" s="56" t="s">
        <v>731</v>
      </c>
      <c r="D499" s="56" t="s">
        <v>175</v>
      </c>
      <c r="E499" s="56" t="s">
        <v>163</v>
      </c>
      <c r="F499" s="57" t="s">
        <v>154</v>
      </c>
      <c r="G499" s="61"/>
      <c r="H499" s="61"/>
      <c r="I499" s="60"/>
      <c r="J499" s="53"/>
    </row>
    <row r="500" ht="24.75" customHeight="1">
      <c r="A500" s="54" t="s">
        <v>729</v>
      </c>
      <c r="B500" s="56" t="s">
        <v>738</v>
      </c>
      <c r="C500" s="56" t="s">
        <v>731</v>
      </c>
      <c r="D500" s="56" t="s">
        <v>175</v>
      </c>
      <c r="E500" s="56" t="s">
        <v>176</v>
      </c>
      <c r="F500" s="57" t="s">
        <v>154</v>
      </c>
      <c r="G500" s="61"/>
      <c r="H500" s="61"/>
      <c r="I500" s="60"/>
      <c r="J500" s="53"/>
    </row>
    <row r="501" ht="24.75" customHeight="1">
      <c r="A501" s="54" t="s">
        <v>729</v>
      </c>
      <c r="B501" s="56" t="s">
        <v>739</v>
      </c>
      <c r="C501" s="56" t="s">
        <v>731</v>
      </c>
      <c r="D501" s="56" t="s">
        <v>186</v>
      </c>
      <c r="E501" s="56" t="s">
        <v>163</v>
      </c>
      <c r="F501" s="57" t="s">
        <v>154</v>
      </c>
      <c r="G501" s="61"/>
      <c r="H501" s="61"/>
      <c r="I501" s="60"/>
      <c r="J501" s="53"/>
    </row>
    <row r="502" ht="24.75" customHeight="1">
      <c r="A502" s="54" t="s">
        <v>729</v>
      </c>
      <c r="B502" s="56" t="s">
        <v>739</v>
      </c>
      <c r="C502" s="56" t="s">
        <v>731</v>
      </c>
      <c r="D502" s="56" t="s">
        <v>186</v>
      </c>
      <c r="E502" s="56" t="s">
        <v>176</v>
      </c>
      <c r="F502" s="57" t="s">
        <v>154</v>
      </c>
      <c r="G502" s="61"/>
      <c r="H502" s="61"/>
      <c r="I502" s="60"/>
      <c r="J502" s="53"/>
    </row>
    <row r="503" ht="24.75" customHeight="1">
      <c r="A503" s="54" t="s">
        <v>729</v>
      </c>
      <c r="B503" s="56" t="s">
        <v>740</v>
      </c>
      <c r="C503" s="56" t="s">
        <v>731</v>
      </c>
      <c r="D503" s="56" t="s">
        <v>183</v>
      </c>
      <c r="E503" s="56" t="s">
        <v>163</v>
      </c>
      <c r="F503" s="57" t="s">
        <v>154</v>
      </c>
      <c r="G503" s="61"/>
      <c r="H503" s="61"/>
      <c r="I503" s="60"/>
      <c r="J503" s="53"/>
    </row>
    <row r="504" ht="24.75" customHeight="1">
      <c r="A504" s="54" t="s">
        <v>729</v>
      </c>
      <c r="B504" s="56" t="s">
        <v>740</v>
      </c>
      <c r="C504" s="56" t="s">
        <v>731</v>
      </c>
      <c r="D504" s="56" t="s">
        <v>183</v>
      </c>
      <c r="E504" s="56" t="s">
        <v>176</v>
      </c>
      <c r="F504" s="57" t="s">
        <v>154</v>
      </c>
      <c r="G504" s="61"/>
      <c r="H504" s="61"/>
      <c r="I504" s="60"/>
      <c r="J504" s="53"/>
    </row>
    <row r="505" ht="24.75" customHeight="1">
      <c r="A505" s="54" t="s">
        <v>741</v>
      </c>
      <c r="B505" s="56" t="s">
        <v>742</v>
      </c>
      <c r="C505" s="56" t="s">
        <v>405</v>
      </c>
      <c r="D505" s="56" t="s">
        <v>743</v>
      </c>
      <c r="E505" s="56" t="s">
        <v>409</v>
      </c>
      <c r="F505" s="57" t="s">
        <v>154</v>
      </c>
      <c r="G505" s="61"/>
      <c r="H505" s="61"/>
      <c r="I505" s="60"/>
      <c r="J505" s="53"/>
    </row>
    <row r="506" ht="24.75" hidden="1" customHeight="1">
      <c r="A506" s="54" t="s">
        <v>741</v>
      </c>
      <c r="B506" s="56" t="s">
        <v>744</v>
      </c>
      <c r="C506" s="56" t="s">
        <v>745</v>
      </c>
      <c r="D506" s="56" t="s">
        <v>746</v>
      </c>
      <c r="E506" s="56" t="s">
        <v>747</v>
      </c>
      <c r="F506" s="57" t="s">
        <v>34</v>
      </c>
      <c r="G506" s="61"/>
      <c r="H506" s="61"/>
      <c r="I506" s="60"/>
      <c r="J506" s="53"/>
    </row>
    <row r="507" ht="24.75" customHeight="1">
      <c r="A507" s="54" t="s">
        <v>741</v>
      </c>
      <c r="B507" s="56" t="s">
        <v>744</v>
      </c>
      <c r="C507" s="56" t="s">
        <v>745</v>
      </c>
      <c r="D507" s="56" t="s">
        <v>746</v>
      </c>
      <c r="E507" s="56" t="s">
        <v>748</v>
      </c>
      <c r="F507" s="57" t="s">
        <v>154</v>
      </c>
      <c r="G507" s="61"/>
      <c r="H507" s="61"/>
      <c r="I507" s="60"/>
      <c r="J507" s="53"/>
    </row>
    <row r="508" ht="24.75" hidden="1" customHeight="1">
      <c r="A508" s="54" t="s">
        <v>741</v>
      </c>
      <c r="B508" s="56" t="s">
        <v>749</v>
      </c>
      <c r="C508" s="56" t="s">
        <v>745</v>
      </c>
      <c r="D508" s="56" t="s">
        <v>750</v>
      </c>
      <c r="E508" s="56" t="s">
        <v>747</v>
      </c>
      <c r="F508" s="57" t="s">
        <v>34</v>
      </c>
      <c r="G508" s="61"/>
      <c r="H508" s="61"/>
      <c r="I508" s="60"/>
      <c r="J508" s="53"/>
    </row>
    <row r="509" ht="24.75" customHeight="1">
      <c r="A509" s="54" t="s">
        <v>741</v>
      </c>
      <c r="B509" s="56" t="s">
        <v>749</v>
      </c>
      <c r="C509" s="56" t="s">
        <v>745</v>
      </c>
      <c r="D509" s="56" t="s">
        <v>750</v>
      </c>
      <c r="E509" s="56" t="s">
        <v>748</v>
      </c>
      <c r="F509" s="57" t="s">
        <v>154</v>
      </c>
      <c r="G509" s="61"/>
      <c r="H509" s="61"/>
      <c r="I509" s="60"/>
      <c r="J509" s="53"/>
    </row>
    <row r="510" ht="24.75" customHeight="1">
      <c r="A510" s="54" t="s">
        <v>741</v>
      </c>
      <c r="B510" s="56" t="s">
        <v>751</v>
      </c>
      <c r="C510" s="56" t="s">
        <v>610</v>
      </c>
      <c r="D510" s="56" t="s">
        <v>752</v>
      </c>
      <c r="E510" s="56" t="s">
        <v>753</v>
      </c>
      <c r="F510" s="57" t="s">
        <v>154</v>
      </c>
      <c r="G510" s="61"/>
      <c r="H510" s="61"/>
      <c r="I510" s="60"/>
      <c r="J510" s="53"/>
    </row>
    <row r="511" ht="24.75" customHeight="1">
      <c r="A511" s="54" t="s">
        <v>741</v>
      </c>
      <c r="B511" s="56" t="s">
        <v>751</v>
      </c>
      <c r="C511" s="56" t="s">
        <v>610</v>
      </c>
      <c r="D511" s="56" t="s">
        <v>752</v>
      </c>
      <c r="E511" s="56" t="s">
        <v>754</v>
      </c>
      <c r="F511" s="57" t="s">
        <v>154</v>
      </c>
      <c r="G511" s="61"/>
      <c r="H511" s="61"/>
      <c r="I511" s="60"/>
      <c r="J511" s="53"/>
    </row>
    <row r="512" ht="24.75" customHeight="1">
      <c r="A512" s="54" t="s">
        <v>741</v>
      </c>
      <c r="B512" s="56" t="s">
        <v>751</v>
      </c>
      <c r="C512" s="56" t="s">
        <v>610</v>
      </c>
      <c r="D512" s="56" t="s">
        <v>752</v>
      </c>
      <c r="E512" s="56" t="s">
        <v>755</v>
      </c>
      <c r="F512" s="57" t="s">
        <v>154</v>
      </c>
      <c r="G512" s="61"/>
      <c r="H512" s="61"/>
      <c r="I512" s="60"/>
      <c r="J512" s="53"/>
    </row>
    <row r="513" ht="24.75" customHeight="1">
      <c r="A513" s="54" t="s">
        <v>741</v>
      </c>
      <c r="B513" s="56" t="s">
        <v>756</v>
      </c>
      <c r="C513" s="56" t="s">
        <v>624</v>
      </c>
      <c r="D513" s="56" t="s">
        <v>752</v>
      </c>
      <c r="E513" s="56" t="s">
        <v>753</v>
      </c>
      <c r="F513" s="57" t="s">
        <v>154</v>
      </c>
      <c r="G513" s="61"/>
      <c r="H513" s="61"/>
      <c r="I513" s="60"/>
      <c r="J513" s="53"/>
    </row>
    <row r="514" ht="24.75" customHeight="1">
      <c r="A514" s="54" t="s">
        <v>741</v>
      </c>
      <c r="B514" s="56" t="s">
        <v>756</v>
      </c>
      <c r="C514" s="56" t="s">
        <v>624</v>
      </c>
      <c r="D514" s="56" t="s">
        <v>752</v>
      </c>
      <c r="E514" s="56" t="s">
        <v>754</v>
      </c>
      <c r="F514" s="57" t="s">
        <v>154</v>
      </c>
      <c r="G514" s="61"/>
      <c r="H514" s="61"/>
      <c r="I514" s="60"/>
      <c r="J514" s="53"/>
    </row>
    <row r="515" ht="24.75" customHeight="1">
      <c r="A515" s="54" t="s">
        <v>741</v>
      </c>
      <c r="B515" s="56" t="s">
        <v>756</v>
      </c>
      <c r="C515" s="56" t="s">
        <v>624</v>
      </c>
      <c r="D515" s="56" t="s">
        <v>752</v>
      </c>
      <c r="E515" s="56" t="s">
        <v>755</v>
      </c>
      <c r="F515" s="57" t="s">
        <v>154</v>
      </c>
      <c r="G515" s="61"/>
      <c r="H515" s="61"/>
      <c r="I515" s="60"/>
      <c r="J515" s="53"/>
    </row>
    <row r="516" ht="24.75" customHeight="1">
      <c r="A516" s="54" t="s">
        <v>741</v>
      </c>
      <c r="B516" s="56" t="s">
        <v>757</v>
      </c>
      <c r="C516" s="56" t="s">
        <v>627</v>
      </c>
      <c r="D516" s="56" t="s">
        <v>752</v>
      </c>
      <c r="E516" s="56" t="s">
        <v>753</v>
      </c>
      <c r="F516" s="57" t="s">
        <v>250</v>
      </c>
      <c r="G516" s="61"/>
      <c r="H516" s="61"/>
      <c r="I516" s="60" t="s">
        <v>88</v>
      </c>
      <c r="J516" s="53"/>
    </row>
    <row r="517" ht="24.75" customHeight="1">
      <c r="A517" s="54" t="s">
        <v>741</v>
      </c>
      <c r="B517" s="56" t="s">
        <v>757</v>
      </c>
      <c r="C517" s="56" t="s">
        <v>627</v>
      </c>
      <c r="D517" s="56" t="s">
        <v>752</v>
      </c>
      <c r="E517" s="56" t="s">
        <v>754</v>
      </c>
      <c r="F517" s="57" t="s">
        <v>250</v>
      </c>
      <c r="G517" s="61"/>
      <c r="H517" s="61"/>
      <c r="I517" s="60" t="s">
        <v>88</v>
      </c>
      <c r="J517" s="53"/>
    </row>
    <row r="518" ht="24.75" customHeight="1">
      <c r="A518" s="54" t="s">
        <v>741</v>
      </c>
      <c r="B518" s="56" t="s">
        <v>757</v>
      </c>
      <c r="C518" s="56" t="s">
        <v>627</v>
      </c>
      <c r="D518" s="56" t="s">
        <v>752</v>
      </c>
      <c r="E518" s="56" t="s">
        <v>755</v>
      </c>
      <c r="F518" s="57" t="s">
        <v>250</v>
      </c>
      <c r="G518" s="61"/>
      <c r="H518" s="61"/>
      <c r="I518" s="60" t="s">
        <v>88</v>
      </c>
      <c r="J518" s="53"/>
    </row>
    <row r="519" ht="24.75" customHeight="1">
      <c r="A519" s="54" t="s">
        <v>741</v>
      </c>
      <c r="B519" s="56" t="s">
        <v>758</v>
      </c>
      <c r="C519" s="56" t="s">
        <v>640</v>
      </c>
      <c r="D519" s="56" t="s">
        <v>752</v>
      </c>
      <c r="E519" s="56" t="s">
        <v>753</v>
      </c>
      <c r="F519" s="57" t="s">
        <v>250</v>
      </c>
      <c r="G519" s="61"/>
      <c r="H519" s="61"/>
      <c r="I519" s="60" t="s">
        <v>88</v>
      </c>
      <c r="J519" s="53"/>
    </row>
    <row r="520" ht="24.75" customHeight="1">
      <c r="A520" s="54" t="s">
        <v>741</v>
      </c>
      <c r="B520" s="56" t="s">
        <v>758</v>
      </c>
      <c r="C520" s="56" t="s">
        <v>640</v>
      </c>
      <c r="D520" s="56" t="s">
        <v>752</v>
      </c>
      <c r="E520" s="56" t="s">
        <v>754</v>
      </c>
      <c r="F520" s="57" t="s">
        <v>250</v>
      </c>
      <c r="G520" s="61"/>
      <c r="H520" s="61"/>
      <c r="I520" s="60" t="s">
        <v>88</v>
      </c>
      <c r="J520" s="53"/>
    </row>
    <row r="521" ht="24.75" customHeight="1">
      <c r="A521" s="54" t="s">
        <v>741</v>
      </c>
      <c r="B521" s="56" t="s">
        <v>758</v>
      </c>
      <c r="C521" s="56" t="s">
        <v>640</v>
      </c>
      <c r="D521" s="56" t="s">
        <v>752</v>
      </c>
      <c r="E521" s="56" t="s">
        <v>755</v>
      </c>
      <c r="F521" s="57" t="s">
        <v>250</v>
      </c>
      <c r="G521" s="61"/>
      <c r="H521" s="61"/>
      <c r="I521" s="60" t="s">
        <v>88</v>
      </c>
      <c r="J521" s="53"/>
    </row>
    <row r="522" ht="24.75" customHeight="1">
      <c r="A522" s="54" t="s">
        <v>741</v>
      </c>
      <c r="B522" s="56" t="s">
        <v>759</v>
      </c>
      <c r="C522" s="56" t="s">
        <v>645</v>
      </c>
      <c r="D522" s="56" t="s">
        <v>752</v>
      </c>
      <c r="E522" s="56" t="s">
        <v>753</v>
      </c>
      <c r="F522" s="57" t="s">
        <v>250</v>
      </c>
      <c r="G522" s="61"/>
      <c r="H522" s="61"/>
      <c r="I522" s="60" t="s">
        <v>88</v>
      </c>
      <c r="J522" s="53"/>
    </row>
    <row r="523" ht="24.75" customHeight="1">
      <c r="A523" s="54" t="s">
        <v>741</v>
      </c>
      <c r="B523" s="56" t="s">
        <v>759</v>
      </c>
      <c r="C523" s="56" t="s">
        <v>645</v>
      </c>
      <c r="D523" s="56" t="s">
        <v>752</v>
      </c>
      <c r="E523" s="56" t="s">
        <v>754</v>
      </c>
      <c r="F523" s="57" t="s">
        <v>250</v>
      </c>
      <c r="G523" s="61"/>
      <c r="H523" s="61"/>
      <c r="I523" s="60" t="s">
        <v>88</v>
      </c>
      <c r="J523" s="53"/>
    </row>
    <row r="524" ht="24.75" customHeight="1">
      <c r="A524" s="54" t="s">
        <v>741</v>
      </c>
      <c r="B524" s="56" t="s">
        <v>759</v>
      </c>
      <c r="C524" s="56" t="s">
        <v>645</v>
      </c>
      <c r="D524" s="56" t="s">
        <v>752</v>
      </c>
      <c r="E524" s="56" t="s">
        <v>755</v>
      </c>
      <c r="F524" s="57" t="s">
        <v>250</v>
      </c>
      <c r="G524" s="61"/>
      <c r="H524" s="61"/>
      <c r="I524" s="60" t="s">
        <v>88</v>
      </c>
      <c r="J524" s="53"/>
    </row>
    <row r="525" ht="24.75" customHeight="1">
      <c r="A525" s="54" t="s">
        <v>741</v>
      </c>
      <c r="B525" s="56" t="s">
        <v>760</v>
      </c>
      <c r="C525" s="56" t="s">
        <v>606</v>
      </c>
      <c r="D525" s="56" t="s">
        <v>752</v>
      </c>
      <c r="E525" s="56" t="s">
        <v>753</v>
      </c>
      <c r="F525" s="57" t="s">
        <v>250</v>
      </c>
      <c r="G525" s="61"/>
      <c r="H525" s="61"/>
      <c r="I525" s="60" t="s">
        <v>88</v>
      </c>
      <c r="J525" s="53"/>
    </row>
    <row r="526" ht="24.75" customHeight="1">
      <c r="A526" s="54" t="s">
        <v>741</v>
      </c>
      <c r="B526" s="56" t="s">
        <v>760</v>
      </c>
      <c r="C526" s="56" t="s">
        <v>606</v>
      </c>
      <c r="D526" s="56" t="s">
        <v>752</v>
      </c>
      <c r="E526" s="56" t="s">
        <v>754</v>
      </c>
      <c r="F526" s="57" t="s">
        <v>250</v>
      </c>
      <c r="G526" s="61"/>
      <c r="H526" s="61"/>
      <c r="I526" s="60" t="s">
        <v>88</v>
      </c>
      <c r="J526" s="53"/>
    </row>
    <row r="527" ht="24.75" customHeight="1">
      <c r="A527" s="54" t="s">
        <v>741</v>
      </c>
      <c r="B527" s="56" t="s">
        <v>760</v>
      </c>
      <c r="C527" s="56" t="s">
        <v>606</v>
      </c>
      <c r="D527" s="56" t="s">
        <v>752</v>
      </c>
      <c r="E527" s="56" t="s">
        <v>755</v>
      </c>
      <c r="F527" s="57" t="s">
        <v>250</v>
      </c>
      <c r="G527" s="61"/>
      <c r="H527" s="61"/>
      <c r="I527" s="60" t="s">
        <v>88</v>
      </c>
      <c r="J527" s="53"/>
    </row>
    <row r="528" ht="24.75" hidden="1" customHeight="1">
      <c r="A528" s="54" t="s">
        <v>761</v>
      </c>
      <c r="B528" s="56" t="s">
        <v>762</v>
      </c>
      <c r="C528" s="56" t="s">
        <v>763</v>
      </c>
      <c r="D528" s="56" t="s">
        <v>764</v>
      </c>
      <c r="E528" s="56" t="s">
        <v>195</v>
      </c>
      <c r="F528" s="57" t="s">
        <v>34</v>
      </c>
      <c r="G528" s="61"/>
      <c r="H528" s="61" t="s">
        <v>197</v>
      </c>
      <c r="I528" s="60"/>
      <c r="J528" s="53"/>
    </row>
    <row r="529" ht="24.75" customHeight="1">
      <c r="A529" s="54" t="s">
        <v>761</v>
      </c>
      <c r="B529" s="56" t="s">
        <v>762</v>
      </c>
      <c r="C529" s="56" t="s">
        <v>763</v>
      </c>
      <c r="D529" s="56" t="s">
        <v>764</v>
      </c>
      <c r="E529" s="56" t="s">
        <v>196</v>
      </c>
      <c r="F529" s="57" t="s">
        <v>250</v>
      </c>
      <c r="G529" s="61"/>
      <c r="H529" s="61" t="s">
        <v>200</v>
      </c>
      <c r="I529" s="60" t="s">
        <v>201</v>
      </c>
      <c r="J529" s="53"/>
    </row>
    <row r="530" ht="24.75" customHeight="1">
      <c r="A530" s="54" t="s">
        <v>761</v>
      </c>
      <c r="B530" s="56" t="s">
        <v>762</v>
      </c>
      <c r="C530" s="56" t="s">
        <v>763</v>
      </c>
      <c r="D530" s="56" t="s">
        <v>764</v>
      </c>
      <c r="E530" s="56" t="s">
        <v>191</v>
      </c>
      <c r="F530" s="57" t="s">
        <v>192</v>
      </c>
      <c r="G530" s="61"/>
      <c r="H530" s="61"/>
      <c r="I530" s="60"/>
      <c r="J530" s="53"/>
    </row>
    <row r="531" ht="24.75" customHeight="1">
      <c r="A531" s="54" t="s">
        <v>761</v>
      </c>
      <c r="B531" s="56" t="s">
        <v>762</v>
      </c>
      <c r="C531" s="56" t="s">
        <v>763</v>
      </c>
      <c r="D531" s="56" t="s">
        <v>764</v>
      </c>
      <c r="E531" s="56" t="s">
        <v>194</v>
      </c>
      <c r="F531" s="57" t="s">
        <v>192</v>
      </c>
      <c r="G531" s="61"/>
      <c r="H531" s="61"/>
      <c r="I531" s="60"/>
      <c r="J531" s="53"/>
    </row>
    <row r="532" ht="24.75" customHeight="1">
      <c r="A532" s="54" t="s">
        <v>761</v>
      </c>
      <c r="B532" s="56" t="s">
        <v>765</v>
      </c>
      <c r="C532" s="56" t="s">
        <v>766</v>
      </c>
      <c r="D532" s="56" t="s">
        <v>767</v>
      </c>
      <c r="E532" s="56" t="s">
        <v>768</v>
      </c>
      <c r="F532" s="57" t="s">
        <v>250</v>
      </c>
      <c r="G532" s="61"/>
      <c r="H532" s="61" t="s">
        <v>769</v>
      </c>
      <c r="I532" s="60" t="s">
        <v>770</v>
      </c>
      <c r="J532" s="53"/>
    </row>
    <row r="533" ht="24.75" customHeight="1">
      <c r="A533" s="54" t="s">
        <v>761</v>
      </c>
      <c r="B533" s="56" t="s">
        <v>765</v>
      </c>
      <c r="C533" s="56" t="s">
        <v>766</v>
      </c>
      <c r="D533" s="56" t="s">
        <v>767</v>
      </c>
      <c r="E533" s="56" t="s">
        <v>771</v>
      </c>
      <c r="F533" s="57" t="s">
        <v>250</v>
      </c>
      <c r="G533" s="61"/>
      <c r="H533" s="61" t="s">
        <v>769</v>
      </c>
      <c r="I533" s="60" t="s">
        <v>772</v>
      </c>
      <c r="J533" s="53"/>
    </row>
    <row r="534" ht="24.75" customHeight="1">
      <c r="A534" s="54" t="s">
        <v>761</v>
      </c>
      <c r="B534" s="56" t="s">
        <v>765</v>
      </c>
      <c r="C534" s="56" t="s">
        <v>766</v>
      </c>
      <c r="D534" s="56" t="s">
        <v>767</v>
      </c>
      <c r="E534" s="56" t="s">
        <v>773</v>
      </c>
      <c r="F534" s="57" t="s">
        <v>154</v>
      </c>
      <c r="G534" s="61"/>
      <c r="H534" s="61"/>
      <c r="I534" s="60"/>
      <c r="J534" s="53"/>
    </row>
    <row r="535" ht="24.75" customHeight="1">
      <c r="A535" s="54" t="s">
        <v>761</v>
      </c>
      <c r="B535" s="56" t="s">
        <v>765</v>
      </c>
      <c r="C535" s="56" t="s">
        <v>766</v>
      </c>
      <c r="D535" s="56" t="s">
        <v>767</v>
      </c>
      <c r="E535" s="56" t="s">
        <v>774</v>
      </c>
      <c r="F535" s="57" t="s">
        <v>154</v>
      </c>
      <c r="G535" s="61"/>
      <c r="H535" s="61"/>
      <c r="I535" s="60"/>
      <c r="J535" s="53"/>
    </row>
    <row r="536" ht="24.75" customHeight="1">
      <c r="A536" s="54" t="s">
        <v>761</v>
      </c>
      <c r="B536" s="56" t="s">
        <v>765</v>
      </c>
      <c r="C536" s="56" t="s">
        <v>766</v>
      </c>
      <c r="D536" s="56" t="s">
        <v>767</v>
      </c>
      <c r="E536" s="56" t="s">
        <v>775</v>
      </c>
      <c r="F536" s="57" t="s">
        <v>154</v>
      </c>
      <c r="G536" s="61"/>
      <c r="H536" s="61"/>
      <c r="I536" s="60"/>
      <c r="J536" s="53"/>
    </row>
    <row r="537" ht="24.75" hidden="1" customHeight="1">
      <c r="A537" s="54" t="s">
        <v>761</v>
      </c>
      <c r="B537" s="56" t="s">
        <v>765</v>
      </c>
      <c r="C537" s="56" t="s">
        <v>766</v>
      </c>
      <c r="D537" s="56" t="s">
        <v>776</v>
      </c>
      <c r="E537" s="56" t="s">
        <v>777</v>
      </c>
      <c r="F537" s="57" t="s">
        <v>15</v>
      </c>
      <c r="G537" s="61"/>
      <c r="H537" s="61"/>
      <c r="I537" s="60"/>
      <c r="J537" s="53"/>
    </row>
    <row r="538" ht="24.75" hidden="1" customHeight="1">
      <c r="A538" s="54" t="s">
        <v>761</v>
      </c>
      <c r="B538" s="56" t="s">
        <v>765</v>
      </c>
      <c r="C538" s="56" t="s">
        <v>766</v>
      </c>
      <c r="D538" s="56" t="s">
        <v>776</v>
      </c>
      <c r="E538" s="56" t="s">
        <v>778</v>
      </c>
      <c r="F538" s="57" t="s">
        <v>15</v>
      </c>
      <c r="G538" s="61"/>
      <c r="H538" s="61"/>
      <c r="I538" s="60"/>
      <c r="J538" s="53"/>
    </row>
    <row r="539" ht="24.75" customHeight="1">
      <c r="A539" s="54" t="s">
        <v>761</v>
      </c>
      <c r="B539" s="56" t="s">
        <v>779</v>
      </c>
      <c r="C539" s="56" t="s">
        <v>780</v>
      </c>
      <c r="D539" s="56" t="s">
        <v>781</v>
      </c>
      <c r="E539" s="56" t="s">
        <v>232</v>
      </c>
      <c r="F539" s="57" t="s">
        <v>250</v>
      </c>
      <c r="G539" s="61"/>
      <c r="H539" s="61" t="s">
        <v>769</v>
      </c>
      <c r="I539" s="60" t="s">
        <v>782</v>
      </c>
      <c r="J539" s="83"/>
    </row>
    <row r="540" ht="24.75" customHeight="1">
      <c r="A540" s="54" t="s">
        <v>761</v>
      </c>
      <c r="B540" s="56" t="s">
        <v>779</v>
      </c>
      <c r="C540" s="56" t="s">
        <v>780</v>
      </c>
      <c r="D540" s="56" t="s">
        <v>781</v>
      </c>
      <c r="E540" s="56" t="s">
        <v>783</v>
      </c>
      <c r="F540" s="57" t="s">
        <v>154</v>
      </c>
      <c r="G540" s="61"/>
      <c r="H540" s="61"/>
      <c r="I540" s="60"/>
      <c r="J540" s="53"/>
    </row>
    <row r="541" ht="24.75" customHeight="1">
      <c r="A541" s="54" t="s">
        <v>761</v>
      </c>
      <c r="B541" s="56" t="s">
        <v>779</v>
      </c>
      <c r="C541" s="56" t="s">
        <v>780</v>
      </c>
      <c r="D541" s="56" t="s">
        <v>781</v>
      </c>
      <c r="E541" s="56" t="s">
        <v>230</v>
      </c>
      <c r="F541" s="57" t="s">
        <v>154</v>
      </c>
      <c r="G541" s="61"/>
      <c r="H541" s="61"/>
      <c r="I541" s="60"/>
      <c r="J541" s="83"/>
    </row>
    <row r="542" ht="24.75" hidden="1" customHeight="1">
      <c r="A542" s="54" t="s">
        <v>761</v>
      </c>
      <c r="B542" s="56" t="s">
        <v>784</v>
      </c>
      <c r="C542" s="56" t="s">
        <v>763</v>
      </c>
      <c r="D542" s="56" t="s">
        <v>785</v>
      </c>
      <c r="E542" s="56" t="s">
        <v>216</v>
      </c>
      <c r="F542" s="57" t="s">
        <v>34</v>
      </c>
      <c r="G542" s="61"/>
      <c r="H542" s="61"/>
      <c r="I542" s="60"/>
      <c r="J542" s="53"/>
    </row>
    <row r="543" ht="24.75" hidden="1" customHeight="1">
      <c r="A543" s="54" t="s">
        <v>761</v>
      </c>
      <c r="B543" s="56" t="s">
        <v>784</v>
      </c>
      <c r="C543" s="56" t="s">
        <v>763</v>
      </c>
      <c r="D543" s="56" t="s">
        <v>785</v>
      </c>
      <c r="E543" s="56" t="s">
        <v>786</v>
      </c>
      <c r="F543" s="57" t="s">
        <v>34</v>
      </c>
      <c r="G543" s="61"/>
      <c r="H543" s="61"/>
      <c r="I543" s="60"/>
      <c r="J543" s="53"/>
    </row>
    <row r="544" ht="24.75" hidden="1" customHeight="1">
      <c r="A544" s="54" t="s">
        <v>761</v>
      </c>
      <c r="B544" s="56" t="s">
        <v>784</v>
      </c>
      <c r="C544" s="56" t="s">
        <v>763</v>
      </c>
      <c r="D544" s="56" t="s">
        <v>787</v>
      </c>
      <c r="E544" s="56" t="s">
        <v>163</v>
      </c>
      <c r="F544" s="57" t="s">
        <v>34</v>
      </c>
      <c r="G544" s="61"/>
      <c r="H544" s="61"/>
      <c r="I544" s="60"/>
      <c r="J544" s="53"/>
    </row>
    <row r="545" ht="24.75" customHeight="1">
      <c r="A545" s="54" t="s">
        <v>761</v>
      </c>
      <c r="B545" s="56" t="s">
        <v>784</v>
      </c>
      <c r="C545" s="56" t="s">
        <v>763</v>
      </c>
      <c r="D545" s="56" t="s">
        <v>787</v>
      </c>
      <c r="E545" s="56" t="s">
        <v>788</v>
      </c>
      <c r="F545" s="57" t="s">
        <v>154</v>
      </c>
      <c r="G545" s="61"/>
      <c r="H545" s="61"/>
      <c r="I545" s="60"/>
      <c r="J545" s="53"/>
    </row>
    <row r="546" ht="24.75" hidden="1" customHeight="1">
      <c r="A546" s="54" t="s">
        <v>761</v>
      </c>
      <c r="B546" s="56" t="s">
        <v>784</v>
      </c>
      <c r="C546" s="56" t="s">
        <v>763</v>
      </c>
      <c r="D546" s="56" t="s">
        <v>787</v>
      </c>
      <c r="E546" s="56" t="s">
        <v>213</v>
      </c>
      <c r="F546" s="57"/>
      <c r="G546" s="50"/>
      <c r="H546" s="50"/>
      <c r="I546" s="84"/>
      <c r="J546" s="53"/>
    </row>
    <row r="547" ht="24.75" customHeight="1">
      <c r="A547" s="54" t="s">
        <v>761</v>
      </c>
      <c r="B547" s="56" t="s">
        <v>784</v>
      </c>
      <c r="C547" s="56" t="s">
        <v>763</v>
      </c>
      <c r="D547" s="56" t="s">
        <v>789</v>
      </c>
      <c r="E547" s="56" t="s">
        <v>790</v>
      </c>
      <c r="F547" s="57" t="s">
        <v>250</v>
      </c>
      <c r="G547" s="61"/>
      <c r="H547" s="61"/>
      <c r="I547" s="60"/>
      <c r="J547" s="53"/>
    </row>
    <row r="548" ht="24.75" customHeight="1">
      <c r="A548" s="54" t="s">
        <v>761</v>
      </c>
      <c r="B548" s="56" t="s">
        <v>791</v>
      </c>
      <c r="C548" s="56" t="s">
        <v>792</v>
      </c>
      <c r="D548" s="56" t="s">
        <v>793</v>
      </c>
      <c r="E548" s="56" t="s">
        <v>794</v>
      </c>
      <c r="F548" s="57" t="s">
        <v>154</v>
      </c>
      <c r="G548" s="61"/>
      <c r="H548" s="61"/>
      <c r="I548" s="60"/>
      <c r="J548" s="53"/>
    </row>
    <row r="549" ht="24.75" customHeight="1">
      <c r="A549" s="54" t="s">
        <v>761</v>
      </c>
      <c r="B549" s="56" t="s">
        <v>795</v>
      </c>
      <c r="C549" s="56" t="s">
        <v>792</v>
      </c>
      <c r="D549" s="56" t="s">
        <v>796</v>
      </c>
      <c r="E549" s="56" t="s">
        <v>797</v>
      </c>
      <c r="F549" s="57" t="s">
        <v>250</v>
      </c>
      <c r="G549" s="81"/>
      <c r="H549" s="61" t="s">
        <v>769</v>
      </c>
      <c r="I549" s="60" t="s">
        <v>800</v>
      </c>
      <c r="J549" s="53"/>
    </row>
    <row r="550" ht="24.75" customHeight="1">
      <c r="A550" s="54" t="s">
        <v>761</v>
      </c>
      <c r="B550" s="56" t="s">
        <v>798</v>
      </c>
      <c r="C550" s="56" t="s">
        <v>792</v>
      </c>
      <c r="D550" s="56" t="s">
        <v>799</v>
      </c>
      <c r="E550" s="56" t="s">
        <v>790</v>
      </c>
      <c r="F550" s="57" t="s">
        <v>250</v>
      </c>
      <c r="G550" s="61"/>
      <c r="H550" s="61" t="s">
        <v>769</v>
      </c>
      <c r="I550" s="60" t="s">
        <v>803</v>
      </c>
      <c r="J550" s="53"/>
    </row>
    <row r="551" ht="24.75" customHeight="1">
      <c r="A551" s="54" t="s">
        <v>761</v>
      </c>
      <c r="B551" s="56" t="s">
        <v>801</v>
      </c>
      <c r="C551" s="56" t="s">
        <v>792</v>
      </c>
      <c r="D551" s="56" t="s">
        <v>802</v>
      </c>
      <c r="E551" s="56" t="s">
        <v>790</v>
      </c>
      <c r="F551" s="57" t="s">
        <v>250</v>
      </c>
      <c r="G551" s="61"/>
      <c r="H551" s="61" t="s">
        <v>769</v>
      </c>
      <c r="I551" s="60" t="s">
        <v>806</v>
      </c>
      <c r="J551" s="53"/>
    </row>
    <row r="552" ht="24.75" customHeight="1">
      <c r="A552" s="54" t="s">
        <v>761</v>
      </c>
      <c r="B552" s="56" t="s">
        <v>804</v>
      </c>
      <c r="C552" s="56" t="s">
        <v>792</v>
      </c>
      <c r="D552" s="56" t="s">
        <v>805</v>
      </c>
      <c r="E552" s="56" t="s">
        <v>790</v>
      </c>
      <c r="F552" s="57" t="s">
        <v>250</v>
      </c>
      <c r="G552" s="61"/>
      <c r="H552" s="61" t="s">
        <v>769</v>
      </c>
      <c r="I552" s="60" t="s">
        <v>810</v>
      </c>
      <c r="J552" s="53"/>
    </row>
    <row r="553" ht="24.75" customHeight="1">
      <c r="A553" s="54" t="s">
        <v>761</v>
      </c>
      <c r="B553" s="56" t="s">
        <v>807</v>
      </c>
      <c r="C553" s="56" t="s">
        <v>792</v>
      </c>
      <c r="D553" s="56" t="s">
        <v>808</v>
      </c>
      <c r="E553" s="56" t="s">
        <v>790</v>
      </c>
      <c r="F553" s="57" t="s">
        <v>250</v>
      </c>
      <c r="G553" s="61"/>
      <c r="H553" s="61" t="s">
        <v>769</v>
      </c>
      <c r="I553" s="60" t="s">
        <v>806</v>
      </c>
      <c r="J553" s="53"/>
    </row>
    <row r="554" ht="24.75" customHeight="1">
      <c r="A554" s="54" t="s">
        <v>761</v>
      </c>
      <c r="B554" s="56" t="s">
        <v>807</v>
      </c>
      <c r="C554" s="56" t="s">
        <v>792</v>
      </c>
      <c r="D554" s="56" t="s">
        <v>809</v>
      </c>
      <c r="E554" s="56" t="s">
        <v>790</v>
      </c>
      <c r="F554" s="57" t="s">
        <v>250</v>
      </c>
      <c r="G554" s="61"/>
      <c r="H554" s="61" t="s">
        <v>769</v>
      </c>
      <c r="I554" s="60" t="s">
        <v>806</v>
      </c>
      <c r="J554" s="53"/>
    </row>
    <row r="555" ht="24.75" customHeight="1">
      <c r="A555" s="54" t="s">
        <v>761</v>
      </c>
      <c r="B555" s="56" t="s">
        <v>811</v>
      </c>
      <c r="C555" s="56" t="s">
        <v>792</v>
      </c>
      <c r="D555" s="56" t="s">
        <v>812</v>
      </c>
      <c r="E555" s="56" t="s">
        <v>790</v>
      </c>
      <c r="F555" s="57" t="s">
        <v>250</v>
      </c>
      <c r="G555" s="61"/>
      <c r="H555" s="61" t="s">
        <v>769</v>
      </c>
      <c r="I555" s="60" t="s">
        <v>806</v>
      </c>
      <c r="J555" s="53"/>
    </row>
    <row r="556" ht="24.75" customHeight="1">
      <c r="A556" s="54" t="s">
        <v>761</v>
      </c>
      <c r="B556" s="56" t="s">
        <v>813</v>
      </c>
      <c r="C556" s="56" t="s">
        <v>792</v>
      </c>
      <c r="D556" s="56" t="s">
        <v>814</v>
      </c>
      <c r="E556" s="56" t="s">
        <v>790</v>
      </c>
      <c r="F556" s="57" t="s">
        <v>250</v>
      </c>
      <c r="G556" s="61"/>
      <c r="H556" s="61" t="s">
        <v>769</v>
      </c>
      <c r="I556" s="60" t="s">
        <v>810</v>
      </c>
      <c r="J556" s="53"/>
    </row>
    <row r="557" ht="24.75" customHeight="1">
      <c r="A557" s="54" t="s">
        <v>761</v>
      </c>
      <c r="B557" s="56" t="s">
        <v>815</v>
      </c>
      <c r="C557" s="56" t="s">
        <v>792</v>
      </c>
      <c r="D557" s="56" t="s">
        <v>816</v>
      </c>
      <c r="E557" s="56" t="s">
        <v>790</v>
      </c>
      <c r="F557" s="57" t="s">
        <v>250</v>
      </c>
      <c r="G557" s="61"/>
      <c r="H557" s="61" t="s">
        <v>769</v>
      </c>
      <c r="I557" s="60" t="s">
        <v>806</v>
      </c>
      <c r="J557" s="53"/>
    </row>
    <row r="558" ht="24.75" customHeight="1">
      <c r="A558" s="54" t="s">
        <v>761</v>
      </c>
      <c r="B558" s="56" t="s">
        <v>815</v>
      </c>
      <c r="C558" s="104" t="s">
        <v>792</v>
      </c>
      <c r="D558" s="56" t="s">
        <v>816</v>
      </c>
      <c r="E558" s="56" t="s">
        <v>817</v>
      </c>
      <c r="F558" s="57" t="s">
        <v>250</v>
      </c>
      <c r="G558" s="61"/>
      <c r="H558" s="61" t="s">
        <v>769</v>
      </c>
      <c r="I558" s="60" t="s">
        <v>823</v>
      </c>
      <c r="J558" s="53"/>
    </row>
    <row r="559" ht="24.75" customHeight="1">
      <c r="A559" s="54" t="s">
        <v>761</v>
      </c>
      <c r="B559" s="56" t="s">
        <v>818</v>
      </c>
      <c r="C559" s="104" t="s">
        <v>792</v>
      </c>
      <c r="D559" s="56" t="s">
        <v>819</v>
      </c>
      <c r="E559" s="56" t="s">
        <v>790</v>
      </c>
      <c r="F559" s="57" t="s">
        <v>250</v>
      </c>
      <c r="G559" s="61"/>
      <c r="H559" s="61" t="s">
        <v>769</v>
      </c>
      <c r="I559" s="60" t="s">
        <v>806</v>
      </c>
      <c r="J559" s="53"/>
    </row>
    <row r="560" ht="24.75" customHeight="1">
      <c r="A560" s="54" t="s">
        <v>761</v>
      </c>
      <c r="B560" s="56" t="s">
        <v>818</v>
      </c>
      <c r="C560" s="104" t="s">
        <v>792</v>
      </c>
      <c r="D560" s="56" t="s">
        <v>820</v>
      </c>
      <c r="E560" s="56" t="s">
        <v>817</v>
      </c>
      <c r="F560" s="57" t="s">
        <v>250</v>
      </c>
      <c r="G560" s="61"/>
      <c r="H560" s="61" t="s">
        <v>769</v>
      </c>
      <c r="I560" s="60" t="s">
        <v>823</v>
      </c>
      <c r="J560" s="53"/>
    </row>
    <row r="561" ht="24.75" customHeight="1">
      <c r="A561" s="54" t="s">
        <v>761</v>
      </c>
      <c r="B561" s="56" t="s">
        <v>818</v>
      </c>
      <c r="C561" s="104" t="s">
        <v>792</v>
      </c>
      <c r="D561" s="56" t="s">
        <v>821</v>
      </c>
      <c r="E561" s="56" t="s">
        <v>817</v>
      </c>
      <c r="F561" s="57" t="s">
        <v>250</v>
      </c>
      <c r="G561" s="61"/>
      <c r="H561" s="61" t="s">
        <v>769</v>
      </c>
      <c r="I561" s="60" t="s">
        <v>823</v>
      </c>
      <c r="J561" s="53"/>
    </row>
    <row r="562" ht="24.75" customHeight="1">
      <c r="A562" s="54" t="s">
        <v>761</v>
      </c>
      <c r="B562" s="56" t="s">
        <v>818</v>
      </c>
      <c r="C562" s="104" t="s">
        <v>792</v>
      </c>
      <c r="D562" s="56" t="s">
        <v>822</v>
      </c>
      <c r="E562" s="56" t="s">
        <v>790</v>
      </c>
      <c r="F562" s="57" t="s">
        <v>250</v>
      </c>
      <c r="G562" s="61"/>
      <c r="H562" s="61" t="s">
        <v>769</v>
      </c>
      <c r="I562" s="60" t="s">
        <v>823</v>
      </c>
      <c r="J562" s="53"/>
    </row>
    <row r="563" ht="24.75" customHeight="1">
      <c r="A563" s="54" t="s">
        <v>761</v>
      </c>
      <c r="B563" s="56" t="s">
        <v>791</v>
      </c>
      <c r="C563" s="104" t="s">
        <v>792</v>
      </c>
      <c r="D563" s="56" t="s">
        <v>793</v>
      </c>
      <c r="E563" s="56" t="s">
        <v>824</v>
      </c>
      <c r="F563" s="57" t="s">
        <v>192</v>
      </c>
      <c r="G563" s="61"/>
      <c r="H563" s="61"/>
      <c r="I563" s="60"/>
      <c r="J563" s="53"/>
    </row>
    <row r="564" ht="24.75" customHeight="1">
      <c r="A564" s="54" t="s">
        <v>761</v>
      </c>
      <c r="B564" s="56" t="s">
        <v>825</v>
      </c>
      <c r="C564" s="56" t="s">
        <v>792</v>
      </c>
      <c r="D564" s="56" t="s">
        <v>826</v>
      </c>
      <c r="E564" s="56" t="s">
        <v>794</v>
      </c>
      <c r="F564" s="57" t="s">
        <v>154</v>
      </c>
      <c r="G564" s="61"/>
      <c r="H564" s="61"/>
      <c r="I564" s="60"/>
      <c r="J564" s="53"/>
    </row>
    <row r="565" ht="24.75" customHeight="1">
      <c r="A565" s="54" t="s">
        <v>761</v>
      </c>
      <c r="B565" s="56" t="s">
        <v>825</v>
      </c>
      <c r="C565" s="56" t="s">
        <v>792</v>
      </c>
      <c r="D565" s="56" t="s">
        <v>826</v>
      </c>
      <c r="E565" s="56" t="s">
        <v>824</v>
      </c>
      <c r="F565" s="57" t="s">
        <v>192</v>
      </c>
      <c r="G565" s="61"/>
      <c r="H565" s="61"/>
      <c r="I565" s="60"/>
      <c r="J565" s="53"/>
    </row>
    <row r="566" ht="24.75" customHeight="1">
      <c r="A566" s="54" t="s">
        <v>761</v>
      </c>
      <c r="B566" s="56" t="s">
        <v>827</v>
      </c>
      <c r="C566" s="56" t="s">
        <v>792</v>
      </c>
      <c r="D566" s="56" t="s">
        <v>828</v>
      </c>
      <c r="E566" s="56" t="s">
        <v>830</v>
      </c>
      <c r="F566" s="57" t="s">
        <v>154</v>
      </c>
      <c r="G566" s="61"/>
      <c r="H566" s="61"/>
      <c r="I566" s="60"/>
      <c r="J566" s="53"/>
    </row>
    <row r="567" ht="24.75" hidden="1" customHeight="1">
      <c r="A567" s="54" t="s">
        <v>831</v>
      </c>
      <c r="B567" s="56" t="s">
        <v>832</v>
      </c>
      <c r="C567" s="56" t="s">
        <v>833</v>
      </c>
      <c r="D567" s="56" t="s">
        <v>834</v>
      </c>
      <c r="E567" s="56" t="s">
        <v>111</v>
      </c>
      <c r="F567" s="57" t="s">
        <v>34</v>
      </c>
      <c r="G567" s="61"/>
      <c r="H567" s="61"/>
      <c r="I567" s="60"/>
      <c r="J567" s="53"/>
    </row>
    <row r="568" ht="24.75" hidden="1" customHeight="1">
      <c r="A568" s="54" t="s">
        <v>831</v>
      </c>
      <c r="B568" s="56" t="s">
        <v>832</v>
      </c>
      <c r="C568" s="56" t="s">
        <v>833</v>
      </c>
      <c r="D568" s="56" t="s">
        <v>834</v>
      </c>
      <c r="E568" s="56" t="s">
        <v>835</v>
      </c>
      <c r="F568" s="57" t="s">
        <v>34</v>
      </c>
      <c r="G568" s="61"/>
      <c r="H568" s="61"/>
      <c r="I568" s="60"/>
      <c r="J568" s="53"/>
    </row>
    <row r="569" ht="24.75" customHeight="1">
      <c r="A569" s="54" t="s">
        <v>831</v>
      </c>
      <c r="B569" s="56" t="s">
        <v>832</v>
      </c>
      <c r="C569" s="56" t="s">
        <v>833</v>
      </c>
      <c r="D569" s="56" t="s">
        <v>834</v>
      </c>
      <c r="E569" s="56" t="s">
        <v>836</v>
      </c>
      <c r="F569" s="57" t="s">
        <v>250</v>
      </c>
      <c r="G569" s="61"/>
      <c r="H569" s="61" t="s">
        <v>159</v>
      </c>
      <c r="I569" s="60" t="s">
        <v>160</v>
      </c>
      <c r="J569" s="53"/>
    </row>
    <row r="570" ht="24.75" customHeight="1">
      <c r="A570" s="54" t="s">
        <v>831</v>
      </c>
      <c r="B570" s="56" t="s">
        <v>837</v>
      </c>
      <c r="C570" s="56" t="s">
        <v>838</v>
      </c>
      <c r="D570" s="56" t="s">
        <v>839</v>
      </c>
      <c r="E570" s="56" t="s">
        <v>771</v>
      </c>
      <c r="F570" s="57" t="s">
        <v>250</v>
      </c>
      <c r="G570" s="61"/>
      <c r="H570" s="61" t="s">
        <v>159</v>
      </c>
      <c r="I570" s="60" t="s">
        <v>772</v>
      </c>
      <c r="J570" s="53"/>
    </row>
    <row r="571" ht="24.75" customHeight="1">
      <c r="A571" s="54" t="s">
        <v>831</v>
      </c>
      <c r="B571" s="56" t="s">
        <v>837</v>
      </c>
      <c r="C571" s="56" t="s">
        <v>838</v>
      </c>
      <c r="D571" s="56" t="s">
        <v>839</v>
      </c>
      <c r="E571" s="56" t="s">
        <v>768</v>
      </c>
      <c r="F571" s="57" t="s">
        <v>250</v>
      </c>
      <c r="G571" s="61"/>
      <c r="H571" s="61" t="s">
        <v>592</v>
      </c>
      <c r="I571" s="60" t="s">
        <v>770</v>
      </c>
      <c r="J571" s="53"/>
    </row>
    <row r="572" ht="24.75" customHeight="1">
      <c r="A572" s="54" t="s">
        <v>831</v>
      </c>
      <c r="B572" s="56" t="s">
        <v>837</v>
      </c>
      <c r="C572" s="56" t="s">
        <v>838</v>
      </c>
      <c r="D572" s="56" t="s">
        <v>839</v>
      </c>
      <c r="E572" s="56" t="s">
        <v>773</v>
      </c>
      <c r="F572" s="57" t="s">
        <v>154</v>
      </c>
      <c r="G572" s="61"/>
      <c r="H572" s="61"/>
      <c r="I572" s="60"/>
      <c r="J572" s="53"/>
    </row>
    <row r="573" ht="24.75" customHeight="1">
      <c r="A573" s="54" t="s">
        <v>831</v>
      </c>
      <c r="B573" s="56" t="s">
        <v>837</v>
      </c>
      <c r="C573" s="56" t="s">
        <v>838</v>
      </c>
      <c r="D573" s="56" t="s">
        <v>839</v>
      </c>
      <c r="E573" s="56" t="s">
        <v>841</v>
      </c>
      <c r="F573" s="57" t="s">
        <v>154</v>
      </c>
      <c r="G573" s="61"/>
      <c r="H573" s="61"/>
      <c r="I573" s="60"/>
      <c r="J573" s="53"/>
    </row>
    <row r="574" ht="24.75" hidden="1" customHeight="1">
      <c r="A574" s="54" t="s">
        <v>831</v>
      </c>
      <c r="B574" s="56" t="s">
        <v>837</v>
      </c>
      <c r="C574" s="56" t="s">
        <v>838</v>
      </c>
      <c r="D574" s="56" t="s">
        <v>839</v>
      </c>
      <c r="E574" s="56" t="s">
        <v>777</v>
      </c>
      <c r="F574" s="57" t="s">
        <v>15</v>
      </c>
      <c r="G574" s="61"/>
      <c r="H574" s="61"/>
      <c r="I574" s="60"/>
      <c r="J574" s="53"/>
    </row>
    <row r="575" ht="24.75" hidden="1" customHeight="1">
      <c r="A575" s="54" t="s">
        <v>831</v>
      </c>
      <c r="B575" s="56" t="s">
        <v>837</v>
      </c>
      <c r="C575" s="56" t="s">
        <v>838</v>
      </c>
      <c r="D575" s="56" t="s">
        <v>839</v>
      </c>
      <c r="E575" s="56" t="s">
        <v>778</v>
      </c>
      <c r="F575" s="57" t="s">
        <v>15</v>
      </c>
      <c r="G575" s="61"/>
      <c r="H575" s="61"/>
      <c r="I575" s="60"/>
      <c r="J575" s="53"/>
    </row>
    <row r="576" ht="24.75" customHeight="1">
      <c r="A576" s="54" t="s">
        <v>831</v>
      </c>
      <c r="B576" s="56" t="s">
        <v>842</v>
      </c>
      <c r="C576" s="56" t="s">
        <v>838</v>
      </c>
      <c r="D576" s="56" t="s">
        <v>843</v>
      </c>
      <c r="E576" s="56" t="s">
        <v>111</v>
      </c>
      <c r="F576" s="57" t="s">
        <v>154</v>
      </c>
      <c r="G576" s="61"/>
      <c r="H576" s="61"/>
      <c r="I576" s="60"/>
      <c r="J576" s="53"/>
    </row>
    <row r="577" ht="24.75" customHeight="1">
      <c r="A577" s="54" t="s">
        <v>831</v>
      </c>
      <c r="B577" s="56" t="s">
        <v>842</v>
      </c>
      <c r="C577" s="56" t="s">
        <v>838</v>
      </c>
      <c r="D577" s="56" t="s">
        <v>843</v>
      </c>
      <c r="E577" s="56" t="s">
        <v>844</v>
      </c>
      <c r="F577" s="57" t="s">
        <v>154</v>
      </c>
      <c r="G577" s="61"/>
      <c r="H577" s="61"/>
      <c r="I577" s="60"/>
      <c r="J577" s="53"/>
    </row>
    <row r="578" ht="24.75" customHeight="1">
      <c r="A578" s="54" t="s">
        <v>831</v>
      </c>
      <c r="B578" s="56" t="s">
        <v>842</v>
      </c>
      <c r="C578" s="56" t="s">
        <v>838</v>
      </c>
      <c r="D578" s="56" t="s">
        <v>843</v>
      </c>
      <c r="E578" s="56" t="s">
        <v>797</v>
      </c>
      <c r="F578" s="57" t="s">
        <v>250</v>
      </c>
      <c r="G578" s="61"/>
      <c r="H578" s="61" t="s">
        <v>592</v>
      </c>
      <c r="I578" s="60" t="s">
        <v>855</v>
      </c>
      <c r="J578" s="53"/>
    </row>
    <row r="579" ht="24.75" customHeight="1">
      <c r="A579" s="54" t="s">
        <v>831</v>
      </c>
      <c r="B579" s="56" t="s">
        <v>845</v>
      </c>
      <c r="C579" s="56" t="s">
        <v>838</v>
      </c>
      <c r="D579" s="56" t="s">
        <v>846</v>
      </c>
      <c r="E579" s="56" t="s">
        <v>771</v>
      </c>
      <c r="F579" s="57" t="s">
        <v>250</v>
      </c>
      <c r="G579" s="61"/>
      <c r="H579" s="61" t="s">
        <v>159</v>
      </c>
      <c r="I579" s="60" t="s">
        <v>772</v>
      </c>
      <c r="J579" s="53"/>
    </row>
    <row r="580" ht="24.75" customHeight="1">
      <c r="A580" s="54" t="s">
        <v>831</v>
      </c>
      <c r="B580" s="56" t="s">
        <v>845</v>
      </c>
      <c r="C580" s="56" t="s">
        <v>838</v>
      </c>
      <c r="D580" s="56" t="s">
        <v>846</v>
      </c>
      <c r="E580" s="56" t="s">
        <v>768</v>
      </c>
      <c r="F580" s="57" t="s">
        <v>250</v>
      </c>
      <c r="G580" s="61"/>
      <c r="H580" s="61" t="s">
        <v>592</v>
      </c>
      <c r="I580" s="60" t="s">
        <v>770</v>
      </c>
      <c r="J580" s="53"/>
    </row>
    <row r="581" ht="24.75" customHeight="1">
      <c r="A581" s="54" t="s">
        <v>831</v>
      </c>
      <c r="B581" s="56" t="s">
        <v>845</v>
      </c>
      <c r="C581" s="56" t="s">
        <v>838</v>
      </c>
      <c r="D581" s="56" t="s">
        <v>846</v>
      </c>
      <c r="E581" s="56" t="s">
        <v>773</v>
      </c>
      <c r="F581" s="57" t="s">
        <v>154</v>
      </c>
      <c r="G581" s="61"/>
      <c r="H581" s="61"/>
      <c r="I581" s="60"/>
      <c r="J581" s="53"/>
    </row>
    <row r="582" ht="24.75" customHeight="1">
      <c r="A582" s="54" t="s">
        <v>831</v>
      </c>
      <c r="B582" s="56" t="s">
        <v>845</v>
      </c>
      <c r="C582" s="56" t="s">
        <v>838</v>
      </c>
      <c r="D582" s="56" t="s">
        <v>846</v>
      </c>
      <c r="E582" s="56" t="s">
        <v>841</v>
      </c>
      <c r="F582" s="57" t="s">
        <v>154</v>
      </c>
      <c r="G582" s="61"/>
      <c r="H582" s="61"/>
      <c r="I582" s="60"/>
      <c r="J582" s="53"/>
    </row>
    <row r="583" ht="24.75" hidden="1" customHeight="1">
      <c r="A583" s="54" t="s">
        <v>831</v>
      </c>
      <c r="B583" s="56" t="s">
        <v>845</v>
      </c>
      <c r="C583" s="56" t="s">
        <v>838</v>
      </c>
      <c r="D583" s="56" t="s">
        <v>846</v>
      </c>
      <c r="E583" s="56" t="s">
        <v>777</v>
      </c>
      <c r="F583" s="57" t="s">
        <v>15</v>
      </c>
      <c r="G583" s="61"/>
      <c r="H583" s="61"/>
      <c r="I583" s="60"/>
      <c r="J583" s="53"/>
    </row>
    <row r="584" ht="24.75" hidden="1" customHeight="1">
      <c r="A584" s="54" t="s">
        <v>831</v>
      </c>
      <c r="B584" s="56" t="s">
        <v>845</v>
      </c>
      <c r="C584" s="56" t="s">
        <v>838</v>
      </c>
      <c r="D584" s="56" t="s">
        <v>846</v>
      </c>
      <c r="E584" s="56" t="s">
        <v>778</v>
      </c>
      <c r="F584" s="57" t="s">
        <v>15</v>
      </c>
      <c r="G584" s="61"/>
      <c r="H584" s="61"/>
      <c r="I584" s="60"/>
      <c r="J584" s="53"/>
    </row>
    <row r="585" ht="24.75" customHeight="1">
      <c r="A585" s="54" t="s">
        <v>831</v>
      </c>
      <c r="B585" s="56" t="s">
        <v>847</v>
      </c>
      <c r="C585" s="56" t="s">
        <v>838</v>
      </c>
      <c r="D585" s="56" t="s">
        <v>848</v>
      </c>
      <c r="E585" s="56" t="s">
        <v>111</v>
      </c>
      <c r="F585" s="57" t="s">
        <v>154</v>
      </c>
      <c r="G585" s="61"/>
      <c r="H585" s="61"/>
      <c r="I585" s="60"/>
      <c r="J585" s="53"/>
    </row>
    <row r="586" ht="24.75" customHeight="1">
      <c r="A586" s="54" t="s">
        <v>831</v>
      </c>
      <c r="B586" s="56" t="s">
        <v>847</v>
      </c>
      <c r="C586" s="56" t="s">
        <v>838</v>
      </c>
      <c r="D586" s="56" t="s">
        <v>848</v>
      </c>
      <c r="E586" s="56" t="s">
        <v>844</v>
      </c>
      <c r="F586" s="57" t="s">
        <v>154</v>
      </c>
      <c r="G586" s="61"/>
      <c r="H586" s="61"/>
      <c r="I586" s="60"/>
      <c r="J586" s="53"/>
    </row>
    <row r="587" ht="24.75" customHeight="1">
      <c r="A587" s="54" t="s">
        <v>831</v>
      </c>
      <c r="B587" s="56" t="s">
        <v>847</v>
      </c>
      <c r="C587" s="56" t="s">
        <v>838</v>
      </c>
      <c r="D587" s="56" t="s">
        <v>848</v>
      </c>
      <c r="E587" s="56" t="s">
        <v>797</v>
      </c>
      <c r="F587" s="57" t="s">
        <v>250</v>
      </c>
      <c r="G587" s="61"/>
      <c r="H587" s="61" t="s">
        <v>592</v>
      </c>
      <c r="I587" s="60" t="s">
        <v>855</v>
      </c>
      <c r="J587" s="53"/>
    </row>
    <row r="588" ht="24.75" customHeight="1">
      <c r="A588" s="54" t="s">
        <v>831</v>
      </c>
      <c r="B588" s="56" t="s">
        <v>849</v>
      </c>
      <c r="C588" s="56" t="s">
        <v>833</v>
      </c>
      <c r="D588" s="56" t="s">
        <v>850</v>
      </c>
      <c r="E588" s="56" t="s">
        <v>336</v>
      </c>
      <c r="F588" s="57" t="s">
        <v>192</v>
      </c>
      <c r="G588" s="61"/>
      <c r="H588" s="61"/>
      <c r="I588" s="60"/>
      <c r="J588" s="53"/>
    </row>
    <row r="589" ht="24.75" customHeight="1">
      <c r="A589" s="54" t="s">
        <v>831</v>
      </c>
      <c r="B589" s="56" t="s">
        <v>851</v>
      </c>
      <c r="C589" s="56" t="s">
        <v>852</v>
      </c>
      <c r="D589" s="56" t="s">
        <v>853</v>
      </c>
      <c r="E589" s="56" t="s">
        <v>854</v>
      </c>
      <c r="F589" s="57" t="s">
        <v>250</v>
      </c>
      <c r="G589" s="61"/>
      <c r="H589" s="61" t="s">
        <v>592</v>
      </c>
      <c r="I589" s="60" t="s">
        <v>864</v>
      </c>
      <c r="J589" s="53"/>
    </row>
    <row r="590" ht="24.75" customHeight="1">
      <c r="A590" s="54" t="s">
        <v>831</v>
      </c>
      <c r="B590" s="56" t="s">
        <v>851</v>
      </c>
      <c r="C590" s="56" t="s">
        <v>852</v>
      </c>
      <c r="D590" s="56" t="s">
        <v>853</v>
      </c>
      <c r="E590" s="56" t="s">
        <v>824</v>
      </c>
      <c r="F590" s="57" t="s">
        <v>154</v>
      </c>
      <c r="G590" s="61"/>
      <c r="H590" s="61"/>
      <c r="I590" s="60"/>
      <c r="J590" s="53"/>
    </row>
    <row r="591" ht="24.75" customHeight="1">
      <c r="A591" s="54" t="s">
        <v>831</v>
      </c>
      <c r="B591" s="56" t="s">
        <v>851</v>
      </c>
      <c r="C591" s="56" t="s">
        <v>852</v>
      </c>
      <c r="D591" s="56" t="s">
        <v>853</v>
      </c>
      <c r="E591" s="56" t="s">
        <v>111</v>
      </c>
      <c r="F591" s="57" t="s">
        <v>192</v>
      </c>
      <c r="G591" s="61"/>
      <c r="H591" s="61"/>
      <c r="I591" s="60"/>
      <c r="J591" s="53"/>
    </row>
    <row r="592" ht="24.75" customHeight="1">
      <c r="A592" s="54" t="s">
        <v>831</v>
      </c>
      <c r="B592" s="56" t="s">
        <v>851</v>
      </c>
      <c r="C592" s="56" t="s">
        <v>852</v>
      </c>
      <c r="D592" s="56" t="s">
        <v>853</v>
      </c>
      <c r="E592" s="56" t="s">
        <v>856</v>
      </c>
      <c r="F592" s="57" t="s">
        <v>192</v>
      </c>
      <c r="G592" s="61"/>
      <c r="H592" s="61"/>
      <c r="I592" s="60"/>
      <c r="J592" s="53"/>
    </row>
    <row r="593" ht="24.75" customHeight="1">
      <c r="A593" s="54" t="s">
        <v>831</v>
      </c>
      <c r="B593" s="56" t="s">
        <v>851</v>
      </c>
      <c r="C593" s="56" t="s">
        <v>852</v>
      </c>
      <c r="D593" s="56" t="s">
        <v>853</v>
      </c>
      <c r="E593" s="56" t="s">
        <v>857</v>
      </c>
      <c r="F593" s="57" t="s">
        <v>192</v>
      </c>
      <c r="G593" s="61"/>
      <c r="H593" s="61"/>
      <c r="I593" s="60"/>
      <c r="J593" s="53"/>
    </row>
    <row r="594" ht="24.75" customHeight="1">
      <c r="A594" s="54" t="s">
        <v>831</v>
      </c>
      <c r="B594" s="56" t="s">
        <v>858</v>
      </c>
      <c r="C594" s="56" t="s">
        <v>838</v>
      </c>
      <c r="D594" s="56" t="s">
        <v>859</v>
      </c>
      <c r="E594" s="56" t="s">
        <v>111</v>
      </c>
      <c r="F594" s="57" t="s">
        <v>154</v>
      </c>
      <c r="G594" s="61"/>
      <c r="H594" s="61"/>
      <c r="I594" s="60"/>
      <c r="J594" s="53"/>
    </row>
    <row r="595" ht="24.75" customHeight="1">
      <c r="A595" s="54" t="s">
        <v>831</v>
      </c>
      <c r="B595" s="56" t="s">
        <v>858</v>
      </c>
      <c r="C595" s="56" t="s">
        <v>838</v>
      </c>
      <c r="D595" s="56" t="s">
        <v>859</v>
      </c>
      <c r="E595" s="56" t="s">
        <v>824</v>
      </c>
      <c r="F595" s="57" t="s">
        <v>154</v>
      </c>
      <c r="G595" s="61"/>
      <c r="H595" s="61"/>
      <c r="I595" s="60"/>
      <c r="J595" s="53"/>
    </row>
    <row r="596" ht="24.75" customHeight="1">
      <c r="A596" s="54" t="s">
        <v>831</v>
      </c>
      <c r="B596" s="56" t="s">
        <v>858</v>
      </c>
      <c r="C596" s="56" t="s">
        <v>838</v>
      </c>
      <c r="D596" s="56" t="s">
        <v>859</v>
      </c>
      <c r="E596" s="56" t="s">
        <v>797</v>
      </c>
      <c r="F596" s="57" t="s">
        <v>250</v>
      </c>
      <c r="G596" s="61"/>
      <c r="H596" s="61" t="s">
        <v>592</v>
      </c>
      <c r="I596" s="60" t="s">
        <v>872</v>
      </c>
      <c r="J596" s="53"/>
    </row>
    <row r="597" ht="24.75" customHeight="1">
      <c r="A597" s="54" t="s">
        <v>831</v>
      </c>
      <c r="B597" s="56" t="s">
        <v>860</v>
      </c>
      <c r="C597" s="56" t="s">
        <v>852</v>
      </c>
      <c r="D597" s="56" t="s">
        <v>861</v>
      </c>
      <c r="E597" s="56" t="s">
        <v>854</v>
      </c>
      <c r="F597" s="57" t="s">
        <v>250</v>
      </c>
      <c r="G597" s="61"/>
      <c r="H597" s="61" t="s">
        <v>592</v>
      </c>
      <c r="I597" s="60" t="s">
        <v>864</v>
      </c>
      <c r="J597" s="53"/>
    </row>
    <row r="598" ht="24.75" customHeight="1">
      <c r="A598" s="54" t="s">
        <v>831</v>
      </c>
      <c r="B598" s="56" t="s">
        <v>860</v>
      </c>
      <c r="C598" s="56" t="s">
        <v>852</v>
      </c>
      <c r="D598" s="56" t="s">
        <v>861</v>
      </c>
      <c r="E598" s="56" t="s">
        <v>824</v>
      </c>
      <c r="F598" s="57" t="s">
        <v>154</v>
      </c>
      <c r="G598" s="61"/>
      <c r="H598" s="61"/>
      <c r="I598" s="60"/>
      <c r="J598" s="53"/>
    </row>
    <row r="599" ht="24.75" customHeight="1">
      <c r="A599" s="54" t="s">
        <v>831</v>
      </c>
      <c r="B599" s="56" t="s">
        <v>860</v>
      </c>
      <c r="C599" s="56" t="s">
        <v>852</v>
      </c>
      <c r="D599" s="56" t="s">
        <v>861</v>
      </c>
      <c r="E599" s="56" t="s">
        <v>856</v>
      </c>
      <c r="F599" s="57" t="s">
        <v>154</v>
      </c>
      <c r="G599" s="61"/>
      <c r="H599" s="61"/>
      <c r="I599" s="60"/>
      <c r="J599" s="53"/>
    </row>
    <row r="600" ht="24.75" customHeight="1">
      <c r="A600" s="54" t="s">
        <v>831</v>
      </c>
      <c r="B600" s="56" t="s">
        <v>860</v>
      </c>
      <c r="C600" s="56" t="s">
        <v>852</v>
      </c>
      <c r="D600" s="56" t="s">
        <v>861</v>
      </c>
      <c r="E600" s="56" t="s">
        <v>111</v>
      </c>
      <c r="F600" s="57" t="s">
        <v>192</v>
      </c>
      <c r="G600" s="61"/>
      <c r="H600" s="61"/>
      <c r="I600" s="60"/>
      <c r="J600" s="53"/>
    </row>
    <row r="601" ht="24.75" customHeight="1">
      <c r="A601" s="54" t="s">
        <v>831</v>
      </c>
      <c r="B601" s="56" t="s">
        <v>860</v>
      </c>
      <c r="C601" s="56" t="s">
        <v>852</v>
      </c>
      <c r="D601" s="56" t="s">
        <v>861</v>
      </c>
      <c r="E601" s="56" t="s">
        <v>857</v>
      </c>
      <c r="F601" s="57" t="s">
        <v>192</v>
      </c>
      <c r="G601" s="61"/>
      <c r="H601" s="61"/>
      <c r="I601" s="60"/>
      <c r="J601" s="53"/>
    </row>
    <row r="602" ht="24.75" customHeight="1">
      <c r="A602" s="54" t="s">
        <v>831</v>
      </c>
      <c r="B602" s="56" t="s">
        <v>862</v>
      </c>
      <c r="C602" s="56" t="s">
        <v>838</v>
      </c>
      <c r="D602" s="56" t="s">
        <v>863</v>
      </c>
      <c r="E602" s="56" t="s">
        <v>111</v>
      </c>
      <c r="F602" s="57" t="s">
        <v>154</v>
      </c>
      <c r="G602" s="61"/>
      <c r="H602" s="61"/>
      <c r="I602" s="60"/>
      <c r="J602" s="53"/>
    </row>
    <row r="603" ht="24.75" customHeight="1">
      <c r="A603" s="54" t="s">
        <v>831</v>
      </c>
      <c r="B603" s="56" t="s">
        <v>862</v>
      </c>
      <c r="C603" s="56" t="s">
        <v>838</v>
      </c>
      <c r="D603" s="56" t="s">
        <v>863</v>
      </c>
      <c r="E603" s="56" t="s">
        <v>824</v>
      </c>
      <c r="F603" s="57" t="s">
        <v>154</v>
      </c>
      <c r="G603" s="61"/>
      <c r="H603" s="61"/>
      <c r="I603" s="60"/>
      <c r="J603" s="53"/>
    </row>
    <row r="604" ht="24.75" customHeight="1">
      <c r="A604" s="54" t="s">
        <v>831</v>
      </c>
      <c r="B604" s="56" t="s">
        <v>862</v>
      </c>
      <c r="C604" s="56" t="s">
        <v>838</v>
      </c>
      <c r="D604" s="56" t="s">
        <v>863</v>
      </c>
      <c r="E604" s="56" t="s">
        <v>797</v>
      </c>
      <c r="F604" s="57" t="s">
        <v>250</v>
      </c>
      <c r="G604" s="61"/>
      <c r="H604" s="61" t="s">
        <v>592</v>
      </c>
      <c r="I604" s="60" t="s">
        <v>872</v>
      </c>
      <c r="J604" s="53"/>
    </row>
    <row r="605" ht="24.75" customHeight="1">
      <c r="A605" s="54" t="s">
        <v>831</v>
      </c>
      <c r="B605" s="56" t="s">
        <v>865</v>
      </c>
      <c r="C605" s="56" t="s">
        <v>838</v>
      </c>
      <c r="D605" s="56" t="s">
        <v>866</v>
      </c>
      <c r="E605" s="56" t="s">
        <v>867</v>
      </c>
      <c r="F605" s="57" t="s">
        <v>154</v>
      </c>
      <c r="G605" s="61"/>
      <c r="H605" s="61"/>
      <c r="I605" s="60"/>
      <c r="J605" s="53"/>
    </row>
    <row r="606" ht="24.75" customHeight="1">
      <c r="A606" s="54" t="s">
        <v>831</v>
      </c>
      <c r="B606" s="56" t="s">
        <v>865</v>
      </c>
      <c r="C606" s="56" t="s">
        <v>838</v>
      </c>
      <c r="D606" s="56" t="s">
        <v>866</v>
      </c>
      <c r="E606" s="56" t="s">
        <v>868</v>
      </c>
      <c r="F606" s="57" t="s">
        <v>154</v>
      </c>
      <c r="G606" s="61"/>
      <c r="H606" s="61"/>
      <c r="I606" s="60"/>
      <c r="J606" s="53"/>
    </row>
    <row r="607" ht="24.75" customHeight="1">
      <c r="A607" s="54" t="s">
        <v>831</v>
      </c>
      <c r="B607" s="56" t="s">
        <v>869</v>
      </c>
      <c r="C607" s="56" t="s">
        <v>833</v>
      </c>
      <c r="D607" s="56" t="s">
        <v>850</v>
      </c>
      <c r="E607" s="56" t="s">
        <v>870</v>
      </c>
      <c r="F607" s="57" t="s">
        <v>154</v>
      </c>
      <c r="G607" s="61"/>
      <c r="H607" s="61"/>
      <c r="I607" s="60"/>
      <c r="J607" s="53"/>
    </row>
    <row r="608" ht="24.75" customHeight="1">
      <c r="A608" s="54" t="s">
        <v>831</v>
      </c>
      <c r="B608" s="56" t="s">
        <v>869</v>
      </c>
      <c r="C608" s="56" t="s">
        <v>833</v>
      </c>
      <c r="D608" s="56" t="s">
        <v>850</v>
      </c>
      <c r="E608" s="56" t="s">
        <v>871</v>
      </c>
      <c r="F608" s="57" t="s">
        <v>192</v>
      </c>
      <c r="G608" s="61"/>
      <c r="H608" s="61"/>
      <c r="I608" s="60"/>
      <c r="J608" s="53"/>
    </row>
    <row r="609" ht="15.75" hidden="1" customHeight="1">
      <c r="A609" s="54"/>
      <c r="B609" s="56"/>
      <c r="C609" s="56"/>
      <c r="D609" s="56"/>
      <c r="E609" s="56"/>
      <c r="F609" s="57"/>
      <c r="G609" s="61"/>
      <c r="H609" s="61"/>
      <c r="I609" s="62"/>
      <c r="J609" s="53"/>
    </row>
  </sheetData>
  <autoFilter ref="$A$4:$GF$609">
    <filterColumn colId="5">
      <filters>
        <filter val="ABR, AGO, DEZ"/>
        <filter val="DEZ"/>
        <filter val="JAN, FEV, MAR, ABR, MAI, JUN, JUL, AGO, SET, OUT, NOV, DEZ"/>
        <filter val="MAR, JUN, SET, DEZ"/>
        <filter val="AGO, DEZ"/>
      </filters>
    </filterColumn>
    <sortState ref="A4:GF609">
      <sortCondition ref="A4:A609"/>
    </sortState>
  </autoFilter>
  <mergeCells count="2">
    <mergeCell ref="I1:J3"/>
    <mergeCell ref="H2:H3"/>
  </mergeCells>
  <printOptions/>
  <pageMargins bottom="0.7480314960629921" footer="0.0" header="0.0" left="0.2362204724409449" right="0.2362204724409449" top="0.35433070866141736"/>
  <pageSetup fitToHeight="0" paperSize="9" orientation="landscape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