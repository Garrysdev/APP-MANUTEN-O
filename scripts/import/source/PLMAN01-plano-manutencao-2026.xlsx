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drawings/drawing9.xml" ContentType="application/vnd.openxmlformats-officedocument.drawing+xml"/>
  <Override PartName="/xl/comments11.xml" ContentType="application/vnd.openxmlformats-officedocument.spreadsheetml.comments+xml"/>
  <Override PartName="/xl/drawings/drawing10.xml" ContentType="application/vnd.openxmlformats-officedocument.drawing+xml"/>
  <Override PartName="/xl/comments12.xml" ContentType="application/vnd.openxmlformats-officedocument.spreadsheetml.comments+xml"/>
  <Override PartName="/xl/drawings/drawing11.xml" ContentType="application/vnd.openxmlformats-officedocument.drawing+xml"/>
  <Override PartName="/xl/comments13.xml" ContentType="application/vnd.openxmlformats-officedocument.spreadsheetml.comments+xml"/>
  <Override PartName="/xl/drawings/drawing12.xml" ContentType="application/vnd.openxmlformats-officedocument.drawing+xml"/>
  <Override PartName="/xl/comments14.xml" ContentType="application/vnd.openxmlformats-officedocument.spreadsheetml.comments+xml"/>
  <Override PartName="/xl/drawings/drawing13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01. UR\01. GESTÃO DA MANUTENÇÃO\00. QUALIDADE MANUTENÇÃO\01. FR - FOLHAS DE REGISTOS\"/>
    </mc:Choice>
  </mc:AlternateContent>
  <xr:revisionPtr revIDLastSave="0" documentId="13_ncr:2001_{0E7C3D70-FC89-4E3D-AFD0-B2456AD40C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M" sheetId="1" r:id="rId1"/>
    <sheet name="PM (2)" sheetId="18" state="hidden" r:id="rId2"/>
    <sheet name="SEMANAL" sheetId="5" state="hidden" r:id="rId3"/>
    <sheet name="JAN" sheetId="4" state="hidden" r:id="rId4"/>
    <sheet name="FEV" sheetId="6" state="hidden" r:id="rId5"/>
    <sheet name="MAR" sheetId="7" state="hidden" r:id="rId6"/>
    <sheet name="ABR" sheetId="9" state="hidden" r:id="rId7"/>
    <sheet name="MAI" sheetId="10" state="hidden" r:id="rId8"/>
    <sheet name="JUN" sheetId="11" state="hidden" r:id="rId9"/>
    <sheet name="JUL" sheetId="12" state="hidden" r:id="rId10"/>
    <sheet name="AGO" sheetId="13" state="hidden" r:id="rId11"/>
    <sheet name="SET" sheetId="14" state="hidden" r:id="rId12"/>
    <sheet name="OUT" sheetId="15" state="hidden" r:id="rId13"/>
    <sheet name="NOV" sheetId="16" state="hidden" r:id="rId14"/>
    <sheet name="DEZ" sheetId="17" state="hidden" r:id="rId15"/>
  </sheets>
  <definedNames>
    <definedName name="_xlnm._FilterDatabase" localSheetId="6" hidden="1">ABR!$A$4:$GF$611</definedName>
    <definedName name="_xlnm._FilterDatabase" localSheetId="10" hidden="1">AGO!$A$4:$GF$609</definedName>
    <definedName name="_xlnm._FilterDatabase" localSheetId="14" hidden="1">DEZ!$A$4:$GF$609</definedName>
    <definedName name="_xlnm._FilterDatabase" localSheetId="4" hidden="1">FEV!$A$4:$GF$615</definedName>
    <definedName name="_xlnm._FilterDatabase" localSheetId="3" hidden="1">JAN!$A$4:$GF$615</definedName>
    <definedName name="_xlnm._FilterDatabase" localSheetId="9" hidden="1">JUL!$A$4:$GF$611</definedName>
    <definedName name="_xlnm._FilterDatabase" localSheetId="8" hidden="1">JUN!$A$4:$GF$611</definedName>
    <definedName name="_xlnm._FilterDatabase" localSheetId="7" hidden="1">MAI!$A$4:$GF$611</definedName>
    <definedName name="_xlnm._FilterDatabase" localSheetId="5" hidden="1">MAR!$A$4:$GF$611</definedName>
    <definedName name="_xlnm._FilterDatabase" localSheetId="13" hidden="1">NOV!$A$4:$GF$611</definedName>
    <definedName name="_xlnm._FilterDatabase" localSheetId="12" hidden="1">OUT!$A$4:$GF$611</definedName>
    <definedName name="_xlnm._FilterDatabase" localSheetId="0" hidden="1">PM!$A$3:$IP$609</definedName>
    <definedName name="_xlnm._FilterDatabase" localSheetId="1" hidden="1">'PM (2)'!$A$3:$HB$605</definedName>
    <definedName name="_xlnm._FilterDatabase" localSheetId="2" hidden="1">SEMANAL!$A$4:$GD$615</definedName>
    <definedName name="_xlnm._FilterDatabase" localSheetId="11" hidden="1">SET!$A$4:$GF$611</definedName>
    <definedName name="_Hlk184289024" localSheetId="6">ABR!$A$357</definedName>
    <definedName name="_Hlk184289024" localSheetId="10">AGO!$A$355</definedName>
    <definedName name="_Hlk184289024" localSheetId="14">DEZ!$A$355</definedName>
    <definedName name="_Hlk184289024" localSheetId="4">FEV!$A$359</definedName>
    <definedName name="_Hlk184289024" localSheetId="3">JAN!$A$359</definedName>
    <definedName name="_Hlk184289024" localSheetId="9">JUL!$A$357</definedName>
    <definedName name="_Hlk184289024" localSheetId="8">JUN!$A$357</definedName>
    <definedName name="_Hlk184289024" localSheetId="7">MAI!$A$357</definedName>
    <definedName name="_Hlk184289024" localSheetId="5">MAR!$A$357</definedName>
    <definedName name="_Hlk184289024" localSheetId="13">NOV!$A$357</definedName>
    <definedName name="_Hlk184289024" localSheetId="12">OUT!$A$357</definedName>
    <definedName name="_Hlk184289024" localSheetId="0">PM!$A$355</definedName>
    <definedName name="_Hlk184289024" localSheetId="1">'PM (2)'!$A$352</definedName>
    <definedName name="_Hlk184289024" localSheetId="2">SEMANAL!$A$359</definedName>
    <definedName name="_Hlk184289024" localSheetId="11">SET!$A$357</definedName>
    <definedName name="_Hlk184289454" localSheetId="6">ABR!$A$368</definedName>
    <definedName name="_Hlk184289454" localSheetId="10">AGO!$A$366</definedName>
    <definedName name="_Hlk184289454" localSheetId="14">DEZ!$A$366</definedName>
    <definedName name="_Hlk184289454" localSheetId="4">FEV!$A$370</definedName>
    <definedName name="_Hlk184289454" localSheetId="3">JAN!$A$370</definedName>
    <definedName name="_Hlk184289454" localSheetId="9">JUL!$A$368</definedName>
    <definedName name="_Hlk184289454" localSheetId="8">JUN!$A$368</definedName>
    <definedName name="_Hlk184289454" localSheetId="7">MAI!$A$368</definedName>
    <definedName name="_Hlk184289454" localSheetId="5">MAR!$A$368</definedName>
    <definedName name="_Hlk184289454" localSheetId="13">NOV!$A$368</definedName>
    <definedName name="_Hlk184289454" localSheetId="12">OUT!$A$368</definedName>
    <definedName name="_Hlk184289454" localSheetId="0">PM!$A$366</definedName>
    <definedName name="_Hlk184289454" localSheetId="1">'PM (2)'!$A$363</definedName>
    <definedName name="_Hlk184289454" localSheetId="2">SEMANAL!$A$370</definedName>
    <definedName name="_Hlk184289454" localSheetId="11">SET!$A$368</definedName>
    <definedName name="_xlnm.Print_Area" localSheetId="6">ABR!$A$1:$J$610</definedName>
    <definedName name="_xlnm.Print_Area" localSheetId="10">AGO!$A$1:$J$608</definedName>
    <definedName name="_xlnm.Print_Area" localSheetId="14">DEZ!$A$1:$J$608</definedName>
    <definedName name="_xlnm.Print_Area" localSheetId="4">FEV!$A$1:$J$590</definedName>
    <definedName name="_xlnm.Print_Area" localSheetId="3">JAN!$A$1:$J$590</definedName>
    <definedName name="_xlnm.Print_Area" localSheetId="9">JUL!$A$1:$J$94</definedName>
    <definedName name="_xlnm.Print_Area" localSheetId="8">JUN!$A$1:$J$606</definedName>
    <definedName name="_xlnm.Print_Area" localSheetId="7">MAI!$A$1:$J$94</definedName>
    <definedName name="_xlnm.Print_Area" localSheetId="5">MAR!$A$1:$J$606</definedName>
    <definedName name="_xlnm.Print_Area" localSheetId="13">NOV!$A$1:$J$94</definedName>
    <definedName name="_xlnm.Print_Area" localSheetId="12">OUT!$A$1:$J$94</definedName>
    <definedName name="_xlnm.Print_Area" localSheetId="0">PM!$A$1:$N$533</definedName>
    <definedName name="_xlnm.Print_Area" localSheetId="1">'PM (2)'!$A$1:$N$530</definedName>
    <definedName name="_xlnm.Print_Area" localSheetId="2">SEMANAL!$A$1:$L$590</definedName>
    <definedName name="_xlnm.Print_Area" localSheetId="11">SET!$A$1:$J$606</definedName>
    <definedName name="_xlnm.Print_Titles" localSheetId="6">ABR!$2:$4</definedName>
    <definedName name="_xlnm.Print_Titles" localSheetId="10">AGO!$2:$4</definedName>
    <definedName name="_xlnm.Print_Titles" localSheetId="14">DEZ!$2:$4</definedName>
    <definedName name="_xlnm.Print_Titles" localSheetId="4">FEV!$2:$4</definedName>
    <definedName name="_xlnm.Print_Titles" localSheetId="3">JAN!$2:$4</definedName>
    <definedName name="_xlnm.Print_Titles" localSheetId="9">JUL!$2:$4</definedName>
    <definedName name="_xlnm.Print_Titles" localSheetId="8">JUN!$2:$4</definedName>
    <definedName name="_xlnm.Print_Titles" localSheetId="7">MAI!$2:$4</definedName>
    <definedName name="_xlnm.Print_Titles" localSheetId="5">MAR!$2:$4</definedName>
    <definedName name="_xlnm.Print_Titles" localSheetId="13">NOV!$2:$4</definedName>
    <definedName name="_xlnm.Print_Titles" localSheetId="12">OUT!$2:$4</definedName>
    <definedName name="_xlnm.Print_Titles" localSheetId="0">PM!$1:$3</definedName>
    <definedName name="_xlnm.Print_Titles" localSheetId="1">'PM (2)'!$1:$3</definedName>
    <definedName name="_xlnm.Print_Titles" localSheetId="2">SEMANAL!$2:$4</definedName>
    <definedName name="_xlnm.Print_Titles" localSheetId="11">SET!$2:$4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175" i="1" l="1"/>
  <c r="H175" i="1" s="1"/>
  <c r="BS175" i="1" s="1"/>
  <c r="BR168" i="1"/>
  <c r="H168" i="1" s="1"/>
  <c r="BS168" i="1" s="1"/>
  <c r="BR167" i="1"/>
  <c r="H167" i="1" s="1"/>
  <c r="BS167" i="1" s="1"/>
  <c r="AD605" i="18"/>
  <c r="H605" i="18" s="1"/>
  <c r="AE605" i="18" s="1"/>
  <c r="AD604" i="18"/>
  <c r="H604" i="18" s="1"/>
  <c r="AE604" i="18" s="1"/>
  <c r="AD603" i="18"/>
  <c r="H603" i="18" s="1"/>
  <c r="AE603" i="18" s="1"/>
  <c r="AD602" i="18"/>
  <c r="H602" i="18" s="1"/>
  <c r="AE602" i="18" s="1"/>
  <c r="AD601" i="18"/>
  <c r="H601" i="18" s="1"/>
  <c r="AE601" i="18" s="1"/>
  <c r="AD600" i="18"/>
  <c r="H600" i="18" s="1"/>
  <c r="AE600" i="18" s="1"/>
  <c r="AD599" i="18"/>
  <c r="H599" i="18" s="1"/>
  <c r="AE599" i="18" s="1"/>
  <c r="AD598" i="18"/>
  <c r="H598" i="18" s="1"/>
  <c r="AE598" i="18" s="1"/>
  <c r="AD597" i="18"/>
  <c r="H597" i="18" s="1"/>
  <c r="AE597" i="18" s="1"/>
  <c r="AD596" i="18"/>
  <c r="H596" i="18" s="1"/>
  <c r="AE596" i="18" s="1"/>
  <c r="AD595" i="18"/>
  <c r="H595" i="18" s="1"/>
  <c r="AE595" i="18" s="1"/>
  <c r="AD594" i="18"/>
  <c r="H594" i="18" s="1"/>
  <c r="AE594" i="18" s="1"/>
  <c r="AD593" i="18"/>
  <c r="H593" i="18" s="1"/>
  <c r="AE593" i="18" s="1"/>
  <c r="AD592" i="18"/>
  <c r="H592" i="18" s="1"/>
  <c r="AE592" i="18" s="1"/>
  <c r="AD591" i="18"/>
  <c r="H591" i="18" s="1"/>
  <c r="AE591" i="18" s="1"/>
  <c r="AD590" i="18"/>
  <c r="H590" i="18" s="1"/>
  <c r="AE590" i="18" s="1"/>
  <c r="AD589" i="18"/>
  <c r="H589" i="18" s="1"/>
  <c r="AE589" i="18" s="1"/>
  <c r="AD588" i="18"/>
  <c r="H588" i="18" s="1"/>
  <c r="AE588" i="18" s="1"/>
  <c r="AD587" i="18"/>
  <c r="H587" i="18" s="1"/>
  <c r="AE587" i="18" s="1"/>
  <c r="AD586" i="18"/>
  <c r="H586" i="18" s="1"/>
  <c r="AE586" i="18" s="1"/>
  <c r="AD585" i="18"/>
  <c r="H585" i="18" s="1"/>
  <c r="AE585" i="18" s="1"/>
  <c r="AD584" i="18"/>
  <c r="H584" i="18" s="1"/>
  <c r="AE584" i="18" s="1"/>
  <c r="AD583" i="18"/>
  <c r="H583" i="18" s="1"/>
  <c r="AE583" i="18" s="1"/>
  <c r="AD582" i="18"/>
  <c r="H582" i="18" s="1"/>
  <c r="AE582" i="18" s="1"/>
  <c r="AD581" i="18"/>
  <c r="H581" i="18" s="1"/>
  <c r="AE581" i="18" s="1"/>
  <c r="AD580" i="18"/>
  <c r="H580" i="18" s="1"/>
  <c r="AE580" i="18" s="1"/>
  <c r="AD579" i="18"/>
  <c r="H579" i="18" s="1"/>
  <c r="AE579" i="18" s="1"/>
  <c r="AD578" i="18"/>
  <c r="H578" i="18" s="1"/>
  <c r="AE578" i="18" s="1"/>
  <c r="AD577" i="18"/>
  <c r="H577" i="18" s="1"/>
  <c r="AE577" i="18" s="1"/>
  <c r="AD576" i="18"/>
  <c r="H576" i="18" s="1"/>
  <c r="AE576" i="18" s="1"/>
  <c r="AD575" i="18"/>
  <c r="H575" i="18" s="1"/>
  <c r="AE575" i="18" s="1"/>
  <c r="AD574" i="18"/>
  <c r="H574" i="18" s="1"/>
  <c r="AE574" i="18" s="1"/>
  <c r="AD573" i="18"/>
  <c r="H573" i="18" s="1"/>
  <c r="AE573" i="18" s="1"/>
  <c r="AD572" i="18"/>
  <c r="H572" i="18" s="1"/>
  <c r="AE572" i="18" s="1"/>
  <c r="AD571" i="18"/>
  <c r="H571" i="18" s="1"/>
  <c r="AE571" i="18" s="1"/>
  <c r="AD570" i="18"/>
  <c r="H570" i="18" s="1"/>
  <c r="AE570" i="18" s="1"/>
  <c r="AD569" i="18"/>
  <c r="H569" i="18" s="1"/>
  <c r="AE569" i="18" s="1"/>
  <c r="AD568" i="18"/>
  <c r="H568" i="18" s="1"/>
  <c r="AE568" i="18" s="1"/>
  <c r="AD567" i="18"/>
  <c r="H567" i="18" s="1"/>
  <c r="AE567" i="18" s="1"/>
  <c r="AD566" i="18"/>
  <c r="H566" i="18" s="1"/>
  <c r="AE566" i="18" s="1"/>
  <c r="AD565" i="18"/>
  <c r="H565" i="18" s="1"/>
  <c r="AE565" i="18" s="1"/>
  <c r="AD564" i="18"/>
  <c r="H564" i="18" s="1"/>
  <c r="AE564" i="18" s="1"/>
  <c r="AD563" i="18"/>
  <c r="H563" i="18" s="1"/>
  <c r="AE563" i="18" s="1"/>
  <c r="AD562" i="18"/>
  <c r="H562" i="18" s="1"/>
  <c r="AE562" i="18" s="1"/>
  <c r="AD561" i="18"/>
  <c r="H561" i="18" s="1"/>
  <c r="AE561" i="18" s="1"/>
  <c r="AD560" i="18"/>
  <c r="H560" i="18" s="1"/>
  <c r="AE560" i="18" s="1"/>
  <c r="AD559" i="18"/>
  <c r="H559" i="18" s="1"/>
  <c r="AE559" i="18" s="1"/>
  <c r="AD558" i="18"/>
  <c r="H558" i="18" s="1"/>
  <c r="AE558" i="18" s="1"/>
  <c r="AD557" i="18"/>
  <c r="H557" i="18" s="1"/>
  <c r="AE557" i="18" s="1"/>
  <c r="AD556" i="18"/>
  <c r="H556" i="18" s="1"/>
  <c r="AE556" i="18" s="1"/>
  <c r="AD555" i="18"/>
  <c r="H555" i="18" s="1"/>
  <c r="AE555" i="18" s="1"/>
  <c r="AD554" i="18"/>
  <c r="H554" i="18" s="1"/>
  <c r="AE554" i="18" s="1"/>
  <c r="AD553" i="18"/>
  <c r="H553" i="18" s="1"/>
  <c r="AE553" i="18" s="1"/>
  <c r="AD552" i="18"/>
  <c r="H552" i="18" s="1"/>
  <c r="AE552" i="18" s="1"/>
  <c r="AD551" i="18"/>
  <c r="H551" i="18" s="1"/>
  <c r="AE551" i="18" s="1"/>
  <c r="AD550" i="18"/>
  <c r="H550" i="18" s="1"/>
  <c r="AE550" i="18" s="1"/>
  <c r="AD549" i="18"/>
  <c r="H549" i="18" s="1"/>
  <c r="AE549" i="18" s="1"/>
  <c r="AD548" i="18"/>
  <c r="H548" i="18" s="1"/>
  <c r="AE548" i="18" s="1"/>
  <c r="AD547" i="18"/>
  <c r="H547" i="18" s="1"/>
  <c r="AE547" i="18" s="1"/>
  <c r="AD546" i="18"/>
  <c r="H546" i="18" s="1"/>
  <c r="AE546" i="18" s="1"/>
  <c r="AD545" i="18"/>
  <c r="H545" i="18" s="1"/>
  <c r="AE545" i="18" s="1"/>
  <c r="AD544" i="18"/>
  <c r="H544" i="18" s="1"/>
  <c r="AE544" i="18" s="1"/>
  <c r="AD543" i="18"/>
  <c r="H543" i="18" s="1"/>
  <c r="AE543" i="18" s="1"/>
  <c r="AD542" i="18"/>
  <c r="H542" i="18" s="1"/>
  <c r="AE542" i="18" s="1"/>
  <c r="AD541" i="18"/>
  <c r="H541" i="18" s="1"/>
  <c r="AE541" i="18" s="1"/>
  <c r="AD540" i="18"/>
  <c r="H540" i="18" s="1"/>
  <c r="AE540" i="18" s="1"/>
  <c r="AD539" i="18"/>
  <c r="H539" i="18" s="1"/>
  <c r="AE539" i="18" s="1"/>
  <c r="AD538" i="18"/>
  <c r="H538" i="18" s="1"/>
  <c r="AE538" i="18" s="1"/>
  <c r="AD537" i="18"/>
  <c r="H537" i="18" s="1"/>
  <c r="AE537" i="18" s="1"/>
  <c r="AD536" i="18"/>
  <c r="H536" i="18" s="1"/>
  <c r="AE536" i="18" s="1"/>
  <c r="AD535" i="18"/>
  <c r="H535" i="18" s="1"/>
  <c r="AE535" i="18" s="1"/>
  <c r="AD534" i="18"/>
  <c r="H534" i="18" s="1"/>
  <c r="AE534" i="18" s="1"/>
  <c r="AD533" i="18"/>
  <c r="H533" i="18" s="1"/>
  <c r="AE533" i="18" s="1"/>
  <c r="AD532" i="18"/>
  <c r="H532" i="18" s="1"/>
  <c r="AE532" i="18" s="1"/>
  <c r="AD531" i="18"/>
  <c r="H531" i="18" s="1"/>
  <c r="AE531" i="18" s="1"/>
  <c r="AD530" i="18"/>
  <c r="H530" i="18" s="1"/>
  <c r="AE530" i="18" s="1"/>
  <c r="AD529" i="18"/>
  <c r="H529" i="18" s="1"/>
  <c r="AE529" i="18" s="1"/>
  <c r="AD528" i="18"/>
  <c r="H528" i="18" s="1"/>
  <c r="AE528" i="18" s="1"/>
  <c r="AD527" i="18"/>
  <c r="H527" i="18" s="1"/>
  <c r="AE527" i="18" s="1"/>
  <c r="AD526" i="18"/>
  <c r="H526" i="18" s="1"/>
  <c r="AE526" i="18" s="1"/>
  <c r="AD525" i="18"/>
  <c r="H525" i="18" s="1"/>
  <c r="AE525" i="18" s="1"/>
  <c r="AD524" i="18"/>
  <c r="H524" i="18" s="1"/>
  <c r="AE524" i="18" s="1"/>
  <c r="AD523" i="18"/>
  <c r="H523" i="18" s="1"/>
  <c r="AE523" i="18" s="1"/>
  <c r="AD522" i="18"/>
  <c r="H522" i="18" s="1"/>
  <c r="AE522" i="18" s="1"/>
  <c r="AD521" i="18"/>
  <c r="H521" i="18" s="1"/>
  <c r="AE521" i="18" s="1"/>
  <c r="AD520" i="18"/>
  <c r="H520" i="18" s="1"/>
  <c r="AE520" i="18" s="1"/>
  <c r="AD519" i="18"/>
  <c r="H519" i="18" s="1"/>
  <c r="AE519" i="18" s="1"/>
  <c r="AD518" i="18"/>
  <c r="H518" i="18" s="1"/>
  <c r="AE518" i="18" s="1"/>
  <c r="AD517" i="18"/>
  <c r="H517" i="18" s="1"/>
  <c r="AE517" i="18" s="1"/>
  <c r="AD516" i="18"/>
  <c r="H516" i="18" s="1"/>
  <c r="AE516" i="18" s="1"/>
  <c r="AD515" i="18"/>
  <c r="H515" i="18" s="1"/>
  <c r="AE515" i="18" s="1"/>
  <c r="AD514" i="18"/>
  <c r="H514" i="18" s="1"/>
  <c r="AE514" i="18" s="1"/>
  <c r="AD513" i="18"/>
  <c r="H513" i="18" s="1"/>
  <c r="AE513" i="18" s="1"/>
  <c r="AD512" i="18"/>
  <c r="H512" i="18" s="1"/>
  <c r="AE512" i="18" s="1"/>
  <c r="AD511" i="18"/>
  <c r="H511" i="18" s="1"/>
  <c r="AE511" i="18" s="1"/>
  <c r="AD510" i="18"/>
  <c r="H510" i="18" s="1"/>
  <c r="AE510" i="18" s="1"/>
  <c r="AD509" i="18"/>
  <c r="H509" i="18" s="1"/>
  <c r="AE509" i="18" s="1"/>
  <c r="AD508" i="18"/>
  <c r="H508" i="18" s="1"/>
  <c r="AE508" i="18" s="1"/>
  <c r="AD507" i="18"/>
  <c r="H507" i="18" s="1"/>
  <c r="AE507" i="18" s="1"/>
  <c r="AD506" i="18"/>
  <c r="H506" i="18" s="1"/>
  <c r="AE506" i="18" s="1"/>
  <c r="AD505" i="18"/>
  <c r="H505" i="18" s="1"/>
  <c r="AE505" i="18" s="1"/>
  <c r="AD504" i="18"/>
  <c r="H504" i="18" s="1"/>
  <c r="AE504" i="18" s="1"/>
  <c r="AD503" i="18"/>
  <c r="H503" i="18" s="1"/>
  <c r="AE503" i="18" s="1"/>
  <c r="AD502" i="18"/>
  <c r="H502" i="18" s="1"/>
  <c r="AE502" i="18" s="1"/>
  <c r="AD501" i="18"/>
  <c r="H501" i="18" s="1"/>
  <c r="AE501" i="18" s="1"/>
  <c r="AD500" i="18"/>
  <c r="H500" i="18" s="1"/>
  <c r="AE500" i="18" s="1"/>
  <c r="AD499" i="18"/>
  <c r="H499" i="18" s="1"/>
  <c r="AE499" i="18" s="1"/>
  <c r="AD498" i="18"/>
  <c r="H498" i="18" s="1"/>
  <c r="AE498" i="18" s="1"/>
  <c r="AD497" i="18"/>
  <c r="H497" i="18" s="1"/>
  <c r="AE497" i="18" s="1"/>
  <c r="AD496" i="18"/>
  <c r="H496" i="18" s="1"/>
  <c r="AE496" i="18" s="1"/>
  <c r="AD495" i="18"/>
  <c r="H495" i="18" s="1"/>
  <c r="AE495" i="18" s="1"/>
  <c r="AD494" i="18"/>
  <c r="H494" i="18" s="1"/>
  <c r="AE494" i="18" s="1"/>
  <c r="AD493" i="18"/>
  <c r="H493" i="18" s="1"/>
  <c r="AE493" i="18" s="1"/>
  <c r="AD492" i="18"/>
  <c r="H492" i="18" s="1"/>
  <c r="AE492" i="18" s="1"/>
  <c r="AD491" i="18"/>
  <c r="H491" i="18" s="1"/>
  <c r="AE491" i="18" s="1"/>
  <c r="AD490" i="18"/>
  <c r="H490" i="18" s="1"/>
  <c r="AE490" i="18" s="1"/>
  <c r="AD489" i="18"/>
  <c r="H489" i="18" s="1"/>
  <c r="AE489" i="18" s="1"/>
  <c r="AD488" i="18"/>
  <c r="H488" i="18" s="1"/>
  <c r="AE488" i="18" s="1"/>
  <c r="AD487" i="18"/>
  <c r="H487" i="18" s="1"/>
  <c r="AE487" i="18" s="1"/>
  <c r="AD486" i="18"/>
  <c r="H486" i="18" s="1"/>
  <c r="AE486" i="18" s="1"/>
  <c r="AD485" i="18"/>
  <c r="H485" i="18" s="1"/>
  <c r="AE485" i="18" s="1"/>
  <c r="AD484" i="18"/>
  <c r="H484" i="18" s="1"/>
  <c r="AE484" i="18" s="1"/>
  <c r="AD483" i="18"/>
  <c r="H483" i="18" s="1"/>
  <c r="AE483" i="18" s="1"/>
  <c r="AD482" i="18"/>
  <c r="H482" i="18" s="1"/>
  <c r="AE482" i="18" s="1"/>
  <c r="AD481" i="18"/>
  <c r="H481" i="18" s="1"/>
  <c r="AE481" i="18" s="1"/>
  <c r="AD480" i="18"/>
  <c r="H480" i="18" s="1"/>
  <c r="AE480" i="18" s="1"/>
  <c r="AD479" i="18"/>
  <c r="H479" i="18" s="1"/>
  <c r="AE479" i="18" s="1"/>
  <c r="AD478" i="18"/>
  <c r="H478" i="18" s="1"/>
  <c r="AE478" i="18" s="1"/>
  <c r="AD477" i="18"/>
  <c r="H477" i="18" s="1"/>
  <c r="AE477" i="18" s="1"/>
  <c r="AD476" i="18"/>
  <c r="H476" i="18" s="1"/>
  <c r="AE476" i="18" s="1"/>
  <c r="AD475" i="18"/>
  <c r="H475" i="18" s="1"/>
  <c r="AE475" i="18" s="1"/>
  <c r="AD474" i="18"/>
  <c r="H474" i="18" s="1"/>
  <c r="AE474" i="18" s="1"/>
  <c r="AD473" i="18"/>
  <c r="H473" i="18" s="1"/>
  <c r="AE473" i="18" s="1"/>
  <c r="AD472" i="18"/>
  <c r="H472" i="18" s="1"/>
  <c r="AE472" i="18" s="1"/>
  <c r="AD471" i="18"/>
  <c r="H471" i="18" s="1"/>
  <c r="AE471" i="18" s="1"/>
  <c r="AD470" i="18"/>
  <c r="H470" i="18" s="1"/>
  <c r="AE470" i="18" s="1"/>
  <c r="AD469" i="18"/>
  <c r="H469" i="18" s="1"/>
  <c r="AE469" i="18" s="1"/>
  <c r="AD468" i="18"/>
  <c r="H468" i="18" s="1"/>
  <c r="AE468" i="18" s="1"/>
  <c r="AD467" i="18"/>
  <c r="H467" i="18" s="1"/>
  <c r="AE467" i="18" s="1"/>
  <c r="AD466" i="18"/>
  <c r="H466" i="18" s="1"/>
  <c r="AE466" i="18" s="1"/>
  <c r="AD465" i="18"/>
  <c r="H465" i="18" s="1"/>
  <c r="AE465" i="18" s="1"/>
  <c r="AD464" i="18"/>
  <c r="H464" i="18" s="1"/>
  <c r="AE464" i="18" s="1"/>
  <c r="AD463" i="18"/>
  <c r="H463" i="18" s="1"/>
  <c r="AE463" i="18" s="1"/>
  <c r="AD462" i="18"/>
  <c r="H462" i="18" s="1"/>
  <c r="AE462" i="18" s="1"/>
  <c r="AD461" i="18"/>
  <c r="H461" i="18" s="1"/>
  <c r="AE461" i="18" s="1"/>
  <c r="AD460" i="18"/>
  <c r="H460" i="18" s="1"/>
  <c r="AE460" i="18" s="1"/>
  <c r="AD459" i="18"/>
  <c r="H459" i="18" s="1"/>
  <c r="AE459" i="18" s="1"/>
  <c r="AD458" i="18"/>
  <c r="H458" i="18" s="1"/>
  <c r="AE458" i="18" s="1"/>
  <c r="AD457" i="18"/>
  <c r="H457" i="18" s="1"/>
  <c r="AE457" i="18" s="1"/>
  <c r="AD456" i="18"/>
  <c r="H456" i="18" s="1"/>
  <c r="AE456" i="18" s="1"/>
  <c r="AD455" i="18"/>
  <c r="H455" i="18" s="1"/>
  <c r="AE455" i="18" s="1"/>
  <c r="AD454" i="18"/>
  <c r="H454" i="18" s="1"/>
  <c r="AE454" i="18" s="1"/>
  <c r="AD453" i="18"/>
  <c r="H453" i="18" s="1"/>
  <c r="AE453" i="18" s="1"/>
  <c r="AD452" i="18"/>
  <c r="H452" i="18" s="1"/>
  <c r="AE452" i="18" s="1"/>
  <c r="AD451" i="18"/>
  <c r="H451" i="18" s="1"/>
  <c r="AE451" i="18" s="1"/>
  <c r="AD450" i="18"/>
  <c r="H450" i="18" s="1"/>
  <c r="AE450" i="18" s="1"/>
  <c r="AD449" i="18"/>
  <c r="H449" i="18" s="1"/>
  <c r="AE449" i="18" s="1"/>
  <c r="AD448" i="18"/>
  <c r="H448" i="18" s="1"/>
  <c r="AE448" i="18" s="1"/>
  <c r="AD447" i="18"/>
  <c r="H447" i="18" s="1"/>
  <c r="AE447" i="18" s="1"/>
  <c r="AD446" i="18"/>
  <c r="H446" i="18" s="1"/>
  <c r="AE446" i="18" s="1"/>
  <c r="AD445" i="18"/>
  <c r="H445" i="18" s="1"/>
  <c r="AE445" i="18" s="1"/>
  <c r="AD444" i="18"/>
  <c r="H444" i="18" s="1"/>
  <c r="AE444" i="18" s="1"/>
  <c r="AD443" i="18"/>
  <c r="H443" i="18" s="1"/>
  <c r="AE443" i="18" s="1"/>
  <c r="AD442" i="18"/>
  <c r="H442" i="18" s="1"/>
  <c r="AE442" i="18" s="1"/>
  <c r="AD441" i="18"/>
  <c r="H441" i="18" s="1"/>
  <c r="AE441" i="18" s="1"/>
  <c r="AD440" i="18"/>
  <c r="H440" i="18" s="1"/>
  <c r="AE440" i="18" s="1"/>
  <c r="AD439" i="18"/>
  <c r="H439" i="18" s="1"/>
  <c r="AE439" i="18" s="1"/>
  <c r="AD438" i="18"/>
  <c r="H438" i="18" s="1"/>
  <c r="AE438" i="18" s="1"/>
  <c r="AD437" i="18"/>
  <c r="H437" i="18" s="1"/>
  <c r="AE437" i="18" s="1"/>
  <c r="AD436" i="18"/>
  <c r="H436" i="18" s="1"/>
  <c r="AE436" i="18" s="1"/>
  <c r="AD435" i="18"/>
  <c r="H435" i="18" s="1"/>
  <c r="AE435" i="18" s="1"/>
  <c r="AD434" i="18"/>
  <c r="H434" i="18" s="1"/>
  <c r="AE434" i="18" s="1"/>
  <c r="AD433" i="18"/>
  <c r="H433" i="18" s="1"/>
  <c r="AE433" i="18" s="1"/>
  <c r="AD432" i="18"/>
  <c r="H432" i="18" s="1"/>
  <c r="AE432" i="18" s="1"/>
  <c r="AD431" i="18"/>
  <c r="H431" i="18" s="1"/>
  <c r="AE431" i="18" s="1"/>
  <c r="AD430" i="18"/>
  <c r="H430" i="18" s="1"/>
  <c r="AE430" i="18" s="1"/>
  <c r="AD429" i="18"/>
  <c r="H429" i="18" s="1"/>
  <c r="AE429" i="18" s="1"/>
  <c r="AD428" i="18"/>
  <c r="H428" i="18" s="1"/>
  <c r="AE428" i="18" s="1"/>
  <c r="AD427" i="18"/>
  <c r="H427" i="18" s="1"/>
  <c r="AE427" i="18" s="1"/>
  <c r="AD426" i="18"/>
  <c r="H426" i="18" s="1"/>
  <c r="AE426" i="18" s="1"/>
  <c r="AD425" i="18"/>
  <c r="H425" i="18" s="1"/>
  <c r="AE425" i="18" s="1"/>
  <c r="AD424" i="18"/>
  <c r="H424" i="18" s="1"/>
  <c r="AE424" i="18" s="1"/>
  <c r="AD423" i="18"/>
  <c r="H423" i="18" s="1"/>
  <c r="AE423" i="18" s="1"/>
  <c r="AD422" i="18"/>
  <c r="H422" i="18" s="1"/>
  <c r="AE422" i="18" s="1"/>
  <c r="AD421" i="18"/>
  <c r="H421" i="18" s="1"/>
  <c r="AE421" i="18" s="1"/>
  <c r="AD420" i="18"/>
  <c r="H420" i="18" s="1"/>
  <c r="AE420" i="18" s="1"/>
  <c r="AD419" i="18"/>
  <c r="H419" i="18" s="1"/>
  <c r="AE419" i="18" s="1"/>
  <c r="AD418" i="18"/>
  <c r="H418" i="18" s="1"/>
  <c r="AE418" i="18" s="1"/>
  <c r="AD417" i="18"/>
  <c r="H417" i="18" s="1"/>
  <c r="AE417" i="18" s="1"/>
  <c r="AD416" i="18"/>
  <c r="H416" i="18" s="1"/>
  <c r="AE416" i="18" s="1"/>
  <c r="AD415" i="18"/>
  <c r="H415" i="18"/>
  <c r="AE415" i="18" s="1"/>
  <c r="AD414" i="18"/>
  <c r="H414" i="18" s="1"/>
  <c r="AE414" i="18" s="1"/>
  <c r="AD413" i="18"/>
  <c r="H413" i="18" s="1"/>
  <c r="AE413" i="18" s="1"/>
  <c r="AD412" i="18"/>
  <c r="H412" i="18" s="1"/>
  <c r="AE412" i="18" s="1"/>
  <c r="AD411" i="18"/>
  <c r="H411" i="18" s="1"/>
  <c r="AE411" i="18" s="1"/>
  <c r="AD410" i="18"/>
  <c r="H410" i="18" s="1"/>
  <c r="AE410" i="18" s="1"/>
  <c r="AD409" i="18"/>
  <c r="H409" i="18" s="1"/>
  <c r="AE409" i="18" s="1"/>
  <c r="AD408" i="18"/>
  <c r="H408" i="18" s="1"/>
  <c r="AE408" i="18" s="1"/>
  <c r="AD407" i="18"/>
  <c r="H407" i="18" s="1"/>
  <c r="AE407" i="18" s="1"/>
  <c r="AD406" i="18"/>
  <c r="H406" i="18" s="1"/>
  <c r="AE406" i="18" s="1"/>
  <c r="AD405" i="18"/>
  <c r="H405" i="18" s="1"/>
  <c r="AE405" i="18" s="1"/>
  <c r="AD404" i="18"/>
  <c r="H404" i="18" s="1"/>
  <c r="AE404" i="18" s="1"/>
  <c r="AD403" i="18"/>
  <c r="H403" i="18" s="1"/>
  <c r="AE403" i="18" s="1"/>
  <c r="AD402" i="18"/>
  <c r="H402" i="18" s="1"/>
  <c r="AE402" i="18" s="1"/>
  <c r="AD401" i="18"/>
  <c r="H401" i="18" s="1"/>
  <c r="AE401" i="18" s="1"/>
  <c r="AD400" i="18"/>
  <c r="H400" i="18" s="1"/>
  <c r="AE400" i="18" s="1"/>
  <c r="AD399" i="18"/>
  <c r="H399" i="18" s="1"/>
  <c r="AE399" i="18" s="1"/>
  <c r="AD398" i="18"/>
  <c r="H398" i="18" s="1"/>
  <c r="AE398" i="18" s="1"/>
  <c r="AD397" i="18"/>
  <c r="H397" i="18" s="1"/>
  <c r="AE397" i="18" s="1"/>
  <c r="AD396" i="18"/>
  <c r="H396" i="18" s="1"/>
  <c r="AE396" i="18" s="1"/>
  <c r="AD395" i="18"/>
  <c r="H395" i="18" s="1"/>
  <c r="AE395" i="18" s="1"/>
  <c r="AD394" i="18"/>
  <c r="H394" i="18" s="1"/>
  <c r="AE394" i="18" s="1"/>
  <c r="AD393" i="18"/>
  <c r="H393" i="18" s="1"/>
  <c r="AE393" i="18" s="1"/>
  <c r="AD392" i="18"/>
  <c r="H392" i="18" s="1"/>
  <c r="AE392" i="18" s="1"/>
  <c r="AD391" i="18"/>
  <c r="H391" i="18" s="1"/>
  <c r="AE391" i="18" s="1"/>
  <c r="AD390" i="18"/>
  <c r="H390" i="18" s="1"/>
  <c r="AE390" i="18" s="1"/>
  <c r="AD389" i="18"/>
  <c r="H389" i="18" s="1"/>
  <c r="AE389" i="18" s="1"/>
  <c r="AD388" i="18"/>
  <c r="H388" i="18" s="1"/>
  <c r="AE388" i="18" s="1"/>
  <c r="AD387" i="18"/>
  <c r="H387" i="18" s="1"/>
  <c r="AE387" i="18" s="1"/>
  <c r="AD386" i="18"/>
  <c r="H386" i="18" s="1"/>
  <c r="AE386" i="18" s="1"/>
  <c r="AD385" i="18"/>
  <c r="H385" i="18" s="1"/>
  <c r="AE385" i="18" s="1"/>
  <c r="AD384" i="18"/>
  <c r="H384" i="18" s="1"/>
  <c r="AE384" i="18" s="1"/>
  <c r="AD383" i="18"/>
  <c r="H383" i="18" s="1"/>
  <c r="AE383" i="18" s="1"/>
  <c r="AD382" i="18"/>
  <c r="H382" i="18" s="1"/>
  <c r="AE382" i="18" s="1"/>
  <c r="AD381" i="18"/>
  <c r="H381" i="18" s="1"/>
  <c r="AE381" i="18" s="1"/>
  <c r="AD380" i="18"/>
  <c r="H380" i="18" s="1"/>
  <c r="AE380" i="18" s="1"/>
  <c r="AD379" i="18"/>
  <c r="H379" i="18" s="1"/>
  <c r="AE379" i="18" s="1"/>
  <c r="AD378" i="18"/>
  <c r="H378" i="18" s="1"/>
  <c r="AE378" i="18" s="1"/>
  <c r="AD377" i="18"/>
  <c r="H377" i="18" s="1"/>
  <c r="AE377" i="18" s="1"/>
  <c r="AD376" i="18"/>
  <c r="H376" i="18" s="1"/>
  <c r="AE376" i="18" s="1"/>
  <c r="AD375" i="18"/>
  <c r="H375" i="18" s="1"/>
  <c r="AE375" i="18" s="1"/>
  <c r="AD374" i="18"/>
  <c r="H374" i="18" s="1"/>
  <c r="AE374" i="18" s="1"/>
  <c r="AD373" i="18"/>
  <c r="H373" i="18" s="1"/>
  <c r="AE373" i="18" s="1"/>
  <c r="AD372" i="18"/>
  <c r="H372" i="18" s="1"/>
  <c r="AE372" i="18" s="1"/>
  <c r="AD371" i="18"/>
  <c r="H371" i="18" s="1"/>
  <c r="AE371" i="18" s="1"/>
  <c r="AD370" i="18"/>
  <c r="H370" i="18" s="1"/>
  <c r="AE370" i="18" s="1"/>
  <c r="AD369" i="18"/>
  <c r="H369" i="18" s="1"/>
  <c r="AE369" i="18" s="1"/>
  <c r="AD368" i="18"/>
  <c r="H368" i="18" s="1"/>
  <c r="AE368" i="18" s="1"/>
  <c r="AD367" i="18"/>
  <c r="H367" i="18" s="1"/>
  <c r="AE367" i="18" s="1"/>
  <c r="AD366" i="18"/>
  <c r="H366" i="18" s="1"/>
  <c r="AE366" i="18" s="1"/>
  <c r="AD365" i="18"/>
  <c r="H365" i="18" s="1"/>
  <c r="AE365" i="18" s="1"/>
  <c r="AD364" i="18"/>
  <c r="H364" i="18" s="1"/>
  <c r="AE364" i="18" s="1"/>
  <c r="AD363" i="18"/>
  <c r="H363" i="18" s="1"/>
  <c r="AE363" i="18" s="1"/>
  <c r="AD362" i="18"/>
  <c r="H362" i="18" s="1"/>
  <c r="AE362" i="18" s="1"/>
  <c r="AD361" i="18"/>
  <c r="H361" i="18" s="1"/>
  <c r="AE361" i="18" s="1"/>
  <c r="AD360" i="18"/>
  <c r="H360" i="18" s="1"/>
  <c r="AE360" i="18" s="1"/>
  <c r="AD359" i="18"/>
  <c r="H359" i="18" s="1"/>
  <c r="AE359" i="18" s="1"/>
  <c r="AD358" i="18"/>
  <c r="H358" i="18" s="1"/>
  <c r="AE358" i="18" s="1"/>
  <c r="AD357" i="18"/>
  <c r="H357" i="18" s="1"/>
  <c r="AE357" i="18" s="1"/>
  <c r="AD356" i="18"/>
  <c r="H356" i="18" s="1"/>
  <c r="AE356" i="18" s="1"/>
  <c r="AD355" i="18"/>
  <c r="H355" i="18" s="1"/>
  <c r="AE355" i="18" s="1"/>
  <c r="AD354" i="18"/>
  <c r="H354" i="18" s="1"/>
  <c r="AE354" i="18" s="1"/>
  <c r="AD353" i="18"/>
  <c r="H353" i="18" s="1"/>
  <c r="AE353" i="18" s="1"/>
  <c r="AD352" i="18"/>
  <c r="H352" i="18" s="1"/>
  <c r="AE352" i="18" s="1"/>
  <c r="AD351" i="18"/>
  <c r="H351" i="18" s="1"/>
  <c r="AE351" i="18" s="1"/>
  <c r="AD350" i="18"/>
  <c r="H350" i="18" s="1"/>
  <c r="AE350" i="18" s="1"/>
  <c r="AD349" i="18"/>
  <c r="H349" i="18" s="1"/>
  <c r="AE349" i="18" s="1"/>
  <c r="AD348" i="18"/>
  <c r="H348" i="18" s="1"/>
  <c r="AE348" i="18" s="1"/>
  <c r="AD347" i="18"/>
  <c r="H347" i="18" s="1"/>
  <c r="AE347" i="18" s="1"/>
  <c r="AD346" i="18"/>
  <c r="H346" i="18" s="1"/>
  <c r="AE346" i="18" s="1"/>
  <c r="AD345" i="18"/>
  <c r="H345" i="18" s="1"/>
  <c r="AE345" i="18" s="1"/>
  <c r="AD344" i="18"/>
  <c r="H344" i="18" s="1"/>
  <c r="AE344" i="18" s="1"/>
  <c r="AD343" i="18"/>
  <c r="H343" i="18" s="1"/>
  <c r="AE343" i="18" s="1"/>
  <c r="AD342" i="18"/>
  <c r="H342" i="18" s="1"/>
  <c r="AE342" i="18" s="1"/>
  <c r="AD341" i="18"/>
  <c r="H341" i="18" s="1"/>
  <c r="AE341" i="18" s="1"/>
  <c r="AD340" i="18"/>
  <c r="H340" i="18" s="1"/>
  <c r="AE340" i="18" s="1"/>
  <c r="AD339" i="18"/>
  <c r="H339" i="18" s="1"/>
  <c r="AE339" i="18" s="1"/>
  <c r="AD338" i="18"/>
  <c r="H338" i="18" s="1"/>
  <c r="AE338" i="18" s="1"/>
  <c r="AD337" i="18"/>
  <c r="H337" i="18" s="1"/>
  <c r="AE337" i="18" s="1"/>
  <c r="AD336" i="18"/>
  <c r="H336" i="18" s="1"/>
  <c r="AE336" i="18" s="1"/>
  <c r="AD335" i="18"/>
  <c r="H335" i="18" s="1"/>
  <c r="AE335" i="18" s="1"/>
  <c r="AD334" i="18"/>
  <c r="H334" i="18" s="1"/>
  <c r="AE334" i="18" s="1"/>
  <c r="AD333" i="18"/>
  <c r="H333" i="18" s="1"/>
  <c r="AE333" i="18" s="1"/>
  <c r="AD332" i="18"/>
  <c r="H332" i="18" s="1"/>
  <c r="AE332" i="18" s="1"/>
  <c r="AD331" i="18"/>
  <c r="H331" i="18" s="1"/>
  <c r="AE331" i="18" s="1"/>
  <c r="AD330" i="18"/>
  <c r="H330" i="18" s="1"/>
  <c r="AE330" i="18" s="1"/>
  <c r="AD329" i="18"/>
  <c r="H329" i="18" s="1"/>
  <c r="AE329" i="18" s="1"/>
  <c r="AD328" i="18"/>
  <c r="H328" i="18" s="1"/>
  <c r="AE328" i="18" s="1"/>
  <c r="AD327" i="18"/>
  <c r="H327" i="18" s="1"/>
  <c r="AE327" i="18" s="1"/>
  <c r="AD326" i="18"/>
  <c r="H326" i="18" s="1"/>
  <c r="AE326" i="18" s="1"/>
  <c r="AD325" i="18"/>
  <c r="H325" i="18" s="1"/>
  <c r="AE325" i="18" s="1"/>
  <c r="AD324" i="18"/>
  <c r="H324" i="18" s="1"/>
  <c r="AE324" i="18" s="1"/>
  <c r="AD323" i="18"/>
  <c r="H323" i="18" s="1"/>
  <c r="AE323" i="18" s="1"/>
  <c r="AD322" i="18"/>
  <c r="H322" i="18" s="1"/>
  <c r="AE322" i="18" s="1"/>
  <c r="AD321" i="18"/>
  <c r="H321" i="18" s="1"/>
  <c r="AE321" i="18" s="1"/>
  <c r="AD320" i="18"/>
  <c r="H320" i="18" s="1"/>
  <c r="AE320" i="18" s="1"/>
  <c r="AD319" i="18"/>
  <c r="H319" i="18" s="1"/>
  <c r="AE319" i="18" s="1"/>
  <c r="AD318" i="18"/>
  <c r="H318" i="18" s="1"/>
  <c r="AE318" i="18" s="1"/>
  <c r="AD317" i="18"/>
  <c r="H317" i="18" s="1"/>
  <c r="AE317" i="18" s="1"/>
  <c r="AD316" i="18"/>
  <c r="H316" i="18" s="1"/>
  <c r="AE316" i="18" s="1"/>
  <c r="AD315" i="18"/>
  <c r="H315" i="18" s="1"/>
  <c r="AE315" i="18" s="1"/>
  <c r="AD314" i="18"/>
  <c r="H314" i="18" s="1"/>
  <c r="AE314" i="18" s="1"/>
  <c r="AD313" i="18"/>
  <c r="H313" i="18" s="1"/>
  <c r="AE313" i="18" s="1"/>
  <c r="AD312" i="18"/>
  <c r="H312" i="18" s="1"/>
  <c r="AE312" i="18" s="1"/>
  <c r="AD311" i="18"/>
  <c r="H311" i="18" s="1"/>
  <c r="AE311" i="18" s="1"/>
  <c r="AD310" i="18"/>
  <c r="H310" i="18" s="1"/>
  <c r="AE310" i="18" s="1"/>
  <c r="AD309" i="18"/>
  <c r="H309" i="18" s="1"/>
  <c r="AE309" i="18" s="1"/>
  <c r="AD308" i="18"/>
  <c r="H308" i="18" s="1"/>
  <c r="AE308" i="18" s="1"/>
  <c r="AD307" i="18"/>
  <c r="H307" i="18" s="1"/>
  <c r="AE307" i="18" s="1"/>
  <c r="AD306" i="18"/>
  <c r="H306" i="18" s="1"/>
  <c r="AE306" i="18" s="1"/>
  <c r="AD305" i="18"/>
  <c r="H305" i="18" s="1"/>
  <c r="AE305" i="18" s="1"/>
  <c r="AD304" i="18"/>
  <c r="H304" i="18" s="1"/>
  <c r="AE304" i="18" s="1"/>
  <c r="AD303" i="18"/>
  <c r="H303" i="18" s="1"/>
  <c r="AE303" i="18" s="1"/>
  <c r="AD302" i="18"/>
  <c r="H302" i="18" s="1"/>
  <c r="AE302" i="18" s="1"/>
  <c r="AD301" i="18"/>
  <c r="H301" i="18" s="1"/>
  <c r="AE301" i="18" s="1"/>
  <c r="AD300" i="18"/>
  <c r="H300" i="18" s="1"/>
  <c r="AE300" i="18" s="1"/>
  <c r="AD299" i="18"/>
  <c r="H299" i="18" s="1"/>
  <c r="AE299" i="18" s="1"/>
  <c r="AD298" i="18"/>
  <c r="H298" i="18" s="1"/>
  <c r="AE298" i="18" s="1"/>
  <c r="AD297" i="18"/>
  <c r="H297" i="18" s="1"/>
  <c r="AE297" i="18" s="1"/>
  <c r="AD296" i="18"/>
  <c r="H296" i="18" s="1"/>
  <c r="AE296" i="18" s="1"/>
  <c r="AD295" i="18"/>
  <c r="H295" i="18" s="1"/>
  <c r="AE295" i="18" s="1"/>
  <c r="AD294" i="18"/>
  <c r="H294" i="18" s="1"/>
  <c r="AE294" i="18" s="1"/>
  <c r="AD293" i="18"/>
  <c r="H293" i="18" s="1"/>
  <c r="AE293" i="18" s="1"/>
  <c r="AD292" i="18"/>
  <c r="H292" i="18" s="1"/>
  <c r="AE292" i="18" s="1"/>
  <c r="AD291" i="18"/>
  <c r="H291" i="18" s="1"/>
  <c r="AE291" i="18" s="1"/>
  <c r="AD290" i="18"/>
  <c r="H290" i="18" s="1"/>
  <c r="AE290" i="18" s="1"/>
  <c r="AD289" i="18"/>
  <c r="H289" i="18" s="1"/>
  <c r="AE289" i="18" s="1"/>
  <c r="AD288" i="18"/>
  <c r="H288" i="18" s="1"/>
  <c r="AE288" i="18" s="1"/>
  <c r="AD287" i="18"/>
  <c r="H287" i="18" s="1"/>
  <c r="AE287" i="18" s="1"/>
  <c r="AD286" i="18"/>
  <c r="H286" i="18" s="1"/>
  <c r="AE286" i="18" s="1"/>
  <c r="AD285" i="18"/>
  <c r="H285" i="18" s="1"/>
  <c r="AE285" i="18" s="1"/>
  <c r="AD284" i="18"/>
  <c r="H284" i="18" s="1"/>
  <c r="AE284" i="18" s="1"/>
  <c r="AD283" i="18"/>
  <c r="H283" i="18" s="1"/>
  <c r="AE283" i="18" s="1"/>
  <c r="AD282" i="18"/>
  <c r="H282" i="18" s="1"/>
  <c r="AE282" i="18" s="1"/>
  <c r="AD281" i="18"/>
  <c r="H281" i="18" s="1"/>
  <c r="AE281" i="18" s="1"/>
  <c r="AD280" i="18"/>
  <c r="H280" i="18" s="1"/>
  <c r="AE280" i="18" s="1"/>
  <c r="AD279" i="18"/>
  <c r="H279" i="18" s="1"/>
  <c r="AE279" i="18" s="1"/>
  <c r="AD278" i="18"/>
  <c r="H278" i="18" s="1"/>
  <c r="AE278" i="18" s="1"/>
  <c r="AD277" i="18"/>
  <c r="H277" i="18" s="1"/>
  <c r="AE277" i="18" s="1"/>
  <c r="AD276" i="18"/>
  <c r="H276" i="18" s="1"/>
  <c r="AE276" i="18" s="1"/>
  <c r="AD275" i="18"/>
  <c r="H275" i="18" s="1"/>
  <c r="AE275" i="18" s="1"/>
  <c r="AD274" i="18"/>
  <c r="H274" i="18" s="1"/>
  <c r="AE274" i="18" s="1"/>
  <c r="AD273" i="18"/>
  <c r="H273" i="18" s="1"/>
  <c r="AE273" i="18" s="1"/>
  <c r="AD272" i="18"/>
  <c r="H272" i="18" s="1"/>
  <c r="AE272" i="18" s="1"/>
  <c r="AD271" i="18"/>
  <c r="H271" i="18" s="1"/>
  <c r="AE271" i="18" s="1"/>
  <c r="AD270" i="18"/>
  <c r="H270" i="18" s="1"/>
  <c r="AE270" i="18" s="1"/>
  <c r="AD269" i="18"/>
  <c r="H269" i="18" s="1"/>
  <c r="AE269" i="18" s="1"/>
  <c r="AD268" i="18"/>
  <c r="H268" i="18" s="1"/>
  <c r="AE268" i="18" s="1"/>
  <c r="AD267" i="18"/>
  <c r="H267" i="18" s="1"/>
  <c r="AE267" i="18" s="1"/>
  <c r="AD266" i="18"/>
  <c r="H266" i="18" s="1"/>
  <c r="AE266" i="18" s="1"/>
  <c r="AD265" i="18"/>
  <c r="H265" i="18" s="1"/>
  <c r="AE265" i="18" s="1"/>
  <c r="AD264" i="18"/>
  <c r="H264" i="18" s="1"/>
  <c r="AE264" i="18" s="1"/>
  <c r="AD263" i="18"/>
  <c r="H263" i="18" s="1"/>
  <c r="AE263" i="18" s="1"/>
  <c r="AD262" i="18"/>
  <c r="H262" i="18" s="1"/>
  <c r="AE262" i="18" s="1"/>
  <c r="AD261" i="18"/>
  <c r="H261" i="18" s="1"/>
  <c r="AE261" i="18" s="1"/>
  <c r="AD260" i="18"/>
  <c r="H260" i="18" s="1"/>
  <c r="AE260" i="18" s="1"/>
  <c r="AD259" i="18"/>
  <c r="H259" i="18" s="1"/>
  <c r="AE259" i="18" s="1"/>
  <c r="AD258" i="18"/>
  <c r="H258" i="18" s="1"/>
  <c r="AE258" i="18" s="1"/>
  <c r="AD257" i="18"/>
  <c r="H257" i="18" s="1"/>
  <c r="AE257" i="18" s="1"/>
  <c r="AD256" i="18"/>
  <c r="H256" i="18" s="1"/>
  <c r="AE256" i="18" s="1"/>
  <c r="AD255" i="18"/>
  <c r="H255" i="18" s="1"/>
  <c r="AE255" i="18" s="1"/>
  <c r="AD254" i="18"/>
  <c r="H254" i="18" s="1"/>
  <c r="AE254" i="18" s="1"/>
  <c r="AD253" i="18"/>
  <c r="H253" i="18" s="1"/>
  <c r="AE253" i="18" s="1"/>
  <c r="AD252" i="18"/>
  <c r="H252" i="18" s="1"/>
  <c r="AE252" i="18" s="1"/>
  <c r="AD251" i="18"/>
  <c r="H251" i="18" s="1"/>
  <c r="AE251" i="18" s="1"/>
  <c r="AD250" i="18"/>
  <c r="H250" i="18" s="1"/>
  <c r="AE250" i="18" s="1"/>
  <c r="AD249" i="18"/>
  <c r="H249" i="18" s="1"/>
  <c r="AE249" i="18" s="1"/>
  <c r="AD248" i="18"/>
  <c r="H248" i="18" s="1"/>
  <c r="AE248" i="18" s="1"/>
  <c r="AD247" i="18"/>
  <c r="H247" i="18" s="1"/>
  <c r="AE247" i="18" s="1"/>
  <c r="AD246" i="18"/>
  <c r="H246" i="18" s="1"/>
  <c r="AE246" i="18" s="1"/>
  <c r="AD245" i="18"/>
  <c r="H245" i="18" s="1"/>
  <c r="AE245" i="18" s="1"/>
  <c r="AD244" i="18"/>
  <c r="H244" i="18" s="1"/>
  <c r="AE244" i="18" s="1"/>
  <c r="AD243" i="18"/>
  <c r="H243" i="18" s="1"/>
  <c r="AE243" i="18" s="1"/>
  <c r="AD242" i="18"/>
  <c r="H242" i="18" s="1"/>
  <c r="AE242" i="18" s="1"/>
  <c r="AD241" i="18"/>
  <c r="H241" i="18" s="1"/>
  <c r="AE241" i="18" s="1"/>
  <c r="AD240" i="18"/>
  <c r="H240" i="18" s="1"/>
  <c r="AE240" i="18" s="1"/>
  <c r="AD239" i="18"/>
  <c r="H239" i="18" s="1"/>
  <c r="AE239" i="18" s="1"/>
  <c r="AD238" i="18"/>
  <c r="H238" i="18" s="1"/>
  <c r="AE238" i="18" s="1"/>
  <c r="AD237" i="18"/>
  <c r="H237" i="18" s="1"/>
  <c r="AE237" i="18" s="1"/>
  <c r="AD236" i="18"/>
  <c r="H236" i="18" s="1"/>
  <c r="AE236" i="18" s="1"/>
  <c r="AD235" i="18"/>
  <c r="H235" i="18" s="1"/>
  <c r="AE235" i="18" s="1"/>
  <c r="AD234" i="18"/>
  <c r="H234" i="18" s="1"/>
  <c r="AE234" i="18" s="1"/>
  <c r="AD233" i="18"/>
  <c r="H233" i="18" s="1"/>
  <c r="AE233" i="18" s="1"/>
  <c r="AD232" i="18"/>
  <c r="H232" i="18" s="1"/>
  <c r="AE232" i="18" s="1"/>
  <c r="AD231" i="18"/>
  <c r="H231" i="18" s="1"/>
  <c r="AE231" i="18" s="1"/>
  <c r="AD230" i="18"/>
  <c r="H230" i="18" s="1"/>
  <c r="AE230" i="18" s="1"/>
  <c r="AD229" i="18"/>
  <c r="H229" i="18" s="1"/>
  <c r="AE229" i="18" s="1"/>
  <c r="AD228" i="18"/>
  <c r="H228" i="18" s="1"/>
  <c r="AE228" i="18" s="1"/>
  <c r="AD227" i="18"/>
  <c r="H227" i="18" s="1"/>
  <c r="AE227" i="18" s="1"/>
  <c r="AD226" i="18"/>
  <c r="H226" i="18" s="1"/>
  <c r="AE226" i="18" s="1"/>
  <c r="AD225" i="18"/>
  <c r="H225" i="18" s="1"/>
  <c r="AE225" i="18" s="1"/>
  <c r="AD224" i="18"/>
  <c r="H224" i="18" s="1"/>
  <c r="AE224" i="18" s="1"/>
  <c r="AD223" i="18"/>
  <c r="H223" i="18" s="1"/>
  <c r="AE223" i="18" s="1"/>
  <c r="AD222" i="18"/>
  <c r="H222" i="18" s="1"/>
  <c r="AE222" i="18" s="1"/>
  <c r="AD221" i="18"/>
  <c r="H221" i="18" s="1"/>
  <c r="AE221" i="18" s="1"/>
  <c r="AD220" i="18"/>
  <c r="H220" i="18" s="1"/>
  <c r="AE220" i="18" s="1"/>
  <c r="AD219" i="18"/>
  <c r="H219" i="18" s="1"/>
  <c r="AE219" i="18" s="1"/>
  <c r="AD218" i="18"/>
  <c r="H218" i="18" s="1"/>
  <c r="AE218" i="18" s="1"/>
  <c r="AD217" i="18"/>
  <c r="H217" i="18" s="1"/>
  <c r="AE217" i="18" s="1"/>
  <c r="AD216" i="18"/>
  <c r="H216" i="18" s="1"/>
  <c r="AE216" i="18" s="1"/>
  <c r="AD215" i="18"/>
  <c r="H215" i="18" s="1"/>
  <c r="AE215" i="18" s="1"/>
  <c r="AD214" i="18"/>
  <c r="H214" i="18" s="1"/>
  <c r="AE214" i="18" s="1"/>
  <c r="AD213" i="18"/>
  <c r="H213" i="18" s="1"/>
  <c r="AE213" i="18" s="1"/>
  <c r="AD212" i="18"/>
  <c r="H212" i="18" s="1"/>
  <c r="AE212" i="18" s="1"/>
  <c r="AD211" i="18"/>
  <c r="H211" i="18" s="1"/>
  <c r="AE211" i="18" s="1"/>
  <c r="AD210" i="18"/>
  <c r="H210" i="18" s="1"/>
  <c r="AE210" i="18" s="1"/>
  <c r="AD209" i="18"/>
  <c r="H209" i="18" s="1"/>
  <c r="AE209" i="18" s="1"/>
  <c r="AD208" i="18"/>
  <c r="H208" i="18" s="1"/>
  <c r="AE208" i="18" s="1"/>
  <c r="AD207" i="18"/>
  <c r="H207" i="18" s="1"/>
  <c r="AE207" i="18" s="1"/>
  <c r="AD206" i="18"/>
  <c r="H206" i="18" s="1"/>
  <c r="AE206" i="18" s="1"/>
  <c r="AD205" i="18"/>
  <c r="H205" i="18" s="1"/>
  <c r="AE205" i="18" s="1"/>
  <c r="AD204" i="18"/>
  <c r="H204" i="18" s="1"/>
  <c r="AE204" i="18" s="1"/>
  <c r="AD203" i="18"/>
  <c r="H203" i="18" s="1"/>
  <c r="AE203" i="18" s="1"/>
  <c r="AD202" i="18"/>
  <c r="H202" i="18" s="1"/>
  <c r="AE202" i="18" s="1"/>
  <c r="AD201" i="18"/>
  <c r="H201" i="18" s="1"/>
  <c r="AE201" i="18" s="1"/>
  <c r="AD200" i="18"/>
  <c r="H200" i="18" s="1"/>
  <c r="AE200" i="18" s="1"/>
  <c r="AD199" i="18"/>
  <c r="H199" i="18" s="1"/>
  <c r="AE199" i="18" s="1"/>
  <c r="AD198" i="18"/>
  <c r="H198" i="18" s="1"/>
  <c r="AE198" i="18" s="1"/>
  <c r="AD197" i="18"/>
  <c r="H197" i="18" s="1"/>
  <c r="AE197" i="18" s="1"/>
  <c r="AD196" i="18"/>
  <c r="H196" i="18" s="1"/>
  <c r="AE196" i="18" s="1"/>
  <c r="AD195" i="18"/>
  <c r="H195" i="18" s="1"/>
  <c r="AE195" i="18" s="1"/>
  <c r="AD194" i="18"/>
  <c r="H194" i="18" s="1"/>
  <c r="AE194" i="18" s="1"/>
  <c r="AD193" i="18"/>
  <c r="H193" i="18" s="1"/>
  <c r="AE193" i="18" s="1"/>
  <c r="AD192" i="18"/>
  <c r="H192" i="18" s="1"/>
  <c r="AE192" i="18" s="1"/>
  <c r="AD191" i="18"/>
  <c r="H191" i="18" s="1"/>
  <c r="AE191" i="18" s="1"/>
  <c r="AD190" i="18"/>
  <c r="H190" i="18" s="1"/>
  <c r="AE190" i="18" s="1"/>
  <c r="AD189" i="18"/>
  <c r="H189" i="18" s="1"/>
  <c r="AE189" i="18" s="1"/>
  <c r="AD188" i="18"/>
  <c r="H188" i="18" s="1"/>
  <c r="AE188" i="18" s="1"/>
  <c r="AD187" i="18"/>
  <c r="H187" i="18" s="1"/>
  <c r="AE187" i="18" s="1"/>
  <c r="AD186" i="18"/>
  <c r="H186" i="18" s="1"/>
  <c r="AE186" i="18" s="1"/>
  <c r="AD185" i="18"/>
  <c r="H185" i="18" s="1"/>
  <c r="AE185" i="18" s="1"/>
  <c r="AD184" i="18"/>
  <c r="H184" i="18" s="1"/>
  <c r="AE184" i="18" s="1"/>
  <c r="AD183" i="18"/>
  <c r="H183" i="18" s="1"/>
  <c r="AE183" i="18" s="1"/>
  <c r="AD182" i="18"/>
  <c r="H182" i="18" s="1"/>
  <c r="AE182" i="18" s="1"/>
  <c r="AD181" i="18"/>
  <c r="H181" i="18" s="1"/>
  <c r="AE181" i="18" s="1"/>
  <c r="AD180" i="18"/>
  <c r="H180" i="18" s="1"/>
  <c r="AE180" i="18" s="1"/>
  <c r="AD179" i="18"/>
  <c r="H179" i="18" s="1"/>
  <c r="AE179" i="18" s="1"/>
  <c r="AD178" i="18"/>
  <c r="H178" i="18" s="1"/>
  <c r="AE178" i="18" s="1"/>
  <c r="AD177" i="18"/>
  <c r="H177" i="18" s="1"/>
  <c r="AE177" i="18" s="1"/>
  <c r="AD176" i="18"/>
  <c r="H176" i="18" s="1"/>
  <c r="AE176" i="18" s="1"/>
  <c r="AD175" i="18"/>
  <c r="H175" i="18" s="1"/>
  <c r="AE175" i="18" s="1"/>
  <c r="AD174" i="18"/>
  <c r="H174" i="18" s="1"/>
  <c r="AE174" i="18" s="1"/>
  <c r="AD173" i="18"/>
  <c r="H173" i="18" s="1"/>
  <c r="AE173" i="18" s="1"/>
  <c r="AD172" i="18"/>
  <c r="H172" i="18" s="1"/>
  <c r="AE172" i="18" s="1"/>
  <c r="AD171" i="18"/>
  <c r="H171" i="18" s="1"/>
  <c r="AE171" i="18" s="1"/>
  <c r="AD170" i="18"/>
  <c r="H170" i="18" s="1"/>
  <c r="AE170" i="18" s="1"/>
  <c r="AD169" i="18"/>
  <c r="H169" i="18" s="1"/>
  <c r="AE169" i="18" s="1"/>
  <c r="AD168" i="18"/>
  <c r="H168" i="18" s="1"/>
  <c r="AE168" i="18" s="1"/>
  <c r="AD167" i="18"/>
  <c r="H167" i="18" s="1"/>
  <c r="AE167" i="18" s="1"/>
  <c r="AD166" i="18"/>
  <c r="H166" i="18" s="1"/>
  <c r="AE166" i="18" s="1"/>
  <c r="AD165" i="18"/>
  <c r="H165" i="18" s="1"/>
  <c r="AE165" i="18" s="1"/>
  <c r="AD164" i="18"/>
  <c r="H164" i="18" s="1"/>
  <c r="AE164" i="18" s="1"/>
  <c r="AD163" i="18"/>
  <c r="H163" i="18" s="1"/>
  <c r="AE163" i="18" s="1"/>
  <c r="AD162" i="18"/>
  <c r="H162" i="18" s="1"/>
  <c r="AE162" i="18" s="1"/>
  <c r="AD161" i="18"/>
  <c r="H161" i="18" s="1"/>
  <c r="AE161" i="18" s="1"/>
  <c r="AD160" i="18"/>
  <c r="H160" i="18" s="1"/>
  <c r="AE160" i="18" s="1"/>
  <c r="AD159" i="18"/>
  <c r="H159" i="18" s="1"/>
  <c r="AE159" i="18" s="1"/>
  <c r="AD158" i="18"/>
  <c r="H158" i="18" s="1"/>
  <c r="AE158" i="18" s="1"/>
  <c r="AD157" i="18"/>
  <c r="H157" i="18" s="1"/>
  <c r="AE157" i="18" s="1"/>
  <c r="AD156" i="18"/>
  <c r="H156" i="18" s="1"/>
  <c r="AE156" i="18" s="1"/>
  <c r="AD155" i="18"/>
  <c r="H155" i="18" s="1"/>
  <c r="AE155" i="18" s="1"/>
  <c r="AD154" i="18"/>
  <c r="H154" i="18" s="1"/>
  <c r="AE154" i="18" s="1"/>
  <c r="AD153" i="18"/>
  <c r="H153" i="18" s="1"/>
  <c r="AE153" i="18" s="1"/>
  <c r="AD152" i="18"/>
  <c r="H152" i="18" s="1"/>
  <c r="AE152" i="18" s="1"/>
  <c r="AD151" i="18"/>
  <c r="H151" i="18" s="1"/>
  <c r="AE151" i="18" s="1"/>
  <c r="AD150" i="18"/>
  <c r="H150" i="18" s="1"/>
  <c r="AE150" i="18" s="1"/>
  <c r="AD149" i="18"/>
  <c r="H149" i="18" s="1"/>
  <c r="AE149" i="18" s="1"/>
  <c r="AD148" i="18"/>
  <c r="H148" i="18" s="1"/>
  <c r="AE148" i="18" s="1"/>
  <c r="AD147" i="18"/>
  <c r="H147" i="18" s="1"/>
  <c r="AE147" i="18" s="1"/>
  <c r="AD146" i="18"/>
  <c r="H146" i="18" s="1"/>
  <c r="AE146" i="18" s="1"/>
  <c r="AD145" i="18"/>
  <c r="H145" i="18" s="1"/>
  <c r="AE145" i="18" s="1"/>
  <c r="AD144" i="18"/>
  <c r="H144" i="18" s="1"/>
  <c r="AE144" i="18" s="1"/>
  <c r="AD143" i="18"/>
  <c r="H143" i="18" s="1"/>
  <c r="AE143" i="18" s="1"/>
  <c r="AD142" i="18"/>
  <c r="H142" i="18" s="1"/>
  <c r="AE142" i="18" s="1"/>
  <c r="AD141" i="18"/>
  <c r="H141" i="18" s="1"/>
  <c r="AE141" i="18" s="1"/>
  <c r="AD140" i="18"/>
  <c r="H140" i="18" s="1"/>
  <c r="AE140" i="18" s="1"/>
  <c r="AD139" i="18"/>
  <c r="H139" i="18" s="1"/>
  <c r="AE139" i="18" s="1"/>
  <c r="AD138" i="18"/>
  <c r="H138" i="18" s="1"/>
  <c r="AE138" i="18" s="1"/>
  <c r="AD137" i="18"/>
  <c r="H137" i="18" s="1"/>
  <c r="AE137" i="18" s="1"/>
  <c r="AD136" i="18"/>
  <c r="H136" i="18" s="1"/>
  <c r="AE136" i="18" s="1"/>
  <c r="AD135" i="18"/>
  <c r="H135" i="18" s="1"/>
  <c r="AE135" i="18" s="1"/>
  <c r="AD134" i="18"/>
  <c r="H134" i="18" s="1"/>
  <c r="AE134" i="18" s="1"/>
  <c r="AD133" i="18"/>
  <c r="H133" i="18" s="1"/>
  <c r="AE133" i="18" s="1"/>
  <c r="AD132" i="18"/>
  <c r="H132" i="18" s="1"/>
  <c r="AE132" i="18" s="1"/>
  <c r="AD131" i="18"/>
  <c r="H131" i="18" s="1"/>
  <c r="AE131" i="18" s="1"/>
  <c r="AD130" i="18"/>
  <c r="H130" i="18" s="1"/>
  <c r="AE130" i="18" s="1"/>
  <c r="AD129" i="18"/>
  <c r="H129" i="18" s="1"/>
  <c r="AE129" i="18" s="1"/>
  <c r="AD128" i="18"/>
  <c r="H128" i="18" s="1"/>
  <c r="AE128" i="18" s="1"/>
  <c r="AD127" i="18"/>
  <c r="H127" i="18" s="1"/>
  <c r="AE127" i="18" s="1"/>
  <c r="AD126" i="18"/>
  <c r="H126" i="18" s="1"/>
  <c r="AE126" i="18" s="1"/>
  <c r="AD125" i="18"/>
  <c r="H125" i="18" s="1"/>
  <c r="AE125" i="18" s="1"/>
  <c r="AD124" i="18"/>
  <c r="H124" i="18" s="1"/>
  <c r="AE124" i="18" s="1"/>
  <c r="AD123" i="18"/>
  <c r="H123" i="18" s="1"/>
  <c r="AE123" i="18" s="1"/>
  <c r="AD122" i="18"/>
  <c r="H122" i="18" s="1"/>
  <c r="AE122" i="18" s="1"/>
  <c r="AD121" i="18"/>
  <c r="H121" i="18" s="1"/>
  <c r="AE121" i="18" s="1"/>
  <c r="AD120" i="18"/>
  <c r="H120" i="18" s="1"/>
  <c r="AE120" i="18" s="1"/>
  <c r="AD119" i="18"/>
  <c r="H119" i="18" s="1"/>
  <c r="AE119" i="18" s="1"/>
  <c r="AD118" i="18"/>
  <c r="H118" i="18" s="1"/>
  <c r="AE118" i="18" s="1"/>
  <c r="AD117" i="18"/>
  <c r="H117" i="18" s="1"/>
  <c r="AE117" i="18" s="1"/>
  <c r="AD116" i="18"/>
  <c r="H116" i="18" s="1"/>
  <c r="AE116" i="18" s="1"/>
  <c r="AD115" i="18"/>
  <c r="H115" i="18" s="1"/>
  <c r="AE115" i="18" s="1"/>
  <c r="AD114" i="18"/>
  <c r="H114" i="18" s="1"/>
  <c r="AE114" i="18" s="1"/>
  <c r="AD113" i="18"/>
  <c r="H113" i="18" s="1"/>
  <c r="AE113" i="18" s="1"/>
  <c r="AD112" i="18"/>
  <c r="H112" i="18" s="1"/>
  <c r="AE112" i="18" s="1"/>
  <c r="AD111" i="18"/>
  <c r="H111" i="18" s="1"/>
  <c r="AE111" i="18" s="1"/>
  <c r="AD110" i="18"/>
  <c r="H110" i="18" s="1"/>
  <c r="AE110" i="18" s="1"/>
  <c r="AD109" i="18"/>
  <c r="H109" i="18" s="1"/>
  <c r="AE109" i="18" s="1"/>
  <c r="AD108" i="18"/>
  <c r="H108" i="18" s="1"/>
  <c r="AE108" i="18" s="1"/>
  <c r="AD107" i="18"/>
  <c r="H107" i="18" s="1"/>
  <c r="AE107" i="18" s="1"/>
  <c r="AD106" i="18"/>
  <c r="H106" i="18" s="1"/>
  <c r="AE106" i="18" s="1"/>
  <c r="AD105" i="18"/>
  <c r="H105" i="18" s="1"/>
  <c r="AE105" i="18" s="1"/>
  <c r="AD104" i="18"/>
  <c r="H104" i="18" s="1"/>
  <c r="AE104" i="18" s="1"/>
  <c r="AD103" i="18"/>
  <c r="H103" i="18" s="1"/>
  <c r="AE103" i="18" s="1"/>
  <c r="AD102" i="18"/>
  <c r="H102" i="18" s="1"/>
  <c r="AE102" i="18" s="1"/>
  <c r="AD101" i="18"/>
  <c r="H101" i="18" s="1"/>
  <c r="AE101" i="18" s="1"/>
  <c r="AD100" i="18"/>
  <c r="H100" i="18" s="1"/>
  <c r="AE100" i="18" s="1"/>
  <c r="AD99" i="18"/>
  <c r="H99" i="18" s="1"/>
  <c r="AE99" i="18" s="1"/>
  <c r="AD98" i="18"/>
  <c r="H98" i="18" s="1"/>
  <c r="AE98" i="18" s="1"/>
  <c r="AD97" i="18"/>
  <c r="H97" i="18" s="1"/>
  <c r="AE97" i="18" s="1"/>
  <c r="AD96" i="18"/>
  <c r="H96" i="18" s="1"/>
  <c r="AE96" i="18" s="1"/>
  <c r="AD95" i="18"/>
  <c r="H95" i="18" s="1"/>
  <c r="AE95" i="18" s="1"/>
  <c r="AD94" i="18"/>
  <c r="H94" i="18" s="1"/>
  <c r="AE94" i="18" s="1"/>
  <c r="AD93" i="18"/>
  <c r="H93" i="18" s="1"/>
  <c r="AE93" i="18" s="1"/>
  <c r="AD92" i="18"/>
  <c r="H92" i="18" s="1"/>
  <c r="AE92" i="18" s="1"/>
  <c r="AD91" i="18"/>
  <c r="H91" i="18" s="1"/>
  <c r="AE91" i="18" s="1"/>
  <c r="AD90" i="18"/>
  <c r="H90" i="18" s="1"/>
  <c r="AE90" i="18" s="1"/>
  <c r="AD89" i="18"/>
  <c r="H89" i="18" s="1"/>
  <c r="AE89" i="18" s="1"/>
  <c r="AD88" i="18"/>
  <c r="H88" i="18" s="1"/>
  <c r="AE88" i="18" s="1"/>
  <c r="AD87" i="18"/>
  <c r="H87" i="18" s="1"/>
  <c r="AE87" i="18" s="1"/>
  <c r="AD86" i="18"/>
  <c r="H86" i="18" s="1"/>
  <c r="AE86" i="18" s="1"/>
  <c r="AD85" i="18"/>
  <c r="H85" i="18" s="1"/>
  <c r="AE85" i="18" s="1"/>
  <c r="AD84" i="18"/>
  <c r="H84" i="18" s="1"/>
  <c r="AE84" i="18" s="1"/>
  <c r="AD83" i="18"/>
  <c r="H83" i="18" s="1"/>
  <c r="AE83" i="18" s="1"/>
  <c r="AD82" i="18"/>
  <c r="H82" i="18" s="1"/>
  <c r="AE82" i="18" s="1"/>
  <c r="AD81" i="18"/>
  <c r="H81" i="18" s="1"/>
  <c r="AE81" i="18" s="1"/>
  <c r="AD80" i="18"/>
  <c r="H80" i="18" s="1"/>
  <c r="AE80" i="18" s="1"/>
  <c r="AD79" i="18"/>
  <c r="H79" i="18" s="1"/>
  <c r="AE79" i="18" s="1"/>
  <c r="AD78" i="18"/>
  <c r="H78" i="18" s="1"/>
  <c r="AE78" i="18" s="1"/>
  <c r="AD77" i="18"/>
  <c r="H77" i="18" s="1"/>
  <c r="AE77" i="18" s="1"/>
  <c r="AD76" i="18"/>
  <c r="H76" i="18" s="1"/>
  <c r="AE76" i="18" s="1"/>
  <c r="AD75" i="18"/>
  <c r="H75" i="18" s="1"/>
  <c r="AE75" i="18" s="1"/>
  <c r="AD74" i="18"/>
  <c r="H74" i="18" s="1"/>
  <c r="AE74" i="18" s="1"/>
  <c r="AD73" i="18"/>
  <c r="H73" i="18" s="1"/>
  <c r="AE73" i="18" s="1"/>
  <c r="AD72" i="18"/>
  <c r="H72" i="18" s="1"/>
  <c r="AE72" i="18" s="1"/>
  <c r="AD71" i="18"/>
  <c r="H71" i="18" s="1"/>
  <c r="AE71" i="18" s="1"/>
  <c r="AD70" i="18"/>
  <c r="H70" i="18" s="1"/>
  <c r="AE70" i="18" s="1"/>
  <c r="AD69" i="18"/>
  <c r="H69" i="18" s="1"/>
  <c r="AE69" i="18" s="1"/>
  <c r="AD68" i="18"/>
  <c r="H68" i="18" s="1"/>
  <c r="AE68" i="18" s="1"/>
  <c r="AD67" i="18"/>
  <c r="H67" i="18" s="1"/>
  <c r="AE67" i="18" s="1"/>
  <c r="AD66" i="18"/>
  <c r="H66" i="18" s="1"/>
  <c r="AE66" i="18" s="1"/>
  <c r="AD65" i="18"/>
  <c r="H65" i="18" s="1"/>
  <c r="AE65" i="18" s="1"/>
  <c r="AD64" i="18"/>
  <c r="H64" i="18" s="1"/>
  <c r="AE64" i="18" s="1"/>
  <c r="AD63" i="18"/>
  <c r="H63" i="18" s="1"/>
  <c r="AE63" i="18" s="1"/>
  <c r="AD62" i="18"/>
  <c r="H62" i="18" s="1"/>
  <c r="AE62" i="18" s="1"/>
  <c r="AD61" i="18"/>
  <c r="H61" i="18" s="1"/>
  <c r="AE61" i="18" s="1"/>
  <c r="AD60" i="18"/>
  <c r="H60" i="18" s="1"/>
  <c r="AE60" i="18" s="1"/>
  <c r="AD59" i="18"/>
  <c r="H59" i="18" s="1"/>
  <c r="AE59" i="18" s="1"/>
  <c r="AD58" i="18"/>
  <c r="H58" i="18" s="1"/>
  <c r="AE58" i="18" s="1"/>
  <c r="AD57" i="18"/>
  <c r="H57" i="18" s="1"/>
  <c r="AE57" i="18" s="1"/>
  <c r="AD56" i="18"/>
  <c r="H56" i="18" s="1"/>
  <c r="AE56" i="18" s="1"/>
  <c r="AD55" i="18"/>
  <c r="H55" i="18" s="1"/>
  <c r="AE55" i="18" s="1"/>
  <c r="AD54" i="18"/>
  <c r="H54" i="18" s="1"/>
  <c r="AE54" i="18" s="1"/>
  <c r="AD53" i="18"/>
  <c r="H53" i="18" s="1"/>
  <c r="AE53" i="18" s="1"/>
  <c r="AD52" i="18"/>
  <c r="H52" i="18" s="1"/>
  <c r="AE52" i="18" s="1"/>
  <c r="AD51" i="18"/>
  <c r="H51" i="18" s="1"/>
  <c r="AE51" i="18" s="1"/>
  <c r="AD50" i="18"/>
  <c r="H50" i="18" s="1"/>
  <c r="AE50" i="18" s="1"/>
  <c r="AD49" i="18"/>
  <c r="H49" i="18" s="1"/>
  <c r="AE49" i="18" s="1"/>
  <c r="AD48" i="18"/>
  <c r="H48" i="18" s="1"/>
  <c r="AE48" i="18" s="1"/>
  <c r="AD47" i="18"/>
  <c r="H47" i="18" s="1"/>
  <c r="AE47" i="18" s="1"/>
  <c r="AD46" i="18"/>
  <c r="H46" i="18" s="1"/>
  <c r="AE46" i="18" s="1"/>
  <c r="AD45" i="18"/>
  <c r="H45" i="18" s="1"/>
  <c r="AE45" i="18" s="1"/>
  <c r="AD44" i="18"/>
  <c r="H44" i="18" s="1"/>
  <c r="AE44" i="18" s="1"/>
  <c r="AD43" i="18"/>
  <c r="H43" i="18" s="1"/>
  <c r="AE43" i="18" s="1"/>
  <c r="AD42" i="18"/>
  <c r="H42" i="18" s="1"/>
  <c r="AE42" i="18" s="1"/>
  <c r="AD41" i="18"/>
  <c r="H41" i="18" s="1"/>
  <c r="AE41" i="18" s="1"/>
  <c r="AD40" i="18"/>
  <c r="H40" i="18" s="1"/>
  <c r="AE40" i="18" s="1"/>
  <c r="AD39" i="18"/>
  <c r="H39" i="18" s="1"/>
  <c r="AE39" i="18" s="1"/>
  <c r="AD38" i="18"/>
  <c r="H38" i="18" s="1"/>
  <c r="AE38" i="18" s="1"/>
  <c r="AD37" i="18"/>
  <c r="H37" i="18" s="1"/>
  <c r="AE37" i="18" s="1"/>
  <c r="AD36" i="18"/>
  <c r="H36" i="18" s="1"/>
  <c r="AE36" i="18" s="1"/>
  <c r="AD35" i="18"/>
  <c r="H35" i="18" s="1"/>
  <c r="AE35" i="18" s="1"/>
  <c r="AD34" i="18"/>
  <c r="H34" i="18" s="1"/>
  <c r="AE34" i="18" s="1"/>
  <c r="AD33" i="18"/>
  <c r="H33" i="18" s="1"/>
  <c r="AE33" i="18" s="1"/>
  <c r="AD32" i="18"/>
  <c r="H32" i="18" s="1"/>
  <c r="AE32" i="18" s="1"/>
  <c r="AD31" i="18"/>
  <c r="H31" i="18" s="1"/>
  <c r="AE31" i="18" s="1"/>
  <c r="AD30" i="18"/>
  <c r="H30" i="18" s="1"/>
  <c r="AE30" i="18" s="1"/>
  <c r="AD29" i="18"/>
  <c r="H29" i="18" s="1"/>
  <c r="AE29" i="18" s="1"/>
  <c r="AD28" i="18"/>
  <c r="H28" i="18" s="1"/>
  <c r="AE28" i="18" s="1"/>
  <c r="AD27" i="18"/>
  <c r="H27" i="18" s="1"/>
  <c r="AE27" i="18" s="1"/>
  <c r="AD26" i="18"/>
  <c r="H26" i="18" s="1"/>
  <c r="AE26" i="18" s="1"/>
  <c r="AD25" i="18"/>
  <c r="H25" i="18" s="1"/>
  <c r="AE25" i="18" s="1"/>
  <c r="AD24" i="18"/>
  <c r="H24" i="18" s="1"/>
  <c r="AE24" i="18" s="1"/>
  <c r="AD23" i="18"/>
  <c r="H23" i="18" s="1"/>
  <c r="AE23" i="18" s="1"/>
  <c r="AD22" i="18"/>
  <c r="H22" i="18" s="1"/>
  <c r="AE22" i="18" s="1"/>
  <c r="AD21" i="18"/>
  <c r="H21" i="18" s="1"/>
  <c r="AE21" i="18" s="1"/>
  <c r="AD20" i="18"/>
  <c r="H20" i="18" s="1"/>
  <c r="AE20" i="18" s="1"/>
  <c r="AD19" i="18"/>
  <c r="H19" i="18" s="1"/>
  <c r="AE19" i="18" s="1"/>
  <c r="AD18" i="18"/>
  <c r="H18" i="18" s="1"/>
  <c r="AE18" i="18" s="1"/>
  <c r="AD17" i="18"/>
  <c r="H17" i="18" s="1"/>
  <c r="AE17" i="18" s="1"/>
  <c r="AD16" i="18"/>
  <c r="H16" i="18" s="1"/>
  <c r="AE16" i="18" s="1"/>
  <c r="AD15" i="18"/>
  <c r="H15" i="18" s="1"/>
  <c r="AE15" i="18" s="1"/>
  <c r="AD14" i="18"/>
  <c r="H14" i="18" s="1"/>
  <c r="AE14" i="18" s="1"/>
  <c r="AD13" i="18"/>
  <c r="H13" i="18" s="1"/>
  <c r="AE13" i="18" s="1"/>
  <c r="AD12" i="18"/>
  <c r="H12" i="18" s="1"/>
  <c r="AE12" i="18" s="1"/>
  <c r="AD11" i="18"/>
  <c r="H11" i="18" s="1"/>
  <c r="AE11" i="18" s="1"/>
  <c r="AD10" i="18"/>
  <c r="H10" i="18" s="1"/>
  <c r="AE10" i="18" s="1"/>
  <c r="AD9" i="18"/>
  <c r="H9" i="18" s="1"/>
  <c r="AE9" i="18" s="1"/>
  <c r="AD8" i="18"/>
  <c r="H8" i="18" s="1"/>
  <c r="AE8" i="18" s="1"/>
  <c r="AD7" i="18"/>
  <c r="H7" i="18" s="1"/>
  <c r="AE7" i="18" s="1"/>
  <c r="AD6" i="18"/>
  <c r="H6" i="18" s="1"/>
  <c r="AE6" i="18" s="1"/>
  <c r="AD5" i="18"/>
  <c r="H5" i="18" s="1"/>
  <c r="AE5" i="18" s="1"/>
  <c r="AD4" i="18"/>
  <c r="H4" i="18" s="1"/>
  <c r="AE4" i="18" s="1"/>
  <c r="AF2" i="18"/>
  <c r="AC2" i="18"/>
  <c r="AE2" i="18" l="1"/>
  <c r="AF1" i="18" s="1"/>
  <c r="AD2" i="18"/>
  <c r="AC1" i="18" s="1"/>
  <c r="AD1" i="18" l="1"/>
  <c r="BR489" i="1" l="1"/>
  <c r="H489" i="1" s="1"/>
  <c r="BS489" i="1" s="1"/>
  <c r="BR488" i="1"/>
  <c r="H488" i="1" s="1"/>
  <c r="BS488" i="1" s="1"/>
  <c r="BR487" i="1"/>
  <c r="H487" i="1" s="1"/>
  <c r="BS487" i="1" s="1"/>
  <c r="BR547" i="1" l="1"/>
  <c r="H547" i="1" s="1"/>
  <c r="BS547" i="1" s="1"/>
  <c r="BR117" i="1"/>
  <c r="H117" i="1" s="1"/>
  <c r="BS117" i="1" s="1"/>
  <c r="BR562" i="1"/>
  <c r="H562" i="1" s="1"/>
  <c r="BS562" i="1" s="1"/>
  <c r="BR561" i="1"/>
  <c r="H561" i="1" s="1"/>
  <c r="BS561" i="1" s="1"/>
  <c r="BR560" i="1"/>
  <c r="H560" i="1" s="1"/>
  <c r="BS560" i="1" s="1"/>
  <c r="BR559" i="1"/>
  <c r="H559" i="1" s="1"/>
  <c r="BS559" i="1" s="1"/>
  <c r="BR558" i="1"/>
  <c r="H558" i="1" s="1"/>
  <c r="BS558" i="1" s="1"/>
  <c r="BR557" i="1"/>
  <c r="H557" i="1" s="1"/>
  <c r="BS557" i="1" s="1"/>
  <c r="BR556" i="1"/>
  <c r="H556" i="1" s="1"/>
  <c r="BS556" i="1" s="1"/>
  <c r="BR555" i="1"/>
  <c r="H555" i="1" s="1"/>
  <c r="BS555" i="1" s="1"/>
  <c r="BR554" i="1"/>
  <c r="H554" i="1" s="1"/>
  <c r="BS554" i="1" s="1"/>
  <c r="BR553" i="1"/>
  <c r="H553" i="1" s="1"/>
  <c r="BS553" i="1" s="1"/>
  <c r="BR552" i="1"/>
  <c r="H552" i="1" s="1"/>
  <c r="BS552" i="1" s="1"/>
  <c r="BR551" i="1"/>
  <c r="H551" i="1" s="1"/>
  <c r="BS551" i="1" s="1"/>
  <c r="BR550" i="1"/>
  <c r="H550" i="1" s="1"/>
  <c r="BS550" i="1" s="1"/>
  <c r="BR549" i="1"/>
  <c r="H549" i="1" s="1"/>
  <c r="BS549" i="1" s="1"/>
  <c r="BR500" i="1"/>
  <c r="BT2" i="1"/>
  <c r="BR112" i="1"/>
  <c r="H112" i="1" s="1"/>
  <c r="BS112" i="1" s="1"/>
  <c r="BR113" i="1"/>
  <c r="H113" i="1" s="1"/>
  <c r="BS113" i="1" s="1"/>
  <c r="BR114" i="1"/>
  <c r="H114" i="1" s="1"/>
  <c r="BS114" i="1" s="1"/>
  <c r="BR115" i="1"/>
  <c r="H115" i="1" s="1"/>
  <c r="BS115" i="1" s="1"/>
  <c r="BR116" i="1"/>
  <c r="H116" i="1" s="1"/>
  <c r="BS116" i="1" s="1"/>
  <c r="BR349" i="1" l="1"/>
  <c r="BR286" i="1"/>
  <c r="BR293" i="1"/>
  <c r="BR301" i="1"/>
  <c r="BR317" i="1"/>
  <c r="BR333" i="1"/>
  <c r="BR277" i="1"/>
  <c r="BR87" i="1"/>
  <c r="BR14" i="1" l="1"/>
  <c r="BR15" i="1"/>
  <c r="BR10" i="1"/>
  <c r="BR11" i="1"/>
  <c r="BR17" i="1"/>
  <c r="BR18" i="1"/>
  <c r="BR19" i="1"/>
  <c r="BR20" i="1"/>
  <c r="BR21" i="1"/>
  <c r="BR22" i="1"/>
  <c r="BR23" i="1"/>
  <c r="BR24" i="1"/>
  <c r="BR29" i="1"/>
  <c r="BR26" i="1"/>
  <c r="BR25" i="1"/>
  <c r="BR28" i="1"/>
  <c r="BR27" i="1"/>
  <c r="BR31" i="1"/>
  <c r="BR35" i="1"/>
  <c r="BR38" i="1"/>
  <c r="BR41" i="1"/>
  <c r="BR44" i="1"/>
  <c r="BR32" i="1"/>
  <c r="BR36" i="1"/>
  <c r="BR37" i="1"/>
  <c r="BR33" i="1"/>
  <c r="BR34" i="1"/>
  <c r="BR39" i="1"/>
  <c r="BR40" i="1"/>
  <c r="BR42" i="1"/>
  <c r="BR43" i="1"/>
  <c r="BR30" i="1"/>
  <c r="BR55" i="1"/>
  <c r="BR56" i="1"/>
  <c r="BR57" i="1"/>
  <c r="BR45" i="1"/>
  <c r="BR46" i="1"/>
  <c r="BR47" i="1"/>
  <c r="BR61" i="1"/>
  <c r="BR62" i="1"/>
  <c r="BR60" i="1"/>
  <c r="BR49" i="1"/>
  <c r="BR59" i="1"/>
  <c r="BR50" i="1"/>
  <c r="BR52" i="1"/>
  <c r="BR53" i="1"/>
  <c r="BR54" i="1"/>
  <c r="BR51" i="1"/>
  <c r="BR63" i="1"/>
  <c r="BR58" i="1"/>
  <c r="BR48" i="1"/>
  <c r="BR64" i="1"/>
  <c r="BR76" i="1"/>
  <c r="BR77" i="1"/>
  <c r="BR88" i="1"/>
  <c r="BR84" i="1"/>
  <c r="BR85" i="1"/>
  <c r="BR86" i="1"/>
  <c r="BR66" i="1"/>
  <c r="BR67" i="1"/>
  <c r="BR68" i="1"/>
  <c r="BR69" i="1"/>
  <c r="BR70" i="1"/>
  <c r="BR71" i="1"/>
  <c r="BR72" i="1"/>
  <c r="BR79" i="1"/>
  <c r="BR78" i="1"/>
  <c r="BR90" i="1"/>
  <c r="BR81" i="1"/>
  <c r="BR82" i="1"/>
  <c r="BR92" i="1"/>
  <c r="BR65" i="1"/>
  <c r="BR73" i="1"/>
  <c r="BR74" i="1"/>
  <c r="BR75" i="1"/>
  <c r="BR80" i="1"/>
  <c r="BR91" i="1"/>
  <c r="BR83" i="1"/>
  <c r="BR89" i="1"/>
  <c r="BR93" i="1"/>
  <c r="BR95" i="1"/>
  <c r="BR109" i="1"/>
  <c r="BR97" i="1"/>
  <c r="BR98" i="1"/>
  <c r="BR101" i="1"/>
  <c r="BR102" i="1"/>
  <c r="BR105" i="1"/>
  <c r="BR106" i="1"/>
  <c r="BR94" i="1"/>
  <c r="BR96" i="1"/>
  <c r="BR99" i="1"/>
  <c r="BR100" i="1"/>
  <c r="BR103" i="1"/>
  <c r="BR104" i="1"/>
  <c r="BR107" i="1"/>
  <c r="BR108" i="1"/>
  <c r="BR118" i="1"/>
  <c r="BR110" i="1"/>
  <c r="BR111" i="1"/>
  <c r="BR120" i="1"/>
  <c r="BR121" i="1"/>
  <c r="BR123" i="1"/>
  <c r="BR125" i="1"/>
  <c r="BR119" i="1"/>
  <c r="BR124" i="1"/>
  <c r="BR122" i="1"/>
  <c r="BR127" i="1"/>
  <c r="BR126" i="1"/>
  <c r="BR154" i="1"/>
  <c r="BR132" i="1"/>
  <c r="BR133" i="1"/>
  <c r="BR134" i="1"/>
  <c r="BR135" i="1"/>
  <c r="BR129" i="1"/>
  <c r="BR128" i="1"/>
  <c r="BR152" i="1"/>
  <c r="BR153" i="1"/>
  <c r="BR137" i="1"/>
  <c r="BR136" i="1"/>
  <c r="BR138" i="1"/>
  <c r="BR139" i="1"/>
  <c r="BR143" i="1"/>
  <c r="BR144" i="1"/>
  <c r="BR145" i="1"/>
  <c r="BR141" i="1"/>
  <c r="BR140" i="1"/>
  <c r="BR142" i="1"/>
  <c r="BR147" i="1"/>
  <c r="BR146" i="1"/>
  <c r="BR148" i="1"/>
  <c r="BR150" i="1"/>
  <c r="BR149" i="1"/>
  <c r="BR151" i="1"/>
  <c r="BR130" i="1"/>
  <c r="BR131" i="1"/>
  <c r="BR157" i="1"/>
  <c r="BR158" i="1"/>
  <c r="BR159" i="1"/>
  <c r="BR155" i="1"/>
  <c r="BR156" i="1"/>
  <c r="BR160" i="1"/>
  <c r="BR170" i="1"/>
  <c r="BR171" i="1"/>
  <c r="BR163" i="1"/>
  <c r="BR164" i="1"/>
  <c r="BR165" i="1"/>
  <c r="BR166" i="1"/>
  <c r="BR161" i="1"/>
  <c r="BR169" i="1"/>
  <c r="BR162" i="1"/>
  <c r="BR173" i="1"/>
  <c r="BR172" i="1"/>
  <c r="BR174" i="1"/>
  <c r="BR176" i="1"/>
  <c r="BR177" i="1"/>
  <c r="BR219" i="1"/>
  <c r="BR214" i="1"/>
  <c r="BR213" i="1"/>
  <c r="BR215" i="1"/>
  <c r="BR232" i="1"/>
  <c r="BR233" i="1"/>
  <c r="BR240" i="1"/>
  <c r="BR241" i="1"/>
  <c r="BR246" i="1"/>
  <c r="BR247" i="1"/>
  <c r="BR178" i="1"/>
  <c r="BR184" i="1"/>
  <c r="BR234" i="1"/>
  <c r="BR235" i="1"/>
  <c r="BR217" i="1"/>
  <c r="BR218" i="1"/>
  <c r="BR236" i="1"/>
  <c r="BR237" i="1"/>
  <c r="BR179" i="1"/>
  <c r="BR220" i="1"/>
  <c r="BR238" i="1"/>
  <c r="BR239" i="1"/>
  <c r="BR180" i="1"/>
  <c r="BR216" i="1"/>
  <c r="BR206" i="1"/>
  <c r="BR207" i="1"/>
  <c r="BR199" i="1"/>
  <c r="BR229" i="1"/>
  <c r="BR242" i="1"/>
  <c r="BR243" i="1"/>
  <c r="BR226" i="1"/>
  <c r="BR256" i="1"/>
  <c r="BR257" i="1"/>
  <c r="BR183" i="1"/>
  <c r="BR259" i="1"/>
  <c r="BR260" i="1"/>
  <c r="BR196" i="1"/>
  <c r="BR252" i="1"/>
  <c r="BR253" i="1"/>
  <c r="BR221" i="1"/>
  <c r="BR212" i="1"/>
  <c r="BR223" i="1"/>
  <c r="BR230" i="1"/>
  <c r="BR181" i="1"/>
  <c r="BR186" i="1"/>
  <c r="BR188" i="1"/>
  <c r="BR190" i="1"/>
  <c r="BR194" i="1"/>
  <c r="BR244" i="1"/>
  <c r="BR245" i="1"/>
  <c r="BR222" i="1"/>
  <c r="BR248" i="1"/>
  <c r="BR249" i="1"/>
  <c r="BR200" i="1"/>
  <c r="BR201" i="1"/>
  <c r="BR202" i="1"/>
  <c r="BR203" i="1"/>
  <c r="BR204" i="1"/>
  <c r="BR205" i="1"/>
  <c r="BR191" i="1"/>
  <c r="BR192" i="1"/>
  <c r="BR193" i="1"/>
  <c r="BR197" i="1"/>
  <c r="BR198" i="1"/>
  <c r="BR185" i="1"/>
  <c r="BR224" i="1"/>
  <c r="BR231" i="1"/>
  <c r="BR182" i="1"/>
  <c r="BR187" i="1"/>
  <c r="BR189" i="1"/>
  <c r="BR195" i="1"/>
  <c r="BR254" i="1"/>
  <c r="BR255" i="1"/>
  <c r="BR227" i="1"/>
  <c r="BR250" i="1"/>
  <c r="BR251" i="1"/>
  <c r="BR225" i="1"/>
  <c r="BR211" i="1"/>
  <c r="BR209" i="1"/>
  <c r="BR210" i="1"/>
  <c r="BR208" i="1"/>
  <c r="BR258" i="1"/>
  <c r="BR228" i="1"/>
  <c r="BR267" i="1"/>
  <c r="BR262" i="1"/>
  <c r="BR271" i="1"/>
  <c r="BR264" i="1"/>
  <c r="BR274" i="1"/>
  <c r="BR268" i="1"/>
  <c r="BR261" i="1"/>
  <c r="BR270" i="1"/>
  <c r="BR273" i="1"/>
  <c r="BR266" i="1"/>
  <c r="BR263" i="1"/>
  <c r="BR272" i="1"/>
  <c r="BR265" i="1"/>
  <c r="BR275" i="1"/>
  <c r="BR269" i="1"/>
  <c r="H269" i="1" s="1"/>
  <c r="BR352" i="1"/>
  <c r="BR354" i="1"/>
  <c r="BR353" i="1"/>
  <c r="BR304" i="1"/>
  <c r="BR306" i="1"/>
  <c r="BR305" i="1"/>
  <c r="BR320" i="1"/>
  <c r="BR322" i="1"/>
  <c r="BR321" i="1"/>
  <c r="BR336" i="1"/>
  <c r="BR338" i="1"/>
  <c r="BR337" i="1"/>
  <c r="BR356" i="1"/>
  <c r="BR358" i="1"/>
  <c r="BR357" i="1"/>
  <c r="BR308" i="1"/>
  <c r="BR310" i="1"/>
  <c r="BR309" i="1"/>
  <c r="BR324" i="1"/>
  <c r="BR326" i="1"/>
  <c r="BR325" i="1"/>
  <c r="BR340" i="1"/>
  <c r="BR342" i="1"/>
  <c r="BR341" i="1"/>
  <c r="BR350" i="1"/>
  <c r="BR351" i="1"/>
  <c r="BR287" i="1"/>
  <c r="BR288" i="1"/>
  <c r="BR294" i="1"/>
  <c r="BR295" i="1"/>
  <c r="BR302" i="1"/>
  <c r="BR303" i="1"/>
  <c r="BR318" i="1"/>
  <c r="BR319" i="1"/>
  <c r="BR334" i="1"/>
  <c r="BR335" i="1"/>
  <c r="BR279" i="1"/>
  <c r="BR280" i="1"/>
  <c r="BR278" i="1"/>
  <c r="BR276" i="1"/>
  <c r="BR282" i="1"/>
  <c r="BR283" i="1"/>
  <c r="BR285" i="1"/>
  <c r="BR284" i="1"/>
  <c r="BR289" i="1"/>
  <c r="BR290" i="1"/>
  <c r="BR292" i="1"/>
  <c r="BR291" i="1"/>
  <c r="BR296" i="1"/>
  <c r="BR297" i="1"/>
  <c r="BR299" i="1"/>
  <c r="BR298" i="1"/>
  <c r="BR300" i="1"/>
  <c r="BR312" i="1"/>
  <c r="BR313" i="1"/>
  <c r="BR315" i="1"/>
  <c r="BR314" i="1"/>
  <c r="BR316" i="1"/>
  <c r="BR328" i="1"/>
  <c r="BR329" i="1"/>
  <c r="BR331" i="1"/>
  <c r="BR330" i="1"/>
  <c r="BR332" i="1"/>
  <c r="BR344" i="1"/>
  <c r="BR345" i="1"/>
  <c r="BR347" i="1"/>
  <c r="BR346" i="1"/>
  <c r="BR348" i="1"/>
  <c r="BR281" i="1"/>
  <c r="BR355" i="1"/>
  <c r="BR307" i="1"/>
  <c r="BR323" i="1"/>
  <c r="BR339" i="1"/>
  <c r="BR359" i="1"/>
  <c r="BR311" i="1"/>
  <c r="BR327" i="1"/>
  <c r="BR343" i="1"/>
  <c r="BR414" i="1"/>
  <c r="BR417" i="1"/>
  <c r="BR418" i="1"/>
  <c r="BR434" i="1"/>
  <c r="BR438" i="1"/>
  <c r="BR439" i="1"/>
  <c r="BR456" i="1"/>
  <c r="BR460" i="1"/>
  <c r="BR461" i="1"/>
  <c r="BR477" i="1"/>
  <c r="BR481" i="1"/>
  <c r="BR482" i="1"/>
  <c r="BR374" i="1"/>
  <c r="BR378" i="1"/>
  <c r="BR394" i="1"/>
  <c r="BR398" i="1"/>
  <c r="BR484" i="1"/>
  <c r="BR375" i="1"/>
  <c r="BR376" i="1"/>
  <c r="BR377" i="1"/>
  <c r="BR395" i="1"/>
  <c r="BR396" i="1"/>
  <c r="BR397" i="1"/>
  <c r="BR415" i="1"/>
  <c r="BR416" i="1"/>
  <c r="BR435" i="1"/>
  <c r="BR436" i="1"/>
  <c r="BR437" i="1"/>
  <c r="BR457" i="1"/>
  <c r="BR458" i="1"/>
  <c r="BR459" i="1"/>
  <c r="BR478" i="1"/>
  <c r="BR479" i="1"/>
  <c r="BR480" i="1"/>
  <c r="BR485" i="1"/>
  <c r="BR486" i="1"/>
  <c r="BR360" i="1"/>
  <c r="BR361" i="1"/>
  <c r="BR368" i="1"/>
  <c r="BR362" i="1"/>
  <c r="BR369" i="1"/>
  <c r="BR370" i="1"/>
  <c r="BR371" i="1"/>
  <c r="BR372" i="1"/>
  <c r="BR363" i="1"/>
  <c r="BR364" i="1"/>
  <c r="BR365" i="1"/>
  <c r="BR366" i="1"/>
  <c r="BR367" i="1"/>
  <c r="BR380" i="1"/>
  <c r="BR381" i="1"/>
  <c r="BR388" i="1"/>
  <c r="BR382" i="1"/>
  <c r="BR389" i="1"/>
  <c r="BR390" i="1"/>
  <c r="BR391" i="1"/>
  <c r="BR392" i="1"/>
  <c r="BR383" i="1"/>
  <c r="BR384" i="1"/>
  <c r="BR385" i="1"/>
  <c r="BR386" i="1"/>
  <c r="BR387" i="1"/>
  <c r="BR400" i="1"/>
  <c r="BR401" i="1"/>
  <c r="BR408" i="1"/>
  <c r="BR402" i="1"/>
  <c r="BR409" i="1"/>
  <c r="BR410" i="1"/>
  <c r="BR411" i="1"/>
  <c r="BR412" i="1"/>
  <c r="BR403" i="1"/>
  <c r="BR404" i="1"/>
  <c r="BR405" i="1"/>
  <c r="BR406" i="1"/>
  <c r="BR407" i="1"/>
  <c r="BR420" i="1"/>
  <c r="BR421" i="1"/>
  <c r="BR428" i="1"/>
  <c r="BR422" i="1"/>
  <c r="BR429" i="1"/>
  <c r="BR430" i="1"/>
  <c r="BR431" i="1"/>
  <c r="BR432" i="1"/>
  <c r="BR423" i="1"/>
  <c r="BR424" i="1"/>
  <c r="BR425" i="1"/>
  <c r="BR426" i="1"/>
  <c r="BR427" i="1"/>
  <c r="BR441" i="1"/>
  <c r="BR442" i="1"/>
  <c r="BR449" i="1"/>
  <c r="BR443" i="1"/>
  <c r="BR450" i="1"/>
  <c r="BR451" i="1"/>
  <c r="BR452" i="1"/>
  <c r="BR453" i="1"/>
  <c r="BR454" i="1"/>
  <c r="BR444" i="1"/>
  <c r="BR445" i="1"/>
  <c r="BR446" i="1"/>
  <c r="BR447" i="1"/>
  <c r="BR448" i="1"/>
  <c r="BR463" i="1"/>
  <c r="BR464" i="1"/>
  <c r="BR471" i="1"/>
  <c r="BR465" i="1"/>
  <c r="BR472" i="1"/>
  <c r="BR473" i="1"/>
  <c r="BR474" i="1"/>
  <c r="BR475" i="1"/>
  <c r="BR466" i="1"/>
  <c r="BR467" i="1"/>
  <c r="BR468" i="1"/>
  <c r="BR469" i="1"/>
  <c r="BR470" i="1"/>
  <c r="BR373" i="1"/>
  <c r="BR393" i="1"/>
  <c r="BR413" i="1"/>
  <c r="BR433" i="1"/>
  <c r="BR455" i="1"/>
  <c r="BR476" i="1"/>
  <c r="BR379" i="1"/>
  <c r="BR399" i="1"/>
  <c r="BR419" i="1"/>
  <c r="BR440" i="1"/>
  <c r="BR462" i="1"/>
  <c r="BR483" i="1"/>
  <c r="BR490" i="1"/>
  <c r="BR491" i="1"/>
  <c r="BR492" i="1"/>
  <c r="BR493" i="1"/>
  <c r="BR494" i="1"/>
  <c r="BR495" i="1"/>
  <c r="BR496" i="1"/>
  <c r="BR497" i="1"/>
  <c r="BR498" i="1"/>
  <c r="BR501" i="1"/>
  <c r="BR502" i="1"/>
  <c r="BR499" i="1"/>
  <c r="BR503" i="1"/>
  <c r="BR504" i="1"/>
  <c r="BR505" i="1"/>
  <c r="BR507" i="1"/>
  <c r="BR506" i="1"/>
  <c r="BR509" i="1"/>
  <c r="BR508" i="1"/>
  <c r="BR510" i="1"/>
  <c r="BR511" i="1"/>
  <c r="BR512" i="1"/>
  <c r="BR513" i="1"/>
  <c r="BR514" i="1"/>
  <c r="BR515" i="1"/>
  <c r="BR516" i="1"/>
  <c r="BR517" i="1"/>
  <c r="BR518" i="1"/>
  <c r="BR519" i="1"/>
  <c r="BR520" i="1"/>
  <c r="BR521" i="1"/>
  <c r="BR522" i="1"/>
  <c r="BR523" i="1"/>
  <c r="BR524" i="1"/>
  <c r="BR525" i="1"/>
  <c r="BR526" i="1"/>
  <c r="BR527" i="1"/>
  <c r="BR539" i="1"/>
  <c r="BR532" i="1"/>
  <c r="BR533" i="1"/>
  <c r="BR541" i="1"/>
  <c r="BR537" i="1"/>
  <c r="BR538" i="1"/>
  <c r="BR530" i="1"/>
  <c r="BR531" i="1"/>
  <c r="BR528" i="1"/>
  <c r="BR542" i="1"/>
  <c r="BR543" i="1"/>
  <c r="BR544" i="1"/>
  <c r="BR545" i="1"/>
  <c r="BR546" i="1"/>
  <c r="BR563" i="1"/>
  <c r="BR548" i="1"/>
  <c r="BR565" i="1"/>
  <c r="BR564" i="1"/>
  <c r="BR540" i="1"/>
  <c r="BR534" i="1"/>
  <c r="BR535" i="1"/>
  <c r="BR536" i="1"/>
  <c r="BR566" i="1"/>
  <c r="BR529" i="1"/>
  <c r="BR570" i="1"/>
  <c r="BR579" i="1"/>
  <c r="BR569" i="1"/>
  <c r="BR589" i="1"/>
  <c r="BR597" i="1"/>
  <c r="BR571" i="1"/>
  <c r="BR580" i="1"/>
  <c r="BR578" i="1"/>
  <c r="BR587" i="1"/>
  <c r="BR596" i="1"/>
  <c r="BR604" i="1"/>
  <c r="BR574" i="1"/>
  <c r="BR575" i="1"/>
  <c r="BR583" i="1"/>
  <c r="BR584" i="1"/>
  <c r="BR591" i="1"/>
  <c r="BR590" i="1"/>
  <c r="BR592" i="1"/>
  <c r="BR593" i="1"/>
  <c r="BR600" i="1"/>
  <c r="BR598" i="1"/>
  <c r="BR599" i="1"/>
  <c r="BR601" i="1"/>
  <c r="BR572" i="1"/>
  <c r="BR573" i="1"/>
  <c r="BR581" i="1"/>
  <c r="BR582" i="1"/>
  <c r="BR576" i="1"/>
  <c r="BR577" i="1"/>
  <c r="BR585" i="1"/>
  <c r="BR586" i="1"/>
  <c r="BR567" i="1"/>
  <c r="BR568" i="1"/>
  <c r="BR605" i="1"/>
  <c r="BR606" i="1"/>
  <c r="BR594" i="1"/>
  <c r="BR595" i="1"/>
  <c r="BR602" i="1"/>
  <c r="BR603" i="1"/>
  <c r="BR608" i="1"/>
  <c r="BR607" i="1"/>
  <c r="BR588" i="1"/>
  <c r="BR7" i="1"/>
  <c r="BR9" i="1"/>
  <c r="BR8" i="1"/>
  <c r="BR6" i="1"/>
  <c r="BR5" i="1"/>
  <c r="BR16" i="1"/>
  <c r="BR12" i="1"/>
  <c r="BR13" i="1"/>
  <c r="BR4" i="1"/>
  <c r="H609" i="1" l="1"/>
  <c r="H588" i="1"/>
  <c r="BS588" i="1" s="1"/>
  <c r="H607" i="1"/>
  <c r="BS607" i="1" s="1"/>
  <c r="H608" i="1"/>
  <c r="BS608" i="1" s="1"/>
  <c r="H603" i="1"/>
  <c r="BS603" i="1" s="1"/>
  <c r="H602" i="1"/>
  <c r="BS602" i="1" s="1"/>
  <c r="H595" i="1"/>
  <c r="BS595" i="1" s="1"/>
  <c r="H594" i="1"/>
  <c r="BS594" i="1" s="1"/>
  <c r="H606" i="1"/>
  <c r="BS606" i="1" s="1"/>
  <c r="H605" i="1"/>
  <c r="BS605" i="1" s="1"/>
  <c r="H568" i="1"/>
  <c r="BS568" i="1" s="1"/>
  <c r="H567" i="1"/>
  <c r="BS567" i="1" s="1"/>
  <c r="H586" i="1"/>
  <c r="BS586" i="1" s="1"/>
  <c r="H585" i="1"/>
  <c r="BS585" i="1" s="1"/>
  <c r="H577" i="1"/>
  <c r="BS577" i="1" s="1"/>
  <c r="H576" i="1"/>
  <c r="BS576" i="1" s="1"/>
  <c r="H582" i="1"/>
  <c r="BS582" i="1" s="1"/>
  <c r="H581" i="1"/>
  <c r="BS581" i="1" s="1"/>
  <c r="H573" i="1"/>
  <c r="BS573" i="1" s="1"/>
  <c r="H572" i="1"/>
  <c r="BS572" i="1" s="1"/>
  <c r="H601" i="1"/>
  <c r="BS601" i="1" s="1"/>
  <c r="H599" i="1"/>
  <c r="BS599" i="1" s="1"/>
  <c r="H598" i="1"/>
  <c r="BS598" i="1" s="1"/>
  <c r="H600" i="1"/>
  <c r="BS600" i="1" s="1"/>
  <c r="H593" i="1"/>
  <c r="BS593" i="1" s="1"/>
  <c r="H592" i="1"/>
  <c r="BS592" i="1" s="1"/>
  <c r="H590" i="1"/>
  <c r="BS590" i="1" s="1"/>
  <c r="H591" i="1"/>
  <c r="BS591" i="1" s="1"/>
  <c r="H584" i="1"/>
  <c r="BS584" i="1" s="1"/>
  <c r="H583" i="1"/>
  <c r="BS583" i="1" s="1"/>
  <c r="H575" i="1"/>
  <c r="BS575" i="1" s="1"/>
  <c r="H574" i="1"/>
  <c r="BS574" i="1" s="1"/>
  <c r="H604" i="1"/>
  <c r="BS604" i="1" s="1"/>
  <c r="H596" i="1"/>
  <c r="BS596" i="1" s="1"/>
  <c r="H587" i="1"/>
  <c r="BS587" i="1" s="1"/>
  <c r="H578" i="1"/>
  <c r="BS578" i="1" s="1"/>
  <c r="H580" i="1"/>
  <c r="BS580" i="1" s="1"/>
  <c r="H571" i="1"/>
  <c r="BS571" i="1" s="1"/>
  <c r="H597" i="1"/>
  <c r="BS597" i="1" s="1"/>
  <c r="H589" i="1"/>
  <c r="BS589" i="1" s="1"/>
  <c r="H569" i="1"/>
  <c r="BS569" i="1" s="1"/>
  <c r="H579" i="1"/>
  <c r="BS579" i="1" s="1"/>
  <c r="H570" i="1"/>
  <c r="BS570" i="1" s="1"/>
  <c r="H529" i="1"/>
  <c r="BS529" i="1" s="1"/>
  <c r="H566" i="1"/>
  <c r="BS566" i="1" s="1"/>
  <c r="H536" i="1"/>
  <c r="BS536" i="1" s="1"/>
  <c r="H535" i="1"/>
  <c r="BS535" i="1" s="1"/>
  <c r="H534" i="1"/>
  <c r="BS534" i="1" s="1"/>
  <c r="H540" i="1"/>
  <c r="BS540" i="1" s="1"/>
  <c r="H564" i="1"/>
  <c r="BS564" i="1" s="1"/>
  <c r="H565" i="1"/>
  <c r="BS565" i="1" s="1"/>
  <c r="H548" i="1"/>
  <c r="BS548" i="1" s="1"/>
  <c r="H563" i="1"/>
  <c r="BS563" i="1" s="1"/>
  <c r="H546" i="1"/>
  <c r="BS546" i="1" s="1"/>
  <c r="H545" i="1"/>
  <c r="BS545" i="1" s="1"/>
  <c r="H544" i="1"/>
  <c r="BS544" i="1" s="1"/>
  <c r="H543" i="1"/>
  <c r="BS543" i="1" s="1"/>
  <c r="H542" i="1"/>
  <c r="BS542" i="1" s="1"/>
  <c r="H528" i="1"/>
  <c r="BS528" i="1" s="1"/>
  <c r="H531" i="1"/>
  <c r="BS531" i="1" s="1"/>
  <c r="H530" i="1"/>
  <c r="BS530" i="1" s="1"/>
  <c r="H538" i="1"/>
  <c r="BS538" i="1" s="1"/>
  <c r="H537" i="1"/>
  <c r="BS537" i="1" s="1"/>
  <c r="H541" i="1"/>
  <c r="BS541" i="1" s="1"/>
  <c r="H533" i="1"/>
  <c r="BS533" i="1" s="1"/>
  <c r="H532" i="1"/>
  <c r="BS532" i="1" s="1"/>
  <c r="H539" i="1"/>
  <c r="BS539" i="1" s="1"/>
  <c r="H527" i="1"/>
  <c r="BS527" i="1" s="1"/>
  <c r="H526" i="1"/>
  <c r="BS526" i="1" s="1"/>
  <c r="H525" i="1"/>
  <c r="BS525" i="1" s="1"/>
  <c r="H524" i="1"/>
  <c r="BS524" i="1" s="1"/>
  <c r="H523" i="1"/>
  <c r="BS523" i="1" s="1"/>
  <c r="H522" i="1"/>
  <c r="BS522" i="1" s="1"/>
  <c r="H521" i="1"/>
  <c r="BS521" i="1" s="1"/>
  <c r="H520" i="1"/>
  <c r="BS520" i="1" s="1"/>
  <c r="H519" i="1"/>
  <c r="BS519" i="1" s="1"/>
  <c r="H518" i="1"/>
  <c r="BS518" i="1" s="1"/>
  <c r="H517" i="1"/>
  <c r="BS517" i="1" s="1"/>
  <c r="H516" i="1"/>
  <c r="BS516" i="1" s="1"/>
  <c r="H515" i="1"/>
  <c r="BS515" i="1" s="1"/>
  <c r="H514" i="1"/>
  <c r="BS514" i="1" s="1"/>
  <c r="H513" i="1"/>
  <c r="BS513" i="1" s="1"/>
  <c r="H512" i="1"/>
  <c r="BS512" i="1" s="1"/>
  <c r="H511" i="1"/>
  <c r="BS511" i="1" s="1"/>
  <c r="H510" i="1"/>
  <c r="BS510" i="1" s="1"/>
  <c r="H508" i="1"/>
  <c r="BS508" i="1" s="1"/>
  <c r="H509" i="1"/>
  <c r="BS509" i="1" s="1"/>
  <c r="H506" i="1"/>
  <c r="BS506" i="1" s="1"/>
  <c r="H507" i="1"/>
  <c r="BS507" i="1" s="1"/>
  <c r="H505" i="1"/>
  <c r="BS505" i="1" s="1"/>
  <c r="H504" i="1"/>
  <c r="BS504" i="1" s="1"/>
  <c r="H503" i="1"/>
  <c r="BS503" i="1" s="1"/>
  <c r="H500" i="1"/>
  <c r="BS500" i="1" s="1"/>
  <c r="H499" i="1"/>
  <c r="BS499" i="1" s="1"/>
  <c r="H502" i="1"/>
  <c r="BS502" i="1" s="1"/>
  <c r="H501" i="1"/>
  <c r="BS501" i="1" s="1"/>
  <c r="H498" i="1"/>
  <c r="BS498" i="1" s="1"/>
  <c r="H497" i="1"/>
  <c r="BS497" i="1" s="1"/>
  <c r="H496" i="1"/>
  <c r="BS496" i="1" s="1"/>
  <c r="H495" i="1"/>
  <c r="BS495" i="1" s="1"/>
  <c r="H494" i="1"/>
  <c r="BS494" i="1" s="1"/>
  <c r="H493" i="1"/>
  <c r="BS493" i="1" s="1"/>
  <c r="H492" i="1"/>
  <c r="BS492" i="1" s="1"/>
  <c r="H491" i="1"/>
  <c r="BS491" i="1" s="1"/>
  <c r="H490" i="1"/>
  <c r="BS490" i="1" s="1"/>
  <c r="H483" i="1"/>
  <c r="BS483" i="1" s="1"/>
  <c r="H462" i="1"/>
  <c r="BS462" i="1" s="1"/>
  <c r="H440" i="1"/>
  <c r="BS440" i="1" s="1"/>
  <c r="H419" i="1"/>
  <c r="BS419" i="1" s="1"/>
  <c r="H399" i="1"/>
  <c r="BS399" i="1" s="1"/>
  <c r="H379" i="1"/>
  <c r="BS379" i="1" s="1"/>
  <c r="H476" i="1"/>
  <c r="BS476" i="1" s="1"/>
  <c r="H455" i="1"/>
  <c r="BS455" i="1" s="1"/>
  <c r="H433" i="1"/>
  <c r="BS433" i="1" s="1"/>
  <c r="H413" i="1"/>
  <c r="BS413" i="1" s="1"/>
  <c r="H393" i="1"/>
  <c r="BS393" i="1" s="1"/>
  <c r="H373" i="1"/>
  <c r="BS373" i="1" s="1"/>
  <c r="H470" i="1"/>
  <c r="BS470" i="1" s="1"/>
  <c r="H469" i="1"/>
  <c r="BS469" i="1" s="1"/>
  <c r="H468" i="1"/>
  <c r="BS468" i="1" s="1"/>
  <c r="H467" i="1"/>
  <c r="BS467" i="1" s="1"/>
  <c r="H466" i="1"/>
  <c r="BS466" i="1" s="1"/>
  <c r="H475" i="1"/>
  <c r="BS475" i="1" s="1"/>
  <c r="H474" i="1"/>
  <c r="BS474" i="1" s="1"/>
  <c r="H473" i="1"/>
  <c r="BS473" i="1" s="1"/>
  <c r="H472" i="1"/>
  <c r="BS472" i="1" s="1"/>
  <c r="H465" i="1"/>
  <c r="BS465" i="1" s="1"/>
  <c r="H471" i="1"/>
  <c r="BS471" i="1" s="1"/>
  <c r="H464" i="1"/>
  <c r="BS464" i="1" s="1"/>
  <c r="H463" i="1"/>
  <c r="BS463" i="1" s="1"/>
  <c r="H448" i="1"/>
  <c r="BS448" i="1" s="1"/>
  <c r="H447" i="1"/>
  <c r="BS447" i="1" s="1"/>
  <c r="H446" i="1"/>
  <c r="BS446" i="1" s="1"/>
  <c r="H445" i="1"/>
  <c r="BS445" i="1" s="1"/>
  <c r="H444" i="1"/>
  <c r="BS444" i="1" s="1"/>
  <c r="H454" i="1"/>
  <c r="BS454" i="1" s="1"/>
  <c r="H453" i="1"/>
  <c r="BS453" i="1" s="1"/>
  <c r="H452" i="1"/>
  <c r="BS452" i="1" s="1"/>
  <c r="H451" i="1"/>
  <c r="BS451" i="1" s="1"/>
  <c r="H450" i="1"/>
  <c r="BS450" i="1" s="1"/>
  <c r="H443" i="1"/>
  <c r="BS443" i="1" s="1"/>
  <c r="H449" i="1"/>
  <c r="BS449" i="1" s="1"/>
  <c r="H442" i="1"/>
  <c r="BS442" i="1" s="1"/>
  <c r="H441" i="1"/>
  <c r="BS441" i="1" s="1"/>
  <c r="H427" i="1"/>
  <c r="BS427" i="1" s="1"/>
  <c r="H426" i="1"/>
  <c r="BS426" i="1" s="1"/>
  <c r="H425" i="1"/>
  <c r="BS425" i="1" s="1"/>
  <c r="H424" i="1"/>
  <c r="BS424" i="1" s="1"/>
  <c r="H423" i="1"/>
  <c r="BS423" i="1" s="1"/>
  <c r="H432" i="1"/>
  <c r="BS432" i="1" s="1"/>
  <c r="H431" i="1"/>
  <c r="BS431" i="1" s="1"/>
  <c r="H430" i="1"/>
  <c r="BS430" i="1" s="1"/>
  <c r="H429" i="1"/>
  <c r="BS429" i="1" s="1"/>
  <c r="H422" i="1"/>
  <c r="BS422" i="1" s="1"/>
  <c r="H428" i="1"/>
  <c r="BS428" i="1" s="1"/>
  <c r="H421" i="1"/>
  <c r="BS421" i="1" s="1"/>
  <c r="H420" i="1"/>
  <c r="BS420" i="1" s="1"/>
  <c r="H407" i="1"/>
  <c r="BS407" i="1" s="1"/>
  <c r="H406" i="1"/>
  <c r="BS406" i="1" s="1"/>
  <c r="H405" i="1"/>
  <c r="BS405" i="1" s="1"/>
  <c r="H404" i="1"/>
  <c r="BS404" i="1" s="1"/>
  <c r="H403" i="1"/>
  <c r="BS403" i="1" s="1"/>
  <c r="H412" i="1"/>
  <c r="BS412" i="1" s="1"/>
  <c r="H411" i="1"/>
  <c r="BS411" i="1" s="1"/>
  <c r="H410" i="1"/>
  <c r="BS410" i="1" s="1"/>
  <c r="H409" i="1"/>
  <c r="BS409" i="1" s="1"/>
  <c r="H402" i="1"/>
  <c r="BS402" i="1" s="1"/>
  <c r="H408" i="1"/>
  <c r="BS408" i="1" s="1"/>
  <c r="H401" i="1"/>
  <c r="BS401" i="1" s="1"/>
  <c r="H400" i="1"/>
  <c r="BS400" i="1" s="1"/>
  <c r="H387" i="1"/>
  <c r="BS387" i="1" s="1"/>
  <c r="H386" i="1"/>
  <c r="BS386" i="1" s="1"/>
  <c r="H385" i="1"/>
  <c r="BS385" i="1" s="1"/>
  <c r="H384" i="1"/>
  <c r="BS384" i="1" s="1"/>
  <c r="H383" i="1"/>
  <c r="BS383" i="1" s="1"/>
  <c r="H392" i="1"/>
  <c r="BS392" i="1" s="1"/>
  <c r="H391" i="1"/>
  <c r="BS391" i="1" s="1"/>
  <c r="H390" i="1"/>
  <c r="BS390" i="1" s="1"/>
  <c r="H389" i="1"/>
  <c r="BS389" i="1" s="1"/>
  <c r="H382" i="1"/>
  <c r="BS382" i="1" s="1"/>
  <c r="H388" i="1"/>
  <c r="BS388" i="1" s="1"/>
  <c r="H381" i="1"/>
  <c r="BS381" i="1" s="1"/>
  <c r="H380" i="1"/>
  <c r="BS380" i="1" s="1"/>
  <c r="H367" i="1"/>
  <c r="BS367" i="1" s="1"/>
  <c r="H366" i="1"/>
  <c r="BS366" i="1" s="1"/>
  <c r="H365" i="1"/>
  <c r="BS365" i="1" s="1"/>
  <c r="H364" i="1"/>
  <c r="BS364" i="1" s="1"/>
  <c r="H363" i="1"/>
  <c r="BS363" i="1" s="1"/>
  <c r="H372" i="1"/>
  <c r="BS372" i="1" s="1"/>
  <c r="H371" i="1"/>
  <c r="BS371" i="1" s="1"/>
  <c r="H370" i="1"/>
  <c r="BS370" i="1" s="1"/>
  <c r="H369" i="1"/>
  <c r="BS369" i="1" s="1"/>
  <c r="H362" i="1"/>
  <c r="BS362" i="1" s="1"/>
  <c r="H368" i="1"/>
  <c r="BS368" i="1" s="1"/>
  <c r="H361" i="1"/>
  <c r="BS361" i="1" s="1"/>
  <c r="H360" i="1"/>
  <c r="BS360" i="1" s="1"/>
  <c r="H486" i="1"/>
  <c r="BS486" i="1" s="1"/>
  <c r="H485" i="1"/>
  <c r="BS485" i="1" s="1"/>
  <c r="H480" i="1"/>
  <c r="BS480" i="1" s="1"/>
  <c r="H479" i="1"/>
  <c r="BS479" i="1" s="1"/>
  <c r="H478" i="1"/>
  <c r="BS478" i="1" s="1"/>
  <c r="H459" i="1"/>
  <c r="BS459" i="1" s="1"/>
  <c r="H458" i="1"/>
  <c r="BS458" i="1" s="1"/>
  <c r="H457" i="1"/>
  <c r="BS457" i="1" s="1"/>
  <c r="H437" i="1"/>
  <c r="BS437" i="1" s="1"/>
  <c r="H436" i="1"/>
  <c r="BS436" i="1" s="1"/>
  <c r="H435" i="1"/>
  <c r="BS435" i="1" s="1"/>
  <c r="H416" i="1"/>
  <c r="BS416" i="1" s="1"/>
  <c r="H415" i="1"/>
  <c r="BS415" i="1" s="1"/>
  <c r="H397" i="1"/>
  <c r="BS397" i="1" s="1"/>
  <c r="H396" i="1"/>
  <c r="BS396" i="1" s="1"/>
  <c r="H395" i="1"/>
  <c r="BS395" i="1" s="1"/>
  <c r="H377" i="1"/>
  <c r="BS377" i="1" s="1"/>
  <c r="H376" i="1"/>
  <c r="BS376" i="1" s="1"/>
  <c r="H375" i="1"/>
  <c r="BS375" i="1" s="1"/>
  <c r="H484" i="1"/>
  <c r="BS484" i="1" s="1"/>
  <c r="H398" i="1"/>
  <c r="BS398" i="1" s="1"/>
  <c r="H394" i="1"/>
  <c r="BS394" i="1" s="1"/>
  <c r="H378" i="1"/>
  <c r="BS378" i="1" s="1"/>
  <c r="H374" i="1"/>
  <c r="BS374" i="1" s="1"/>
  <c r="H482" i="1"/>
  <c r="BS482" i="1" s="1"/>
  <c r="H481" i="1"/>
  <c r="BS481" i="1" s="1"/>
  <c r="H477" i="1"/>
  <c r="BS477" i="1" s="1"/>
  <c r="H461" i="1"/>
  <c r="BS461" i="1" s="1"/>
  <c r="H460" i="1"/>
  <c r="BS460" i="1" s="1"/>
  <c r="H456" i="1"/>
  <c r="BS456" i="1" s="1"/>
  <c r="H439" i="1"/>
  <c r="BS439" i="1" s="1"/>
  <c r="H438" i="1"/>
  <c r="BS438" i="1" s="1"/>
  <c r="H434" i="1"/>
  <c r="BS434" i="1" s="1"/>
  <c r="H418" i="1"/>
  <c r="BS418" i="1" s="1"/>
  <c r="H417" i="1"/>
  <c r="BS417" i="1" s="1"/>
  <c r="H414" i="1"/>
  <c r="BS414" i="1" s="1"/>
  <c r="H343" i="1"/>
  <c r="BS343" i="1" s="1"/>
  <c r="H327" i="1"/>
  <c r="BS327" i="1" s="1"/>
  <c r="H311" i="1"/>
  <c r="BS311" i="1" s="1"/>
  <c r="H359" i="1"/>
  <c r="BS359" i="1" s="1"/>
  <c r="H339" i="1"/>
  <c r="BS339" i="1" s="1"/>
  <c r="H323" i="1"/>
  <c r="BS323" i="1" s="1"/>
  <c r="H307" i="1"/>
  <c r="BS307" i="1" s="1"/>
  <c r="H355" i="1"/>
  <c r="BS355" i="1" s="1"/>
  <c r="H281" i="1"/>
  <c r="BS281" i="1" s="1"/>
  <c r="H348" i="1"/>
  <c r="BS348" i="1" s="1"/>
  <c r="H346" i="1"/>
  <c r="BS346" i="1" s="1"/>
  <c r="H347" i="1"/>
  <c r="BS347" i="1" s="1"/>
  <c r="H345" i="1"/>
  <c r="BS345" i="1" s="1"/>
  <c r="H344" i="1"/>
  <c r="BS344" i="1" s="1"/>
  <c r="H332" i="1"/>
  <c r="BS332" i="1" s="1"/>
  <c r="H330" i="1"/>
  <c r="BS330" i="1" s="1"/>
  <c r="H331" i="1"/>
  <c r="BS331" i="1" s="1"/>
  <c r="H329" i="1"/>
  <c r="BS329" i="1" s="1"/>
  <c r="H328" i="1"/>
  <c r="BS328" i="1" s="1"/>
  <c r="H316" i="1"/>
  <c r="BS316" i="1" s="1"/>
  <c r="H314" i="1"/>
  <c r="BS314" i="1" s="1"/>
  <c r="H315" i="1"/>
  <c r="BS315" i="1" s="1"/>
  <c r="H313" i="1"/>
  <c r="BS313" i="1" s="1"/>
  <c r="H312" i="1"/>
  <c r="BS312" i="1" s="1"/>
  <c r="H300" i="1"/>
  <c r="BS300" i="1" s="1"/>
  <c r="H298" i="1"/>
  <c r="BS298" i="1" s="1"/>
  <c r="H299" i="1"/>
  <c r="BS299" i="1" s="1"/>
  <c r="H297" i="1"/>
  <c r="BS297" i="1" s="1"/>
  <c r="H296" i="1"/>
  <c r="BS296" i="1" s="1"/>
  <c r="H291" i="1"/>
  <c r="BS291" i="1" s="1"/>
  <c r="H292" i="1"/>
  <c r="BS292" i="1" s="1"/>
  <c r="H290" i="1"/>
  <c r="BS290" i="1" s="1"/>
  <c r="H289" i="1"/>
  <c r="BS289" i="1" s="1"/>
  <c r="H284" i="1"/>
  <c r="BS284" i="1" s="1"/>
  <c r="H285" i="1"/>
  <c r="BS285" i="1" s="1"/>
  <c r="H283" i="1"/>
  <c r="BS283" i="1" s="1"/>
  <c r="H282" i="1"/>
  <c r="BS282" i="1" s="1"/>
  <c r="H276" i="1"/>
  <c r="BS276" i="1" s="1"/>
  <c r="H278" i="1"/>
  <c r="BS278" i="1" s="1"/>
  <c r="H280" i="1"/>
  <c r="BS280" i="1" s="1"/>
  <c r="H279" i="1"/>
  <c r="BS279" i="1" s="1"/>
  <c r="H335" i="1"/>
  <c r="BS335" i="1" s="1"/>
  <c r="H334" i="1"/>
  <c r="BS334" i="1" s="1"/>
  <c r="H319" i="1"/>
  <c r="BS319" i="1" s="1"/>
  <c r="H318" i="1"/>
  <c r="BS318" i="1" s="1"/>
  <c r="H303" i="1"/>
  <c r="BS303" i="1" s="1"/>
  <c r="H302" i="1"/>
  <c r="BS302" i="1" s="1"/>
  <c r="H295" i="1"/>
  <c r="BS295" i="1" s="1"/>
  <c r="H294" i="1"/>
  <c r="BS294" i="1" s="1"/>
  <c r="H288" i="1"/>
  <c r="BS288" i="1" s="1"/>
  <c r="H287" i="1"/>
  <c r="BS287" i="1" s="1"/>
  <c r="H351" i="1"/>
  <c r="BS351" i="1" s="1"/>
  <c r="H350" i="1"/>
  <c r="BS350" i="1" s="1"/>
  <c r="H341" i="1"/>
  <c r="BS341" i="1" s="1"/>
  <c r="H342" i="1"/>
  <c r="BS342" i="1" s="1"/>
  <c r="H340" i="1"/>
  <c r="BS340" i="1" s="1"/>
  <c r="H325" i="1"/>
  <c r="BS325" i="1" s="1"/>
  <c r="H326" i="1"/>
  <c r="BS326" i="1" s="1"/>
  <c r="H324" i="1"/>
  <c r="BS324" i="1" s="1"/>
  <c r="H309" i="1"/>
  <c r="BS309" i="1" s="1"/>
  <c r="H310" i="1"/>
  <c r="BS310" i="1" s="1"/>
  <c r="H308" i="1"/>
  <c r="BS308" i="1" s="1"/>
  <c r="H357" i="1"/>
  <c r="BS357" i="1" s="1"/>
  <c r="H358" i="1"/>
  <c r="BS358" i="1" s="1"/>
  <c r="H356" i="1"/>
  <c r="BS356" i="1" s="1"/>
  <c r="H337" i="1"/>
  <c r="BS337" i="1" s="1"/>
  <c r="H338" i="1"/>
  <c r="BS338" i="1" s="1"/>
  <c r="H336" i="1"/>
  <c r="BS336" i="1" s="1"/>
  <c r="H321" i="1"/>
  <c r="BS321" i="1" s="1"/>
  <c r="H322" i="1"/>
  <c r="BS322" i="1" s="1"/>
  <c r="H320" i="1"/>
  <c r="BS320" i="1" s="1"/>
  <c r="H305" i="1"/>
  <c r="BS305" i="1" s="1"/>
  <c r="H306" i="1"/>
  <c r="BS306" i="1" s="1"/>
  <c r="H304" i="1"/>
  <c r="BS304" i="1" s="1"/>
  <c r="H353" i="1"/>
  <c r="BS353" i="1" s="1"/>
  <c r="H354" i="1"/>
  <c r="BS354" i="1" s="1"/>
  <c r="H352" i="1"/>
  <c r="BS352" i="1" s="1"/>
  <c r="H277" i="1"/>
  <c r="BS277" i="1" s="1"/>
  <c r="H333" i="1"/>
  <c r="BS333" i="1" s="1"/>
  <c r="H317" i="1"/>
  <c r="BS317" i="1" s="1"/>
  <c r="H301" i="1"/>
  <c r="BS301" i="1" s="1"/>
  <c r="H293" i="1"/>
  <c r="BS293" i="1" s="1"/>
  <c r="H286" i="1"/>
  <c r="BS286" i="1" s="1"/>
  <c r="H349" i="1"/>
  <c r="BS349" i="1" s="1"/>
  <c r="BS269" i="1"/>
  <c r="H275" i="1"/>
  <c r="BS275" i="1" s="1"/>
  <c r="H265" i="1"/>
  <c r="BS265" i="1" s="1"/>
  <c r="H272" i="1"/>
  <c r="BS272" i="1" s="1"/>
  <c r="H263" i="1"/>
  <c r="BS263" i="1" s="1"/>
  <c r="H266" i="1"/>
  <c r="BS266" i="1" s="1"/>
  <c r="H273" i="1"/>
  <c r="BS273" i="1" s="1"/>
  <c r="H270" i="1"/>
  <c r="BS270" i="1" s="1"/>
  <c r="H261" i="1"/>
  <c r="BS261" i="1" s="1"/>
  <c r="H268" i="1"/>
  <c r="BS268" i="1" s="1"/>
  <c r="H274" i="1"/>
  <c r="BS274" i="1" s="1"/>
  <c r="H264" i="1"/>
  <c r="BS264" i="1" s="1"/>
  <c r="H271" i="1"/>
  <c r="BS271" i="1" s="1"/>
  <c r="H262" i="1"/>
  <c r="BS262" i="1" s="1"/>
  <c r="H267" i="1"/>
  <c r="BS267" i="1" s="1"/>
  <c r="H228" i="1"/>
  <c r="BS228" i="1" s="1"/>
  <c r="H258" i="1"/>
  <c r="BS258" i="1" s="1"/>
  <c r="H208" i="1"/>
  <c r="BS208" i="1" s="1"/>
  <c r="H210" i="1"/>
  <c r="BS210" i="1" s="1"/>
  <c r="H209" i="1"/>
  <c r="BS209" i="1" s="1"/>
  <c r="H211" i="1"/>
  <c r="BS211" i="1" s="1"/>
  <c r="H225" i="1"/>
  <c r="BS225" i="1" s="1"/>
  <c r="H251" i="1"/>
  <c r="BS251" i="1" s="1"/>
  <c r="H250" i="1"/>
  <c r="BS250" i="1" s="1"/>
  <c r="H227" i="1"/>
  <c r="BS227" i="1" s="1"/>
  <c r="H255" i="1"/>
  <c r="BS255" i="1" s="1"/>
  <c r="H254" i="1"/>
  <c r="BS254" i="1" s="1"/>
  <c r="H195" i="1"/>
  <c r="BS195" i="1" s="1"/>
  <c r="H189" i="1"/>
  <c r="BS189" i="1" s="1"/>
  <c r="H187" i="1"/>
  <c r="BS187" i="1" s="1"/>
  <c r="H182" i="1"/>
  <c r="BS182" i="1" s="1"/>
  <c r="H231" i="1"/>
  <c r="BS231" i="1" s="1"/>
  <c r="H224" i="1"/>
  <c r="BS224" i="1" s="1"/>
  <c r="H185" i="1"/>
  <c r="BS185" i="1" s="1"/>
  <c r="H198" i="1"/>
  <c r="BS198" i="1" s="1"/>
  <c r="H197" i="1"/>
  <c r="BS197" i="1" s="1"/>
  <c r="H193" i="1"/>
  <c r="BS193" i="1" s="1"/>
  <c r="H192" i="1"/>
  <c r="BS192" i="1" s="1"/>
  <c r="H191" i="1"/>
  <c r="BS191" i="1" s="1"/>
  <c r="H205" i="1"/>
  <c r="BS205" i="1" s="1"/>
  <c r="H204" i="1"/>
  <c r="BS204" i="1" s="1"/>
  <c r="H203" i="1"/>
  <c r="BS203" i="1" s="1"/>
  <c r="H202" i="1"/>
  <c r="BS202" i="1" s="1"/>
  <c r="H201" i="1"/>
  <c r="BS201" i="1" s="1"/>
  <c r="H200" i="1"/>
  <c r="BS200" i="1" s="1"/>
  <c r="H249" i="1"/>
  <c r="BS249" i="1" s="1"/>
  <c r="H248" i="1"/>
  <c r="BS248" i="1" s="1"/>
  <c r="H222" i="1"/>
  <c r="BS222" i="1" s="1"/>
  <c r="H245" i="1"/>
  <c r="BS245" i="1" s="1"/>
  <c r="H244" i="1"/>
  <c r="BS244" i="1" s="1"/>
  <c r="H194" i="1"/>
  <c r="BS194" i="1" s="1"/>
  <c r="H190" i="1"/>
  <c r="BS190" i="1" s="1"/>
  <c r="H188" i="1"/>
  <c r="BS188" i="1" s="1"/>
  <c r="H186" i="1"/>
  <c r="BS186" i="1" s="1"/>
  <c r="H181" i="1"/>
  <c r="BS181" i="1" s="1"/>
  <c r="H230" i="1"/>
  <c r="BS230" i="1" s="1"/>
  <c r="H223" i="1"/>
  <c r="BS223" i="1" s="1"/>
  <c r="H212" i="1"/>
  <c r="BS212" i="1" s="1"/>
  <c r="H221" i="1"/>
  <c r="BS221" i="1" s="1"/>
  <c r="H253" i="1"/>
  <c r="BS253" i="1" s="1"/>
  <c r="H252" i="1"/>
  <c r="BS252" i="1" s="1"/>
  <c r="H196" i="1"/>
  <c r="BS196" i="1" s="1"/>
  <c r="H260" i="1"/>
  <c r="BS260" i="1" s="1"/>
  <c r="H259" i="1"/>
  <c r="BS259" i="1" s="1"/>
  <c r="H183" i="1"/>
  <c r="BS183" i="1" s="1"/>
  <c r="H257" i="1"/>
  <c r="BS257" i="1" s="1"/>
  <c r="H256" i="1"/>
  <c r="BS256" i="1" s="1"/>
  <c r="H226" i="1"/>
  <c r="BS226" i="1" s="1"/>
  <c r="H243" i="1"/>
  <c r="BS243" i="1" s="1"/>
  <c r="H242" i="1"/>
  <c r="BS242" i="1" s="1"/>
  <c r="H229" i="1"/>
  <c r="BS229" i="1" s="1"/>
  <c r="H199" i="1"/>
  <c r="BS199" i="1" s="1"/>
  <c r="H207" i="1"/>
  <c r="BS207" i="1" s="1"/>
  <c r="H206" i="1"/>
  <c r="BS206" i="1" s="1"/>
  <c r="H216" i="1"/>
  <c r="BS216" i="1" s="1"/>
  <c r="H180" i="1"/>
  <c r="BS180" i="1" s="1"/>
  <c r="H239" i="1"/>
  <c r="BS239" i="1" s="1"/>
  <c r="H238" i="1"/>
  <c r="BS238" i="1" s="1"/>
  <c r="H220" i="1"/>
  <c r="BS220" i="1" s="1"/>
  <c r="H179" i="1"/>
  <c r="BS179" i="1" s="1"/>
  <c r="H237" i="1"/>
  <c r="BS237" i="1" s="1"/>
  <c r="H236" i="1"/>
  <c r="BS236" i="1" s="1"/>
  <c r="H218" i="1"/>
  <c r="BS218" i="1" s="1"/>
  <c r="H217" i="1"/>
  <c r="BS217" i="1" s="1"/>
  <c r="H235" i="1"/>
  <c r="BS235" i="1" s="1"/>
  <c r="H234" i="1"/>
  <c r="BS234" i="1" s="1"/>
  <c r="H184" i="1"/>
  <c r="BS184" i="1" s="1"/>
  <c r="H178" i="1"/>
  <c r="BS178" i="1" s="1"/>
  <c r="H247" i="1"/>
  <c r="BS247" i="1" s="1"/>
  <c r="H246" i="1"/>
  <c r="BS246" i="1" s="1"/>
  <c r="H241" i="1"/>
  <c r="BS241" i="1" s="1"/>
  <c r="H240" i="1"/>
  <c r="BS240" i="1" s="1"/>
  <c r="H233" i="1"/>
  <c r="BS233" i="1" s="1"/>
  <c r="H232" i="1"/>
  <c r="BS232" i="1" s="1"/>
  <c r="H215" i="1"/>
  <c r="BS215" i="1" s="1"/>
  <c r="H213" i="1"/>
  <c r="BS213" i="1" s="1"/>
  <c r="H214" i="1"/>
  <c r="BS214" i="1" s="1"/>
  <c r="H219" i="1"/>
  <c r="BS219" i="1" s="1"/>
  <c r="H177" i="1"/>
  <c r="BS177" i="1" s="1"/>
  <c r="H176" i="1"/>
  <c r="BS176" i="1" s="1"/>
  <c r="H174" i="1"/>
  <c r="BS174" i="1" s="1"/>
  <c r="H172" i="1"/>
  <c r="BS172" i="1" s="1"/>
  <c r="H173" i="1"/>
  <c r="BS173" i="1" s="1"/>
  <c r="H162" i="1"/>
  <c r="BS162" i="1" s="1"/>
  <c r="H169" i="1"/>
  <c r="BS169" i="1" s="1"/>
  <c r="H161" i="1"/>
  <c r="BS161" i="1" s="1"/>
  <c r="H166" i="1"/>
  <c r="BS166" i="1" s="1"/>
  <c r="H165" i="1"/>
  <c r="BS165" i="1" s="1"/>
  <c r="H164" i="1"/>
  <c r="BS164" i="1" s="1"/>
  <c r="H163" i="1"/>
  <c r="BS163" i="1" s="1"/>
  <c r="H171" i="1"/>
  <c r="BS171" i="1" s="1"/>
  <c r="H170" i="1"/>
  <c r="BS170" i="1" s="1"/>
  <c r="H160" i="1"/>
  <c r="BS160" i="1" s="1"/>
  <c r="H156" i="1"/>
  <c r="BS156" i="1" s="1"/>
  <c r="H155" i="1"/>
  <c r="BS155" i="1" s="1"/>
  <c r="H159" i="1"/>
  <c r="BS159" i="1" s="1"/>
  <c r="H158" i="1"/>
  <c r="BS158" i="1" s="1"/>
  <c r="H157" i="1"/>
  <c r="BS157" i="1" s="1"/>
  <c r="H131" i="1"/>
  <c r="BS131" i="1" s="1"/>
  <c r="H130" i="1"/>
  <c r="BS130" i="1" s="1"/>
  <c r="H151" i="1"/>
  <c r="BS151" i="1" s="1"/>
  <c r="H149" i="1"/>
  <c r="BS149" i="1" s="1"/>
  <c r="H150" i="1"/>
  <c r="BS150" i="1" s="1"/>
  <c r="H148" i="1"/>
  <c r="BS148" i="1" s="1"/>
  <c r="H146" i="1"/>
  <c r="BS146" i="1" s="1"/>
  <c r="H147" i="1"/>
  <c r="BS147" i="1" s="1"/>
  <c r="H142" i="1"/>
  <c r="BS142" i="1" s="1"/>
  <c r="H140" i="1"/>
  <c r="BS140" i="1" s="1"/>
  <c r="H141" i="1"/>
  <c r="BS141" i="1" s="1"/>
  <c r="H145" i="1"/>
  <c r="BS145" i="1" s="1"/>
  <c r="H144" i="1"/>
  <c r="BS144" i="1" s="1"/>
  <c r="H143" i="1"/>
  <c r="BS143" i="1" s="1"/>
  <c r="H139" i="1"/>
  <c r="BS139" i="1" s="1"/>
  <c r="H138" i="1"/>
  <c r="BS138" i="1" s="1"/>
  <c r="H136" i="1"/>
  <c r="BS136" i="1" s="1"/>
  <c r="H137" i="1"/>
  <c r="BS137" i="1" s="1"/>
  <c r="H153" i="1"/>
  <c r="BS153" i="1" s="1"/>
  <c r="H152" i="1"/>
  <c r="BS152" i="1" s="1"/>
  <c r="H128" i="1"/>
  <c r="BS128" i="1" s="1"/>
  <c r="H129" i="1"/>
  <c r="BS129" i="1" s="1"/>
  <c r="H135" i="1"/>
  <c r="BS135" i="1" s="1"/>
  <c r="H134" i="1"/>
  <c r="BS134" i="1" s="1"/>
  <c r="H133" i="1"/>
  <c r="BS133" i="1" s="1"/>
  <c r="H132" i="1"/>
  <c r="BS132" i="1" s="1"/>
  <c r="H154" i="1"/>
  <c r="BS154" i="1" s="1"/>
  <c r="H126" i="1"/>
  <c r="BS126" i="1" s="1"/>
  <c r="H127" i="1"/>
  <c r="BS127" i="1" s="1"/>
  <c r="H122" i="1"/>
  <c r="BS122" i="1" s="1"/>
  <c r="H124" i="1"/>
  <c r="BS124" i="1" s="1"/>
  <c r="H119" i="1"/>
  <c r="BS119" i="1" s="1"/>
  <c r="H125" i="1"/>
  <c r="BS125" i="1" s="1"/>
  <c r="H123" i="1"/>
  <c r="BS123" i="1" s="1"/>
  <c r="H121" i="1"/>
  <c r="BS121" i="1" s="1"/>
  <c r="H120" i="1"/>
  <c r="BS120" i="1" s="1"/>
  <c r="H111" i="1"/>
  <c r="BS111" i="1" s="1"/>
  <c r="H110" i="1"/>
  <c r="BS110" i="1" s="1"/>
  <c r="H118" i="1"/>
  <c r="BS118" i="1" s="1"/>
  <c r="H108" i="1"/>
  <c r="BS108" i="1" s="1"/>
  <c r="H107" i="1"/>
  <c r="BS107" i="1" s="1"/>
  <c r="H104" i="1"/>
  <c r="BS104" i="1" s="1"/>
  <c r="H103" i="1"/>
  <c r="BS103" i="1" s="1"/>
  <c r="H100" i="1"/>
  <c r="BS100" i="1" s="1"/>
  <c r="H99" i="1"/>
  <c r="BS99" i="1" s="1"/>
  <c r="H96" i="1"/>
  <c r="BS96" i="1" s="1"/>
  <c r="H94" i="1"/>
  <c r="BS94" i="1" s="1"/>
  <c r="H106" i="1"/>
  <c r="BS106" i="1" s="1"/>
  <c r="H105" i="1"/>
  <c r="BS105" i="1" s="1"/>
  <c r="H102" i="1"/>
  <c r="BS102" i="1" s="1"/>
  <c r="H101" i="1"/>
  <c r="BS101" i="1" s="1"/>
  <c r="H98" i="1"/>
  <c r="BS98" i="1" s="1"/>
  <c r="H97" i="1"/>
  <c r="BS97" i="1" s="1"/>
  <c r="H109" i="1"/>
  <c r="BS109" i="1" s="1"/>
  <c r="H95" i="1"/>
  <c r="BS95" i="1" s="1"/>
  <c r="H93" i="1"/>
  <c r="BS93" i="1" s="1"/>
  <c r="H89" i="1"/>
  <c r="BS89" i="1" s="1"/>
  <c r="H83" i="1"/>
  <c r="BS83" i="1" s="1"/>
  <c r="H91" i="1"/>
  <c r="BS91" i="1" s="1"/>
  <c r="H80" i="1"/>
  <c r="BS80" i="1" s="1"/>
  <c r="H75" i="1"/>
  <c r="BS75" i="1" s="1"/>
  <c r="H74" i="1"/>
  <c r="BS74" i="1" s="1"/>
  <c r="H73" i="1"/>
  <c r="BS73" i="1" s="1"/>
  <c r="H65" i="1"/>
  <c r="BS65" i="1" s="1"/>
  <c r="H92" i="1"/>
  <c r="BS92" i="1" s="1"/>
  <c r="H82" i="1"/>
  <c r="BS82" i="1" s="1"/>
  <c r="H81" i="1"/>
  <c r="BS81" i="1" s="1"/>
  <c r="H90" i="1"/>
  <c r="BS90" i="1" s="1"/>
  <c r="H78" i="1"/>
  <c r="BS78" i="1" s="1"/>
  <c r="H79" i="1"/>
  <c r="BS79" i="1" s="1"/>
  <c r="H72" i="1"/>
  <c r="BS72" i="1" s="1"/>
  <c r="H71" i="1"/>
  <c r="BS71" i="1" s="1"/>
  <c r="H70" i="1"/>
  <c r="BS70" i="1" s="1"/>
  <c r="H69" i="1"/>
  <c r="BS69" i="1" s="1"/>
  <c r="H68" i="1"/>
  <c r="BS68" i="1" s="1"/>
  <c r="H67" i="1"/>
  <c r="BS67" i="1" s="1"/>
  <c r="H66" i="1"/>
  <c r="BS66" i="1" s="1"/>
  <c r="H86" i="1"/>
  <c r="BS86" i="1" s="1"/>
  <c r="H85" i="1"/>
  <c r="BS85" i="1" s="1"/>
  <c r="H84" i="1"/>
  <c r="BS84" i="1" s="1"/>
  <c r="H88" i="1"/>
  <c r="BS88" i="1" s="1"/>
  <c r="H77" i="1"/>
  <c r="BS77" i="1" s="1"/>
  <c r="H76" i="1"/>
  <c r="BS76" i="1" s="1"/>
  <c r="H87" i="1"/>
  <c r="BS87" i="1" s="1"/>
  <c r="H64" i="1"/>
  <c r="BS64" i="1" s="1"/>
  <c r="H48" i="1"/>
  <c r="BS48" i="1" s="1"/>
  <c r="H58" i="1"/>
  <c r="BS58" i="1" s="1"/>
  <c r="H63" i="1"/>
  <c r="BS63" i="1" s="1"/>
  <c r="H51" i="1"/>
  <c r="BS51" i="1" s="1"/>
  <c r="H54" i="1"/>
  <c r="BS54" i="1" s="1"/>
  <c r="H53" i="1"/>
  <c r="BS53" i="1" s="1"/>
  <c r="H52" i="1"/>
  <c r="BS52" i="1" s="1"/>
  <c r="H50" i="1"/>
  <c r="BS50" i="1" s="1"/>
  <c r="H59" i="1"/>
  <c r="BS59" i="1" s="1"/>
  <c r="H49" i="1"/>
  <c r="BS49" i="1" s="1"/>
  <c r="H60" i="1"/>
  <c r="BS60" i="1" s="1"/>
  <c r="H62" i="1"/>
  <c r="BS62" i="1" s="1"/>
  <c r="H61" i="1"/>
  <c r="BS61" i="1" s="1"/>
  <c r="H47" i="1"/>
  <c r="BS47" i="1" s="1"/>
  <c r="H46" i="1"/>
  <c r="BS46" i="1" s="1"/>
  <c r="H45" i="1"/>
  <c r="BS45" i="1" s="1"/>
  <c r="H57" i="1"/>
  <c r="BS57" i="1" s="1"/>
  <c r="H56" i="1"/>
  <c r="BS56" i="1" s="1"/>
  <c r="H55" i="1"/>
  <c r="BS55" i="1" s="1"/>
  <c r="H30" i="1"/>
  <c r="BS30" i="1" s="1"/>
  <c r="H43" i="1"/>
  <c r="BS43" i="1" s="1"/>
  <c r="H42" i="1"/>
  <c r="BS42" i="1" s="1"/>
  <c r="H40" i="1"/>
  <c r="BS40" i="1" s="1"/>
  <c r="H39" i="1"/>
  <c r="BS39" i="1" s="1"/>
  <c r="H34" i="1"/>
  <c r="BS34" i="1" s="1"/>
  <c r="H33" i="1"/>
  <c r="BS33" i="1" s="1"/>
  <c r="H37" i="1"/>
  <c r="BS37" i="1" s="1"/>
  <c r="H36" i="1"/>
  <c r="BS36" i="1" s="1"/>
  <c r="H32" i="1"/>
  <c r="BS32" i="1" s="1"/>
  <c r="H44" i="1"/>
  <c r="BS44" i="1" s="1"/>
  <c r="H41" i="1"/>
  <c r="BS41" i="1" s="1"/>
  <c r="H38" i="1"/>
  <c r="BS38" i="1" s="1"/>
  <c r="H35" i="1"/>
  <c r="BS35" i="1" s="1"/>
  <c r="H31" i="1"/>
  <c r="BS31" i="1" s="1"/>
  <c r="H27" i="1"/>
  <c r="BS27" i="1" s="1"/>
  <c r="H28" i="1"/>
  <c r="BS28" i="1" s="1"/>
  <c r="H25" i="1"/>
  <c r="BS25" i="1" s="1"/>
  <c r="H26" i="1"/>
  <c r="BS26" i="1" s="1"/>
  <c r="H29" i="1"/>
  <c r="BS29" i="1" s="1"/>
  <c r="H24" i="1"/>
  <c r="BS24" i="1" s="1"/>
  <c r="H23" i="1"/>
  <c r="BS23" i="1" s="1"/>
  <c r="H22" i="1"/>
  <c r="BS22" i="1" s="1"/>
  <c r="H21" i="1"/>
  <c r="BS21" i="1" s="1"/>
  <c r="H20" i="1"/>
  <c r="BS20" i="1" s="1"/>
  <c r="H19" i="1"/>
  <c r="BS19" i="1" s="1"/>
  <c r="H18" i="1"/>
  <c r="BS18" i="1" s="1"/>
  <c r="H17" i="1"/>
  <c r="BS17" i="1" s="1"/>
  <c r="H11" i="1"/>
  <c r="BS11" i="1" s="1"/>
  <c r="H10" i="1"/>
  <c r="BS10" i="1" s="1"/>
  <c r="H15" i="1"/>
  <c r="BS15" i="1" s="1"/>
  <c r="H14" i="1"/>
  <c r="BS14" i="1" s="1"/>
  <c r="H13" i="1"/>
  <c r="BS13" i="1" s="1"/>
  <c r="H12" i="1"/>
  <c r="BS12" i="1" s="1"/>
  <c r="H16" i="1"/>
  <c r="BS16" i="1" s="1"/>
  <c r="H5" i="1"/>
  <c r="BS5" i="1" s="1"/>
  <c r="H6" i="1"/>
  <c r="BS6" i="1" s="1"/>
  <c r="H8" i="1"/>
  <c r="BS8" i="1" s="1"/>
  <c r="H9" i="1"/>
  <c r="BS9" i="1" s="1"/>
  <c r="BQ2" i="1"/>
  <c r="H7" i="1" l="1"/>
  <c r="BS7" i="1" s="1"/>
  <c r="H4" i="1"/>
  <c r="BS4" i="1" s="1"/>
  <c r="BR2" i="1"/>
  <c r="BQ1" i="1" s="1"/>
  <c r="BS2" i="1" l="1"/>
  <c r="BT1" i="1" s="1"/>
  <c r="B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Rui Garrido</author>
  </authors>
  <commentList>
    <comment ref="J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ID#AAAAMJpsRTU
Toshiba    (2021-05-24 09:57:50)
GV - ANTÓNIO VELOSO
RG - RUI GARRIDO
DP - DIOGO PEREIRA
DR - DIOGO RAMOS
MS - MARCO SILVA
CB - CARLOS BRANCO
LM - LEANDRO MAIA
LI - LICINIO
TI - TIAGO</t>
        </r>
      </text>
    </comment>
    <comment ref="O1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ID#AAAAMJpsRTQ
Toshiba    (2021-05-24 09:57:50)
GV - ANTÓNIO VELOSO
RG - RUI GARRIDO
DP - DIOGO PEREIRA
MS - MARCO SILVA
CB - CARLOS BRANCO
LM - LEANDRO MAIA
LI - LICINIO
MF - MIGUEL FERREIRA</t>
        </r>
      </text>
    </comment>
    <comment ref="BO17" authorId="1" shapeId="0" xr:uid="{4788D1F5-B79A-474F-A0E7-8D5AB89573C5}">
      <text>
        <r>
          <rPr>
            <sz val="9"/>
            <color indexed="81"/>
            <rFont val="Tahoma"/>
            <family val="2"/>
          </rPr>
          <t>FOI FEITA A INSPECÇÃO</t>
        </r>
      </text>
    </comment>
    <comment ref="F70" authorId="0" shapeId="0" xr:uid="{00000000-0006-0000-0000-000001000000}">
      <text>
        <r>
          <rPr>
            <sz val="11"/>
            <color theme="1"/>
            <rFont val="Calibri"/>
            <scheme val="minor"/>
          </rPr>
          <t>2025
======</t>
        </r>
      </text>
    </comment>
    <comment ref="F71" authorId="0" shapeId="0" xr:uid="{00000000-0006-0000-0000-000002000000}">
      <text>
        <r>
          <rPr>
            <sz val="11"/>
            <color theme="1"/>
            <rFont val="Calibri"/>
            <scheme val="minor"/>
          </rPr>
          <t>2023
======</t>
        </r>
      </text>
    </comment>
    <comment ref="P202" authorId="0" shapeId="0" xr:uid="{00000000-0006-0000-0000-000007000000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  <comment ref="BB202" authorId="0" shapeId="0" xr:uid="{00000000-0006-0000-0000-000008000000}">
      <text>
        <r>
          <rPr>
            <sz val="11"/>
            <color theme="1"/>
            <rFont val="Calibri"/>
            <scheme val="minor"/>
          </rPr>
          <t>Troca do motor Siemens que foi reparado na Kaeser.
======</t>
        </r>
      </text>
    </comment>
    <comment ref="F506" authorId="0" shapeId="0" xr:uid="{00000000-0006-0000-0000-00000B000000}">
      <text>
        <r>
          <rPr>
            <sz val="11"/>
            <color theme="1"/>
            <rFont val="Calibri"/>
            <scheme val="minor"/>
          </rPr>
          <t>PRÓXIMA VERIFICAÇÃO IBEROLEVA:
2023
======</t>
        </r>
      </text>
    </comment>
    <comment ref="F508" authorId="0" shapeId="0" xr:uid="{00000000-0006-0000-0000-00000C000000}">
      <text>
        <r>
          <rPr>
            <sz val="11"/>
            <color theme="1"/>
            <rFont val="Calibri"/>
            <scheme val="minor"/>
          </rPr>
          <t>PRÓXIMA VERIFICAÇÃO IBEROLEVA:
2023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86B66F8D-7D78-4B39-925C-E209F7A7A6E2}">
      <text>
        <r>
          <rPr>
            <sz val="11"/>
            <color theme="1"/>
            <rFont val="Calibri"/>
            <scheme val="minor"/>
          </rPr>
          <t>======
ID#AAAAMJpsRTU
Toshiba    (2021-05-24 09:57:50)
GV - ANTÓNIO VELOSO
RG - RUI GARRIDO
DP - DIOGO PEREIRA
DR - DIOGO RAMOS
MS - MARCO SILVA
CB - CARLOS BRANCO
LM - LEANDRO MAIA
LI - LICINIO
TI - TIAGO</t>
        </r>
      </text>
    </comment>
    <comment ref="O1" authorId="0" shapeId="0" xr:uid="{3486283D-A0AC-4DF5-AD69-197E2E90C691}">
      <text>
        <r>
          <rPr>
            <sz val="11"/>
            <color theme="1"/>
            <rFont val="Calibri"/>
            <scheme val="minor"/>
          </rPr>
          <t>======
ID#AAAAMJpsRTQ
Toshiba    (2021-05-24 09:57:50)
GV - ANTÓNIO VELOSO
RG - RUI GARRIDO
DP - DIOGO PEREIRA
MS - MARCO SILVA
CB - CARLOS BRANCO
LM - LEANDRO MAIA
LI - LICINIO
MF - MIGUEL FERREIRA</t>
        </r>
      </text>
    </comment>
    <comment ref="F70" authorId="0" shapeId="0" xr:uid="{CA429FA4-1C7A-4461-B01E-87690EDFE572}">
      <text>
        <r>
          <rPr>
            <sz val="11"/>
            <color theme="1"/>
            <rFont val="Calibri"/>
            <scheme val="minor"/>
          </rPr>
          <t>2025
======</t>
        </r>
      </text>
    </comment>
    <comment ref="F71" authorId="0" shapeId="0" xr:uid="{97A5FEDD-DA34-433E-8EF4-41B074291CF5}">
      <text>
        <r>
          <rPr>
            <sz val="11"/>
            <color theme="1"/>
            <rFont val="Calibri"/>
            <scheme val="minor"/>
          </rPr>
          <t>2023
======</t>
        </r>
      </text>
    </comment>
    <comment ref="P199" authorId="0" shapeId="0" xr:uid="{2D765064-E909-4513-AD5B-FC662930703E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04" authorId="0" shapeId="0" xr:uid="{C7217540-0910-4592-A747-57DF20D2AA93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4" authorId="0" shapeId="0" xr:uid="{CFF0D554-3FA9-4267-835F-0FC491928ABF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4" authorId="0" shapeId="0" xr:uid="{0E6C0F44-176F-4268-AF69-A2F2AE23BA67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F0560980-1026-47AC-B932-22F290961116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2A938B0D-B5F0-4D64-8B07-100267A349B3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F170F510-4B04-4E0D-8D66-EA714CCB89BF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4A49DA14-6BB6-4124-9440-0D02574F63A1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5F5E3F58-5D60-4CC0-8107-3BC79D917946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8565F744-E0A9-4325-94D9-9BF6373B2879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56D20AF9-2EC5-42AC-84A7-9664D8854F9E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1E3840E2-5627-4DCD-9317-491558BDB0F1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D47989F6-3218-4CB9-80A9-7F5135B7E206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2" authorId="0" shapeId="0" xr:uid="{B321E114-0DC6-4B56-AB21-51CEB26F6FE7}">
      <text>
        <r>
          <rPr>
            <sz val="11"/>
            <color theme="1"/>
            <rFont val="Calibri"/>
            <scheme val="minor"/>
          </rPr>
          <t>Troca de bloco + rolamentos motor
======</t>
        </r>
      </text>
    </comment>
  </commentList>
</comments>
</file>

<file path=xl/sharedStrings.xml><?xml version="1.0" encoding="utf-8"?>
<sst xmlns="http://schemas.openxmlformats.org/spreadsheetml/2006/main" count="58434" uniqueCount="887">
  <si>
    <t>TÉCNICOS</t>
  </si>
  <si>
    <t>PARAGEM DEZ 2019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</si>
  <si>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</si>
  <si>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</si>
  <si>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</si>
  <si>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</si>
  <si>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</si>
  <si>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</si>
  <si>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</si>
  <si>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</si>
  <si>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</si>
  <si>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</si>
  <si>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</si>
  <si>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</si>
  <si>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</si>
  <si>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</si>
  <si>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</si>
  <si>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</si>
  <si>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</si>
  <si>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</si>
  <si>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</si>
  <si>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</si>
  <si>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</si>
  <si>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</si>
  <si>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</si>
  <si>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</si>
  <si>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</si>
  <si>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</si>
  <si>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</si>
  <si>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</si>
  <si>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</si>
  <si>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</si>
  <si>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</si>
  <si>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</si>
  <si>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</si>
  <si>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</si>
  <si>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</si>
  <si>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</si>
  <si>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</si>
  <si>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</si>
  <si>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</si>
  <si>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</si>
  <si>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</si>
  <si>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</si>
  <si>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</si>
  <si>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</si>
  <si>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</si>
  <si>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</si>
  <si>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</si>
  <si>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</si>
  <si>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</si>
  <si>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</si>
  <si>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</si>
  <si>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</si>
  <si>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</si>
  <si>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</si>
  <si>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</si>
  <si>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</si>
  <si>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</si>
  <si>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</si>
  <si>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</si>
  <si>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</si>
  <si>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</si>
  <si>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</si>
  <si>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</si>
  <si>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</si>
  <si>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</si>
  <si>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AREA</t>
  </si>
  <si>
    <t>TAG</t>
  </si>
  <si>
    <t>SISTEMA</t>
  </si>
  <si>
    <t>EQUIPAMENTO</t>
  </si>
  <si>
    <t>ACÇÃO</t>
  </si>
  <si>
    <t>TIPO</t>
  </si>
  <si>
    <t>MÊS</t>
  </si>
  <si>
    <t>RACIO %</t>
  </si>
  <si>
    <t>DETALHE</t>
  </si>
  <si>
    <t>DATA / TECNICO / OBS</t>
  </si>
  <si>
    <t>CAT</t>
  </si>
  <si>
    <t>DATA / TECNICO / OBSERVAÇÃO</t>
  </si>
  <si>
    <t>OBS</t>
  </si>
  <si>
    <t>INTERVENÇÕES DEVIDAS</t>
  </si>
  <si>
    <t>INTERVENÇÕES REALIZADAS</t>
  </si>
  <si>
    <t>FEITO 100%</t>
  </si>
  <si>
    <t>TOTAL</t>
  </si>
  <si>
    <t>?</t>
  </si>
  <si>
    <t>5 ANOS-legal</t>
  </si>
  <si>
    <t>ANUAL</t>
  </si>
  <si>
    <t>ANUAL-legal</t>
  </si>
  <si>
    <t>BIANUAL</t>
  </si>
  <si>
    <t>BIENAL-ano impar</t>
  </si>
  <si>
    <t>BIENAL-ano par</t>
  </si>
  <si>
    <t>CONDIÇÃO HORAS</t>
  </si>
  <si>
    <t>legal</t>
  </si>
  <si>
    <t>MENSAL</t>
  </si>
  <si>
    <t>MENSAL-legal</t>
  </si>
  <si>
    <t>SEMANAL</t>
  </si>
  <si>
    <t>TRIANUAL</t>
  </si>
  <si>
    <t xml:space="preserve">10 Y3  </t>
  </si>
  <si>
    <t>BASCULA</t>
  </si>
  <si>
    <t>AGO</t>
  </si>
  <si>
    <t>A</t>
  </si>
  <si>
    <t xml:space="preserve">20 Y1 H1 </t>
  </si>
  <si>
    <t>AGUAS</t>
  </si>
  <si>
    <t>CALDEIRA GAS</t>
  </si>
  <si>
    <t>Externo - verificar estado conservação/funcionamento</t>
  </si>
  <si>
    <t>B</t>
  </si>
  <si>
    <t xml:space="preserve">20 Y2  </t>
  </si>
  <si>
    <t>ESGOTO</t>
  </si>
  <si>
    <t>ESTAÇÃO ELEVATORIA EFLUENTE DOMESTICO</t>
  </si>
  <si>
    <t>verificação funcionamento das bombas e fossas</t>
  </si>
  <si>
    <t xml:space="preserve">20 Y1 O1 </t>
  </si>
  <si>
    <t>PAINEL SOLAR</t>
  </si>
  <si>
    <t xml:space="preserve">20 Y1  </t>
  </si>
  <si>
    <t>SISTEMA AGUAS QUENTES</t>
  </si>
  <si>
    <t>20 I1 Q20</t>
  </si>
  <si>
    <t>UPS</t>
  </si>
  <si>
    <t>UPS 1</t>
  </si>
  <si>
    <t>verificar estado conservação/funcionamento, registar valores</t>
  </si>
  <si>
    <t>FICHA REGISTO</t>
  </si>
  <si>
    <t>JAN, FEV, MAR, ABR, MAI, JUN, JUL, AGO, SET, OUT, NOV, DEZ</t>
  </si>
  <si>
    <t xml:space="preserve">Ficha de Registo - </t>
  </si>
  <si>
    <t xml:space="preserve">30 Q5  </t>
  </si>
  <si>
    <t>PT</t>
  </si>
  <si>
    <t>BATERIA DE CONDENSADORES</t>
  </si>
  <si>
    <t xml:space="preserve">30 Q3  </t>
  </si>
  <si>
    <t>GERADOR ELECTRICO</t>
  </si>
  <si>
    <t>Simulação de corte de energia</t>
  </si>
  <si>
    <t>AGO, DEZ</t>
  </si>
  <si>
    <t xml:space="preserve">30 Q4  </t>
  </si>
  <si>
    <t>QUADRO GERAL BAIXA TENSÃO</t>
  </si>
  <si>
    <t>verificar estado conservação/funcionamento</t>
  </si>
  <si>
    <t>Externo - medição valores terra</t>
  </si>
  <si>
    <t>ANUAL-STP</t>
  </si>
  <si>
    <t xml:space="preserve">30 Q1  </t>
  </si>
  <si>
    <t>SECCIONADOR MEDIA TENSÃO</t>
  </si>
  <si>
    <t xml:space="preserve">30 Q2  </t>
  </si>
  <si>
    <t>TRANSFORMADOR</t>
  </si>
  <si>
    <t>31Y1</t>
  </si>
  <si>
    <t>GAS</t>
  </si>
  <si>
    <t>SECCIONADOR/REDUTOR GAS NATURAL</t>
  </si>
  <si>
    <t>verificação PRM</t>
  </si>
  <si>
    <t>PLANO</t>
  </si>
  <si>
    <t>verificar fugas na instalação jusante PRM</t>
  </si>
  <si>
    <t>medição valores terra</t>
  </si>
  <si>
    <t>40 Y1</t>
  </si>
  <si>
    <t>SEPARADOR</t>
  </si>
  <si>
    <t>SEPARADOR DE HIDROCARBONETOS</t>
  </si>
  <si>
    <t xml:space="preserve">40 Y2  </t>
  </si>
  <si>
    <t>40 Y3</t>
  </si>
  <si>
    <t>RETENÇÃO</t>
  </si>
  <si>
    <t>BACIA DE RETENÇÃO</t>
  </si>
  <si>
    <t>40 Y4</t>
  </si>
  <si>
    <t>DRENAGEM</t>
  </si>
  <si>
    <t>REDE DE DRENAGEM</t>
  </si>
  <si>
    <t xml:space="preserve">50 N1  </t>
  </si>
  <si>
    <t>CAIS</t>
  </si>
  <si>
    <t>CAIS CARGA 3</t>
  </si>
  <si>
    <t xml:space="preserve">50 N2 Y1 </t>
  </si>
  <si>
    <t>MONTA CARGAS</t>
  </si>
  <si>
    <t>CENTRAL HIDRAULICA</t>
  </si>
  <si>
    <t>verificar/reparar fugas</t>
  </si>
  <si>
    <t xml:space="preserve">50 N2  </t>
  </si>
  <si>
    <t>limpeza dos sensores e verificar fugas</t>
  </si>
  <si>
    <t xml:space="preserve">50 N2 Q1 </t>
  </si>
  <si>
    <t>QUADRO ELEC. MAQUINA</t>
  </si>
  <si>
    <t>limpeza com ar seco do interior do quadro</t>
  </si>
  <si>
    <t>lubrificar correntes</t>
  </si>
  <si>
    <t>ABR, AGO, DEZ</t>
  </si>
  <si>
    <t>LUBRIFICANTE CORRENTES - WD 40 CORRENTES</t>
  </si>
  <si>
    <t xml:space="preserve"> </t>
  </si>
  <si>
    <t xml:space="preserve">60 A1 B1 </t>
  </si>
  <si>
    <t>MPR-GRANEL</t>
  </si>
  <si>
    <t>BOMBA DESCARGA CISTERNAS</t>
  </si>
  <si>
    <t>verificar fugas</t>
  </si>
  <si>
    <t xml:space="preserve">60 T1 B1 </t>
  </si>
  <si>
    <t>BOMBA TRANSFEGA A DEPOSITO</t>
  </si>
  <si>
    <t xml:space="preserve">60 T2 B1 </t>
  </si>
  <si>
    <t xml:space="preserve">60 T3 B1 </t>
  </si>
  <si>
    <t xml:space="preserve">60 T4 B1 </t>
  </si>
  <si>
    <t xml:space="preserve">60 A2  </t>
  </si>
  <si>
    <t>CIRCUITO VAPOR E CONDENSADOS</t>
  </si>
  <si>
    <t xml:space="preserve">60 T2  </t>
  </si>
  <si>
    <t>DEPOSITO GLICERINA KOSHER</t>
  </si>
  <si>
    <t>verificar equipamentos controlo</t>
  </si>
  <si>
    <t xml:space="preserve">60 T1  </t>
  </si>
  <si>
    <t>DEPOSITO NONYL</t>
  </si>
  <si>
    <t xml:space="preserve">60 T3  </t>
  </si>
  <si>
    <t>DEPOSITO SOJA</t>
  </si>
  <si>
    <t xml:space="preserve">60 T4  </t>
  </si>
  <si>
    <t>DEPOSITO GLICERINA</t>
  </si>
  <si>
    <t xml:space="preserve">60 A1  </t>
  </si>
  <si>
    <t>DESCARGA CISTERNAS</t>
  </si>
  <si>
    <t xml:space="preserve">80 F1 B1 </t>
  </si>
  <si>
    <t>FUNDIDOR</t>
  </si>
  <si>
    <t>BOMBA DESCARGA FUNDIDOR</t>
  </si>
  <si>
    <t>mudar equipamentos se se justificar</t>
  </si>
  <si>
    <t>TRIANUAL-STP</t>
  </si>
  <si>
    <t xml:space="preserve">80 A2 B1 </t>
  </si>
  <si>
    <t>FUNDIÇÃO</t>
  </si>
  <si>
    <t>BOMBA TRANSFEGA A DEPOSITOS DO 122A</t>
  </si>
  <si>
    <t xml:space="preserve">80 F1 Y1 </t>
  </si>
  <si>
    <t>CENTRAL HIDRAULICA DA PRENSA RESINA</t>
  </si>
  <si>
    <t xml:space="preserve">80 A5  </t>
  </si>
  <si>
    <t>CIRCUITO OLEO TERMICO</t>
  </si>
  <si>
    <t>BIANUAL-STP</t>
  </si>
  <si>
    <t>a</t>
  </si>
  <si>
    <t>80 F1 M1</t>
  </si>
  <si>
    <t>DIFERENCIAL</t>
  </si>
  <si>
    <t xml:space="preserve">80 A6 E1 </t>
  </si>
  <si>
    <t>EXAUSTÃO</t>
  </si>
  <si>
    <t>limpar ventilador</t>
  </si>
  <si>
    <t xml:space="preserve">80 F1  </t>
  </si>
  <si>
    <t>FUNDIDOR 1</t>
  </si>
  <si>
    <t>limpeza interior</t>
  </si>
  <si>
    <t>limpeza exterior</t>
  </si>
  <si>
    <t>80 A6 T1</t>
  </si>
  <si>
    <t>DEPOSITO CONDENSADOS</t>
  </si>
  <si>
    <t>vazar deposito condensados</t>
  </si>
  <si>
    <t xml:space="preserve">80 L1  </t>
  </si>
  <si>
    <t>FILTRO ROSIN</t>
  </si>
  <si>
    <t>FILTRO COLOFONIA - HACCP</t>
  </si>
  <si>
    <t>ficha de registo-verificação filtro russell</t>
  </si>
  <si>
    <t>lubrificar ventilador</t>
  </si>
  <si>
    <t>1 empanque - 4un</t>
  </si>
  <si>
    <t>SEM LUBRIFICAÇÃO</t>
  </si>
  <si>
    <t>lubrificar bomba</t>
  </si>
  <si>
    <t>1 rolamento bomba - 4un Alta Temp.</t>
  </si>
  <si>
    <t>TEMPERATURA - DELTAPLEX 2EP</t>
  </si>
  <si>
    <t xml:space="preserve">FILTRO COLOFONIA </t>
  </si>
  <si>
    <t>lubrificar chumaceira</t>
  </si>
  <si>
    <t>1 chumaceira - 4un Alta Temp.</t>
  </si>
  <si>
    <t xml:space="preserve">90 H2 B1 </t>
  </si>
  <si>
    <t>TERMOFLUIDO</t>
  </si>
  <si>
    <t>BOMBA CIRCULAÇÃO</t>
  </si>
  <si>
    <t>1 rolamento - 4un Alta Temp.</t>
  </si>
  <si>
    <t xml:space="preserve">90 H1 B1 </t>
  </si>
  <si>
    <t>VAPOR</t>
  </si>
  <si>
    <t>BOMBA AGUA 1</t>
  </si>
  <si>
    <t xml:space="preserve">90 H1 B2 </t>
  </si>
  <si>
    <t>BOMBA AGUA 2</t>
  </si>
  <si>
    <t>verificar estado conservação/funcionamento e fugas</t>
  </si>
  <si>
    <t xml:space="preserve">90 H2  </t>
  </si>
  <si>
    <t>CALDEIRA TERMOFLUIDO 1</t>
  </si>
  <si>
    <t>abertura, limpeza do interior e fecho</t>
  </si>
  <si>
    <t>empresa externa</t>
  </si>
  <si>
    <t>revisão equipamentos de controlo</t>
  </si>
  <si>
    <t xml:space="preserve">90 H1  </t>
  </si>
  <si>
    <t>GERADOR VAPOR 1</t>
  </si>
  <si>
    <t>empresa exterior</t>
  </si>
  <si>
    <t xml:space="preserve">90 H1 G1 </t>
  </si>
  <si>
    <t>QUEIMADOR</t>
  </si>
  <si>
    <t>revisão geral</t>
  </si>
  <si>
    <t xml:space="preserve">90 H2 G1 </t>
  </si>
  <si>
    <t xml:space="preserve">90 H1 P1 </t>
  </si>
  <si>
    <t>RECUPERADOR CALOR</t>
  </si>
  <si>
    <t xml:space="preserve">90 A1  </t>
  </si>
  <si>
    <t>CIRCUITO TERMOFLUIDO</t>
  </si>
  <si>
    <t>caudal agua bruta</t>
  </si>
  <si>
    <t>caudal agua á caldeira</t>
  </si>
  <si>
    <t>horas funcionamento</t>
  </si>
  <si>
    <t xml:space="preserve">90 H2 E1 </t>
  </si>
  <si>
    <t>VENTILADOR RECUPERADOR CALOR</t>
  </si>
  <si>
    <t>lubrificar motor (motor não tem pontos de lubrificação)</t>
  </si>
  <si>
    <t>2 rolamentos - 4un Alta Temp.</t>
  </si>
  <si>
    <t xml:space="preserve">92 K1  </t>
  </si>
  <si>
    <t>AR/AZOTO</t>
  </si>
  <si>
    <t>plano horas maquina</t>
  </si>
  <si>
    <t xml:space="preserve">92 K2  </t>
  </si>
  <si>
    <t>COMPRESSOR 2 - Atlas Copco GA 22VSD+FF</t>
  </si>
  <si>
    <t>92 T5</t>
  </si>
  <si>
    <t>DEPOSITO IBC CONDENSADOS AR COMPRIMIDO</t>
  </si>
  <si>
    <t>verificar linhas de purga e vazar IBC</t>
  </si>
  <si>
    <t xml:space="preserve">92 T1  </t>
  </si>
  <si>
    <t>RESERVATORIO AR COMPRIMIDO</t>
  </si>
  <si>
    <t xml:space="preserve">92 T2  </t>
  </si>
  <si>
    <t>RESERVATORIO AZOTO GERADOR 1</t>
  </si>
  <si>
    <t xml:space="preserve">92 T3  </t>
  </si>
  <si>
    <t>RESERVATORIO AZOTO GERADOR 2</t>
  </si>
  <si>
    <t>COMPRESSOR 1</t>
  </si>
  <si>
    <t>Externo - revisão da marca</t>
  </si>
  <si>
    <t>COMPRESSOR 2</t>
  </si>
  <si>
    <t xml:space="preserve">93 K2  </t>
  </si>
  <si>
    <t>COMPRESSOR 3 (DESLIGADO)</t>
  </si>
  <si>
    <t>DEZ</t>
  </si>
  <si>
    <t xml:space="preserve">101 Y1 Q1 </t>
  </si>
  <si>
    <t>AGUA</t>
  </si>
  <si>
    <t>QUADRO ELEC. MAQUINA, CENTRAL AGUA</t>
  </si>
  <si>
    <t xml:space="preserve">100 T1 A </t>
  </si>
  <si>
    <t>TANQUE AGUA E REFRIGERAÇÃO</t>
  </si>
  <si>
    <t>verificar/limpar estado de limpeza</t>
  </si>
  <si>
    <t xml:space="preserve">100 O1  </t>
  </si>
  <si>
    <t>FURO HERTEZIANO</t>
  </si>
  <si>
    <t>leitura caudalimetro</t>
  </si>
  <si>
    <t xml:space="preserve">100 T1  </t>
  </si>
  <si>
    <t xml:space="preserve">101 Y1 A1 </t>
  </si>
  <si>
    <t>CIRCUITO ALIMENTAÇÃO AGUA</t>
  </si>
  <si>
    <t>abertura, limpeza do interior, do cesto e fecho - filtro 1mm</t>
  </si>
  <si>
    <t xml:space="preserve">101 Y1 B1 </t>
  </si>
  <si>
    <t>lubrificar motor da bomba</t>
  </si>
  <si>
    <t>2+2 rolamentos - 4un Alta Temp.</t>
  </si>
  <si>
    <t>ESPECIAIS - MOBIL POLUREX NLGI 2</t>
  </si>
  <si>
    <t>1+1 rolamentos - 2un</t>
  </si>
  <si>
    <t xml:space="preserve">101 Y1 L2 </t>
  </si>
  <si>
    <t xml:space="preserve">101 Y2 T1 </t>
  </si>
  <si>
    <t>TRATAMENTO AGUA BRUTA</t>
  </si>
  <si>
    <t>lavar potes sal</t>
  </si>
  <si>
    <t xml:space="preserve">101 Y1  </t>
  </si>
  <si>
    <t>filtro, bombas, pressões</t>
  </si>
  <si>
    <t xml:space="preserve">101 Y2  </t>
  </si>
  <si>
    <t>101 Y1 B2</t>
  </si>
  <si>
    <t xml:space="preserve">102 SI1  </t>
  </si>
  <si>
    <t>CENTRAL AGUAS SI</t>
  </si>
  <si>
    <t>funcionamento, testes, pressão</t>
  </si>
  <si>
    <t>2 rolamentos - 4un</t>
  </si>
  <si>
    <t>2 rolamentos - 2un</t>
  </si>
  <si>
    <t xml:space="preserve">110 Y1  </t>
  </si>
  <si>
    <t xml:space="preserve">110 I 1 Q3 </t>
  </si>
  <si>
    <t>MONITOR</t>
  </si>
  <si>
    <t>PC ESCRAVO 1</t>
  </si>
  <si>
    <t>limpeza com ar seco</t>
  </si>
  <si>
    <t xml:space="preserve">110 I 1 Q4 </t>
  </si>
  <si>
    <t>PC ESCRAVO 2</t>
  </si>
  <si>
    <t xml:space="preserve">110 I 1 Q5 </t>
  </si>
  <si>
    <t>PC ESCRAVO 3</t>
  </si>
  <si>
    <t xml:space="preserve">110 I 1 Q6 </t>
  </si>
  <si>
    <t>PC ESCRAVO 4 - 121A</t>
  </si>
  <si>
    <t xml:space="preserve">110 I 1 Q2 </t>
  </si>
  <si>
    <t>PC SERVER</t>
  </si>
  <si>
    <t xml:space="preserve">110 I 1 Q1 </t>
  </si>
  <si>
    <t>QUADRO AUTOMATO</t>
  </si>
  <si>
    <t xml:space="preserve">110 I2 QA9 </t>
  </si>
  <si>
    <t>QUADRO ELEC. AUTOMAÇÃO 120A-CONDENSADOS</t>
  </si>
  <si>
    <t>verificar a aparelhagem</t>
  </si>
  <si>
    <t xml:space="preserve">110 I2 QA1 </t>
  </si>
  <si>
    <t>QUADRO ELEC. AUTOMAÇÃO 120A-ESTER</t>
  </si>
  <si>
    <t xml:space="preserve">110 I2 QA2 </t>
  </si>
  <si>
    <t>QUADRO ELEC. AUTOMAÇÃO 120A-WW</t>
  </si>
  <si>
    <t xml:space="preserve">110 I2 QA4 </t>
  </si>
  <si>
    <t>QUADRO ELEC. AUTOMAÇÃO 121A-ESTER</t>
  </si>
  <si>
    <t xml:space="preserve">110 I2 QA5 </t>
  </si>
  <si>
    <t>QUADRO ELEC. AUTOMAÇÃO 121B-INK</t>
  </si>
  <si>
    <t xml:space="preserve">110 I2 QA6 </t>
  </si>
  <si>
    <t>QUADRO ELEC. AUTOMAÇÃO 122B</t>
  </si>
  <si>
    <t xml:space="preserve">110 I2 QA3 </t>
  </si>
  <si>
    <t>QUADRO ELEC. AUTOMAÇÃO 130-INK</t>
  </si>
  <si>
    <t xml:space="preserve">110 I2 QA7 </t>
  </si>
  <si>
    <t>QUADRO ELEC. AUTOMAÇÃO 60</t>
  </si>
  <si>
    <t xml:space="preserve">110 I2 QA8 </t>
  </si>
  <si>
    <t>QUADRO ELEC. AUTOMAÇÃO 80</t>
  </si>
  <si>
    <t xml:space="preserve">110 I 1 Q20 </t>
  </si>
  <si>
    <t xml:space="preserve">110 I 1 Q21 </t>
  </si>
  <si>
    <t>UPS 2</t>
  </si>
  <si>
    <t xml:space="preserve">12 A3  </t>
  </si>
  <si>
    <t>CIRCUITOS</t>
  </si>
  <si>
    <t>CIRCUITO AGUA</t>
  </si>
  <si>
    <t xml:space="preserve">12 A4  </t>
  </si>
  <si>
    <t>CIRCUITO AR COMPRIMIDO</t>
  </si>
  <si>
    <t xml:space="preserve">12 A5  </t>
  </si>
  <si>
    <t>CIRCUITO AZOTO</t>
  </si>
  <si>
    <t xml:space="preserve">12 A1  </t>
  </si>
  <si>
    <t xml:space="preserve">12 A2  </t>
  </si>
  <si>
    <t xml:space="preserve">12 Y1  </t>
  </si>
  <si>
    <t>ELEVADOR</t>
  </si>
  <si>
    <t>verificação legal</t>
  </si>
  <si>
    <t>schindler - contracto (SC)</t>
  </si>
  <si>
    <t xml:space="preserve">130 N1  </t>
  </si>
  <si>
    <t>CAIS CARGA 1</t>
  </si>
  <si>
    <t xml:space="preserve">130 N2  </t>
  </si>
  <si>
    <t>CAIS CARGA 2</t>
  </si>
  <si>
    <t xml:space="preserve">130 D1  </t>
  </si>
  <si>
    <t>DESPOEIRAMENTO</t>
  </si>
  <si>
    <t>DESPOEIRAMENTO DESCARGA RESINA</t>
  </si>
  <si>
    <t>verificar se existem fugas</t>
  </si>
  <si>
    <t>lubrificar motor ventilador</t>
  </si>
  <si>
    <t>2 chumaceiras - 4un</t>
  </si>
  <si>
    <t xml:space="preserve">130 IE1 Q1 </t>
  </si>
  <si>
    <t>QUADROS ELECTRICOS - SALA</t>
  </si>
  <si>
    <t>2 chumaceiras - 2un (NU311 ECP / 6311-Z)</t>
  </si>
  <si>
    <t>STANDARD - TOTAL EP 2</t>
  </si>
  <si>
    <t xml:space="preserve">136 W1 B1 </t>
  </si>
  <si>
    <t>SCRUBBER</t>
  </si>
  <si>
    <t>BOMBA TRANSFEGA EFLUENTE</t>
  </si>
  <si>
    <t xml:space="preserve">136 W1  </t>
  </si>
  <si>
    <t xml:space="preserve">abrir e limpar </t>
  </si>
  <si>
    <t xml:space="preserve">136 W1 E1 </t>
  </si>
  <si>
    <t>VENTILADOR SCRUBBER DESCARGAS</t>
  </si>
  <si>
    <t xml:space="preserve">136 W1 E2 </t>
  </si>
  <si>
    <t>VENTILADOR SCRUBBER REACTORES</t>
  </si>
  <si>
    <t>136 W2</t>
  </si>
  <si>
    <t>COLUNA FENÓLICAS</t>
  </si>
  <si>
    <t xml:space="preserve">vazar deposito condensados, abrir e limpar </t>
  </si>
  <si>
    <t>140 P102A</t>
  </si>
  <si>
    <t>TANQUES</t>
  </si>
  <si>
    <t>BOMBA ELEVAÇÃO BIOP -&gt; HOMOG. F/Q - BEBP1</t>
  </si>
  <si>
    <t>140 IE1 Q1</t>
  </si>
  <si>
    <t>ETARi</t>
  </si>
  <si>
    <t>QUADROS ELECTRICOS</t>
  </si>
  <si>
    <t>140 T1</t>
  </si>
  <si>
    <t>DEPOSITOS</t>
  </si>
  <si>
    <t>DEPOSITO 1</t>
  </si>
  <si>
    <t>140 T2</t>
  </si>
  <si>
    <t>DEPOSITO 2</t>
  </si>
  <si>
    <t>140 T3</t>
  </si>
  <si>
    <t>DEPOSITO 3</t>
  </si>
  <si>
    <t>140 A1</t>
  </si>
  <si>
    <t>TRANSFEGA ENTRE DEPOSITOS E PARA CISTERNAS</t>
  </si>
  <si>
    <t>140 B1</t>
  </si>
  <si>
    <t>BOMBA TRANSFEGA</t>
  </si>
  <si>
    <t>140 T101</t>
  </si>
  <si>
    <t>TANQUE EFLUENTE RESINAS</t>
  </si>
  <si>
    <t>140 P101A</t>
  </si>
  <si>
    <t>BOMBA ELEVAÇÃO HOMOG. F/Q - BER1</t>
  </si>
  <si>
    <t>140 P101B</t>
  </si>
  <si>
    <t>BOMBA ELEVAÇÃO HOMOG. F/Q - BER2</t>
  </si>
  <si>
    <t>140 T102</t>
  </si>
  <si>
    <t>TANQUE EFLUENTE BIOP</t>
  </si>
  <si>
    <t>140 A101</t>
  </si>
  <si>
    <t>AGITADOR BIOP</t>
  </si>
  <si>
    <t>140 P102B</t>
  </si>
  <si>
    <t>BOMBA ELEVAÇÃO BIOP -&gt; HOMOG. F/Q - BEBP2</t>
  </si>
  <si>
    <t>140 T103</t>
  </si>
  <si>
    <t>TANQUE HOMOGENIZAÇÃO F/Q</t>
  </si>
  <si>
    <t>140 A102</t>
  </si>
  <si>
    <t>AGITADOR F/Q</t>
  </si>
  <si>
    <t>140 P 201</t>
  </si>
  <si>
    <t>EC</t>
  </si>
  <si>
    <t>BOMBA ELEVAÇÃO HOMOG. -&gt; EC - BE EC</t>
  </si>
  <si>
    <t>140 EC1</t>
  </si>
  <si>
    <t>ELECTROCOAGULADOR 1</t>
  </si>
  <si>
    <t>ELECTROCOAGULADOR 2</t>
  </si>
  <si>
    <t>140 BL201</t>
  </si>
  <si>
    <t>SOPRADOR DO EC - SOP EC</t>
  </si>
  <si>
    <t>140 R201</t>
  </si>
  <si>
    <t>RETIFICADOR EC - R EC</t>
  </si>
  <si>
    <t>140 T203</t>
  </si>
  <si>
    <t>TANQUE EC - TES EC</t>
  </si>
  <si>
    <t>140 P401</t>
  </si>
  <si>
    <t>ESPESSADOR</t>
  </si>
  <si>
    <t>BOMBA ELEVAÇÃO EC -&gt; ESPESSADOR BL EC DOF</t>
  </si>
  <si>
    <t>140 T403</t>
  </si>
  <si>
    <t>TANQUE FLOCULAÇÃO ESPESSADOR - T FLOC ESP</t>
  </si>
  <si>
    <t>140 A401</t>
  </si>
  <si>
    <t>AGITADOR FLOCULAÇÃO ESPESSADOR</t>
  </si>
  <si>
    <t>140 T404</t>
  </si>
  <si>
    <t>TANQUE ESPESSADOR</t>
  </si>
  <si>
    <t>140 BD511</t>
  </si>
  <si>
    <t>BOMBA DOSEADORA T403 - FLOC.</t>
  </si>
  <si>
    <t>140 T401</t>
  </si>
  <si>
    <t>VADOF</t>
  </si>
  <si>
    <t>TANQUE DE LAMAS DO EC E DO VADOF - TTL EC VADOF</t>
  </si>
  <si>
    <t>140 P202</t>
  </si>
  <si>
    <t>BOMBA ELEVAÇÃO VADOF - BA VADOF</t>
  </si>
  <si>
    <t>140 GO3</t>
  </si>
  <si>
    <t>GERADOR OZONO - GER O3</t>
  </si>
  <si>
    <t>140 P204</t>
  </si>
  <si>
    <t>BOMBA RECIRCULAÇÃO VADOF - BR</t>
  </si>
  <si>
    <t>140 S201</t>
  </si>
  <si>
    <t>RASPADOR VADOF - RASP</t>
  </si>
  <si>
    <t>140 A201</t>
  </si>
  <si>
    <t>AGITADOR VADOF - AGIT</t>
  </si>
  <si>
    <t>140 BD501</t>
  </si>
  <si>
    <t>BOMBA DOSEADORA VADOF - OXI.</t>
  </si>
  <si>
    <t>140 BD503</t>
  </si>
  <si>
    <t>BOMBA DOSEADORA VADOF - COAG.</t>
  </si>
  <si>
    <t>140 BD505</t>
  </si>
  <si>
    <t>BOMBA DOSEADORA VADOF - BASE</t>
  </si>
  <si>
    <t>140 BD509</t>
  </si>
  <si>
    <t>BOMBA DOSEADORA VADOF - FLOC.</t>
  </si>
  <si>
    <t>140 T204</t>
  </si>
  <si>
    <t>TANQUE EFLUENTE DO VADOF - TES VADOF</t>
  </si>
  <si>
    <t>140 P203</t>
  </si>
  <si>
    <t>BOMBA ELEVATÓRIA VADOF -&gt; MBBR - BE HM MBBR</t>
  </si>
  <si>
    <t>140 T302</t>
  </si>
  <si>
    <t>MBBR</t>
  </si>
  <si>
    <t>TANQUE MBBR</t>
  </si>
  <si>
    <t>140 BL301</t>
  </si>
  <si>
    <t>SOPRADOR MBBR 1 - BLOWER</t>
  </si>
  <si>
    <t>limpeza e se necessário substituição dos filtros do ar</t>
  </si>
  <si>
    <t>substituir óleo dos 2 estágios do compressor</t>
  </si>
  <si>
    <t>HORAS FUNC.</t>
  </si>
  <si>
    <t>140 BL302</t>
  </si>
  <si>
    <t>SOPRADOR MBBR 2 - BLOWER</t>
  </si>
  <si>
    <t>140 BD506</t>
  </si>
  <si>
    <t>BOMBA DOSEADORA MBBR - BASE</t>
  </si>
  <si>
    <t>140 BD507</t>
  </si>
  <si>
    <t>BOMBA DOSEADORA MBBR - AE</t>
  </si>
  <si>
    <t>140 BD508</t>
  </si>
  <si>
    <t>BOMBA DOSEADORA MBBR - CARBONO</t>
  </si>
  <si>
    <t>140 BD512</t>
  </si>
  <si>
    <t>BOMBA DOSEADORA MBBR - AZOTO</t>
  </si>
  <si>
    <t>140 BD513</t>
  </si>
  <si>
    <t>BOMBA DOSEADORA MBBR - FOSFORO</t>
  </si>
  <si>
    <t>140 BC</t>
  </si>
  <si>
    <t>BOMBA CIRCULADORA</t>
  </si>
  <si>
    <t>140 P302</t>
  </si>
  <si>
    <t>VAMEF</t>
  </si>
  <si>
    <t>BOMBA RECIRCULAÇÃO VAMEF - BR</t>
  </si>
  <si>
    <t>140 S301</t>
  </si>
  <si>
    <t>RASPADOR VAMEF - RASP</t>
  </si>
  <si>
    <t>140 A301</t>
  </si>
  <si>
    <t>AGITADOR VAMEF - AGIT</t>
  </si>
  <si>
    <t>140 BD502</t>
  </si>
  <si>
    <t>BOMBA DOSEADORA VAMEF - ACIDO</t>
  </si>
  <si>
    <t>140 BD504</t>
  </si>
  <si>
    <t>BOMBA DOSEADORA VAMEF - COAG.</t>
  </si>
  <si>
    <t>140 BD510</t>
  </si>
  <si>
    <t>BOMBA DOSEADORA VAMEF - FLOC.</t>
  </si>
  <si>
    <t>140 T402</t>
  </si>
  <si>
    <t>TANQUE LAMAS VAMEF - TTL VAMEF</t>
  </si>
  <si>
    <t>140 P402</t>
  </si>
  <si>
    <t>BOMBA ELEVATÓRIA VAMEF -&gt; ESPESSADOR - BL VAMEF</t>
  </si>
  <si>
    <t>140 T303</t>
  </si>
  <si>
    <t>TANQUE EFLUENTE TRATADO</t>
  </si>
  <si>
    <t>140 P303</t>
  </si>
  <si>
    <t>BOMBA EFLUENTE TRATADO -&gt; RUA</t>
  </si>
  <si>
    <t>140 FP400</t>
  </si>
  <si>
    <t>PRENSA</t>
  </si>
  <si>
    <t>FILTRO PRENSA</t>
  </si>
  <si>
    <t>CENTRAL HIDRAULICA DO FILTRO PRENSA</t>
  </si>
  <si>
    <t>TANQUE DOS DRENOS DO FP</t>
  </si>
  <si>
    <t>140 P404</t>
  </si>
  <si>
    <t>BOMBA DRENOS FP -&gt; T404 ou T301</t>
  </si>
  <si>
    <t>120A</t>
  </si>
  <si>
    <t xml:space="preserve">120A T2 B1 </t>
  </si>
  <si>
    <t>VACUO</t>
  </si>
  <si>
    <t>BOMBA VACUO</t>
  </si>
  <si>
    <t xml:space="preserve">120A T1 B1 </t>
  </si>
  <si>
    <t>CONDENSADOS</t>
  </si>
  <si>
    <t>BOMBA TRANSFEGA Á ETARI 1</t>
  </si>
  <si>
    <t xml:space="preserve">120A T3 B1 </t>
  </si>
  <si>
    <t xml:space="preserve">120A T1 B2 </t>
  </si>
  <si>
    <t>BOMBA TRANSFEGA Á ETARI 2</t>
  </si>
  <si>
    <t xml:space="preserve">120A T4 B1 </t>
  </si>
  <si>
    <t>lavagem do interior e circuito jusante</t>
  </si>
  <si>
    <t xml:space="preserve">120A T1  </t>
  </si>
  <si>
    <t>DEPOSITO RECOLHA CONDENSADOS</t>
  </si>
  <si>
    <t xml:space="preserve">120A T3  </t>
  </si>
  <si>
    <t>DEPOSITO RECOLHA CONDENSADOS R1</t>
  </si>
  <si>
    <t xml:space="preserve">120A T4  </t>
  </si>
  <si>
    <t>DEPOSITO RECOLHA CONDENSADOS R2</t>
  </si>
  <si>
    <t xml:space="preserve">120A T2  </t>
  </si>
  <si>
    <t>DEPOSITO RECOLHA CONDENSADOS VACUO</t>
  </si>
  <si>
    <t>abertura, limpeza do interior e verificar fugas</t>
  </si>
  <si>
    <t>ÓLEO - OMALA S2 - 320</t>
  </si>
  <si>
    <t>lubrificar motor e bomba</t>
  </si>
  <si>
    <t>4 rolamentos - 4un</t>
  </si>
  <si>
    <t>120B</t>
  </si>
  <si>
    <t xml:space="preserve">120B R6 B1 </t>
  </si>
  <si>
    <t>R6</t>
  </si>
  <si>
    <t>BOMBA TERMOFLUIDO</t>
  </si>
  <si>
    <t xml:space="preserve">120B R1 B1 </t>
  </si>
  <si>
    <t>R1</t>
  </si>
  <si>
    <t xml:space="preserve">BOMBA TERMOFLUIDO </t>
  </si>
  <si>
    <t xml:space="preserve">120B R2 B1 </t>
  </si>
  <si>
    <t>R2</t>
  </si>
  <si>
    <t xml:space="preserve">120B R3 B1 </t>
  </si>
  <si>
    <t>R3</t>
  </si>
  <si>
    <t xml:space="preserve">120B R4 B1 </t>
  </si>
  <si>
    <t>R4</t>
  </si>
  <si>
    <t xml:space="preserve">120B R5 B1 </t>
  </si>
  <si>
    <t>R5</t>
  </si>
  <si>
    <t xml:space="preserve">120B A1 B1 </t>
  </si>
  <si>
    <t>TRACING</t>
  </si>
  <si>
    <t>BOMBA TERMOFLUIDO TRACING</t>
  </si>
  <si>
    <t xml:space="preserve">120B R6 B2 </t>
  </si>
  <si>
    <t>BOMBA DESCARGA 1 REACTOR</t>
  </si>
  <si>
    <t>Mudar equipamentos se se justificar</t>
  </si>
  <si>
    <t xml:space="preserve">120B R3 B2 </t>
  </si>
  <si>
    <t xml:space="preserve">BOMBA DESCARGA 1 REACTOR </t>
  </si>
  <si>
    <t xml:space="preserve">120B R4 B2 </t>
  </si>
  <si>
    <t xml:space="preserve">120B R5 B2 </t>
  </si>
  <si>
    <t xml:space="preserve">120B R6 B3 </t>
  </si>
  <si>
    <t>BOMBA DESCARGA 2 REACTOR</t>
  </si>
  <si>
    <t xml:space="preserve">120B R3 B3 </t>
  </si>
  <si>
    <t xml:space="preserve">BOMBA DESCARGA 2 REACTOR </t>
  </si>
  <si>
    <t xml:space="preserve">120B R4 B3 </t>
  </si>
  <si>
    <t xml:space="preserve">120B R5 B3 </t>
  </si>
  <si>
    <t>Limpar bomba e Verificar fugas termofluido</t>
  </si>
  <si>
    <t>Verificar acoplamento e alinhamento bomba termofluido</t>
  </si>
  <si>
    <t>R</t>
  </si>
  <si>
    <t>limpeza da bomba</t>
  </si>
  <si>
    <t>verificar alinhamento</t>
  </si>
  <si>
    <t xml:space="preserve">120B A1  </t>
  </si>
  <si>
    <t>CIRCUITO TRACING</t>
  </si>
  <si>
    <t>120B R1</t>
  </si>
  <si>
    <t>CORPO REACTOR</t>
  </si>
  <si>
    <t>Verificar selagem bainhas temperatura</t>
  </si>
  <si>
    <t>Mudar teflon do castelo da válvula de descarga</t>
  </si>
  <si>
    <t>Verificar sondas temperatura - EMM</t>
  </si>
  <si>
    <t>RUI</t>
  </si>
  <si>
    <t>Limpar condensador e tubagens anexas</t>
  </si>
  <si>
    <t>120B R2</t>
  </si>
  <si>
    <t>120B R3</t>
  </si>
  <si>
    <t>120B R4</t>
  </si>
  <si>
    <t>120B R5</t>
  </si>
  <si>
    <t>120B R6</t>
  </si>
  <si>
    <t xml:space="preserve">120B P1  </t>
  </si>
  <si>
    <t>PERMUTADOR CALOR TERMOFLUIDO</t>
  </si>
  <si>
    <t>Verificar fugas termofluido</t>
  </si>
  <si>
    <t>121B</t>
  </si>
  <si>
    <t xml:space="preserve">121B R3 M1 </t>
  </si>
  <si>
    <t>MOTORREDUTOR AGITAÇÃO REACTOR</t>
  </si>
  <si>
    <t>Lubrificar empanque do agitador</t>
  </si>
  <si>
    <t>EMPANQUES - BERNER GRAPHITE</t>
  </si>
  <si>
    <t>até sair na tampa superior</t>
  </si>
  <si>
    <t>Lubrificar motor do agitador</t>
  </si>
  <si>
    <t>2 rolamentos - 2un/cada</t>
  </si>
  <si>
    <t xml:space="preserve">121B R4 M1 </t>
  </si>
  <si>
    <t xml:space="preserve">121B R5 M1 </t>
  </si>
  <si>
    <t xml:space="preserve">121B R6 M1 </t>
  </si>
  <si>
    <t xml:space="preserve">MOTORREDUTOR AGITAÇÃO REACTOR </t>
  </si>
  <si>
    <t xml:space="preserve">121B R1 M1 </t>
  </si>
  <si>
    <t>ÓLEO - OMALA S2 - 460</t>
  </si>
  <si>
    <t xml:space="preserve">121B R2 M1 </t>
  </si>
  <si>
    <t xml:space="preserve">121B T1  </t>
  </si>
  <si>
    <t>SLURRY</t>
  </si>
  <si>
    <t>DEPOSITO SLURRY</t>
  </si>
  <si>
    <t>Verificar motorredutor, apertos, acoplamentos</t>
  </si>
  <si>
    <t>Verificar acoplamentos</t>
  </si>
  <si>
    <t>Limpeza geral</t>
  </si>
  <si>
    <t xml:space="preserve">121B T1 M1 </t>
  </si>
  <si>
    <t>MOTORREDUTOR SLURRY</t>
  </si>
  <si>
    <t>Verificar/substituir vedante do veio</t>
  </si>
  <si>
    <t>Verificar/substituir casquilho bronze do veio</t>
  </si>
  <si>
    <t>121B R1</t>
  </si>
  <si>
    <t>TOPO REACTOR</t>
  </si>
  <si>
    <t>Purgar empanque e colocar nova glicerina</t>
  </si>
  <si>
    <t>Verificar e limpar valv. e troço despressurização</t>
  </si>
  <si>
    <t>Substituir cordão empanque na boca d'homem</t>
  </si>
  <si>
    <t>Verificar, limpar valv, tubagem ao scrubber</t>
  </si>
  <si>
    <t>Verificar apertos dos parafusos no interior</t>
  </si>
  <si>
    <t>Verificar casquilho inferior do veio</t>
  </si>
  <si>
    <t>Verificar sensor de pressão - EMM</t>
  </si>
  <si>
    <t>Verificar acoplamento, estrela</t>
  </si>
  <si>
    <t>Limpar visor da boca homem</t>
  </si>
  <si>
    <t>121B R2</t>
  </si>
  <si>
    <t>121B R3</t>
  </si>
  <si>
    <t>121B R4</t>
  </si>
  <si>
    <t>121B R5</t>
  </si>
  <si>
    <t>121B R6</t>
  </si>
  <si>
    <t xml:space="preserve">121B R1 I1 </t>
  </si>
  <si>
    <t>VARIADOR FREQUENCIA</t>
  </si>
  <si>
    <t>Limpeza geral com ar seco</t>
  </si>
  <si>
    <t xml:space="preserve">121B R2 I1 </t>
  </si>
  <si>
    <t xml:space="preserve">121B R3 I1 </t>
  </si>
  <si>
    <t xml:space="preserve">121B R4 I1 </t>
  </si>
  <si>
    <t xml:space="preserve">121B R5 I1 </t>
  </si>
  <si>
    <t xml:space="preserve">121B R6 I1 </t>
  </si>
  <si>
    <t>1 rolamento empanque, 1 chumaceira, 1 acoplamento - 6un Alta Temp.</t>
  </si>
  <si>
    <t>1 chumaceira, 1 acoplamento - 6un Alta Temp.</t>
  </si>
  <si>
    <t>122A</t>
  </si>
  <si>
    <t xml:space="preserve">122A T1  </t>
  </si>
  <si>
    <t>DOSEAMENTO</t>
  </si>
  <si>
    <t>DEPOSITO COLOFONIA 1</t>
  </si>
  <si>
    <t xml:space="preserve">122A T2  </t>
  </si>
  <si>
    <t>DEPOSITO COLOFONIA 2</t>
  </si>
  <si>
    <t xml:space="preserve">122A T3  </t>
  </si>
  <si>
    <t>DEPOSITO COLOFONIA 3</t>
  </si>
  <si>
    <t xml:space="preserve">122A T6  </t>
  </si>
  <si>
    <t xml:space="preserve">122A T5  </t>
  </si>
  <si>
    <t xml:space="preserve">122A T7  </t>
  </si>
  <si>
    <t>122B</t>
  </si>
  <si>
    <t xml:space="preserve">122B D1  </t>
  </si>
  <si>
    <t>DESPOEIRAMENTO SILOS MPR</t>
  </si>
  <si>
    <t>122B J1</t>
  </si>
  <si>
    <t>PORTICO</t>
  </si>
  <si>
    <t>verificar roletes e pistas de deslocamento</t>
  </si>
  <si>
    <t>BIENAL-STP</t>
  </si>
  <si>
    <t>122B J2</t>
  </si>
  <si>
    <t xml:space="preserve">122B S1  </t>
  </si>
  <si>
    <t>SILO REACTOR</t>
  </si>
  <si>
    <t>Verificar, limpar valv. m/esf., borbol. manga silo</t>
  </si>
  <si>
    <t>TRIMESTRAL</t>
  </si>
  <si>
    <t>MAR, JUN, SET, DEZ</t>
  </si>
  <si>
    <t>Limpeza do silo</t>
  </si>
  <si>
    <t>122B S2</t>
  </si>
  <si>
    <t>122B S3</t>
  </si>
  <si>
    <t>122B S4</t>
  </si>
  <si>
    <t xml:space="preserve">122B S5 </t>
  </si>
  <si>
    <t>122B S6</t>
  </si>
  <si>
    <t>130EST</t>
  </si>
  <si>
    <t xml:space="preserve">130EST L1  </t>
  </si>
  <si>
    <t>FILTRO ESTER</t>
  </si>
  <si>
    <t>FILTRO ESTER-HACCP</t>
  </si>
  <si>
    <t>1 chumaceira - 4un</t>
  </si>
  <si>
    <t xml:space="preserve">130EST U2  </t>
  </si>
  <si>
    <t>ENCHIMENTO ESTER</t>
  </si>
  <si>
    <t>ESTAÇÃO ENCHIMENTO SACOS - HACCP</t>
  </si>
  <si>
    <t>4 chumaceiras - 4un</t>
  </si>
  <si>
    <t xml:space="preserve">130EST F3  </t>
  </si>
  <si>
    <t>FLOCULADOR EST</t>
  </si>
  <si>
    <t>FLOCULADOR 3 - ESTER - HACCP</t>
  </si>
  <si>
    <t>lubrificar chumaceiras dos tambores</t>
  </si>
  <si>
    <t>4 chumaceiras - 6un</t>
  </si>
  <si>
    <t>verificar corrente, limpar e lubrificar</t>
  </si>
  <si>
    <t>1 corrente - 10un</t>
  </si>
  <si>
    <t>130EST Z1</t>
  </si>
  <si>
    <t>TRANSPORTADOR - HACCP</t>
  </si>
  <si>
    <t>lubrificar caixa redutora</t>
  </si>
  <si>
    <t>FLOCULADOR 3 - ESTER</t>
  </si>
  <si>
    <t>verificar cortes na tela</t>
  </si>
  <si>
    <t>verificar roletes</t>
  </si>
  <si>
    <t xml:space="preserve">130EST B1  </t>
  </si>
  <si>
    <t>DEPOSITO 1 ESTER</t>
  </si>
  <si>
    <t>BOMBA DESCARGA DEPOSITO INTERMEDIO</t>
  </si>
  <si>
    <t xml:space="preserve">130EST T1  </t>
  </si>
  <si>
    <t>DEPOSITO INTERMEDIO ESTER - HACCP</t>
  </si>
  <si>
    <t>verificar limpeza a vapor</t>
  </si>
  <si>
    <t>DEPOSITO INTERMEDIO ESTER</t>
  </si>
  <si>
    <t xml:space="preserve">130EST U1  </t>
  </si>
  <si>
    <t>ESTAÇÃO ENCHIMENTO BB - HACCP</t>
  </si>
  <si>
    <t>limpeza geral</t>
  </si>
  <si>
    <t>verificação da balança</t>
  </si>
  <si>
    <t>verificar sensores pressão - EMM (pressão filtro)</t>
  </si>
  <si>
    <t>limpeza geral, caleiras, tabuleiros, etc</t>
  </si>
  <si>
    <t>limpeza espalhadores</t>
  </si>
  <si>
    <t xml:space="preserve">verificar raspador </t>
  </si>
  <si>
    <t>verificar roletes e tela</t>
  </si>
  <si>
    <t>130INK</t>
  </si>
  <si>
    <t xml:space="preserve">130INK F1  </t>
  </si>
  <si>
    <t>FLOCULADOR INK</t>
  </si>
  <si>
    <t>FLOCULADOR 1 - INK</t>
  </si>
  <si>
    <t xml:space="preserve">130INK F2  </t>
  </si>
  <si>
    <t>FLOCULADOR 2 - INK</t>
  </si>
  <si>
    <t xml:space="preserve">130INK E1 </t>
  </si>
  <si>
    <t>TUNEL</t>
  </si>
  <si>
    <t>SISTEMA VENTILAÇÃO DO TUNEL</t>
  </si>
  <si>
    <t>lubrificar correntes transportador</t>
  </si>
  <si>
    <t>130INK U1</t>
  </si>
  <si>
    <t>ENCHIMENTO INK</t>
  </si>
  <si>
    <t>ESTAÇÃO ENCHIMENTO BB, FLO1</t>
  </si>
  <si>
    <t>limpeza e lubrificação do veio do elevador</t>
  </si>
  <si>
    <t>2 pontos - 4un</t>
  </si>
  <si>
    <t>130INK U2</t>
  </si>
  <si>
    <t>ESTAÇÃO ENCHIMENTO BB, FLO2</t>
  </si>
  <si>
    <t xml:space="preserve">130INK F1 Y1 </t>
  </si>
  <si>
    <t>PARTIDOR RESINA, FLO 1</t>
  </si>
  <si>
    <t>lubrificar chumaceiras</t>
  </si>
  <si>
    <t>2 chumaceiras - 2un</t>
  </si>
  <si>
    <t xml:space="preserve">130INK F2 Y1 </t>
  </si>
  <si>
    <t>PARTIDOR RESINA, FLO 2</t>
  </si>
  <si>
    <t xml:space="preserve">130INK U1 Z1 </t>
  </si>
  <si>
    <t>TRANSPORTADOR DE RESINA AO SILO, FLO 1</t>
  </si>
  <si>
    <t>8 rolamentos - 4un</t>
  </si>
  <si>
    <t xml:space="preserve">130INK U2 Z1 </t>
  </si>
  <si>
    <t>TRANSPORTADOR DE RESINA AO SILO, FLO 2</t>
  </si>
  <si>
    <t>verificar grampos das alças</t>
  </si>
  <si>
    <t>limpeza espalhador</t>
  </si>
  <si>
    <t>limpar ventiladores</t>
  </si>
  <si>
    <t xml:space="preserve">130INK Y1  </t>
  </si>
  <si>
    <t>TANQUE RECUPERAÇÃO AGUA INK</t>
  </si>
  <si>
    <t>limpar resina do tanque</t>
  </si>
  <si>
    <t>lavar tubos de descarga e tanque</t>
  </si>
  <si>
    <t>130INK Y2</t>
  </si>
  <si>
    <t>TRANSPORTADORES PALETES NO TUNEL</t>
  </si>
  <si>
    <t>verificar funcionamento e alinhamento</t>
  </si>
  <si>
    <t>limpar sensores / motores</t>
  </si>
  <si>
    <t>130INK Q1</t>
  </si>
  <si>
    <t>COMPRESSOR 1 - Atlas Copco GA 11VSD+FF</t>
  </si>
  <si>
    <t>RAA</t>
  </si>
  <si>
    <t>verificação metrológica legal</t>
  </si>
  <si>
    <t>verificar estado conservação, nível óleo, gasóleo e limpeza</t>
  </si>
  <si>
    <t>Plano manutenção legal obrigatório. Empresa exterior</t>
  </si>
  <si>
    <t>verificar estado conservação/funcionamento, nível óleo</t>
  </si>
  <si>
    <t>limpar, mudar cordão se necessário e acoplamento</t>
  </si>
  <si>
    <t>verificar nível óleo do redutor</t>
  </si>
  <si>
    <t>atesto ou substituição de óleo</t>
  </si>
  <si>
    <t>limpeza do filtro de óleo</t>
  </si>
  <si>
    <t>limpeza corrente diferencial elétrico</t>
  </si>
  <si>
    <t>prova hidráulica</t>
  </si>
  <si>
    <t>prova hidráulica legal intercalar</t>
  </si>
  <si>
    <t>prova hidráulica legal</t>
  </si>
  <si>
    <t>verificação do manómetro</t>
  </si>
  <si>
    <t>verificação das válvulas de segurança</t>
  </si>
  <si>
    <t>limpar célula de queima</t>
  </si>
  <si>
    <t>limpeza/substituição filtros elétricos</t>
  </si>
  <si>
    <t>nível agua, purga na decantação, temperatura</t>
  </si>
  <si>
    <t>revisão geral filtro automático - filtro 130 micron</t>
  </si>
  <si>
    <t>caudalimetros, filtros, valores analíticos e doseamentos</t>
  </si>
  <si>
    <t>lubrificar bomba elétrica</t>
  </si>
  <si>
    <t>limpar mangas e se necessário substituir</t>
  </si>
  <si>
    <t>verificar válvula rotativa, substituir se necessário</t>
  </si>
  <si>
    <t>lubrificar válvula rotativa</t>
  </si>
  <si>
    <t>Verificação do correto funcionamento/limpeza</t>
  </si>
  <si>
    <t>vazar e lavar deposito azul bomba vácuo</t>
  </si>
  <si>
    <t>limpeza válvula anti-retorno, verificar fugas</t>
  </si>
  <si>
    <t>copo óleo ao nível</t>
  </si>
  <si>
    <t>Verificar nível óleo do redutor</t>
  </si>
  <si>
    <t>Verificar e limpar válvula de amostra e ligações</t>
  </si>
  <si>
    <t>Verificar nível óleo</t>
  </si>
  <si>
    <t>Verificar e limpar válvula da direta e tubagem</t>
  </si>
  <si>
    <t>Limpar o interior se necessário</t>
  </si>
  <si>
    <t>Verificar manómetros</t>
  </si>
  <si>
    <t>lubrificar acoplamento ao reator</t>
  </si>
  <si>
    <t>verificar funcionamento válvula clapeta</t>
  </si>
  <si>
    <t>limpar quadro elétrico e reapertar cablagem</t>
  </si>
  <si>
    <t>Verificar e limpar válvula borboleta do silo</t>
  </si>
  <si>
    <t>verificar funcionamento 3 válvulas clapeta</t>
  </si>
  <si>
    <t>verificar válvula de guilhotina</t>
  </si>
  <si>
    <t>verificar e reparar se necessário raspador</t>
  </si>
  <si>
    <t>100 T1 X1</t>
  </si>
  <si>
    <t>TORRE REFRIGERAÇÃO 1</t>
  </si>
  <si>
    <t>100 T1 X2</t>
  </si>
  <si>
    <t>TORRE REFRIGERAÇÃO 2</t>
  </si>
  <si>
    <t>PORTICO 5 ton</t>
  </si>
  <si>
    <t>PORTICO 2 ton</t>
  </si>
  <si>
    <t>verificação de ventilador</t>
  </si>
  <si>
    <t>verificação de estado dos favos</t>
  </si>
  <si>
    <t>STP</t>
  </si>
  <si>
    <t>GV</t>
  </si>
  <si>
    <t>RG</t>
  </si>
  <si>
    <t>24/02-SCHINDLER-OK</t>
  </si>
  <si>
    <t>MS</t>
  </si>
  <si>
    <t xml:space="preserve">130EST Z2 </t>
  </si>
  <si>
    <t>130EST U3 Y3</t>
  </si>
  <si>
    <t>130EST U3 Y4 Y1</t>
  </si>
  <si>
    <t>130EST U3 Y4 Y3</t>
  </si>
  <si>
    <t>130EST U3 Y4 Y4</t>
  </si>
  <si>
    <t>130EST U3 Y4 Y5</t>
  </si>
  <si>
    <t>130EST U3 Y4 Y7</t>
  </si>
  <si>
    <t>130EST U3 Y5 Y1</t>
  </si>
  <si>
    <t>130EST U3 Y5 Y2</t>
  </si>
  <si>
    <t>ESTAÇÃO ENCHIMENTO SACOS-CABAÇOS-HACCP</t>
  </si>
  <si>
    <t xml:space="preserve">lubrificar chumaceiras </t>
  </si>
  <si>
    <t>verificar correntes, limpar e lubrificar</t>
  </si>
  <si>
    <t>SISTEMA DE ENSACAMENTO – TAPETE DE ENCHIMENTO SACOS-HACCP</t>
  </si>
  <si>
    <t>SISTEMA DE ENSACAMENTO – ARMAZÉM DOS SACOS-HACCP</t>
  </si>
  <si>
    <t>SISTEMA DE ENSACAMENTO – ENCHIMENTO DO SACO – BRAÇOS ABERTURA SACOS -HACCP</t>
  </si>
  <si>
    <t>SISTEMA DE ENSACAMENTO – TAPETE SAIDA SACO-HACCP</t>
  </si>
  <si>
    <t>SISTEMA DE ENSACAMENTO – TAPETE SAIDA SACO – ELEVADOR TAPETE-HACCP</t>
  </si>
  <si>
    <t>SISTEMA DE ENSACAMENTO – ENCAMINHADOR DO SACO-HACCP</t>
  </si>
  <si>
    <t>SISTEMA DE ENSACAMENTO – VIRADOR-HACCP</t>
  </si>
  <si>
    <t>PALETIZAÇÃO – TAPETE DE ENTRADA DE PALETE VAZIA-HACCP</t>
  </si>
  <si>
    <t>PALETIZAÇÃO – TAPETE DE SAIDA DE SACO DA ENSACADORA-HACCP</t>
  </si>
  <si>
    <t>PALETIZAÇÃO – TAPETE DE SAIDA DE SACO PARA ROBOT-HACCP</t>
  </si>
  <si>
    <t>PALETIZAÇÃO – TAPETE DE SAIDA DE PALETE CHEIA-HACCP</t>
  </si>
  <si>
    <t>PALETIZAÇÃO – TAPETE DE SAIDA DE PALETE CHEIA – CENTRADOR PALETES-HACCP</t>
  </si>
  <si>
    <t>HCCP - NEVASTANE XS 320</t>
  </si>
  <si>
    <t>12 chumaceira - 6un</t>
  </si>
  <si>
    <t>6 chumaceira - 4un</t>
  </si>
  <si>
    <t>4 chumaceira - 4un</t>
  </si>
  <si>
    <t>2 chumaceira - 4un</t>
  </si>
  <si>
    <t>2 correntes - 10un</t>
  </si>
  <si>
    <t>CIRCUITO TORRE REFRIGERAÇÃO</t>
  </si>
  <si>
    <t xml:space="preserve">100 T1 B1 </t>
  </si>
  <si>
    <t>90 H2 P1</t>
  </si>
  <si>
    <t>PASTILHADOR 2</t>
  </si>
  <si>
    <t>121B T2</t>
  </si>
  <si>
    <t>DEPOSITO SLURRY 1</t>
  </si>
  <si>
    <t>MOTORREDUTOR SLURRY 1</t>
  </si>
  <si>
    <t>ALTA TEMP - MOBIL POLUREX NLGI 2</t>
  </si>
  <si>
    <t>30/01-RG-OK</t>
  </si>
  <si>
    <t>28/02-RG-OK</t>
  </si>
  <si>
    <t>SOPRADOR MBBR 1 (BLOWER 1)</t>
  </si>
  <si>
    <t>SOPRADOR MBBR 2 (BLOWER 2)</t>
  </si>
  <si>
    <t>CONCLUIDAS</t>
  </si>
  <si>
    <t>25/02-CB-OK</t>
  </si>
  <si>
    <t>16/02-CB-OK</t>
  </si>
  <si>
    <t>26/02-CB-OK</t>
  </si>
  <si>
    <t>LIMPEZA DESCARGA ESTER</t>
  </si>
  <si>
    <t>12/01-MS-OK</t>
  </si>
  <si>
    <t>27/01-MS-OK</t>
  </si>
  <si>
    <t>11/02-AROESTE-OK</t>
  </si>
  <si>
    <t>30/01-SCHINDLER-OK</t>
  </si>
  <si>
    <t>28 - HCCP - NEVASTANE XS 320</t>
  </si>
  <si>
    <t>20/01-MS-OK</t>
  </si>
  <si>
    <t>29 - ESPECIAIS - MOBIL POLUREX NLGI 2</t>
  </si>
  <si>
    <t>20/1-MS-OK</t>
  </si>
  <si>
    <t>30 - ALTA TEMP - MOBIL POLUREX NLGI 2</t>
  </si>
  <si>
    <t>31 - TEMPERATURA - DELTAPLEX 2EP</t>
  </si>
  <si>
    <t>32 - STANDARD - TOTAL EP 2</t>
  </si>
  <si>
    <t>39 - EMPANQUES - BERNER GRAPHITE</t>
  </si>
  <si>
    <t>PLASTIFICAÇÃO</t>
  </si>
  <si>
    <t>PLASTIFICADORA 1</t>
  </si>
  <si>
    <t xml:space="preserve">130 U1  </t>
  </si>
  <si>
    <t>verificar estado conservação/funcionamento,Lubrificar fuso e roletes</t>
  </si>
  <si>
    <t>130 U2</t>
  </si>
  <si>
    <t>PLASTIFICADORA 2</t>
  </si>
  <si>
    <t>lubrificação do motor</t>
  </si>
  <si>
    <t>4 pontos - 4un</t>
  </si>
  <si>
    <t>fuso</t>
  </si>
  <si>
    <t>42 - PASTILHADOR HCCP - FOODMAX GREASE CAS S 2 LS</t>
  </si>
  <si>
    <t>21/01-MS-OK</t>
  </si>
  <si>
    <t>34 - ÓLEO - OMALA S2 - 320</t>
  </si>
  <si>
    <t>33 - LUBRIFICANTE CORRENTES - WD 40 CORRENTES</t>
  </si>
  <si>
    <t>34 - ÓLEO - OMALA S2 - 460</t>
  </si>
  <si>
    <t>20/01-LM-OK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</si>
</sst>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scheme val="minor"/>
    </font>
    <font>
      <b/>
      <sz val="8"/>
      <color rgb="FFFF0000"/>
      <name val="Arial"/>
      <family val="2"/>
    </font>
    <font>
      <b/>
      <sz val="12"/>
      <color theme="4"/>
      <name val="Arial"/>
      <family val="2"/>
    </font>
    <font>
      <b/>
      <sz val="16"/>
      <color rgb="FF205867"/>
      <name val="Arial"/>
      <family val="2"/>
    </font>
    <font>
      <b/>
      <sz val="12"/>
      <color rgb="FF4F81BD"/>
      <name val="Arial"/>
      <family val="2"/>
    </font>
    <font>
      <b/>
      <sz val="8"/>
      <color theme="0"/>
      <name val="Arial"/>
      <family val="2"/>
    </font>
    <font>
      <sz val="11"/>
      <name val="Calibri"/>
      <family val="2"/>
    </font>
    <font>
      <sz val="8"/>
      <color theme="0"/>
      <name val="Arial"/>
      <family val="2"/>
    </font>
    <font>
      <b/>
      <sz val="8"/>
      <color rgb="FF0066CC"/>
      <name val="Arial"/>
      <family val="2"/>
    </font>
    <font>
      <sz val="8"/>
      <color theme="1"/>
      <name val="Arial"/>
      <family val="2"/>
    </font>
    <font>
      <sz val="8"/>
      <color rgb="FF0066CC"/>
      <name val="Arial"/>
      <family val="2"/>
    </font>
    <font>
      <sz val="11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  <font>
      <sz val="8"/>
      <color theme="8" tint="-0.499984740745262"/>
      <name val="Arial"/>
      <family val="2"/>
    </font>
    <font>
      <b/>
      <sz val="26"/>
      <color theme="4" tint="-0.249977111117893"/>
      <name val="Arial"/>
      <family val="2"/>
    </font>
    <font>
      <sz val="8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205867"/>
        <bgColor rgb="FF205867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rgb="FF205867"/>
      </patternFill>
    </fill>
    <fill>
      <patternFill patternType="solid">
        <fgColor theme="0" tint="-4.9989318521683403E-2"/>
        <bgColor rgb="FF7F7F7F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5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5" fillId="3" borderId="7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9" fontId="7" fillId="5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4" borderId="7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9" fillId="7" borderId="16" xfId="0" applyFont="1" applyFill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7" borderId="18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top" wrapText="1"/>
    </xf>
    <xf numFmtId="0" fontId="9" fillId="8" borderId="15" xfId="0" applyFont="1" applyFill="1" applyBorder="1" applyAlignment="1">
      <alignment vertical="center"/>
    </xf>
    <xf numFmtId="0" fontId="9" fillId="8" borderId="15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7" borderId="19" xfId="0" applyFont="1" applyFill="1" applyBorder="1" applyAlignment="1">
      <alignment vertical="center"/>
    </xf>
    <xf numFmtId="0" fontId="13" fillId="0" borderId="15" xfId="0" applyFont="1" applyBorder="1"/>
    <xf numFmtId="0" fontId="9" fillId="0" borderId="18" xfId="0" applyFont="1" applyBorder="1" applyAlignment="1">
      <alignment vertical="center"/>
    </xf>
    <xf numFmtId="16" fontId="9" fillId="0" borderId="7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6" fillId="0" borderId="0" xfId="0" applyFont="1" applyAlignment="1">
      <alignment horizontal="left" vertical="top" wrapText="1"/>
    </xf>
    <xf numFmtId="0" fontId="9" fillId="10" borderId="15" xfId="0" applyFont="1" applyFill="1" applyBorder="1" applyAlignment="1">
      <alignment vertical="center"/>
    </xf>
    <xf numFmtId="0" fontId="9" fillId="0" borderId="2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0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2" borderId="21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7" borderId="21" xfId="0" applyFont="1" applyFill="1" applyBorder="1" applyAlignment="1">
      <alignment vertical="center"/>
    </xf>
    <xf numFmtId="0" fontId="9" fillId="7" borderId="14" xfId="0" applyFont="1" applyFill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0" borderId="15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4" fontId="16" fillId="0" borderId="15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9" fillId="7" borderId="15" xfId="0" applyFont="1" applyFill="1" applyBorder="1" applyAlignment="1">
      <alignment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9" fillId="2" borderId="18" xfId="0" applyFont="1" applyFill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9" fillId="0" borderId="21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6" fontId="9" fillId="0" borderId="2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11" borderId="7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5" xfId="0" applyFont="1" applyBorder="1" applyAlignment="1">
      <alignment horizontal="center" vertical="center"/>
    </xf>
    <xf numFmtId="0" fontId="21" fillId="0" borderId="0" xfId="0" applyFont="1"/>
    <xf numFmtId="0" fontId="19" fillId="0" borderId="1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0" fillId="0" borderId="21" xfId="0" applyBorder="1"/>
    <xf numFmtId="0" fontId="9" fillId="0" borderId="23" xfId="0" applyFont="1" applyBorder="1" applyAlignment="1">
      <alignment horizontal="center" vertical="center"/>
    </xf>
    <xf numFmtId="0" fontId="18" fillId="12" borderId="1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vertical="center"/>
    </xf>
    <xf numFmtId="0" fontId="20" fillId="0" borderId="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0" fontId="9" fillId="13" borderId="15" xfId="0" applyFont="1" applyFill="1" applyBorder="1" applyAlignment="1">
      <alignment vertical="center"/>
    </xf>
    <xf numFmtId="0" fontId="9" fillId="13" borderId="1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6" fillId="0" borderId="11" xfId="0" applyFont="1" applyBorder="1"/>
    <xf numFmtId="49" fontId="4" fillId="0" borderId="0" xfId="0" applyNumberFormat="1" applyFont="1" applyAlignment="1">
      <alignment horizontal="center" vertical="center" wrapText="1"/>
    </xf>
    <xf numFmtId="0" fontId="6" fillId="0" borderId="9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2">
    <dxf>
      <font>
        <color auto="1"/>
        <name val="Cambria"/>
        <scheme val="none"/>
      </font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  <name val="Cambria"/>
        <scheme val="none"/>
      </font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16BACF-8C15-4377-8F84-35F23A225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D11E1A0-CF92-C857-AE50-3D8B0310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51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EFC002-616D-4788-8C47-5BF0C2CB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2B0538-E81D-420C-88EE-4DDD4DB8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C51C05-188C-45CB-AFF6-CF5B24DD0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B22DB0-7E13-4DE7-95D2-CEEEF762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B43B1A-6E44-4E20-9834-13A8772D9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098FCF-40EB-4A42-9093-C8BBEB5D3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9D3E37-8FD8-44CD-94E6-9D423A6D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013F2C-92B5-4688-8AA8-E38D877A6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772BE7-B07D-47B2-A4B3-CCF97B66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7E034-76E0-49D0-A4EC-0F12E07E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126996</xdr:colOff>
      <xdr:row>0</xdr:row>
      <xdr:rowOff>84664</xdr:rowOff>
    </xdr:from>
    <xdr:to>
      <xdr:col>2</xdr:col>
      <xdr:colOff>110562</xdr:colOff>
      <xdr:row>2</xdr:row>
      <xdr:rowOff>201081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114567-05EB-4E15-AF30-0C7654DB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6" y="84664"/>
          <a:ext cx="1221816" cy="745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  <pageSetUpPr fitToPage="1"/>
  </sheetPr>
  <dimension ref="A1:IP609"/>
  <sheetViews>
    <sheetView showGridLines="0" tabSelected="1" zoomScaleNormal="100" workbookViewId="0">
      <pane xSplit="8" ySplit="3" topLeftCell="P9" activePane="bottomRight" state="frozen"/>
      <selection pane="topRight" activeCell="I1" sqref="I1"/>
      <selection pane="bottomLeft" activeCell="A4" sqref="A4"/>
      <selection pane="bottomRight" activeCell="S10" sqref="S10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38.44140625" customWidth="1"/>
    <col min="6" max="6" width="12" customWidth="1"/>
    <col min="7" max="7" width="13.5546875" customWidth="1"/>
    <col min="8" max="8" width="7.6640625" customWidth="1"/>
    <col min="9" max="9" width="7.44140625" customWidth="1"/>
    <col min="10" max="10" width="24.88671875" hidden="1" customWidth="1"/>
    <col min="11" max="11" width="23.44140625" hidden="1" customWidth="1"/>
    <col min="12" max="12" width="7.109375" customWidth="1"/>
    <col min="13" max="13" width="6.88671875" hidden="1" customWidth="1"/>
    <col min="14" max="14" width="32.44140625" customWidth="1"/>
    <col min="15" max="15" width="50.6640625" customWidth="1"/>
    <col min="16" max="17" width="15.6640625" customWidth="1"/>
    <col min="18" max="18" width="16" customWidth="1"/>
    <col min="19" max="19" width="17.44140625" customWidth="1"/>
    <col min="20" max="21" width="15.6640625" customWidth="1"/>
    <col min="22" max="22" width="20.109375" customWidth="1"/>
    <col min="23" max="26" width="15.6640625" customWidth="1"/>
    <col min="27" max="28" width="15" customWidth="1"/>
    <col min="29" max="29" width="11.33203125" customWidth="1"/>
    <col min="31" max="33" width="11.33203125" customWidth="1"/>
    <col min="34" max="34" width="13" customWidth="1"/>
    <col min="35" max="35" width="11.33203125" customWidth="1"/>
    <col min="36" max="36" width="12.6640625" customWidth="1"/>
    <col min="37" max="37" width="12.5546875" customWidth="1"/>
    <col min="38" max="38" width="17.5546875" customWidth="1"/>
    <col min="39" max="41" width="11.33203125" customWidth="1"/>
    <col min="42" max="42" width="13.6640625" customWidth="1"/>
    <col min="43" max="43" width="13.5546875" customWidth="1"/>
    <col min="44" max="44" width="11.33203125" customWidth="1"/>
    <col min="45" max="45" width="12.5546875" customWidth="1"/>
    <col min="46" max="46" width="13.5546875" customWidth="1"/>
    <col min="47" max="47" width="12.44140625" customWidth="1"/>
    <col min="48" max="48" width="12.33203125" customWidth="1"/>
    <col min="49" max="68" width="11.33203125" customWidth="1"/>
    <col min="69" max="69" width="13.33203125" customWidth="1"/>
    <col min="70" max="72" width="13.5546875" customWidth="1"/>
  </cols>
  <sheetData>
    <row r="1" spans="1:72" ht="15.75" customHeight="1" x14ac:dyDescent="0.3">
      <c r="A1" s="1"/>
      <c r="B1" s="2"/>
      <c r="C1" s="2"/>
      <c r="D1" s="2"/>
      <c r="E1" s="2"/>
      <c r="F1" s="3"/>
      <c r="G1" s="3"/>
      <c r="H1" s="4"/>
      <c r="I1" s="5"/>
      <c r="J1" s="5" t="s">
        <v>0</v>
      </c>
      <c r="K1" s="133" t="s">
        <v>1</v>
      </c>
      <c r="L1" s="2"/>
      <c r="M1" s="6"/>
      <c r="N1" s="135"/>
      <c r="O1" s="5" t="s">
        <v>0</v>
      </c>
      <c r="P1" s="138" t="s">
        <v>2</v>
      </c>
      <c r="Q1" s="139"/>
      <c r="R1" s="139"/>
      <c r="S1" s="139"/>
      <c r="T1" s="140"/>
      <c r="U1" s="141" t="s">
        <v>3</v>
      </c>
      <c r="V1" s="142"/>
      <c r="W1" s="142"/>
      <c r="X1" s="143"/>
      <c r="Y1" s="138" t="s">
        <v>4</v>
      </c>
      <c r="Z1" s="139"/>
      <c r="AA1" s="139"/>
      <c r="AB1" s="140"/>
      <c r="AC1" s="144" t="s">
        <v>5</v>
      </c>
      <c r="AD1" s="145"/>
      <c r="AE1" s="145"/>
      <c r="AF1" s="145"/>
      <c r="AG1" s="145"/>
      <c r="AH1" s="148" t="s">
        <v>6</v>
      </c>
      <c r="AI1" s="148"/>
      <c r="AJ1" s="148"/>
      <c r="AK1" s="149"/>
      <c r="AL1" s="144" t="s">
        <v>7</v>
      </c>
      <c r="AM1" s="145"/>
      <c r="AN1" s="145"/>
      <c r="AO1" s="146"/>
      <c r="AP1" s="147" t="s">
        <v>8</v>
      </c>
      <c r="AQ1" s="148"/>
      <c r="AR1" s="148"/>
      <c r="AS1" s="148"/>
      <c r="AT1" s="149"/>
      <c r="AU1" s="144" t="s">
        <v>9</v>
      </c>
      <c r="AV1" s="145"/>
      <c r="AW1" s="145"/>
      <c r="AX1" s="146"/>
      <c r="AY1" s="137" t="s">
        <v>10</v>
      </c>
      <c r="AZ1" s="131"/>
      <c r="BA1" s="131"/>
      <c r="BB1" s="132"/>
      <c r="BC1" s="144" t="s">
        <v>11</v>
      </c>
      <c r="BD1" s="145"/>
      <c r="BE1" s="145"/>
      <c r="BF1" s="145"/>
      <c r="BG1" s="146"/>
      <c r="BH1" s="147" t="s">
        <v>12</v>
      </c>
      <c r="BI1" s="148"/>
      <c r="BJ1" s="148"/>
      <c r="BK1" s="149"/>
      <c r="BL1" s="130" t="s">
        <v>13</v>
      </c>
      <c r="BM1" s="131"/>
      <c r="BN1" s="131"/>
      <c r="BO1" s="132"/>
      <c r="BP1" s="7" t="s">
        <v>14</v>
      </c>
      <c r="BQ1" s="76">
        <f>+BR2/BQ2</f>
        <v>0.1824275796025856</v>
      </c>
      <c r="BR1" s="17">
        <f>+BQ2-BR2</f>
        <v>3415</v>
      </c>
      <c r="BS1" s="8" t="s">
        <v>855</v>
      </c>
      <c r="BT1" s="9">
        <f>+BS2/BT2</f>
        <v>3.2894736842105261E-3</v>
      </c>
    </row>
    <row r="2" spans="1:72" ht="15.75" customHeight="1" x14ac:dyDescent="0.3">
      <c r="A2" s="6"/>
      <c r="B2" s="10"/>
      <c r="C2" s="10"/>
      <c r="D2" s="10"/>
      <c r="E2" s="10"/>
      <c r="F2" s="10"/>
      <c r="G2" s="2"/>
      <c r="H2" s="11"/>
      <c r="I2" s="12"/>
      <c r="J2" s="12"/>
      <c r="K2" s="134"/>
      <c r="L2" s="10"/>
      <c r="M2" s="6"/>
      <c r="N2" s="136"/>
      <c r="O2" s="12"/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13" t="s">
        <v>28</v>
      </c>
      <c r="AD2" s="13" t="s">
        <v>29</v>
      </c>
      <c r="AE2" s="13" t="s">
        <v>30</v>
      </c>
      <c r="AF2" s="14" t="s">
        <v>31</v>
      </c>
      <c r="AG2" s="14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13" t="s">
        <v>37</v>
      </c>
      <c r="AM2" s="13" t="s">
        <v>38</v>
      </c>
      <c r="AN2" s="13" t="s">
        <v>39</v>
      </c>
      <c r="AO2" s="14" t="s">
        <v>40</v>
      </c>
      <c r="AP2" s="7" t="s">
        <v>41</v>
      </c>
      <c r="AQ2" s="7" t="s">
        <v>42</v>
      </c>
      <c r="AR2" s="7" t="s">
        <v>43</v>
      </c>
      <c r="AS2" s="15" t="s">
        <v>44</v>
      </c>
      <c r="AT2" s="15" t="s">
        <v>45</v>
      </c>
      <c r="AU2" s="13" t="s">
        <v>46</v>
      </c>
      <c r="AV2" s="13" t="s">
        <v>47</v>
      </c>
      <c r="AW2" s="13" t="s">
        <v>48</v>
      </c>
      <c r="AX2" s="14" t="s">
        <v>49</v>
      </c>
      <c r="AY2" s="7" t="s">
        <v>50</v>
      </c>
      <c r="AZ2" s="7" t="s">
        <v>51</v>
      </c>
      <c r="BA2" s="7" t="s">
        <v>52</v>
      </c>
      <c r="BB2" s="15" t="s">
        <v>53</v>
      </c>
      <c r="BC2" s="13" t="s">
        <v>54</v>
      </c>
      <c r="BD2" s="13" t="s">
        <v>55</v>
      </c>
      <c r="BE2" s="13" t="s">
        <v>56</v>
      </c>
      <c r="BF2" s="13" t="s">
        <v>57</v>
      </c>
      <c r="BG2" s="13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13" t="s">
        <v>63</v>
      </c>
      <c r="BM2" s="13" t="s">
        <v>64</v>
      </c>
      <c r="BN2" s="13" t="s">
        <v>65</v>
      </c>
      <c r="BO2" s="13" t="s">
        <v>66</v>
      </c>
      <c r="BP2" s="16" t="s">
        <v>15</v>
      </c>
      <c r="BQ2" s="17">
        <f>SUBTOTAL(9,BQ4:BQ1042)</f>
        <v>4177</v>
      </c>
      <c r="BR2" s="17">
        <f>SUBTOTAL(9,BR4:BR1042)</f>
        <v>762</v>
      </c>
      <c r="BS2" s="17">
        <f>SUBTOTAL(9,(BS4:BS1042))</f>
        <v>2</v>
      </c>
      <c r="BT2" s="17">
        <f>SUBTOTAL(9,(BT4:BT1042))</f>
        <v>608</v>
      </c>
    </row>
    <row r="3" spans="1:72" ht="51" customHeight="1" x14ac:dyDescent="0.3">
      <c r="A3" s="110" t="s">
        <v>67</v>
      </c>
      <c r="B3" s="110" t="s">
        <v>68</v>
      </c>
      <c r="C3" s="110" t="s">
        <v>69</v>
      </c>
      <c r="D3" s="110" t="s">
        <v>70</v>
      </c>
      <c r="E3" s="110" t="s">
        <v>71</v>
      </c>
      <c r="F3" s="110" t="s">
        <v>72</v>
      </c>
      <c r="G3" s="110" t="s">
        <v>73</v>
      </c>
      <c r="H3" s="110" t="s">
        <v>74</v>
      </c>
      <c r="I3" s="110"/>
      <c r="J3" s="110" t="s">
        <v>75</v>
      </c>
      <c r="K3" s="110" t="s">
        <v>76</v>
      </c>
      <c r="L3" s="110" t="s">
        <v>77</v>
      </c>
      <c r="M3" s="110" t="s">
        <v>78</v>
      </c>
      <c r="N3" s="110" t="s">
        <v>79</v>
      </c>
      <c r="O3" s="110" t="s">
        <v>75</v>
      </c>
      <c r="P3" s="19" t="s">
        <v>76</v>
      </c>
      <c r="Q3" s="19" t="s">
        <v>76</v>
      </c>
      <c r="R3" s="19" t="s">
        <v>76</v>
      </c>
      <c r="S3" s="19" t="s">
        <v>76</v>
      </c>
      <c r="T3" s="19" t="s">
        <v>76</v>
      </c>
      <c r="U3" s="20" t="s">
        <v>76</v>
      </c>
      <c r="V3" s="20" t="s">
        <v>76</v>
      </c>
      <c r="W3" s="20" t="s">
        <v>76</v>
      </c>
      <c r="X3" s="20" t="s">
        <v>76</v>
      </c>
      <c r="Y3" s="19" t="s">
        <v>76</v>
      </c>
      <c r="Z3" s="19" t="s">
        <v>76</v>
      </c>
      <c r="AA3" s="19" t="s">
        <v>76</v>
      </c>
      <c r="AB3" s="19" t="s">
        <v>76</v>
      </c>
      <c r="AC3" s="20" t="s">
        <v>76</v>
      </c>
      <c r="AD3" s="20" t="s">
        <v>76</v>
      </c>
      <c r="AE3" s="20" t="s">
        <v>76</v>
      </c>
      <c r="AF3" s="21" t="s">
        <v>76</v>
      </c>
      <c r="AG3" s="21" t="s">
        <v>76</v>
      </c>
      <c r="AH3" s="19" t="s">
        <v>76</v>
      </c>
      <c r="AI3" s="19" t="s">
        <v>76</v>
      </c>
      <c r="AJ3" s="22" t="s">
        <v>76</v>
      </c>
      <c r="AK3" s="22" t="s">
        <v>76</v>
      </c>
      <c r="AL3" s="20" t="s">
        <v>76</v>
      </c>
      <c r="AM3" s="20" t="s">
        <v>76</v>
      </c>
      <c r="AN3" s="20" t="s">
        <v>76</v>
      </c>
      <c r="AO3" s="21" t="s">
        <v>76</v>
      </c>
      <c r="AP3" s="19" t="s">
        <v>76</v>
      </c>
      <c r="AQ3" s="19" t="s">
        <v>76</v>
      </c>
      <c r="AR3" s="19" t="s">
        <v>76</v>
      </c>
      <c r="AS3" s="22" t="s">
        <v>76</v>
      </c>
      <c r="AT3" s="22" t="s">
        <v>76</v>
      </c>
      <c r="AU3" s="20" t="s">
        <v>76</v>
      </c>
      <c r="AV3" s="20" t="s">
        <v>76</v>
      </c>
      <c r="AW3" s="20" t="s">
        <v>76</v>
      </c>
      <c r="AX3" s="21" t="s">
        <v>76</v>
      </c>
      <c r="AY3" s="19" t="s">
        <v>76</v>
      </c>
      <c r="AZ3" s="19" t="s">
        <v>76</v>
      </c>
      <c r="BA3" s="19" t="s">
        <v>76</v>
      </c>
      <c r="BB3" s="22" t="s">
        <v>76</v>
      </c>
      <c r="BC3" s="20" t="s">
        <v>76</v>
      </c>
      <c r="BD3" s="20" t="s">
        <v>76</v>
      </c>
      <c r="BE3" s="20" t="s">
        <v>76</v>
      </c>
      <c r="BF3" s="21" t="s">
        <v>76</v>
      </c>
      <c r="BG3" s="21" t="s">
        <v>76</v>
      </c>
      <c r="BH3" s="19" t="s">
        <v>76</v>
      </c>
      <c r="BI3" s="19" t="s">
        <v>76</v>
      </c>
      <c r="BJ3" s="19" t="s">
        <v>76</v>
      </c>
      <c r="BK3" s="19" t="s">
        <v>76</v>
      </c>
      <c r="BL3" s="20" t="s">
        <v>76</v>
      </c>
      <c r="BM3" s="20" t="s">
        <v>76</v>
      </c>
      <c r="BN3" s="20" t="s">
        <v>76</v>
      </c>
      <c r="BO3" s="20" t="s">
        <v>76</v>
      </c>
      <c r="BP3" s="19" t="s">
        <v>76</v>
      </c>
      <c r="BQ3" s="18" t="s">
        <v>80</v>
      </c>
      <c r="BR3" s="23" t="s">
        <v>81</v>
      </c>
      <c r="BS3" s="8" t="s">
        <v>82</v>
      </c>
      <c r="BT3" s="8" t="s">
        <v>83</v>
      </c>
    </row>
    <row r="4" spans="1:72" ht="15.75" customHeight="1" x14ac:dyDescent="0.3">
      <c r="A4" s="59">
        <v>10</v>
      </c>
      <c r="B4" s="61" t="s">
        <v>97</v>
      </c>
      <c r="C4" s="61" t="s">
        <v>98</v>
      </c>
      <c r="D4" s="61" t="s">
        <v>98</v>
      </c>
      <c r="E4" s="61" t="s">
        <v>760</v>
      </c>
      <c r="F4" s="61" t="s">
        <v>87</v>
      </c>
      <c r="G4" s="63" t="s">
        <v>99</v>
      </c>
      <c r="H4" s="24">
        <f t="shared" ref="H4:H67" si="0">IF(BQ4=0," ",(BR4/BQ4))</f>
        <v>0</v>
      </c>
      <c r="I4" s="30"/>
      <c r="J4" s="30"/>
      <c r="K4" s="31"/>
      <c r="L4" s="63" t="s">
        <v>100</v>
      </c>
      <c r="M4" s="29"/>
      <c r="N4" s="70"/>
      <c r="O4" s="30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17">
        <v>1</v>
      </c>
      <c r="BR4" s="17">
        <f t="shared" ref="BR4:BR67" si="1">IF(COUNTA(P4:BP4)&gt;BQ4,BQ4,COUNTA(P4:BP4))</f>
        <v>0</v>
      </c>
      <c r="BS4" s="28">
        <f t="shared" ref="BS4:BS67" si="2">IF(H4=1,1,0)</f>
        <v>0</v>
      </c>
      <c r="BT4" s="28">
        <v>1</v>
      </c>
    </row>
    <row r="5" spans="1:72" ht="15.75" customHeight="1" x14ac:dyDescent="0.3">
      <c r="A5" s="32">
        <v>20</v>
      </c>
      <c r="B5" s="33" t="s">
        <v>114</v>
      </c>
      <c r="C5" s="33" t="s">
        <v>115</v>
      </c>
      <c r="D5" s="33" t="s">
        <v>116</v>
      </c>
      <c r="E5" s="33" t="s">
        <v>117</v>
      </c>
      <c r="F5" s="33" t="s">
        <v>118</v>
      </c>
      <c r="G5" s="34" t="s">
        <v>119</v>
      </c>
      <c r="H5" s="24">
        <f t="shared" si="0"/>
        <v>0.16666666666666666</v>
      </c>
      <c r="I5" s="35"/>
      <c r="J5" s="35" t="s">
        <v>120</v>
      </c>
      <c r="K5" s="36"/>
      <c r="L5" s="34" t="s">
        <v>105</v>
      </c>
      <c r="M5" s="37"/>
      <c r="N5" s="37"/>
      <c r="O5" s="35" t="s">
        <v>120</v>
      </c>
      <c r="P5" s="38" t="s">
        <v>810</v>
      </c>
      <c r="Q5" s="38"/>
      <c r="R5" s="38"/>
      <c r="S5" s="38"/>
      <c r="T5" s="38"/>
      <c r="U5" s="38" t="s">
        <v>810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9"/>
      <c r="BQ5" s="17">
        <v>12</v>
      </c>
      <c r="BR5" s="17">
        <f t="shared" si="1"/>
        <v>2</v>
      </c>
      <c r="BS5" s="28">
        <f t="shared" si="2"/>
        <v>0</v>
      </c>
      <c r="BT5" s="28">
        <v>1</v>
      </c>
    </row>
    <row r="6" spans="1:72" ht="15.75" customHeight="1" x14ac:dyDescent="0.3">
      <c r="A6" s="32">
        <v>20</v>
      </c>
      <c r="B6" s="33" t="s">
        <v>112</v>
      </c>
      <c r="C6" s="33" t="s">
        <v>102</v>
      </c>
      <c r="D6" s="33" t="s">
        <v>113</v>
      </c>
      <c r="E6" s="33"/>
      <c r="F6" s="33" t="s">
        <v>90</v>
      </c>
      <c r="G6" s="34" t="s">
        <v>99</v>
      </c>
      <c r="H6" s="24">
        <f t="shared" si="0"/>
        <v>0</v>
      </c>
      <c r="I6" s="35"/>
      <c r="J6" s="35"/>
      <c r="K6" s="36"/>
      <c r="L6" s="34" t="s">
        <v>105</v>
      </c>
      <c r="M6" s="40"/>
      <c r="N6" s="40"/>
      <c r="O6" s="35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17">
        <v>1</v>
      </c>
      <c r="BR6" s="17">
        <f t="shared" si="1"/>
        <v>0</v>
      </c>
      <c r="BS6" s="28">
        <f t="shared" si="2"/>
        <v>0</v>
      </c>
      <c r="BT6" s="28">
        <v>1</v>
      </c>
    </row>
    <row r="7" spans="1:72" ht="15.75" customHeight="1" x14ac:dyDescent="0.3">
      <c r="A7" s="32">
        <v>20</v>
      </c>
      <c r="B7" s="33" t="s">
        <v>101</v>
      </c>
      <c r="C7" s="33" t="s">
        <v>102</v>
      </c>
      <c r="D7" s="33" t="s">
        <v>103</v>
      </c>
      <c r="E7" s="33" t="s">
        <v>104</v>
      </c>
      <c r="F7" s="33" t="s">
        <v>90</v>
      </c>
      <c r="G7" s="34" t="s">
        <v>99</v>
      </c>
      <c r="H7" s="24">
        <f t="shared" si="0"/>
        <v>0</v>
      </c>
      <c r="I7" s="35" t="s">
        <v>808</v>
      </c>
      <c r="J7" s="35"/>
      <c r="K7" s="36"/>
      <c r="L7" s="34" t="s">
        <v>105</v>
      </c>
      <c r="M7" s="40"/>
      <c r="N7" s="40"/>
      <c r="O7" s="35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17">
        <v>1</v>
      </c>
      <c r="BR7" s="17">
        <f t="shared" si="1"/>
        <v>0</v>
      </c>
      <c r="BS7" s="28">
        <f t="shared" si="2"/>
        <v>0</v>
      </c>
      <c r="BT7" s="28">
        <v>1</v>
      </c>
    </row>
    <row r="8" spans="1:72" ht="15.75" customHeight="1" x14ac:dyDescent="0.3">
      <c r="A8" s="32">
        <v>20</v>
      </c>
      <c r="B8" s="33" t="s">
        <v>110</v>
      </c>
      <c r="C8" s="33" t="s">
        <v>102</v>
      </c>
      <c r="D8" s="33" t="s">
        <v>111</v>
      </c>
      <c r="E8" s="33" t="s">
        <v>104</v>
      </c>
      <c r="F8" s="128" t="s">
        <v>90</v>
      </c>
      <c r="G8" s="129" t="s">
        <v>99</v>
      </c>
      <c r="H8" s="24">
        <f t="shared" si="0"/>
        <v>0</v>
      </c>
      <c r="I8" s="35" t="s">
        <v>808</v>
      </c>
      <c r="J8" s="35"/>
      <c r="K8" s="36"/>
      <c r="L8" s="34" t="s">
        <v>105</v>
      </c>
      <c r="M8" s="40"/>
      <c r="N8" s="40"/>
      <c r="O8" s="35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17">
        <v>1</v>
      </c>
      <c r="BR8" s="17">
        <f t="shared" si="1"/>
        <v>0</v>
      </c>
      <c r="BS8" s="28">
        <f t="shared" si="2"/>
        <v>0</v>
      </c>
      <c r="BT8" s="28">
        <v>1</v>
      </c>
    </row>
    <row r="9" spans="1:72" ht="15.75" customHeight="1" x14ac:dyDescent="0.3">
      <c r="A9" s="32">
        <v>20</v>
      </c>
      <c r="B9" s="33" t="s">
        <v>106</v>
      </c>
      <c r="C9" s="33" t="s">
        <v>107</v>
      </c>
      <c r="D9" s="33" t="s">
        <v>108</v>
      </c>
      <c r="E9" s="33" t="s">
        <v>109</v>
      </c>
      <c r="F9" s="33" t="s">
        <v>86</v>
      </c>
      <c r="G9" s="34" t="s">
        <v>99</v>
      </c>
      <c r="H9" s="24">
        <f t="shared" si="0"/>
        <v>0</v>
      </c>
      <c r="I9" s="35" t="s">
        <v>808</v>
      </c>
      <c r="J9" s="35"/>
      <c r="K9" s="36"/>
      <c r="L9" s="34" t="s">
        <v>105</v>
      </c>
      <c r="M9" s="40"/>
      <c r="N9" s="40"/>
      <c r="O9" s="35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17">
        <v>1</v>
      </c>
      <c r="BR9" s="17">
        <f t="shared" si="1"/>
        <v>0</v>
      </c>
      <c r="BS9" s="28">
        <f t="shared" si="2"/>
        <v>0</v>
      </c>
      <c r="BT9" s="28">
        <v>1</v>
      </c>
    </row>
    <row r="10" spans="1:72" ht="15.75" customHeight="1" x14ac:dyDescent="0.3">
      <c r="A10" s="32">
        <v>30</v>
      </c>
      <c r="B10" s="33" t="s">
        <v>133</v>
      </c>
      <c r="C10" s="33" t="s">
        <v>122</v>
      </c>
      <c r="D10" s="33" t="s">
        <v>134</v>
      </c>
      <c r="E10" s="33" t="s">
        <v>130</v>
      </c>
      <c r="F10" s="33" t="s">
        <v>93</v>
      </c>
      <c r="G10" s="34" t="s">
        <v>119</v>
      </c>
      <c r="H10" s="24">
        <f t="shared" si="0"/>
        <v>0.25</v>
      </c>
      <c r="I10" s="35"/>
      <c r="J10" s="35"/>
      <c r="K10" s="36"/>
      <c r="L10" s="34" t="s">
        <v>100</v>
      </c>
      <c r="M10" s="40"/>
      <c r="N10" s="40"/>
      <c r="O10" s="35"/>
      <c r="P10" s="27" t="s">
        <v>810</v>
      </c>
      <c r="Q10" s="27"/>
      <c r="R10" s="27"/>
      <c r="S10" s="27"/>
      <c r="T10" s="27"/>
      <c r="U10" s="27" t="s">
        <v>810</v>
      </c>
      <c r="V10" s="27"/>
      <c r="W10" s="27"/>
      <c r="X10" s="27"/>
      <c r="Y10" s="27" t="s">
        <v>810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41"/>
      <c r="BQ10" s="17">
        <v>12</v>
      </c>
      <c r="BR10" s="17">
        <f t="shared" si="1"/>
        <v>3</v>
      </c>
      <c r="BS10" s="28">
        <f t="shared" si="2"/>
        <v>0</v>
      </c>
      <c r="BT10" s="28">
        <v>1</v>
      </c>
    </row>
    <row r="11" spans="1:72" ht="15.75" customHeight="1" x14ac:dyDescent="0.3">
      <c r="A11" s="32">
        <v>30</v>
      </c>
      <c r="B11" s="33" t="s">
        <v>135</v>
      </c>
      <c r="C11" s="33" t="s">
        <v>122</v>
      </c>
      <c r="D11" s="33" t="s">
        <v>136</v>
      </c>
      <c r="E11" s="33" t="s">
        <v>130</v>
      </c>
      <c r="F11" s="33" t="s">
        <v>93</v>
      </c>
      <c r="G11" s="34" t="s">
        <v>119</v>
      </c>
      <c r="H11" s="24">
        <f t="shared" si="0"/>
        <v>0.25</v>
      </c>
      <c r="I11" s="35"/>
      <c r="J11" s="35"/>
      <c r="K11" s="36"/>
      <c r="L11" s="34" t="s">
        <v>100</v>
      </c>
      <c r="M11" s="40"/>
      <c r="N11" s="40"/>
      <c r="O11" s="35"/>
      <c r="P11" s="27" t="s">
        <v>810</v>
      </c>
      <c r="Q11" s="27"/>
      <c r="R11" s="27"/>
      <c r="S11" s="27"/>
      <c r="T11" s="27"/>
      <c r="U11" s="27" t="s">
        <v>810</v>
      </c>
      <c r="V11" s="27"/>
      <c r="W11" s="27"/>
      <c r="X11" s="27"/>
      <c r="Y11" s="27" t="s">
        <v>810</v>
      </c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17">
        <v>12</v>
      </c>
      <c r="BR11" s="17">
        <f t="shared" si="1"/>
        <v>3</v>
      </c>
      <c r="BS11" s="28">
        <f t="shared" si="2"/>
        <v>0</v>
      </c>
      <c r="BT11" s="28">
        <v>1</v>
      </c>
    </row>
    <row r="12" spans="1:72" ht="15.75" customHeight="1" x14ac:dyDescent="0.3">
      <c r="A12" s="32">
        <v>30</v>
      </c>
      <c r="B12" s="33" t="s">
        <v>124</v>
      </c>
      <c r="C12" s="33" t="s">
        <v>122</v>
      </c>
      <c r="D12" s="33" t="s">
        <v>125</v>
      </c>
      <c r="E12" s="33" t="s">
        <v>761</v>
      </c>
      <c r="F12" s="33" t="s">
        <v>93</v>
      </c>
      <c r="G12" s="34" t="s">
        <v>119</v>
      </c>
      <c r="H12" s="24">
        <f t="shared" si="0"/>
        <v>0.25</v>
      </c>
      <c r="I12" s="35"/>
      <c r="J12" s="35"/>
      <c r="K12" s="36"/>
      <c r="L12" s="34" t="s">
        <v>100</v>
      </c>
      <c r="M12" s="40"/>
      <c r="N12" s="40"/>
      <c r="O12" s="35"/>
      <c r="P12" s="27" t="s">
        <v>810</v>
      </c>
      <c r="Q12" s="27"/>
      <c r="R12" s="27"/>
      <c r="S12" s="27"/>
      <c r="T12" s="27"/>
      <c r="U12" s="27" t="s">
        <v>810</v>
      </c>
      <c r="V12" s="27"/>
      <c r="W12" s="27"/>
      <c r="X12" s="27"/>
      <c r="Y12" s="27" t="s">
        <v>810</v>
      </c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17">
        <v>12</v>
      </c>
      <c r="BR12" s="17">
        <f t="shared" si="1"/>
        <v>3</v>
      </c>
      <c r="BS12" s="28">
        <f t="shared" si="2"/>
        <v>0</v>
      </c>
      <c r="BT12" s="28">
        <v>1</v>
      </c>
    </row>
    <row r="13" spans="1:72" ht="15.75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126</v>
      </c>
      <c r="F13" s="33" t="s">
        <v>86</v>
      </c>
      <c r="G13" s="34" t="s">
        <v>99</v>
      </c>
      <c r="H13" s="24">
        <f t="shared" si="0"/>
        <v>0</v>
      </c>
      <c r="I13" s="35"/>
      <c r="J13" s="35"/>
      <c r="K13" s="36"/>
      <c r="L13" s="34" t="s">
        <v>100</v>
      </c>
      <c r="M13" s="40"/>
      <c r="N13" s="40"/>
      <c r="O13" s="35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17">
        <v>1</v>
      </c>
      <c r="BR13" s="17">
        <f t="shared" si="1"/>
        <v>0</v>
      </c>
      <c r="BS13" s="28">
        <f t="shared" si="2"/>
        <v>0</v>
      </c>
      <c r="BT13" s="28">
        <v>1</v>
      </c>
    </row>
    <row r="14" spans="1:72" ht="15.75" customHeight="1" x14ac:dyDescent="0.3">
      <c r="A14" s="32">
        <v>30</v>
      </c>
      <c r="B14" s="33" t="s">
        <v>128</v>
      </c>
      <c r="C14" s="33" t="s">
        <v>122</v>
      </c>
      <c r="D14" s="33" t="s">
        <v>129</v>
      </c>
      <c r="E14" s="33" t="s">
        <v>130</v>
      </c>
      <c r="F14" s="33" t="s">
        <v>93</v>
      </c>
      <c r="G14" s="34" t="s">
        <v>119</v>
      </c>
      <c r="H14" s="24">
        <f t="shared" si="0"/>
        <v>0.25</v>
      </c>
      <c r="I14" s="35"/>
      <c r="J14" s="35"/>
      <c r="K14" s="36"/>
      <c r="L14" s="34" t="s">
        <v>105</v>
      </c>
      <c r="M14" s="40"/>
      <c r="N14" s="40"/>
      <c r="O14" s="35"/>
      <c r="P14" s="27" t="s">
        <v>810</v>
      </c>
      <c r="Q14" s="27"/>
      <c r="R14" s="27"/>
      <c r="S14" s="27"/>
      <c r="T14" s="27"/>
      <c r="U14" s="27" t="s">
        <v>810</v>
      </c>
      <c r="V14" s="27"/>
      <c r="W14" s="27"/>
      <c r="X14" s="27"/>
      <c r="Y14" s="27" t="s">
        <v>810</v>
      </c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17">
        <v>12</v>
      </c>
      <c r="BR14" s="17">
        <f t="shared" si="1"/>
        <v>3</v>
      </c>
      <c r="BS14" s="28">
        <f t="shared" si="2"/>
        <v>0</v>
      </c>
      <c r="BT14" s="28">
        <v>1</v>
      </c>
    </row>
    <row r="15" spans="1:72" ht="15.75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131</v>
      </c>
      <c r="F15" s="33" t="s">
        <v>132</v>
      </c>
      <c r="G15" s="34" t="s">
        <v>99</v>
      </c>
      <c r="H15" s="24">
        <f t="shared" si="0"/>
        <v>0</v>
      </c>
      <c r="I15" s="35"/>
      <c r="J15" s="35"/>
      <c r="K15" s="36"/>
      <c r="L15" s="34" t="s">
        <v>100</v>
      </c>
      <c r="M15" s="40"/>
      <c r="N15" s="40"/>
      <c r="O15" s="35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17">
        <v>1</v>
      </c>
      <c r="BR15" s="17">
        <f t="shared" si="1"/>
        <v>0</v>
      </c>
      <c r="BS15" s="28">
        <f t="shared" si="2"/>
        <v>0</v>
      </c>
      <c r="BT15" s="28">
        <v>1</v>
      </c>
    </row>
    <row r="16" spans="1:72" ht="15.75" customHeight="1" x14ac:dyDescent="0.3">
      <c r="A16" s="32">
        <v>30</v>
      </c>
      <c r="B16" s="33" t="s">
        <v>121</v>
      </c>
      <c r="C16" s="33" t="s">
        <v>122</v>
      </c>
      <c r="D16" s="33" t="s">
        <v>123</v>
      </c>
      <c r="E16" s="33" t="s">
        <v>117</v>
      </c>
      <c r="F16" s="33" t="s">
        <v>93</v>
      </c>
      <c r="G16" s="34" t="s">
        <v>119</v>
      </c>
      <c r="H16" s="24">
        <f t="shared" si="0"/>
        <v>0.25</v>
      </c>
      <c r="I16" s="35"/>
      <c r="J16" s="35"/>
      <c r="K16" s="36"/>
      <c r="L16" s="34" t="s">
        <v>105</v>
      </c>
      <c r="M16" s="40"/>
      <c r="N16" s="40"/>
      <c r="O16" s="35"/>
      <c r="P16" s="27" t="s">
        <v>810</v>
      </c>
      <c r="Q16" s="27"/>
      <c r="R16" s="27"/>
      <c r="S16" s="27"/>
      <c r="T16" s="27"/>
      <c r="U16" s="27" t="s">
        <v>810</v>
      </c>
      <c r="V16" s="27"/>
      <c r="W16" s="27"/>
      <c r="X16" s="27"/>
      <c r="Y16" s="27" t="s">
        <v>810</v>
      </c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41"/>
      <c r="BQ16" s="17">
        <v>12</v>
      </c>
      <c r="BR16" s="17">
        <f t="shared" si="1"/>
        <v>3</v>
      </c>
      <c r="BS16" s="28">
        <f t="shared" si="2"/>
        <v>0</v>
      </c>
      <c r="BT16" s="28">
        <v>1</v>
      </c>
    </row>
    <row r="17" spans="1:72" ht="15.75" customHeight="1" x14ac:dyDescent="0.3">
      <c r="A17" s="32">
        <v>31</v>
      </c>
      <c r="B17" s="33" t="s">
        <v>137</v>
      </c>
      <c r="C17" s="33" t="s">
        <v>138</v>
      </c>
      <c r="D17" s="33" t="s">
        <v>139</v>
      </c>
      <c r="E17" s="33" t="s">
        <v>140</v>
      </c>
      <c r="F17" s="33" t="s">
        <v>141</v>
      </c>
      <c r="G17" s="34" t="s">
        <v>99</v>
      </c>
      <c r="H17" s="24">
        <f t="shared" si="0"/>
        <v>0</v>
      </c>
      <c r="I17" s="35" t="s">
        <v>808</v>
      </c>
      <c r="J17" s="35" t="s">
        <v>762</v>
      </c>
      <c r="K17" s="36"/>
      <c r="L17" s="34" t="s">
        <v>100</v>
      </c>
      <c r="M17" s="40"/>
      <c r="N17" s="40"/>
      <c r="O17" s="35" t="s">
        <v>762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17">
        <v>1</v>
      </c>
      <c r="BR17" s="17">
        <f t="shared" si="1"/>
        <v>0</v>
      </c>
      <c r="BS17" s="28">
        <f t="shared" si="2"/>
        <v>0</v>
      </c>
      <c r="BT17" s="28">
        <v>1</v>
      </c>
    </row>
    <row r="18" spans="1:72" ht="15.75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142</v>
      </c>
      <c r="F18" s="33" t="s">
        <v>87</v>
      </c>
      <c r="G18" s="34" t="s">
        <v>99</v>
      </c>
      <c r="H18" s="24">
        <f t="shared" si="0"/>
        <v>0</v>
      </c>
      <c r="I18" s="35" t="s">
        <v>808</v>
      </c>
      <c r="J18" s="35" t="s">
        <v>762</v>
      </c>
      <c r="K18" s="36"/>
      <c r="L18" s="34" t="s">
        <v>100</v>
      </c>
      <c r="M18" s="40"/>
      <c r="N18" s="40"/>
      <c r="O18" s="35" t="s">
        <v>762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17">
        <v>1</v>
      </c>
      <c r="BR18" s="17">
        <f t="shared" si="1"/>
        <v>0</v>
      </c>
      <c r="BS18" s="28">
        <f t="shared" si="2"/>
        <v>0</v>
      </c>
      <c r="BT18" s="28">
        <v>1</v>
      </c>
    </row>
    <row r="19" spans="1:72" ht="15.75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143</v>
      </c>
      <c r="F19" s="33" t="s">
        <v>141</v>
      </c>
      <c r="G19" s="34" t="s">
        <v>99</v>
      </c>
      <c r="H19" s="24">
        <f t="shared" si="0"/>
        <v>0</v>
      </c>
      <c r="I19" s="35" t="s">
        <v>808</v>
      </c>
      <c r="J19" s="35" t="s">
        <v>762</v>
      </c>
      <c r="K19" s="36"/>
      <c r="L19" s="34" t="s">
        <v>100</v>
      </c>
      <c r="M19" s="40"/>
      <c r="N19" s="40"/>
      <c r="O19" s="35" t="s">
        <v>762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41"/>
      <c r="BQ19" s="17">
        <v>1</v>
      </c>
      <c r="BR19" s="17">
        <f t="shared" si="1"/>
        <v>0</v>
      </c>
      <c r="BS19" s="28">
        <f t="shared" si="2"/>
        <v>0</v>
      </c>
      <c r="BT19" s="28">
        <v>1</v>
      </c>
    </row>
    <row r="20" spans="1:72" ht="15.75" customHeight="1" x14ac:dyDescent="0.3">
      <c r="A20" s="32">
        <v>40</v>
      </c>
      <c r="B20" s="33" t="s">
        <v>144</v>
      </c>
      <c r="C20" s="33" t="s">
        <v>145</v>
      </c>
      <c r="D20" s="33" t="s">
        <v>146</v>
      </c>
      <c r="E20" s="33" t="s">
        <v>130</v>
      </c>
      <c r="F20" s="33" t="s">
        <v>86</v>
      </c>
      <c r="G20" s="34" t="s">
        <v>99</v>
      </c>
      <c r="H20" s="24">
        <f t="shared" si="0"/>
        <v>0</v>
      </c>
      <c r="I20" s="35" t="s">
        <v>808</v>
      </c>
      <c r="J20" s="35"/>
      <c r="K20" s="36"/>
      <c r="L20" s="34" t="s">
        <v>105</v>
      </c>
      <c r="M20" s="40"/>
      <c r="N20" s="40"/>
      <c r="O20" s="35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17">
        <v>1</v>
      </c>
      <c r="BR20" s="17">
        <f t="shared" si="1"/>
        <v>0</v>
      </c>
      <c r="BS20" s="28">
        <f t="shared" si="2"/>
        <v>0</v>
      </c>
      <c r="BT20" s="28">
        <v>1</v>
      </c>
    </row>
    <row r="21" spans="1:72" ht="15.75" customHeight="1" x14ac:dyDescent="0.3">
      <c r="A21" s="32">
        <v>40</v>
      </c>
      <c r="B21" s="33" t="s">
        <v>147</v>
      </c>
      <c r="C21" s="33" t="s">
        <v>107</v>
      </c>
      <c r="D21" s="33" t="s">
        <v>108</v>
      </c>
      <c r="E21" s="33" t="s">
        <v>130</v>
      </c>
      <c r="F21" s="33" t="s">
        <v>86</v>
      </c>
      <c r="G21" s="34" t="s">
        <v>99</v>
      </c>
      <c r="H21" s="24">
        <f t="shared" si="0"/>
        <v>0</v>
      </c>
      <c r="I21" s="35" t="s">
        <v>808</v>
      </c>
      <c r="J21" s="35"/>
      <c r="K21" s="36"/>
      <c r="L21" s="34"/>
      <c r="M21" s="40"/>
      <c r="N21" s="40"/>
      <c r="O21" s="35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41"/>
      <c r="BQ21" s="17">
        <v>1</v>
      </c>
      <c r="BR21" s="17">
        <f t="shared" si="1"/>
        <v>0</v>
      </c>
      <c r="BS21" s="28">
        <f t="shared" si="2"/>
        <v>0</v>
      </c>
      <c r="BT21" s="28">
        <v>1</v>
      </c>
    </row>
    <row r="22" spans="1:72" ht="15.75" customHeight="1" x14ac:dyDescent="0.3">
      <c r="A22" s="32">
        <v>40</v>
      </c>
      <c r="B22" s="33" t="s">
        <v>148</v>
      </c>
      <c r="C22" s="33" t="s">
        <v>149</v>
      </c>
      <c r="D22" s="33" t="s">
        <v>150</v>
      </c>
      <c r="E22" s="33" t="s">
        <v>130</v>
      </c>
      <c r="F22" s="33" t="s">
        <v>86</v>
      </c>
      <c r="G22" s="34" t="s">
        <v>99</v>
      </c>
      <c r="H22" s="24">
        <f t="shared" si="0"/>
        <v>0</v>
      </c>
      <c r="I22" s="35" t="s">
        <v>808</v>
      </c>
      <c r="J22" s="35"/>
      <c r="K22" s="36"/>
      <c r="L22" s="34" t="s">
        <v>105</v>
      </c>
      <c r="M22" s="40"/>
      <c r="N22" s="40"/>
      <c r="O22" s="35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41"/>
      <c r="BQ22" s="17">
        <v>1</v>
      </c>
      <c r="BR22" s="17">
        <f t="shared" si="1"/>
        <v>0</v>
      </c>
      <c r="BS22" s="28">
        <f t="shared" si="2"/>
        <v>0</v>
      </c>
      <c r="BT22" s="28">
        <v>1</v>
      </c>
    </row>
    <row r="23" spans="1:72" ht="15.75" customHeight="1" x14ac:dyDescent="0.3">
      <c r="A23" s="32">
        <v>40</v>
      </c>
      <c r="B23" s="33" t="s">
        <v>151</v>
      </c>
      <c r="C23" s="33" t="s">
        <v>152</v>
      </c>
      <c r="D23" s="33" t="s">
        <v>153</v>
      </c>
      <c r="E23" s="33" t="s">
        <v>130</v>
      </c>
      <c r="F23" s="33" t="s">
        <v>86</v>
      </c>
      <c r="G23" s="34" t="s">
        <v>99</v>
      </c>
      <c r="H23" s="24">
        <f t="shared" si="0"/>
        <v>0</v>
      </c>
      <c r="I23" s="35" t="s">
        <v>808</v>
      </c>
      <c r="J23" s="35"/>
      <c r="K23" s="36"/>
      <c r="L23" s="34"/>
      <c r="M23" s="40"/>
      <c r="N23" s="40"/>
      <c r="O23" s="35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41"/>
      <c r="BQ23" s="17">
        <v>1</v>
      </c>
      <c r="BR23" s="17">
        <f t="shared" si="1"/>
        <v>0</v>
      </c>
      <c r="BS23" s="28">
        <f t="shared" si="2"/>
        <v>0</v>
      </c>
      <c r="BT23" s="28">
        <v>1</v>
      </c>
    </row>
    <row r="24" spans="1:72" ht="15.75" customHeight="1" x14ac:dyDescent="0.3">
      <c r="A24" s="32">
        <v>50</v>
      </c>
      <c r="B24" s="33" t="s">
        <v>154</v>
      </c>
      <c r="C24" s="33" t="s">
        <v>155</v>
      </c>
      <c r="D24" s="33" t="s">
        <v>156</v>
      </c>
      <c r="E24" s="33" t="s">
        <v>763</v>
      </c>
      <c r="F24" s="33" t="s">
        <v>86</v>
      </c>
      <c r="G24" s="34" t="s">
        <v>99</v>
      </c>
      <c r="H24" s="24">
        <f t="shared" si="0"/>
        <v>0</v>
      </c>
      <c r="I24" s="35" t="s">
        <v>808</v>
      </c>
      <c r="J24" s="35"/>
      <c r="K24" s="36"/>
      <c r="L24" s="34" t="s">
        <v>105</v>
      </c>
      <c r="M24" s="40"/>
      <c r="N24" s="40"/>
      <c r="O24" s="35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41"/>
      <c r="BQ24" s="17">
        <v>1</v>
      </c>
      <c r="BR24" s="17">
        <f t="shared" si="1"/>
        <v>0</v>
      </c>
      <c r="BS24" s="28">
        <f t="shared" si="2"/>
        <v>0</v>
      </c>
      <c r="BT24" s="28">
        <v>1</v>
      </c>
    </row>
    <row r="25" spans="1:72" ht="15.75" customHeight="1" x14ac:dyDescent="0.3">
      <c r="A25" s="32">
        <v>50</v>
      </c>
      <c r="B25" s="33" t="s">
        <v>161</v>
      </c>
      <c r="C25" s="33" t="s">
        <v>158</v>
      </c>
      <c r="D25" s="33" t="s">
        <v>158</v>
      </c>
      <c r="E25" s="33" t="s">
        <v>130</v>
      </c>
      <c r="F25" s="33" t="s">
        <v>86</v>
      </c>
      <c r="G25" s="34" t="s">
        <v>99</v>
      </c>
      <c r="H25" s="24">
        <f t="shared" si="0"/>
        <v>0</v>
      </c>
      <c r="I25" s="35" t="s">
        <v>808</v>
      </c>
      <c r="J25" s="35"/>
      <c r="K25" s="36"/>
      <c r="L25" s="34" t="s">
        <v>100</v>
      </c>
      <c r="M25" s="40"/>
      <c r="N25" s="40"/>
      <c r="O25" s="35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41"/>
      <c r="BQ25" s="17">
        <v>1</v>
      </c>
      <c r="BR25" s="17">
        <f t="shared" si="1"/>
        <v>0</v>
      </c>
      <c r="BS25" s="28">
        <f t="shared" si="2"/>
        <v>0</v>
      </c>
      <c r="BT25" s="28">
        <v>1</v>
      </c>
    </row>
    <row r="26" spans="1:72" ht="15.75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162</v>
      </c>
      <c r="F26" s="33" t="s">
        <v>88</v>
      </c>
      <c r="G26" s="34" t="s">
        <v>127</v>
      </c>
      <c r="H26" s="24">
        <f t="shared" si="0"/>
        <v>0</v>
      </c>
      <c r="I26" s="35" t="s">
        <v>808</v>
      </c>
      <c r="J26" s="35"/>
      <c r="K26" s="36"/>
      <c r="L26" s="34" t="s">
        <v>105</v>
      </c>
      <c r="M26" s="40"/>
      <c r="N26" s="40"/>
      <c r="O26" s="35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17">
        <v>2</v>
      </c>
      <c r="BR26" s="17">
        <f t="shared" si="1"/>
        <v>0</v>
      </c>
      <c r="BS26" s="28">
        <f t="shared" si="2"/>
        <v>0</v>
      </c>
      <c r="BT26" s="28">
        <v>1</v>
      </c>
    </row>
    <row r="27" spans="1:72" ht="15.75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166</v>
      </c>
      <c r="F27" s="33" t="s">
        <v>672</v>
      </c>
      <c r="G27" s="34" t="s">
        <v>673</v>
      </c>
      <c r="H27" s="24">
        <f t="shared" si="0"/>
        <v>0</v>
      </c>
      <c r="I27" s="35"/>
      <c r="J27" s="35"/>
      <c r="K27" s="36"/>
      <c r="L27" s="34" t="s">
        <v>100</v>
      </c>
      <c r="M27" s="40"/>
      <c r="N27" s="40" t="s">
        <v>884</v>
      </c>
      <c r="O27" s="35" t="s">
        <v>169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41"/>
      <c r="BQ27" s="17">
        <v>4</v>
      </c>
      <c r="BR27" s="17">
        <f t="shared" si="1"/>
        <v>0</v>
      </c>
      <c r="BS27" s="28">
        <f t="shared" si="2"/>
        <v>0</v>
      </c>
      <c r="BT27" s="28">
        <v>1</v>
      </c>
    </row>
    <row r="28" spans="1:72" ht="15.75" customHeight="1" x14ac:dyDescent="0.3">
      <c r="A28" s="32">
        <v>50</v>
      </c>
      <c r="B28" s="33" t="s">
        <v>163</v>
      </c>
      <c r="C28" s="33" t="s">
        <v>158</v>
      </c>
      <c r="D28" s="33" t="s">
        <v>164</v>
      </c>
      <c r="E28" s="33" t="s">
        <v>165</v>
      </c>
      <c r="F28" s="33" t="s">
        <v>86</v>
      </c>
      <c r="G28" s="34" t="s">
        <v>99</v>
      </c>
      <c r="H28" s="24">
        <f t="shared" si="0"/>
        <v>0</v>
      </c>
      <c r="I28" s="35" t="s">
        <v>808</v>
      </c>
      <c r="J28" s="35"/>
      <c r="K28" s="36"/>
      <c r="L28" s="34" t="s">
        <v>105</v>
      </c>
      <c r="M28" s="40"/>
      <c r="N28" s="40"/>
      <c r="O28" s="35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41"/>
      <c r="BQ28" s="17">
        <v>1</v>
      </c>
      <c r="BR28" s="17">
        <f t="shared" si="1"/>
        <v>0</v>
      </c>
      <c r="BS28" s="28">
        <f t="shared" si="2"/>
        <v>0</v>
      </c>
      <c r="BT28" s="28">
        <v>1</v>
      </c>
    </row>
    <row r="29" spans="1:72" ht="15.75" customHeight="1" x14ac:dyDescent="0.3">
      <c r="A29" s="32">
        <v>50</v>
      </c>
      <c r="B29" s="33" t="s">
        <v>157</v>
      </c>
      <c r="C29" s="33" t="s">
        <v>158</v>
      </c>
      <c r="D29" s="33" t="s">
        <v>159</v>
      </c>
      <c r="E29" s="33" t="s">
        <v>160</v>
      </c>
      <c r="F29" s="33" t="s">
        <v>86</v>
      </c>
      <c r="G29" s="34" t="s">
        <v>99</v>
      </c>
      <c r="H29" s="24">
        <f t="shared" si="0"/>
        <v>0</v>
      </c>
      <c r="I29" s="35" t="s">
        <v>808</v>
      </c>
      <c r="J29" s="35"/>
      <c r="K29" s="36"/>
      <c r="L29" s="34" t="s">
        <v>105</v>
      </c>
      <c r="M29" s="40"/>
      <c r="N29" s="40"/>
      <c r="O29" s="35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41"/>
      <c r="BQ29" s="17">
        <v>1</v>
      </c>
      <c r="BR29" s="17">
        <f t="shared" si="1"/>
        <v>0</v>
      </c>
      <c r="BS29" s="28">
        <f t="shared" si="2"/>
        <v>0</v>
      </c>
      <c r="BT29" s="28">
        <v>1</v>
      </c>
    </row>
    <row r="30" spans="1:72" ht="15.75" customHeight="1" x14ac:dyDescent="0.3">
      <c r="A30" s="32">
        <v>60</v>
      </c>
      <c r="B30" s="33" t="s">
        <v>190</v>
      </c>
      <c r="C30" s="33" t="s">
        <v>171</v>
      </c>
      <c r="D30" s="33" t="s">
        <v>191</v>
      </c>
      <c r="E30" s="33" t="s">
        <v>173</v>
      </c>
      <c r="F30" s="33" t="s">
        <v>88</v>
      </c>
      <c r="G30" s="34" t="s">
        <v>127</v>
      </c>
      <c r="H30" s="24">
        <f t="shared" si="0"/>
        <v>0</v>
      </c>
      <c r="I30" s="35" t="s">
        <v>808</v>
      </c>
      <c r="J30" s="35"/>
      <c r="K30" s="36"/>
      <c r="L30" s="34" t="s">
        <v>105</v>
      </c>
      <c r="M30" s="40"/>
      <c r="N30" s="40"/>
      <c r="O30" s="35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41"/>
      <c r="BQ30" s="17">
        <v>2</v>
      </c>
      <c r="BR30" s="17">
        <f t="shared" si="1"/>
        <v>0</v>
      </c>
      <c r="BS30" s="28">
        <f t="shared" si="2"/>
        <v>0</v>
      </c>
      <c r="BT30" s="28">
        <v>1</v>
      </c>
    </row>
    <row r="31" spans="1:72" ht="15.75" customHeight="1" x14ac:dyDescent="0.3">
      <c r="A31" s="32">
        <v>60</v>
      </c>
      <c r="B31" s="33" t="s">
        <v>170</v>
      </c>
      <c r="C31" s="33" t="s">
        <v>171</v>
      </c>
      <c r="D31" s="33" t="s">
        <v>172</v>
      </c>
      <c r="E31" s="33" t="s">
        <v>173</v>
      </c>
      <c r="F31" s="33" t="s">
        <v>88</v>
      </c>
      <c r="G31" s="34" t="s">
        <v>127</v>
      </c>
      <c r="H31" s="24">
        <f t="shared" si="0"/>
        <v>0</v>
      </c>
      <c r="I31" s="35" t="s">
        <v>808</v>
      </c>
      <c r="J31" s="35"/>
      <c r="K31" s="36"/>
      <c r="L31" s="34" t="s">
        <v>105</v>
      </c>
      <c r="M31" s="40"/>
      <c r="N31" s="40"/>
      <c r="O31" s="35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17">
        <v>2</v>
      </c>
      <c r="BR31" s="17">
        <f t="shared" si="1"/>
        <v>0</v>
      </c>
      <c r="BS31" s="28">
        <f t="shared" si="2"/>
        <v>0</v>
      </c>
      <c r="BT31" s="28">
        <v>1</v>
      </c>
    </row>
    <row r="32" spans="1:72" ht="15.75" customHeight="1" x14ac:dyDescent="0.3">
      <c r="A32" s="32">
        <v>60</v>
      </c>
      <c r="B32" s="33" t="s">
        <v>179</v>
      </c>
      <c r="C32" s="33" t="s">
        <v>171</v>
      </c>
      <c r="D32" s="33" t="s">
        <v>180</v>
      </c>
      <c r="E32" s="33" t="s">
        <v>173</v>
      </c>
      <c r="F32" s="33" t="s">
        <v>88</v>
      </c>
      <c r="G32" s="34" t="s">
        <v>127</v>
      </c>
      <c r="H32" s="24">
        <f t="shared" si="0"/>
        <v>0</v>
      </c>
      <c r="I32" s="35" t="s">
        <v>808</v>
      </c>
      <c r="J32" s="35"/>
      <c r="K32" s="36"/>
      <c r="L32" s="34" t="s">
        <v>105</v>
      </c>
      <c r="M32" s="40"/>
      <c r="N32" s="40"/>
      <c r="O32" s="35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17">
        <v>2</v>
      </c>
      <c r="BR32" s="17">
        <f t="shared" si="1"/>
        <v>0</v>
      </c>
      <c r="BS32" s="28">
        <f t="shared" si="2"/>
        <v>0</v>
      </c>
      <c r="BT32" s="28">
        <v>1</v>
      </c>
    </row>
    <row r="33" spans="1:72" ht="15.75" customHeight="1" x14ac:dyDescent="0.3">
      <c r="A33" s="32">
        <v>60</v>
      </c>
      <c r="B33" s="33" t="s">
        <v>184</v>
      </c>
      <c r="C33" s="33" t="s">
        <v>171</v>
      </c>
      <c r="D33" s="33" t="s">
        <v>185</v>
      </c>
      <c r="E33" s="33" t="s">
        <v>173</v>
      </c>
      <c r="F33" s="33" t="s">
        <v>88</v>
      </c>
      <c r="G33" s="34" t="s">
        <v>127</v>
      </c>
      <c r="H33" s="24">
        <f t="shared" si="0"/>
        <v>0</v>
      </c>
      <c r="I33" s="35" t="s">
        <v>808</v>
      </c>
      <c r="J33" s="35"/>
      <c r="K33" s="36"/>
      <c r="L33" s="34" t="s">
        <v>105</v>
      </c>
      <c r="M33" s="40"/>
      <c r="N33" s="40"/>
      <c r="O33" s="35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17">
        <v>2</v>
      </c>
      <c r="BR33" s="17">
        <f t="shared" si="1"/>
        <v>0</v>
      </c>
      <c r="BS33" s="28">
        <f t="shared" si="2"/>
        <v>0</v>
      </c>
      <c r="BT33" s="28">
        <v>1</v>
      </c>
    </row>
    <row r="34" spans="1:72" ht="15.75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183</v>
      </c>
      <c r="F34" s="33" t="s">
        <v>88</v>
      </c>
      <c r="G34" s="34" t="s">
        <v>127</v>
      </c>
      <c r="H34" s="24">
        <f t="shared" si="0"/>
        <v>0</v>
      </c>
      <c r="I34" s="35" t="s">
        <v>808</v>
      </c>
      <c r="J34" s="35"/>
      <c r="K34" s="36"/>
      <c r="L34" s="34" t="s">
        <v>105</v>
      </c>
      <c r="M34" s="40"/>
      <c r="N34" s="40"/>
      <c r="O34" s="35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17">
        <v>2</v>
      </c>
      <c r="BR34" s="17">
        <f t="shared" si="1"/>
        <v>0</v>
      </c>
      <c r="BS34" s="28">
        <f t="shared" si="2"/>
        <v>0</v>
      </c>
      <c r="BT34" s="28">
        <v>1</v>
      </c>
    </row>
    <row r="35" spans="1:72" ht="15.75" customHeight="1" x14ac:dyDescent="0.3">
      <c r="A35" s="32">
        <v>60</v>
      </c>
      <c r="B35" s="33" t="s">
        <v>174</v>
      </c>
      <c r="C35" s="33" t="s">
        <v>171</v>
      </c>
      <c r="D35" s="33" t="s">
        <v>175</v>
      </c>
      <c r="E35" s="33" t="s">
        <v>130</v>
      </c>
      <c r="F35" s="33" t="s">
        <v>88</v>
      </c>
      <c r="G35" s="34" t="s">
        <v>127</v>
      </c>
      <c r="H35" s="24">
        <f t="shared" si="0"/>
        <v>0</v>
      </c>
      <c r="I35" s="35" t="s">
        <v>808</v>
      </c>
      <c r="J35" s="35"/>
      <c r="K35" s="36"/>
      <c r="L35" s="34" t="s">
        <v>105</v>
      </c>
      <c r="M35" s="40"/>
      <c r="N35" s="40"/>
      <c r="O35" s="35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17">
        <v>2</v>
      </c>
      <c r="BR35" s="17">
        <f t="shared" si="1"/>
        <v>0</v>
      </c>
      <c r="BS35" s="28">
        <f t="shared" si="2"/>
        <v>0</v>
      </c>
      <c r="BT35" s="28">
        <v>1</v>
      </c>
    </row>
    <row r="36" spans="1:72" ht="15.75" customHeight="1" x14ac:dyDescent="0.3">
      <c r="A36" s="32">
        <v>60</v>
      </c>
      <c r="B36" s="33" t="s">
        <v>181</v>
      </c>
      <c r="C36" s="33" t="s">
        <v>171</v>
      </c>
      <c r="D36" s="33" t="s">
        <v>182</v>
      </c>
      <c r="E36" s="33" t="s">
        <v>173</v>
      </c>
      <c r="F36" s="33" t="s">
        <v>88</v>
      </c>
      <c r="G36" s="34" t="s">
        <v>127</v>
      </c>
      <c r="H36" s="24">
        <f t="shared" si="0"/>
        <v>0</v>
      </c>
      <c r="I36" s="35" t="s">
        <v>808</v>
      </c>
      <c r="J36" s="35"/>
      <c r="K36" s="36"/>
      <c r="L36" s="34" t="s">
        <v>105</v>
      </c>
      <c r="M36" s="40"/>
      <c r="N36" s="40"/>
      <c r="O36" s="35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17">
        <v>2</v>
      </c>
      <c r="BR36" s="17">
        <f t="shared" si="1"/>
        <v>0</v>
      </c>
      <c r="BS36" s="28">
        <f t="shared" si="2"/>
        <v>0</v>
      </c>
      <c r="BT36" s="28">
        <v>1</v>
      </c>
    </row>
    <row r="37" spans="1:72" ht="15.75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183</v>
      </c>
      <c r="F37" s="33" t="s">
        <v>88</v>
      </c>
      <c r="G37" s="34" t="s">
        <v>127</v>
      </c>
      <c r="H37" s="24">
        <f t="shared" si="0"/>
        <v>0</v>
      </c>
      <c r="I37" s="35" t="s">
        <v>808</v>
      </c>
      <c r="J37" s="35"/>
      <c r="K37" s="36"/>
      <c r="L37" s="34" t="s">
        <v>105</v>
      </c>
      <c r="M37" s="40"/>
      <c r="N37" s="40"/>
      <c r="O37" s="3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17">
        <v>2</v>
      </c>
      <c r="BR37" s="17">
        <f t="shared" si="1"/>
        <v>0</v>
      </c>
      <c r="BS37" s="28">
        <f t="shared" si="2"/>
        <v>0</v>
      </c>
      <c r="BT37" s="28">
        <v>1</v>
      </c>
    </row>
    <row r="38" spans="1:72" ht="15.75" customHeight="1" x14ac:dyDescent="0.3">
      <c r="A38" s="32">
        <v>60</v>
      </c>
      <c r="B38" s="33" t="s">
        <v>176</v>
      </c>
      <c r="C38" s="33" t="s">
        <v>171</v>
      </c>
      <c r="D38" s="33" t="s">
        <v>175</v>
      </c>
      <c r="E38" s="33" t="s">
        <v>173</v>
      </c>
      <c r="F38" s="33" t="s">
        <v>88</v>
      </c>
      <c r="G38" s="34" t="s">
        <v>127</v>
      </c>
      <c r="H38" s="24">
        <f t="shared" si="0"/>
        <v>0</v>
      </c>
      <c r="I38" s="35" t="s">
        <v>808</v>
      </c>
      <c r="J38" s="35"/>
      <c r="K38" s="36"/>
      <c r="L38" s="34" t="s">
        <v>105</v>
      </c>
      <c r="M38" s="40"/>
      <c r="N38" s="40"/>
      <c r="O38" s="3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17">
        <v>2</v>
      </c>
      <c r="BR38" s="17">
        <f t="shared" si="1"/>
        <v>0</v>
      </c>
      <c r="BS38" s="28">
        <f t="shared" si="2"/>
        <v>0</v>
      </c>
      <c r="BT38" s="28">
        <v>1</v>
      </c>
    </row>
    <row r="39" spans="1:72" ht="15.75" customHeight="1" x14ac:dyDescent="0.3">
      <c r="A39" s="32">
        <v>60</v>
      </c>
      <c r="B39" s="33" t="s">
        <v>186</v>
      </c>
      <c r="C39" s="33" t="s">
        <v>171</v>
      </c>
      <c r="D39" s="33" t="s">
        <v>187</v>
      </c>
      <c r="E39" s="33" t="s">
        <v>173</v>
      </c>
      <c r="F39" s="33" t="s">
        <v>88</v>
      </c>
      <c r="G39" s="34" t="s">
        <v>127</v>
      </c>
      <c r="H39" s="24">
        <f t="shared" si="0"/>
        <v>0</v>
      </c>
      <c r="I39" s="35" t="s">
        <v>808</v>
      </c>
      <c r="J39" s="35"/>
      <c r="K39" s="36"/>
      <c r="L39" s="34" t="s">
        <v>105</v>
      </c>
      <c r="M39" s="40"/>
      <c r="N39" s="40"/>
      <c r="O39" s="35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17">
        <v>2</v>
      </c>
      <c r="BR39" s="17">
        <f t="shared" si="1"/>
        <v>0</v>
      </c>
      <c r="BS39" s="28">
        <f t="shared" si="2"/>
        <v>0</v>
      </c>
      <c r="BT39" s="28">
        <v>1</v>
      </c>
    </row>
    <row r="40" spans="1:72" ht="15.75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183</v>
      </c>
      <c r="F40" s="33" t="s">
        <v>88</v>
      </c>
      <c r="G40" s="34" t="s">
        <v>127</v>
      </c>
      <c r="H40" s="24">
        <f t="shared" si="0"/>
        <v>0</v>
      </c>
      <c r="I40" s="35" t="s">
        <v>808</v>
      </c>
      <c r="J40" s="35"/>
      <c r="K40" s="36"/>
      <c r="L40" s="34" t="s">
        <v>105</v>
      </c>
      <c r="M40" s="40"/>
      <c r="N40" s="40"/>
      <c r="O40" s="3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17">
        <v>2</v>
      </c>
      <c r="BR40" s="17">
        <f t="shared" si="1"/>
        <v>0</v>
      </c>
      <c r="BS40" s="28">
        <f t="shared" si="2"/>
        <v>0</v>
      </c>
      <c r="BT40" s="28">
        <v>1</v>
      </c>
    </row>
    <row r="41" spans="1:72" ht="15.75" customHeight="1" x14ac:dyDescent="0.3">
      <c r="A41" s="32">
        <v>60</v>
      </c>
      <c r="B41" s="33" t="s">
        <v>177</v>
      </c>
      <c r="C41" s="33" t="s">
        <v>171</v>
      </c>
      <c r="D41" s="33" t="s">
        <v>175</v>
      </c>
      <c r="E41" s="33" t="s">
        <v>173</v>
      </c>
      <c r="F41" s="33" t="s">
        <v>88</v>
      </c>
      <c r="G41" s="34" t="s">
        <v>127</v>
      </c>
      <c r="H41" s="24">
        <f t="shared" si="0"/>
        <v>0</v>
      </c>
      <c r="I41" s="35" t="s">
        <v>808</v>
      </c>
      <c r="J41" s="35"/>
      <c r="K41" s="36"/>
      <c r="L41" s="34" t="s">
        <v>105</v>
      </c>
      <c r="M41" s="40"/>
      <c r="N41" s="40"/>
      <c r="O41" s="3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17">
        <v>2</v>
      </c>
      <c r="BR41" s="17">
        <f t="shared" si="1"/>
        <v>0</v>
      </c>
      <c r="BS41" s="28">
        <f t="shared" si="2"/>
        <v>0</v>
      </c>
      <c r="BT41" s="28">
        <v>1</v>
      </c>
    </row>
    <row r="42" spans="1:72" ht="15.75" customHeight="1" x14ac:dyDescent="0.3">
      <c r="A42" s="32">
        <v>60</v>
      </c>
      <c r="B42" s="33" t="s">
        <v>188</v>
      </c>
      <c r="C42" s="33" t="s">
        <v>171</v>
      </c>
      <c r="D42" s="33" t="s">
        <v>189</v>
      </c>
      <c r="E42" s="33" t="s">
        <v>173</v>
      </c>
      <c r="F42" s="33" t="s">
        <v>88</v>
      </c>
      <c r="G42" s="34" t="s">
        <v>127</v>
      </c>
      <c r="H42" s="24">
        <f t="shared" si="0"/>
        <v>0</v>
      </c>
      <c r="I42" s="35" t="s">
        <v>808</v>
      </c>
      <c r="J42" s="35"/>
      <c r="K42" s="36"/>
      <c r="L42" s="34" t="s">
        <v>105</v>
      </c>
      <c r="M42" s="40"/>
      <c r="N42" s="40"/>
      <c r="O42" s="3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17">
        <v>2</v>
      </c>
      <c r="BR42" s="17">
        <f t="shared" si="1"/>
        <v>0</v>
      </c>
      <c r="BS42" s="28">
        <f t="shared" si="2"/>
        <v>0</v>
      </c>
      <c r="BT42" s="28">
        <v>1</v>
      </c>
    </row>
    <row r="43" spans="1:72" ht="15.75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183</v>
      </c>
      <c r="F43" s="33" t="s">
        <v>88</v>
      </c>
      <c r="G43" s="34" t="s">
        <v>127</v>
      </c>
      <c r="H43" s="24">
        <f t="shared" si="0"/>
        <v>0</v>
      </c>
      <c r="I43" s="35" t="s">
        <v>808</v>
      </c>
      <c r="J43" s="35"/>
      <c r="K43" s="36"/>
      <c r="L43" s="34" t="s">
        <v>105</v>
      </c>
      <c r="M43" s="40"/>
      <c r="N43" s="40"/>
      <c r="O43" s="35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17">
        <v>2</v>
      </c>
      <c r="BR43" s="17">
        <f t="shared" si="1"/>
        <v>0</v>
      </c>
      <c r="BS43" s="28">
        <f t="shared" si="2"/>
        <v>0</v>
      </c>
      <c r="BT43" s="28">
        <v>1</v>
      </c>
    </row>
    <row r="44" spans="1:72" ht="15.75" customHeight="1" x14ac:dyDescent="0.3">
      <c r="A44" s="32">
        <v>60</v>
      </c>
      <c r="B44" s="33" t="s">
        <v>178</v>
      </c>
      <c r="C44" s="33" t="s">
        <v>171</v>
      </c>
      <c r="D44" s="33" t="s">
        <v>175</v>
      </c>
      <c r="E44" s="33" t="s">
        <v>173</v>
      </c>
      <c r="F44" s="33" t="s">
        <v>88</v>
      </c>
      <c r="G44" s="34" t="s">
        <v>127</v>
      </c>
      <c r="H44" s="24">
        <f t="shared" si="0"/>
        <v>0</v>
      </c>
      <c r="I44" s="35" t="s">
        <v>808</v>
      </c>
      <c r="J44" s="35"/>
      <c r="K44" s="36"/>
      <c r="L44" s="34" t="s">
        <v>105</v>
      </c>
      <c r="M44" s="40"/>
      <c r="N44" s="40"/>
      <c r="O44" s="35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17">
        <v>2</v>
      </c>
      <c r="BR44" s="17">
        <f t="shared" si="1"/>
        <v>0</v>
      </c>
      <c r="BS44" s="28">
        <f t="shared" si="2"/>
        <v>0</v>
      </c>
      <c r="BT44" s="28">
        <v>1</v>
      </c>
    </row>
    <row r="45" spans="1:72" ht="15.75" customHeight="1" x14ac:dyDescent="0.3">
      <c r="A45" s="32">
        <v>80</v>
      </c>
      <c r="B45" s="33" t="s">
        <v>197</v>
      </c>
      <c r="C45" s="33" t="s">
        <v>198</v>
      </c>
      <c r="D45" s="33" t="s">
        <v>199</v>
      </c>
      <c r="E45" s="33" t="s">
        <v>764</v>
      </c>
      <c r="F45" s="33" t="s">
        <v>96</v>
      </c>
      <c r="G45" s="34" t="s">
        <v>167</v>
      </c>
      <c r="H45" s="24">
        <f t="shared" si="0"/>
        <v>0</v>
      </c>
      <c r="I45" s="35"/>
      <c r="J45" s="35"/>
      <c r="K45" s="36"/>
      <c r="L45" s="34" t="s">
        <v>105</v>
      </c>
      <c r="M45" s="40"/>
      <c r="N45" s="40"/>
      <c r="O45" s="35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17">
        <v>3</v>
      </c>
      <c r="BR45" s="17">
        <f t="shared" si="1"/>
        <v>0</v>
      </c>
      <c r="BS45" s="28">
        <f t="shared" si="2"/>
        <v>0</v>
      </c>
      <c r="BT45" s="28">
        <v>1</v>
      </c>
    </row>
    <row r="46" spans="1:72" ht="15.75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195</v>
      </c>
      <c r="F46" s="33" t="s">
        <v>196</v>
      </c>
      <c r="G46" s="34" t="s">
        <v>167</v>
      </c>
      <c r="H46" s="24">
        <f t="shared" si="0"/>
        <v>0</v>
      </c>
      <c r="I46" s="35"/>
      <c r="J46" s="35"/>
      <c r="K46" s="36"/>
      <c r="L46" s="34" t="s">
        <v>105</v>
      </c>
      <c r="M46" s="40"/>
      <c r="N46" s="40"/>
      <c r="O46" s="35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17">
        <v>3</v>
      </c>
      <c r="BR46" s="17">
        <f t="shared" si="1"/>
        <v>0</v>
      </c>
      <c r="BS46" s="28">
        <f t="shared" si="2"/>
        <v>0</v>
      </c>
      <c r="BT46" s="28">
        <v>1</v>
      </c>
    </row>
    <row r="47" spans="1:72" ht="15.75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765</v>
      </c>
      <c r="F47" s="33" t="s">
        <v>88</v>
      </c>
      <c r="G47" s="34" t="s">
        <v>127</v>
      </c>
      <c r="H47" s="24">
        <f t="shared" si="0"/>
        <v>0.5</v>
      </c>
      <c r="I47" s="35"/>
      <c r="J47" s="35"/>
      <c r="K47" s="36"/>
      <c r="L47" s="34" t="s">
        <v>100</v>
      </c>
      <c r="M47" s="40"/>
      <c r="N47" s="51" t="s">
        <v>883</v>
      </c>
      <c r="O47" s="35"/>
      <c r="P47" s="27"/>
      <c r="Q47" s="27"/>
      <c r="R47" s="27" t="s">
        <v>886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17">
        <v>2</v>
      </c>
      <c r="BR47" s="17">
        <f t="shared" si="1"/>
        <v>1</v>
      </c>
      <c r="BS47" s="28">
        <f t="shared" si="2"/>
        <v>0</v>
      </c>
      <c r="BT47" s="28">
        <v>1</v>
      </c>
    </row>
    <row r="48" spans="1:72" ht="15.75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225</v>
      </c>
      <c r="F48" s="33" t="s">
        <v>672</v>
      </c>
      <c r="G48" s="34" t="s">
        <v>673</v>
      </c>
      <c r="H48" s="24">
        <f t="shared" si="0"/>
        <v>0.25</v>
      </c>
      <c r="I48" s="35"/>
      <c r="J48" s="35" t="s">
        <v>226</v>
      </c>
      <c r="K48" s="36"/>
      <c r="L48" s="34" t="s">
        <v>105</v>
      </c>
      <c r="M48" s="40"/>
      <c r="N48" s="40" t="s">
        <v>869</v>
      </c>
      <c r="O48" s="35" t="s">
        <v>226</v>
      </c>
      <c r="P48" s="27"/>
      <c r="Q48" s="27"/>
      <c r="R48" s="27"/>
      <c r="S48" s="27" t="s">
        <v>865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17">
        <v>4</v>
      </c>
      <c r="BR48" s="17">
        <f t="shared" si="1"/>
        <v>1</v>
      </c>
      <c r="BS48" s="28">
        <f t="shared" si="2"/>
        <v>0</v>
      </c>
      <c r="BT48" s="28">
        <v>1</v>
      </c>
    </row>
    <row r="49" spans="1:72" ht="15.75" customHeight="1" x14ac:dyDescent="0.3">
      <c r="A49" s="32">
        <v>80</v>
      </c>
      <c r="B49" s="33" t="s">
        <v>202</v>
      </c>
      <c r="C49" s="33" t="s">
        <v>198</v>
      </c>
      <c r="D49" s="33" t="s">
        <v>203</v>
      </c>
      <c r="E49" s="33" t="s">
        <v>160</v>
      </c>
      <c r="F49" s="33" t="s">
        <v>204</v>
      </c>
      <c r="G49" s="34" t="s">
        <v>127</v>
      </c>
      <c r="H49" s="24">
        <f t="shared" si="0"/>
        <v>0</v>
      </c>
      <c r="I49" s="35" t="s">
        <v>808</v>
      </c>
      <c r="J49" s="35" t="s">
        <v>205</v>
      </c>
      <c r="K49" s="36"/>
      <c r="L49" s="34" t="s">
        <v>100</v>
      </c>
      <c r="M49" s="40"/>
      <c r="N49" s="40"/>
      <c r="O49" s="35" t="s">
        <v>205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17">
        <v>2</v>
      </c>
      <c r="BR49" s="17">
        <f t="shared" si="1"/>
        <v>0</v>
      </c>
      <c r="BS49" s="28">
        <f t="shared" si="2"/>
        <v>0</v>
      </c>
      <c r="BT49" s="28">
        <v>1</v>
      </c>
    </row>
    <row r="50" spans="1:72" ht="15.75" customHeight="1" x14ac:dyDescent="0.3">
      <c r="A50" s="32">
        <v>80</v>
      </c>
      <c r="B50" s="33" t="s">
        <v>208</v>
      </c>
      <c r="C50" s="33" t="s">
        <v>193</v>
      </c>
      <c r="D50" s="33" t="s">
        <v>209</v>
      </c>
      <c r="E50" s="33" t="s">
        <v>210</v>
      </c>
      <c r="F50" s="33" t="s">
        <v>204</v>
      </c>
      <c r="G50" s="34" t="s">
        <v>127</v>
      </c>
      <c r="H50" s="24">
        <f t="shared" si="0"/>
        <v>0</v>
      </c>
      <c r="I50" s="35"/>
      <c r="J50" s="35" t="s">
        <v>205</v>
      </c>
      <c r="K50" s="36"/>
      <c r="L50" s="34" t="s">
        <v>100</v>
      </c>
      <c r="M50" s="40"/>
      <c r="N50" s="40"/>
      <c r="O50" s="35" t="s">
        <v>205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17">
        <v>2</v>
      </c>
      <c r="BR50" s="17">
        <f t="shared" si="1"/>
        <v>0</v>
      </c>
      <c r="BS50" s="28">
        <f t="shared" si="2"/>
        <v>0</v>
      </c>
      <c r="BT50" s="28">
        <v>1</v>
      </c>
    </row>
    <row r="51" spans="1:72" ht="15.75" customHeight="1" x14ac:dyDescent="0.3">
      <c r="A51" s="32">
        <v>80</v>
      </c>
      <c r="B51" s="33" t="s">
        <v>215</v>
      </c>
      <c r="C51" s="33" t="s">
        <v>198</v>
      </c>
      <c r="D51" s="33" t="s">
        <v>216</v>
      </c>
      <c r="E51" s="33" t="s">
        <v>217</v>
      </c>
      <c r="F51" s="33" t="s">
        <v>118</v>
      </c>
      <c r="G51" s="34"/>
      <c r="H51" s="24">
        <f t="shared" si="0"/>
        <v>0</v>
      </c>
      <c r="I51" s="35"/>
      <c r="J51" s="35"/>
      <c r="K51" s="36"/>
      <c r="L51" s="34" t="s">
        <v>100</v>
      </c>
      <c r="M51" s="40"/>
      <c r="N51" s="40"/>
      <c r="O51" s="35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17">
        <v>1</v>
      </c>
      <c r="BR51" s="17">
        <f t="shared" si="1"/>
        <v>0</v>
      </c>
      <c r="BS51" s="28">
        <f t="shared" si="2"/>
        <v>0</v>
      </c>
      <c r="BT51" s="28">
        <v>1</v>
      </c>
    </row>
    <row r="52" spans="1:72" ht="15.75" customHeight="1" x14ac:dyDescent="0.3">
      <c r="A52" s="32">
        <v>80</v>
      </c>
      <c r="B52" s="33" t="s">
        <v>211</v>
      </c>
      <c r="C52" s="33" t="s">
        <v>193</v>
      </c>
      <c r="D52" s="33" t="s">
        <v>212</v>
      </c>
      <c r="E52" s="33" t="s">
        <v>213</v>
      </c>
      <c r="F52" s="33" t="s">
        <v>204</v>
      </c>
      <c r="G52" s="34" t="s">
        <v>127</v>
      </c>
      <c r="H52" s="24">
        <f t="shared" si="0"/>
        <v>0</v>
      </c>
      <c r="I52" s="35" t="s">
        <v>808</v>
      </c>
      <c r="J52" s="35" t="s">
        <v>205</v>
      </c>
      <c r="K52" s="36"/>
      <c r="L52" s="34" t="s">
        <v>100</v>
      </c>
      <c r="M52" s="40"/>
      <c r="N52" s="40"/>
      <c r="O52" s="35" t="s">
        <v>205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17">
        <v>2</v>
      </c>
      <c r="BR52" s="17">
        <f t="shared" si="1"/>
        <v>0</v>
      </c>
      <c r="BS52" s="28">
        <f t="shared" si="2"/>
        <v>0</v>
      </c>
      <c r="BT52" s="28">
        <v>1</v>
      </c>
    </row>
    <row r="53" spans="1:72" ht="15.75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214</v>
      </c>
      <c r="F53" s="33" t="s">
        <v>204</v>
      </c>
      <c r="G53" s="34" t="s">
        <v>127</v>
      </c>
      <c r="H53" s="24">
        <f t="shared" si="0"/>
        <v>0</v>
      </c>
      <c r="I53" s="35" t="s">
        <v>808</v>
      </c>
      <c r="J53" s="35" t="s">
        <v>205</v>
      </c>
      <c r="K53" s="36"/>
      <c r="L53" s="34" t="s">
        <v>100</v>
      </c>
      <c r="M53" s="40"/>
      <c r="N53" s="40"/>
      <c r="O53" s="35" t="s">
        <v>205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17">
        <v>2</v>
      </c>
      <c r="BR53" s="17">
        <f t="shared" si="1"/>
        <v>0</v>
      </c>
      <c r="BS53" s="28">
        <f t="shared" si="2"/>
        <v>0</v>
      </c>
      <c r="BT53" s="28">
        <v>1</v>
      </c>
    </row>
    <row r="54" spans="1:72" ht="15.75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160</v>
      </c>
      <c r="F54" s="33" t="s">
        <v>204</v>
      </c>
      <c r="G54" s="34" t="s">
        <v>127</v>
      </c>
      <c r="H54" s="24">
        <f t="shared" si="0"/>
        <v>0</v>
      </c>
      <c r="I54" s="35" t="s">
        <v>808</v>
      </c>
      <c r="J54" s="35" t="s">
        <v>205</v>
      </c>
      <c r="K54" s="36"/>
      <c r="L54" s="34" t="s">
        <v>100</v>
      </c>
      <c r="M54" s="40"/>
      <c r="N54" s="40"/>
      <c r="O54" s="35" t="s">
        <v>205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42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17">
        <v>2</v>
      </c>
      <c r="BR54" s="17">
        <f t="shared" si="1"/>
        <v>0</v>
      </c>
      <c r="BS54" s="28">
        <f t="shared" si="2"/>
        <v>0</v>
      </c>
      <c r="BT54" s="28">
        <v>1</v>
      </c>
    </row>
    <row r="55" spans="1:72" ht="15.75" customHeight="1" x14ac:dyDescent="0.3">
      <c r="A55" s="32">
        <v>80</v>
      </c>
      <c r="B55" s="33" t="s">
        <v>192</v>
      </c>
      <c r="C55" s="33" t="s">
        <v>193</v>
      </c>
      <c r="D55" s="33" t="s">
        <v>194</v>
      </c>
      <c r="E55" s="33" t="s">
        <v>764</v>
      </c>
      <c r="F55" s="33" t="s">
        <v>96</v>
      </c>
      <c r="G55" s="34" t="s">
        <v>167</v>
      </c>
      <c r="H55" s="24">
        <f t="shared" si="0"/>
        <v>0</v>
      </c>
      <c r="I55" s="35"/>
      <c r="J55" s="35"/>
      <c r="K55" s="36"/>
      <c r="L55" s="34" t="s">
        <v>105</v>
      </c>
      <c r="M55" s="40"/>
      <c r="N55" s="40"/>
      <c r="O55" s="35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17">
        <v>3</v>
      </c>
      <c r="BR55" s="17">
        <f t="shared" si="1"/>
        <v>0</v>
      </c>
      <c r="BS55" s="28">
        <f t="shared" si="2"/>
        <v>0</v>
      </c>
      <c r="BT55" s="28">
        <v>1</v>
      </c>
    </row>
    <row r="56" spans="1:72" ht="15.75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195</v>
      </c>
      <c r="F56" s="33" t="s">
        <v>196</v>
      </c>
      <c r="G56" s="34" t="s">
        <v>167</v>
      </c>
      <c r="H56" s="24">
        <f t="shared" si="0"/>
        <v>0</v>
      </c>
      <c r="I56" s="35"/>
      <c r="J56" s="35"/>
      <c r="K56" s="36"/>
      <c r="L56" s="34" t="s">
        <v>105</v>
      </c>
      <c r="M56" s="40"/>
      <c r="N56" s="40"/>
      <c r="O56" s="35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17">
        <v>3</v>
      </c>
      <c r="BR56" s="17">
        <f t="shared" si="1"/>
        <v>0</v>
      </c>
      <c r="BS56" s="28">
        <f t="shared" si="2"/>
        <v>0</v>
      </c>
      <c r="BT56" s="28">
        <v>1</v>
      </c>
    </row>
    <row r="57" spans="1:72" ht="15.75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765</v>
      </c>
      <c r="F57" s="33" t="s">
        <v>88</v>
      </c>
      <c r="G57" s="34" t="s">
        <v>127</v>
      </c>
      <c r="H57" s="24">
        <f t="shared" si="0"/>
        <v>0.5</v>
      </c>
      <c r="I57" s="35"/>
      <c r="J57" s="35"/>
      <c r="K57" s="36"/>
      <c r="L57" s="34" t="s">
        <v>100</v>
      </c>
      <c r="M57" s="40"/>
      <c r="N57" s="51" t="s">
        <v>883</v>
      </c>
      <c r="O57" s="35"/>
      <c r="P57" s="27"/>
      <c r="Q57" s="27"/>
      <c r="R57" s="27" t="s">
        <v>886</v>
      </c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17">
        <v>2</v>
      </c>
      <c r="BR57" s="17">
        <f t="shared" si="1"/>
        <v>1</v>
      </c>
      <c r="BS57" s="28">
        <f t="shared" si="2"/>
        <v>0</v>
      </c>
      <c r="BT57" s="28">
        <v>1</v>
      </c>
    </row>
    <row r="58" spans="1:72" ht="15.75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225</v>
      </c>
      <c r="F58" s="33" t="s">
        <v>672</v>
      </c>
      <c r="G58" s="34" t="s">
        <v>673</v>
      </c>
      <c r="H58" s="24">
        <f t="shared" si="0"/>
        <v>0.25</v>
      </c>
      <c r="I58" s="35"/>
      <c r="J58" s="35" t="s">
        <v>226</v>
      </c>
      <c r="K58" s="36"/>
      <c r="L58" s="34" t="s">
        <v>105</v>
      </c>
      <c r="M58" s="40"/>
      <c r="N58" s="40" t="s">
        <v>869</v>
      </c>
      <c r="O58" s="35" t="s">
        <v>226</v>
      </c>
      <c r="P58" s="27"/>
      <c r="Q58" s="27"/>
      <c r="R58" s="27"/>
      <c r="S58" s="27" t="s">
        <v>865</v>
      </c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103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17">
        <v>4</v>
      </c>
      <c r="BR58" s="17">
        <f t="shared" si="1"/>
        <v>1</v>
      </c>
      <c r="BS58" s="28">
        <f t="shared" si="2"/>
        <v>0</v>
      </c>
      <c r="BT58" s="28">
        <v>1</v>
      </c>
    </row>
    <row r="59" spans="1:72" ht="15.75" customHeight="1" x14ac:dyDescent="0.3">
      <c r="A59" s="32">
        <v>80</v>
      </c>
      <c r="B59" s="33" t="s">
        <v>206</v>
      </c>
      <c r="C59" s="33" t="s">
        <v>193</v>
      </c>
      <c r="D59" s="33" t="s">
        <v>207</v>
      </c>
      <c r="E59" s="33" t="s">
        <v>768</v>
      </c>
      <c r="F59" s="33" t="s">
        <v>88</v>
      </c>
      <c r="G59" s="34" t="s">
        <v>127</v>
      </c>
      <c r="H59" s="24">
        <f t="shared" si="0"/>
        <v>0</v>
      </c>
      <c r="I59" s="35"/>
      <c r="J59" s="35"/>
      <c r="K59" s="36"/>
      <c r="L59" s="34" t="s">
        <v>105</v>
      </c>
      <c r="M59" s="40"/>
      <c r="N59" s="40"/>
      <c r="O59" s="35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42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17">
        <v>2</v>
      </c>
      <c r="BR59" s="17">
        <f t="shared" si="1"/>
        <v>0</v>
      </c>
      <c r="BS59" s="28">
        <f t="shared" si="2"/>
        <v>0</v>
      </c>
      <c r="BT59" s="28">
        <v>1</v>
      </c>
    </row>
    <row r="60" spans="1:72" ht="15.75" customHeight="1" x14ac:dyDescent="0.3">
      <c r="A60" s="32">
        <v>80</v>
      </c>
      <c r="B60" s="33" t="s">
        <v>200</v>
      </c>
      <c r="C60" s="33" t="s">
        <v>193</v>
      </c>
      <c r="D60" s="33" t="s">
        <v>201</v>
      </c>
      <c r="E60" s="33" t="s">
        <v>767</v>
      </c>
      <c r="F60" s="33" t="s">
        <v>86</v>
      </c>
      <c r="G60" s="34" t="s">
        <v>99</v>
      </c>
      <c r="H60" s="24">
        <f t="shared" si="0"/>
        <v>0</v>
      </c>
      <c r="I60" s="35"/>
      <c r="J60" s="35"/>
      <c r="K60" s="36"/>
      <c r="L60" s="34" t="s">
        <v>105</v>
      </c>
      <c r="M60" s="40"/>
      <c r="N60" s="40"/>
      <c r="O60" s="35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17">
        <v>1</v>
      </c>
      <c r="BR60" s="17">
        <f t="shared" si="1"/>
        <v>0</v>
      </c>
      <c r="BS60" s="28">
        <f t="shared" si="2"/>
        <v>0</v>
      </c>
      <c r="BT60" s="28">
        <v>1</v>
      </c>
    </row>
    <row r="61" spans="1:72" ht="15.75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173</v>
      </c>
      <c r="F61" s="33" t="s">
        <v>88</v>
      </c>
      <c r="G61" s="34" t="s">
        <v>127</v>
      </c>
      <c r="H61" s="24">
        <f t="shared" si="0"/>
        <v>0</v>
      </c>
      <c r="I61" s="35"/>
      <c r="J61" s="35"/>
      <c r="K61" s="36"/>
      <c r="L61" s="34" t="s">
        <v>100</v>
      </c>
      <c r="M61" s="40"/>
      <c r="N61" s="40"/>
      <c r="O61" s="35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17">
        <v>2</v>
      </c>
      <c r="BR61" s="17">
        <f t="shared" si="1"/>
        <v>0</v>
      </c>
      <c r="BS61" s="28">
        <f t="shared" si="2"/>
        <v>0</v>
      </c>
      <c r="BT61" s="28">
        <v>1</v>
      </c>
    </row>
    <row r="62" spans="1:72" ht="15.75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766</v>
      </c>
      <c r="F62" s="33" t="s">
        <v>88</v>
      </c>
      <c r="G62" s="34" t="s">
        <v>127</v>
      </c>
      <c r="H62" s="24">
        <f t="shared" si="0"/>
        <v>0</v>
      </c>
      <c r="I62" s="35"/>
      <c r="J62" s="35"/>
      <c r="K62" s="36"/>
      <c r="L62" s="34" t="s">
        <v>100</v>
      </c>
      <c r="M62" s="40"/>
      <c r="N62" s="40"/>
      <c r="O62" s="35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17">
        <v>2</v>
      </c>
      <c r="BR62" s="17">
        <f t="shared" si="1"/>
        <v>0</v>
      </c>
      <c r="BS62" s="28">
        <f t="shared" si="2"/>
        <v>0</v>
      </c>
      <c r="BT62" s="28">
        <v>1</v>
      </c>
    </row>
    <row r="63" spans="1:72" ht="15.75" customHeight="1" x14ac:dyDescent="0.3">
      <c r="A63" s="32">
        <v>80</v>
      </c>
      <c r="B63" s="33" t="s">
        <v>218</v>
      </c>
      <c r="C63" s="33" t="s">
        <v>219</v>
      </c>
      <c r="D63" s="33" t="s">
        <v>220</v>
      </c>
      <c r="E63" s="33" t="s">
        <v>221</v>
      </c>
      <c r="F63" s="33" t="s">
        <v>88</v>
      </c>
      <c r="G63" s="34" t="s">
        <v>127</v>
      </c>
      <c r="H63" s="24">
        <f t="shared" si="0"/>
        <v>0</v>
      </c>
      <c r="I63" s="35" t="s">
        <v>808</v>
      </c>
      <c r="J63" s="35"/>
      <c r="K63" s="36"/>
      <c r="L63" s="34" t="s">
        <v>100</v>
      </c>
      <c r="M63" s="40"/>
      <c r="N63" s="40"/>
      <c r="O63" s="35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41"/>
      <c r="BQ63" s="17">
        <v>2</v>
      </c>
      <c r="BR63" s="17">
        <f t="shared" si="1"/>
        <v>0</v>
      </c>
      <c r="BS63" s="28">
        <f t="shared" si="2"/>
        <v>0</v>
      </c>
      <c r="BT63" s="28">
        <v>1</v>
      </c>
    </row>
    <row r="64" spans="1:72" ht="15.75" customHeight="1" x14ac:dyDescent="0.3">
      <c r="A64" s="32">
        <v>80</v>
      </c>
      <c r="B64" s="33" t="s">
        <v>218</v>
      </c>
      <c r="C64" s="33" t="s">
        <v>219</v>
      </c>
      <c r="D64" s="33" t="s">
        <v>228</v>
      </c>
      <c r="E64" s="33" t="s">
        <v>229</v>
      </c>
      <c r="F64" s="33" t="s">
        <v>672</v>
      </c>
      <c r="G64" s="34" t="s">
        <v>673</v>
      </c>
      <c r="H64" s="24">
        <f t="shared" si="0"/>
        <v>0.25</v>
      </c>
      <c r="I64" s="35"/>
      <c r="J64" s="35"/>
      <c r="K64" s="36"/>
      <c r="L64" s="34" t="s">
        <v>100</v>
      </c>
      <c r="M64" s="40"/>
      <c r="N64" s="40" t="s">
        <v>869</v>
      </c>
      <c r="O64" s="35" t="s">
        <v>230</v>
      </c>
      <c r="P64" s="27"/>
      <c r="Q64" s="27"/>
      <c r="R64" s="27"/>
      <c r="S64" s="27" t="s">
        <v>865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17">
        <v>4</v>
      </c>
      <c r="BR64" s="17">
        <f t="shared" si="1"/>
        <v>1</v>
      </c>
      <c r="BS64" s="28">
        <f t="shared" si="2"/>
        <v>0</v>
      </c>
      <c r="BT64" s="28">
        <v>1</v>
      </c>
    </row>
    <row r="65" spans="1:72" ht="15.75" customHeight="1" x14ac:dyDescent="0.3">
      <c r="A65" s="32">
        <v>90</v>
      </c>
      <c r="B65" s="33" t="s">
        <v>255</v>
      </c>
      <c r="C65" s="33" t="s">
        <v>232</v>
      </c>
      <c r="D65" s="33" t="s">
        <v>256</v>
      </c>
      <c r="E65" s="33" t="s">
        <v>173</v>
      </c>
      <c r="F65" s="33" t="s">
        <v>95</v>
      </c>
      <c r="G65" s="34" t="s">
        <v>95</v>
      </c>
      <c r="H65" s="24">
        <f t="shared" si="0"/>
        <v>0.21153846153846154</v>
      </c>
      <c r="I65" s="35"/>
      <c r="J65" s="35"/>
      <c r="K65" s="36"/>
      <c r="L65" s="34" t="s">
        <v>100</v>
      </c>
      <c r="M65" s="40"/>
      <c r="N65" s="40"/>
      <c r="O65" s="35"/>
      <c r="P65" s="27" t="s">
        <v>810</v>
      </c>
      <c r="Q65" s="27" t="s">
        <v>810</v>
      </c>
      <c r="R65" s="27" t="s">
        <v>810</v>
      </c>
      <c r="S65" s="27" t="s">
        <v>810</v>
      </c>
      <c r="T65" s="27" t="s">
        <v>810</v>
      </c>
      <c r="U65" s="27" t="s">
        <v>810</v>
      </c>
      <c r="V65" s="27" t="s">
        <v>810</v>
      </c>
      <c r="W65" s="27" t="s">
        <v>810</v>
      </c>
      <c r="X65" s="27" t="s">
        <v>810</v>
      </c>
      <c r="Y65" s="27" t="s">
        <v>810</v>
      </c>
      <c r="Z65" s="27" t="s">
        <v>810</v>
      </c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17">
        <v>52</v>
      </c>
      <c r="BR65" s="17">
        <f t="shared" si="1"/>
        <v>11</v>
      </c>
      <c r="BS65" s="28">
        <f t="shared" si="2"/>
        <v>0</v>
      </c>
      <c r="BT65" s="28">
        <v>1</v>
      </c>
    </row>
    <row r="66" spans="1:72" ht="15.75" customHeight="1" x14ac:dyDescent="0.3">
      <c r="A66" s="32">
        <v>90</v>
      </c>
      <c r="B66" s="33" t="s">
        <v>246</v>
      </c>
      <c r="C66" s="33" t="s">
        <v>236</v>
      </c>
      <c r="D66" s="33" t="s">
        <v>247</v>
      </c>
      <c r="E66" s="33" t="s">
        <v>243</v>
      </c>
      <c r="F66" s="33" t="s">
        <v>132</v>
      </c>
      <c r="G66" s="34" t="s">
        <v>99</v>
      </c>
      <c r="H66" s="24">
        <f t="shared" si="0"/>
        <v>0</v>
      </c>
      <c r="I66" s="35" t="s">
        <v>808</v>
      </c>
      <c r="J66" s="35" t="s">
        <v>248</v>
      </c>
      <c r="K66" s="36"/>
      <c r="L66" s="34" t="s">
        <v>100</v>
      </c>
      <c r="M66" s="40"/>
      <c r="N66" s="40"/>
      <c r="O66" s="35" t="s">
        <v>248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17">
        <v>1</v>
      </c>
      <c r="BR66" s="17">
        <f t="shared" si="1"/>
        <v>0</v>
      </c>
      <c r="BS66" s="28">
        <f t="shared" si="2"/>
        <v>0</v>
      </c>
      <c r="BT66" s="28">
        <v>1</v>
      </c>
    </row>
    <row r="67" spans="1:72" ht="15.75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245</v>
      </c>
      <c r="F67" s="33" t="s">
        <v>132</v>
      </c>
      <c r="G67" s="34" t="s">
        <v>99</v>
      </c>
      <c r="H67" s="24">
        <f t="shared" si="0"/>
        <v>0</v>
      </c>
      <c r="I67" s="35" t="s">
        <v>808</v>
      </c>
      <c r="J67" s="35" t="s">
        <v>248</v>
      </c>
      <c r="K67" s="36"/>
      <c r="L67" s="34" t="s">
        <v>100</v>
      </c>
      <c r="M67" s="40"/>
      <c r="N67" s="40"/>
      <c r="O67" s="35" t="s">
        <v>248</v>
      </c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41"/>
      <c r="BQ67" s="17">
        <v>1</v>
      </c>
      <c r="BR67" s="17">
        <f t="shared" si="1"/>
        <v>0</v>
      </c>
      <c r="BS67" s="28">
        <f t="shared" si="2"/>
        <v>0</v>
      </c>
      <c r="BT67" s="28">
        <v>1</v>
      </c>
    </row>
    <row r="68" spans="1:72" ht="15.75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769</v>
      </c>
      <c r="F68" s="33" t="s">
        <v>84</v>
      </c>
      <c r="G68" s="34" t="s">
        <v>99</v>
      </c>
      <c r="H68" s="24">
        <f t="shared" ref="H68:H130" si="3">IF(BQ68=0," ",(BR68/BQ68))</f>
        <v>0</v>
      </c>
      <c r="I68" s="35"/>
      <c r="J68" s="35" t="s">
        <v>248</v>
      </c>
      <c r="K68" s="36"/>
      <c r="L68" s="34" t="s">
        <v>100</v>
      </c>
      <c r="M68" s="40"/>
      <c r="N68" s="40"/>
      <c r="O68" s="35" t="s">
        <v>248</v>
      </c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41"/>
      <c r="BQ68" s="17">
        <v>1</v>
      </c>
      <c r="BR68" s="17">
        <f t="shared" ref="BR68:BR130" si="4">IF(COUNTA(P68:BP68)&gt;BQ68,BQ68,COUNTA(P68:BP68))</f>
        <v>0</v>
      </c>
      <c r="BS68" s="28">
        <f t="shared" ref="BS68:BS130" si="5">IF(H68=1,1,0)</f>
        <v>0</v>
      </c>
      <c r="BT68" s="28">
        <v>1</v>
      </c>
    </row>
    <row r="69" spans="1:72" ht="15.75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770</v>
      </c>
      <c r="F69" s="33" t="s">
        <v>92</v>
      </c>
      <c r="G69" s="34" t="s">
        <v>99</v>
      </c>
      <c r="H69" s="24">
        <f t="shared" si="3"/>
        <v>0</v>
      </c>
      <c r="I69" s="35"/>
      <c r="J69" s="35" t="s">
        <v>248</v>
      </c>
      <c r="K69" s="36"/>
      <c r="L69" s="34" t="s">
        <v>100</v>
      </c>
      <c r="M69" s="40"/>
      <c r="N69" s="40"/>
      <c r="O69" s="35" t="s">
        <v>248</v>
      </c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17">
        <v>1</v>
      </c>
      <c r="BR69" s="17">
        <f t="shared" si="4"/>
        <v>0</v>
      </c>
      <c r="BS69" s="28">
        <f t="shared" si="5"/>
        <v>0</v>
      </c>
      <c r="BT69" s="28">
        <v>1</v>
      </c>
    </row>
    <row r="70" spans="1:72" ht="15.75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771</v>
      </c>
      <c r="F70" s="33" t="s">
        <v>85</v>
      </c>
      <c r="G70" s="34" t="s">
        <v>99</v>
      </c>
      <c r="H70" s="24">
        <f t="shared" si="3"/>
        <v>0</v>
      </c>
      <c r="I70" s="35"/>
      <c r="J70" s="35" t="s">
        <v>248</v>
      </c>
      <c r="K70" s="36"/>
      <c r="L70" s="34" t="s">
        <v>100</v>
      </c>
      <c r="M70" s="40"/>
      <c r="N70" s="40"/>
      <c r="O70" s="35" t="s">
        <v>248</v>
      </c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17">
        <v>1</v>
      </c>
      <c r="BR70" s="17">
        <f t="shared" si="4"/>
        <v>0</v>
      </c>
      <c r="BS70" s="28">
        <f t="shared" si="5"/>
        <v>0</v>
      </c>
      <c r="BT70" s="28">
        <v>1</v>
      </c>
    </row>
    <row r="71" spans="1:72" ht="15.75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772</v>
      </c>
      <c r="F71" s="33" t="s">
        <v>132</v>
      </c>
      <c r="G71" s="34" t="s">
        <v>99</v>
      </c>
      <c r="H71" s="24">
        <f t="shared" si="3"/>
        <v>0</v>
      </c>
      <c r="I71" s="35"/>
      <c r="J71" s="35"/>
      <c r="K71" s="36"/>
      <c r="L71" s="34" t="s">
        <v>100</v>
      </c>
      <c r="M71" s="40"/>
      <c r="N71" s="40"/>
      <c r="O71" s="35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17">
        <v>1</v>
      </c>
      <c r="BR71" s="17">
        <f t="shared" si="4"/>
        <v>0</v>
      </c>
      <c r="BS71" s="28">
        <f t="shared" si="5"/>
        <v>0</v>
      </c>
      <c r="BT71" s="28">
        <v>1</v>
      </c>
    </row>
    <row r="72" spans="1:72" ht="15.75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773</v>
      </c>
      <c r="F72" s="33" t="s">
        <v>92</v>
      </c>
      <c r="G72" s="34" t="s">
        <v>99</v>
      </c>
      <c r="H72" s="24">
        <f t="shared" si="3"/>
        <v>0</v>
      </c>
      <c r="I72" s="35" t="s">
        <v>808</v>
      </c>
      <c r="J72" s="35" t="s">
        <v>248</v>
      </c>
      <c r="K72" s="36"/>
      <c r="L72" s="34" t="s">
        <v>100</v>
      </c>
      <c r="M72" s="40"/>
      <c r="N72" s="40"/>
      <c r="O72" s="35" t="s">
        <v>248</v>
      </c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41"/>
      <c r="BQ72" s="17">
        <v>1</v>
      </c>
      <c r="BR72" s="17">
        <f t="shared" si="4"/>
        <v>0</v>
      </c>
      <c r="BS72" s="28">
        <f t="shared" si="5"/>
        <v>0</v>
      </c>
      <c r="BT72" s="28">
        <v>1</v>
      </c>
    </row>
    <row r="73" spans="1:72" ht="15.75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257</v>
      </c>
      <c r="F73" s="33" t="s">
        <v>95</v>
      </c>
      <c r="G73" s="34" t="s">
        <v>95</v>
      </c>
      <c r="H73" s="24">
        <f t="shared" si="3"/>
        <v>0.21153846153846154</v>
      </c>
      <c r="I73" s="35"/>
      <c r="J73" s="35"/>
      <c r="K73" s="36"/>
      <c r="L73" s="34" t="s">
        <v>100</v>
      </c>
      <c r="M73" s="40"/>
      <c r="N73" s="40"/>
      <c r="O73" s="35"/>
      <c r="P73" s="27" t="s">
        <v>809</v>
      </c>
      <c r="Q73" s="27" t="s">
        <v>809</v>
      </c>
      <c r="R73" s="27" t="s">
        <v>809</v>
      </c>
      <c r="S73" s="27" t="s">
        <v>809</v>
      </c>
      <c r="T73" s="27" t="s">
        <v>809</v>
      </c>
      <c r="U73" s="27" t="s">
        <v>809</v>
      </c>
      <c r="V73" s="27" t="s">
        <v>809</v>
      </c>
      <c r="W73" s="27" t="s">
        <v>809</v>
      </c>
      <c r="X73" s="27" t="s">
        <v>809</v>
      </c>
      <c r="Y73" s="27" t="s">
        <v>809</v>
      </c>
      <c r="Z73" s="27" t="s">
        <v>809</v>
      </c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17">
        <v>52</v>
      </c>
      <c r="BR73" s="17">
        <f t="shared" si="4"/>
        <v>11</v>
      </c>
      <c r="BS73" s="28">
        <f t="shared" si="5"/>
        <v>0</v>
      </c>
      <c r="BT73" s="28">
        <v>1</v>
      </c>
    </row>
    <row r="74" spans="1:72" ht="15.75" customHeight="1" x14ac:dyDescent="0.3">
      <c r="A74" s="32">
        <v>90</v>
      </c>
      <c r="B74" s="33" t="s">
        <v>246</v>
      </c>
      <c r="C74" s="33" t="s">
        <v>236</v>
      </c>
      <c r="D74" s="33" t="s">
        <v>247</v>
      </c>
      <c r="E74" s="33" t="s">
        <v>258</v>
      </c>
      <c r="F74" s="33" t="s">
        <v>95</v>
      </c>
      <c r="G74" s="34" t="s">
        <v>95</v>
      </c>
      <c r="H74" s="24">
        <f t="shared" si="3"/>
        <v>0.21153846153846154</v>
      </c>
      <c r="I74" s="35"/>
      <c r="J74" s="35"/>
      <c r="K74" s="36"/>
      <c r="L74" s="34" t="s">
        <v>100</v>
      </c>
      <c r="M74" s="40"/>
      <c r="N74" s="40"/>
      <c r="O74" s="35"/>
      <c r="P74" s="27" t="s">
        <v>809</v>
      </c>
      <c r="Q74" s="27" t="s">
        <v>809</v>
      </c>
      <c r="R74" s="27" t="s">
        <v>809</v>
      </c>
      <c r="S74" s="27" t="s">
        <v>809</v>
      </c>
      <c r="T74" s="27" t="s">
        <v>809</v>
      </c>
      <c r="U74" s="27" t="s">
        <v>809</v>
      </c>
      <c r="V74" s="27" t="s">
        <v>809</v>
      </c>
      <c r="W74" s="27" t="s">
        <v>809</v>
      </c>
      <c r="X74" s="27" t="s">
        <v>809</v>
      </c>
      <c r="Y74" s="27" t="s">
        <v>809</v>
      </c>
      <c r="Z74" s="27" t="s">
        <v>809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17">
        <v>52</v>
      </c>
      <c r="BR74" s="17">
        <f t="shared" si="4"/>
        <v>11</v>
      </c>
      <c r="BS74" s="28">
        <f t="shared" si="5"/>
        <v>0</v>
      </c>
      <c r="BT74" s="28">
        <v>1</v>
      </c>
    </row>
    <row r="75" spans="1:72" ht="15.75" customHeight="1" x14ac:dyDescent="0.3">
      <c r="A75" s="32">
        <v>90</v>
      </c>
      <c r="B75" s="33" t="s">
        <v>246</v>
      </c>
      <c r="C75" s="33" t="s">
        <v>236</v>
      </c>
      <c r="D75" s="33" t="s">
        <v>247</v>
      </c>
      <c r="E75" s="33" t="s">
        <v>259</v>
      </c>
      <c r="F75" s="33" t="s">
        <v>95</v>
      </c>
      <c r="G75" s="34" t="s">
        <v>95</v>
      </c>
      <c r="H75" s="24">
        <f t="shared" si="3"/>
        <v>0.21153846153846154</v>
      </c>
      <c r="I75" s="35"/>
      <c r="J75" s="35"/>
      <c r="K75" s="36"/>
      <c r="L75" s="34" t="s">
        <v>100</v>
      </c>
      <c r="M75" s="40"/>
      <c r="N75" s="40"/>
      <c r="O75" s="35"/>
      <c r="P75" s="27" t="s">
        <v>809</v>
      </c>
      <c r="Q75" s="27" t="s">
        <v>809</v>
      </c>
      <c r="R75" s="27" t="s">
        <v>809</v>
      </c>
      <c r="S75" s="27" t="s">
        <v>809</v>
      </c>
      <c r="T75" s="27" t="s">
        <v>809</v>
      </c>
      <c r="U75" s="27" t="s">
        <v>809</v>
      </c>
      <c r="V75" s="27" t="s">
        <v>809</v>
      </c>
      <c r="W75" s="27" t="s">
        <v>809</v>
      </c>
      <c r="X75" s="27" t="s">
        <v>809</v>
      </c>
      <c r="Y75" s="27" t="s">
        <v>809</v>
      </c>
      <c r="Z75" s="27" t="s">
        <v>809</v>
      </c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17">
        <v>52</v>
      </c>
      <c r="BR75" s="17">
        <f t="shared" si="4"/>
        <v>11</v>
      </c>
      <c r="BS75" s="28">
        <f t="shared" si="5"/>
        <v>0</v>
      </c>
      <c r="BT75" s="28">
        <v>1</v>
      </c>
    </row>
    <row r="76" spans="1:72" ht="15.75" customHeight="1" x14ac:dyDescent="0.3">
      <c r="A76" s="32">
        <v>90</v>
      </c>
      <c r="B76" s="33" t="s">
        <v>235</v>
      </c>
      <c r="C76" s="33" t="s">
        <v>236</v>
      </c>
      <c r="D76" s="33" t="s">
        <v>237</v>
      </c>
      <c r="E76" s="33" t="s">
        <v>130</v>
      </c>
      <c r="F76" s="33" t="s">
        <v>95</v>
      </c>
      <c r="G76" s="34" t="s">
        <v>95</v>
      </c>
      <c r="H76" s="24">
        <f t="shared" si="3"/>
        <v>0.21153846153846154</v>
      </c>
      <c r="I76" s="35" t="s">
        <v>808</v>
      </c>
      <c r="J76" s="35"/>
      <c r="K76" s="36"/>
      <c r="L76" s="34" t="s">
        <v>105</v>
      </c>
      <c r="M76" s="40"/>
      <c r="N76" s="40"/>
      <c r="O76" s="35"/>
      <c r="P76" s="27" t="s">
        <v>810</v>
      </c>
      <c r="Q76" s="27" t="s">
        <v>810</v>
      </c>
      <c r="R76" s="27" t="s">
        <v>810</v>
      </c>
      <c r="S76" s="27" t="s">
        <v>810</v>
      </c>
      <c r="T76" s="27" t="s">
        <v>810</v>
      </c>
      <c r="U76" s="27" t="s">
        <v>810</v>
      </c>
      <c r="V76" s="27" t="s">
        <v>810</v>
      </c>
      <c r="W76" s="27" t="s">
        <v>810</v>
      </c>
      <c r="X76" s="27" t="s">
        <v>810</v>
      </c>
      <c r="Y76" s="27" t="s">
        <v>810</v>
      </c>
      <c r="Z76" s="27" t="s">
        <v>810</v>
      </c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17">
        <v>52</v>
      </c>
      <c r="BR76" s="17">
        <f t="shared" si="4"/>
        <v>11</v>
      </c>
      <c r="BS76" s="28">
        <f t="shared" si="5"/>
        <v>0</v>
      </c>
      <c r="BT76" s="28">
        <v>1</v>
      </c>
    </row>
    <row r="77" spans="1:72" ht="15.75" customHeight="1" x14ac:dyDescent="0.3">
      <c r="A77" s="32">
        <v>90</v>
      </c>
      <c r="B77" s="33" t="s">
        <v>238</v>
      </c>
      <c r="C77" s="33" t="s">
        <v>236</v>
      </c>
      <c r="D77" s="33" t="s">
        <v>239</v>
      </c>
      <c r="E77" s="33" t="s">
        <v>130</v>
      </c>
      <c r="F77" s="33" t="s">
        <v>95</v>
      </c>
      <c r="G77" s="34" t="s">
        <v>95</v>
      </c>
      <c r="H77" s="24">
        <f t="shared" si="3"/>
        <v>0.21153846153846154</v>
      </c>
      <c r="I77" s="35" t="s">
        <v>808</v>
      </c>
      <c r="J77" s="35"/>
      <c r="K77" s="36"/>
      <c r="L77" s="34" t="s">
        <v>105</v>
      </c>
      <c r="M77" s="40"/>
      <c r="N77" s="40"/>
      <c r="O77" s="35"/>
      <c r="P77" s="27" t="s">
        <v>810</v>
      </c>
      <c r="Q77" s="27" t="s">
        <v>810</v>
      </c>
      <c r="R77" s="27" t="s">
        <v>810</v>
      </c>
      <c r="S77" s="27" t="s">
        <v>810</v>
      </c>
      <c r="T77" s="27" t="s">
        <v>810</v>
      </c>
      <c r="U77" s="27" t="s">
        <v>810</v>
      </c>
      <c r="V77" s="27" t="s">
        <v>810</v>
      </c>
      <c r="W77" s="27" t="s">
        <v>810</v>
      </c>
      <c r="X77" s="27" t="s">
        <v>810</v>
      </c>
      <c r="Y77" s="27" t="s">
        <v>810</v>
      </c>
      <c r="Z77" s="27" t="s">
        <v>810</v>
      </c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17">
        <v>52</v>
      </c>
      <c r="BR77" s="17">
        <f t="shared" si="4"/>
        <v>11</v>
      </c>
      <c r="BS77" s="28">
        <f t="shared" si="5"/>
        <v>0</v>
      </c>
      <c r="BT77" s="28">
        <v>1</v>
      </c>
    </row>
    <row r="78" spans="1:72" ht="15.75" customHeight="1" x14ac:dyDescent="0.3">
      <c r="A78" s="32">
        <v>90</v>
      </c>
      <c r="B78" s="33" t="s">
        <v>249</v>
      </c>
      <c r="C78" s="33" t="s">
        <v>236</v>
      </c>
      <c r="D78" s="33" t="s">
        <v>250</v>
      </c>
      <c r="E78" s="33" t="s">
        <v>774</v>
      </c>
      <c r="F78" s="33" t="s">
        <v>96</v>
      </c>
      <c r="G78" s="34" t="s">
        <v>167</v>
      </c>
      <c r="H78" s="24">
        <f t="shared" si="3"/>
        <v>0</v>
      </c>
      <c r="I78" s="35" t="s">
        <v>808</v>
      </c>
      <c r="J78" s="35" t="s">
        <v>248</v>
      </c>
      <c r="K78" s="36"/>
      <c r="L78" s="34" t="s">
        <v>100</v>
      </c>
      <c r="M78" s="40"/>
      <c r="N78" s="40"/>
      <c r="O78" s="35" t="s">
        <v>248</v>
      </c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17">
        <v>3</v>
      </c>
      <c r="BR78" s="17">
        <f t="shared" si="4"/>
        <v>0</v>
      </c>
      <c r="BS78" s="28">
        <f t="shared" si="5"/>
        <v>0</v>
      </c>
      <c r="BT78" s="28">
        <v>1</v>
      </c>
    </row>
    <row r="79" spans="1:72" ht="15.75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251</v>
      </c>
      <c r="F79" s="33" t="s">
        <v>132</v>
      </c>
      <c r="G79" s="34" t="s">
        <v>99</v>
      </c>
      <c r="H79" s="24">
        <f t="shared" si="3"/>
        <v>0</v>
      </c>
      <c r="I79" s="35" t="s">
        <v>808</v>
      </c>
      <c r="J79" s="35" t="s">
        <v>248</v>
      </c>
      <c r="K79" s="36"/>
      <c r="L79" s="34" t="s">
        <v>100</v>
      </c>
      <c r="M79" s="40"/>
      <c r="N79" s="40"/>
      <c r="O79" s="35" t="s">
        <v>248</v>
      </c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17">
        <v>1</v>
      </c>
      <c r="BR79" s="17">
        <f t="shared" si="4"/>
        <v>0</v>
      </c>
      <c r="BS79" s="28">
        <f t="shared" si="5"/>
        <v>0</v>
      </c>
      <c r="BT79" s="28">
        <v>1</v>
      </c>
    </row>
    <row r="80" spans="1:72" ht="15.75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130</v>
      </c>
      <c r="F80" s="33" t="s">
        <v>95</v>
      </c>
      <c r="G80" s="34" t="s">
        <v>95</v>
      </c>
      <c r="H80" s="24">
        <f t="shared" si="3"/>
        <v>0.21153846153846154</v>
      </c>
      <c r="I80" s="35"/>
      <c r="J80" s="35" t="s">
        <v>244</v>
      </c>
      <c r="K80" s="36"/>
      <c r="L80" s="34" t="s">
        <v>100</v>
      </c>
      <c r="M80" s="40"/>
      <c r="N80" s="40"/>
      <c r="O80" s="35" t="s">
        <v>244</v>
      </c>
      <c r="P80" s="27" t="s">
        <v>810</v>
      </c>
      <c r="Q80" s="27" t="s">
        <v>810</v>
      </c>
      <c r="R80" s="27" t="s">
        <v>810</v>
      </c>
      <c r="S80" s="27" t="s">
        <v>810</v>
      </c>
      <c r="T80" s="27" t="s">
        <v>810</v>
      </c>
      <c r="U80" s="27" t="s">
        <v>810</v>
      </c>
      <c r="V80" s="27" t="s">
        <v>810</v>
      </c>
      <c r="W80" s="27" t="s">
        <v>810</v>
      </c>
      <c r="X80" s="27" t="s">
        <v>810</v>
      </c>
      <c r="Y80" s="27" t="s">
        <v>810</v>
      </c>
      <c r="Z80" s="27" t="s">
        <v>810</v>
      </c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41"/>
      <c r="BQ80" s="17">
        <v>52</v>
      </c>
      <c r="BR80" s="17">
        <f t="shared" si="4"/>
        <v>11</v>
      </c>
      <c r="BS80" s="28">
        <f t="shared" si="5"/>
        <v>0</v>
      </c>
      <c r="BT80" s="28">
        <v>1</v>
      </c>
    </row>
    <row r="81" spans="1:72" ht="15.75" customHeight="1" x14ac:dyDescent="0.3">
      <c r="A81" s="32">
        <v>90</v>
      </c>
      <c r="B81" s="33" t="s">
        <v>253</v>
      </c>
      <c r="C81" s="33" t="s">
        <v>236</v>
      </c>
      <c r="D81" s="33" t="s">
        <v>254</v>
      </c>
      <c r="E81" s="33" t="s">
        <v>243</v>
      </c>
      <c r="F81" s="33" t="s">
        <v>132</v>
      </c>
      <c r="G81" s="34" t="s">
        <v>99</v>
      </c>
      <c r="H81" s="24">
        <f t="shared" si="3"/>
        <v>0</v>
      </c>
      <c r="I81" s="35" t="s">
        <v>808</v>
      </c>
      <c r="J81" s="35" t="s">
        <v>248</v>
      </c>
      <c r="K81" s="36"/>
      <c r="L81" s="34" t="s">
        <v>100</v>
      </c>
      <c r="M81" s="40"/>
      <c r="N81" s="40"/>
      <c r="O81" s="35" t="s">
        <v>248</v>
      </c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17">
        <v>1</v>
      </c>
      <c r="BR81" s="17">
        <f t="shared" si="4"/>
        <v>0</v>
      </c>
      <c r="BS81" s="28">
        <f t="shared" si="5"/>
        <v>0</v>
      </c>
      <c r="BT81" s="28">
        <v>1</v>
      </c>
    </row>
    <row r="82" spans="1:72" ht="15.75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772</v>
      </c>
      <c r="F82" s="33" t="s">
        <v>132</v>
      </c>
      <c r="G82" s="34" t="s">
        <v>99</v>
      </c>
      <c r="H82" s="24">
        <f t="shared" si="3"/>
        <v>0</v>
      </c>
      <c r="I82" s="35" t="s">
        <v>808</v>
      </c>
      <c r="J82" s="35"/>
      <c r="K82" s="36"/>
      <c r="L82" s="34" t="s">
        <v>100</v>
      </c>
      <c r="M82" s="40"/>
      <c r="N82" s="40"/>
      <c r="O82" s="35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17">
        <v>1</v>
      </c>
      <c r="BR82" s="17">
        <f t="shared" si="4"/>
        <v>0</v>
      </c>
      <c r="BS82" s="28">
        <f t="shared" si="5"/>
        <v>0</v>
      </c>
      <c r="BT82" s="28">
        <v>1</v>
      </c>
    </row>
    <row r="83" spans="1:72" ht="15.75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130</v>
      </c>
      <c r="F83" s="33" t="s">
        <v>95</v>
      </c>
      <c r="G83" s="34" t="s">
        <v>95</v>
      </c>
      <c r="H83" s="24">
        <f t="shared" si="3"/>
        <v>0.21153846153846154</v>
      </c>
      <c r="I83" s="35"/>
      <c r="J83" s="35"/>
      <c r="K83" s="36"/>
      <c r="L83" s="34" t="s">
        <v>105</v>
      </c>
      <c r="M83" s="40"/>
      <c r="N83" s="40"/>
      <c r="O83" s="35"/>
      <c r="P83" s="27" t="s">
        <v>810</v>
      </c>
      <c r="Q83" s="27" t="s">
        <v>810</v>
      </c>
      <c r="R83" s="27" t="s">
        <v>810</v>
      </c>
      <c r="S83" s="27" t="s">
        <v>810</v>
      </c>
      <c r="T83" s="27" t="s">
        <v>810</v>
      </c>
      <c r="U83" s="27" t="s">
        <v>810</v>
      </c>
      <c r="V83" s="27" t="s">
        <v>810</v>
      </c>
      <c r="W83" s="27" t="s">
        <v>810</v>
      </c>
      <c r="X83" s="27" t="s">
        <v>810</v>
      </c>
      <c r="Y83" s="27" t="s">
        <v>810</v>
      </c>
      <c r="Z83" s="27" t="s">
        <v>810</v>
      </c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41"/>
      <c r="BQ83" s="17">
        <v>52</v>
      </c>
      <c r="BR83" s="17">
        <f t="shared" si="4"/>
        <v>11</v>
      </c>
      <c r="BS83" s="28">
        <f t="shared" si="5"/>
        <v>0</v>
      </c>
      <c r="BT83" s="28">
        <v>1</v>
      </c>
    </row>
    <row r="84" spans="1:72" ht="15.75" customHeight="1" x14ac:dyDescent="0.3">
      <c r="A84" s="32">
        <v>90</v>
      </c>
      <c r="B84" s="33" t="s">
        <v>241</v>
      </c>
      <c r="C84" s="33" t="s">
        <v>232</v>
      </c>
      <c r="D84" s="33" t="s">
        <v>242</v>
      </c>
      <c r="E84" s="33" t="s">
        <v>243</v>
      </c>
      <c r="F84" s="33" t="s">
        <v>132</v>
      </c>
      <c r="G84" s="34" t="s">
        <v>99</v>
      </c>
      <c r="H84" s="24">
        <f t="shared" si="3"/>
        <v>0</v>
      </c>
      <c r="I84" s="35" t="s">
        <v>808</v>
      </c>
      <c r="J84" s="35" t="s">
        <v>244</v>
      </c>
      <c r="K84" s="36"/>
      <c r="L84" s="34" t="s">
        <v>100</v>
      </c>
      <c r="M84" s="40"/>
      <c r="N84" s="40"/>
      <c r="O84" s="35" t="s">
        <v>244</v>
      </c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41"/>
      <c r="BQ84" s="17">
        <v>1</v>
      </c>
      <c r="BR84" s="17">
        <f t="shared" si="4"/>
        <v>0</v>
      </c>
      <c r="BS84" s="28">
        <f t="shared" si="5"/>
        <v>0</v>
      </c>
      <c r="BT84" s="28">
        <v>1</v>
      </c>
    </row>
    <row r="85" spans="1:72" ht="15.75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160</v>
      </c>
      <c r="F85" s="33" t="s">
        <v>132</v>
      </c>
      <c r="G85" s="34" t="s">
        <v>99</v>
      </c>
      <c r="H85" s="24">
        <f t="shared" si="3"/>
        <v>0</v>
      </c>
      <c r="I85" s="35" t="s">
        <v>808</v>
      </c>
      <c r="J85" s="35" t="s">
        <v>244</v>
      </c>
      <c r="K85" s="36"/>
      <c r="L85" s="34" t="s">
        <v>100</v>
      </c>
      <c r="M85" s="40"/>
      <c r="N85" s="40"/>
      <c r="O85" s="35" t="s">
        <v>244</v>
      </c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41"/>
      <c r="BQ85" s="17">
        <v>1</v>
      </c>
      <c r="BR85" s="17">
        <f t="shared" si="4"/>
        <v>0</v>
      </c>
      <c r="BS85" s="28">
        <f t="shared" si="5"/>
        <v>0</v>
      </c>
      <c r="BT85" s="28">
        <v>1</v>
      </c>
    </row>
    <row r="86" spans="1:72" ht="15.75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245</v>
      </c>
      <c r="F86" s="33" t="s">
        <v>132</v>
      </c>
      <c r="G86" s="34" t="s">
        <v>99</v>
      </c>
      <c r="H86" s="24">
        <f t="shared" si="3"/>
        <v>0</v>
      </c>
      <c r="I86" s="35" t="s">
        <v>808</v>
      </c>
      <c r="J86" s="35" t="s">
        <v>244</v>
      </c>
      <c r="K86" s="36"/>
      <c r="L86" s="34" t="s">
        <v>100</v>
      </c>
      <c r="M86" s="40"/>
      <c r="N86" s="40"/>
      <c r="O86" s="35" t="s">
        <v>244</v>
      </c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41"/>
      <c r="BQ86" s="17">
        <v>1</v>
      </c>
      <c r="BR86" s="17">
        <f t="shared" si="4"/>
        <v>0</v>
      </c>
      <c r="BS86" s="28">
        <f t="shared" si="5"/>
        <v>0</v>
      </c>
      <c r="BT86" s="28">
        <v>1</v>
      </c>
    </row>
    <row r="87" spans="1:72" ht="15.75" customHeight="1" x14ac:dyDescent="0.3">
      <c r="A87" s="32">
        <v>90</v>
      </c>
      <c r="B87" s="33" t="s">
        <v>231</v>
      </c>
      <c r="C87" s="33" t="s">
        <v>232</v>
      </c>
      <c r="D87" s="33" t="s">
        <v>233</v>
      </c>
      <c r="E87" s="33" t="s">
        <v>225</v>
      </c>
      <c r="F87" s="33" t="s">
        <v>672</v>
      </c>
      <c r="G87" s="34" t="s">
        <v>673</v>
      </c>
      <c r="H87" s="24">
        <f t="shared" si="3"/>
        <v>0.25</v>
      </c>
      <c r="I87" s="35"/>
      <c r="J87" s="35" t="s">
        <v>234</v>
      </c>
      <c r="K87" s="36"/>
      <c r="L87" s="34" t="s">
        <v>100</v>
      </c>
      <c r="M87" s="40"/>
      <c r="N87" s="51" t="s">
        <v>868</v>
      </c>
      <c r="O87" s="35" t="s">
        <v>234</v>
      </c>
      <c r="P87" s="27"/>
      <c r="Q87" s="27"/>
      <c r="R87" s="27"/>
      <c r="S87" s="27" t="s">
        <v>865</v>
      </c>
      <c r="T87" s="27"/>
      <c r="U87" s="27"/>
      <c r="V87" s="27"/>
      <c r="W87" s="27"/>
      <c r="X87" s="27"/>
      <c r="Y87" s="54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54"/>
      <c r="AK87" s="27"/>
      <c r="AL87" s="27"/>
      <c r="AM87" s="27"/>
      <c r="AN87" s="27"/>
      <c r="AO87" s="27"/>
      <c r="AP87" s="54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54"/>
      <c r="BE87" s="27"/>
      <c r="BF87" s="27"/>
      <c r="BG87" s="27"/>
      <c r="BH87" s="27"/>
      <c r="BI87" s="27"/>
      <c r="BJ87" s="27"/>
      <c r="BK87" s="27"/>
      <c r="BL87" s="54"/>
      <c r="BM87" s="27"/>
      <c r="BN87" s="27"/>
      <c r="BO87" s="27"/>
      <c r="BP87" s="41"/>
      <c r="BQ87" s="17">
        <v>4</v>
      </c>
      <c r="BR87" s="17">
        <f t="shared" si="4"/>
        <v>1</v>
      </c>
      <c r="BS87" s="28">
        <f t="shared" si="5"/>
        <v>0</v>
      </c>
      <c r="BT87" s="28">
        <v>1</v>
      </c>
    </row>
    <row r="88" spans="1:72" ht="15.75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240</v>
      </c>
      <c r="F88" s="33" t="s">
        <v>95</v>
      </c>
      <c r="G88" s="34" t="s">
        <v>95</v>
      </c>
      <c r="H88" s="24">
        <f t="shared" si="3"/>
        <v>0.21153846153846154</v>
      </c>
      <c r="I88" s="35" t="s">
        <v>808</v>
      </c>
      <c r="J88" s="35"/>
      <c r="K88" s="36"/>
      <c r="L88" s="34" t="s">
        <v>100</v>
      </c>
      <c r="M88" s="40"/>
      <c r="N88" s="40"/>
      <c r="O88" s="35"/>
      <c r="P88" s="27" t="s">
        <v>810</v>
      </c>
      <c r="Q88" s="27" t="s">
        <v>810</v>
      </c>
      <c r="R88" s="27" t="s">
        <v>810</v>
      </c>
      <c r="S88" s="27" t="s">
        <v>810</v>
      </c>
      <c r="T88" s="27" t="s">
        <v>810</v>
      </c>
      <c r="U88" s="27" t="s">
        <v>810</v>
      </c>
      <c r="V88" s="27" t="s">
        <v>810</v>
      </c>
      <c r="W88" s="27" t="s">
        <v>810</v>
      </c>
      <c r="X88" s="27" t="s">
        <v>810</v>
      </c>
      <c r="Y88" s="27" t="s">
        <v>810</v>
      </c>
      <c r="Z88" s="27" t="s">
        <v>810</v>
      </c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17">
        <v>52</v>
      </c>
      <c r="BR88" s="17">
        <f t="shared" si="4"/>
        <v>11</v>
      </c>
      <c r="BS88" s="28">
        <f t="shared" si="5"/>
        <v>0</v>
      </c>
      <c r="BT88" s="28">
        <v>1</v>
      </c>
    </row>
    <row r="89" spans="1:72" ht="15.75" customHeight="1" x14ac:dyDescent="0.3">
      <c r="A89" s="32">
        <v>90</v>
      </c>
      <c r="B89" s="33" t="s">
        <v>260</v>
      </c>
      <c r="C89" s="33" t="s">
        <v>232</v>
      </c>
      <c r="D89" s="33" t="s">
        <v>261</v>
      </c>
      <c r="E89" s="33" t="s">
        <v>130</v>
      </c>
      <c r="F89" s="33" t="s">
        <v>95</v>
      </c>
      <c r="G89" s="34" t="s">
        <v>95</v>
      </c>
      <c r="H89" s="24">
        <f t="shared" si="3"/>
        <v>0.21153846153846154</v>
      </c>
      <c r="I89" s="35"/>
      <c r="J89" s="35"/>
      <c r="K89" s="36"/>
      <c r="L89" s="34" t="s">
        <v>105</v>
      </c>
      <c r="M89" s="40"/>
      <c r="N89" s="40"/>
      <c r="O89" s="35"/>
      <c r="P89" s="27" t="s">
        <v>810</v>
      </c>
      <c r="Q89" s="27" t="s">
        <v>810</v>
      </c>
      <c r="R89" s="27" t="s">
        <v>810</v>
      </c>
      <c r="S89" s="27" t="s">
        <v>810</v>
      </c>
      <c r="T89" s="27" t="s">
        <v>810</v>
      </c>
      <c r="U89" s="27" t="s">
        <v>810</v>
      </c>
      <c r="V89" s="27" t="s">
        <v>810</v>
      </c>
      <c r="W89" s="27" t="s">
        <v>810</v>
      </c>
      <c r="X89" s="27" t="s">
        <v>810</v>
      </c>
      <c r="Y89" s="27" t="s">
        <v>810</v>
      </c>
      <c r="Z89" s="27" t="s">
        <v>810</v>
      </c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17">
        <v>52</v>
      </c>
      <c r="BR89" s="17">
        <f t="shared" si="4"/>
        <v>11</v>
      </c>
      <c r="BS89" s="28">
        <f t="shared" si="5"/>
        <v>0</v>
      </c>
      <c r="BT89" s="28">
        <v>1</v>
      </c>
    </row>
    <row r="90" spans="1:72" ht="15.75" customHeight="1" x14ac:dyDescent="0.3">
      <c r="A90" s="32">
        <v>90</v>
      </c>
      <c r="B90" s="33" t="s">
        <v>252</v>
      </c>
      <c r="C90" s="33" t="s">
        <v>232</v>
      </c>
      <c r="D90" s="33" t="s">
        <v>250</v>
      </c>
      <c r="E90" s="33" t="s">
        <v>251</v>
      </c>
      <c r="F90" s="33" t="s">
        <v>132</v>
      </c>
      <c r="G90" s="34" t="s">
        <v>99</v>
      </c>
      <c r="H90" s="24">
        <f t="shared" si="3"/>
        <v>0</v>
      </c>
      <c r="I90" s="35" t="s">
        <v>808</v>
      </c>
      <c r="J90" s="35" t="s">
        <v>244</v>
      </c>
      <c r="K90" s="36"/>
      <c r="L90" s="34" t="s">
        <v>100</v>
      </c>
      <c r="M90" s="40"/>
      <c r="N90" s="51"/>
      <c r="O90" s="35" t="s">
        <v>244</v>
      </c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17">
        <v>1</v>
      </c>
      <c r="BR90" s="17">
        <f t="shared" si="4"/>
        <v>0</v>
      </c>
      <c r="BS90" s="28">
        <f t="shared" si="5"/>
        <v>0</v>
      </c>
      <c r="BT90" s="28">
        <v>1</v>
      </c>
    </row>
    <row r="91" spans="1:72" ht="15.75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130</v>
      </c>
      <c r="F91" s="33" t="s">
        <v>95</v>
      </c>
      <c r="G91" s="34" t="s">
        <v>95</v>
      </c>
      <c r="H91" s="24">
        <f t="shared" si="3"/>
        <v>0.21153846153846154</v>
      </c>
      <c r="I91" s="35"/>
      <c r="J91" s="35"/>
      <c r="K91" s="36"/>
      <c r="L91" s="34" t="s">
        <v>100</v>
      </c>
      <c r="M91" s="40"/>
      <c r="N91" s="40"/>
      <c r="O91" s="35"/>
      <c r="P91" s="27" t="s">
        <v>810</v>
      </c>
      <c r="Q91" s="27" t="s">
        <v>810</v>
      </c>
      <c r="R91" s="27" t="s">
        <v>810</v>
      </c>
      <c r="S91" s="27" t="s">
        <v>810</v>
      </c>
      <c r="T91" s="27" t="s">
        <v>810</v>
      </c>
      <c r="U91" s="27" t="s">
        <v>810</v>
      </c>
      <c r="V91" s="27" t="s">
        <v>810</v>
      </c>
      <c r="W91" s="27" t="s">
        <v>810</v>
      </c>
      <c r="X91" s="27" t="s">
        <v>810</v>
      </c>
      <c r="Y91" s="27" t="s">
        <v>810</v>
      </c>
      <c r="Z91" s="27" t="s">
        <v>810</v>
      </c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17">
        <v>52</v>
      </c>
      <c r="BR91" s="17">
        <f t="shared" si="4"/>
        <v>11</v>
      </c>
      <c r="BS91" s="28">
        <f t="shared" si="5"/>
        <v>0</v>
      </c>
      <c r="BT91" s="28">
        <v>1</v>
      </c>
    </row>
    <row r="92" spans="1:72" ht="15.75" customHeight="1" x14ac:dyDescent="0.3">
      <c r="A92" s="32">
        <v>90</v>
      </c>
      <c r="B92" s="33" t="s">
        <v>845</v>
      </c>
      <c r="C92" s="33" t="s">
        <v>232</v>
      </c>
      <c r="D92" s="33" t="s">
        <v>254</v>
      </c>
      <c r="E92" s="33" t="s">
        <v>243</v>
      </c>
      <c r="F92" s="33" t="s">
        <v>132</v>
      </c>
      <c r="G92" s="34" t="s">
        <v>99</v>
      </c>
      <c r="H92" s="24">
        <f t="shared" si="3"/>
        <v>0</v>
      </c>
      <c r="I92" s="35" t="s">
        <v>808</v>
      </c>
      <c r="J92" s="35"/>
      <c r="K92" s="36"/>
      <c r="L92" s="34" t="s">
        <v>100</v>
      </c>
      <c r="M92" s="40"/>
      <c r="N92" s="40"/>
      <c r="O92" s="35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41"/>
      <c r="BQ92" s="17">
        <v>1</v>
      </c>
      <c r="BR92" s="17">
        <f t="shared" si="4"/>
        <v>0</v>
      </c>
      <c r="BS92" s="28">
        <f t="shared" si="5"/>
        <v>0</v>
      </c>
      <c r="BT92" s="28">
        <v>1</v>
      </c>
    </row>
    <row r="93" spans="1:72" ht="15.75" customHeight="1" x14ac:dyDescent="0.3">
      <c r="A93" s="32">
        <v>92</v>
      </c>
      <c r="B93" s="33" t="s">
        <v>264</v>
      </c>
      <c r="C93" s="33" t="s">
        <v>265</v>
      </c>
      <c r="D93" s="33" t="s">
        <v>758</v>
      </c>
      <c r="E93" s="33" t="s">
        <v>130</v>
      </c>
      <c r="F93" s="33" t="s">
        <v>93</v>
      </c>
      <c r="G93" s="34" t="s">
        <v>119</v>
      </c>
      <c r="H93" s="24">
        <f t="shared" si="3"/>
        <v>0.25</v>
      </c>
      <c r="I93" s="35"/>
      <c r="J93" s="35" t="s">
        <v>266</v>
      </c>
      <c r="K93" s="36"/>
      <c r="L93" s="34" t="s">
        <v>105</v>
      </c>
      <c r="M93" s="40"/>
      <c r="N93" s="40"/>
      <c r="O93" s="35" t="s">
        <v>266</v>
      </c>
      <c r="P93" s="27" t="s">
        <v>810</v>
      </c>
      <c r="Q93" s="27"/>
      <c r="R93" s="27"/>
      <c r="S93" s="27"/>
      <c r="T93" s="27"/>
      <c r="U93" s="27" t="s">
        <v>810</v>
      </c>
      <c r="V93" s="27"/>
      <c r="W93" s="27"/>
      <c r="X93" s="27"/>
      <c r="Y93" s="27" t="s">
        <v>810</v>
      </c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41"/>
      <c r="BQ93" s="17">
        <v>12</v>
      </c>
      <c r="BR93" s="17">
        <f t="shared" si="4"/>
        <v>3</v>
      </c>
      <c r="BS93" s="28">
        <f t="shared" si="5"/>
        <v>0</v>
      </c>
      <c r="BT93" s="28">
        <v>1</v>
      </c>
    </row>
    <row r="94" spans="1:72" ht="15.75" customHeight="1" x14ac:dyDescent="0.3">
      <c r="A94" s="32">
        <v>92</v>
      </c>
      <c r="B94" s="33" t="s">
        <v>264</v>
      </c>
      <c r="C94" s="33" t="s">
        <v>265</v>
      </c>
      <c r="D94" s="33" t="s">
        <v>278</v>
      </c>
      <c r="E94" s="33" t="s">
        <v>279</v>
      </c>
      <c r="F94" s="33" t="s">
        <v>91</v>
      </c>
      <c r="G94" s="34"/>
      <c r="H94" s="24">
        <f t="shared" si="3"/>
        <v>0</v>
      </c>
      <c r="I94" s="35"/>
      <c r="J94" s="35" t="s">
        <v>244</v>
      </c>
      <c r="K94" s="36"/>
      <c r="L94" s="34" t="s">
        <v>100</v>
      </c>
      <c r="M94" s="40"/>
      <c r="N94" s="40"/>
      <c r="O94" s="35" t="s">
        <v>244</v>
      </c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17">
        <v>1</v>
      </c>
      <c r="BR94" s="17">
        <f t="shared" si="4"/>
        <v>0</v>
      </c>
      <c r="BS94" s="28">
        <f t="shared" si="5"/>
        <v>0</v>
      </c>
      <c r="BT94" s="28">
        <v>1</v>
      </c>
    </row>
    <row r="95" spans="1:72" ht="15.75" customHeight="1" x14ac:dyDescent="0.3">
      <c r="A95" s="32">
        <v>92</v>
      </c>
      <c r="B95" s="33" t="s">
        <v>267</v>
      </c>
      <c r="C95" s="33" t="s">
        <v>265</v>
      </c>
      <c r="D95" s="33" t="s">
        <v>268</v>
      </c>
      <c r="E95" s="33" t="s">
        <v>130</v>
      </c>
      <c r="F95" s="33" t="s">
        <v>93</v>
      </c>
      <c r="G95" s="34" t="s">
        <v>119</v>
      </c>
      <c r="H95" s="24">
        <f t="shared" si="3"/>
        <v>0.25</v>
      </c>
      <c r="I95" s="35"/>
      <c r="J95" s="35" t="s">
        <v>266</v>
      </c>
      <c r="K95" s="36"/>
      <c r="L95" s="34" t="s">
        <v>105</v>
      </c>
      <c r="M95" s="40"/>
      <c r="N95" s="40"/>
      <c r="O95" s="35" t="s">
        <v>266</v>
      </c>
      <c r="P95" s="27" t="s">
        <v>810</v>
      </c>
      <c r="Q95" s="27"/>
      <c r="R95" s="27"/>
      <c r="S95" s="27"/>
      <c r="T95" s="27"/>
      <c r="U95" s="27" t="s">
        <v>810</v>
      </c>
      <c r="V95" s="27"/>
      <c r="W95" s="27"/>
      <c r="X95" s="27"/>
      <c r="Y95" s="27" t="s">
        <v>810</v>
      </c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17">
        <v>12</v>
      </c>
      <c r="BR95" s="17">
        <f t="shared" si="4"/>
        <v>3</v>
      </c>
      <c r="BS95" s="28">
        <f t="shared" si="5"/>
        <v>0</v>
      </c>
      <c r="BT95" s="28">
        <v>1</v>
      </c>
    </row>
    <row r="96" spans="1:72" ht="15.75" customHeight="1" x14ac:dyDescent="0.3">
      <c r="A96" s="32">
        <v>92</v>
      </c>
      <c r="B96" s="33" t="s">
        <v>267</v>
      </c>
      <c r="C96" s="33" t="s">
        <v>265</v>
      </c>
      <c r="D96" s="33" t="s">
        <v>280</v>
      </c>
      <c r="E96" s="33" t="s">
        <v>279</v>
      </c>
      <c r="F96" s="33" t="s">
        <v>91</v>
      </c>
      <c r="G96" s="34"/>
      <c r="H96" s="24">
        <f t="shared" si="3"/>
        <v>1</v>
      </c>
      <c r="I96" s="35"/>
      <c r="J96" s="35" t="s">
        <v>244</v>
      </c>
      <c r="K96" s="36"/>
      <c r="L96" s="34" t="s">
        <v>100</v>
      </c>
      <c r="M96" s="40"/>
      <c r="N96" s="40"/>
      <c r="O96" s="35" t="s">
        <v>244</v>
      </c>
      <c r="P96" s="27"/>
      <c r="Q96" s="27"/>
      <c r="R96" s="27"/>
      <c r="S96" s="27"/>
      <c r="T96" s="27"/>
      <c r="U96" s="27"/>
      <c r="V96" s="27" t="s">
        <v>862</v>
      </c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17">
        <v>1</v>
      </c>
      <c r="BR96" s="17">
        <f t="shared" si="4"/>
        <v>1</v>
      </c>
      <c r="BS96" s="28">
        <f t="shared" si="5"/>
        <v>1</v>
      </c>
      <c r="BT96" s="28">
        <v>1</v>
      </c>
    </row>
    <row r="97" spans="1:72" ht="15.75" customHeight="1" x14ac:dyDescent="0.3">
      <c r="A97" s="32">
        <v>92</v>
      </c>
      <c r="B97" s="33" t="s">
        <v>272</v>
      </c>
      <c r="C97" s="33" t="s">
        <v>265</v>
      </c>
      <c r="D97" s="33" t="s">
        <v>273</v>
      </c>
      <c r="E97" s="33" t="s">
        <v>160</v>
      </c>
      <c r="F97" s="33" t="s">
        <v>132</v>
      </c>
      <c r="G97" s="34" t="s">
        <v>99</v>
      </c>
      <c r="H97" s="24">
        <f t="shared" si="3"/>
        <v>0</v>
      </c>
      <c r="I97" s="35"/>
      <c r="J97" s="35"/>
      <c r="K97" s="36"/>
      <c r="L97" s="34" t="s">
        <v>105</v>
      </c>
      <c r="M97" s="40"/>
      <c r="N97" s="40"/>
      <c r="O97" s="35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17">
        <v>1</v>
      </c>
      <c r="BR97" s="17">
        <f t="shared" si="4"/>
        <v>0</v>
      </c>
      <c r="BS97" s="28">
        <f t="shared" si="5"/>
        <v>0</v>
      </c>
      <c r="BT97" s="28">
        <v>1</v>
      </c>
    </row>
    <row r="98" spans="1:72" ht="15.75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130</v>
      </c>
      <c r="F98" s="33" t="s">
        <v>88</v>
      </c>
      <c r="G98" s="34" t="s">
        <v>127</v>
      </c>
      <c r="H98" s="24">
        <f t="shared" si="3"/>
        <v>0</v>
      </c>
      <c r="I98" s="35"/>
      <c r="J98" s="35"/>
      <c r="K98" s="36"/>
      <c r="L98" s="34" t="s">
        <v>105</v>
      </c>
      <c r="M98" s="40"/>
      <c r="N98" s="40"/>
      <c r="O98" s="35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41"/>
      <c r="BQ98" s="17">
        <v>2</v>
      </c>
      <c r="BR98" s="17">
        <f t="shared" si="4"/>
        <v>0</v>
      </c>
      <c r="BS98" s="28">
        <f t="shared" si="5"/>
        <v>0</v>
      </c>
      <c r="BT98" s="28">
        <v>1</v>
      </c>
    </row>
    <row r="99" spans="1:72" ht="15.75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772</v>
      </c>
      <c r="F99" s="33" t="s">
        <v>87</v>
      </c>
      <c r="G99" s="34" t="s">
        <v>283</v>
      </c>
      <c r="H99" s="24">
        <f t="shared" si="3"/>
        <v>0</v>
      </c>
      <c r="I99" s="35"/>
      <c r="J99" s="35"/>
      <c r="K99" s="36"/>
      <c r="L99" s="34" t="s">
        <v>100</v>
      </c>
      <c r="M99" s="40"/>
      <c r="N99" s="40"/>
      <c r="O99" s="35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17">
        <v>1</v>
      </c>
      <c r="BR99" s="17">
        <f t="shared" si="4"/>
        <v>0</v>
      </c>
      <c r="BS99" s="28">
        <f t="shared" si="5"/>
        <v>0</v>
      </c>
      <c r="BT99" s="28">
        <v>1</v>
      </c>
    </row>
    <row r="100" spans="1:72" ht="15.75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771</v>
      </c>
      <c r="F100" s="33" t="s">
        <v>92</v>
      </c>
      <c r="G100" s="34" t="s">
        <v>283</v>
      </c>
      <c r="H100" s="24">
        <f t="shared" si="3"/>
        <v>0</v>
      </c>
      <c r="I100" s="35"/>
      <c r="J100" s="35"/>
      <c r="K100" s="36"/>
      <c r="L100" s="34" t="s">
        <v>100</v>
      </c>
      <c r="M100" s="40"/>
      <c r="N100" s="40"/>
      <c r="O100" s="35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41"/>
      <c r="BQ100" s="17">
        <v>1</v>
      </c>
      <c r="BR100" s="17">
        <f t="shared" si="4"/>
        <v>0</v>
      </c>
      <c r="BS100" s="28">
        <f t="shared" si="5"/>
        <v>0</v>
      </c>
      <c r="BT100" s="28">
        <v>1</v>
      </c>
    </row>
    <row r="101" spans="1:72" ht="15.75" customHeight="1" x14ac:dyDescent="0.3">
      <c r="A101" s="32">
        <v>92</v>
      </c>
      <c r="B101" s="33" t="s">
        <v>274</v>
      </c>
      <c r="C101" s="33" t="s">
        <v>265</v>
      </c>
      <c r="D101" s="33" t="s">
        <v>275</v>
      </c>
      <c r="E101" s="33" t="s">
        <v>160</v>
      </c>
      <c r="F101" s="33" t="s">
        <v>132</v>
      </c>
      <c r="G101" s="34" t="s">
        <v>99</v>
      </c>
      <c r="H101" s="24">
        <f t="shared" si="3"/>
        <v>0</v>
      </c>
      <c r="I101" s="35"/>
      <c r="J101" s="35"/>
      <c r="K101" s="36"/>
      <c r="L101" s="34" t="s">
        <v>105</v>
      </c>
      <c r="M101" s="40"/>
      <c r="N101" s="40"/>
      <c r="O101" s="35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17">
        <v>1</v>
      </c>
      <c r="BR101" s="17">
        <f t="shared" si="4"/>
        <v>0</v>
      </c>
      <c r="BS101" s="28">
        <f t="shared" si="5"/>
        <v>0</v>
      </c>
      <c r="BT101" s="28">
        <v>1</v>
      </c>
    </row>
    <row r="102" spans="1:72" ht="15.75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130</v>
      </c>
      <c r="F102" s="33" t="s">
        <v>88</v>
      </c>
      <c r="G102" s="34" t="s">
        <v>127</v>
      </c>
      <c r="H102" s="24">
        <f t="shared" si="3"/>
        <v>0</v>
      </c>
      <c r="I102" s="35"/>
      <c r="J102" s="35"/>
      <c r="K102" s="36"/>
      <c r="L102" s="34" t="s">
        <v>105</v>
      </c>
      <c r="M102" s="40"/>
      <c r="N102" s="51"/>
      <c r="O102" s="35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41"/>
      <c r="BQ102" s="17">
        <v>2</v>
      </c>
      <c r="BR102" s="17">
        <f t="shared" si="4"/>
        <v>0</v>
      </c>
      <c r="BS102" s="28">
        <f t="shared" si="5"/>
        <v>0</v>
      </c>
      <c r="BT102" s="28">
        <v>1</v>
      </c>
    </row>
    <row r="103" spans="1:72" ht="15.75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772</v>
      </c>
      <c r="F103" s="33" t="s">
        <v>87</v>
      </c>
      <c r="G103" s="34" t="s">
        <v>283</v>
      </c>
      <c r="H103" s="24">
        <f t="shared" si="3"/>
        <v>0</v>
      </c>
      <c r="I103" s="35"/>
      <c r="J103" s="35"/>
      <c r="K103" s="36"/>
      <c r="L103" s="34" t="s">
        <v>100</v>
      </c>
      <c r="M103" s="40"/>
      <c r="N103" s="40"/>
      <c r="O103" s="35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17">
        <v>1</v>
      </c>
      <c r="BR103" s="17">
        <f t="shared" si="4"/>
        <v>0</v>
      </c>
      <c r="BS103" s="28">
        <f t="shared" si="5"/>
        <v>0</v>
      </c>
      <c r="BT103" s="28">
        <v>1</v>
      </c>
    </row>
    <row r="104" spans="1:72" ht="15.75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771</v>
      </c>
      <c r="F104" s="33" t="s">
        <v>92</v>
      </c>
      <c r="G104" s="34" t="s">
        <v>283</v>
      </c>
      <c r="H104" s="24">
        <f t="shared" si="3"/>
        <v>0</v>
      </c>
      <c r="I104" s="35"/>
      <c r="J104" s="35"/>
      <c r="K104" s="36"/>
      <c r="L104" s="34" t="s">
        <v>100</v>
      </c>
      <c r="M104" s="40"/>
      <c r="N104" s="40"/>
      <c r="O104" s="35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41"/>
      <c r="BQ104" s="17">
        <v>1</v>
      </c>
      <c r="BR104" s="17">
        <f t="shared" si="4"/>
        <v>0</v>
      </c>
      <c r="BS104" s="28">
        <f t="shared" si="5"/>
        <v>0</v>
      </c>
      <c r="BT104" s="28">
        <v>1</v>
      </c>
    </row>
    <row r="105" spans="1:72" ht="15.75" customHeight="1" x14ac:dyDescent="0.3">
      <c r="A105" s="32">
        <v>92</v>
      </c>
      <c r="B105" s="33" t="s">
        <v>276</v>
      </c>
      <c r="C105" s="33" t="s">
        <v>265</v>
      </c>
      <c r="D105" s="33" t="s">
        <v>277</v>
      </c>
      <c r="E105" s="33" t="s">
        <v>160</v>
      </c>
      <c r="F105" s="33" t="s">
        <v>132</v>
      </c>
      <c r="G105" s="34" t="s">
        <v>99</v>
      </c>
      <c r="H105" s="24">
        <f t="shared" si="3"/>
        <v>0</v>
      </c>
      <c r="I105" s="35"/>
      <c r="J105" s="35"/>
      <c r="K105" s="36"/>
      <c r="L105" s="34" t="s">
        <v>105</v>
      </c>
      <c r="M105" s="40"/>
      <c r="N105" s="40"/>
      <c r="O105" s="35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46"/>
      <c r="BP105" s="46"/>
      <c r="BQ105" s="17">
        <v>1</v>
      </c>
      <c r="BR105" s="17">
        <f t="shared" si="4"/>
        <v>0</v>
      </c>
      <c r="BS105" s="75">
        <f t="shared" si="5"/>
        <v>0</v>
      </c>
      <c r="BT105" s="75">
        <v>1</v>
      </c>
    </row>
    <row r="106" spans="1:72" ht="15.75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130</v>
      </c>
      <c r="F106" s="33" t="s">
        <v>88</v>
      </c>
      <c r="G106" s="34" t="s">
        <v>127</v>
      </c>
      <c r="H106" s="24">
        <f t="shared" si="3"/>
        <v>0</v>
      </c>
      <c r="I106" s="35"/>
      <c r="J106" s="35"/>
      <c r="K106" s="36"/>
      <c r="L106" s="34" t="s">
        <v>105</v>
      </c>
      <c r="M106" s="40"/>
      <c r="N106" s="51"/>
      <c r="O106" s="35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41"/>
      <c r="BQ106" s="17">
        <v>2</v>
      </c>
      <c r="BR106" s="17">
        <f t="shared" si="4"/>
        <v>0</v>
      </c>
      <c r="BS106" s="28">
        <f t="shared" si="5"/>
        <v>0</v>
      </c>
      <c r="BT106" s="28">
        <v>1</v>
      </c>
    </row>
    <row r="107" spans="1:72" ht="15.75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772</v>
      </c>
      <c r="F107" s="33" t="s">
        <v>87</v>
      </c>
      <c r="G107" s="34" t="s">
        <v>283</v>
      </c>
      <c r="H107" s="24">
        <f t="shared" si="3"/>
        <v>0</v>
      </c>
      <c r="I107" s="35"/>
      <c r="J107" s="35"/>
      <c r="K107" s="36"/>
      <c r="L107" s="34" t="s">
        <v>100</v>
      </c>
      <c r="M107" s="40"/>
      <c r="N107" s="40"/>
      <c r="O107" s="35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17">
        <v>1</v>
      </c>
      <c r="BR107" s="17">
        <f t="shared" si="4"/>
        <v>0</v>
      </c>
      <c r="BS107" s="28">
        <f t="shared" si="5"/>
        <v>0</v>
      </c>
      <c r="BT107" s="28">
        <v>1</v>
      </c>
    </row>
    <row r="108" spans="1:72" ht="15.75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771</v>
      </c>
      <c r="F108" s="33" t="s">
        <v>92</v>
      </c>
      <c r="G108" s="34" t="s">
        <v>283</v>
      </c>
      <c r="H108" s="24">
        <f t="shared" si="3"/>
        <v>0</v>
      </c>
      <c r="I108" s="35"/>
      <c r="J108" s="35"/>
      <c r="K108" s="36"/>
      <c r="L108" s="34" t="s">
        <v>100</v>
      </c>
      <c r="M108" s="40"/>
      <c r="N108" s="40"/>
      <c r="O108" s="35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41"/>
      <c r="BQ108" s="17">
        <v>1</v>
      </c>
      <c r="BR108" s="17">
        <f t="shared" si="4"/>
        <v>0</v>
      </c>
      <c r="BS108" s="28">
        <f t="shared" si="5"/>
        <v>0</v>
      </c>
      <c r="BT108" s="28">
        <v>1</v>
      </c>
    </row>
    <row r="109" spans="1:72" ht="15.75" customHeight="1" x14ac:dyDescent="0.3">
      <c r="A109" s="32">
        <v>92</v>
      </c>
      <c r="B109" s="33" t="s">
        <v>269</v>
      </c>
      <c r="C109" s="33" t="s">
        <v>265</v>
      </c>
      <c r="D109" s="33" t="s">
        <v>270</v>
      </c>
      <c r="E109" s="33" t="s">
        <v>271</v>
      </c>
      <c r="F109" s="33" t="s">
        <v>93</v>
      </c>
      <c r="G109" s="34" t="s">
        <v>119</v>
      </c>
      <c r="H109" s="24">
        <f t="shared" si="3"/>
        <v>0.25</v>
      </c>
      <c r="I109" s="35"/>
      <c r="J109" s="35"/>
      <c r="K109" s="36"/>
      <c r="L109" s="34" t="s">
        <v>105</v>
      </c>
      <c r="M109" s="40"/>
      <c r="N109" s="40"/>
      <c r="O109" s="35"/>
      <c r="P109" s="27" t="s">
        <v>810</v>
      </c>
      <c r="Q109" s="27"/>
      <c r="R109" s="27"/>
      <c r="S109" s="27"/>
      <c r="T109" s="27"/>
      <c r="U109" s="27" t="s">
        <v>810</v>
      </c>
      <c r="V109" s="27"/>
      <c r="W109" s="27"/>
      <c r="X109" s="27"/>
      <c r="Y109" s="27" t="s">
        <v>810</v>
      </c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17">
        <v>12</v>
      </c>
      <c r="BR109" s="17">
        <f t="shared" si="4"/>
        <v>3</v>
      </c>
      <c r="BS109" s="28">
        <f t="shared" si="5"/>
        <v>0</v>
      </c>
      <c r="BT109" s="28">
        <v>1</v>
      </c>
    </row>
    <row r="110" spans="1:72" ht="15.75" customHeight="1" x14ac:dyDescent="0.3">
      <c r="A110" s="32">
        <v>100</v>
      </c>
      <c r="B110" s="33" t="s">
        <v>290</v>
      </c>
      <c r="C110" s="33" t="s">
        <v>285</v>
      </c>
      <c r="D110" s="33" t="s">
        <v>291</v>
      </c>
      <c r="E110" s="33" t="s">
        <v>292</v>
      </c>
      <c r="F110" s="33" t="s">
        <v>95</v>
      </c>
      <c r="G110" s="34" t="s">
        <v>95</v>
      </c>
      <c r="H110" s="24">
        <f t="shared" si="3"/>
        <v>0.21153846153846154</v>
      </c>
      <c r="I110" s="35"/>
      <c r="J110" s="35"/>
      <c r="K110" s="36"/>
      <c r="L110" s="34" t="s">
        <v>105</v>
      </c>
      <c r="M110" s="40"/>
      <c r="N110" s="40"/>
      <c r="O110" s="35"/>
      <c r="P110" s="27" t="s">
        <v>809</v>
      </c>
      <c r="Q110" s="27" t="s">
        <v>809</v>
      </c>
      <c r="R110" s="27" t="s">
        <v>809</v>
      </c>
      <c r="S110" s="27" t="s">
        <v>809</v>
      </c>
      <c r="T110" s="27" t="s">
        <v>809</v>
      </c>
      <c r="U110" s="27" t="s">
        <v>809</v>
      </c>
      <c r="V110" s="27" t="s">
        <v>809</v>
      </c>
      <c r="W110" s="27" t="s">
        <v>809</v>
      </c>
      <c r="X110" s="27" t="s">
        <v>809</v>
      </c>
      <c r="Y110" s="27" t="s">
        <v>809</v>
      </c>
      <c r="Z110" s="27" t="s">
        <v>809</v>
      </c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17">
        <v>52</v>
      </c>
      <c r="BR110" s="17">
        <f t="shared" si="4"/>
        <v>11</v>
      </c>
      <c r="BS110" s="28">
        <f t="shared" si="5"/>
        <v>0</v>
      </c>
      <c r="BT110" s="28">
        <v>1</v>
      </c>
    </row>
    <row r="111" spans="1:72" ht="15.75" customHeight="1" x14ac:dyDescent="0.3">
      <c r="A111" s="32">
        <v>100</v>
      </c>
      <c r="B111" s="33" t="s">
        <v>293</v>
      </c>
      <c r="C111" s="33" t="s">
        <v>285</v>
      </c>
      <c r="D111" s="33" t="s">
        <v>288</v>
      </c>
      <c r="E111" s="33" t="s">
        <v>776</v>
      </c>
      <c r="F111" s="33" t="s">
        <v>95</v>
      </c>
      <c r="G111" s="34" t="s">
        <v>95</v>
      </c>
      <c r="H111" s="24">
        <f t="shared" si="3"/>
        <v>0.21153846153846154</v>
      </c>
      <c r="I111" s="35"/>
      <c r="J111" s="35"/>
      <c r="K111" s="36"/>
      <c r="L111" s="34" t="s">
        <v>105</v>
      </c>
      <c r="M111" s="40"/>
      <c r="N111" s="40"/>
      <c r="O111" s="35"/>
      <c r="P111" s="27" t="s">
        <v>810</v>
      </c>
      <c r="Q111" s="27" t="s">
        <v>810</v>
      </c>
      <c r="R111" s="27" t="s">
        <v>810</v>
      </c>
      <c r="S111" s="27" t="s">
        <v>810</v>
      </c>
      <c r="T111" s="27" t="s">
        <v>810</v>
      </c>
      <c r="U111" s="27" t="s">
        <v>810</v>
      </c>
      <c r="V111" s="27" t="s">
        <v>810</v>
      </c>
      <c r="W111" s="27" t="s">
        <v>810</v>
      </c>
      <c r="X111" s="27" t="s">
        <v>810</v>
      </c>
      <c r="Y111" s="27" t="s">
        <v>810</v>
      </c>
      <c r="Z111" s="27" t="s">
        <v>810</v>
      </c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41"/>
      <c r="BQ111" s="17">
        <v>52</v>
      </c>
      <c r="BR111" s="17">
        <f t="shared" si="4"/>
        <v>11</v>
      </c>
      <c r="BS111" s="28">
        <f t="shared" si="5"/>
        <v>0</v>
      </c>
      <c r="BT111" s="28">
        <v>1</v>
      </c>
    </row>
    <row r="112" spans="1:72" ht="15.75" customHeight="1" x14ac:dyDescent="0.3">
      <c r="A112" s="32">
        <v>100</v>
      </c>
      <c r="B112" s="33" t="s">
        <v>287</v>
      </c>
      <c r="C112" s="33" t="s">
        <v>285</v>
      </c>
      <c r="D112" s="33" t="s">
        <v>288</v>
      </c>
      <c r="E112" s="33" t="s">
        <v>289</v>
      </c>
      <c r="F112" s="88" t="s">
        <v>132</v>
      </c>
      <c r="G112" s="91" t="s">
        <v>99</v>
      </c>
      <c r="H112" s="24">
        <f t="shared" si="3"/>
        <v>0</v>
      </c>
      <c r="I112" s="35"/>
      <c r="J112" s="34" t="s">
        <v>105</v>
      </c>
      <c r="K112" s="97"/>
      <c r="L112" s="35"/>
      <c r="M112" s="50"/>
      <c r="N112" s="50"/>
      <c r="O112" s="34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17"/>
      <c r="BP112" s="17"/>
      <c r="BQ112" s="17">
        <v>1</v>
      </c>
      <c r="BR112" s="17">
        <f t="shared" si="4"/>
        <v>0</v>
      </c>
      <c r="BS112" s="28">
        <f t="shared" si="5"/>
        <v>0</v>
      </c>
      <c r="BT112" s="28">
        <v>1</v>
      </c>
    </row>
    <row r="113" spans="1:250" ht="15.75" customHeight="1" x14ac:dyDescent="0.3">
      <c r="A113" s="86">
        <v>100</v>
      </c>
      <c r="B113" s="88" t="s">
        <v>800</v>
      </c>
      <c r="C113" s="88" t="s">
        <v>285</v>
      </c>
      <c r="D113" s="33" t="s">
        <v>801</v>
      </c>
      <c r="E113" s="88" t="s">
        <v>806</v>
      </c>
      <c r="F113" s="88" t="s">
        <v>132</v>
      </c>
      <c r="G113" s="91" t="s">
        <v>99</v>
      </c>
      <c r="H113" s="24">
        <f t="shared" si="3"/>
        <v>0</v>
      </c>
      <c r="I113" s="93"/>
      <c r="J113" s="95"/>
      <c r="K113" s="91"/>
      <c r="L113" s="91"/>
      <c r="M113" s="101"/>
      <c r="N113" s="101"/>
      <c r="O113" s="91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27"/>
      <c r="AV113" s="72"/>
      <c r="AW113" s="27"/>
      <c r="AX113" s="27"/>
      <c r="AY113" s="72"/>
      <c r="AZ113" s="72"/>
      <c r="BA113" s="72"/>
      <c r="BB113" s="72"/>
      <c r="BC113" s="72"/>
      <c r="BD113" s="27"/>
      <c r="BE113" s="72"/>
      <c r="BF113" s="72"/>
      <c r="BG113" s="72"/>
      <c r="BH113" s="72"/>
      <c r="BI113" s="72"/>
      <c r="BJ113" s="72"/>
      <c r="BK113" s="73"/>
      <c r="BL113" s="73"/>
      <c r="BM113" s="73"/>
      <c r="BN113" s="73"/>
      <c r="BO113" s="73"/>
      <c r="BP113" s="73"/>
      <c r="BQ113" s="17">
        <v>1</v>
      </c>
      <c r="BR113" s="17">
        <f t="shared" si="4"/>
        <v>0</v>
      </c>
      <c r="BS113" s="28">
        <f t="shared" si="5"/>
        <v>0</v>
      </c>
      <c r="BT113" s="28">
        <v>1</v>
      </c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  <c r="EL113" s="56"/>
      <c r="EM113" s="56"/>
      <c r="EN113" s="56"/>
      <c r="EO113" s="56"/>
      <c r="EP113" s="56"/>
      <c r="EQ113" s="56"/>
      <c r="ER113" s="56"/>
      <c r="ES113" s="56"/>
      <c r="ET113" s="56"/>
      <c r="EU113" s="56"/>
      <c r="EV113" s="56"/>
      <c r="EW113" s="56"/>
      <c r="EX113" s="56"/>
      <c r="EY113" s="56"/>
      <c r="EZ113" s="56"/>
      <c r="FA113" s="56"/>
      <c r="FB113" s="56"/>
      <c r="FC113" s="56"/>
      <c r="FD113" s="56"/>
      <c r="FE113" s="56"/>
      <c r="FF113" s="56"/>
      <c r="FG113" s="56"/>
      <c r="FH113" s="56"/>
      <c r="FI113" s="56"/>
      <c r="FJ113" s="56"/>
      <c r="FK113" s="56"/>
      <c r="FL113" s="56"/>
      <c r="FM113" s="56"/>
      <c r="FN113" s="56"/>
      <c r="FO113" s="56"/>
      <c r="FP113" s="56"/>
      <c r="FQ113" s="56"/>
      <c r="FR113" s="56"/>
      <c r="FS113" s="56"/>
      <c r="FT113" s="56"/>
      <c r="FU113" s="56"/>
      <c r="FV113" s="56"/>
      <c r="FW113" s="56"/>
      <c r="FX113" s="56"/>
      <c r="FY113" s="56"/>
      <c r="FZ113" s="56"/>
      <c r="GA113" s="56"/>
      <c r="GB113" s="56"/>
      <c r="GC113" s="56"/>
      <c r="GD113" s="56"/>
      <c r="GE113" s="56"/>
      <c r="GF113" s="56"/>
      <c r="GG113" s="56"/>
      <c r="GH113" s="56"/>
      <c r="GI113" s="56"/>
      <c r="GJ113" s="56"/>
      <c r="GK113" s="56"/>
      <c r="GL113" s="56"/>
      <c r="GM113" s="56"/>
      <c r="GN113" s="56"/>
      <c r="GO113" s="56"/>
      <c r="GP113" s="56"/>
      <c r="GQ113" s="56"/>
      <c r="GR113" s="56"/>
      <c r="GS113" s="56"/>
      <c r="GT113" s="56"/>
      <c r="GU113" s="56"/>
      <c r="GV113" s="56"/>
      <c r="GW113" s="56"/>
      <c r="GX113" s="56"/>
      <c r="GY113" s="56"/>
      <c r="GZ113" s="56"/>
      <c r="HA113" s="56"/>
      <c r="HB113" s="56"/>
      <c r="HC113" s="56"/>
      <c r="HD113" s="56"/>
      <c r="HE113" s="56"/>
      <c r="HF113" s="56"/>
      <c r="HG113" s="56"/>
      <c r="HH113" s="56"/>
      <c r="HI113" s="56"/>
      <c r="HJ113" s="56"/>
      <c r="HK113" s="56"/>
      <c r="HL113" s="56"/>
      <c r="HM113" s="56"/>
      <c r="HN113" s="56"/>
      <c r="HO113" s="56"/>
      <c r="HP113" s="56"/>
      <c r="HQ113" s="56"/>
      <c r="HR113" s="56"/>
      <c r="HS113" s="56"/>
      <c r="HT113" s="56"/>
      <c r="HU113" s="56"/>
      <c r="HV113" s="56"/>
      <c r="HW113" s="56"/>
      <c r="HX113" s="56"/>
      <c r="HY113" s="56"/>
      <c r="HZ113" s="56"/>
      <c r="IA113" s="56"/>
      <c r="IB113" s="56"/>
      <c r="IC113" s="56"/>
      <c r="ID113" s="56"/>
      <c r="IE113" s="56"/>
      <c r="IF113" s="56"/>
      <c r="IG113" s="56"/>
      <c r="IH113" s="56"/>
      <c r="II113" s="56"/>
      <c r="IJ113" s="56"/>
      <c r="IK113" s="56"/>
      <c r="IL113" s="56"/>
      <c r="IM113" s="56"/>
      <c r="IN113" s="56"/>
      <c r="IO113" s="56"/>
      <c r="IP113" s="56"/>
    </row>
    <row r="114" spans="1:250" ht="15.75" customHeight="1" x14ac:dyDescent="0.3">
      <c r="A114" s="86">
        <v>100</v>
      </c>
      <c r="B114" s="88" t="s">
        <v>800</v>
      </c>
      <c r="C114" s="88" t="s">
        <v>285</v>
      </c>
      <c r="D114" s="33" t="s">
        <v>801</v>
      </c>
      <c r="E114" s="88" t="s">
        <v>807</v>
      </c>
      <c r="F114" s="89" t="s">
        <v>132</v>
      </c>
      <c r="G114" s="92" t="s">
        <v>99</v>
      </c>
      <c r="H114" s="24">
        <f t="shared" si="3"/>
        <v>0</v>
      </c>
      <c r="I114" s="93"/>
      <c r="J114" s="95"/>
      <c r="K114" s="98"/>
      <c r="L114" s="91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27"/>
      <c r="AV114" s="72"/>
      <c r="AW114" s="27"/>
      <c r="AX114" s="27"/>
      <c r="AY114" s="72"/>
      <c r="AZ114" s="72"/>
      <c r="BA114" s="72"/>
      <c r="BB114" s="72"/>
      <c r="BC114" s="72"/>
      <c r="BD114" s="27"/>
      <c r="BE114" s="72"/>
      <c r="BF114" s="72"/>
      <c r="BG114" s="72"/>
      <c r="BH114" s="72"/>
      <c r="BI114" s="72"/>
      <c r="BJ114" s="72"/>
      <c r="BK114" s="73"/>
      <c r="BL114" s="73"/>
      <c r="BM114" s="73"/>
      <c r="BN114" s="73"/>
      <c r="BO114" s="73"/>
      <c r="BP114" s="73"/>
      <c r="BQ114" s="17">
        <v>1</v>
      </c>
      <c r="BR114" s="17">
        <f t="shared" si="4"/>
        <v>0</v>
      </c>
      <c r="BS114" s="28">
        <f t="shared" si="5"/>
        <v>0</v>
      </c>
      <c r="BT114" s="28">
        <v>1</v>
      </c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  <c r="HC114" s="56"/>
      <c r="HD114" s="56"/>
      <c r="HE114" s="56"/>
      <c r="HF114" s="56"/>
      <c r="HG114" s="56"/>
      <c r="HH114" s="56"/>
      <c r="HI114" s="56"/>
      <c r="HJ114" s="56"/>
      <c r="HK114" s="56"/>
      <c r="HL114" s="56"/>
      <c r="HM114" s="56"/>
      <c r="HN114" s="56"/>
      <c r="HO114" s="56"/>
      <c r="HP114" s="56"/>
      <c r="HQ114" s="56"/>
      <c r="HR114" s="56"/>
      <c r="HS114" s="56"/>
      <c r="HT114" s="56"/>
      <c r="HU114" s="56"/>
      <c r="HV114" s="56"/>
      <c r="HW114" s="56"/>
      <c r="HX114" s="56"/>
      <c r="HY114" s="56"/>
      <c r="HZ114" s="56"/>
      <c r="IA114" s="56"/>
      <c r="IB114" s="56"/>
      <c r="IC114" s="56"/>
      <c r="ID114" s="56"/>
      <c r="IE114" s="56"/>
      <c r="IF114" s="56"/>
      <c r="IG114" s="56"/>
      <c r="IH114" s="56"/>
      <c r="II114" s="56"/>
      <c r="IJ114" s="56"/>
      <c r="IK114" s="56"/>
      <c r="IL114" s="56"/>
      <c r="IM114" s="56"/>
      <c r="IN114" s="56"/>
      <c r="IO114" s="56"/>
      <c r="IP114" s="56"/>
    </row>
    <row r="115" spans="1:250" ht="15.75" customHeight="1" x14ac:dyDescent="0.3">
      <c r="A115" s="87">
        <v>100</v>
      </c>
      <c r="B115" s="89" t="s">
        <v>802</v>
      </c>
      <c r="C115" s="89" t="s">
        <v>285</v>
      </c>
      <c r="D115" s="33" t="s">
        <v>803</v>
      </c>
      <c r="E115" s="89" t="s">
        <v>806</v>
      </c>
      <c r="F115" s="89" t="s">
        <v>132</v>
      </c>
      <c r="G115" s="92" t="s">
        <v>99</v>
      </c>
      <c r="H115" s="24">
        <f t="shared" si="3"/>
        <v>0</v>
      </c>
      <c r="I115" s="94"/>
      <c r="J115" s="96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68"/>
      <c r="AV115" s="72"/>
      <c r="AW115" s="68"/>
      <c r="AX115" s="27"/>
      <c r="AY115" s="99"/>
      <c r="AZ115" s="99"/>
      <c r="BA115" s="99"/>
      <c r="BB115" s="99"/>
      <c r="BC115" s="99"/>
      <c r="BD115" s="27"/>
      <c r="BE115" s="99"/>
      <c r="BF115" s="99"/>
      <c r="BG115" s="99"/>
      <c r="BH115" s="99"/>
      <c r="BI115" s="99"/>
      <c r="BJ115" s="99"/>
      <c r="BK115" s="105"/>
      <c r="BL115" s="106"/>
      <c r="BM115" s="106"/>
      <c r="BN115" s="106"/>
      <c r="BO115" s="73"/>
      <c r="BP115" s="106"/>
      <c r="BQ115" s="17">
        <v>1</v>
      </c>
      <c r="BR115" s="17">
        <f t="shared" si="4"/>
        <v>0</v>
      </c>
      <c r="BS115" s="28">
        <f t="shared" si="5"/>
        <v>0</v>
      </c>
      <c r="BT115" s="28">
        <v>1</v>
      </c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  <c r="GG115" s="56"/>
      <c r="GH115" s="56"/>
      <c r="GI115" s="56"/>
      <c r="GJ115" s="56"/>
      <c r="GK115" s="56"/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/>
      <c r="GX115" s="56"/>
      <c r="GY115" s="56"/>
      <c r="GZ115" s="56"/>
      <c r="HA115" s="56"/>
      <c r="HB115" s="56"/>
      <c r="HC115" s="56"/>
      <c r="HD115" s="56"/>
      <c r="HE115" s="56"/>
      <c r="HF115" s="56"/>
      <c r="HG115" s="56"/>
      <c r="HH115" s="56"/>
      <c r="HI115" s="56"/>
      <c r="HJ115" s="56"/>
      <c r="HK115" s="56"/>
      <c r="HL115" s="56"/>
      <c r="HM115" s="56"/>
      <c r="HN115" s="56"/>
      <c r="HO115" s="56"/>
      <c r="HP115" s="56"/>
      <c r="HQ115" s="56"/>
      <c r="HR115" s="56"/>
      <c r="HS115" s="56"/>
      <c r="HT115" s="56"/>
      <c r="HU115" s="56"/>
      <c r="HV115" s="56"/>
      <c r="HW115" s="56"/>
      <c r="HX115" s="56"/>
      <c r="HY115" s="56"/>
      <c r="HZ115" s="56"/>
      <c r="IA115" s="56"/>
      <c r="IB115" s="56"/>
      <c r="IC115" s="56"/>
      <c r="ID115" s="56"/>
      <c r="IE115" s="56"/>
      <c r="IF115" s="56"/>
      <c r="IG115" s="56"/>
      <c r="IH115" s="56"/>
      <c r="II115" s="56"/>
      <c r="IJ115" s="56"/>
      <c r="IK115" s="56"/>
      <c r="IL115" s="56"/>
      <c r="IM115" s="56"/>
      <c r="IN115" s="56"/>
      <c r="IO115" s="56"/>
      <c r="IP115" s="56"/>
    </row>
    <row r="116" spans="1:250" ht="15.75" customHeight="1" x14ac:dyDescent="0.3">
      <c r="A116" s="87">
        <v>100</v>
      </c>
      <c r="B116" s="89" t="s">
        <v>802</v>
      </c>
      <c r="C116" s="89" t="s">
        <v>285</v>
      </c>
      <c r="D116" s="33" t="s">
        <v>803</v>
      </c>
      <c r="E116" s="89" t="s">
        <v>807</v>
      </c>
      <c r="F116" s="89" t="s">
        <v>132</v>
      </c>
      <c r="G116" s="92" t="s">
        <v>99</v>
      </c>
      <c r="H116" s="24">
        <f t="shared" si="3"/>
        <v>0</v>
      </c>
      <c r="I116" s="94"/>
      <c r="J116" s="96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72"/>
      <c r="AB116" s="99"/>
      <c r="AC116" s="99"/>
      <c r="AD116" s="99"/>
      <c r="AE116" s="99"/>
      <c r="AF116" s="99"/>
      <c r="AG116" s="99"/>
      <c r="AH116" s="99"/>
      <c r="AI116" s="72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68"/>
      <c r="AV116" s="99"/>
      <c r="AW116" s="68"/>
      <c r="AX116" s="27"/>
      <c r="AY116" s="99"/>
      <c r="AZ116" s="99"/>
      <c r="BA116" s="99"/>
      <c r="BB116" s="99"/>
      <c r="BC116" s="72"/>
      <c r="BD116" s="27"/>
      <c r="BE116" s="99"/>
      <c r="BF116" s="99"/>
      <c r="BG116" s="99"/>
      <c r="BH116" s="99"/>
      <c r="BI116" s="99"/>
      <c r="BJ116" s="99"/>
      <c r="BK116" s="105"/>
      <c r="BL116" s="106"/>
      <c r="BM116" s="106"/>
      <c r="BN116" s="73"/>
      <c r="BO116" s="106"/>
      <c r="BP116" s="106"/>
      <c r="BQ116" s="17">
        <v>1</v>
      </c>
      <c r="BR116" s="17">
        <f t="shared" si="4"/>
        <v>0</v>
      </c>
      <c r="BS116" s="28">
        <f t="shared" si="5"/>
        <v>0</v>
      </c>
      <c r="BT116" s="28">
        <v>1</v>
      </c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  <c r="HC116" s="56"/>
      <c r="HD116" s="56"/>
      <c r="HE116" s="56"/>
      <c r="HF116" s="56"/>
      <c r="HG116" s="56"/>
      <c r="HH116" s="56"/>
      <c r="HI116" s="56"/>
      <c r="HJ116" s="56"/>
      <c r="HK116" s="56"/>
      <c r="HL116" s="56"/>
      <c r="HM116" s="56"/>
      <c r="HN116" s="56"/>
      <c r="HO116" s="56"/>
      <c r="HP116" s="56"/>
      <c r="HQ116" s="56"/>
      <c r="HR116" s="56"/>
      <c r="HS116" s="56"/>
      <c r="HT116" s="56"/>
      <c r="HU116" s="56"/>
      <c r="HV116" s="56"/>
      <c r="HW116" s="56"/>
      <c r="HX116" s="56"/>
      <c r="HY116" s="56"/>
      <c r="HZ116" s="56"/>
      <c r="IA116" s="56"/>
      <c r="IB116" s="56"/>
      <c r="IC116" s="56"/>
      <c r="ID116" s="56"/>
      <c r="IE116" s="56"/>
      <c r="IF116" s="56"/>
      <c r="IG116" s="56"/>
      <c r="IH116" s="56"/>
      <c r="II116" s="56"/>
      <c r="IJ116" s="56"/>
      <c r="IK116" s="56"/>
      <c r="IL116" s="56"/>
      <c r="IM116" s="56"/>
      <c r="IN116" s="56"/>
      <c r="IO116" s="56"/>
      <c r="IP116" s="56"/>
    </row>
    <row r="117" spans="1:250" ht="15.75" customHeight="1" x14ac:dyDescent="0.3">
      <c r="A117" s="58">
        <v>100</v>
      </c>
      <c r="B117" s="60" t="s">
        <v>844</v>
      </c>
      <c r="C117" s="60" t="s">
        <v>285</v>
      </c>
      <c r="D117" s="33" t="s">
        <v>843</v>
      </c>
      <c r="E117" s="60" t="s">
        <v>298</v>
      </c>
      <c r="F117" s="33" t="s">
        <v>672</v>
      </c>
      <c r="G117" s="62" t="s">
        <v>673</v>
      </c>
      <c r="H117" s="24">
        <f t="shared" si="3"/>
        <v>0.25</v>
      </c>
      <c r="I117" s="64"/>
      <c r="J117" s="65" t="s">
        <v>299</v>
      </c>
      <c r="K117" s="66"/>
      <c r="L117" s="68" t="s">
        <v>100</v>
      </c>
      <c r="M117" s="69"/>
      <c r="N117" s="51" t="s">
        <v>866</v>
      </c>
      <c r="O117" s="71" t="s">
        <v>301</v>
      </c>
      <c r="P117" s="68"/>
      <c r="Q117" s="68"/>
      <c r="R117" s="68"/>
      <c r="S117" s="68" t="s">
        <v>867</v>
      </c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27"/>
      <c r="AK117" s="68"/>
      <c r="AL117" s="68"/>
      <c r="AM117" s="68"/>
      <c r="AN117" s="68"/>
      <c r="AO117" s="68"/>
      <c r="AP117" s="104"/>
      <c r="AQ117" s="68"/>
      <c r="AR117" s="68"/>
      <c r="AS117" s="68"/>
      <c r="AT117" s="68"/>
      <c r="AU117" s="68"/>
      <c r="AV117" s="68"/>
      <c r="AW117" s="68"/>
      <c r="AX117" s="27"/>
      <c r="AY117" s="68"/>
      <c r="AZ117" s="68"/>
      <c r="BA117" s="68"/>
      <c r="BB117" s="68"/>
      <c r="BC117" s="68"/>
      <c r="BD117" s="54"/>
      <c r="BE117" s="68"/>
      <c r="BF117" s="68"/>
      <c r="BG117" s="68"/>
      <c r="BH117" s="68"/>
      <c r="BI117" s="68"/>
      <c r="BJ117" s="68"/>
      <c r="BK117" s="68"/>
      <c r="BL117" s="107"/>
      <c r="BM117" s="74"/>
      <c r="BN117" s="27"/>
      <c r="BO117" s="74"/>
      <c r="BP117" s="74"/>
      <c r="BQ117" s="17">
        <v>4</v>
      </c>
      <c r="BR117" s="17">
        <f t="shared" si="4"/>
        <v>1</v>
      </c>
      <c r="BS117" s="28">
        <f t="shared" si="5"/>
        <v>0</v>
      </c>
      <c r="BT117" s="28">
        <v>1</v>
      </c>
    </row>
    <row r="118" spans="1:250" ht="15.75" customHeight="1" x14ac:dyDescent="0.3">
      <c r="A118" s="58">
        <v>100</v>
      </c>
      <c r="B118" s="60" t="s">
        <v>284</v>
      </c>
      <c r="C118" s="60" t="s">
        <v>285</v>
      </c>
      <c r="D118" s="33" t="s">
        <v>286</v>
      </c>
      <c r="E118" s="60" t="s">
        <v>775</v>
      </c>
      <c r="F118" s="60" t="s">
        <v>96</v>
      </c>
      <c r="G118" s="62" t="s">
        <v>167</v>
      </c>
      <c r="H118" s="24">
        <f t="shared" si="3"/>
        <v>0</v>
      </c>
      <c r="I118" s="64"/>
      <c r="J118" s="65"/>
      <c r="K118" s="66"/>
      <c r="L118" s="68" t="s">
        <v>100</v>
      </c>
      <c r="M118" s="69"/>
      <c r="N118" s="69"/>
      <c r="O118" s="71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27"/>
      <c r="AB118" s="68"/>
      <c r="AC118" s="68"/>
      <c r="AD118" s="68"/>
      <c r="AE118" s="68"/>
      <c r="AF118" s="68"/>
      <c r="AG118" s="68"/>
      <c r="AH118" s="68"/>
      <c r="AI118" s="27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27"/>
      <c r="AY118" s="68"/>
      <c r="AZ118" s="68"/>
      <c r="BA118" s="68"/>
      <c r="BB118" s="68"/>
      <c r="BC118" s="68"/>
      <c r="BD118" s="27"/>
      <c r="BE118" s="68"/>
      <c r="BF118" s="68"/>
      <c r="BG118" s="68"/>
      <c r="BH118" s="68"/>
      <c r="BI118" s="68"/>
      <c r="BJ118" s="68"/>
      <c r="BK118" s="68"/>
      <c r="BL118" s="74"/>
      <c r="BM118" s="74"/>
      <c r="BN118" s="74"/>
      <c r="BO118" s="74"/>
      <c r="BP118" s="74"/>
      <c r="BQ118" s="17">
        <v>3</v>
      </c>
      <c r="BR118" s="17">
        <f t="shared" si="4"/>
        <v>0</v>
      </c>
      <c r="BS118" s="28">
        <f t="shared" si="5"/>
        <v>0</v>
      </c>
      <c r="BT118" s="28">
        <v>1</v>
      </c>
    </row>
    <row r="119" spans="1:250" ht="15.75" customHeight="1" x14ac:dyDescent="0.3">
      <c r="A119" s="32">
        <v>101</v>
      </c>
      <c r="B119" s="33" t="s">
        <v>306</v>
      </c>
      <c r="C119" s="33" t="s">
        <v>285</v>
      </c>
      <c r="D119" s="33" t="s">
        <v>295</v>
      </c>
      <c r="E119" s="33" t="s">
        <v>307</v>
      </c>
      <c r="F119" s="33" t="s">
        <v>95</v>
      </c>
      <c r="G119" s="34" t="s">
        <v>95</v>
      </c>
      <c r="H119" s="24">
        <f t="shared" si="3"/>
        <v>0.21153846153846154</v>
      </c>
      <c r="I119" s="35"/>
      <c r="J119" s="35"/>
      <c r="K119" s="36"/>
      <c r="L119" s="34" t="s">
        <v>100</v>
      </c>
      <c r="M119" s="40"/>
      <c r="N119" s="40"/>
      <c r="O119" s="35"/>
      <c r="P119" s="27" t="s">
        <v>810</v>
      </c>
      <c r="Q119" s="27" t="s">
        <v>810</v>
      </c>
      <c r="R119" s="27" t="s">
        <v>810</v>
      </c>
      <c r="S119" s="27" t="s">
        <v>810</v>
      </c>
      <c r="T119" s="27" t="s">
        <v>810</v>
      </c>
      <c r="U119" s="27" t="s">
        <v>810</v>
      </c>
      <c r="V119" s="27" t="s">
        <v>810</v>
      </c>
      <c r="W119" s="27" t="s">
        <v>810</v>
      </c>
      <c r="X119" s="27" t="s">
        <v>810</v>
      </c>
      <c r="Y119" s="27" t="s">
        <v>810</v>
      </c>
      <c r="Z119" s="27" t="s">
        <v>810</v>
      </c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17">
        <v>52</v>
      </c>
      <c r="BR119" s="17">
        <f t="shared" si="4"/>
        <v>11</v>
      </c>
      <c r="BS119" s="28">
        <f t="shared" si="5"/>
        <v>0</v>
      </c>
      <c r="BT119" s="28">
        <v>1</v>
      </c>
    </row>
    <row r="120" spans="1:250" ht="15.75" customHeight="1" x14ac:dyDescent="0.3">
      <c r="A120" s="32">
        <v>101</v>
      </c>
      <c r="B120" s="33" t="s">
        <v>294</v>
      </c>
      <c r="C120" s="33" t="s">
        <v>285</v>
      </c>
      <c r="D120" s="33" t="s">
        <v>295</v>
      </c>
      <c r="E120" s="33" t="s">
        <v>296</v>
      </c>
      <c r="F120" s="33" t="s">
        <v>204</v>
      </c>
      <c r="G120" s="34" t="s">
        <v>127</v>
      </c>
      <c r="H120" s="24">
        <f t="shared" si="3"/>
        <v>0</v>
      </c>
      <c r="I120" s="35"/>
      <c r="J120" s="35"/>
      <c r="K120" s="36"/>
      <c r="L120" s="34" t="s">
        <v>100</v>
      </c>
      <c r="M120" s="40"/>
      <c r="N120" s="40"/>
      <c r="O120" s="35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17">
        <v>2</v>
      </c>
      <c r="BR120" s="17">
        <f t="shared" si="4"/>
        <v>0</v>
      </c>
      <c r="BS120" s="28">
        <f t="shared" si="5"/>
        <v>0</v>
      </c>
      <c r="BT120" s="28">
        <v>1</v>
      </c>
    </row>
    <row r="121" spans="1:250" ht="15.75" customHeight="1" x14ac:dyDescent="0.3">
      <c r="A121" s="32">
        <v>101</v>
      </c>
      <c r="B121" s="33" t="s">
        <v>297</v>
      </c>
      <c r="C121" s="33" t="s">
        <v>285</v>
      </c>
      <c r="D121" s="33" t="s">
        <v>295</v>
      </c>
      <c r="E121" s="33" t="s">
        <v>298</v>
      </c>
      <c r="F121" s="33" t="s">
        <v>672</v>
      </c>
      <c r="G121" s="34" t="s">
        <v>673</v>
      </c>
      <c r="H121" s="24">
        <f t="shared" si="3"/>
        <v>0.25</v>
      </c>
      <c r="I121" s="35"/>
      <c r="J121" s="35" t="s">
        <v>299</v>
      </c>
      <c r="K121" s="36"/>
      <c r="L121" s="34" t="s">
        <v>100</v>
      </c>
      <c r="M121" s="40"/>
      <c r="N121" s="51" t="s">
        <v>866</v>
      </c>
      <c r="O121" s="35" t="s">
        <v>301</v>
      </c>
      <c r="P121" s="27"/>
      <c r="Q121" s="27"/>
      <c r="R121" s="27"/>
      <c r="S121" s="68" t="s">
        <v>867</v>
      </c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54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54"/>
      <c r="BE121" s="27"/>
      <c r="BF121" s="27"/>
      <c r="BG121" s="27"/>
      <c r="BH121" s="27"/>
      <c r="BI121" s="27"/>
      <c r="BJ121" s="27"/>
      <c r="BK121" s="27"/>
      <c r="BL121" s="54"/>
      <c r="BM121" s="27"/>
      <c r="BN121" s="27"/>
      <c r="BO121" s="27"/>
      <c r="BP121" s="27"/>
      <c r="BQ121" s="17">
        <v>4</v>
      </c>
      <c r="BR121" s="17">
        <f t="shared" si="4"/>
        <v>1</v>
      </c>
      <c r="BS121" s="28">
        <f t="shared" si="5"/>
        <v>0</v>
      </c>
      <c r="BT121" s="28">
        <v>1</v>
      </c>
    </row>
    <row r="122" spans="1:250" ht="15.75" customHeight="1" x14ac:dyDescent="0.3">
      <c r="A122" s="32">
        <v>101</v>
      </c>
      <c r="B122" s="33" t="s">
        <v>309</v>
      </c>
      <c r="C122" s="33" t="s">
        <v>285</v>
      </c>
      <c r="D122" s="33" t="s">
        <v>295</v>
      </c>
      <c r="E122" s="33" t="s">
        <v>298</v>
      </c>
      <c r="F122" s="33" t="s">
        <v>672</v>
      </c>
      <c r="G122" s="34" t="s">
        <v>673</v>
      </c>
      <c r="H122" s="24">
        <f t="shared" si="3"/>
        <v>0.25</v>
      </c>
      <c r="I122" s="35"/>
      <c r="J122" s="35"/>
      <c r="K122" s="36"/>
      <c r="L122" s="34" t="s">
        <v>100</v>
      </c>
      <c r="M122" s="40"/>
      <c r="N122" s="51" t="s">
        <v>866</v>
      </c>
      <c r="O122" s="35" t="s">
        <v>301</v>
      </c>
      <c r="P122" s="27"/>
      <c r="Q122" s="27"/>
      <c r="R122" s="27"/>
      <c r="S122" s="68" t="s">
        <v>867</v>
      </c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54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54"/>
      <c r="BE122" s="27"/>
      <c r="BF122" s="27"/>
      <c r="BG122" s="27"/>
      <c r="BH122" s="27"/>
      <c r="BI122" s="27"/>
      <c r="BJ122" s="27"/>
      <c r="BK122" s="27"/>
      <c r="BL122" s="54"/>
      <c r="BM122" s="27"/>
      <c r="BN122" s="27"/>
      <c r="BO122" s="27"/>
      <c r="BP122" s="27"/>
      <c r="BQ122" s="17">
        <v>4</v>
      </c>
      <c r="BR122" s="17">
        <f t="shared" si="4"/>
        <v>1</v>
      </c>
      <c r="BS122" s="28">
        <f t="shared" si="5"/>
        <v>0</v>
      </c>
      <c r="BT122" s="28">
        <v>1</v>
      </c>
    </row>
    <row r="123" spans="1:250" ht="15.75" customHeight="1" x14ac:dyDescent="0.3">
      <c r="A123" s="32">
        <v>101</v>
      </c>
      <c r="B123" s="33" t="s">
        <v>302</v>
      </c>
      <c r="C123" s="33" t="s">
        <v>285</v>
      </c>
      <c r="D123" s="33" t="s">
        <v>295</v>
      </c>
      <c r="E123" s="33" t="s">
        <v>777</v>
      </c>
      <c r="F123" s="33" t="s">
        <v>204</v>
      </c>
      <c r="G123" s="34" t="s">
        <v>127</v>
      </c>
      <c r="H123" s="24">
        <f t="shared" si="3"/>
        <v>0</v>
      </c>
      <c r="I123" s="35"/>
      <c r="J123" s="35"/>
      <c r="K123" s="36"/>
      <c r="L123" s="34" t="s">
        <v>100</v>
      </c>
      <c r="M123" s="40"/>
      <c r="N123" s="40"/>
      <c r="O123" s="35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17">
        <v>2</v>
      </c>
      <c r="BR123" s="17">
        <f t="shared" si="4"/>
        <v>0</v>
      </c>
      <c r="BS123" s="28">
        <f t="shared" si="5"/>
        <v>0</v>
      </c>
      <c r="BT123" s="28">
        <v>1</v>
      </c>
    </row>
    <row r="124" spans="1:250" ht="15.75" customHeight="1" x14ac:dyDescent="0.3">
      <c r="A124" s="32">
        <v>101</v>
      </c>
      <c r="B124" s="33" t="s">
        <v>308</v>
      </c>
      <c r="C124" s="33" t="s">
        <v>285</v>
      </c>
      <c r="D124" s="33" t="s">
        <v>304</v>
      </c>
      <c r="E124" s="33" t="s">
        <v>778</v>
      </c>
      <c r="F124" s="33" t="s">
        <v>95</v>
      </c>
      <c r="G124" s="34" t="s">
        <v>95</v>
      </c>
      <c r="H124" s="24">
        <f t="shared" si="3"/>
        <v>0.21153846153846154</v>
      </c>
      <c r="I124" s="35"/>
      <c r="J124" s="35"/>
      <c r="K124" s="36"/>
      <c r="L124" s="34" t="s">
        <v>100</v>
      </c>
      <c r="M124" s="40"/>
      <c r="N124" s="40"/>
      <c r="O124" s="35"/>
      <c r="P124" s="27" t="s">
        <v>809</v>
      </c>
      <c r="Q124" s="27" t="s">
        <v>809</v>
      </c>
      <c r="R124" s="27" t="s">
        <v>809</v>
      </c>
      <c r="S124" s="27" t="s">
        <v>809</v>
      </c>
      <c r="T124" s="27" t="s">
        <v>809</v>
      </c>
      <c r="U124" s="27" t="s">
        <v>809</v>
      </c>
      <c r="V124" s="27" t="s">
        <v>809</v>
      </c>
      <c r="W124" s="27" t="s">
        <v>809</v>
      </c>
      <c r="X124" s="27" t="s">
        <v>809</v>
      </c>
      <c r="Y124" s="27" t="s">
        <v>809</v>
      </c>
      <c r="Z124" s="27" t="s">
        <v>809</v>
      </c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17">
        <v>52</v>
      </c>
      <c r="BR124" s="17">
        <f t="shared" si="4"/>
        <v>11</v>
      </c>
      <c r="BS124" s="28">
        <f t="shared" si="5"/>
        <v>0</v>
      </c>
      <c r="BT124" s="28">
        <v>1</v>
      </c>
    </row>
    <row r="125" spans="1:250" ht="15.75" customHeight="1" x14ac:dyDescent="0.3">
      <c r="A125" s="32">
        <v>101</v>
      </c>
      <c r="B125" s="33" t="s">
        <v>303</v>
      </c>
      <c r="C125" s="33" t="s">
        <v>285</v>
      </c>
      <c r="D125" s="33" t="s">
        <v>304</v>
      </c>
      <c r="E125" s="33" t="s">
        <v>305</v>
      </c>
      <c r="F125" s="33" t="s">
        <v>88</v>
      </c>
      <c r="G125" s="34" t="s">
        <v>127</v>
      </c>
      <c r="H125" s="24">
        <f t="shared" si="3"/>
        <v>0</v>
      </c>
      <c r="I125" s="35"/>
      <c r="J125" s="35"/>
      <c r="K125" s="36"/>
      <c r="L125" s="34" t="s">
        <v>100</v>
      </c>
      <c r="M125" s="40"/>
      <c r="N125" s="40"/>
      <c r="O125" s="35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80"/>
      <c r="BP125" s="27"/>
      <c r="BQ125" s="17">
        <v>2</v>
      </c>
      <c r="BR125" s="17">
        <f t="shared" si="4"/>
        <v>0</v>
      </c>
      <c r="BS125" s="28">
        <f t="shared" si="5"/>
        <v>0</v>
      </c>
      <c r="BT125" s="28">
        <v>1</v>
      </c>
    </row>
    <row r="126" spans="1:250" ht="15.75" customHeight="1" x14ac:dyDescent="0.3">
      <c r="A126" s="32">
        <v>102</v>
      </c>
      <c r="B126" s="33" t="s">
        <v>310</v>
      </c>
      <c r="C126" s="33" t="s">
        <v>285</v>
      </c>
      <c r="D126" s="33" t="s">
        <v>311</v>
      </c>
      <c r="E126" s="33" t="s">
        <v>779</v>
      </c>
      <c r="F126" s="33" t="s">
        <v>672</v>
      </c>
      <c r="G126" s="34" t="s">
        <v>673</v>
      </c>
      <c r="H126" s="24">
        <f t="shared" si="3"/>
        <v>0.25</v>
      </c>
      <c r="I126" s="35"/>
      <c r="J126" s="35" t="s">
        <v>313</v>
      </c>
      <c r="K126" s="36"/>
      <c r="L126" s="34" t="s">
        <v>100</v>
      </c>
      <c r="M126" s="40"/>
      <c r="N126" s="51" t="s">
        <v>866</v>
      </c>
      <c r="O126" s="35" t="s">
        <v>314</v>
      </c>
      <c r="P126" s="27"/>
      <c r="Q126" s="27"/>
      <c r="R126" s="27"/>
      <c r="S126" s="68" t="s">
        <v>867</v>
      </c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54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54"/>
      <c r="BE126" s="27"/>
      <c r="BF126" s="27"/>
      <c r="BG126" s="27"/>
      <c r="BH126" s="27"/>
      <c r="BI126" s="27"/>
      <c r="BJ126" s="27"/>
      <c r="BK126" s="27"/>
      <c r="BL126" s="54"/>
      <c r="BM126" s="27"/>
      <c r="BN126" s="27"/>
      <c r="BO126" s="27"/>
      <c r="BP126" s="27"/>
      <c r="BQ126" s="17">
        <v>4</v>
      </c>
      <c r="BR126" s="17">
        <f t="shared" si="4"/>
        <v>1</v>
      </c>
      <c r="BS126" s="28">
        <f t="shared" si="5"/>
        <v>0</v>
      </c>
      <c r="BT126" s="28">
        <v>1</v>
      </c>
    </row>
    <row r="127" spans="1:250" ht="15.75" customHeight="1" x14ac:dyDescent="0.3">
      <c r="A127" s="32">
        <v>102</v>
      </c>
      <c r="B127" s="33" t="s">
        <v>310</v>
      </c>
      <c r="C127" s="33" t="s">
        <v>285</v>
      </c>
      <c r="D127" s="33" t="s">
        <v>311</v>
      </c>
      <c r="E127" s="33" t="s">
        <v>312</v>
      </c>
      <c r="F127" s="33" t="s">
        <v>95</v>
      </c>
      <c r="G127" s="34" t="s">
        <v>95</v>
      </c>
      <c r="H127" s="24">
        <f t="shared" si="3"/>
        <v>0.21153846153846154</v>
      </c>
      <c r="I127" s="35"/>
      <c r="J127" s="35"/>
      <c r="K127" s="36"/>
      <c r="L127" s="34" t="s">
        <v>100</v>
      </c>
      <c r="M127" s="40"/>
      <c r="N127" s="40"/>
      <c r="O127" s="35"/>
      <c r="P127" s="27" t="s">
        <v>810</v>
      </c>
      <c r="Q127" s="27" t="s">
        <v>810</v>
      </c>
      <c r="R127" s="27" t="s">
        <v>810</v>
      </c>
      <c r="S127" s="27" t="s">
        <v>810</v>
      </c>
      <c r="T127" s="27" t="s">
        <v>810</v>
      </c>
      <c r="U127" s="27" t="s">
        <v>810</v>
      </c>
      <c r="V127" s="27" t="s">
        <v>810</v>
      </c>
      <c r="W127" s="27" t="s">
        <v>810</v>
      </c>
      <c r="X127" s="27" t="s">
        <v>810</v>
      </c>
      <c r="Y127" s="27" t="s">
        <v>810</v>
      </c>
      <c r="Z127" s="27" t="s">
        <v>810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17">
        <v>52</v>
      </c>
      <c r="BR127" s="17">
        <f t="shared" si="4"/>
        <v>11</v>
      </c>
      <c r="BS127" s="28">
        <f t="shared" si="5"/>
        <v>0</v>
      </c>
      <c r="BT127" s="28">
        <v>1</v>
      </c>
    </row>
    <row r="128" spans="1:250" ht="15.75" customHeight="1" x14ac:dyDescent="0.3">
      <c r="A128" s="32">
        <v>110</v>
      </c>
      <c r="B128" s="33" t="s">
        <v>328</v>
      </c>
      <c r="C128" s="33" t="s">
        <v>317</v>
      </c>
      <c r="D128" s="33" t="s">
        <v>329</v>
      </c>
      <c r="E128" s="33" t="s">
        <v>319</v>
      </c>
      <c r="F128" s="33" t="s">
        <v>132</v>
      </c>
      <c r="G128" s="34" t="s">
        <v>99</v>
      </c>
      <c r="H128" s="24">
        <f t="shared" si="3"/>
        <v>0</v>
      </c>
      <c r="I128" s="35"/>
      <c r="J128" s="35"/>
      <c r="K128" s="36"/>
      <c r="L128" s="34" t="s">
        <v>100</v>
      </c>
      <c r="M128" s="40"/>
      <c r="N128" s="40"/>
      <c r="O128" s="35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41"/>
      <c r="BQ128" s="17">
        <v>1</v>
      </c>
      <c r="BR128" s="17">
        <f t="shared" si="4"/>
        <v>0</v>
      </c>
      <c r="BS128" s="28">
        <f t="shared" si="5"/>
        <v>0</v>
      </c>
      <c r="BT128" s="28">
        <v>1</v>
      </c>
    </row>
    <row r="129" spans="1:72" ht="15.75" customHeight="1" x14ac:dyDescent="0.3">
      <c r="A129" s="32">
        <v>110</v>
      </c>
      <c r="B129" s="33" t="s">
        <v>326</v>
      </c>
      <c r="C129" s="33" t="s">
        <v>317</v>
      </c>
      <c r="D129" s="33" t="s">
        <v>327</v>
      </c>
      <c r="E129" s="33" t="s">
        <v>319</v>
      </c>
      <c r="F129" s="33" t="s">
        <v>132</v>
      </c>
      <c r="G129" s="34" t="s">
        <v>99</v>
      </c>
      <c r="H129" s="24">
        <f t="shared" si="3"/>
        <v>0</v>
      </c>
      <c r="I129" s="35"/>
      <c r="J129" s="35"/>
      <c r="K129" s="36"/>
      <c r="L129" s="34" t="s">
        <v>100</v>
      </c>
      <c r="M129" s="40"/>
      <c r="N129" s="40"/>
      <c r="O129" s="35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41"/>
      <c r="BQ129" s="17">
        <v>1</v>
      </c>
      <c r="BR129" s="17">
        <f t="shared" si="4"/>
        <v>0</v>
      </c>
      <c r="BS129" s="28">
        <f t="shared" si="5"/>
        <v>0</v>
      </c>
      <c r="BT129" s="28">
        <v>1</v>
      </c>
    </row>
    <row r="130" spans="1:72" ht="15.75" customHeight="1" x14ac:dyDescent="0.3">
      <c r="A130" s="32">
        <v>110</v>
      </c>
      <c r="B130" s="33" t="s">
        <v>349</v>
      </c>
      <c r="C130" s="33" t="s">
        <v>317</v>
      </c>
      <c r="D130" s="33" t="s">
        <v>116</v>
      </c>
      <c r="E130" s="33" t="s">
        <v>117</v>
      </c>
      <c r="F130" s="33" t="s">
        <v>93</v>
      </c>
      <c r="G130" s="34" t="s">
        <v>119</v>
      </c>
      <c r="H130" s="24">
        <f t="shared" si="3"/>
        <v>0.16666666666666666</v>
      </c>
      <c r="I130" s="35"/>
      <c r="J130" s="35" t="s">
        <v>120</v>
      </c>
      <c r="K130" s="36"/>
      <c r="L130" s="34" t="s">
        <v>105</v>
      </c>
      <c r="M130" s="40"/>
      <c r="N130" s="40"/>
      <c r="O130" s="35" t="s">
        <v>120</v>
      </c>
      <c r="P130" s="27"/>
      <c r="Q130" s="27"/>
      <c r="R130" s="27"/>
      <c r="S130" s="27"/>
      <c r="T130" s="27" t="s">
        <v>851</v>
      </c>
      <c r="U130" s="27"/>
      <c r="V130" s="27"/>
      <c r="W130" s="27"/>
      <c r="X130" s="27" t="s">
        <v>852</v>
      </c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17">
        <v>12</v>
      </c>
      <c r="BR130" s="17">
        <f t="shared" si="4"/>
        <v>2</v>
      </c>
      <c r="BS130" s="28">
        <f t="shared" si="5"/>
        <v>0</v>
      </c>
      <c r="BT130" s="28">
        <v>1</v>
      </c>
    </row>
    <row r="131" spans="1:72" ht="15.75" customHeight="1" x14ac:dyDescent="0.3">
      <c r="A131" s="32">
        <v>110</v>
      </c>
      <c r="B131" s="33" t="s">
        <v>350</v>
      </c>
      <c r="C131" s="33" t="s">
        <v>317</v>
      </c>
      <c r="D131" s="33" t="s">
        <v>351</v>
      </c>
      <c r="E131" s="33" t="s">
        <v>117</v>
      </c>
      <c r="F131" s="33" t="s">
        <v>93</v>
      </c>
      <c r="G131" s="34" t="s">
        <v>119</v>
      </c>
      <c r="H131" s="24">
        <f t="shared" ref="H131:H196" si="6">IF(BQ131=0," ",(BR131/BQ131))</f>
        <v>0.16666666666666666</v>
      </c>
      <c r="I131" s="35"/>
      <c r="J131" s="35" t="s">
        <v>120</v>
      </c>
      <c r="K131" s="36"/>
      <c r="L131" s="34" t="s">
        <v>105</v>
      </c>
      <c r="M131" s="40"/>
      <c r="N131" s="40"/>
      <c r="O131" s="35" t="s">
        <v>120</v>
      </c>
      <c r="P131" s="27"/>
      <c r="Q131" s="27"/>
      <c r="R131" s="27"/>
      <c r="S131" s="27"/>
      <c r="T131" s="27" t="s">
        <v>851</v>
      </c>
      <c r="U131" s="47"/>
      <c r="V131" s="27"/>
      <c r="W131" s="27"/>
      <c r="X131" s="27" t="s">
        <v>852</v>
      </c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4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47"/>
      <c r="BK131" s="27"/>
      <c r="BL131" s="27"/>
      <c r="BM131" s="27"/>
      <c r="BN131" s="27"/>
      <c r="BO131" s="27"/>
      <c r="BP131" s="27"/>
      <c r="BQ131" s="17">
        <v>12</v>
      </c>
      <c r="BR131" s="17">
        <f t="shared" ref="BR131:BR196" si="7">IF(COUNTA(P131:BP131)&gt;BQ131,BQ131,COUNTA(P131:BP131))</f>
        <v>2</v>
      </c>
      <c r="BS131" s="28">
        <f t="shared" ref="BS131:BS196" si="8">IF(H131=1,1,0)</f>
        <v>0</v>
      </c>
      <c r="BT131" s="28">
        <v>1</v>
      </c>
    </row>
    <row r="132" spans="1:72" ht="15.75" customHeight="1" x14ac:dyDescent="0.3">
      <c r="A132" s="32">
        <v>110</v>
      </c>
      <c r="B132" s="33" t="s">
        <v>316</v>
      </c>
      <c r="C132" s="33" t="s">
        <v>317</v>
      </c>
      <c r="D132" s="33" t="s">
        <v>318</v>
      </c>
      <c r="E132" s="33" t="s">
        <v>319</v>
      </c>
      <c r="F132" s="33" t="s">
        <v>132</v>
      </c>
      <c r="G132" s="34" t="s">
        <v>99</v>
      </c>
      <c r="H132" s="24">
        <f t="shared" si="6"/>
        <v>0</v>
      </c>
      <c r="I132" s="35"/>
      <c r="J132" s="35"/>
      <c r="K132" s="36"/>
      <c r="L132" s="34" t="s">
        <v>100</v>
      </c>
      <c r="M132" s="40"/>
      <c r="N132" s="40"/>
      <c r="O132" s="35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41"/>
      <c r="BQ132" s="17">
        <v>1</v>
      </c>
      <c r="BR132" s="17">
        <f t="shared" si="7"/>
        <v>0</v>
      </c>
      <c r="BS132" s="28">
        <f t="shared" si="8"/>
        <v>0</v>
      </c>
      <c r="BT132" s="28">
        <v>1</v>
      </c>
    </row>
    <row r="133" spans="1:72" ht="15.75" customHeight="1" x14ac:dyDescent="0.3">
      <c r="A133" s="32">
        <v>110</v>
      </c>
      <c r="B133" s="33" t="s">
        <v>320</v>
      </c>
      <c r="C133" s="33" t="s">
        <v>317</v>
      </c>
      <c r="D133" s="33" t="s">
        <v>321</v>
      </c>
      <c r="E133" s="33" t="s">
        <v>319</v>
      </c>
      <c r="F133" s="33" t="s">
        <v>132</v>
      </c>
      <c r="G133" s="34" t="s">
        <v>99</v>
      </c>
      <c r="H133" s="24">
        <f t="shared" si="6"/>
        <v>0</v>
      </c>
      <c r="I133" s="35"/>
      <c r="J133" s="35"/>
      <c r="K133" s="36"/>
      <c r="L133" s="34" t="s">
        <v>100</v>
      </c>
      <c r="M133" s="40"/>
      <c r="N133" s="51"/>
      <c r="O133" s="35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41"/>
      <c r="BQ133" s="17">
        <v>1</v>
      </c>
      <c r="BR133" s="17">
        <f t="shared" si="7"/>
        <v>0</v>
      </c>
      <c r="BS133" s="28">
        <f t="shared" si="8"/>
        <v>0</v>
      </c>
      <c r="BT133" s="28">
        <v>1</v>
      </c>
    </row>
    <row r="134" spans="1:72" ht="15.75" customHeight="1" x14ac:dyDescent="0.3">
      <c r="A134" s="32">
        <v>110</v>
      </c>
      <c r="B134" s="33" t="s">
        <v>322</v>
      </c>
      <c r="C134" s="33" t="s">
        <v>317</v>
      </c>
      <c r="D134" s="33" t="s">
        <v>323</v>
      </c>
      <c r="E134" s="33" t="s">
        <v>319</v>
      </c>
      <c r="F134" s="33" t="s">
        <v>132</v>
      </c>
      <c r="G134" s="34" t="s">
        <v>99</v>
      </c>
      <c r="H134" s="24">
        <f t="shared" si="6"/>
        <v>0</v>
      </c>
      <c r="I134" s="35"/>
      <c r="J134" s="35"/>
      <c r="K134" s="36"/>
      <c r="L134" s="34" t="s">
        <v>100</v>
      </c>
      <c r="M134" s="40"/>
      <c r="N134" s="40"/>
      <c r="O134" s="35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41"/>
      <c r="BQ134" s="17">
        <v>1</v>
      </c>
      <c r="BR134" s="17">
        <f t="shared" si="7"/>
        <v>0</v>
      </c>
      <c r="BS134" s="28">
        <f t="shared" si="8"/>
        <v>0</v>
      </c>
      <c r="BT134" s="28">
        <v>1</v>
      </c>
    </row>
    <row r="135" spans="1:72" ht="15.75" customHeight="1" x14ac:dyDescent="0.3">
      <c r="A135" s="32">
        <v>110</v>
      </c>
      <c r="B135" s="33" t="s">
        <v>324</v>
      </c>
      <c r="C135" s="33" t="s">
        <v>317</v>
      </c>
      <c r="D135" s="33" t="s">
        <v>325</v>
      </c>
      <c r="E135" s="33" t="s">
        <v>319</v>
      </c>
      <c r="F135" s="33" t="s">
        <v>132</v>
      </c>
      <c r="G135" s="34" t="s">
        <v>99</v>
      </c>
      <c r="H135" s="24">
        <f t="shared" si="6"/>
        <v>0</v>
      </c>
      <c r="I135" s="35"/>
      <c r="J135" s="35"/>
      <c r="K135" s="36"/>
      <c r="L135" s="34" t="s">
        <v>100</v>
      </c>
      <c r="M135" s="40"/>
      <c r="N135" s="40"/>
      <c r="O135" s="35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41"/>
      <c r="BQ135" s="17">
        <v>1</v>
      </c>
      <c r="BR135" s="17">
        <f t="shared" si="7"/>
        <v>0</v>
      </c>
      <c r="BS135" s="28">
        <f t="shared" si="8"/>
        <v>0</v>
      </c>
      <c r="BT135" s="28">
        <v>1</v>
      </c>
    </row>
    <row r="136" spans="1:72" ht="15.75" customHeight="1" x14ac:dyDescent="0.3">
      <c r="A136" s="32">
        <v>110</v>
      </c>
      <c r="B136" s="33" t="s">
        <v>333</v>
      </c>
      <c r="C136" s="33" t="s">
        <v>317</v>
      </c>
      <c r="D136" s="33" t="s">
        <v>334</v>
      </c>
      <c r="E136" s="33" t="s">
        <v>775</v>
      </c>
      <c r="F136" s="33" t="s">
        <v>96</v>
      </c>
      <c r="G136" s="34" t="s">
        <v>167</v>
      </c>
      <c r="H136" s="24">
        <f t="shared" si="6"/>
        <v>0</v>
      </c>
      <c r="I136" s="35"/>
      <c r="J136" s="35"/>
      <c r="K136" s="36"/>
      <c r="L136" s="34" t="s">
        <v>100</v>
      </c>
      <c r="M136" s="40"/>
      <c r="N136" s="40"/>
      <c r="O136" s="35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17">
        <v>3</v>
      </c>
      <c r="BR136" s="17">
        <f t="shared" si="7"/>
        <v>0</v>
      </c>
      <c r="BS136" s="28">
        <f t="shared" si="8"/>
        <v>0</v>
      </c>
      <c r="BT136" s="28">
        <v>1</v>
      </c>
    </row>
    <row r="137" spans="1:72" ht="15.75" customHeight="1" x14ac:dyDescent="0.3">
      <c r="A137" s="32">
        <v>110</v>
      </c>
      <c r="B137" s="33" t="s">
        <v>333</v>
      </c>
      <c r="C137" s="33" t="s">
        <v>317</v>
      </c>
      <c r="D137" s="33" t="s">
        <v>334</v>
      </c>
      <c r="E137" s="33" t="s">
        <v>332</v>
      </c>
      <c r="F137" s="33" t="s">
        <v>132</v>
      </c>
      <c r="G137" s="34" t="s">
        <v>99</v>
      </c>
      <c r="H137" s="24">
        <f t="shared" si="6"/>
        <v>0</v>
      </c>
      <c r="I137" s="35"/>
      <c r="J137" s="35"/>
      <c r="K137" s="36"/>
      <c r="L137" s="34" t="s">
        <v>100</v>
      </c>
      <c r="M137" s="40"/>
      <c r="N137" s="51"/>
      <c r="O137" s="35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17">
        <v>1</v>
      </c>
      <c r="BR137" s="17">
        <f t="shared" si="7"/>
        <v>0</v>
      </c>
      <c r="BS137" s="28">
        <f t="shared" si="8"/>
        <v>0</v>
      </c>
      <c r="BT137" s="28">
        <v>1</v>
      </c>
    </row>
    <row r="138" spans="1:72" ht="15.75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165</v>
      </c>
      <c r="F138" s="33" t="s">
        <v>132</v>
      </c>
      <c r="G138" s="34" t="s">
        <v>99</v>
      </c>
      <c r="H138" s="24">
        <f t="shared" si="6"/>
        <v>0</v>
      </c>
      <c r="I138" s="35"/>
      <c r="J138" s="35"/>
      <c r="K138" s="36"/>
      <c r="L138" s="34" t="s">
        <v>100</v>
      </c>
      <c r="M138" s="40"/>
      <c r="N138" s="40"/>
      <c r="O138" s="35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17">
        <v>1</v>
      </c>
      <c r="BR138" s="17">
        <f t="shared" si="7"/>
        <v>0</v>
      </c>
      <c r="BS138" s="28">
        <f t="shared" si="8"/>
        <v>0</v>
      </c>
      <c r="BT138" s="28">
        <v>1</v>
      </c>
    </row>
    <row r="139" spans="1:72" ht="15.75" customHeight="1" x14ac:dyDescent="0.3">
      <c r="A139" s="32">
        <v>110</v>
      </c>
      <c r="B139" s="33" t="s">
        <v>335</v>
      </c>
      <c r="C139" s="33" t="s">
        <v>317</v>
      </c>
      <c r="D139" s="33" t="s">
        <v>336</v>
      </c>
      <c r="E139" s="33" t="s">
        <v>775</v>
      </c>
      <c r="F139" s="33" t="s">
        <v>96</v>
      </c>
      <c r="G139" s="34" t="s">
        <v>167</v>
      </c>
      <c r="H139" s="24">
        <f t="shared" si="6"/>
        <v>0</v>
      </c>
      <c r="I139" s="35"/>
      <c r="J139" s="35"/>
      <c r="K139" s="36"/>
      <c r="L139" s="34" t="s">
        <v>100</v>
      </c>
      <c r="M139" s="40"/>
      <c r="N139" s="40"/>
      <c r="O139" s="35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17">
        <v>3</v>
      </c>
      <c r="BR139" s="17">
        <f t="shared" si="7"/>
        <v>0</v>
      </c>
      <c r="BS139" s="28">
        <f t="shared" si="8"/>
        <v>0</v>
      </c>
      <c r="BT139" s="28">
        <v>1</v>
      </c>
    </row>
    <row r="140" spans="1:72" ht="15.75" customHeight="1" x14ac:dyDescent="0.3">
      <c r="A140" s="32">
        <v>110</v>
      </c>
      <c r="B140" s="33" t="s">
        <v>343</v>
      </c>
      <c r="C140" s="33" t="s">
        <v>317</v>
      </c>
      <c r="D140" s="33" t="s">
        <v>344</v>
      </c>
      <c r="E140" s="33" t="s">
        <v>775</v>
      </c>
      <c r="F140" s="33" t="s">
        <v>96</v>
      </c>
      <c r="G140" s="34" t="s">
        <v>167</v>
      </c>
      <c r="H140" s="24">
        <f t="shared" si="6"/>
        <v>0</v>
      </c>
      <c r="I140" s="35"/>
      <c r="J140" s="35"/>
      <c r="K140" s="36"/>
      <c r="L140" s="34" t="s">
        <v>100</v>
      </c>
      <c r="M140" s="40"/>
      <c r="N140" s="40"/>
      <c r="O140" s="35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17">
        <v>3</v>
      </c>
      <c r="BR140" s="17">
        <f t="shared" si="7"/>
        <v>0</v>
      </c>
      <c r="BS140" s="28">
        <f t="shared" si="8"/>
        <v>0</v>
      </c>
      <c r="BT140" s="28">
        <v>1</v>
      </c>
    </row>
    <row r="141" spans="1:72" ht="15.75" customHeight="1" x14ac:dyDescent="0.3">
      <c r="A141" s="32">
        <v>110</v>
      </c>
      <c r="B141" s="33" t="s">
        <v>343</v>
      </c>
      <c r="C141" s="33" t="s">
        <v>317</v>
      </c>
      <c r="D141" s="33" t="s">
        <v>344</v>
      </c>
      <c r="E141" s="33" t="s">
        <v>332</v>
      </c>
      <c r="F141" s="33" t="s">
        <v>132</v>
      </c>
      <c r="G141" s="34" t="s">
        <v>99</v>
      </c>
      <c r="H141" s="24">
        <f t="shared" si="6"/>
        <v>0</v>
      </c>
      <c r="I141" s="35"/>
      <c r="J141" s="35"/>
      <c r="K141" s="36"/>
      <c r="L141" s="34" t="s">
        <v>100</v>
      </c>
      <c r="M141" s="40"/>
      <c r="N141" s="40"/>
      <c r="O141" s="35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17">
        <v>1</v>
      </c>
      <c r="BR141" s="17">
        <f t="shared" si="7"/>
        <v>0</v>
      </c>
      <c r="BS141" s="28">
        <f t="shared" si="8"/>
        <v>0</v>
      </c>
      <c r="BT141" s="28">
        <v>1</v>
      </c>
    </row>
    <row r="142" spans="1:72" ht="15.75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165</v>
      </c>
      <c r="F142" s="33" t="s">
        <v>132</v>
      </c>
      <c r="G142" s="34" t="s">
        <v>99</v>
      </c>
      <c r="H142" s="24">
        <f t="shared" si="6"/>
        <v>0</v>
      </c>
      <c r="I142" s="35"/>
      <c r="J142" s="35"/>
      <c r="K142" s="36"/>
      <c r="L142" s="34" t="s">
        <v>100</v>
      </c>
      <c r="M142" s="40"/>
      <c r="N142" s="40"/>
      <c r="O142" s="35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17">
        <v>1</v>
      </c>
      <c r="BR142" s="17">
        <f t="shared" si="7"/>
        <v>0</v>
      </c>
      <c r="BS142" s="28">
        <f t="shared" si="8"/>
        <v>0</v>
      </c>
      <c r="BT142" s="28">
        <v>1</v>
      </c>
    </row>
    <row r="143" spans="1:72" ht="15.75" customHeight="1" x14ac:dyDescent="0.3">
      <c r="A143" s="32">
        <v>110</v>
      </c>
      <c r="B143" s="33" t="s">
        <v>337</v>
      </c>
      <c r="C143" s="33" t="s">
        <v>317</v>
      </c>
      <c r="D143" s="33" t="s">
        <v>338</v>
      </c>
      <c r="E143" s="33" t="s">
        <v>775</v>
      </c>
      <c r="F143" s="33" t="s">
        <v>96</v>
      </c>
      <c r="G143" s="34" t="s">
        <v>167</v>
      </c>
      <c r="H143" s="24">
        <f t="shared" si="6"/>
        <v>0</v>
      </c>
      <c r="I143" s="35"/>
      <c r="J143" s="35"/>
      <c r="K143" s="36"/>
      <c r="L143" s="34" t="s">
        <v>100</v>
      </c>
      <c r="M143" s="40"/>
      <c r="N143" s="40"/>
      <c r="O143" s="35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17">
        <v>3</v>
      </c>
      <c r="BR143" s="17">
        <f t="shared" si="7"/>
        <v>0</v>
      </c>
      <c r="BS143" s="28">
        <f t="shared" si="8"/>
        <v>0</v>
      </c>
      <c r="BT143" s="28">
        <v>1</v>
      </c>
    </row>
    <row r="144" spans="1:72" ht="15.75" customHeight="1" x14ac:dyDescent="0.3">
      <c r="A144" s="32">
        <v>110</v>
      </c>
      <c r="B144" s="33" t="s">
        <v>339</v>
      </c>
      <c r="C144" s="33" t="s">
        <v>317</v>
      </c>
      <c r="D144" s="33" t="s">
        <v>340</v>
      </c>
      <c r="E144" s="33" t="s">
        <v>775</v>
      </c>
      <c r="F144" s="33" t="s">
        <v>96</v>
      </c>
      <c r="G144" s="34" t="s">
        <v>167</v>
      </c>
      <c r="H144" s="24">
        <f t="shared" si="6"/>
        <v>0</v>
      </c>
      <c r="I144" s="35"/>
      <c r="J144" s="35"/>
      <c r="K144" s="36"/>
      <c r="L144" s="34" t="s">
        <v>100</v>
      </c>
      <c r="M144" s="40"/>
      <c r="N144" s="40"/>
      <c r="O144" s="35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17">
        <v>3</v>
      </c>
      <c r="BR144" s="17">
        <f t="shared" si="7"/>
        <v>0</v>
      </c>
      <c r="BS144" s="28">
        <f t="shared" si="8"/>
        <v>0</v>
      </c>
      <c r="BT144" s="28">
        <v>1</v>
      </c>
    </row>
    <row r="145" spans="1:72" ht="15.75" customHeight="1" x14ac:dyDescent="0.3">
      <c r="A145" s="32">
        <v>110</v>
      </c>
      <c r="B145" s="33" t="s">
        <v>341</v>
      </c>
      <c r="C145" s="33" t="s">
        <v>317</v>
      </c>
      <c r="D145" s="33" t="s">
        <v>342</v>
      </c>
      <c r="E145" s="33" t="s">
        <v>775</v>
      </c>
      <c r="F145" s="33" t="s">
        <v>96</v>
      </c>
      <c r="G145" s="34" t="s">
        <v>167</v>
      </c>
      <c r="H145" s="24">
        <f t="shared" si="6"/>
        <v>0</v>
      </c>
      <c r="I145" s="35"/>
      <c r="J145" s="35"/>
      <c r="K145" s="36"/>
      <c r="L145" s="34" t="s">
        <v>100</v>
      </c>
      <c r="M145" s="40"/>
      <c r="N145" s="40"/>
      <c r="O145" s="35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17">
        <v>3</v>
      </c>
      <c r="BR145" s="17">
        <f t="shared" si="7"/>
        <v>0</v>
      </c>
      <c r="BS145" s="28">
        <f t="shared" si="8"/>
        <v>0</v>
      </c>
      <c r="BT145" s="28">
        <v>1</v>
      </c>
    </row>
    <row r="146" spans="1:72" ht="15.75" customHeight="1" x14ac:dyDescent="0.3">
      <c r="A146" s="32">
        <v>110</v>
      </c>
      <c r="B146" s="33" t="s">
        <v>345</v>
      </c>
      <c r="C146" s="33" t="s">
        <v>317</v>
      </c>
      <c r="D146" s="33" t="s">
        <v>346</v>
      </c>
      <c r="E146" s="33" t="s">
        <v>775</v>
      </c>
      <c r="F146" s="33" t="s">
        <v>96</v>
      </c>
      <c r="G146" s="34" t="s">
        <v>167</v>
      </c>
      <c r="H146" s="24">
        <f t="shared" si="6"/>
        <v>0</v>
      </c>
      <c r="I146" s="35"/>
      <c r="J146" s="35"/>
      <c r="K146" s="36"/>
      <c r="L146" s="34" t="s">
        <v>100</v>
      </c>
      <c r="M146" s="40"/>
      <c r="N146" s="40"/>
      <c r="O146" s="35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17">
        <v>3</v>
      </c>
      <c r="BR146" s="17">
        <f t="shared" si="7"/>
        <v>0</v>
      </c>
      <c r="BS146" s="28">
        <f t="shared" si="8"/>
        <v>0</v>
      </c>
      <c r="BT146" s="28">
        <v>1</v>
      </c>
    </row>
    <row r="147" spans="1:72" ht="15.75" customHeight="1" x14ac:dyDescent="0.3">
      <c r="A147" s="32">
        <v>110</v>
      </c>
      <c r="B147" s="33" t="s">
        <v>345</v>
      </c>
      <c r="C147" s="33" t="s">
        <v>317</v>
      </c>
      <c r="D147" s="33" t="s">
        <v>346</v>
      </c>
      <c r="E147" s="33" t="s">
        <v>332</v>
      </c>
      <c r="F147" s="33" t="s">
        <v>132</v>
      </c>
      <c r="G147" s="34" t="s">
        <v>99</v>
      </c>
      <c r="H147" s="24">
        <f t="shared" si="6"/>
        <v>0</v>
      </c>
      <c r="I147" s="35"/>
      <c r="J147" s="35"/>
      <c r="K147" s="36"/>
      <c r="L147" s="34" t="s">
        <v>100</v>
      </c>
      <c r="M147" s="40"/>
      <c r="N147" s="40"/>
      <c r="O147" s="35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17">
        <v>1</v>
      </c>
      <c r="BR147" s="17">
        <f t="shared" si="7"/>
        <v>0</v>
      </c>
      <c r="BS147" s="28">
        <f t="shared" si="8"/>
        <v>0</v>
      </c>
      <c r="BT147" s="28">
        <v>1</v>
      </c>
    </row>
    <row r="148" spans="1:72" ht="15.75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165</v>
      </c>
      <c r="F148" s="33" t="s">
        <v>132</v>
      </c>
      <c r="G148" s="34" t="s">
        <v>99</v>
      </c>
      <c r="H148" s="24">
        <f t="shared" si="6"/>
        <v>0</v>
      </c>
      <c r="I148" s="35"/>
      <c r="J148" s="35"/>
      <c r="K148" s="36"/>
      <c r="L148" s="34" t="s">
        <v>100</v>
      </c>
      <c r="M148" s="40"/>
      <c r="N148" s="40"/>
      <c r="O148" s="35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17">
        <v>1</v>
      </c>
      <c r="BR148" s="17">
        <f t="shared" si="7"/>
        <v>0</v>
      </c>
      <c r="BS148" s="28">
        <f t="shared" si="8"/>
        <v>0</v>
      </c>
      <c r="BT148" s="28">
        <v>1</v>
      </c>
    </row>
    <row r="149" spans="1:72" ht="15.75" customHeight="1" x14ac:dyDescent="0.3">
      <c r="A149" s="32">
        <v>110</v>
      </c>
      <c r="B149" s="33" t="s">
        <v>347</v>
      </c>
      <c r="C149" s="33" t="s">
        <v>317</v>
      </c>
      <c r="D149" s="33" t="s">
        <v>348</v>
      </c>
      <c r="E149" s="33" t="s">
        <v>775</v>
      </c>
      <c r="F149" s="33" t="s">
        <v>96</v>
      </c>
      <c r="G149" s="34" t="s">
        <v>167</v>
      </c>
      <c r="H149" s="24">
        <f t="shared" si="6"/>
        <v>0</v>
      </c>
      <c r="I149" s="35"/>
      <c r="J149" s="35"/>
      <c r="K149" s="36"/>
      <c r="L149" s="34" t="s">
        <v>100</v>
      </c>
      <c r="M149" s="40"/>
      <c r="N149" s="40"/>
      <c r="O149" s="35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17">
        <v>3</v>
      </c>
      <c r="BR149" s="17">
        <f t="shared" si="7"/>
        <v>0</v>
      </c>
      <c r="BS149" s="28">
        <f t="shared" si="8"/>
        <v>0</v>
      </c>
      <c r="BT149" s="28">
        <v>1</v>
      </c>
    </row>
    <row r="150" spans="1:72" ht="15.75" customHeight="1" x14ac:dyDescent="0.3">
      <c r="A150" s="32">
        <v>110</v>
      </c>
      <c r="B150" s="33" t="s">
        <v>347</v>
      </c>
      <c r="C150" s="33" t="s">
        <v>317</v>
      </c>
      <c r="D150" s="33" t="s">
        <v>348</v>
      </c>
      <c r="E150" s="33" t="s">
        <v>332</v>
      </c>
      <c r="F150" s="33" t="s">
        <v>132</v>
      </c>
      <c r="G150" s="34" t="s">
        <v>99</v>
      </c>
      <c r="H150" s="24">
        <f t="shared" si="6"/>
        <v>0</v>
      </c>
      <c r="I150" s="35"/>
      <c r="J150" s="35"/>
      <c r="K150" s="36"/>
      <c r="L150" s="34" t="s">
        <v>100</v>
      </c>
      <c r="M150" s="40"/>
      <c r="N150" s="40"/>
      <c r="O150" s="35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17">
        <v>1</v>
      </c>
      <c r="BR150" s="17">
        <f t="shared" si="7"/>
        <v>0</v>
      </c>
      <c r="BS150" s="28">
        <f t="shared" si="8"/>
        <v>0</v>
      </c>
      <c r="BT150" s="28">
        <v>1</v>
      </c>
    </row>
    <row r="151" spans="1:72" ht="15.75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165</v>
      </c>
      <c r="F151" s="33" t="s">
        <v>132</v>
      </c>
      <c r="G151" s="34" t="s">
        <v>99</v>
      </c>
      <c r="H151" s="24">
        <f t="shared" si="6"/>
        <v>0</v>
      </c>
      <c r="I151" s="35"/>
      <c r="J151" s="35"/>
      <c r="K151" s="36"/>
      <c r="L151" s="34" t="s">
        <v>100</v>
      </c>
      <c r="M151" s="40"/>
      <c r="N151" s="40"/>
      <c r="O151" s="35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17">
        <v>1</v>
      </c>
      <c r="BR151" s="17">
        <f t="shared" si="7"/>
        <v>0</v>
      </c>
      <c r="BS151" s="28">
        <f t="shared" si="8"/>
        <v>0</v>
      </c>
      <c r="BT151" s="28">
        <v>1</v>
      </c>
    </row>
    <row r="152" spans="1:72" ht="15.75" customHeight="1" x14ac:dyDescent="0.3">
      <c r="A152" s="32">
        <v>110</v>
      </c>
      <c r="B152" s="33" t="s">
        <v>330</v>
      </c>
      <c r="C152" s="33" t="s">
        <v>317</v>
      </c>
      <c r="D152" s="33" t="s">
        <v>331</v>
      </c>
      <c r="E152" s="33" t="s">
        <v>332</v>
      </c>
      <c r="F152" s="33" t="s">
        <v>132</v>
      </c>
      <c r="G152" s="34" t="s">
        <v>99</v>
      </c>
      <c r="H152" s="24">
        <f t="shared" si="6"/>
        <v>0</v>
      </c>
      <c r="I152" s="35"/>
      <c r="J152" s="35"/>
      <c r="K152" s="36"/>
      <c r="L152" s="34" t="s">
        <v>100</v>
      </c>
      <c r="M152" s="40"/>
      <c r="N152" s="40"/>
      <c r="O152" s="35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17">
        <v>1</v>
      </c>
      <c r="BR152" s="17">
        <f t="shared" si="7"/>
        <v>0</v>
      </c>
      <c r="BS152" s="28">
        <f t="shared" si="8"/>
        <v>0</v>
      </c>
      <c r="BT152" s="28">
        <v>1</v>
      </c>
    </row>
    <row r="153" spans="1:72" ht="15.75" customHeight="1" x14ac:dyDescent="0.3">
      <c r="A153" s="32">
        <v>110</v>
      </c>
      <c r="B153" s="33" t="s">
        <v>330</v>
      </c>
      <c r="C153" s="33" t="s">
        <v>317</v>
      </c>
      <c r="D153" s="33" t="s">
        <v>331</v>
      </c>
      <c r="E153" s="33" t="s">
        <v>165</v>
      </c>
      <c r="F153" s="33" t="s">
        <v>132</v>
      </c>
      <c r="G153" s="34" t="s">
        <v>99</v>
      </c>
      <c r="H153" s="24">
        <f t="shared" si="6"/>
        <v>0</v>
      </c>
      <c r="I153" s="35"/>
      <c r="J153" s="35"/>
      <c r="K153" s="36"/>
      <c r="L153" s="34" t="s">
        <v>100</v>
      </c>
      <c r="M153" s="40"/>
      <c r="N153" s="40"/>
      <c r="O153" s="35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41"/>
      <c r="BQ153" s="17">
        <v>1</v>
      </c>
      <c r="BR153" s="17">
        <f t="shared" si="7"/>
        <v>0</v>
      </c>
      <c r="BS153" s="28">
        <f t="shared" si="8"/>
        <v>0</v>
      </c>
      <c r="BT153" s="28">
        <v>1</v>
      </c>
    </row>
    <row r="154" spans="1:72" ht="15.75" customHeight="1" x14ac:dyDescent="0.3">
      <c r="A154" s="32">
        <v>110</v>
      </c>
      <c r="B154" s="33" t="s">
        <v>315</v>
      </c>
      <c r="C154" s="33" t="s">
        <v>107</v>
      </c>
      <c r="D154" s="33" t="s">
        <v>108</v>
      </c>
      <c r="E154" s="33" t="s">
        <v>130</v>
      </c>
      <c r="F154" s="33" t="s">
        <v>86</v>
      </c>
      <c r="G154" s="34" t="s">
        <v>99</v>
      </c>
      <c r="H154" s="24">
        <f t="shared" si="6"/>
        <v>0</v>
      </c>
      <c r="I154" s="35"/>
      <c r="J154" s="35"/>
      <c r="K154" s="36"/>
      <c r="L154" s="34" t="s">
        <v>105</v>
      </c>
      <c r="M154" s="40"/>
      <c r="N154" s="40"/>
      <c r="O154" s="35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41"/>
      <c r="BQ154" s="17">
        <v>1</v>
      </c>
      <c r="BR154" s="17">
        <f t="shared" si="7"/>
        <v>0</v>
      </c>
      <c r="BS154" s="28">
        <f t="shared" si="8"/>
        <v>0</v>
      </c>
      <c r="BT154" s="28">
        <v>1</v>
      </c>
    </row>
    <row r="155" spans="1:72" ht="15.75" customHeight="1" x14ac:dyDescent="0.3">
      <c r="A155" s="32">
        <v>120</v>
      </c>
      <c r="B155" s="33" t="s">
        <v>359</v>
      </c>
      <c r="C155" s="33" t="s">
        <v>353</v>
      </c>
      <c r="D155" s="33" t="s">
        <v>256</v>
      </c>
      <c r="E155" s="33" t="s">
        <v>160</v>
      </c>
      <c r="F155" s="33" t="s">
        <v>204</v>
      </c>
      <c r="G155" s="34" t="s">
        <v>127</v>
      </c>
      <c r="H155" s="24">
        <f t="shared" si="6"/>
        <v>0</v>
      </c>
      <c r="I155" s="35"/>
      <c r="J155" s="35" t="s">
        <v>205</v>
      </c>
      <c r="K155" s="36"/>
      <c r="L155" s="34" t="s">
        <v>100</v>
      </c>
      <c r="M155" s="40"/>
      <c r="N155" s="40"/>
      <c r="O155" s="35" t="s">
        <v>205</v>
      </c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80"/>
      <c r="BP155" s="27"/>
      <c r="BQ155" s="17">
        <v>2</v>
      </c>
      <c r="BR155" s="17">
        <f t="shared" si="7"/>
        <v>0</v>
      </c>
      <c r="BS155" s="28">
        <f t="shared" si="8"/>
        <v>0</v>
      </c>
      <c r="BT155" s="28">
        <v>1</v>
      </c>
    </row>
    <row r="156" spans="1:72" ht="15.75" customHeight="1" x14ac:dyDescent="0.3">
      <c r="A156" s="32">
        <v>120</v>
      </c>
      <c r="B156" s="33" t="s">
        <v>360</v>
      </c>
      <c r="C156" s="33" t="s">
        <v>353</v>
      </c>
      <c r="D156" s="33" t="s">
        <v>180</v>
      </c>
      <c r="E156" s="33" t="s">
        <v>160</v>
      </c>
      <c r="F156" s="33" t="s">
        <v>204</v>
      </c>
      <c r="G156" s="34" t="s">
        <v>127</v>
      </c>
      <c r="H156" s="24">
        <f t="shared" si="6"/>
        <v>0</v>
      </c>
      <c r="I156" s="35"/>
      <c r="J156" s="35"/>
      <c r="K156" s="36"/>
      <c r="L156" s="34" t="s">
        <v>100</v>
      </c>
      <c r="M156" s="40"/>
      <c r="N156" s="40"/>
      <c r="O156" s="35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80"/>
      <c r="BP156" s="27"/>
      <c r="BQ156" s="17">
        <v>2</v>
      </c>
      <c r="BR156" s="17">
        <f t="shared" si="7"/>
        <v>0</v>
      </c>
      <c r="BS156" s="28">
        <f t="shared" si="8"/>
        <v>0</v>
      </c>
      <c r="BT156" s="28">
        <v>1</v>
      </c>
    </row>
    <row r="157" spans="1:72" ht="15.75" customHeight="1" x14ac:dyDescent="0.3">
      <c r="A157" s="32">
        <v>120</v>
      </c>
      <c r="B157" s="33" t="s">
        <v>352</v>
      </c>
      <c r="C157" s="33" t="s">
        <v>353</v>
      </c>
      <c r="D157" s="33" t="s">
        <v>354</v>
      </c>
      <c r="E157" s="33" t="s">
        <v>160</v>
      </c>
      <c r="F157" s="33" t="s">
        <v>204</v>
      </c>
      <c r="G157" s="34" t="s">
        <v>127</v>
      </c>
      <c r="H157" s="24">
        <f t="shared" si="6"/>
        <v>0</v>
      </c>
      <c r="I157" s="35"/>
      <c r="J157" s="35"/>
      <c r="K157" s="36"/>
      <c r="L157" s="34" t="s">
        <v>100</v>
      </c>
      <c r="M157" s="40"/>
      <c r="N157" s="40"/>
      <c r="O157" s="35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80"/>
      <c r="BP157" s="27"/>
      <c r="BQ157" s="17">
        <v>2</v>
      </c>
      <c r="BR157" s="17">
        <f t="shared" si="7"/>
        <v>0</v>
      </c>
      <c r="BS157" s="28">
        <f t="shared" si="8"/>
        <v>0</v>
      </c>
      <c r="BT157" s="28">
        <v>1</v>
      </c>
    </row>
    <row r="158" spans="1:72" ht="15.75" customHeight="1" x14ac:dyDescent="0.3">
      <c r="A158" s="32">
        <v>120</v>
      </c>
      <c r="B158" s="33" t="s">
        <v>355</v>
      </c>
      <c r="C158" s="33" t="s">
        <v>353</v>
      </c>
      <c r="D158" s="33" t="s">
        <v>356</v>
      </c>
      <c r="E158" s="33" t="s">
        <v>160</v>
      </c>
      <c r="F158" s="33" t="s">
        <v>204</v>
      </c>
      <c r="G158" s="34" t="s">
        <v>127</v>
      </c>
      <c r="H158" s="24">
        <f t="shared" si="6"/>
        <v>0</v>
      </c>
      <c r="I158" s="35"/>
      <c r="J158" s="35"/>
      <c r="K158" s="36"/>
      <c r="L158" s="34" t="s">
        <v>100</v>
      </c>
      <c r="M158" s="40"/>
      <c r="N158" s="40"/>
      <c r="O158" s="35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80"/>
      <c r="BP158" s="27"/>
      <c r="BQ158" s="17">
        <v>2</v>
      </c>
      <c r="BR158" s="17">
        <f t="shared" si="7"/>
        <v>0</v>
      </c>
      <c r="BS158" s="28">
        <f t="shared" si="8"/>
        <v>0</v>
      </c>
      <c r="BT158" s="28">
        <v>1</v>
      </c>
    </row>
    <row r="159" spans="1:72" ht="15.75" customHeight="1" x14ac:dyDescent="0.3">
      <c r="A159" s="32">
        <v>120</v>
      </c>
      <c r="B159" s="33" t="s">
        <v>357</v>
      </c>
      <c r="C159" s="33" t="s">
        <v>353</v>
      </c>
      <c r="D159" s="33" t="s">
        <v>358</v>
      </c>
      <c r="E159" s="33" t="s">
        <v>160</v>
      </c>
      <c r="F159" s="33" t="s">
        <v>204</v>
      </c>
      <c r="G159" s="34" t="s">
        <v>127</v>
      </c>
      <c r="H159" s="24">
        <f t="shared" si="6"/>
        <v>0</v>
      </c>
      <c r="I159" s="35"/>
      <c r="J159" s="35"/>
      <c r="K159" s="36"/>
      <c r="L159" s="34" t="s">
        <v>100</v>
      </c>
      <c r="M159" s="40"/>
      <c r="N159" s="40"/>
      <c r="O159" s="35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80"/>
      <c r="BP159" s="27"/>
      <c r="BQ159" s="17">
        <v>2</v>
      </c>
      <c r="BR159" s="17">
        <f t="shared" si="7"/>
        <v>0</v>
      </c>
      <c r="BS159" s="28">
        <f t="shared" si="8"/>
        <v>0</v>
      </c>
      <c r="BT159" s="28">
        <v>1</v>
      </c>
    </row>
    <row r="160" spans="1:72" ht="15.75" customHeight="1" x14ac:dyDescent="0.3">
      <c r="A160" s="32">
        <v>120</v>
      </c>
      <c r="B160" s="33" t="s">
        <v>361</v>
      </c>
      <c r="C160" s="33" t="s">
        <v>362</v>
      </c>
      <c r="D160" s="33" t="s">
        <v>362</v>
      </c>
      <c r="E160" s="33" t="s">
        <v>363</v>
      </c>
      <c r="F160" s="33" t="s">
        <v>94</v>
      </c>
      <c r="G160" s="34" t="s">
        <v>119</v>
      </c>
      <c r="H160" s="24">
        <f t="shared" si="6"/>
        <v>0.16666666666666666</v>
      </c>
      <c r="I160" s="48"/>
      <c r="J160" s="48" t="s">
        <v>364</v>
      </c>
      <c r="K160" s="100"/>
      <c r="L160" s="34" t="s">
        <v>100</v>
      </c>
      <c r="M160" s="40"/>
      <c r="N160" s="40"/>
      <c r="O160" s="48" t="s">
        <v>364</v>
      </c>
      <c r="P160" s="27"/>
      <c r="Q160" s="27"/>
      <c r="R160" s="27"/>
      <c r="S160" s="27"/>
      <c r="T160" s="27" t="s">
        <v>863</v>
      </c>
      <c r="U160" s="27"/>
      <c r="V160" s="27"/>
      <c r="W160" s="27"/>
      <c r="X160" s="27" t="s">
        <v>811</v>
      </c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17">
        <v>12</v>
      </c>
      <c r="BR160" s="17">
        <f t="shared" si="7"/>
        <v>2</v>
      </c>
      <c r="BS160" s="28">
        <f t="shared" si="8"/>
        <v>0</v>
      </c>
      <c r="BT160" s="28">
        <v>1</v>
      </c>
    </row>
    <row r="161" spans="1:72" ht="15.75" customHeight="1" x14ac:dyDescent="0.3">
      <c r="A161" s="32">
        <v>130</v>
      </c>
      <c r="B161" s="33" t="s">
        <v>369</v>
      </c>
      <c r="C161" s="33" t="s">
        <v>370</v>
      </c>
      <c r="D161" s="33" t="s">
        <v>371</v>
      </c>
      <c r="E161" s="33" t="s">
        <v>373</v>
      </c>
      <c r="F161" s="33" t="s">
        <v>672</v>
      </c>
      <c r="G161" s="34" t="s">
        <v>673</v>
      </c>
      <c r="H161" s="24">
        <f t="shared" si="6"/>
        <v>0.25</v>
      </c>
      <c r="I161" s="35" t="s">
        <v>759</v>
      </c>
      <c r="J161" s="35" t="s">
        <v>374</v>
      </c>
      <c r="K161" s="36"/>
      <c r="L161" s="34" t="s">
        <v>100</v>
      </c>
      <c r="M161" s="40"/>
      <c r="N161" s="51" t="s">
        <v>866</v>
      </c>
      <c r="O161" s="35" t="s">
        <v>374</v>
      </c>
      <c r="P161" s="27"/>
      <c r="Q161" s="27"/>
      <c r="R161" s="27"/>
      <c r="S161" s="68" t="s">
        <v>867</v>
      </c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54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54"/>
      <c r="BE161" s="27"/>
      <c r="BF161" s="27"/>
      <c r="BG161" s="27"/>
      <c r="BH161" s="27"/>
      <c r="BI161" s="27"/>
      <c r="BJ161" s="27"/>
      <c r="BK161" s="27"/>
      <c r="BL161" s="54"/>
      <c r="BM161" s="27"/>
      <c r="BN161" s="27"/>
      <c r="BO161" s="17"/>
      <c r="BP161" s="17"/>
      <c r="BQ161" s="17">
        <v>4</v>
      </c>
      <c r="BR161" s="17">
        <f t="shared" si="7"/>
        <v>1</v>
      </c>
      <c r="BS161" s="28">
        <f t="shared" si="8"/>
        <v>0</v>
      </c>
      <c r="BT161" s="28">
        <v>1</v>
      </c>
    </row>
    <row r="162" spans="1:72" ht="15.75" customHeight="1" x14ac:dyDescent="0.3">
      <c r="A162" s="32">
        <v>130</v>
      </c>
      <c r="B162" s="33" t="s">
        <v>369</v>
      </c>
      <c r="C162" s="33" t="s">
        <v>370</v>
      </c>
      <c r="D162" s="33" t="s">
        <v>371</v>
      </c>
      <c r="E162" s="33" t="s">
        <v>782</v>
      </c>
      <c r="F162" s="33" t="s">
        <v>672</v>
      </c>
      <c r="G162" s="34" t="s">
        <v>673</v>
      </c>
      <c r="H162" s="24">
        <f t="shared" si="6"/>
        <v>0.25</v>
      </c>
      <c r="I162" s="35" t="s">
        <v>759</v>
      </c>
      <c r="J162" s="35" t="s">
        <v>377</v>
      </c>
      <c r="K162" s="36"/>
      <c r="L162" s="34" t="s">
        <v>100</v>
      </c>
      <c r="M162" s="40"/>
      <c r="N162" s="51" t="s">
        <v>866</v>
      </c>
      <c r="O162" s="35" t="s">
        <v>377</v>
      </c>
      <c r="P162" s="27"/>
      <c r="Q162" s="27"/>
      <c r="R162" s="27"/>
      <c r="S162" s="68" t="s">
        <v>867</v>
      </c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17"/>
      <c r="BP162" s="49"/>
      <c r="BQ162" s="17">
        <v>4</v>
      </c>
      <c r="BR162" s="17">
        <f t="shared" si="7"/>
        <v>1</v>
      </c>
      <c r="BS162" s="28">
        <f t="shared" si="8"/>
        <v>0</v>
      </c>
      <c r="BT162" s="28">
        <v>1</v>
      </c>
    </row>
    <row r="163" spans="1:72" ht="15.75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130</v>
      </c>
      <c r="F163" s="33" t="s">
        <v>88</v>
      </c>
      <c r="G163" s="34" t="s">
        <v>127</v>
      </c>
      <c r="H163" s="24">
        <f t="shared" si="6"/>
        <v>0</v>
      </c>
      <c r="I163" s="35" t="s">
        <v>808</v>
      </c>
      <c r="J163" s="35"/>
      <c r="K163" s="36"/>
      <c r="L163" s="34" t="s">
        <v>100</v>
      </c>
      <c r="M163" s="40"/>
      <c r="N163" s="40"/>
      <c r="O163" s="35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80"/>
      <c r="BP163" s="27"/>
      <c r="BQ163" s="17">
        <v>2</v>
      </c>
      <c r="BR163" s="17">
        <f t="shared" si="7"/>
        <v>0</v>
      </c>
      <c r="BS163" s="28">
        <f t="shared" si="8"/>
        <v>0</v>
      </c>
      <c r="BT163" s="28">
        <v>1</v>
      </c>
    </row>
    <row r="164" spans="1:72" ht="15.75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780</v>
      </c>
      <c r="F164" s="33" t="s">
        <v>88</v>
      </c>
      <c r="G164" s="34" t="s">
        <v>127</v>
      </c>
      <c r="H164" s="24">
        <f t="shared" si="6"/>
        <v>0</v>
      </c>
      <c r="I164" s="35" t="s">
        <v>808</v>
      </c>
      <c r="J164" s="35"/>
      <c r="K164" s="36"/>
      <c r="L164" s="34" t="s">
        <v>100</v>
      </c>
      <c r="M164" s="40"/>
      <c r="N164" s="40"/>
      <c r="O164" s="35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80"/>
      <c r="BP164" s="27"/>
      <c r="BQ164" s="17">
        <v>2</v>
      </c>
      <c r="BR164" s="17">
        <f t="shared" si="7"/>
        <v>0</v>
      </c>
      <c r="BS164" s="28">
        <f t="shared" si="8"/>
        <v>0</v>
      </c>
      <c r="BT164" s="28">
        <v>1</v>
      </c>
    </row>
    <row r="165" spans="1:72" ht="15.75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781</v>
      </c>
      <c r="F165" s="33" t="s">
        <v>88</v>
      </c>
      <c r="G165" s="34" t="s">
        <v>127</v>
      </c>
      <c r="H165" s="24">
        <f t="shared" si="6"/>
        <v>0</v>
      </c>
      <c r="I165" s="35" t="s">
        <v>808</v>
      </c>
      <c r="J165" s="35"/>
      <c r="K165" s="36"/>
      <c r="L165" s="34" t="s">
        <v>100</v>
      </c>
      <c r="M165" s="40"/>
      <c r="N165" s="40"/>
      <c r="O165" s="35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80"/>
      <c r="BP165" s="27"/>
      <c r="BQ165" s="17">
        <v>2</v>
      </c>
      <c r="BR165" s="17">
        <f t="shared" si="7"/>
        <v>0</v>
      </c>
      <c r="BS165" s="28">
        <f t="shared" si="8"/>
        <v>0</v>
      </c>
      <c r="BT165" s="28">
        <v>1</v>
      </c>
    </row>
    <row r="166" spans="1:72" ht="15.75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372</v>
      </c>
      <c r="F166" s="33" t="s">
        <v>88</v>
      </c>
      <c r="G166" s="34" t="s">
        <v>127</v>
      </c>
      <c r="H166" s="24">
        <f t="shared" si="6"/>
        <v>0</v>
      </c>
      <c r="I166" s="35" t="s">
        <v>808</v>
      </c>
      <c r="J166" s="35"/>
      <c r="K166" s="36"/>
      <c r="L166" s="34" t="s">
        <v>100</v>
      </c>
      <c r="M166" s="40"/>
      <c r="N166" s="40"/>
      <c r="O166" s="35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80"/>
      <c r="BP166" s="27"/>
      <c r="BQ166" s="17">
        <v>2</v>
      </c>
      <c r="BR166" s="17">
        <f t="shared" si="7"/>
        <v>0</v>
      </c>
      <c r="BS166" s="28">
        <f t="shared" si="8"/>
        <v>0</v>
      </c>
      <c r="BT166" s="28">
        <v>1</v>
      </c>
    </row>
    <row r="167" spans="1:72" ht="15.75" customHeight="1" x14ac:dyDescent="0.3">
      <c r="A167" s="32">
        <v>130</v>
      </c>
      <c r="B167" s="33" t="s">
        <v>874</v>
      </c>
      <c r="C167" s="33" t="s">
        <v>872</v>
      </c>
      <c r="D167" s="33" t="s">
        <v>873</v>
      </c>
      <c r="E167" s="33" t="s">
        <v>875</v>
      </c>
      <c r="F167" s="33" t="s">
        <v>672</v>
      </c>
      <c r="G167" s="34" t="s">
        <v>673</v>
      </c>
      <c r="H167" s="24">
        <f t="shared" si="6"/>
        <v>0.25</v>
      </c>
      <c r="I167" s="35"/>
      <c r="J167" s="35"/>
      <c r="K167" s="36"/>
      <c r="L167" s="34"/>
      <c r="M167" s="51"/>
      <c r="N167" s="51" t="s">
        <v>870</v>
      </c>
      <c r="O167" s="35" t="s">
        <v>880</v>
      </c>
      <c r="P167" s="27"/>
      <c r="Q167" s="27"/>
      <c r="R167" s="27"/>
      <c r="S167" s="27" t="s">
        <v>865</v>
      </c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80"/>
      <c r="BP167" s="27"/>
      <c r="BQ167" s="17">
        <v>4</v>
      </c>
      <c r="BR167" s="17">
        <f>IF(COUNTA(P167:BP167)&gt;BQ167,BQ167,COUNTA(P167:BP167))</f>
        <v>1</v>
      </c>
      <c r="BS167" s="28">
        <f>IF(H167=1,1,0)</f>
        <v>0</v>
      </c>
      <c r="BT167" s="28">
        <v>1</v>
      </c>
    </row>
    <row r="168" spans="1:72" ht="15.75" customHeight="1" x14ac:dyDescent="0.3">
      <c r="A168" s="32">
        <v>130</v>
      </c>
      <c r="B168" s="33" t="s">
        <v>876</v>
      </c>
      <c r="C168" s="33" t="s">
        <v>872</v>
      </c>
      <c r="D168" s="33" t="s">
        <v>877</v>
      </c>
      <c r="E168" s="33" t="s">
        <v>875</v>
      </c>
      <c r="F168" s="33" t="s">
        <v>672</v>
      </c>
      <c r="G168" s="34" t="s">
        <v>673</v>
      </c>
      <c r="H168" s="24">
        <f>IF(BQ168=0," ",(BR168/BQ168))</f>
        <v>0.25</v>
      </c>
      <c r="I168" s="35"/>
      <c r="J168" s="35"/>
      <c r="K168" s="36"/>
      <c r="L168" s="34"/>
      <c r="M168" s="51"/>
      <c r="N168" s="51" t="s">
        <v>870</v>
      </c>
      <c r="O168" s="35" t="s">
        <v>880</v>
      </c>
      <c r="P168" s="27"/>
      <c r="Q168" s="27"/>
      <c r="R168" s="27"/>
      <c r="S168" s="27" t="s">
        <v>865</v>
      </c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80"/>
      <c r="BP168" s="27"/>
      <c r="BQ168" s="17">
        <v>4</v>
      </c>
      <c r="BR168" s="17">
        <f>IF(COUNTA(P168:BP168)&gt;BQ168,BQ168,COUNTA(P168:BP168))</f>
        <v>1</v>
      </c>
      <c r="BS168" s="28">
        <f>IF(H168=1,1,0)</f>
        <v>0</v>
      </c>
      <c r="BT168" s="28">
        <v>1</v>
      </c>
    </row>
    <row r="169" spans="1:72" ht="16.5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3" t="s">
        <v>96</v>
      </c>
      <c r="G169" s="34" t="s">
        <v>167</v>
      </c>
      <c r="H169" s="24">
        <f t="shared" si="6"/>
        <v>0</v>
      </c>
      <c r="I169" s="35"/>
      <c r="J169" s="35"/>
      <c r="K169" s="36"/>
      <c r="L169" s="34" t="s">
        <v>100</v>
      </c>
      <c r="M169" s="40"/>
      <c r="N169" s="40"/>
      <c r="O169" s="35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17"/>
      <c r="BP169" s="27"/>
      <c r="BQ169" s="17">
        <v>3</v>
      </c>
      <c r="BR169" s="17">
        <f t="shared" si="7"/>
        <v>0</v>
      </c>
      <c r="BS169" s="28">
        <f t="shared" si="8"/>
        <v>0</v>
      </c>
      <c r="BT169" s="28">
        <v>1</v>
      </c>
    </row>
    <row r="170" spans="1:72" ht="15.75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3" t="s">
        <v>86</v>
      </c>
      <c r="G170" s="34" t="s">
        <v>99</v>
      </c>
      <c r="H170" s="24">
        <f t="shared" si="6"/>
        <v>0</v>
      </c>
      <c r="I170" s="35"/>
      <c r="J170" s="35"/>
      <c r="K170" s="36"/>
      <c r="L170" s="34" t="s">
        <v>105</v>
      </c>
      <c r="M170" s="40"/>
      <c r="N170" s="40"/>
      <c r="O170" s="35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17"/>
      <c r="BP170" s="17"/>
      <c r="BQ170" s="17">
        <v>1</v>
      </c>
      <c r="BR170" s="17">
        <f t="shared" si="7"/>
        <v>0</v>
      </c>
      <c r="BS170" s="28">
        <f t="shared" si="8"/>
        <v>0</v>
      </c>
      <c r="BT170" s="28">
        <v>1</v>
      </c>
    </row>
    <row r="171" spans="1:72" ht="15.75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3" t="s">
        <v>86</v>
      </c>
      <c r="G171" s="34" t="s">
        <v>99</v>
      </c>
      <c r="H171" s="24">
        <f t="shared" si="6"/>
        <v>0</v>
      </c>
      <c r="I171" s="35"/>
      <c r="J171" s="35"/>
      <c r="K171" s="36"/>
      <c r="L171" s="34" t="s">
        <v>105</v>
      </c>
      <c r="M171" s="40"/>
      <c r="N171" s="40"/>
      <c r="O171" s="35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17"/>
      <c r="BP171" s="17"/>
      <c r="BQ171" s="17">
        <v>1</v>
      </c>
      <c r="BR171" s="17">
        <f t="shared" si="7"/>
        <v>0</v>
      </c>
      <c r="BS171" s="28">
        <f t="shared" si="8"/>
        <v>0</v>
      </c>
      <c r="BT171" s="28">
        <v>1</v>
      </c>
    </row>
    <row r="172" spans="1:72" ht="15.75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3" t="s">
        <v>204</v>
      </c>
      <c r="G172" s="34" t="s">
        <v>127</v>
      </c>
      <c r="H172" s="24">
        <f t="shared" si="6"/>
        <v>0</v>
      </c>
      <c r="I172" s="35" t="s">
        <v>759</v>
      </c>
      <c r="J172" s="35" t="s">
        <v>205</v>
      </c>
      <c r="K172" s="36"/>
      <c r="L172" s="34" t="s">
        <v>105</v>
      </c>
      <c r="M172" s="40"/>
      <c r="N172" s="40"/>
      <c r="O172" s="35" t="s">
        <v>205</v>
      </c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17">
        <v>2</v>
      </c>
      <c r="BR172" s="17">
        <f t="shared" si="7"/>
        <v>0</v>
      </c>
      <c r="BS172" s="28">
        <f t="shared" si="8"/>
        <v>0</v>
      </c>
      <c r="BT172" s="28">
        <v>1</v>
      </c>
    </row>
    <row r="173" spans="1:72" ht="15.75" customHeight="1" x14ac:dyDescent="0.3">
      <c r="A173" s="32">
        <v>136</v>
      </c>
      <c r="B173" s="33" t="s">
        <v>379</v>
      </c>
      <c r="C173" s="33" t="s">
        <v>380</v>
      </c>
      <c r="D173" s="33" t="s">
        <v>381</v>
      </c>
      <c r="E173" s="33" t="s">
        <v>130</v>
      </c>
      <c r="F173" s="33" t="s">
        <v>88</v>
      </c>
      <c r="G173" s="34" t="s">
        <v>127</v>
      </c>
      <c r="H173" s="24">
        <f t="shared" si="6"/>
        <v>0</v>
      </c>
      <c r="I173" s="35" t="s">
        <v>759</v>
      </c>
      <c r="J173" s="35"/>
      <c r="K173" s="36"/>
      <c r="L173" s="34" t="s">
        <v>100</v>
      </c>
      <c r="M173" s="40"/>
      <c r="N173" s="40"/>
      <c r="O173" s="35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17">
        <v>2</v>
      </c>
      <c r="BR173" s="17">
        <f t="shared" si="7"/>
        <v>0</v>
      </c>
      <c r="BS173" s="28">
        <f t="shared" si="8"/>
        <v>0</v>
      </c>
      <c r="BT173" s="28">
        <v>1</v>
      </c>
    </row>
    <row r="174" spans="1:72" ht="15.75" customHeight="1" x14ac:dyDescent="0.3">
      <c r="A174" s="32">
        <v>136</v>
      </c>
      <c r="B174" s="33" t="s">
        <v>384</v>
      </c>
      <c r="C174" s="33" t="s">
        <v>380</v>
      </c>
      <c r="D174" s="33" t="s">
        <v>385</v>
      </c>
      <c r="E174" s="33" t="s">
        <v>130</v>
      </c>
      <c r="F174" s="33" t="s">
        <v>88</v>
      </c>
      <c r="G174" s="34" t="s">
        <v>127</v>
      </c>
      <c r="H174" s="24">
        <f t="shared" si="6"/>
        <v>0</v>
      </c>
      <c r="I174" s="35" t="s">
        <v>759</v>
      </c>
      <c r="J174" s="35"/>
      <c r="K174" s="36"/>
      <c r="L174" s="34" t="s">
        <v>100</v>
      </c>
      <c r="M174" s="40"/>
      <c r="N174" s="40"/>
      <c r="O174" s="35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17">
        <v>2</v>
      </c>
      <c r="BR174" s="17">
        <f t="shared" si="7"/>
        <v>0</v>
      </c>
      <c r="BS174" s="28">
        <f t="shared" si="8"/>
        <v>0</v>
      </c>
      <c r="BT174" s="28">
        <v>1</v>
      </c>
    </row>
    <row r="175" spans="1:72" ht="15.75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878</v>
      </c>
      <c r="F175" s="33" t="s">
        <v>672</v>
      </c>
      <c r="G175" s="34" t="s">
        <v>673</v>
      </c>
      <c r="H175" s="24">
        <f t="shared" si="6"/>
        <v>0.25</v>
      </c>
      <c r="I175" s="35"/>
      <c r="J175" s="35"/>
      <c r="K175" s="36"/>
      <c r="L175" s="34"/>
      <c r="M175" s="51"/>
      <c r="N175" s="51" t="s">
        <v>870</v>
      </c>
      <c r="O175" s="35" t="s">
        <v>879</v>
      </c>
      <c r="P175" s="27"/>
      <c r="Q175" s="27"/>
      <c r="R175" s="27"/>
      <c r="S175" s="27" t="s">
        <v>865</v>
      </c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17">
        <v>4</v>
      </c>
      <c r="BR175" s="17">
        <f>IF(COUNTA(P175:BP175)&gt;BQ175,BQ175,COUNTA(P175:BP175))</f>
        <v>1</v>
      </c>
      <c r="BS175" s="28">
        <f>IF(H175=1,1,0)</f>
        <v>0</v>
      </c>
      <c r="BT175" s="28">
        <v>1</v>
      </c>
    </row>
    <row r="176" spans="1:72" ht="15.75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3" t="s">
        <v>88</v>
      </c>
      <c r="G176" s="34" t="s">
        <v>127</v>
      </c>
      <c r="H176" s="24">
        <f t="shared" si="6"/>
        <v>0</v>
      </c>
      <c r="I176" s="35"/>
      <c r="J176" s="35"/>
      <c r="K176" s="36"/>
      <c r="L176" s="34" t="s">
        <v>100</v>
      </c>
      <c r="M176" s="40"/>
      <c r="N176" s="40"/>
      <c r="O176" s="35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17">
        <v>2</v>
      </c>
      <c r="BR176" s="17">
        <f t="shared" si="7"/>
        <v>0</v>
      </c>
      <c r="BS176" s="28">
        <f t="shared" si="8"/>
        <v>0</v>
      </c>
      <c r="BT176" s="28">
        <v>1</v>
      </c>
    </row>
    <row r="177" spans="1:72" ht="15.75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3" t="s">
        <v>204</v>
      </c>
      <c r="G177" s="34" t="s">
        <v>127</v>
      </c>
      <c r="H177" s="24">
        <f t="shared" si="6"/>
        <v>0</v>
      </c>
      <c r="I177" s="35" t="s">
        <v>808</v>
      </c>
      <c r="J177" s="35"/>
      <c r="K177" s="36"/>
      <c r="L177" s="34" t="s">
        <v>100</v>
      </c>
      <c r="M177" s="40"/>
      <c r="N177" s="40"/>
      <c r="O177" s="35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17">
        <v>2</v>
      </c>
      <c r="BR177" s="17">
        <f t="shared" si="7"/>
        <v>0</v>
      </c>
      <c r="BS177" s="28">
        <f t="shared" si="8"/>
        <v>0</v>
      </c>
      <c r="BT177" s="28">
        <v>1</v>
      </c>
    </row>
    <row r="178" spans="1:72" ht="15.75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3" t="s">
        <v>88</v>
      </c>
      <c r="G178" s="34" t="s">
        <v>127</v>
      </c>
      <c r="H178" s="24">
        <f t="shared" si="6"/>
        <v>0</v>
      </c>
      <c r="I178" s="35"/>
      <c r="J178" s="35"/>
      <c r="K178" s="36"/>
      <c r="L178" s="34"/>
      <c r="M178" s="40"/>
      <c r="N178" s="40"/>
      <c r="O178" s="35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17">
        <v>2</v>
      </c>
      <c r="BR178" s="17">
        <f t="shared" si="7"/>
        <v>0</v>
      </c>
      <c r="BS178" s="28">
        <f t="shared" si="8"/>
        <v>0</v>
      </c>
      <c r="BT178" s="28">
        <v>1</v>
      </c>
    </row>
    <row r="179" spans="1:72" ht="15.75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3" t="s">
        <v>88</v>
      </c>
      <c r="G179" s="34" t="s">
        <v>127</v>
      </c>
      <c r="H179" s="24">
        <f t="shared" si="6"/>
        <v>0</v>
      </c>
      <c r="I179" s="35"/>
      <c r="J179" s="35"/>
      <c r="K179" s="36"/>
      <c r="L179" s="34"/>
      <c r="M179" s="40"/>
      <c r="N179" s="40"/>
      <c r="O179" s="35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17">
        <v>2</v>
      </c>
      <c r="BR179" s="17">
        <f t="shared" si="7"/>
        <v>0</v>
      </c>
      <c r="BS179" s="28">
        <f t="shared" si="8"/>
        <v>0</v>
      </c>
      <c r="BT179" s="28">
        <v>1</v>
      </c>
    </row>
    <row r="180" spans="1:72" ht="15.75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3" t="s">
        <v>88</v>
      </c>
      <c r="G180" s="34" t="s">
        <v>127</v>
      </c>
      <c r="H180" s="24">
        <f t="shared" si="6"/>
        <v>0</v>
      </c>
      <c r="I180" s="35"/>
      <c r="J180" s="35"/>
      <c r="K180" s="36"/>
      <c r="L180" s="34"/>
      <c r="M180" s="40"/>
      <c r="N180" s="40"/>
      <c r="O180" s="35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17">
        <v>2</v>
      </c>
      <c r="BR180" s="17">
        <f t="shared" si="7"/>
        <v>0</v>
      </c>
      <c r="BS180" s="28">
        <f t="shared" si="8"/>
        <v>0</v>
      </c>
      <c r="BT180" s="28">
        <v>1</v>
      </c>
    </row>
    <row r="181" spans="1:72" ht="15.75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3" t="s">
        <v>88</v>
      </c>
      <c r="G181" s="34" t="s">
        <v>127</v>
      </c>
      <c r="H181" s="24">
        <f t="shared" si="6"/>
        <v>0</v>
      </c>
      <c r="I181" s="35"/>
      <c r="J181" s="35"/>
      <c r="K181" s="36"/>
      <c r="L181" s="34"/>
      <c r="M181" s="40"/>
      <c r="N181" s="40"/>
      <c r="O181" s="35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41"/>
      <c r="BQ181" s="17">
        <v>2</v>
      </c>
      <c r="BR181" s="17">
        <f t="shared" si="7"/>
        <v>0</v>
      </c>
      <c r="BS181" s="28">
        <f t="shared" si="8"/>
        <v>0</v>
      </c>
      <c r="BT181" s="28">
        <v>1</v>
      </c>
    </row>
    <row r="182" spans="1:72" ht="15.75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3" t="s">
        <v>88</v>
      </c>
      <c r="G182" s="34" t="s">
        <v>127</v>
      </c>
      <c r="H182" s="24">
        <f t="shared" si="6"/>
        <v>0</v>
      </c>
      <c r="I182" s="35"/>
      <c r="J182" s="35"/>
      <c r="K182" s="36"/>
      <c r="L182" s="34"/>
      <c r="M182" s="40"/>
      <c r="N182" s="40"/>
      <c r="O182" s="35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17">
        <v>2</v>
      </c>
      <c r="BR182" s="17">
        <f t="shared" si="7"/>
        <v>0</v>
      </c>
      <c r="BS182" s="28">
        <f t="shared" si="8"/>
        <v>0</v>
      </c>
      <c r="BT182" s="28">
        <v>1</v>
      </c>
    </row>
    <row r="183" spans="1:72" ht="15.75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3" t="s">
        <v>88</v>
      </c>
      <c r="G183" s="34" t="s">
        <v>127</v>
      </c>
      <c r="H183" s="24">
        <f t="shared" si="6"/>
        <v>0</v>
      </c>
      <c r="I183" s="35"/>
      <c r="J183" s="35"/>
      <c r="K183" s="36"/>
      <c r="L183" s="34"/>
      <c r="M183" s="40"/>
      <c r="N183" s="40"/>
      <c r="O183" s="35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17">
        <v>2</v>
      </c>
      <c r="BR183" s="17">
        <f t="shared" si="7"/>
        <v>0</v>
      </c>
      <c r="BS183" s="28">
        <f t="shared" si="8"/>
        <v>0</v>
      </c>
      <c r="BT183" s="28">
        <v>1</v>
      </c>
    </row>
    <row r="184" spans="1:72" ht="15.75" customHeight="1" x14ac:dyDescent="0.3">
      <c r="A184" s="32">
        <v>140</v>
      </c>
      <c r="B184" s="33" t="s">
        <v>406</v>
      </c>
      <c r="C184" s="33" t="s">
        <v>398</v>
      </c>
      <c r="D184" s="33" t="s">
        <v>407</v>
      </c>
      <c r="E184" s="33" t="s">
        <v>240</v>
      </c>
      <c r="F184" s="33" t="s">
        <v>95</v>
      </c>
      <c r="G184" s="34" t="s">
        <v>95</v>
      </c>
      <c r="H184" s="24">
        <f t="shared" si="6"/>
        <v>0.21153846153846154</v>
      </c>
      <c r="I184" s="35"/>
      <c r="J184" s="35"/>
      <c r="K184" s="36"/>
      <c r="L184" s="34"/>
      <c r="M184" s="40"/>
      <c r="N184" s="40"/>
      <c r="O184" s="35"/>
      <c r="P184" s="27" t="s">
        <v>810</v>
      </c>
      <c r="Q184" s="27" t="s">
        <v>810</v>
      </c>
      <c r="R184" s="27" t="s">
        <v>810</v>
      </c>
      <c r="S184" s="27" t="s">
        <v>810</v>
      </c>
      <c r="T184" s="27" t="s">
        <v>810</v>
      </c>
      <c r="U184" s="27" t="s">
        <v>810</v>
      </c>
      <c r="V184" s="27" t="s">
        <v>810</v>
      </c>
      <c r="W184" s="27" t="s">
        <v>810</v>
      </c>
      <c r="X184" s="27" t="s">
        <v>810</v>
      </c>
      <c r="Y184" s="27" t="s">
        <v>810</v>
      </c>
      <c r="Z184" s="27" t="s">
        <v>810</v>
      </c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17"/>
      <c r="BQ184" s="17">
        <v>52</v>
      </c>
      <c r="BR184" s="17">
        <f t="shared" si="7"/>
        <v>11</v>
      </c>
      <c r="BS184" s="28">
        <f t="shared" si="8"/>
        <v>0</v>
      </c>
      <c r="BT184" s="28">
        <v>1</v>
      </c>
    </row>
    <row r="185" spans="1:72" ht="15.75" customHeight="1" x14ac:dyDescent="0.3">
      <c r="A185" s="32">
        <v>140</v>
      </c>
      <c r="B185" s="33" t="s">
        <v>492</v>
      </c>
      <c r="C185" s="33" t="s">
        <v>473</v>
      </c>
      <c r="D185" s="33" t="s">
        <v>493</v>
      </c>
      <c r="E185" s="33" t="s">
        <v>240</v>
      </c>
      <c r="F185" s="33" t="s">
        <v>95</v>
      </c>
      <c r="G185" s="34" t="s">
        <v>95</v>
      </c>
      <c r="H185" s="24">
        <f t="shared" si="6"/>
        <v>0.21153846153846154</v>
      </c>
      <c r="I185" s="35"/>
      <c r="J185" s="35"/>
      <c r="K185" s="36"/>
      <c r="L185" s="34"/>
      <c r="M185" s="40"/>
      <c r="N185" s="40"/>
      <c r="O185" s="35"/>
      <c r="P185" s="27" t="s">
        <v>810</v>
      </c>
      <c r="Q185" s="27" t="s">
        <v>810</v>
      </c>
      <c r="R185" s="27" t="s">
        <v>810</v>
      </c>
      <c r="S185" s="27" t="s">
        <v>810</v>
      </c>
      <c r="T185" s="27" t="s">
        <v>810</v>
      </c>
      <c r="U185" s="27" t="s">
        <v>810</v>
      </c>
      <c r="V185" s="27" t="s">
        <v>810</v>
      </c>
      <c r="W185" s="27" t="s">
        <v>810</v>
      </c>
      <c r="X185" s="27" t="s">
        <v>810</v>
      </c>
      <c r="Y185" s="27" t="s">
        <v>810</v>
      </c>
      <c r="Z185" s="27" t="s">
        <v>810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17"/>
      <c r="BQ185" s="17">
        <v>52</v>
      </c>
      <c r="BR185" s="17">
        <f t="shared" si="7"/>
        <v>11</v>
      </c>
      <c r="BS185" s="28">
        <f t="shared" si="8"/>
        <v>0</v>
      </c>
      <c r="BT185" s="28">
        <v>1</v>
      </c>
    </row>
    <row r="186" spans="1:72" ht="15.75" customHeight="1" x14ac:dyDescent="0.3">
      <c r="A186" s="32">
        <v>140</v>
      </c>
      <c r="B186" s="33" t="s">
        <v>460</v>
      </c>
      <c r="C186" s="33" t="s">
        <v>448</v>
      </c>
      <c r="D186" s="33" t="s">
        <v>461</v>
      </c>
      <c r="E186" s="33" t="s">
        <v>240</v>
      </c>
      <c r="F186" s="33" t="s">
        <v>95</v>
      </c>
      <c r="G186" s="34" t="s">
        <v>95</v>
      </c>
      <c r="H186" s="24">
        <f t="shared" si="6"/>
        <v>0.21153846153846154</v>
      </c>
      <c r="I186" s="35"/>
      <c r="J186" s="35"/>
      <c r="K186" s="36"/>
      <c r="L186" s="34"/>
      <c r="M186" s="40"/>
      <c r="N186" s="40"/>
      <c r="O186" s="35"/>
      <c r="P186" s="27" t="s">
        <v>810</v>
      </c>
      <c r="Q186" s="27" t="s">
        <v>810</v>
      </c>
      <c r="R186" s="27" t="s">
        <v>810</v>
      </c>
      <c r="S186" s="27" t="s">
        <v>810</v>
      </c>
      <c r="T186" s="27" t="s">
        <v>810</v>
      </c>
      <c r="U186" s="27" t="s">
        <v>810</v>
      </c>
      <c r="V186" s="27" t="s">
        <v>810</v>
      </c>
      <c r="W186" s="27" t="s">
        <v>810</v>
      </c>
      <c r="X186" s="27" t="s">
        <v>810</v>
      </c>
      <c r="Y186" s="27" t="s">
        <v>810</v>
      </c>
      <c r="Z186" s="27" t="s">
        <v>810</v>
      </c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17"/>
      <c r="BQ186" s="17">
        <v>52</v>
      </c>
      <c r="BR186" s="17">
        <f t="shared" si="7"/>
        <v>11</v>
      </c>
      <c r="BS186" s="28">
        <f t="shared" si="8"/>
        <v>0</v>
      </c>
      <c r="BT186" s="28">
        <v>1</v>
      </c>
    </row>
    <row r="187" spans="1:72" ht="15.75" customHeight="1" x14ac:dyDescent="0.3">
      <c r="A187" s="32">
        <v>140</v>
      </c>
      <c r="B187" s="33" t="s">
        <v>501</v>
      </c>
      <c r="C187" s="33" t="s">
        <v>495</v>
      </c>
      <c r="D187" s="33" t="s">
        <v>502</v>
      </c>
      <c r="E187" s="33" t="s">
        <v>240</v>
      </c>
      <c r="F187" s="33" t="s">
        <v>95</v>
      </c>
      <c r="G187" s="34" t="s">
        <v>95</v>
      </c>
      <c r="H187" s="24">
        <f t="shared" si="6"/>
        <v>0.21153846153846154</v>
      </c>
      <c r="I187" s="35"/>
      <c r="J187" s="35"/>
      <c r="K187" s="36"/>
      <c r="L187" s="34"/>
      <c r="M187" s="40"/>
      <c r="N187" s="40"/>
      <c r="O187" s="35"/>
      <c r="P187" s="27" t="s">
        <v>810</v>
      </c>
      <c r="Q187" s="27" t="s">
        <v>810</v>
      </c>
      <c r="R187" s="27" t="s">
        <v>810</v>
      </c>
      <c r="S187" s="27" t="s">
        <v>810</v>
      </c>
      <c r="T187" s="27" t="s">
        <v>810</v>
      </c>
      <c r="U187" s="27" t="s">
        <v>810</v>
      </c>
      <c r="V187" s="27" t="s">
        <v>810</v>
      </c>
      <c r="W187" s="27" t="s">
        <v>810</v>
      </c>
      <c r="X187" s="27" t="s">
        <v>810</v>
      </c>
      <c r="Y187" s="27" t="s">
        <v>810</v>
      </c>
      <c r="Z187" s="27" t="s">
        <v>810</v>
      </c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17"/>
      <c r="BQ187" s="17">
        <v>52</v>
      </c>
      <c r="BR187" s="17">
        <f t="shared" si="7"/>
        <v>11</v>
      </c>
      <c r="BS187" s="28">
        <f t="shared" si="8"/>
        <v>0</v>
      </c>
      <c r="BT187" s="28">
        <v>1</v>
      </c>
    </row>
    <row r="188" spans="1:72" ht="15.75" customHeight="1" x14ac:dyDescent="0.3">
      <c r="A188" s="32">
        <v>140</v>
      </c>
      <c r="B188" s="33" t="s">
        <v>462</v>
      </c>
      <c r="C188" s="33" t="s">
        <v>448</v>
      </c>
      <c r="D188" s="33" t="s">
        <v>463</v>
      </c>
      <c r="E188" s="33" t="s">
        <v>240</v>
      </c>
      <c r="F188" s="33" t="s">
        <v>95</v>
      </c>
      <c r="G188" s="34" t="s">
        <v>95</v>
      </c>
      <c r="H188" s="24">
        <f t="shared" si="6"/>
        <v>0.21153846153846154</v>
      </c>
      <c r="I188" s="35"/>
      <c r="J188" s="35"/>
      <c r="K188" s="36"/>
      <c r="L188" s="34"/>
      <c r="M188" s="40"/>
      <c r="N188" s="40"/>
      <c r="O188" s="35"/>
      <c r="P188" s="27" t="s">
        <v>810</v>
      </c>
      <c r="Q188" s="27" t="s">
        <v>810</v>
      </c>
      <c r="R188" s="27" t="s">
        <v>810</v>
      </c>
      <c r="S188" s="27" t="s">
        <v>810</v>
      </c>
      <c r="T188" s="27" t="s">
        <v>810</v>
      </c>
      <c r="U188" s="27" t="s">
        <v>810</v>
      </c>
      <c r="V188" s="27" t="s">
        <v>810</v>
      </c>
      <c r="W188" s="27" t="s">
        <v>810</v>
      </c>
      <c r="X188" s="27" t="s">
        <v>810</v>
      </c>
      <c r="Y188" s="27" t="s">
        <v>810</v>
      </c>
      <c r="Z188" s="27" t="s">
        <v>810</v>
      </c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17"/>
      <c r="BQ188" s="17">
        <v>52</v>
      </c>
      <c r="BR188" s="17">
        <f t="shared" si="7"/>
        <v>11</v>
      </c>
      <c r="BS188" s="28">
        <f t="shared" si="8"/>
        <v>0</v>
      </c>
      <c r="BT188" s="28">
        <v>1</v>
      </c>
    </row>
    <row r="189" spans="1:72" ht="15.75" customHeight="1" x14ac:dyDescent="0.3">
      <c r="A189" s="32">
        <v>140</v>
      </c>
      <c r="B189" s="33" t="s">
        <v>503</v>
      </c>
      <c r="C189" s="33" t="s">
        <v>495</v>
      </c>
      <c r="D189" s="33" t="s">
        <v>504</v>
      </c>
      <c r="E189" s="33" t="s">
        <v>240</v>
      </c>
      <c r="F189" s="33" t="s">
        <v>95</v>
      </c>
      <c r="G189" s="34" t="s">
        <v>95</v>
      </c>
      <c r="H189" s="24">
        <f t="shared" si="6"/>
        <v>0.21153846153846154</v>
      </c>
      <c r="I189" s="35"/>
      <c r="J189" s="35"/>
      <c r="K189" s="36"/>
      <c r="L189" s="34"/>
      <c r="M189" s="40"/>
      <c r="N189" s="40"/>
      <c r="O189" s="35"/>
      <c r="P189" s="27" t="s">
        <v>810</v>
      </c>
      <c r="Q189" s="27" t="s">
        <v>810</v>
      </c>
      <c r="R189" s="27" t="s">
        <v>810</v>
      </c>
      <c r="S189" s="27" t="s">
        <v>810</v>
      </c>
      <c r="T189" s="27" t="s">
        <v>810</v>
      </c>
      <c r="U189" s="27" t="s">
        <v>810</v>
      </c>
      <c r="V189" s="27" t="s">
        <v>810</v>
      </c>
      <c r="W189" s="27" t="s">
        <v>810</v>
      </c>
      <c r="X189" s="27" t="s">
        <v>810</v>
      </c>
      <c r="Y189" s="27" t="s">
        <v>810</v>
      </c>
      <c r="Z189" s="27" t="s">
        <v>810</v>
      </c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17"/>
      <c r="BQ189" s="17">
        <v>52</v>
      </c>
      <c r="BR189" s="17">
        <f t="shared" si="7"/>
        <v>11</v>
      </c>
      <c r="BS189" s="28">
        <f t="shared" si="8"/>
        <v>0</v>
      </c>
      <c r="BT189" s="28">
        <v>1</v>
      </c>
    </row>
    <row r="190" spans="1:72" ht="15.75" customHeight="1" x14ac:dyDescent="0.3">
      <c r="A190" s="32">
        <v>140</v>
      </c>
      <c r="B190" s="33" t="s">
        <v>464</v>
      </c>
      <c r="C190" s="33" t="s">
        <v>448</v>
      </c>
      <c r="D190" s="33" t="s">
        <v>465</v>
      </c>
      <c r="E190" s="33" t="s">
        <v>240</v>
      </c>
      <c r="F190" s="33" t="s">
        <v>95</v>
      </c>
      <c r="G190" s="34" t="s">
        <v>95</v>
      </c>
      <c r="H190" s="24">
        <f t="shared" si="6"/>
        <v>0.21153846153846154</v>
      </c>
      <c r="I190" s="35"/>
      <c r="J190" s="35"/>
      <c r="K190" s="36"/>
      <c r="L190" s="34"/>
      <c r="M190" s="40"/>
      <c r="N190" s="40"/>
      <c r="O190" s="35"/>
      <c r="P190" s="27" t="s">
        <v>810</v>
      </c>
      <c r="Q190" s="27" t="s">
        <v>810</v>
      </c>
      <c r="R190" s="27" t="s">
        <v>810</v>
      </c>
      <c r="S190" s="27" t="s">
        <v>810</v>
      </c>
      <c r="T190" s="27" t="s">
        <v>810</v>
      </c>
      <c r="U190" s="27" t="s">
        <v>810</v>
      </c>
      <c r="V190" s="27" t="s">
        <v>810</v>
      </c>
      <c r="W190" s="27" t="s">
        <v>810</v>
      </c>
      <c r="X190" s="27" t="s">
        <v>810</v>
      </c>
      <c r="Y190" s="27" t="s">
        <v>810</v>
      </c>
      <c r="Z190" s="27" t="s">
        <v>810</v>
      </c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17"/>
      <c r="BQ190" s="17">
        <v>52</v>
      </c>
      <c r="BR190" s="17">
        <f t="shared" si="7"/>
        <v>11</v>
      </c>
      <c r="BS190" s="28">
        <f t="shared" si="8"/>
        <v>0</v>
      </c>
      <c r="BT190" s="28">
        <v>1</v>
      </c>
    </row>
    <row r="191" spans="1:72" ht="15.75" customHeight="1" x14ac:dyDescent="0.3">
      <c r="A191" s="32">
        <v>140</v>
      </c>
      <c r="B191" s="33" t="s">
        <v>482</v>
      </c>
      <c r="C191" s="33" t="s">
        <v>473</v>
      </c>
      <c r="D191" s="33" t="s">
        <v>483</v>
      </c>
      <c r="E191" s="33" t="s">
        <v>240</v>
      </c>
      <c r="F191" s="33" t="s">
        <v>95</v>
      </c>
      <c r="G191" s="34" t="s">
        <v>95</v>
      </c>
      <c r="H191" s="24">
        <f t="shared" si="6"/>
        <v>0.21153846153846154</v>
      </c>
      <c r="I191" s="35"/>
      <c r="J191" s="35"/>
      <c r="K191" s="36"/>
      <c r="L191" s="34"/>
      <c r="M191" s="40"/>
      <c r="N191" s="40"/>
      <c r="O191" s="35"/>
      <c r="P191" s="27" t="s">
        <v>810</v>
      </c>
      <c r="Q191" s="27" t="s">
        <v>810</v>
      </c>
      <c r="R191" s="27" t="s">
        <v>810</v>
      </c>
      <c r="S191" s="27" t="s">
        <v>810</v>
      </c>
      <c r="T191" s="27" t="s">
        <v>810</v>
      </c>
      <c r="U191" s="27" t="s">
        <v>810</v>
      </c>
      <c r="V191" s="27" t="s">
        <v>810</v>
      </c>
      <c r="W191" s="27" t="s">
        <v>810</v>
      </c>
      <c r="X191" s="27" t="s">
        <v>810</v>
      </c>
      <c r="Y191" s="27" t="s">
        <v>810</v>
      </c>
      <c r="Z191" s="27" t="s">
        <v>810</v>
      </c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17"/>
      <c r="BQ191" s="17">
        <v>52</v>
      </c>
      <c r="BR191" s="17">
        <f t="shared" si="7"/>
        <v>11</v>
      </c>
      <c r="BS191" s="28">
        <f t="shared" si="8"/>
        <v>0</v>
      </c>
      <c r="BT191" s="28">
        <v>1</v>
      </c>
    </row>
    <row r="192" spans="1:72" ht="15.75" customHeight="1" x14ac:dyDescent="0.3">
      <c r="A192" s="32">
        <v>140</v>
      </c>
      <c r="B192" s="33" t="s">
        <v>484</v>
      </c>
      <c r="C192" s="33" t="s">
        <v>473</v>
      </c>
      <c r="D192" s="33" t="s">
        <v>485</v>
      </c>
      <c r="E192" s="33" t="s">
        <v>240</v>
      </c>
      <c r="F192" s="33" t="s">
        <v>95</v>
      </c>
      <c r="G192" s="34" t="s">
        <v>95</v>
      </c>
      <c r="H192" s="24">
        <f t="shared" si="6"/>
        <v>0.21153846153846154</v>
      </c>
      <c r="I192" s="35"/>
      <c r="J192" s="35"/>
      <c r="K192" s="36"/>
      <c r="L192" s="34"/>
      <c r="M192" s="40"/>
      <c r="N192" s="40"/>
      <c r="O192" s="35"/>
      <c r="P192" s="27" t="s">
        <v>810</v>
      </c>
      <c r="Q192" s="27" t="s">
        <v>810</v>
      </c>
      <c r="R192" s="27" t="s">
        <v>810</v>
      </c>
      <c r="S192" s="27" t="s">
        <v>810</v>
      </c>
      <c r="T192" s="27" t="s">
        <v>810</v>
      </c>
      <c r="U192" s="27" t="s">
        <v>810</v>
      </c>
      <c r="V192" s="27" t="s">
        <v>810</v>
      </c>
      <c r="W192" s="27" t="s">
        <v>810</v>
      </c>
      <c r="X192" s="27" t="s">
        <v>810</v>
      </c>
      <c r="Y192" s="27" t="s">
        <v>810</v>
      </c>
      <c r="Z192" s="27" t="s">
        <v>810</v>
      </c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17"/>
      <c r="BQ192" s="17">
        <v>52</v>
      </c>
      <c r="BR192" s="17">
        <f t="shared" si="7"/>
        <v>11</v>
      </c>
      <c r="BS192" s="28">
        <f t="shared" si="8"/>
        <v>0</v>
      </c>
      <c r="BT192" s="28">
        <v>1</v>
      </c>
    </row>
    <row r="193" spans="1:72" ht="15.75" customHeight="1" x14ac:dyDescent="0.3">
      <c r="A193" s="32">
        <v>140</v>
      </c>
      <c r="B193" s="33" t="s">
        <v>486</v>
      </c>
      <c r="C193" s="33" t="s">
        <v>473</v>
      </c>
      <c r="D193" s="33" t="s">
        <v>487</v>
      </c>
      <c r="E193" s="33" t="s">
        <v>240</v>
      </c>
      <c r="F193" s="33" t="s">
        <v>95</v>
      </c>
      <c r="G193" s="34" t="s">
        <v>95</v>
      </c>
      <c r="H193" s="24">
        <f t="shared" si="6"/>
        <v>0.21153846153846154</v>
      </c>
      <c r="I193" s="35"/>
      <c r="J193" s="35"/>
      <c r="K193" s="36"/>
      <c r="L193" s="34"/>
      <c r="M193" s="40"/>
      <c r="N193" s="40"/>
      <c r="O193" s="35"/>
      <c r="P193" s="27" t="s">
        <v>810</v>
      </c>
      <c r="Q193" s="27" t="s">
        <v>810</v>
      </c>
      <c r="R193" s="27" t="s">
        <v>810</v>
      </c>
      <c r="S193" s="27" t="s">
        <v>810</v>
      </c>
      <c r="T193" s="27" t="s">
        <v>810</v>
      </c>
      <c r="U193" s="27" t="s">
        <v>810</v>
      </c>
      <c r="V193" s="27" t="s">
        <v>810</v>
      </c>
      <c r="W193" s="27" t="s">
        <v>810</v>
      </c>
      <c r="X193" s="27" t="s">
        <v>810</v>
      </c>
      <c r="Y193" s="27" t="s">
        <v>810</v>
      </c>
      <c r="Z193" s="27" t="s">
        <v>810</v>
      </c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49"/>
      <c r="BQ193" s="17">
        <v>52</v>
      </c>
      <c r="BR193" s="17">
        <f t="shared" si="7"/>
        <v>11</v>
      </c>
      <c r="BS193" s="28">
        <f t="shared" si="8"/>
        <v>0</v>
      </c>
      <c r="BT193" s="28">
        <v>1</v>
      </c>
    </row>
    <row r="194" spans="1:72" ht="15.75" customHeight="1" x14ac:dyDescent="0.3">
      <c r="A194" s="32">
        <v>140</v>
      </c>
      <c r="B194" s="33" t="s">
        <v>466</v>
      </c>
      <c r="C194" s="33" t="s">
        <v>448</v>
      </c>
      <c r="D194" s="33" t="s">
        <v>467</v>
      </c>
      <c r="E194" s="33" t="s">
        <v>240</v>
      </c>
      <c r="F194" s="33" t="s">
        <v>95</v>
      </c>
      <c r="G194" s="34" t="s">
        <v>95</v>
      </c>
      <c r="H194" s="24">
        <f t="shared" si="6"/>
        <v>0.21153846153846154</v>
      </c>
      <c r="I194" s="35"/>
      <c r="J194" s="35"/>
      <c r="K194" s="36"/>
      <c r="L194" s="34"/>
      <c r="M194" s="40"/>
      <c r="N194" s="51"/>
      <c r="O194" s="35"/>
      <c r="P194" s="27" t="s">
        <v>810</v>
      </c>
      <c r="Q194" s="27" t="s">
        <v>810</v>
      </c>
      <c r="R194" s="27" t="s">
        <v>810</v>
      </c>
      <c r="S194" s="27" t="s">
        <v>810</v>
      </c>
      <c r="T194" s="27" t="s">
        <v>810</v>
      </c>
      <c r="U194" s="27" t="s">
        <v>810</v>
      </c>
      <c r="V194" s="27" t="s">
        <v>810</v>
      </c>
      <c r="W194" s="27" t="s">
        <v>810</v>
      </c>
      <c r="X194" s="27" t="s">
        <v>810</v>
      </c>
      <c r="Y194" s="27" t="s">
        <v>810</v>
      </c>
      <c r="Z194" s="27" t="s">
        <v>810</v>
      </c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17"/>
      <c r="BQ194" s="17">
        <v>52</v>
      </c>
      <c r="BR194" s="17">
        <f t="shared" si="7"/>
        <v>11</v>
      </c>
      <c r="BS194" s="28">
        <f t="shared" si="8"/>
        <v>0</v>
      </c>
      <c r="BT194" s="28">
        <v>1</v>
      </c>
    </row>
    <row r="195" spans="1:72" ht="15.75" customHeight="1" x14ac:dyDescent="0.3">
      <c r="A195" s="32">
        <v>140</v>
      </c>
      <c r="B195" s="33" t="s">
        <v>505</v>
      </c>
      <c r="C195" s="33" t="s">
        <v>495</v>
      </c>
      <c r="D195" s="33" t="s">
        <v>506</v>
      </c>
      <c r="E195" s="33" t="s">
        <v>240</v>
      </c>
      <c r="F195" s="33" t="s">
        <v>95</v>
      </c>
      <c r="G195" s="34" t="s">
        <v>95</v>
      </c>
      <c r="H195" s="24">
        <f t="shared" si="6"/>
        <v>0.21153846153846154</v>
      </c>
      <c r="I195" s="35"/>
      <c r="J195" s="35"/>
      <c r="K195" s="36"/>
      <c r="L195" s="34"/>
      <c r="M195" s="40"/>
      <c r="N195" s="51"/>
      <c r="O195" s="35"/>
      <c r="P195" s="27" t="s">
        <v>810</v>
      </c>
      <c r="Q195" s="27" t="s">
        <v>810</v>
      </c>
      <c r="R195" s="27" t="s">
        <v>810</v>
      </c>
      <c r="S195" s="27" t="s">
        <v>810</v>
      </c>
      <c r="T195" s="27" t="s">
        <v>810</v>
      </c>
      <c r="U195" s="27" t="s">
        <v>810</v>
      </c>
      <c r="V195" s="27" t="s">
        <v>810</v>
      </c>
      <c r="W195" s="27" t="s">
        <v>810</v>
      </c>
      <c r="X195" s="27" t="s">
        <v>810</v>
      </c>
      <c r="Y195" s="27" t="s">
        <v>810</v>
      </c>
      <c r="Z195" s="27" t="s">
        <v>810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17"/>
      <c r="BQ195" s="17">
        <v>52</v>
      </c>
      <c r="BR195" s="17">
        <f t="shared" si="7"/>
        <v>11</v>
      </c>
      <c r="BS195" s="28">
        <f t="shared" si="8"/>
        <v>0</v>
      </c>
      <c r="BT195" s="28">
        <v>1</v>
      </c>
    </row>
    <row r="196" spans="1:72" ht="15.75" customHeight="1" x14ac:dyDescent="0.3">
      <c r="A196" s="32">
        <v>140</v>
      </c>
      <c r="B196" s="33" t="s">
        <v>445</v>
      </c>
      <c r="C196" s="52" t="s">
        <v>437</v>
      </c>
      <c r="D196" s="33" t="s">
        <v>446</v>
      </c>
      <c r="E196" s="33" t="s">
        <v>240</v>
      </c>
      <c r="F196" s="33" t="s">
        <v>95</v>
      </c>
      <c r="G196" s="34" t="s">
        <v>95</v>
      </c>
      <c r="H196" s="24">
        <f t="shared" si="6"/>
        <v>0.21153846153846154</v>
      </c>
      <c r="I196" s="35"/>
      <c r="J196" s="35"/>
      <c r="K196" s="36"/>
      <c r="L196" s="34"/>
      <c r="M196" s="40"/>
      <c r="N196" s="51"/>
      <c r="O196" s="35"/>
      <c r="P196" s="27" t="s">
        <v>810</v>
      </c>
      <c r="Q196" s="27" t="s">
        <v>810</v>
      </c>
      <c r="R196" s="27" t="s">
        <v>810</v>
      </c>
      <c r="S196" s="27" t="s">
        <v>810</v>
      </c>
      <c r="T196" s="27" t="s">
        <v>810</v>
      </c>
      <c r="U196" s="27" t="s">
        <v>810</v>
      </c>
      <c r="V196" s="27" t="s">
        <v>810</v>
      </c>
      <c r="W196" s="27" t="s">
        <v>810</v>
      </c>
      <c r="X196" s="27" t="s">
        <v>810</v>
      </c>
      <c r="Y196" s="27" t="s">
        <v>810</v>
      </c>
      <c r="Z196" s="27" t="s">
        <v>810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17"/>
      <c r="BQ196" s="17">
        <v>52</v>
      </c>
      <c r="BR196" s="17">
        <f t="shared" si="7"/>
        <v>11</v>
      </c>
      <c r="BS196" s="28">
        <f t="shared" si="8"/>
        <v>0</v>
      </c>
      <c r="BT196" s="28">
        <v>1</v>
      </c>
    </row>
    <row r="197" spans="1:72" ht="15.75" customHeight="1" x14ac:dyDescent="0.3">
      <c r="A197" s="32">
        <v>140</v>
      </c>
      <c r="B197" s="33" t="s">
        <v>488</v>
      </c>
      <c r="C197" s="33" t="s">
        <v>473</v>
      </c>
      <c r="D197" s="33" t="s">
        <v>489</v>
      </c>
      <c r="E197" s="33" t="s">
        <v>240</v>
      </c>
      <c r="F197" s="33" t="s">
        <v>95</v>
      </c>
      <c r="G197" s="34" t="s">
        <v>95</v>
      </c>
      <c r="H197" s="24">
        <f t="shared" ref="H197:H260" si="9">IF(BQ197=0," ",(BR197/BQ197))</f>
        <v>0.21153846153846154</v>
      </c>
      <c r="I197" s="35"/>
      <c r="J197" s="35"/>
      <c r="K197" s="36"/>
      <c r="L197" s="34"/>
      <c r="M197" s="40"/>
      <c r="N197" s="40"/>
      <c r="O197" s="35"/>
      <c r="P197" s="27" t="s">
        <v>810</v>
      </c>
      <c r="Q197" s="27" t="s">
        <v>810</v>
      </c>
      <c r="R197" s="27" t="s">
        <v>810</v>
      </c>
      <c r="S197" s="27" t="s">
        <v>810</v>
      </c>
      <c r="T197" s="27" t="s">
        <v>810</v>
      </c>
      <c r="U197" s="27" t="s">
        <v>810</v>
      </c>
      <c r="V197" s="27" t="s">
        <v>810</v>
      </c>
      <c r="W197" s="27" t="s">
        <v>810</v>
      </c>
      <c r="X197" s="27" t="s">
        <v>810</v>
      </c>
      <c r="Y197" s="27" t="s">
        <v>810</v>
      </c>
      <c r="Z197" s="27" t="s">
        <v>810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17"/>
      <c r="BQ197" s="17">
        <v>52</v>
      </c>
      <c r="BR197" s="17">
        <f t="shared" ref="BR197:BR260" si="10">IF(COUNTA(P197:BP197)&gt;BQ197,BQ197,COUNTA(P197:BP197))</f>
        <v>11</v>
      </c>
      <c r="BS197" s="28">
        <f t="shared" ref="BS197:BS260" si="11">IF(H197=1,1,0)</f>
        <v>0</v>
      </c>
      <c r="BT197" s="28">
        <v>1</v>
      </c>
    </row>
    <row r="198" spans="1:72" ht="15.75" customHeight="1" x14ac:dyDescent="0.3">
      <c r="A198" s="32">
        <v>140</v>
      </c>
      <c r="B198" s="33" t="s">
        <v>490</v>
      </c>
      <c r="C198" s="33" t="s">
        <v>473</v>
      </c>
      <c r="D198" s="33" t="s">
        <v>491</v>
      </c>
      <c r="E198" s="33" t="s">
        <v>240</v>
      </c>
      <c r="F198" s="33" t="s">
        <v>95</v>
      </c>
      <c r="G198" s="34" t="s">
        <v>95</v>
      </c>
      <c r="H198" s="24">
        <f t="shared" si="9"/>
        <v>0.21153846153846154</v>
      </c>
      <c r="I198" s="35"/>
      <c r="J198" s="35"/>
      <c r="K198" s="36"/>
      <c r="L198" s="34"/>
      <c r="M198" s="40"/>
      <c r="N198" s="51"/>
      <c r="O198" s="35"/>
      <c r="P198" s="27" t="s">
        <v>810</v>
      </c>
      <c r="Q198" s="27" t="s">
        <v>810</v>
      </c>
      <c r="R198" s="27" t="s">
        <v>810</v>
      </c>
      <c r="S198" s="27" t="s">
        <v>810</v>
      </c>
      <c r="T198" s="27" t="s">
        <v>810</v>
      </c>
      <c r="U198" s="27" t="s">
        <v>810</v>
      </c>
      <c r="V198" s="27" t="s">
        <v>810</v>
      </c>
      <c r="W198" s="27" t="s">
        <v>810</v>
      </c>
      <c r="X198" s="27" t="s">
        <v>810</v>
      </c>
      <c r="Y198" s="27" t="s">
        <v>810</v>
      </c>
      <c r="Z198" s="27" t="s">
        <v>810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17"/>
      <c r="BQ198" s="17">
        <v>52</v>
      </c>
      <c r="BR198" s="17">
        <f t="shared" si="10"/>
        <v>11</v>
      </c>
      <c r="BS198" s="28">
        <f t="shared" si="11"/>
        <v>0</v>
      </c>
      <c r="BT198" s="28">
        <v>1</v>
      </c>
    </row>
    <row r="199" spans="1:72" ht="15.75" customHeight="1" x14ac:dyDescent="0.3">
      <c r="A199" s="32">
        <v>140</v>
      </c>
      <c r="B199" s="33" t="s">
        <v>430</v>
      </c>
      <c r="C199" s="33" t="s">
        <v>425</v>
      </c>
      <c r="D199" s="33" t="s">
        <v>431</v>
      </c>
      <c r="E199" s="33" t="s">
        <v>240</v>
      </c>
      <c r="F199" s="33" t="s">
        <v>95</v>
      </c>
      <c r="G199" s="34" t="s">
        <v>95</v>
      </c>
      <c r="H199" s="24">
        <f t="shared" si="9"/>
        <v>0.21153846153846154</v>
      </c>
      <c r="I199" s="35"/>
      <c r="J199" s="35"/>
      <c r="K199" s="36"/>
      <c r="L199" s="34"/>
      <c r="M199" s="40"/>
      <c r="N199" s="51"/>
      <c r="O199" s="35"/>
      <c r="P199" s="27" t="s">
        <v>810</v>
      </c>
      <c r="Q199" s="27" t="s">
        <v>810</v>
      </c>
      <c r="R199" s="27" t="s">
        <v>810</v>
      </c>
      <c r="S199" s="27" t="s">
        <v>810</v>
      </c>
      <c r="T199" s="27" t="s">
        <v>810</v>
      </c>
      <c r="U199" s="27" t="s">
        <v>810</v>
      </c>
      <c r="V199" s="27" t="s">
        <v>810</v>
      </c>
      <c r="W199" s="27" t="s">
        <v>810</v>
      </c>
      <c r="X199" s="27" t="s">
        <v>810</v>
      </c>
      <c r="Y199" s="27" t="s">
        <v>810</v>
      </c>
      <c r="Z199" s="27" t="s">
        <v>810</v>
      </c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17"/>
      <c r="BQ199" s="17">
        <v>52</v>
      </c>
      <c r="BR199" s="17">
        <f t="shared" si="10"/>
        <v>11</v>
      </c>
      <c r="BS199" s="28">
        <f t="shared" si="11"/>
        <v>0</v>
      </c>
      <c r="BT199" s="28">
        <v>1</v>
      </c>
    </row>
    <row r="200" spans="1:72" ht="15.75" customHeight="1" x14ac:dyDescent="0.3">
      <c r="A200" s="32">
        <v>140</v>
      </c>
      <c r="B200" s="33" t="s">
        <v>475</v>
      </c>
      <c r="C200" s="33" t="s">
        <v>473</v>
      </c>
      <c r="D200" s="33" t="s">
        <v>476</v>
      </c>
      <c r="E200" s="33" t="s">
        <v>240</v>
      </c>
      <c r="F200" s="33" t="s">
        <v>93</v>
      </c>
      <c r="G200" s="34" t="s">
        <v>119</v>
      </c>
      <c r="H200" s="24">
        <f t="shared" si="9"/>
        <v>0.25</v>
      </c>
      <c r="I200" s="35"/>
      <c r="J200" s="35"/>
      <c r="K200" s="36"/>
      <c r="L200" s="34"/>
      <c r="M200" s="40"/>
      <c r="N200" s="51"/>
      <c r="O200" s="35"/>
      <c r="P200" s="27" t="s">
        <v>810</v>
      </c>
      <c r="Q200" s="27"/>
      <c r="R200" s="27"/>
      <c r="S200" s="27"/>
      <c r="T200" s="27"/>
      <c r="U200" s="27" t="s">
        <v>810</v>
      </c>
      <c r="V200" s="27"/>
      <c r="W200" s="27"/>
      <c r="X200" s="27"/>
      <c r="Y200" s="27" t="s">
        <v>810</v>
      </c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17"/>
      <c r="BP200" s="17"/>
      <c r="BQ200" s="17">
        <v>12</v>
      </c>
      <c r="BR200" s="17">
        <f t="shared" si="10"/>
        <v>3</v>
      </c>
      <c r="BS200" s="28">
        <f t="shared" si="11"/>
        <v>0</v>
      </c>
      <c r="BT200" s="28">
        <v>1</v>
      </c>
    </row>
    <row r="201" spans="1:72" ht="15.75" customHeight="1" x14ac:dyDescent="0.3">
      <c r="A201" s="32">
        <v>140</v>
      </c>
      <c r="B201" s="33" t="s">
        <v>475</v>
      </c>
      <c r="C201" s="33" t="s">
        <v>473</v>
      </c>
      <c r="D201" s="33" t="s">
        <v>476</v>
      </c>
      <c r="E201" s="33" t="s">
        <v>477</v>
      </c>
      <c r="F201" s="33" t="s">
        <v>93</v>
      </c>
      <c r="G201" s="34" t="s">
        <v>119</v>
      </c>
      <c r="H201" s="24">
        <f t="shared" si="9"/>
        <v>0.25</v>
      </c>
      <c r="I201" s="35"/>
      <c r="J201" s="35"/>
      <c r="K201" s="36"/>
      <c r="L201" s="34"/>
      <c r="M201" s="40"/>
      <c r="N201" s="40"/>
      <c r="O201" s="35"/>
      <c r="P201" s="27" t="s">
        <v>810</v>
      </c>
      <c r="Q201" s="27"/>
      <c r="R201" s="27"/>
      <c r="S201" s="27"/>
      <c r="T201" s="27"/>
      <c r="U201" s="27" t="s">
        <v>810</v>
      </c>
      <c r="V201" s="27"/>
      <c r="W201" s="27"/>
      <c r="X201" s="27"/>
      <c r="Y201" s="27" t="s">
        <v>810</v>
      </c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17"/>
      <c r="BP201" s="49"/>
      <c r="BQ201" s="17">
        <v>12</v>
      </c>
      <c r="BR201" s="17">
        <f t="shared" si="10"/>
        <v>3</v>
      </c>
      <c r="BS201" s="28">
        <f t="shared" si="11"/>
        <v>0</v>
      </c>
      <c r="BT201" s="28">
        <v>1</v>
      </c>
    </row>
    <row r="202" spans="1:72" ht="15.75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 t="s">
        <v>479</v>
      </c>
      <c r="G202" s="33"/>
      <c r="H202" s="24">
        <f t="shared" si="9"/>
        <v>0</v>
      </c>
      <c r="I202" s="35"/>
      <c r="J202" s="35"/>
      <c r="K202" s="36"/>
      <c r="L202" s="34"/>
      <c r="M202" s="40"/>
      <c r="N202" s="51"/>
      <c r="O202" s="35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17"/>
      <c r="BP202" s="49"/>
      <c r="BQ202" s="17">
        <v>1</v>
      </c>
      <c r="BR202" s="17">
        <f t="shared" si="10"/>
        <v>0</v>
      </c>
      <c r="BS202" s="28">
        <f t="shared" si="11"/>
        <v>0</v>
      </c>
      <c r="BT202" s="28">
        <v>1</v>
      </c>
    </row>
    <row r="203" spans="1:72" ht="15.75" customHeight="1" x14ac:dyDescent="0.3">
      <c r="A203" s="32">
        <v>140</v>
      </c>
      <c r="B203" s="33" t="s">
        <v>480</v>
      </c>
      <c r="C203" s="33" t="s">
        <v>473</v>
      </c>
      <c r="D203" s="33" t="s">
        <v>481</v>
      </c>
      <c r="E203" s="33" t="s">
        <v>240</v>
      </c>
      <c r="F203" s="33" t="s">
        <v>93</v>
      </c>
      <c r="G203" s="34" t="s">
        <v>119</v>
      </c>
      <c r="H203" s="24">
        <f t="shared" si="9"/>
        <v>0.25</v>
      </c>
      <c r="I203" s="35"/>
      <c r="J203" s="35"/>
      <c r="K203" s="36"/>
      <c r="L203" s="34"/>
      <c r="M203" s="40"/>
      <c r="N203" s="51"/>
      <c r="O203" s="35"/>
      <c r="P203" s="27" t="s">
        <v>810</v>
      </c>
      <c r="Q203" s="27"/>
      <c r="R203" s="27"/>
      <c r="S203" s="27"/>
      <c r="T203" s="27"/>
      <c r="U203" s="27" t="s">
        <v>810</v>
      </c>
      <c r="V203" s="27"/>
      <c r="W203" s="27"/>
      <c r="X203" s="27"/>
      <c r="Y203" s="27" t="s">
        <v>810</v>
      </c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17"/>
      <c r="BP203" s="17"/>
      <c r="BQ203" s="17">
        <v>12</v>
      </c>
      <c r="BR203" s="17">
        <f t="shared" si="10"/>
        <v>3</v>
      </c>
      <c r="BS203" s="28">
        <f t="shared" si="11"/>
        <v>0</v>
      </c>
      <c r="BT203" s="28">
        <v>1</v>
      </c>
    </row>
    <row r="204" spans="1:72" ht="15.75" customHeight="1" x14ac:dyDescent="0.3">
      <c r="A204" s="32">
        <v>140</v>
      </c>
      <c r="B204" s="33" t="s">
        <v>480</v>
      </c>
      <c r="C204" s="33" t="s">
        <v>473</v>
      </c>
      <c r="D204" s="33" t="s">
        <v>481</v>
      </c>
      <c r="E204" s="33" t="s">
        <v>477</v>
      </c>
      <c r="F204" s="33" t="s">
        <v>93</v>
      </c>
      <c r="G204" s="34" t="s">
        <v>119</v>
      </c>
      <c r="H204" s="24">
        <f t="shared" si="9"/>
        <v>0.25</v>
      </c>
      <c r="I204" s="35"/>
      <c r="J204" s="35"/>
      <c r="K204" s="36"/>
      <c r="L204" s="34"/>
      <c r="M204" s="40"/>
      <c r="N204" s="51"/>
      <c r="O204" s="35"/>
      <c r="P204" s="27" t="s">
        <v>810</v>
      </c>
      <c r="Q204" s="27"/>
      <c r="R204" s="27"/>
      <c r="S204" s="27"/>
      <c r="T204" s="27"/>
      <c r="U204" s="27" t="s">
        <v>810</v>
      </c>
      <c r="V204" s="27"/>
      <c r="W204" s="27"/>
      <c r="X204" s="27"/>
      <c r="Y204" s="27" t="s">
        <v>810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17"/>
      <c r="BP204" s="49"/>
      <c r="BQ204" s="17">
        <v>12</v>
      </c>
      <c r="BR204" s="17">
        <f t="shared" si="10"/>
        <v>3</v>
      </c>
      <c r="BS204" s="28">
        <f t="shared" si="11"/>
        <v>0</v>
      </c>
      <c r="BT204" s="28">
        <v>1</v>
      </c>
    </row>
    <row r="205" spans="1:72" ht="15.75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 t="s">
        <v>479</v>
      </c>
      <c r="G205" s="33"/>
      <c r="H205" s="24">
        <f t="shared" si="9"/>
        <v>0</v>
      </c>
      <c r="I205" s="35"/>
      <c r="J205" s="35"/>
      <c r="K205" s="36"/>
      <c r="L205" s="34"/>
      <c r="M205" s="40"/>
      <c r="N205" s="40"/>
      <c r="O205" s="35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17"/>
      <c r="BP205" s="17"/>
      <c r="BQ205" s="17">
        <v>1</v>
      </c>
      <c r="BR205" s="17">
        <f t="shared" si="10"/>
        <v>0</v>
      </c>
      <c r="BS205" s="28">
        <f t="shared" si="11"/>
        <v>0</v>
      </c>
      <c r="BT205" s="28">
        <v>1</v>
      </c>
    </row>
    <row r="206" spans="1:72" ht="15.75" customHeight="1" x14ac:dyDescent="0.3">
      <c r="A206" s="32">
        <v>140</v>
      </c>
      <c r="B206" s="33" t="s">
        <v>427</v>
      </c>
      <c r="C206" s="33" t="s">
        <v>425</v>
      </c>
      <c r="D206" s="33" t="s">
        <v>428</v>
      </c>
      <c r="E206" s="33" t="s">
        <v>240</v>
      </c>
      <c r="F206" s="33" t="s">
        <v>95</v>
      </c>
      <c r="G206" s="34" t="s">
        <v>95</v>
      </c>
      <c r="H206" s="24">
        <f t="shared" si="9"/>
        <v>0.21153846153846154</v>
      </c>
      <c r="I206" s="35"/>
      <c r="J206" s="35"/>
      <c r="K206" s="36"/>
      <c r="L206" s="34"/>
      <c r="M206" s="40"/>
      <c r="N206" s="51"/>
      <c r="O206" s="35"/>
      <c r="P206" s="27" t="s">
        <v>810</v>
      </c>
      <c r="Q206" s="27" t="s">
        <v>810</v>
      </c>
      <c r="R206" s="27" t="s">
        <v>810</v>
      </c>
      <c r="S206" s="27" t="s">
        <v>810</v>
      </c>
      <c r="T206" s="27" t="s">
        <v>810</v>
      </c>
      <c r="U206" s="27" t="s">
        <v>810</v>
      </c>
      <c r="V206" s="27" t="s">
        <v>810</v>
      </c>
      <c r="W206" s="27" t="s">
        <v>810</v>
      </c>
      <c r="X206" s="27" t="s">
        <v>810</v>
      </c>
      <c r="Y206" s="27" t="s">
        <v>810</v>
      </c>
      <c r="Z206" s="27" t="s">
        <v>810</v>
      </c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17"/>
      <c r="BQ206" s="17">
        <v>52</v>
      </c>
      <c r="BR206" s="17">
        <f t="shared" si="10"/>
        <v>11</v>
      </c>
      <c r="BS206" s="28">
        <f t="shared" si="11"/>
        <v>0</v>
      </c>
      <c r="BT206" s="28">
        <v>1</v>
      </c>
    </row>
    <row r="207" spans="1:72" ht="15.75" customHeight="1" x14ac:dyDescent="0.3">
      <c r="A207" s="32">
        <v>140</v>
      </c>
      <c r="B207" s="33" t="s">
        <v>427</v>
      </c>
      <c r="C207" s="33" t="s">
        <v>425</v>
      </c>
      <c r="D207" s="33" t="s">
        <v>429</v>
      </c>
      <c r="E207" s="33" t="s">
        <v>240</v>
      </c>
      <c r="F207" s="33" t="s">
        <v>95</v>
      </c>
      <c r="G207" s="34" t="s">
        <v>95</v>
      </c>
      <c r="H207" s="24">
        <f t="shared" si="9"/>
        <v>0.21153846153846154</v>
      </c>
      <c r="I207" s="35"/>
      <c r="J207" s="35"/>
      <c r="K207" s="36"/>
      <c r="L207" s="34"/>
      <c r="M207" s="40"/>
      <c r="N207" s="51"/>
      <c r="O207" s="35"/>
      <c r="P207" s="27" t="s">
        <v>810</v>
      </c>
      <c r="Q207" s="27" t="s">
        <v>810</v>
      </c>
      <c r="R207" s="27" t="s">
        <v>810</v>
      </c>
      <c r="S207" s="27" t="s">
        <v>810</v>
      </c>
      <c r="T207" s="27" t="s">
        <v>810</v>
      </c>
      <c r="U207" s="27" t="s">
        <v>810</v>
      </c>
      <c r="V207" s="27" t="s">
        <v>810</v>
      </c>
      <c r="W207" s="27" t="s">
        <v>810</v>
      </c>
      <c r="X207" s="27" t="s">
        <v>810</v>
      </c>
      <c r="Y207" s="27" t="s">
        <v>810</v>
      </c>
      <c r="Z207" s="27" t="s">
        <v>810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17"/>
      <c r="BQ207" s="17">
        <v>52</v>
      </c>
      <c r="BR207" s="17">
        <f t="shared" si="10"/>
        <v>11</v>
      </c>
      <c r="BS207" s="28">
        <f t="shared" si="11"/>
        <v>0</v>
      </c>
      <c r="BT207" s="28">
        <v>1</v>
      </c>
    </row>
    <row r="208" spans="1:72" ht="15.75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3" t="s">
        <v>86</v>
      </c>
      <c r="G208" s="34" t="s">
        <v>99</v>
      </c>
      <c r="H208" s="24">
        <f t="shared" si="9"/>
        <v>0</v>
      </c>
      <c r="I208" s="35"/>
      <c r="J208" s="35"/>
      <c r="K208" s="36"/>
      <c r="L208" s="34"/>
      <c r="M208" s="40"/>
      <c r="N208" s="51"/>
      <c r="O208" s="35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17"/>
      <c r="BP208" s="27"/>
      <c r="BQ208" s="17">
        <v>1</v>
      </c>
      <c r="BR208" s="17">
        <f t="shared" si="10"/>
        <v>0</v>
      </c>
      <c r="BS208" s="28">
        <f t="shared" si="11"/>
        <v>0</v>
      </c>
      <c r="BT208" s="28">
        <v>1</v>
      </c>
    </row>
    <row r="209" spans="1:72" ht="15.75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3" t="s">
        <v>88</v>
      </c>
      <c r="G209" s="34" t="s">
        <v>127</v>
      </c>
      <c r="H209" s="24">
        <f t="shared" si="9"/>
        <v>0</v>
      </c>
      <c r="I209" s="35"/>
      <c r="J209" s="35"/>
      <c r="K209" s="36"/>
      <c r="L209" s="34"/>
      <c r="M209" s="40"/>
      <c r="N209" s="40"/>
      <c r="O209" s="35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17">
        <v>2</v>
      </c>
      <c r="BR209" s="17">
        <f t="shared" si="10"/>
        <v>0</v>
      </c>
      <c r="BS209" s="28">
        <f t="shared" si="11"/>
        <v>0</v>
      </c>
      <c r="BT209" s="28">
        <v>1</v>
      </c>
    </row>
    <row r="210" spans="1:72" ht="15.75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3" t="s">
        <v>88</v>
      </c>
      <c r="G210" s="34" t="s">
        <v>127</v>
      </c>
      <c r="H210" s="24">
        <f t="shared" si="9"/>
        <v>0</v>
      </c>
      <c r="I210" s="35"/>
      <c r="J210" s="35"/>
      <c r="K210" s="36"/>
      <c r="L210" s="34"/>
      <c r="M210" s="40"/>
      <c r="N210" s="51"/>
      <c r="O210" s="35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17">
        <v>2</v>
      </c>
      <c r="BR210" s="17">
        <f t="shared" si="10"/>
        <v>0</v>
      </c>
      <c r="BS210" s="28">
        <f t="shared" si="11"/>
        <v>0</v>
      </c>
      <c r="BT210" s="28">
        <v>1</v>
      </c>
    </row>
    <row r="211" spans="1:72" ht="15.75" customHeight="1" x14ac:dyDescent="0.3">
      <c r="A211" s="32">
        <v>140</v>
      </c>
      <c r="B211" s="33" t="s">
        <v>515</v>
      </c>
      <c r="C211" s="33" t="s">
        <v>516</v>
      </c>
      <c r="D211" s="33" t="s">
        <v>517</v>
      </c>
      <c r="E211" s="33" t="s">
        <v>240</v>
      </c>
      <c r="F211" s="33" t="s">
        <v>95</v>
      </c>
      <c r="G211" s="34" t="s">
        <v>95</v>
      </c>
      <c r="H211" s="24">
        <f t="shared" si="9"/>
        <v>0.21153846153846154</v>
      </c>
      <c r="I211" s="35"/>
      <c r="J211" s="35"/>
      <c r="K211" s="36"/>
      <c r="L211" s="34"/>
      <c r="M211" s="40"/>
      <c r="N211" s="51"/>
      <c r="O211" s="35"/>
      <c r="P211" s="27" t="s">
        <v>810</v>
      </c>
      <c r="Q211" s="27" t="s">
        <v>810</v>
      </c>
      <c r="R211" s="27" t="s">
        <v>810</v>
      </c>
      <c r="S211" s="27" t="s">
        <v>810</v>
      </c>
      <c r="T211" s="27" t="s">
        <v>810</v>
      </c>
      <c r="U211" s="27" t="s">
        <v>810</v>
      </c>
      <c r="V211" s="27" t="s">
        <v>810</v>
      </c>
      <c r="W211" s="27" t="s">
        <v>810</v>
      </c>
      <c r="X211" s="27" t="s">
        <v>810</v>
      </c>
      <c r="Y211" s="27" t="s">
        <v>810</v>
      </c>
      <c r="Z211" s="27" t="s">
        <v>810</v>
      </c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17"/>
      <c r="BQ211" s="17">
        <v>52</v>
      </c>
      <c r="BR211" s="17">
        <f t="shared" si="10"/>
        <v>11</v>
      </c>
      <c r="BS211" s="28">
        <f t="shared" si="11"/>
        <v>0</v>
      </c>
      <c r="BT211" s="28">
        <v>1</v>
      </c>
    </row>
    <row r="212" spans="1:72" ht="15.75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3" t="s">
        <v>88</v>
      </c>
      <c r="G212" s="34" t="s">
        <v>127</v>
      </c>
      <c r="H212" s="24">
        <f t="shared" si="9"/>
        <v>0</v>
      </c>
      <c r="I212" s="35"/>
      <c r="J212" s="35"/>
      <c r="K212" s="36"/>
      <c r="L212" s="34"/>
      <c r="M212" s="40"/>
      <c r="N212" s="51"/>
      <c r="O212" s="35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1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17"/>
      <c r="BQ212" s="17">
        <v>2</v>
      </c>
      <c r="BR212" s="17">
        <f t="shared" si="10"/>
        <v>0</v>
      </c>
      <c r="BS212" s="28">
        <f t="shared" si="11"/>
        <v>0</v>
      </c>
      <c r="BT212" s="28">
        <v>1</v>
      </c>
    </row>
    <row r="213" spans="1:72" ht="15.75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3" t="s">
        <v>96</v>
      </c>
      <c r="G213" s="34" t="s">
        <v>167</v>
      </c>
      <c r="H213" s="24">
        <f t="shared" si="9"/>
        <v>0</v>
      </c>
      <c r="I213" s="35"/>
      <c r="J213" s="35"/>
      <c r="K213" s="36"/>
      <c r="L213" s="34" t="s">
        <v>100</v>
      </c>
      <c r="M213" s="40"/>
      <c r="N213" s="40"/>
      <c r="O213" s="35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17"/>
      <c r="BP213" s="27"/>
      <c r="BQ213" s="17">
        <v>3</v>
      </c>
      <c r="BR213" s="17">
        <f t="shared" si="10"/>
        <v>0</v>
      </c>
      <c r="BS213" s="28">
        <f t="shared" si="11"/>
        <v>0</v>
      </c>
      <c r="BT213" s="28">
        <v>1</v>
      </c>
    </row>
    <row r="214" spans="1:72" ht="15.75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3" t="s">
        <v>132</v>
      </c>
      <c r="G214" s="34" t="s">
        <v>99</v>
      </c>
      <c r="H214" s="24">
        <f t="shared" si="9"/>
        <v>0</v>
      </c>
      <c r="I214" s="35"/>
      <c r="J214" s="35"/>
      <c r="K214" s="36"/>
      <c r="L214" s="34" t="s">
        <v>100</v>
      </c>
      <c r="M214" s="40"/>
      <c r="N214" s="51"/>
      <c r="O214" s="35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17"/>
      <c r="BP214" s="17"/>
      <c r="BQ214" s="17">
        <v>1</v>
      </c>
      <c r="BR214" s="17">
        <f t="shared" si="10"/>
        <v>0</v>
      </c>
      <c r="BS214" s="28">
        <f t="shared" si="11"/>
        <v>0</v>
      </c>
      <c r="BT214" s="28">
        <v>1</v>
      </c>
    </row>
    <row r="215" spans="1:72" ht="15.75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3" t="s">
        <v>132</v>
      </c>
      <c r="G215" s="34" t="s">
        <v>99</v>
      </c>
      <c r="H215" s="24">
        <f t="shared" si="9"/>
        <v>0</v>
      </c>
      <c r="I215" s="35"/>
      <c r="J215" s="35"/>
      <c r="K215" s="36"/>
      <c r="L215" s="34" t="s">
        <v>100</v>
      </c>
      <c r="M215" s="40"/>
      <c r="N215" s="51"/>
      <c r="O215" s="35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17"/>
      <c r="BP215" s="17"/>
      <c r="BQ215" s="17">
        <v>1</v>
      </c>
      <c r="BR215" s="17">
        <f t="shared" si="10"/>
        <v>0</v>
      </c>
      <c r="BS215" s="28">
        <f t="shared" si="11"/>
        <v>0</v>
      </c>
      <c r="BT215" s="28">
        <v>1</v>
      </c>
    </row>
    <row r="216" spans="1:72" ht="15.75" customHeight="1" x14ac:dyDescent="0.3">
      <c r="A216" s="32">
        <v>140</v>
      </c>
      <c r="B216" s="33" t="s">
        <v>424</v>
      </c>
      <c r="C216" s="33" t="s">
        <v>425</v>
      </c>
      <c r="D216" s="33" t="s">
        <v>426</v>
      </c>
      <c r="E216" s="33" t="s">
        <v>240</v>
      </c>
      <c r="F216" s="33" t="s">
        <v>95</v>
      </c>
      <c r="G216" s="34" t="s">
        <v>95</v>
      </c>
      <c r="H216" s="24">
        <f t="shared" si="9"/>
        <v>0.21153846153846154</v>
      </c>
      <c r="I216" s="35"/>
      <c r="J216" s="35"/>
      <c r="K216" s="36"/>
      <c r="L216" s="34"/>
      <c r="M216" s="40"/>
      <c r="N216" s="51"/>
      <c r="O216" s="35"/>
      <c r="P216" s="27" t="s">
        <v>810</v>
      </c>
      <c r="Q216" s="27" t="s">
        <v>810</v>
      </c>
      <c r="R216" s="27" t="s">
        <v>810</v>
      </c>
      <c r="S216" s="27" t="s">
        <v>810</v>
      </c>
      <c r="T216" s="27" t="s">
        <v>810</v>
      </c>
      <c r="U216" s="27" t="s">
        <v>810</v>
      </c>
      <c r="V216" s="27" t="s">
        <v>810</v>
      </c>
      <c r="W216" s="27" t="s">
        <v>810</v>
      </c>
      <c r="X216" s="27" t="s">
        <v>810</v>
      </c>
      <c r="Y216" s="27" t="s">
        <v>810</v>
      </c>
      <c r="Z216" s="27" t="s">
        <v>810</v>
      </c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17"/>
      <c r="BQ216" s="17">
        <v>52</v>
      </c>
      <c r="BR216" s="17">
        <f t="shared" si="10"/>
        <v>11</v>
      </c>
      <c r="BS216" s="28">
        <f t="shared" si="11"/>
        <v>0</v>
      </c>
      <c r="BT216" s="28">
        <v>1</v>
      </c>
    </row>
    <row r="217" spans="1:72" ht="15.75" customHeight="1" x14ac:dyDescent="0.3">
      <c r="A217" s="32">
        <v>140</v>
      </c>
      <c r="B217" s="33" t="s">
        <v>410</v>
      </c>
      <c r="C217" s="33" t="s">
        <v>392</v>
      </c>
      <c r="D217" s="33" t="s">
        <v>411</v>
      </c>
      <c r="E217" s="33" t="s">
        <v>240</v>
      </c>
      <c r="F217" s="33" t="s">
        <v>95</v>
      </c>
      <c r="G217" s="34" t="s">
        <v>95</v>
      </c>
      <c r="H217" s="24">
        <f t="shared" si="9"/>
        <v>0.21153846153846154</v>
      </c>
      <c r="I217" s="35"/>
      <c r="J217" s="35"/>
      <c r="K217" s="36"/>
      <c r="L217" s="34"/>
      <c r="M217" s="40"/>
      <c r="N217" s="40"/>
      <c r="O217" s="35"/>
      <c r="P217" s="27" t="s">
        <v>810</v>
      </c>
      <c r="Q217" s="27" t="s">
        <v>810</v>
      </c>
      <c r="R217" s="27" t="s">
        <v>810</v>
      </c>
      <c r="S217" s="27" t="s">
        <v>810</v>
      </c>
      <c r="T217" s="27" t="s">
        <v>810</v>
      </c>
      <c r="U217" s="27" t="s">
        <v>810</v>
      </c>
      <c r="V217" s="27" t="s">
        <v>810</v>
      </c>
      <c r="W217" s="27" t="s">
        <v>810</v>
      </c>
      <c r="X217" s="27" t="s">
        <v>810</v>
      </c>
      <c r="Y217" s="27" t="s">
        <v>810</v>
      </c>
      <c r="Z217" s="27" t="s">
        <v>810</v>
      </c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17"/>
      <c r="BQ217" s="17">
        <v>52</v>
      </c>
      <c r="BR217" s="17">
        <f t="shared" si="10"/>
        <v>11</v>
      </c>
      <c r="BS217" s="28">
        <f t="shared" si="11"/>
        <v>0</v>
      </c>
      <c r="BT217" s="28">
        <v>1</v>
      </c>
    </row>
    <row r="218" spans="1:72" ht="15.75" customHeight="1" x14ac:dyDescent="0.3">
      <c r="A218" s="32">
        <v>140</v>
      </c>
      <c r="B218" s="33" t="s">
        <v>412</v>
      </c>
      <c r="C218" s="33" t="s">
        <v>392</v>
      </c>
      <c r="D218" s="33" t="s">
        <v>413</v>
      </c>
      <c r="E218" s="33" t="s">
        <v>240</v>
      </c>
      <c r="F218" s="33" t="s">
        <v>95</v>
      </c>
      <c r="G218" s="34" t="s">
        <v>95</v>
      </c>
      <c r="H218" s="24">
        <f t="shared" si="9"/>
        <v>0.21153846153846154</v>
      </c>
      <c r="I218" s="35"/>
      <c r="J218" s="35"/>
      <c r="K218" s="36"/>
      <c r="L218" s="34"/>
      <c r="M218" s="40"/>
      <c r="N218" s="51"/>
      <c r="O218" s="35"/>
      <c r="P218" s="27" t="s">
        <v>810</v>
      </c>
      <c r="Q218" s="27" t="s">
        <v>810</v>
      </c>
      <c r="R218" s="27" t="s">
        <v>810</v>
      </c>
      <c r="S218" s="27" t="s">
        <v>810</v>
      </c>
      <c r="T218" s="27" t="s">
        <v>810</v>
      </c>
      <c r="U218" s="27" t="s">
        <v>810</v>
      </c>
      <c r="V218" s="27" t="s">
        <v>810</v>
      </c>
      <c r="W218" s="27" t="s">
        <v>810</v>
      </c>
      <c r="X218" s="27" t="s">
        <v>810</v>
      </c>
      <c r="Y218" s="27" t="s">
        <v>810</v>
      </c>
      <c r="Z218" s="27" t="s">
        <v>810</v>
      </c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17"/>
      <c r="BQ218" s="17">
        <v>52</v>
      </c>
      <c r="BR218" s="17">
        <f t="shared" si="10"/>
        <v>11</v>
      </c>
      <c r="BS218" s="28">
        <f t="shared" si="11"/>
        <v>0</v>
      </c>
      <c r="BT218" s="28">
        <v>1</v>
      </c>
    </row>
    <row r="219" spans="1:72" ht="15.75" customHeight="1" x14ac:dyDescent="0.3">
      <c r="A219" s="32">
        <v>140</v>
      </c>
      <c r="B219" s="33" t="s">
        <v>391</v>
      </c>
      <c r="C219" s="33" t="s">
        <v>392</v>
      </c>
      <c r="D219" s="33" t="s">
        <v>393</v>
      </c>
      <c r="E219" s="33" t="s">
        <v>240</v>
      </c>
      <c r="F219" s="33" t="s">
        <v>95</v>
      </c>
      <c r="G219" s="34" t="s">
        <v>95</v>
      </c>
      <c r="H219" s="24">
        <f t="shared" si="9"/>
        <v>0.21153846153846154</v>
      </c>
      <c r="I219" s="34"/>
      <c r="J219" s="34"/>
      <c r="K219" s="34"/>
      <c r="L219" s="34"/>
      <c r="M219" s="50"/>
      <c r="N219" s="102"/>
      <c r="O219" s="34"/>
      <c r="P219" s="27" t="s">
        <v>810</v>
      </c>
      <c r="Q219" s="27" t="s">
        <v>810</v>
      </c>
      <c r="R219" s="27" t="s">
        <v>810</v>
      </c>
      <c r="S219" s="27" t="s">
        <v>810</v>
      </c>
      <c r="T219" s="27" t="s">
        <v>810</v>
      </c>
      <c r="U219" s="27" t="s">
        <v>810</v>
      </c>
      <c r="V219" s="27" t="s">
        <v>810</v>
      </c>
      <c r="W219" s="27" t="s">
        <v>810</v>
      </c>
      <c r="X219" s="27" t="s">
        <v>810</v>
      </c>
      <c r="Y219" s="27" t="s">
        <v>810</v>
      </c>
      <c r="Z219" s="27" t="s">
        <v>810</v>
      </c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17"/>
      <c r="BQ219" s="17">
        <v>52</v>
      </c>
      <c r="BR219" s="17">
        <f t="shared" si="10"/>
        <v>11</v>
      </c>
      <c r="BS219" s="28">
        <f t="shared" si="11"/>
        <v>0</v>
      </c>
      <c r="BT219" s="28">
        <v>1</v>
      </c>
    </row>
    <row r="220" spans="1:72" ht="15.75" customHeight="1" x14ac:dyDescent="0.3">
      <c r="A220" s="32">
        <v>140</v>
      </c>
      <c r="B220" s="33" t="s">
        <v>418</v>
      </c>
      <c r="C220" s="33" t="s">
        <v>392</v>
      </c>
      <c r="D220" s="33" t="s">
        <v>419</v>
      </c>
      <c r="E220" s="33" t="s">
        <v>240</v>
      </c>
      <c r="F220" s="33" t="s">
        <v>95</v>
      </c>
      <c r="G220" s="34" t="s">
        <v>95</v>
      </c>
      <c r="H220" s="24">
        <f t="shared" si="9"/>
        <v>0.21153846153846154</v>
      </c>
      <c r="I220" s="35"/>
      <c r="J220" s="35"/>
      <c r="K220" s="36"/>
      <c r="L220" s="34"/>
      <c r="M220" s="40"/>
      <c r="N220" s="51"/>
      <c r="O220" s="35"/>
      <c r="P220" s="27" t="s">
        <v>810</v>
      </c>
      <c r="Q220" s="27" t="s">
        <v>810</v>
      </c>
      <c r="R220" s="27" t="s">
        <v>810</v>
      </c>
      <c r="S220" s="27" t="s">
        <v>810</v>
      </c>
      <c r="T220" s="27" t="s">
        <v>810</v>
      </c>
      <c r="U220" s="27" t="s">
        <v>810</v>
      </c>
      <c r="V220" s="27" t="s">
        <v>810</v>
      </c>
      <c r="W220" s="27" t="s">
        <v>810</v>
      </c>
      <c r="X220" s="27" t="s">
        <v>810</v>
      </c>
      <c r="Y220" s="27" t="s">
        <v>810</v>
      </c>
      <c r="Z220" s="27" t="s">
        <v>810</v>
      </c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17"/>
      <c r="BQ220" s="17">
        <v>52</v>
      </c>
      <c r="BR220" s="17">
        <f t="shared" si="10"/>
        <v>11</v>
      </c>
      <c r="BS220" s="28">
        <f t="shared" si="11"/>
        <v>0</v>
      </c>
      <c r="BT220" s="28">
        <v>1</v>
      </c>
    </row>
    <row r="221" spans="1:72" ht="15.75" customHeight="1" x14ac:dyDescent="0.3">
      <c r="A221" s="32">
        <v>140</v>
      </c>
      <c r="B221" s="33" t="s">
        <v>450</v>
      </c>
      <c r="C221" s="33" t="s">
        <v>448</v>
      </c>
      <c r="D221" s="33" t="s">
        <v>451</v>
      </c>
      <c r="E221" s="33" t="s">
        <v>240</v>
      </c>
      <c r="F221" s="33" t="s">
        <v>95</v>
      </c>
      <c r="G221" s="34" t="s">
        <v>95</v>
      </c>
      <c r="H221" s="24">
        <f t="shared" si="9"/>
        <v>0.21153846153846154</v>
      </c>
      <c r="I221" s="35"/>
      <c r="J221" s="35"/>
      <c r="K221" s="36"/>
      <c r="L221" s="34"/>
      <c r="M221" s="40"/>
      <c r="N221" s="40"/>
      <c r="O221" s="35"/>
      <c r="P221" s="27" t="s">
        <v>810</v>
      </c>
      <c r="Q221" s="27" t="s">
        <v>810</v>
      </c>
      <c r="R221" s="27" t="s">
        <v>810</v>
      </c>
      <c r="S221" s="27" t="s">
        <v>810</v>
      </c>
      <c r="T221" s="27" t="s">
        <v>810</v>
      </c>
      <c r="U221" s="27" t="s">
        <v>810</v>
      </c>
      <c r="V221" s="27" t="s">
        <v>810</v>
      </c>
      <c r="W221" s="27" t="s">
        <v>810</v>
      </c>
      <c r="X221" s="27" t="s">
        <v>810</v>
      </c>
      <c r="Y221" s="27" t="s">
        <v>810</v>
      </c>
      <c r="Z221" s="27" t="s">
        <v>810</v>
      </c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17"/>
      <c r="BQ221" s="17">
        <v>52</v>
      </c>
      <c r="BR221" s="17">
        <f t="shared" si="10"/>
        <v>11</v>
      </c>
      <c r="BS221" s="28">
        <f t="shared" si="11"/>
        <v>0</v>
      </c>
      <c r="BT221" s="28">
        <v>1</v>
      </c>
    </row>
    <row r="222" spans="1:72" ht="15.75" customHeight="1" x14ac:dyDescent="0.3">
      <c r="A222" s="32">
        <v>140</v>
      </c>
      <c r="B222" s="33" t="s">
        <v>470</v>
      </c>
      <c r="C222" s="33" t="s">
        <v>448</v>
      </c>
      <c r="D222" s="33" t="s">
        <v>471</v>
      </c>
      <c r="E222" s="33" t="s">
        <v>240</v>
      </c>
      <c r="F222" s="33" t="s">
        <v>95</v>
      </c>
      <c r="G222" s="34" t="s">
        <v>95</v>
      </c>
      <c r="H222" s="24">
        <f t="shared" si="9"/>
        <v>0.21153846153846154</v>
      </c>
      <c r="I222" s="35"/>
      <c r="J222" s="35"/>
      <c r="K222" s="36"/>
      <c r="L222" s="34"/>
      <c r="M222" s="40"/>
      <c r="N222" s="51"/>
      <c r="O222" s="35"/>
      <c r="P222" s="27" t="s">
        <v>810</v>
      </c>
      <c r="Q222" s="27" t="s">
        <v>810</v>
      </c>
      <c r="R222" s="27" t="s">
        <v>810</v>
      </c>
      <c r="S222" s="27" t="s">
        <v>810</v>
      </c>
      <c r="T222" s="27" t="s">
        <v>810</v>
      </c>
      <c r="U222" s="27" t="s">
        <v>810</v>
      </c>
      <c r="V222" s="27" t="s">
        <v>810</v>
      </c>
      <c r="W222" s="27" t="s">
        <v>810</v>
      </c>
      <c r="X222" s="27" t="s">
        <v>810</v>
      </c>
      <c r="Y222" s="27" t="s">
        <v>810</v>
      </c>
      <c r="Z222" s="27" t="s">
        <v>810</v>
      </c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17"/>
      <c r="BQ222" s="17">
        <v>52</v>
      </c>
      <c r="BR222" s="17">
        <f t="shared" si="10"/>
        <v>11</v>
      </c>
      <c r="BS222" s="28">
        <f t="shared" si="11"/>
        <v>0</v>
      </c>
      <c r="BT222" s="28">
        <v>1</v>
      </c>
    </row>
    <row r="223" spans="1:72" ht="15.75" customHeight="1" x14ac:dyDescent="0.3">
      <c r="A223" s="32">
        <v>140</v>
      </c>
      <c r="B223" s="33" t="s">
        <v>454</v>
      </c>
      <c r="C223" s="33" t="s">
        <v>448</v>
      </c>
      <c r="D223" s="33" t="s">
        <v>455</v>
      </c>
      <c r="E223" s="33" t="s">
        <v>240</v>
      </c>
      <c r="F223" s="33" t="s">
        <v>95</v>
      </c>
      <c r="G223" s="34" t="s">
        <v>95</v>
      </c>
      <c r="H223" s="24">
        <f t="shared" si="9"/>
        <v>0.21153846153846154</v>
      </c>
      <c r="I223" s="35"/>
      <c r="J223" s="35"/>
      <c r="K223" s="36"/>
      <c r="L223" s="34"/>
      <c r="M223" s="40"/>
      <c r="N223" s="51"/>
      <c r="O223" s="35"/>
      <c r="P223" s="27" t="s">
        <v>810</v>
      </c>
      <c r="Q223" s="27" t="s">
        <v>810</v>
      </c>
      <c r="R223" s="27" t="s">
        <v>810</v>
      </c>
      <c r="S223" s="27" t="s">
        <v>810</v>
      </c>
      <c r="T223" s="27" t="s">
        <v>810</v>
      </c>
      <c r="U223" s="27" t="s">
        <v>810</v>
      </c>
      <c r="V223" s="27" t="s">
        <v>810</v>
      </c>
      <c r="W223" s="27" t="s">
        <v>810</v>
      </c>
      <c r="X223" s="27" t="s">
        <v>810</v>
      </c>
      <c r="Y223" s="27" t="s">
        <v>810</v>
      </c>
      <c r="Z223" s="27" t="s">
        <v>810</v>
      </c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17"/>
      <c r="BQ223" s="17">
        <v>52</v>
      </c>
      <c r="BR223" s="17">
        <f t="shared" si="10"/>
        <v>11</v>
      </c>
      <c r="BS223" s="28">
        <f t="shared" si="11"/>
        <v>0</v>
      </c>
      <c r="BT223" s="28">
        <v>1</v>
      </c>
    </row>
    <row r="224" spans="1:72" ht="15.75" customHeight="1" x14ac:dyDescent="0.3">
      <c r="A224" s="32">
        <v>140</v>
      </c>
      <c r="B224" s="33" t="s">
        <v>494</v>
      </c>
      <c r="C224" s="33" t="s">
        <v>495</v>
      </c>
      <c r="D224" s="33" t="s">
        <v>496</v>
      </c>
      <c r="E224" s="33" t="s">
        <v>240</v>
      </c>
      <c r="F224" s="33" t="s">
        <v>95</v>
      </c>
      <c r="G224" s="34" t="s">
        <v>95</v>
      </c>
      <c r="H224" s="24">
        <f t="shared" si="9"/>
        <v>0.21153846153846154</v>
      </c>
      <c r="I224" s="35"/>
      <c r="J224" s="35"/>
      <c r="K224" s="36"/>
      <c r="L224" s="34"/>
      <c r="M224" s="40"/>
      <c r="N224" s="51"/>
      <c r="O224" s="35"/>
      <c r="P224" s="27" t="s">
        <v>810</v>
      </c>
      <c r="Q224" s="27" t="s">
        <v>810</v>
      </c>
      <c r="R224" s="27" t="s">
        <v>810</v>
      </c>
      <c r="S224" s="27" t="s">
        <v>810</v>
      </c>
      <c r="T224" s="27" t="s">
        <v>810</v>
      </c>
      <c r="U224" s="27" t="s">
        <v>810</v>
      </c>
      <c r="V224" s="27" t="s">
        <v>810</v>
      </c>
      <c r="W224" s="27" t="s">
        <v>810</v>
      </c>
      <c r="X224" s="27" t="s">
        <v>810</v>
      </c>
      <c r="Y224" s="27" t="s">
        <v>810</v>
      </c>
      <c r="Z224" s="27" t="s">
        <v>810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17"/>
      <c r="BQ224" s="17">
        <v>52</v>
      </c>
      <c r="BR224" s="17">
        <f t="shared" si="10"/>
        <v>11</v>
      </c>
      <c r="BS224" s="28">
        <f t="shared" si="11"/>
        <v>0</v>
      </c>
      <c r="BT224" s="28">
        <v>1</v>
      </c>
    </row>
    <row r="225" spans="1:72" ht="15.75" customHeight="1" x14ac:dyDescent="0.3">
      <c r="A225" s="32">
        <v>140</v>
      </c>
      <c r="B225" s="33" t="s">
        <v>513</v>
      </c>
      <c r="C225" s="33" t="s">
        <v>495</v>
      </c>
      <c r="D225" s="33" t="s">
        <v>514</v>
      </c>
      <c r="E225" s="33" t="s">
        <v>240</v>
      </c>
      <c r="F225" s="33" t="s">
        <v>95</v>
      </c>
      <c r="G225" s="34" t="s">
        <v>95</v>
      </c>
      <c r="H225" s="24">
        <f t="shared" si="9"/>
        <v>0.21153846153846154</v>
      </c>
      <c r="I225" s="35"/>
      <c r="J225" s="35"/>
      <c r="K225" s="36"/>
      <c r="L225" s="34"/>
      <c r="M225" s="40"/>
      <c r="N225" s="51"/>
      <c r="O225" s="35"/>
      <c r="P225" s="27" t="s">
        <v>810</v>
      </c>
      <c r="Q225" s="27" t="s">
        <v>810</v>
      </c>
      <c r="R225" s="27" t="s">
        <v>810</v>
      </c>
      <c r="S225" s="27" t="s">
        <v>810</v>
      </c>
      <c r="T225" s="27" t="s">
        <v>810</v>
      </c>
      <c r="U225" s="27" t="s">
        <v>810</v>
      </c>
      <c r="V225" s="27" t="s">
        <v>810</v>
      </c>
      <c r="W225" s="27" t="s">
        <v>810</v>
      </c>
      <c r="X225" s="27" t="s">
        <v>810</v>
      </c>
      <c r="Y225" s="27" t="s">
        <v>810</v>
      </c>
      <c r="Z225" s="27" t="s">
        <v>810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49"/>
      <c r="BQ225" s="17">
        <v>52</v>
      </c>
      <c r="BR225" s="17">
        <f t="shared" si="10"/>
        <v>11</v>
      </c>
      <c r="BS225" s="28">
        <f t="shared" si="11"/>
        <v>0</v>
      </c>
      <c r="BT225" s="28">
        <v>1</v>
      </c>
    </row>
    <row r="226" spans="1:72" ht="15.75" customHeight="1" x14ac:dyDescent="0.3">
      <c r="A226" s="32">
        <v>140</v>
      </c>
      <c r="B226" s="33" t="s">
        <v>436</v>
      </c>
      <c r="C226" s="52" t="s">
        <v>437</v>
      </c>
      <c r="D226" s="33" t="s">
        <v>438</v>
      </c>
      <c r="E226" s="33" t="s">
        <v>240</v>
      </c>
      <c r="F226" s="33" t="s">
        <v>95</v>
      </c>
      <c r="G226" s="34" t="s">
        <v>95</v>
      </c>
      <c r="H226" s="24">
        <f t="shared" si="9"/>
        <v>0.21153846153846154</v>
      </c>
      <c r="I226" s="35"/>
      <c r="J226" s="35"/>
      <c r="K226" s="36"/>
      <c r="L226" s="34"/>
      <c r="M226" s="40"/>
      <c r="N226" s="51"/>
      <c r="O226" s="35"/>
      <c r="P226" s="27" t="s">
        <v>810</v>
      </c>
      <c r="Q226" s="27" t="s">
        <v>810</v>
      </c>
      <c r="R226" s="27" t="s">
        <v>810</v>
      </c>
      <c r="S226" s="27" t="s">
        <v>810</v>
      </c>
      <c r="T226" s="27" t="s">
        <v>810</v>
      </c>
      <c r="U226" s="27" t="s">
        <v>810</v>
      </c>
      <c r="V226" s="27" t="s">
        <v>810</v>
      </c>
      <c r="W226" s="27" t="s">
        <v>810</v>
      </c>
      <c r="X226" s="27" t="s">
        <v>810</v>
      </c>
      <c r="Y226" s="27" t="s">
        <v>810</v>
      </c>
      <c r="Z226" s="27" t="s">
        <v>810</v>
      </c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17"/>
      <c r="BQ226" s="17">
        <v>52</v>
      </c>
      <c r="BR226" s="17">
        <f t="shared" si="10"/>
        <v>11</v>
      </c>
      <c r="BS226" s="28">
        <f t="shared" si="11"/>
        <v>0</v>
      </c>
      <c r="BT226" s="28">
        <v>1</v>
      </c>
    </row>
    <row r="227" spans="1:72" ht="15.75" customHeight="1" x14ac:dyDescent="0.3">
      <c r="A227" s="32">
        <v>140</v>
      </c>
      <c r="B227" s="33" t="s">
        <v>509</v>
      </c>
      <c r="C227" s="33" t="s">
        <v>495</v>
      </c>
      <c r="D227" s="33" t="s">
        <v>510</v>
      </c>
      <c r="E227" s="33" t="s">
        <v>240</v>
      </c>
      <c r="F227" s="33" t="s">
        <v>95</v>
      </c>
      <c r="G227" s="34" t="s">
        <v>95</v>
      </c>
      <c r="H227" s="24">
        <f t="shared" si="9"/>
        <v>0.21153846153846154</v>
      </c>
      <c r="I227" s="35"/>
      <c r="J227" s="35"/>
      <c r="K227" s="36"/>
      <c r="L227" s="34"/>
      <c r="M227" s="40"/>
      <c r="N227" s="40"/>
      <c r="O227" s="35"/>
      <c r="P227" s="27" t="s">
        <v>810</v>
      </c>
      <c r="Q227" s="27" t="s">
        <v>810</v>
      </c>
      <c r="R227" s="27" t="s">
        <v>810</v>
      </c>
      <c r="S227" s="27" t="s">
        <v>810</v>
      </c>
      <c r="T227" s="27" t="s">
        <v>810</v>
      </c>
      <c r="U227" s="27" t="s">
        <v>810</v>
      </c>
      <c r="V227" s="27" t="s">
        <v>810</v>
      </c>
      <c r="W227" s="27" t="s">
        <v>810</v>
      </c>
      <c r="X227" s="27" t="s">
        <v>810</v>
      </c>
      <c r="Y227" s="27" t="s">
        <v>810</v>
      </c>
      <c r="Z227" s="27" t="s">
        <v>810</v>
      </c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17"/>
      <c r="BQ227" s="17">
        <v>52</v>
      </c>
      <c r="BR227" s="17">
        <f t="shared" si="10"/>
        <v>11</v>
      </c>
      <c r="BS227" s="28">
        <f t="shared" si="11"/>
        <v>0</v>
      </c>
      <c r="BT227" s="28">
        <v>1</v>
      </c>
    </row>
    <row r="228" spans="1:72" ht="15.75" customHeight="1" x14ac:dyDescent="0.3">
      <c r="A228" s="32">
        <v>140</v>
      </c>
      <c r="B228" s="33" t="s">
        <v>520</v>
      </c>
      <c r="C228" s="33" t="s">
        <v>516</v>
      </c>
      <c r="D228" s="33" t="s">
        <v>521</v>
      </c>
      <c r="E228" s="33" t="s">
        <v>240</v>
      </c>
      <c r="F228" s="33" t="s">
        <v>95</v>
      </c>
      <c r="G228" s="34" t="s">
        <v>95</v>
      </c>
      <c r="H228" s="24">
        <f t="shared" si="9"/>
        <v>0.21153846153846154</v>
      </c>
      <c r="I228" s="35"/>
      <c r="J228" s="35"/>
      <c r="K228" s="36"/>
      <c r="L228" s="34"/>
      <c r="M228" s="40"/>
      <c r="N228" s="40"/>
      <c r="O228" s="35"/>
      <c r="P228" s="27" t="s">
        <v>810</v>
      </c>
      <c r="Q228" s="27" t="s">
        <v>810</v>
      </c>
      <c r="R228" s="27" t="s">
        <v>810</v>
      </c>
      <c r="S228" s="27" t="s">
        <v>810</v>
      </c>
      <c r="T228" s="27" t="s">
        <v>810</v>
      </c>
      <c r="U228" s="27" t="s">
        <v>810</v>
      </c>
      <c r="V228" s="27" t="s">
        <v>810</v>
      </c>
      <c r="W228" s="27" t="s">
        <v>810</v>
      </c>
      <c r="X228" s="27" t="s">
        <v>810</v>
      </c>
      <c r="Y228" s="27" t="s">
        <v>810</v>
      </c>
      <c r="Z228" s="27" t="s">
        <v>810</v>
      </c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17"/>
      <c r="BQ228" s="17">
        <v>52</v>
      </c>
      <c r="BR228" s="17">
        <f t="shared" si="10"/>
        <v>11</v>
      </c>
      <c r="BS228" s="28">
        <f t="shared" si="11"/>
        <v>0</v>
      </c>
      <c r="BT228" s="28">
        <v>1</v>
      </c>
    </row>
    <row r="229" spans="1:72" ht="15.75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3" t="s">
        <v>88</v>
      </c>
      <c r="G229" s="34" t="s">
        <v>127</v>
      </c>
      <c r="H229" s="24">
        <f t="shared" si="9"/>
        <v>0</v>
      </c>
      <c r="I229" s="35"/>
      <c r="J229" s="35"/>
      <c r="K229" s="36"/>
      <c r="L229" s="34"/>
      <c r="M229" s="40"/>
      <c r="N229" s="40"/>
      <c r="O229" s="35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1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17"/>
      <c r="BQ229" s="17">
        <v>2</v>
      </c>
      <c r="BR229" s="17">
        <f t="shared" si="10"/>
        <v>0</v>
      </c>
      <c r="BS229" s="28">
        <f t="shared" si="11"/>
        <v>0</v>
      </c>
      <c r="BT229" s="28">
        <v>1</v>
      </c>
    </row>
    <row r="230" spans="1:72" ht="15.75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3" t="s">
        <v>88</v>
      </c>
      <c r="G230" s="34" t="s">
        <v>127</v>
      </c>
      <c r="H230" s="24">
        <f t="shared" si="9"/>
        <v>0</v>
      </c>
      <c r="I230" s="35"/>
      <c r="J230" s="35"/>
      <c r="K230" s="36"/>
      <c r="L230" s="34"/>
      <c r="M230" s="40"/>
      <c r="N230" s="51"/>
      <c r="O230" s="35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17">
        <v>2</v>
      </c>
      <c r="BR230" s="17">
        <f t="shared" si="10"/>
        <v>0</v>
      </c>
      <c r="BS230" s="28">
        <f t="shared" si="11"/>
        <v>0</v>
      </c>
      <c r="BT230" s="28">
        <v>1</v>
      </c>
    </row>
    <row r="231" spans="1:72" ht="15.75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3" t="s">
        <v>88</v>
      </c>
      <c r="G231" s="34" t="s">
        <v>127</v>
      </c>
      <c r="H231" s="24">
        <f t="shared" si="9"/>
        <v>0</v>
      </c>
      <c r="I231" s="35"/>
      <c r="J231" s="35"/>
      <c r="K231" s="36"/>
      <c r="L231" s="34"/>
      <c r="M231" s="40"/>
      <c r="N231" s="51"/>
      <c r="O231" s="35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17">
        <v>2</v>
      </c>
      <c r="BR231" s="17">
        <f t="shared" si="10"/>
        <v>0</v>
      </c>
      <c r="BS231" s="28">
        <f t="shared" si="11"/>
        <v>0</v>
      </c>
      <c r="BT231" s="28">
        <v>1</v>
      </c>
    </row>
    <row r="232" spans="1:72" ht="15.75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3" t="s">
        <v>88</v>
      </c>
      <c r="G232" s="34" t="s">
        <v>127</v>
      </c>
      <c r="H232" s="24">
        <f t="shared" si="9"/>
        <v>0</v>
      </c>
      <c r="I232" s="35"/>
      <c r="J232" s="35"/>
      <c r="K232" s="36"/>
      <c r="L232" s="34"/>
      <c r="M232" s="40"/>
      <c r="N232" s="40"/>
      <c r="O232" s="35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17">
        <v>2</v>
      </c>
      <c r="BR232" s="17">
        <f t="shared" si="10"/>
        <v>0</v>
      </c>
      <c r="BS232" s="28">
        <f t="shared" si="11"/>
        <v>0</v>
      </c>
      <c r="BT232" s="28">
        <v>1</v>
      </c>
    </row>
    <row r="233" spans="1:72" ht="15.75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3" t="s">
        <v>88</v>
      </c>
      <c r="G233" s="34" t="s">
        <v>127</v>
      </c>
      <c r="H233" s="24">
        <f t="shared" si="9"/>
        <v>0</v>
      </c>
      <c r="I233" s="35"/>
      <c r="J233" s="35"/>
      <c r="K233" s="36"/>
      <c r="L233" s="34"/>
      <c r="M233" s="40"/>
      <c r="N233" s="40"/>
      <c r="O233" s="35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17">
        <v>2</v>
      </c>
      <c r="BR233" s="17">
        <f t="shared" si="10"/>
        <v>0</v>
      </c>
      <c r="BS233" s="28">
        <f t="shared" si="11"/>
        <v>0</v>
      </c>
      <c r="BT233" s="28">
        <v>1</v>
      </c>
    </row>
    <row r="234" spans="1:72" ht="15.75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3" t="s">
        <v>88</v>
      </c>
      <c r="G234" s="34" t="s">
        <v>127</v>
      </c>
      <c r="H234" s="24">
        <f t="shared" si="9"/>
        <v>0</v>
      </c>
      <c r="I234" s="35"/>
      <c r="J234" s="35"/>
      <c r="K234" s="36"/>
      <c r="L234" s="34"/>
      <c r="M234" s="40"/>
      <c r="N234" s="40"/>
      <c r="O234" s="35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17">
        <v>2</v>
      </c>
      <c r="BR234" s="17">
        <f t="shared" si="10"/>
        <v>0</v>
      </c>
      <c r="BS234" s="28">
        <f t="shared" si="11"/>
        <v>0</v>
      </c>
      <c r="BT234" s="28">
        <v>1</v>
      </c>
    </row>
    <row r="235" spans="1:72" ht="15.75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3" t="s">
        <v>88</v>
      </c>
      <c r="G235" s="34" t="s">
        <v>127</v>
      </c>
      <c r="H235" s="24">
        <f t="shared" si="9"/>
        <v>0</v>
      </c>
      <c r="I235" s="35"/>
      <c r="J235" s="35"/>
      <c r="K235" s="36"/>
      <c r="L235" s="34"/>
      <c r="M235" s="40"/>
      <c r="N235" s="51"/>
      <c r="O235" s="35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17">
        <v>2</v>
      </c>
      <c r="BR235" s="17">
        <f t="shared" si="10"/>
        <v>0</v>
      </c>
      <c r="BS235" s="28">
        <f t="shared" si="11"/>
        <v>0</v>
      </c>
      <c r="BT235" s="28">
        <v>1</v>
      </c>
    </row>
    <row r="236" spans="1:72" ht="15.75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3" t="s">
        <v>88</v>
      </c>
      <c r="G236" s="34" t="s">
        <v>127</v>
      </c>
      <c r="H236" s="24">
        <f t="shared" si="9"/>
        <v>0</v>
      </c>
      <c r="I236" s="35"/>
      <c r="J236" s="35"/>
      <c r="K236" s="36"/>
      <c r="L236" s="34"/>
      <c r="M236" s="40"/>
      <c r="N236" s="51"/>
      <c r="O236" s="35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17">
        <v>2</v>
      </c>
      <c r="BR236" s="17">
        <f t="shared" si="10"/>
        <v>0</v>
      </c>
      <c r="BS236" s="28">
        <f t="shared" si="11"/>
        <v>0</v>
      </c>
      <c r="BT236" s="28">
        <v>1</v>
      </c>
    </row>
    <row r="237" spans="1:72" ht="15.75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3" t="s">
        <v>88</v>
      </c>
      <c r="G237" s="34" t="s">
        <v>127</v>
      </c>
      <c r="H237" s="24">
        <f t="shared" si="9"/>
        <v>0</v>
      </c>
      <c r="I237" s="35"/>
      <c r="J237" s="35"/>
      <c r="K237" s="36"/>
      <c r="L237" s="34"/>
      <c r="M237" s="40"/>
      <c r="N237" s="40"/>
      <c r="O237" s="35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17">
        <v>2</v>
      </c>
      <c r="BR237" s="17">
        <f t="shared" si="10"/>
        <v>0</v>
      </c>
      <c r="BS237" s="28">
        <f t="shared" si="11"/>
        <v>0</v>
      </c>
      <c r="BT237" s="28">
        <v>1</v>
      </c>
    </row>
    <row r="238" spans="1:72" ht="15.75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3" t="s">
        <v>88</v>
      </c>
      <c r="G238" s="34" t="s">
        <v>127</v>
      </c>
      <c r="H238" s="24">
        <f t="shared" si="9"/>
        <v>0</v>
      </c>
      <c r="I238" s="35"/>
      <c r="J238" s="35"/>
      <c r="K238" s="36"/>
      <c r="L238" s="34"/>
      <c r="M238" s="40"/>
      <c r="N238" s="40"/>
      <c r="O238" s="35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17">
        <v>2</v>
      </c>
      <c r="BR238" s="17">
        <f t="shared" si="10"/>
        <v>0</v>
      </c>
      <c r="BS238" s="28">
        <f t="shared" si="11"/>
        <v>0</v>
      </c>
      <c r="BT238" s="28">
        <v>1</v>
      </c>
    </row>
    <row r="239" spans="1:72" ht="15.75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3" t="s">
        <v>88</v>
      </c>
      <c r="G239" s="34" t="s">
        <v>127</v>
      </c>
      <c r="H239" s="24">
        <f t="shared" si="9"/>
        <v>0</v>
      </c>
      <c r="I239" s="35"/>
      <c r="J239" s="35"/>
      <c r="K239" s="36"/>
      <c r="L239" s="34"/>
      <c r="M239" s="40"/>
      <c r="N239" s="40"/>
      <c r="O239" s="35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17">
        <v>2</v>
      </c>
      <c r="BR239" s="17">
        <f t="shared" si="10"/>
        <v>0</v>
      </c>
      <c r="BS239" s="28">
        <f t="shared" si="11"/>
        <v>0</v>
      </c>
      <c r="BT239" s="28">
        <v>1</v>
      </c>
    </row>
    <row r="240" spans="1:72" ht="15.75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3" t="s">
        <v>88</v>
      </c>
      <c r="G240" s="34" t="s">
        <v>127</v>
      </c>
      <c r="H240" s="24">
        <f t="shared" si="9"/>
        <v>0</v>
      </c>
      <c r="I240" s="35"/>
      <c r="J240" s="35"/>
      <c r="K240" s="36"/>
      <c r="L240" s="34"/>
      <c r="M240" s="40"/>
      <c r="N240" s="51"/>
      <c r="O240" s="35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17">
        <v>2</v>
      </c>
      <c r="BR240" s="17">
        <f t="shared" si="10"/>
        <v>0</v>
      </c>
      <c r="BS240" s="28">
        <f t="shared" si="11"/>
        <v>0</v>
      </c>
      <c r="BT240" s="28">
        <v>1</v>
      </c>
    </row>
    <row r="241" spans="1:72" ht="15.75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3" t="s">
        <v>88</v>
      </c>
      <c r="G241" s="34" t="s">
        <v>127</v>
      </c>
      <c r="H241" s="24">
        <f t="shared" si="9"/>
        <v>0</v>
      </c>
      <c r="I241" s="35"/>
      <c r="J241" s="35"/>
      <c r="K241" s="36"/>
      <c r="L241" s="34"/>
      <c r="M241" s="40"/>
      <c r="N241" s="51"/>
      <c r="O241" s="35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17">
        <v>2</v>
      </c>
      <c r="BR241" s="17">
        <f t="shared" si="10"/>
        <v>0</v>
      </c>
      <c r="BS241" s="28">
        <f t="shared" si="11"/>
        <v>0</v>
      </c>
      <c r="BT241" s="28">
        <v>1</v>
      </c>
    </row>
    <row r="242" spans="1:72" ht="15.75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3" t="s">
        <v>88</v>
      </c>
      <c r="G242" s="34" t="s">
        <v>127</v>
      </c>
      <c r="H242" s="24">
        <f t="shared" si="9"/>
        <v>0</v>
      </c>
      <c r="I242" s="35"/>
      <c r="J242" s="35"/>
      <c r="K242" s="36"/>
      <c r="L242" s="34"/>
      <c r="M242" s="40"/>
      <c r="N242" s="40"/>
      <c r="O242" s="35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17">
        <v>2</v>
      </c>
      <c r="BR242" s="17">
        <f t="shared" si="10"/>
        <v>0</v>
      </c>
      <c r="BS242" s="28">
        <f t="shared" si="11"/>
        <v>0</v>
      </c>
      <c r="BT242" s="28">
        <v>1</v>
      </c>
    </row>
    <row r="243" spans="1:72" ht="15.75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3" t="s">
        <v>88</v>
      </c>
      <c r="G243" s="34" t="s">
        <v>127</v>
      </c>
      <c r="H243" s="24">
        <f t="shared" si="9"/>
        <v>0</v>
      </c>
      <c r="I243" s="35"/>
      <c r="J243" s="35"/>
      <c r="K243" s="36"/>
      <c r="L243" s="34"/>
      <c r="M243" s="40"/>
      <c r="N243" s="40"/>
      <c r="O243" s="35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17">
        <v>2</v>
      </c>
      <c r="BR243" s="17">
        <f t="shared" si="10"/>
        <v>0</v>
      </c>
      <c r="BS243" s="28">
        <f t="shared" si="11"/>
        <v>0</v>
      </c>
      <c r="BT243" s="28">
        <v>1</v>
      </c>
    </row>
    <row r="244" spans="1:72" ht="15.75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3" t="s">
        <v>88</v>
      </c>
      <c r="G244" s="34" t="s">
        <v>127</v>
      </c>
      <c r="H244" s="24">
        <f t="shared" si="9"/>
        <v>0</v>
      </c>
      <c r="I244" s="35"/>
      <c r="J244" s="35"/>
      <c r="K244" s="36"/>
      <c r="L244" s="34"/>
      <c r="M244" s="40"/>
      <c r="N244" s="40"/>
      <c r="O244" s="35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17">
        <v>2</v>
      </c>
      <c r="BR244" s="17">
        <f t="shared" si="10"/>
        <v>0</v>
      </c>
      <c r="BS244" s="28">
        <f t="shared" si="11"/>
        <v>0</v>
      </c>
      <c r="BT244" s="28">
        <v>1</v>
      </c>
    </row>
    <row r="245" spans="1:72" ht="15.75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3" t="s">
        <v>88</v>
      </c>
      <c r="G245" s="34" t="s">
        <v>127</v>
      </c>
      <c r="H245" s="24">
        <f t="shared" si="9"/>
        <v>0</v>
      </c>
      <c r="I245" s="35"/>
      <c r="J245" s="35"/>
      <c r="K245" s="36"/>
      <c r="L245" s="34"/>
      <c r="M245" s="40"/>
      <c r="N245" s="51"/>
      <c r="O245" s="35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17">
        <v>2</v>
      </c>
      <c r="BR245" s="17">
        <f t="shared" si="10"/>
        <v>0</v>
      </c>
      <c r="BS245" s="28">
        <f t="shared" si="11"/>
        <v>0</v>
      </c>
      <c r="BT245" s="28">
        <v>1</v>
      </c>
    </row>
    <row r="246" spans="1:72" ht="15.75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3" t="s">
        <v>88</v>
      </c>
      <c r="G246" s="34" t="s">
        <v>127</v>
      </c>
      <c r="H246" s="24">
        <f t="shared" si="9"/>
        <v>0</v>
      </c>
      <c r="I246" s="35"/>
      <c r="J246" s="35"/>
      <c r="K246" s="36">
        <v>1</v>
      </c>
      <c r="L246" s="34"/>
      <c r="M246" s="40"/>
      <c r="N246" s="51"/>
      <c r="O246" s="35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17">
        <v>2</v>
      </c>
      <c r="BR246" s="17">
        <f t="shared" si="10"/>
        <v>0</v>
      </c>
      <c r="BS246" s="28">
        <f t="shared" si="11"/>
        <v>0</v>
      </c>
      <c r="BT246" s="28">
        <v>1</v>
      </c>
    </row>
    <row r="247" spans="1:72" ht="15.75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3" t="s">
        <v>88</v>
      </c>
      <c r="G247" s="34" t="s">
        <v>127</v>
      </c>
      <c r="H247" s="24">
        <f t="shared" si="9"/>
        <v>0</v>
      </c>
      <c r="I247" s="35"/>
      <c r="J247" s="35"/>
      <c r="K247" s="36">
        <v>1</v>
      </c>
      <c r="L247" s="34"/>
      <c r="M247" s="40"/>
      <c r="N247" s="40"/>
      <c r="O247" s="35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17">
        <v>2</v>
      </c>
      <c r="BR247" s="17">
        <f t="shared" si="10"/>
        <v>0</v>
      </c>
      <c r="BS247" s="28">
        <f t="shared" si="11"/>
        <v>0</v>
      </c>
      <c r="BT247" s="28">
        <v>1</v>
      </c>
    </row>
    <row r="248" spans="1:72" ht="15.75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3" t="s">
        <v>88</v>
      </c>
      <c r="G248" s="34" t="s">
        <v>127</v>
      </c>
      <c r="H248" s="24">
        <f t="shared" si="9"/>
        <v>0</v>
      </c>
      <c r="I248" s="35"/>
      <c r="J248" s="35"/>
      <c r="K248" s="36"/>
      <c r="L248" s="34"/>
      <c r="M248" s="40"/>
      <c r="N248" s="40"/>
      <c r="O248" s="35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17">
        <v>2</v>
      </c>
      <c r="BR248" s="17">
        <f t="shared" si="10"/>
        <v>0</v>
      </c>
      <c r="BS248" s="28">
        <f t="shared" si="11"/>
        <v>0</v>
      </c>
      <c r="BT248" s="28">
        <v>1</v>
      </c>
    </row>
    <row r="249" spans="1:72" ht="15.75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3" t="s">
        <v>88</v>
      </c>
      <c r="G249" s="34" t="s">
        <v>127</v>
      </c>
      <c r="H249" s="24">
        <f t="shared" si="9"/>
        <v>0</v>
      </c>
      <c r="I249" s="35"/>
      <c r="J249" s="35"/>
      <c r="K249" s="36"/>
      <c r="L249" s="34"/>
      <c r="M249" s="40"/>
      <c r="N249" s="51"/>
      <c r="O249" s="35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17">
        <v>2</v>
      </c>
      <c r="BR249" s="17">
        <f t="shared" si="10"/>
        <v>0</v>
      </c>
      <c r="BS249" s="28">
        <f t="shared" si="11"/>
        <v>0</v>
      </c>
      <c r="BT249" s="28">
        <v>1</v>
      </c>
    </row>
    <row r="250" spans="1:72" ht="15.75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3" t="s">
        <v>88</v>
      </c>
      <c r="G250" s="34" t="s">
        <v>127</v>
      </c>
      <c r="H250" s="24">
        <f t="shared" si="9"/>
        <v>0</v>
      </c>
      <c r="I250" s="35"/>
      <c r="J250" s="35"/>
      <c r="K250" s="36"/>
      <c r="L250" s="34"/>
      <c r="M250" s="40"/>
      <c r="N250" s="51"/>
      <c r="O250" s="35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17">
        <v>2</v>
      </c>
      <c r="BR250" s="17">
        <f t="shared" si="10"/>
        <v>0</v>
      </c>
      <c r="BS250" s="28">
        <f t="shared" si="11"/>
        <v>0</v>
      </c>
      <c r="BT250" s="28">
        <v>1</v>
      </c>
    </row>
    <row r="251" spans="1:72" ht="15.75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3" t="s">
        <v>88</v>
      </c>
      <c r="G251" s="34" t="s">
        <v>127</v>
      </c>
      <c r="H251" s="24">
        <f t="shared" si="9"/>
        <v>0</v>
      </c>
      <c r="I251" s="35"/>
      <c r="J251" s="35"/>
      <c r="K251" s="36"/>
      <c r="L251" s="34"/>
      <c r="M251" s="40"/>
      <c r="N251" s="40"/>
      <c r="O251" s="35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41"/>
      <c r="BQ251" s="17">
        <v>2</v>
      </c>
      <c r="BR251" s="17">
        <f t="shared" si="10"/>
        <v>0</v>
      </c>
      <c r="BS251" s="28">
        <f t="shared" si="11"/>
        <v>0</v>
      </c>
      <c r="BT251" s="28">
        <v>1</v>
      </c>
    </row>
    <row r="252" spans="1:72" ht="15.75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3" t="s">
        <v>88</v>
      </c>
      <c r="G252" s="34" t="s">
        <v>127</v>
      </c>
      <c r="H252" s="24">
        <f t="shared" si="9"/>
        <v>0</v>
      </c>
      <c r="I252" s="35"/>
      <c r="J252" s="35"/>
      <c r="K252" s="36"/>
      <c r="L252" s="34"/>
      <c r="M252" s="40"/>
      <c r="N252" s="40"/>
      <c r="O252" s="35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17">
        <v>2</v>
      </c>
      <c r="BR252" s="17">
        <f t="shared" si="10"/>
        <v>0</v>
      </c>
      <c r="BS252" s="28">
        <f t="shared" si="11"/>
        <v>0</v>
      </c>
      <c r="BT252" s="28">
        <v>1</v>
      </c>
    </row>
    <row r="253" spans="1:72" ht="15.75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3" t="s">
        <v>88</v>
      </c>
      <c r="G253" s="34" t="s">
        <v>127</v>
      </c>
      <c r="H253" s="24">
        <f t="shared" si="9"/>
        <v>0</v>
      </c>
      <c r="I253" s="35"/>
      <c r="J253" s="35"/>
      <c r="K253" s="36"/>
      <c r="L253" s="34"/>
      <c r="M253" s="40"/>
      <c r="N253" s="51"/>
      <c r="O253" s="35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17">
        <v>2</v>
      </c>
      <c r="BR253" s="17">
        <f t="shared" si="10"/>
        <v>0</v>
      </c>
      <c r="BS253" s="28">
        <f t="shared" si="11"/>
        <v>0</v>
      </c>
      <c r="BT253" s="28">
        <v>1</v>
      </c>
    </row>
    <row r="254" spans="1:72" ht="15.75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3" t="s">
        <v>88</v>
      </c>
      <c r="G254" s="34" t="s">
        <v>127</v>
      </c>
      <c r="H254" s="24">
        <f t="shared" si="9"/>
        <v>0</v>
      </c>
      <c r="I254" s="35"/>
      <c r="J254" s="35"/>
      <c r="K254" s="36"/>
      <c r="L254" s="34"/>
      <c r="M254" s="40"/>
      <c r="N254" s="51"/>
      <c r="O254" s="35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41"/>
      <c r="BQ254" s="17">
        <v>2</v>
      </c>
      <c r="BR254" s="17">
        <f t="shared" si="10"/>
        <v>0</v>
      </c>
      <c r="BS254" s="28">
        <f t="shared" si="11"/>
        <v>0</v>
      </c>
      <c r="BT254" s="28">
        <v>1</v>
      </c>
    </row>
    <row r="255" spans="1:72" ht="15.75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3" t="s">
        <v>88</v>
      </c>
      <c r="G255" s="34" t="s">
        <v>127</v>
      </c>
      <c r="H255" s="24">
        <f t="shared" si="9"/>
        <v>0</v>
      </c>
      <c r="I255" s="35"/>
      <c r="J255" s="35"/>
      <c r="K255" s="36"/>
      <c r="L255" s="34"/>
      <c r="M255" s="40"/>
      <c r="N255" s="51"/>
      <c r="O255" s="35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17">
        <v>2</v>
      </c>
      <c r="BR255" s="17">
        <f t="shared" si="10"/>
        <v>0</v>
      </c>
      <c r="BS255" s="28">
        <f t="shared" si="11"/>
        <v>0</v>
      </c>
      <c r="BT255" s="28">
        <v>1</v>
      </c>
    </row>
    <row r="256" spans="1:72" ht="15.75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3" t="s">
        <v>88</v>
      </c>
      <c r="G256" s="34" t="s">
        <v>127</v>
      </c>
      <c r="H256" s="24">
        <f t="shared" si="9"/>
        <v>0</v>
      </c>
      <c r="I256" s="35"/>
      <c r="J256" s="35"/>
      <c r="K256" s="36"/>
      <c r="L256" s="34"/>
      <c r="M256" s="40"/>
      <c r="N256" s="40"/>
      <c r="O256" s="35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17">
        <v>2</v>
      </c>
      <c r="BR256" s="17">
        <f t="shared" si="10"/>
        <v>0</v>
      </c>
      <c r="BS256" s="28">
        <f t="shared" si="11"/>
        <v>0</v>
      </c>
      <c r="BT256" s="28">
        <v>1</v>
      </c>
    </row>
    <row r="257" spans="1:72" ht="15.75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3" t="s">
        <v>88</v>
      </c>
      <c r="G257" s="34" t="s">
        <v>127</v>
      </c>
      <c r="H257" s="24">
        <f t="shared" si="9"/>
        <v>0</v>
      </c>
      <c r="I257" s="35"/>
      <c r="J257" s="35"/>
      <c r="K257" s="36"/>
      <c r="L257" s="34"/>
      <c r="M257" s="40"/>
      <c r="N257" s="51"/>
      <c r="O257" s="35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17">
        <v>2</v>
      </c>
      <c r="BR257" s="17">
        <f t="shared" si="10"/>
        <v>0</v>
      </c>
      <c r="BS257" s="28">
        <f t="shared" si="11"/>
        <v>0</v>
      </c>
      <c r="BT257" s="28">
        <v>1</v>
      </c>
    </row>
    <row r="258" spans="1:72" ht="15.75" customHeight="1" x14ac:dyDescent="0.3">
      <c r="A258" s="32">
        <v>140</v>
      </c>
      <c r="B258" s="33" t="s">
        <v>439</v>
      </c>
      <c r="C258" s="33" t="s">
        <v>516</v>
      </c>
      <c r="D258" s="33" t="s">
        <v>519</v>
      </c>
      <c r="E258" s="33" t="s">
        <v>240</v>
      </c>
      <c r="F258" s="33" t="s">
        <v>95</v>
      </c>
      <c r="G258" s="34" t="s">
        <v>95</v>
      </c>
      <c r="H258" s="24">
        <f t="shared" si="9"/>
        <v>0.21153846153846154</v>
      </c>
      <c r="I258" s="35"/>
      <c r="J258" s="35"/>
      <c r="K258" s="36"/>
      <c r="L258" s="34"/>
      <c r="M258" s="40"/>
      <c r="N258" s="51"/>
      <c r="O258" s="35"/>
      <c r="P258" s="27" t="s">
        <v>810</v>
      </c>
      <c r="Q258" s="27" t="s">
        <v>810</v>
      </c>
      <c r="R258" s="27" t="s">
        <v>810</v>
      </c>
      <c r="S258" s="27" t="s">
        <v>810</v>
      </c>
      <c r="T258" s="27" t="s">
        <v>810</v>
      </c>
      <c r="U258" s="27" t="s">
        <v>810</v>
      </c>
      <c r="V258" s="27" t="s">
        <v>810</v>
      </c>
      <c r="W258" s="27" t="s">
        <v>810</v>
      </c>
      <c r="X258" s="27" t="s">
        <v>810</v>
      </c>
      <c r="Y258" s="27" t="s">
        <v>810</v>
      </c>
      <c r="Z258" s="27" t="s">
        <v>810</v>
      </c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17"/>
      <c r="BQ258" s="17">
        <v>52</v>
      </c>
      <c r="BR258" s="17">
        <f t="shared" si="10"/>
        <v>11</v>
      </c>
      <c r="BS258" s="28">
        <f t="shared" si="11"/>
        <v>0</v>
      </c>
      <c r="BT258" s="28">
        <v>1</v>
      </c>
    </row>
    <row r="259" spans="1:72" ht="15.75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3" t="s">
        <v>88</v>
      </c>
      <c r="G259" s="34" t="s">
        <v>127</v>
      </c>
      <c r="H259" s="24">
        <f t="shared" si="9"/>
        <v>0</v>
      </c>
      <c r="I259" s="35"/>
      <c r="J259" s="35"/>
      <c r="K259" s="36"/>
      <c r="L259" s="34"/>
      <c r="M259" s="40"/>
      <c r="N259" s="51"/>
      <c r="O259" s="35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17">
        <v>2</v>
      </c>
      <c r="BR259" s="17">
        <f t="shared" si="10"/>
        <v>0</v>
      </c>
      <c r="BS259" s="28">
        <f t="shared" si="11"/>
        <v>0</v>
      </c>
      <c r="BT259" s="28">
        <v>1</v>
      </c>
    </row>
    <row r="260" spans="1:72" ht="15.75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3" t="s">
        <v>88</v>
      </c>
      <c r="G260" s="34" t="s">
        <v>127</v>
      </c>
      <c r="H260" s="24">
        <f t="shared" si="9"/>
        <v>0</v>
      </c>
      <c r="I260" s="35"/>
      <c r="J260" s="35"/>
      <c r="K260" s="36"/>
      <c r="L260" s="34"/>
      <c r="M260" s="40"/>
      <c r="N260" s="51"/>
      <c r="O260" s="35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17">
        <v>2</v>
      </c>
      <c r="BR260" s="17">
        <f t="shared" si="10"/>
        <v>0</v>
      </c>
      <c r="BS260" s="28">
        <f t="shared" si="11"/>
        <v>0</v>
      </c>
      <c r="BT260" s="28">
        <v>1</v>
      </c>
    </row>
    <row r="261" spans="1:72" ht="15.75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3" t="s">
        <v>204</v>
      </c>
      <c r="G261" s="34" t="s">
        <v>127</v>
      </c>
      <c r="H261" s="24">
        <f t="shared" ref="H261:H322" si="12">IF(BQ261=0," ",(BR261/BQ261))</f>
        <v>0</v>
      </c>
      <c r="I261" s="35" t="s">
        <v>808</v>
      </c>
      <c r="J261" s="35" t="s">
        <v>205</v>
      </c>
      <c r="K261" s="36"/>
      <c r="L261" s="34" t="s">
        <v>100</v>
      </c>
      <c r="M261" s="40"/>
      <c r="N261" s="51"/>
      <c r="O261" s="35" t="s">
        <v>205</v>
      </c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80"/>
      <c r="BP261" s="27"/>
      <c r="BQ261" s="17">
        <v>2</v>
      </c>
      <c r="BR261" s="17">
        <f t="shared" ref="BR261:BR322" si="13">IF(COUNTA(P261:BP261)&gt;BQ261,BQ261,COUNTA(P261:BP261))</f>
        <v>0</v>
      </c>
      <c r="BS261" s="28">
        <f t="shared" ref="BS261:BS322" si="14">IF(H261=1,1,0)</f>
        <v>0</v>
      </c>
      <c r="BT261" s="28">
        <v>1</v>
      </c>
    </row>
    <row r="262" spans="1:72" ht="15.75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3" t="s">
        <v>204</v>
      </c>
      <c r="G262" s="34" t="s">
        <v>127</v>
      </c>
      <c r="H262" s="24">
        <f t="shared" si="12"/>
        <v>0</v>
      </c>
      <c r="I262" s="35" t="s">
        <v>808</v>
      </c>
      <c r="J262" s="35"/>
      <c r="K262" s="36"/>
      <c r="L262" s="34" t="s">
        <v>100</v>
      </c>
      <c r="M262" s="40"/>
      <c r="N262" s="51"/>
      <c r="O262" s="35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80"/>
      <c r="BP262" s="27"/>
      <c r="BQ262" s="17">
        <v>2</v>
      </c>
      <c r="BR262" s="17">
        <f t="shared" si="13"/>
        <v>0</v>
      </c>
      <c r="BS262" s="28">
        <f t="shared" si="14"/>
        <v>0</v>
      </c>
      <c r="BT262" s="28">
        <v>1</v>
      </c>
    </row>
    <row r="263" spans="1:72" ht="15.75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3" t="s">
        <v>88</v>
      </c>
      <c r="G263" s="34" t="s">
        <v>127</v>
      </c>
      <c r="H263" s="24">
        <f t="shared" si="12"/>
        <v>0.5</v>
      </c>
      <c r="I263" s="35" t="s">
        <v>759</v>
      </c>
      <c r="J263" s="35" t="s">
        <v>786</v>
      </c>
      <c r="K263" s="36"/>
      <c r="L263" s="34" t="s">
        <v>100</v>
      </c>
      <c r="M263" s="40"/>
      <c r="N263" s="51" t="s">
        <v>883</v>
      </c>
      <c r="O263" s="35" t="s">
        <v>786</v>
      </c>
      <c r="P263" s="27"/>
      <c r="Q263" s="27"/>
      <c r="R263" s="27" t="s">
        <v>886</v>
      </c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17"/>
      <c r="BP263" s="17"/>
      <c r="BQ263" s="17">
        <v>2</v>
      </c>
      <c r="BR263" s="17">
        <f t="shared" si="13"/>
        <v>1</v>
      </c>
      <c r="BS263" s="28">
        <f t="shared" si="14"/>
        <v>0</v>
      </c>
      <c r="BT263" s="28">
        <v>1</v>
      </c>
    </row>
    <row r="264" spans="1:72" ht="15.75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3" t="s">
        <v>204</v>
      </c>
      <c r="G264" s="34" t="s">
        <v>127</v>
      </c>
      <c r="H264" s="24">
        <f t="shared" si="12"/>
        <v>0</v>
      </c>
      <c r="I264" s="35" t="s">
        <v>808</v>
      </c>
      <c r="J264" s="35"/>
      <c r="K264" s="36"/>
      <c r="L264" s="34" t="s">
        <v>100</v>
      </c>
      <c r="M264" s="40"/>
      <c r="N264" s="51"/>
      <c r="O264" s="35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80"/>
      <c r="BP264" s="27"/>
      <c r="BQ264" s="17">
        <v>2</v>
      </c>
      <c r="BR264" s="17">
        <f t="shared" si="13"/>
        <v>0</v>
      </c>
      <c r="BS264" s="28">
        <f t="shared" si="14"/>
        <v>0</v>
      </c>
      <c r="BT264" s="28">
        <v>1</v>
      </c>
    </row>
    <row r="265" spans="1:72" ht="15.75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3" t="s">
        <v>88</v>
      </c>
      <c r="G265" s="34" t="s">
        <v>127</v>
      </c>
      <c r="H265" s="24">
        <f t="shared" si="12"/>
        <v>0.5</v>
      </c>
      <c r="I265" s="35" t="s">
        <v>759</v>
      </c>
      <c r="J265" s="35" t="s">
        <v>786</v>
      </c>
      <c r="K265" s="36"/>
      <c r="L265" s="34" t="s">
        <v>100</v>
      </c>
      <c r="M265" s="40"/>
      <c r="N265" s="51" t="s">
        <v>883</v>
      </c>
      <c r="O265" s="35" t="s">
        <v>786</v>
      </c>
      <c r="P265" s="27"/>
      <c r="Q265" s="27"/>
      <c r="R265" s="27" t="s">
        <v>886</v>
      </c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17"/>
      <c r="BP265" s="17"/>
      <c r="BQ265" s="17">
        <v>2</v>
      </c>
      <c r="BR265" s="17">
        <f t="shared" si="13"/>
        <v>1</v>
      </c>
      <c r="BS265" s="28">
        <f t="shared" si="14"/>
        <v>0</v>
      </c>
      <c r="BT265" s="28">
        <v>1</v>
      </c>
    </row>
    <row r="266" spans="1:72" ht="15.75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3" t="s">
        <v>204</v>
      </c>
      <c r="G266" s="34" t="s">
        <v>127</v>
      </c>
      <c r="H266" s="24">
        <f t="shared" si="12"/>
        <v>0</v>
      </c>
      <c r="I266" s="35" t="s">
        <v>808</v>
      </c>
      <c r="J266" s="35" t="s">
        <v>205</v>
      </c>
      <c r="K266" s="36"/>
      <c r="L266" s="34" t="s">
        <v>100</v>
      </c>
      <c r="M266" s="40"/>
      <c r="N266" s="51"/>
      <c r="O266" s="35" t="s">
        <v>205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80"/>
      <c r="BP266" s="27"/>
      <c r="BQ266" s="17">
        <v>2</v>
      </c>
      <c r="BR266" s="17">
        <f t="shared" si="13"/>
        <v>0</v>
      </c>
      <c r="BS266" s="28">
        <f t="shared" si="14"/>
        <v>0</v>
      </c>
      <c r="BT266" s="28">
        <v>1</v>
      </c>
    </row>
    <row r="267" spans="1:72" ht="15.75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3" t="s">
        <v>204</v>
      </c>
      <c r="G267" s="34" t="s">
        <v>127</v>
      </c>
      <c r="H267" s="24">
        <f t="shared" si="12"/>
        <v>0</v>
      </c>
      <c r="I267" s="35" t="s">
        <v>808</v>
      </c>
      <c r="J267" s="35"/>
      <c r="K267" s="36"/>
      <c r="L267" s="34" t="s">
        <v>105</v>
      </c>
      <c r="M267" s="40"/>
      <c r="N267" s="51"/>
      <c r="O267" s="35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80"/>
      <c r="BP267" s="27"/>
      <c r="BQ267" s="17">
        <v>2</v>
      </c>
      <c r="BR267" s="17">
        <f t="shared" si="13"/>
        <v>0</v>
      </c>
      <c r="BS267" s="28">
        <f t="shared" si="14"/>
        <v>0</v>
      </c>
      <c r="BT267" s="28">
        <v>1</v>
      </c>
    </row>
    <row r="268" spans="1:72" ht="15.75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3" t="s">
        <v>88</v>
      </c>
      <c r="G268" s="34" t="s">
        <v>127</v>
      </c>
      <c r="H268" s="24">
        <f t="shared" si="12"/>
        <v>0</v>
      </c>
      <c r="I268" s="35" t="s">
        <v>808</v>
      </c>
      <c r="J268" s="35"/>
      <c r="K268" s="36"/>
      <c r="L268" s="34" t="s">
        <v>100</v>
      </c>
      <c r="M268" s="40"/>
      <c r="N268" s="51"/>
      <c r="O268" s="35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80"/>
      <c r="BP268" s="41"/>
      <c r="BQ268" s="17">
        <v>2</v>
      </c>
      <c r="BR268" s="17">
        <f t="shared" si="13"/>
        <v>0</v>
      </c>
      <c r="BS268" s="28">
        <f t="shared" si="14"/>
        <v>0</v>
      </c>
      <c r="BT268" s="28">
        <v>1</v>
      </c>
    </row>
    <row r="269" spans="1:72" ht="15.75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3" t="s">
        <v>672</v>
      </c>
      <c r="G269" s="34" t="s">
        <v>673</v>
      </c>
      <c r="H269" s="24">
        <f t="shared" si="12"/>
        <v>0.25</v>
      </c>
      <c r="I269" s="35"/>
      <c r="J269" s="35" t="s">
        <v>545</v>
      </c>
      <c r="K269" s="36"/>
      <c r="L269" s="34" t="s">
        <v>100</v>
      </c>
      <c r="M269" s="40"/>
      <c r="N269" s="51" t="s">
        <v>870</v>
      </c>
      <c r="O269" s="35" t="s">
        <v>545</v>
      </c>
      <c r="P269" s="27"/>
      <c r="Q269" s="27"/>
      <c r="R269" s="27"/>
      <c r="S269" s="27" t="s">
        <v>865</v>
      </c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17"/>
      <c r="BP269" s="27"/>
      <c r="BQ269" s="17">
        <v>4</v>
      </c>
      <c r="BR269" s="17">
        <f t="shared" si="13"/>
        <v>1</v>
      </c>
      <c r="BS269" s="28">
        <f t="shared" si="14"/>
        <v>0</v>
      </c>
      <c r="BT269" s="28">
        <v>1</v>
      </c>
    </row>
    <row r="270" spans="1:72" ht="15.75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3" t="s">
        <v>204</v>
      </c>
      <c r="G270" s="34" t="s">
        <v>127</v>
      </c>
      <c r="H270" s="24">
        <f t="shared" si="12"/>
        <v>0</v>
      </c>
      <c r="I270" s="35" t="s">
        <v>808</v>
      </c>
      <c r="J270" s="35"/>
      <c r="K270" s="36"/>
      <c r="L270" s="34" t="s">
        <v>100</v>
      </c>
      <c r="M270" s="40"/>
      <c r="N270" s="51"/>
      <c r="O270" s="35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17"/>
      <c r="BP270" s="17"/>
      <c r="BQ270" s="17">
        <v>1</v>
      </c>
      <c r="BR270" s="17">
        <f t="shared" si="13"/>
        <v>0</v>
      </c>
      <c r="BS270" s="28">
        <f t="shared" si="14"/>
        <v>0</v>
      </c>
      <c r="BT270" s="28">
        <v>1</v>
      </c>
    </row>
    <row r="271" spans="1:72" ht="15.75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3" t="s">
        <v>204</v>
      </c>
      <c r="G271" s="34" t="s">
        <v>127</v>
      </c>
      <c r="H271" s="24">
        <f t="shared" si="12"/>
        <v>0</v>
      </c>
      <c r="I271" s="35" t="s">
        <v>808</v>
      </c>
      <c r="J271" s="35"/>
      <c r="K271" s="36"/>
      <c r="L271" s="34" t="s">
        <v>100</v>
      </c>
      <c r="M271" s="40"/>
      <c r="N271" s="51"/>
      <c r="O271" s="35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17"/>
      <c r="BP271" s="49"/>
      <c r="BQ271" s="17">
        <v>1</v>
      </c>
      <c r="BR271" s="17">
        <f t="shared" si="13"/>
        <v>0</v>
      </c>
      <c r="BS271" s="28">
        <f t="shared" si="14"/>
        <v>0</v>
      </c>
      <c r="BT271" s="28">
        <v>1</v>
      </c>
    </row>
    <row r="272" spans="1:72" ht="15.75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3" t="s">
        <v>88</v>
      </c>
      <c r="G272" s="34" t="s">
        <v>127</v>
      </c>
      <c r="H272" s="24">
        <f t="shared" si="12"/>
        <v>0.5</v>
      </c>
      <c r="I272" s="35" t="s">
        <v>759</v>
      </c>
      <c r="J272" s="35" t="s">
        <v>786</v>
      </c>
      <c r="K272" s="36"/>
      <c r="L272" s="34" t="s">
        <v>100</v>
      </c>
      <c r="M272" s="40"/>
      <c r="N272" s="51" t="s">
        <v>883</v>
      </c>
      <c r="O272" s="35" t="s">
        <v>786</v>
      </c>
      <c r="P272" s="27"/>
      <c r="Q272" s="27"/>
      <c r="R272" s="27" t="s">
        <v>886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17"/>
      <c r="BP272" s="17"/>
      <c r="BQ272" s="17">
        <v>2</v>
      </c>
      <c r="BR272" s="17">
        <f t="shared" si="13"/>
        <v>1</v>
      </c>
      <c r="BS272" s="28">
        <f t="shared" si="14"/>
        <v>0</v>
      </c>
      <c r="BT272" s="28">
        <v>1</v>
      </c>
    </row>
    <row r="273" spans="1:72" ht="15.75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3" t="s">
        <v>204</v>
      </c>
      <c r="G273" s="34" t="s">
        <v>127</v>
      </c>
      <c r="H273" s="24">
        <f t="shared" si="12"/>
        <v>0</v>
      </c>
      <c r="I273" s="35" t="s">
        <v>808</v>
      </c>
      <c r="J273" s="35"/>
      <c r="K273" s="36"/>
      <c r="L273" s="34" t="s">
        <v>100</v>
      </c>
      <c r="M273" s="40"/>
      <c r="N273" s="51"/>
      <c r="O273" s="35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17"/>
      <c r="BP273" s="17"/>
      <c r="BQ273" s="17">
        <v>1</v>
      </c>
      <c r="BR273" s="17">
        <f t="shared" si="13"/>
        <v>0</v>
      </c>
      <c r="BS273" s="28">
        <f t="shared" si="14"/>
        <v>0</v>
      </c>
      <c r="BT273" s="28">
        <v>1</v>
      </c>
    </row>
    <row r="274" spans="1:72" ht="15.75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3" t="s">
        <v>204</v>
      </c>
      <c r="G274" s="34" t="s">
        <v>127</v>
      </c>
      <c r="H274" s="24">
        <f t="shared" si="12"/>
        <v>0</v>
      </c>
      <c r="I274" s="35" t="s">
        <v>808</v>
      </c>
      <c r="J274" s="35"/>
      <c r="K274" s="36"/>
      <c r="L274" s="34" t="s">
        <v>100</v>
      </c>
      <c r="M274" s="40"/>
      <c r="N274" s="51"/>
      <c r="O274" s="35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17"/>
      <c r="BP274" s="17"/>
      <c r="BQ274" s="17">
        <v>1</v>
      </c>
      <c r="BR274" s="17">
        <f t="shared" si="13"/>
        <v>0</v>
      </c>
      <c r="BS274" s="28">
        <f t="shared" si="14"/>
        <v>0</v>
      </c>
      <c r="BT274" s="28">
        <v>1</v>
      </c>
    </row>
    <row r="275" spans="1:72" ht="15.75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3" t="s">
        <v>88</v>
      </c>
      <c r="G275" s="34" t="s">
        <v>127</v>
      </c>
      <c r="H275" s="24">
        <f t="shared" si="12"/>
        <v>0.5</v>
      </c>
      <c r="I275" s="35" t="s">
        <v>759</v>
      </c>
      <c r="J275" s="35" t="s">
        <v>786</v>
      </c>
      <c r="K275" s="36"/>
      <c r="L275" s="34" t="s">
        <v>100</v>
      </c>
      <c r="M275" s="40"/>
      <c r="N275" s="51" t="s">
        <v>883</v>
      </c>
      <c r="O275" s="35" t="s">
        <v>786</v>
      </c>
      <c r="P275" s="27"/>
      <c r="Q275" s="27"/>
      <c r="R275" s="27" t="s">
        <v>886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17"/>
      <c r="BP275" s="17"/>
      <c r="BQ275" s="17">
        <v>2</v>
      </c>
      <c r="BR275" s="17">
        <f t="shared" si="13"/>
        <v>1</v>
      </c>
      <c r="BS275" s="28">
        <f t="shared" si="14"/>
        <v>0</v>
      </c>
      <c r="BT275" s="28">
        <v>1</v>
      </c>
    </row>
    <row r="276" spans="1:72" ht="15.75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3" t="s">
        <v>204</v>
      </c>
      <c r="G276" s="34" t="s">
        <v>127</v>
      </c>
      <c r="H276" s="24">
        <f t="shared" si="12"/>
        <v>0</v>
      </c>
      <c r="I276" s="35" t="s">
        <v>808</v>
      </c>
      <c r="J276" s="35"/>
      <c r="K276" s="36"/>
      <c r="L276" s="34" t="s">
        <v>100</v>
      </c>
      <c r="M276" s="40"/>
      <c r="N276" s="48"/>
      <c r="O276" s="35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80"/>
      <c r="BP276" s="27"/>
      <c r="BQ276" s="17">
        <v>2</v>
      </c>
      <c r="BR276" s="17">
        <f t="shared" si="13"/>
        <v>0</v>
      </c>
      <c r="BS276" s="28">
        <f t="shared" si="14"/>
        <v>0</v>
      </c>
      <c r="BT276" s="28">
        <v>1</v>
      </c>
    </row>
    <row r="277" spans="1:72" ht="14.4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3" t="s">
        <v>672</v>
      </c>
      <c r="G277" s="34" t="s">
        <v>673</v>
      </c>
      <c r="H277" s="24">
        <f t="shared" si="12"/>
        <v>0.25</v>
      </c>
      <c r="I277" s="35"/>
      <c r="J277" s="35" t="s">
        <v>234</v>
      </c>
      <c r="K277" s="36"/>
      <c r="L277" s="34" t="s">
        <v>100</v>
      </c>
      <c r="M277" s="40"/>
      <c r="N277" s="51" t="s">
        <v>868</v>
      </c>
      <c r="O277" s="35" t="s">
        <v>234</v>
      </c>
      <c r="P277" s="27"/>
      <c r="Q277" s="27"/>
      <c r="R277" s="27"/>
      <c r="S277" s="27" t="s">
        <v>865</v>
      </c>
      <c r="T277" s="27"/>
      <c r="U277" s="27"/>
      <c r="V277" s="27"/>
      <c r="W277" s="27"/>
      <c r="X277" s="27"/>
      <c r="Y277" s="54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54"/>
      <c r="AK277" s="27"/>
      <c r="AL277" s="27"/>
      <c r="AM277" s="27"/>
      <c r="AN277" s="27"/>
      <c r="AO277" s="27"/>
      <c r="AP277" s="54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54"/>
      <c r="BE277" s="27"/>
      <c r="BF277" s="27"/>
      <c r="BG277" s="27"/>
      <c r="BH277" s="27"/>
      <c r="BI277" s="27"/>
      <c r="BJ277" s="27"/>
      <c r="BK277" s="27"/>
      <c r="BL277" s="54"/>
      <c r="BM277" s="27"/>
      <c r="BN277" s="27"/>
      <c r="BO277" s="17"/>
      <c r="BP277" s="17"/>
      <c r="BQ277" s="17">
        <v>4</v>
      </c>
      <c r="BR277" s="17">
        <f t="shared" si="13"/>
        <v>1</v>
      </c>
      <c r="BS277" s="28">
        <f t="shared" si="14"/>
        <v>0</v>
      </c>
      <c r="BT277" s="28">
        <v>1</v>
      </c>
    </row>
    <row r="278" spans="1:72" ht="15.75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3" t="s">
        <v>204</v>
      </c>
      <c r="G278" s="34" t="s">
        <v>127</v>
      </c>
      <c r="H278" s="24">
        <f t="shared" si="12"/>
        <v>0</v>
      </c>
      <c r="I278" s="35" t="s">
        <v>808</v>
      </c>
      <c r="J278" s="35"/>
      <c r="K278" s="36"/>
      <c r="L278" s="34" t="s">
        <v>100</v>
      </c>
      <c r="M278" s="40"/>
      <c r="N278" s="48"/>
      <c r="O278" s="35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54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54"/>
      <c r="BI278" s="27"/>
      <c r="BJ278" s="27"/>
      <c r="BK278" s="27"/>
      <c r="BL278" s="27"/>
      <c r="BM278" s="27"/>
      <c r="BN278" s="27"/>
      <c r="BO278" s="27"/>
      <c r="BP278" s="17"/>
      <c r="BQ278" s="17">
        <v>2</v>
      </c>
      <c r="BR278" s="17">
        <f t="shared" si="13"/>
        <v>0</v>
      </c>
      <c r="BS278" s="28">
        <f t="shared" si="14"/>
        <v>0</v>
      </c>
      <c r="BT278" s="28">
        <v>1</v>
      </c>
    </row>
    <row r="279" spans="1:72" ht="15.75" customHeight="1" x14ac:dyDescent="0.3">
      <c r="A279" s="32" t="s">
        <v>546</v>
      </c>
      <c r="B279" s="33" t="s">
        <v>561</v>
      </c>
      <c r="C279" s="33" t="s">
        <v>562</v>
      </c>
      <c r="D279" s="33" t="s">
        <v>563</v>
      </c>
      <c r="E279" s="33" t="s">
        <v>173</v>
      </c>
      <c r="F279" s="33" t="s">
        <v>93</v>
      </c>
      <c r="G279" s="34" t="s">
        <v>119</v>
      </c>
      <c r="H279" s="24">
        <f t="shared" si="12"/>
        <v>0.25</v>
      </c>
      <c r="I279" s="35"/>
      <c r="J279" s="35"/>
      <c r="K279" s="36"/>
      <c r="L279" s="34" t="s">
        <v>105</v>
      </c>
      <c r="M279" s="40"/>
      <c r="N279" s="53"/>
      <c r="O279" s="35"/>
      <c r="P279" s="27" t="s">
        <v>810</v>
      </c>
      <c r="Q279" s="27"/>
      <c r="R279" s="27"/>
      <c r="S279" s="27"/>
      <c r="T279" s="27"/>
      <c r="U279" s="27" t="s">
        <v>810</v>
      </c>
      <c r="V279" s="27"/>
      <c r="W279" s="27"/>
      <c r="X279" s="27"/>
      <c r="Y279" s="27" t="s">
        <v>810</v>
      </c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17"/>
      <c r="BP279" s="27"/>
      <c r="BQ279" s="17">
        <v>12</v>
      </c>
      <c r="BR279" s="17">
        <f t="shared" si="13"/>
        <v>3</v>
      </c>
      <c r="BS279" s="28">
        <f t="shared" si="14"/>
        <v>0</v>
      </c>
      <c r="BT279" s="28">
        <v>1</v>
      </c>
    </row>
    <row r="280" spans="1:72" ht="15.75" customHeight="1" x14ac:dyDescent="0.3">
      <c r="A280" s="32" t="s">
        <v>546</v>
      </c>
      <c r="B280" s="33" t="s">
        <v>561</v>
      </c>
      <c r="C280" s="33" t="s">
        <v>562</v>
      </c>
      <c r="D280" s="33" t="s">
        <v>563</v>
      </c>
      <c r="E280" s="33" t="s">
        <v>580</v>
      </c>
      <c r="F280" s="33" t="s">
        <v>93</v>
      </c>
      <c r="G280" s="34" t="s">
        <v>119</v>
      </c>
      <c r="H280" s="24">
        <f t="shared" si="12"/>
        <v>0.25</v>
      </c>
      <c r="I280" s="35"/>
      <c r="J280" s="35"/>
      <c r="K280" s="36"/>
      <c r="L280" s="34" t="s">
        <v>105</v>
      </c>
      <c r="M280" s="40"/>
      <c r="N280" s="53"/>
      <c r="O280" s="35"/>
      <c r="P280" s="27" t="s">
        <v>812</v>
      </c>
      <c r="Q280" s="27"/>
      <c r="R280" s="27"/>
      <c r="S280" s="27"/>
      <c r="T280" s="27"/>
      <c r="U280" s="27" t="s">
        <v>812</v>
      </c>
      <c r="V280" s="27"/>
      <c r="W280" s="27"/>
      <c r="X280" s="27"/>
      <c r="Y280" s="27" t="s">
        <v>812</v>
      </c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17"/>
      <c r="BP280" s="27"/>
      <c r="BQ280" s="17">
        <v>12</v>
      </c>
      <c r="BR280" s="17">
        <f t="shared" si="13"/>
        <v>3</v>
      </c>
      <c r="BS280" s="28">
        <f t="shared" si="14"/>
        <v>0</v>
      </c>
      <c r="BT280" s="28">
        <v>1</v>
      </c>
    </row>
    <row r="281" spans="1:72" ht="15.75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3" t="s">
        <v>204</v>
      </c>
      <c r="G281" s="34" t="s">
        <v>127</v>
      </c>
      <c r="H281" s="24">
        <f t="shared" si="12"/>
        <v>0</v>
      </c>
      <c r="I281" s="35" t="s">
        <v>808</v>
      </c>
      <c r="J281" s="35"/>
      <c r="K281" s="36"/>
      <c r="L281" s="34" t="s">
        <v>105</v>
      </c>
      <c r="M281" s="40"/>
      <c r="N281" s="53"/>
      <c r="O281" s="35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80"/>
      <c r="BP281" s="17"/>
      <c r="BQ281" s="17">
        <v>2</v>
      </c>
      <c r="BR281" s="17">
        <f t="shared" si="13"/>
        <v>0</v>
      </c>
      <c r="BS281" s="28">
        <f t="shared" si="14"/>
        <v>0</v>
      </c>
      <c r="BT281" s="28">
        <v>1</v>
      </c>
    </row>
    <row r="282" spans="1:72" ht="15.75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3" t="s">
        <v>132</v>
      </c>
      <c r="G282" s="34" t="s">
        <v>99</v>
      </c>
      <c r="H282" s="24">
        <f t="shared" si="12"/>
        <v>0</v>
      </c>
      <c r="I282" s="35" t="s">
        <v>808</v>
      </c>
      <c r="J282" s="35"/>
      <c r="K282" s="36"/>
      <c r="L282" s="34" t="s">
        <v>105</v>
      </c>
      <c r="M282" s="40"/>
      <c r="N282" s="53"/>
      <c r="O282" s="35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17"/>
      <c r="BQ282" s="17">
        <v>1</v>
      </c>
      <c r="BR282" s="17">
        <f t="shared" si="13"/>
        <v>0</v>
      </c>
      <c r="BS282" s="28">
        <f t="shared" si="14"/>
        <v>0</v>
      </c>
      <c r="BT282" s="28">
        <v>1</v>
      </c>
    </row>
    <row r="283" spans="1:72" ht="15.75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3" t="s">
        <v>132</v>
      </c>
      <c r="G283" s="34" t="s">
        <v>99</v>
      </c>
      <c r="H283" s="24">
        <f t="shared" si="12"/>
        <v>0</v>
      </c>
      <c r="I283" s="35"/>
      <c r="J283" s="35"/>
      <c r="K283" s="36"/>
      <c r="L283" s="34" t="s">
        <v>105</v>
      </c>
      <c r="M283" s="40"/>
      <c r="N283" s="53"/>
      <c r="O283" s="35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17"/>
      <c r="BQ283" s="17">
        <v>1</v>
      </c>
      <c r="BR283" s="17">
        <f t="shared" si="13"/>
        <v>0</v>
      </c>
      <c r="BS283" s="28">
        <f t="shared" si="14"/>
        <v>0</v>
      </c>
      <c r="BT283" s="28">
        <v>1</v>
      </c>
    </row>
    <row r="284" spans="1:72" ht="15.75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3" t="s">
        <v>132</v>
      </c>
      <c r="G284" s="34" t="s">
        <v>99</v>
      </c>
      <c r="H284" s="24">
        <f t="shared" si="12"/>
        <v>0</v>
      </c>
      <c r="I284" s="35" t="s">
        <v>808</v>
      </c>
      <c r="J284" s="35"/>
      <c r="K284" s="36"/>
      <c r="L284" s="34" t="s">
        <v>100</v>
      </c>
      <c r="M284" s="40"/>
      <c r="N284" s="53"/>
      <c r="O284" s="35" t="s">
        <v>589</v>
      </c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17"/>
      <c r="BQ284" s="17">
        <v>1</v>
      </c>
      <c r="BR284" s="17">
        <f t="shared" si="13"/>
        <v>0</v>
      </c>
      <c r="BS284" s="28">
        <f t="shared" si="14"/>
        <v>0</v>
      </c>
      <c r="BT284" s="28">
        <v>1</v>
      </c>
    </row>
    <row r="285" spans="1:72" ht="15.75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3" t="s">
        <v>204</v>
      </c>
      <c r="G285" s="34" t="s">
        <v>127</v>
      </c>
      <c r="H285" s="24">
        <f t="shared" si="12"/>
        <v>0</v>
      </c>
      <c r="I285" s="35" t="s">
        <v>808</v>
      </c>
      <c r="J285" s="35" t="s">
        <v>579</v>
      </c>
      <c r="K285" s="36"/>
      <c r="L285" s="34" t="s">
        <v>100</v>
      </c>
      <c r="M285" s="40"/>
      <c r="N285" s="53"/>
      <c r="O285" s="35" t="s">
        <v>579</v>
      </c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80"/>
      <c r="BP285" s="17"/>
      <c r="BQ285" s="17">
        <v>2</v>
      </c>
      <c r="BR285" s="17">
        <f t="shared" si="13"/>
        <v>0</v>
      </c>
      <c r="BS285" s="28">
        <f t="shared" si="14"/>
        <v>0</v>
      </c>
      <c r="BT285" s="28">
        <v>1</v>
      </c>
    </row>
    <row r="286" spans="1:72" ht="15.75" customHeight="1" x14ac:dyDescent="0.3">
      <c r="A286" s="32" t="s">
        <v>546</v>
      </c>
      <c r="B286" s="33" t="s">
        <v>550</v>
      </c>
      <c r="C286" s="33" t="s">
        <v>551</v>
      </c>
      <c r="D286" s="33" t="s">
        <v>552</v>
      </c>
      <c r="E286" s="33" t="s">
        <v>225</v>
      </c>
      <c r="F286" s="33" t="s">
        <v>672</v>
      </c>
      <c r="G286" s="34" t="s">
        <v>673</v>
      </c>
      <c r="H286" s="24">
        <f t="shared" si="12"/>
        <v>0.25</v>
      </c>
      <c r="I286" s="35"/>
      <c r="J286" s="35" t="s">
        <v>234</v>
      </c>
      <c r="K286" s="36"/>
      <c r="L286" s="34" t="s">
        <v>100</v>
      </c>
      <c r="M286" s="40"/>
      <c r="N286" s="51" t="s">
        <v>868</v>
      </c>
      <c r="O286" s="35" t="s">
        <v>234</v>
      </c>
      <c r="P286" s="27"/>
      <c r="Q286" s="27"/>
      <c r="R286" s="27"/>
      <c r="S286" s="27" t="s">
        <v>865</v>
      </c>
      <c r="T286" s="27"/>
      <c r="U286" s="27"/>
      <c r="V286" s="27"/>
      <c r="W286" s="27"/>
      <c r="X286" s="27"/>
      <c r="Y286" s="54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54"/>
      <c r="AK286" s="27"/>
      <c r="AL286" s="27"/>
      <c r="AM286" s="27"/>
      <c r="AN286" s="27"/>
      <c r="AO286" s="27"/>
      <c r="AP286" s="54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54"/>
      <c r="BE286" s="27"/>
      <c r="BF286" s="27"/>
      <c r="BG286" s="27"/>
      <c r="BH286" s="27"/>
      <c r="BI286" s="27"/>
      <c r="BJ286" s="27"/>
      <c r="BK286" s="27"/>
      <c r="BL286" s="54"/>
      <c r="BM286" s="27"/>
      <c r="BN286" s="27"/>
      <c r="BO286" s="17"/>
      <c r="BP286" s="17"/>
      <c r="BQ286" s="17">
        <v>4</v>
      </c>
      <c r="BR286" s="17">
        <f t="shared" si="13"/>
        <v>1</v>
      </c>
      <c r="BS286" s="28">
        <f t="shared" si="14"/>
        <v>0</v>
      </c>
      <c r="BT286" s="28">
        <v>1</v>
      </c>
    </row>
    <row r="287" spans="1:72" ht="15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577</v>
      </c>
      <c r="F287" s="33" t="s">
        <v>196</v>
      </c>
      <c r="G287" s="34" t="s">
        <v>167</v>
      </c>
      <c r="H287" s="24">
        <f t="shared" si="12"/>
        <v>0</v>
      </c>
      <c r="I287" s="35"/>
      <c r="J287" s="35"/>
      <c r="K287" s="36"/>
      <c r="L287" s="34" t="s">
        <v>100</v>
      </c>
      <c r="M287" s="40"/>
      <c r="N287" s="48"/>
      <c r="O287" s="35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17"/>
      <c r="BQ287" s="17">
        <v>3</v>
      </c>
      <c r="BR287" s="17">
        <f t="shared" si="13"/>
        <v>0</v>
      </c>
      <c r="BS287" s="28">
        <f t="shared" si="14"/>
        <v>0</v>
      </c>
      <c r="BT287" s="28">
        <v>1</v>
      </c>
    </row>
    <row r="288" spans="1:72" ht="16.5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578</v>
      </c>
      <c r="F288" s="33" t="s">
        <v>204</v>
      </c>
      <c r="G288" s="34" t="s">
        <v>127</v>
      </c>
      <c r="H288" s="24">
        <f t="shared" si="12"/>
        <v>0</v>
      </c>
      <c r="I288" s="35"/>
      <c r="J288" s="35" t="s">
        <v>579</v>
      </c>
      <c r="K288" s="36"/>
      <c r="L288" s="34" t="s">
        <v>100</v>
      </c>
      <c r="M288" s="40"/>
      <c r="N288" s="48"/>
      <c r="O288" s="35" t="s">
        <v>579</v>
      </c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80"/>
      <c r="BP288" s="17"/>
      <c r="BQ288" s="17">
        <v>2</v>
      </c>
      <c r="BR288" s="17">
        <f t="shared" si="13"/>
        <v>0</v>
      </c>
      <c r="BS288" s="28">
        <f t="shared" si="14"/>
        <v>0</v>
      </c>
      <c r="BT288" s="28">
        <v>1</v>
      </c>
    </row>
    <row r="289" spans="1:72" ht="13.5" customHeight="1" x14ac:dyDescent="0.3">
      <c r="A289" s="32" t="s">
        <v>546</v>
      </c>
      <c r="B289" s="33" t="s">
        <v>591</v>
      </c>
      <c r="C289" s="33" t="s">
        <v>554</v>
      </c>
      <c r="D289" s="33" t="s">
        <v>585</v>
      </c>
      <c r="E289" s="33" t="s">
        <v>586</v>
      </c>
      <c r="F289" s="33" t="s">
        <v>132</v>
      </c>
      <c r="G289" s="34" t="s">
        <v>99</v>
      </c>
      <c r="H289" s="24">
        <f t="shared" si="12"/>
        <v>0</v>
      </c>
      <c r="I289" s="35" t="s">
        <v>808</v>
      </c>
      <c r="J289" s="35"/>
      <c r="K289" s="36"/>
      <c r="L289" s="34" t="s">
        <v>105</v>
      </c>
      <c r="M289" s="40"/>
      <c r="N289" s="48"/>
      <c r="O289" s="35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17"/>
      <c r="BQ289" s="17">
        <v>1</v>
      </c>
      <c r="BR289" s="17">
        <f t="shared" si="13"/>
        <v>0</v>
      </c>
      <c r="BS289" s="28">
        <f t="shared" si="14"/>
        <v>0</v>
      </c>
      <c r="BT289" s="28">
        <v>1</v>
      </c>
    </row>
    <row r="290" spans="1:72" ht="17.25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788</v>
      </c>
      <c r="F290" s="33" t="s">
        <v>132</v>
      </c>
      <c r="G290" s="34" t="s">
        <v>99</v>
      </c>
      <c r="H290" s="24">
        <f t="shared" si="12"/>
        <v>0</v>
      </c>
      <c r="I290" s="35" t="s">
        <v>808</v>
      </c>
      <c r="J290" s="35"/>
      <c r="K290" s="36"/>
      <c r="L290" s="34" t="s">
        <v>105</v>
      </c>
      <c r="M290" s="40"/>
      <c r="N290" s="48"/>
      <c r="O290" s="35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17"/>
      <c r="BQ290" s="17">
        <v>1</v>
      </c>
      <c r="BR290" s="17">
        <f t="shared" si="13"/>
        <v>0</v>
      </c>
      <c r="BS290" s="28">
        <f t="shared" si="14"/>
        <v>0</v>
      </c>
      <c r="BT290" s="28">
        <v>1</v>
      </c>
    </row>
    <row r="291" spans="1:72" ht="15.75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588</v>
      </c>
      <c r="F291" s="33" t="s">
        <v>132</v>
      </c>
      <c r="G291" s="34" t="s">
        <v>99</v>
      </c>
      <c r="H291" s="24">
        <f t="shared" si="12"/>
        <v>0</v>
      </c>
      <c r="I291" s="35" t="s">
        <v>808</v>
      </c>
      <c r="J291" s="35"/>
      <c r="K291" s="36"/>
      <c r="L291" s="34" t="s">
        <v>100</v>
      </c>
      <c r="M291" s="40"/>
      <c r="N291" s="48"/>
      <c r="O291" s="35" t="s">
        <v>589</v>
      </c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17"/>
      <c r="BQ291" s="17">
        <v>1</v>
      </c>
      <c r="BR291" s="17">
        <f t="shared" si="13"/>
        <v>0</v>
      </c>
      <c r="BS291" s="28">
        <f t="shared" si="14"/>
        <v>0</v>
      </c>
      <c r="BT291" s="28">
        <v>1</v>
      </c>
    </row>
    <row r="292" spans="1:72" ht="15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587</v>
      </c>
      <c r="F292" s="33" t="s">
        <v>204</v>
      </c>
      <c r="G292" s="34" t="s">
        <v>127</v>
      </c>
      <c r="H292" s="24">
        <f t="shared" si="12"/>
        <v>0</v>
      </c>
      <c r="I292" s="35" t="s">
        <v>808</v>
      </c>
      <c r="J292" s="35" t="s">
        <v>579</v>
      </c>
      <c r="K292" s="36"/>
      <c r="L292" s="34" t="s">
        <v>100</v>
      </c>
      <c r="M292" s="40"/>
      <c r="N292" s="48"/>
      <c r="O292" s="35" t="s">
        <v>579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80"/>
      <c r="BP292" s="17"/>
      <c r="BQ292" s="17">
        <v>2</v>
      </c>
      <c r="BR292" s="17">
        <f t="shared" si="13"/>
        <v>0</v>
      </c>
      <c r="BS292" s="28">
        <f t="shared" si="14"/>
        <v>0</v>
      </c>
      <c r="BT292" s="28">
        <v>1</v>
      </c>
    </row>
    <row r="293" spans="1:72" ht="15.75" customHeight="1" x14ac:dyDescent="0.3">
      <c r="A293" s="32" t="s">
        <v>546</v>
      </c>
      <c r="B293" s="33" t="s">
        <v>553</v>
      </c>
      <c r="C293" s="33" t="s">
        <v>554</v>
      </c>
      <c r="D293" s="33" t="s">
        <v>552</v>
      </c>
      <c r="E293" s="33" t="s">
        <v>225</v>
      </c>
      <c r="F293" s="33" t="s">
        <v>672</v>
      </c>
      <c r="G293" s="34" t="s">
        <v>673</v>
      </c>
      <c r="H293" s="24">
        <f t="shared" si="12"/>
        <v>0.25</v>
      </c>
      <c r="I293" s="35"/>
      <c r="J293" s="35" t="s">
        <v>234</v>
      </c>
      <c r="K293" s="36"/>
      <c r="L293" s="34" t="s">
        <v>100</v>
      </c>
      <c r="M293" s="40"/>
      <c r="N293" s="51" t="s">
        <v>868</v>
      </c>
      <c r="O293" s="35" t="s">
        <v>234</v>
      </c>
      <c r="P293" s="27"/>
      <c r="Q293" s="27"/>
      <c r="R293" s="27"/>
      <c r="S293" s="27" t="s">
        <v>865</v>
      </c>
      <c r="T293" s="27"/>
      <c r="U293" s="27"/>
      <c r="V293" s="27"/>
      <c r="W293" s="27"/>
      <c r="X293" s="27"/>
      <c r="Y293" s="54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54"/>
      <c r="AK293" s="27"/>
      <c r="AL293" s="27"/>
      <c r="AM293" s="27"/>
      <c r="AN293" s="27"/>
      <c r="AO293" s="27"/>
      <c r="AP293" s="54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54"/>
      <c r="BE293" s="27"/>
      <c r="BF293" s="27"/>
      <c r="BG293" s="27"/>
      <c r="BH293" s="27"/>
      <c r="BI293" s="27"/>
      <c r="BJ293" s="27"/>
      <c r="BK293" s="27"/>
      <c r="BL293" s="54"/>
      <c r="BM293" s="27"/>
      <c r="BN293" s="27"/>
      <c r="BO293" s="17"/>
      <c r="BP293" s="17"/>
      <c r="BQ293" s="17">
        <v>4</v>
      </c>
      <c r="BR293" s="17">
        <f t="shared" si="13"/>
        <v>1</v>
      </c>
      <c r="BS293" s="28">
        <f t="shared" si="14"/>
        <v>0</v>
      </c>
      <c r="BT293" s="28">
        <v>1</v>
      </c>
    </row>
    <row r="294" spans="1:72" ht="15.75" customHeight="1" x14ac:dyDescent="0.3">
      <c r="A294" s="32" t="s">
        <v>546</v>
      </c>
      <c r="B294" s="33" t="s">
        <v>553</v>
      </c>
      <c r="C294" s="33" t="s">
        <v>554</v>
      </c>
      <c r="D294" s="33" t="s">
        <v>552</v>
      </c>
      <c r="E294" s="33" t="s">
        <v>577</v>
      </c>
      <c r="F294" s="33" t="s">
        <v>196</v>
      </c>
      <c r="G294" s="34" t="s">
        <v>167</v>
      </c>
      <c r="H294" s="24">
        <f t="shared" si="12"/>
        <v>0</v>
      </c>
      <c r="I294" s="35"/>
      <c r="J294" s="35"/>
      <c r="K294" s="36"/>
      <c r="L294" s="34" t="s">
        <v>100</v>
      </c>
      <c r="M294" s="40"/>
      <c r="N294" s="53"/>
      <c r="O294" s="35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17">
        <v>3</v>
      </c>
      <c r="BR294" s="17">
        <f t="shared" si="13"/>
        <v>0</v>
      </c>
      <c r="BS294" s="28">
        <f t="shared" si="14"/>
        <v>0</v>
      </c>
      <c r="BT294" s="28">
        <v>1</v>
      </c>
    </row>
    <row r="295" spans="1:72" ht="15.75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578</v>
      </c>
      <c r="F295" s="33" t="s">
        <v>204</v>
      </c>
      <c r="G295" s="34" t="s">
        <v>127</v>
      </c>
      <c r="H295" s="24">
        <f t="shared" si="12"/>
        <v>0</v>
      </c>
      <c r="I295" s="35"/>
      <c r="J295" s="35" t="s">
        <v>579</v>
      </c>
      <c r="K295" s="36"/>
      <c r="L295" s="34" t="s">
        <v>100</v>
      </c>
      <c r="M295" s="40"/>
      <c r="N295" s="48"/>
      <c r="O295" s="35" t="s">
        <v>579</v>
      </c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80"/>
      <c r="BP295" s="27"/>
      <c r="BQ295" s="17">
        <v>2</v>
      </c>
      <c r="BR295" s="17">
        <f t="shared" si="13"/>
        <v>0</v>
      </c>
      <c r="BS295" s="28">
        <f t="shared" si="14"/>
        <v>0</v>
      </c>
      <c r="BT295" s="28">
        <v>1</v>
      </c>
    </row>
    <row r="296" spans="1:72" ht="15.75" customHeight="1" x14ac:dyDescent="0.3">
      <c r="A296" s="32" t="s">
        <v>546</v>
      </c>
      <c r="B296" s="33" t="s">
        <v>592</v>
      </c>
      <c r="C296" s="33" t="s">
        <v>556</v>
      </c>
      <c r="D296" s="33" t="s">
        <v>585</v>
      </c>
      <c r="E296" s="33" t="s">
        <v>586</v>
      </c>
      <c r="F296" s="33" t="s">
        <v>132</v>
      </c>
      <c r="G296" s="34" t="s">
        <v>99</v>
      </c>
      <c r="H296" s="24">
        <f t="shared" si="12"/>
        <v>0</v>
      </c>
      <c r="I296" s="35" t="s">
        <v>808</v>
      </c>
      <c r="J296" s="35"/>
      <c r="K296" s="36"/>
      <c r="L296" s="34" t="s">
        <v>105</v>
      </c>
      <c r="M296" s="40"/>
      <c r="N296" s="48"/>
      <c r="O296" s="35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17"/>
      <c r="BQ296" s="17">
        <v>1</v>
      </c>
      <c r="BR296" s="17">
        <f t="shared" si="13"/>
        <v>0</v>
      </c>
      <c r="BS296" s="28">
        <f t="shared" si="14"/>
        <v>0</v>
      </c>
      <c r="BT296" s="28">
        <v>1</v>
      </c>
    </row>
    <row r="297" spans="1:72" ht="15.75" customHeight="1" x14ac:dyDescent="0.3">
      <c r="A297" s="32" t="s">
        <v>546</v>
      </c>
      <c r="B297" s="33" t="s">
        <v>592</v>
      </c>
      <c r="C297" s="33" t="s">
        <v>556</v>
      </c>
      <c r="D297" s="33" t="s">
        <v>585</v>
      </c>
      <c r="E297" s="33" t="s">
        <v>788</v>
      </c>
      <c r="F297" s="33" t="s">
        <v>132</v>
      </c>
      <c r="G297" s="34" t="s">
        <v>99</v>
      </c>
      <c r="H297" s="24">
        <f t="shared" si="12"/>
        <v>0</v>
      </c>
      <c r="I297" s="35" t="s">
        <v>808</v>
      </c>
      <c r="J297" s="35"/>
      <c r="K297" s="36"/>
      <c r="L297" s="34" t="s">
        <v>105</v>
      </c>
      <c r="M297" s="40"/>
      <c r="N297" s="48"/>
      <c r="O297" s="35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17"/>
      <c r="BQ297" s="17">
        <v>1</v>
      </c>
      <c r="BR297" s="17">
        <f t="shared" si="13"/>
        <v>0</v>
      </c>
      <c r="BS297" s="28">
        <f t="shared" si="14"/>
        <v>0</v>
      </c>
      <c r="BT297" s="28">
        <v>1</v>
      </c>
    </row>
    <row r="298" spans="1:72" ht="15.75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588</v>
      </c>
      <c r="F298" s="33" t="s">
        <v>132</v>
      </c>
      <c r="G298" s="34" t="s">
        <v>99</v>
      </c>
      <c r="H298" s="24">
        <f t="shared" si="12"/>
        <v>0</v>
      </c>
      <c r="I298" s="35" t="s">
        <v>808</v>
      </c>
      <c r="J298" s="35"/>
      <c r="K298" s="36"/>
      <c r="L298" s="34" t="s">
        <v>100</v>
      </c>
      <c r="M298" s="40"/>
      <c r="N298" s="53"/>
      <c r="O298" s="35" t="s">
        <v>589</v>
      </c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17"/>
      <c r="BQ298" s="17">
        <v>1</v>
      </c>
      <c r="BR298" s="17">
        <f t="shared" si="13"/>
        <v>0</v>
      </c>
      <c r="BS298" s="28">
        <f t="shared" si="14"/>
        <v>0</v>
      </c>
      <c r="BT298" s="28">
        <v>1</v>
      </c>
    </row>
    <row r="299" spans="1:72" ht="15.75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587</v>
      </c>
      <c r="F299" s="33" t="s">
        <v>204</v>
      </c>
      <c r="G299" s="34" t="s">
        <v>127</v>
      </c>
      <c r="H299" s="24">
        <f t="shared" si="12"/>
        <v>0</v>
      </c>
      <c r="I299" s="35" t="s">
        <v>808</v>
      </c>
      <c r="J299" s="35" t="s">
        <v>579</v>
      </c>
      <c r="K299" s="36"/>
      <c r="L299" s="34" t="s">
        <v>100</v>
      </c>
      <c r="M299" s="40"/>
      <c r="N299" s="53"/>
      <c r="O299" s="35" t="s">
        <v>579</v>
      </c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17"/>
      <c r="BQ299" s="17">
        <v>2</v>
      </c>
      <c r="BR299" s="17">
        <f t="shared" si="13"/>
        <v>0</v>
      </c>
      <c r="BS299" s="28">
        <f t="shared" si="14"/>
        <v>0</v>
      </c>
      <c r="BT299" s="28">
        <v>1</v>
      </c>
    </row>
    <row r="300" spans="1:72" ht="15.75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590</v>
      </c>
      <c r="F300" s="33" t="s">
        <v>204</v>
      </c>
      <c r="G300" s="34" t="s">
        <v>127</v>
      </c>
      <c r="H300" s="24">
        <f t="shared" si="12"/>
        <v>0</v>
      </c>
      <c r="I300" s="35" t="s">
        <v>808</v>
      </c>
      <c r="J300" s="35" t="s">
        <v>579</v>
      </c>
      <c r="K300" s="36"/>
      <c r="L300" s="34" t="s">
        <v>100</v>
      </c>
      <c r="M300" s="40"/>
      <c r="N300" s="48"/>
      <c r="O300" s="35" t="s">
        <v>579</v>
      </c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80"/>
      <c r="BP300" s="17"/>
      <c r="BQ300" s="17">
        <v>2</v>
      </c>
      <c r="BR300" s="17">
        <f t="shared" si="13"/>
        <v>0</v>
      </c>
      <c r="BS300" s="28">
        <f t="shared" si="14"/>
        <v>0</v>
      </c>
      <c r="BT300" s="28">
        <v>1</v>
      </c>
    </row>
    <row r="301" spans="1:72" ht="15.75" customHeight="1" x14ac:dyDescent="0.3">
      <c r="A301" s="32" t="s">
        <v>546</v>
      </c>
      <c r="B301" s="33" t="s">
        <v>555</v>
      </c>
      <c r="C301" s="33" t="s">
        <v>556</v>
      </c>
      <c r="D301" s="33" t="s">
        <v>552</v>
      </c>
      <c r="E301" s="33" t="s">
        <v>225</v>
      </c>
      <c r="F301" s="33" t="s">
        <v>672</v>
      </c>
      <c r="G301" s="34" t="s">
        <v>673</v>
      </c>
      <c r="H301" s="24">
        <f t="shared" si="12"/>
        <v>0.25</v>
      </c>
      <c r="I301" s="35"/>
      <c r="J301" s="35" t="s">
        <v>234</v>
      </c>
      <c r="K301" s="36"/>
      <c r="L301" s="34" t="s">
        <v>100</v>
      </c>
      <c r="M301" s="40"/>
      <c r="N301" s="51" t="s">
        <v>868</v>
      </c>
      <c r="O301" s="35" t="s">
        <v>234</v>
      </c>
      <c r="P301" s="27"/>
      <c r="Q301" s="27"/>
      <c r="R301" s="27"/>
      <c r="S301" s="27" t="s">
        <v>865</v>
      </c>
      <c r="T301" s="27"/>
      <c r="U301" s="27"/>
      <c r="V301" s="27"/>
      <c r="W301" s="27"/>
      <c r="X301" s="27"/>
      <c r="Y301" s="54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54"/>
      <c r="AK301" s="27"/>
      <c r="AL301" s="27"/>
      <c r="AM301" s="27"/>
      <c r="AN301" s="27"/>
      <c r="AO301" s="27"/>
      <c r="AP301" s="54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54"/>
      <c r="BE301" s="27"/>
      <c r="BF301" s="27"/>
      <c r="BG301" s="27"/>
      <c r="BH301" s="27"/>
      <c r="BI301" s="27"/>
      <c r="BJ301" s="27"/>
      <c r="BK301" s="27"/>
      <c r="BL301" s="54"/>
      <c r="BM301" s="27"/>
      <c r="BN301" s="27"/>
      <c r="BO301" s="17"/>
      <c r="BP301" s="17"/>
      <c r="BQ301" s="17">
        <v>4</v>
      </c>
      <c r="BR301" s="17">
        <f t="shared" si="13"/>
        <v>1</v>
      </c>
      <c r="BS301" s="28">
        <f t="shared" si="14"/>
        <v>0</v>
      </c>
      <c r="BT301" s="28">
        <v>1</v>
      </c>
    </row>
    <row r="302" spans="1:72" ht="15.75" customHeight="1" x14ac:dyDescent="0.3">
      <c r="A302" s="32" t="s">
        <v>546</v>
      </c>
      <c r="B302" s="33" t="s">
        <v>555</v>
      </c>
      <c r="C302" s="33" t="s">
        <v>556</v>
      </c>
      <c r="D302" s="33" t="s">
        <v>552</v>
      </c>
      <c r="E302" s="33" t="s">
        <v>577</v>
      </c>
      <c r="F302" s="33" t="s">
        <v>196</v>
      </c>
      <c r="G302" s="34" t="s">
        <v>167</v>
      </c>
      <c r="H302" s="24">
        <f t="shared" si="12"/>
        <v>0</v>
      </c>
      <c r="I302" s="35"/>
      <c r="J302" s="35"/>
      <c r="K302" s="36"/>
      <c r="L302" s="34" t="s">
        <v>100</v>
      </c>
      <c r="M302" s="40"/>
      <c r="N302" s="53"/>
      <c r="O302" s="35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17">
        <v>3</v>
      </c>
      <c r="BR302" s="17">
        <f t="shared" si="13"/>
        <v>0</v>
      </c>
      <c r="BS302" s="28">
        <f t="shared" si="14"/>
        <v>0</v>
      </c>
      <c r="BT302" s="28">
        <v>1</v>
      </c>
    </row>
    <row r="303" spans="1:72" ht="15.75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578</v>
      </c>
      <c r="F303" s="33" t="s">
        <v>204</v>
      </c>
      <c r="G303" s="34" t="s">
        <v>127</v>
      </c>
      <c r="H303" s="24">
        <f t="shared" si="12"/>
        <v>0</v>
      </c>
      <c r="I303" s="35"/>
      <c r="J303" s="35" t="s">
        <v>579</v>
      </c>
      <c r="K303" s="36"/>
      <c r="L303" s="34" t="s">
        <v>100</v>
      </c>
      <c r="M303" s="40"/>
      <c r="N303" s="53"/>
      <c r="O303" s="35" t="s">
        <v>579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80"/>
      <c r="BP303" s="27"/>
      <c r="BQ303" s="17">
        <v>2</v>
      </c>
      <c r="BR303" s="17">
        <f t="shared" si="13"/>
        <v>0</v>
      </c>
      <c r="BS303" s="28">
        <f t="shared" si="14"/>
        <v>0</v>
      </c>
      <c r="BT303" s="28">
        <v>1</v>
      </c>
    </row>
    <row r="304" spans="1:72" ht="15.75" customHeight="1" x14ac:dyDescent="0.3">
      <c r="A304" s="32" t="s">
        <v>546</v>
      </c>
      <c r="B304" s="33" t="s">
        <v>567</v>
      </c>
      <c r="C304" s="33" t="s">
        <v>556</v>
      </c>
      <c r="D304" s="33" t="s">
        <v>568</v>
      </c>
      <c r="E304" s="33" t="s">
        <v>764</v>
      </c>
      <c r="F304" s="33" t="s">
        <v>96</v>
      </c>
      <c r="G304" s="34" t="s">
        <v>167</v>
      </c>
      <c r="H304" s="24">
        <f t="shared" si="12"/>
        <v>0</v>
      </c>
      <c r="I304" s="35"/>
      <c r="J304" s="35"/>
      <c r="K304" s="36"/>
      <c r="L304" s="34" t="s">
        <v>100</v>
      </c>
      <c r="M304" s="40"/>
      <c r="N304" s="48"/>
      <c r="O304" s="35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17">
        <v>3</v>
      </c>
      <c r="BR304" s="17">
        <f t="shared" si="13"/>
        <v>0</v>
      </c>
      <c r="BS304" s="28">
        <f t="shared" si="14"/>
        <v>0</v>
      </c>
      <c r="BT304" s="28">
        <v>1</v>
      </c>
    </row>
    <row r="305" spans="1:72" ht="15.75" customHeight="1" x14ac:dyDescent="0.3">
      <c r="A305" s="32" t="s">
        <v>546</v>
      </c>
      <c r="B305" s="33" t="s">
        <v>567</v>
      </c>
      <c r="C305" s="33" t="s">
        <v>556</v>
      </c>
      <c r="D305" s="33" t="s">
        <v>568</v>
      </c>
      <c r="E305" s="33" t="s">
        <v>787</v>
      </c>
      <c r="F305" s="33" t="s">
        <v>88</v>
      </c>
      <c r="G305" s="34" t="s">
        <v>127</v>
      </c>
      <c r="H305" s="24">
        <f t="shared" si="12"/>
        <v>0.5</v>
      </c>
      <c r="I305" s="35"/>
      <c r="J305" s="35"/>
      <c r="K305" s="36"/>
      <c r="L305" s="34" t="s">
        <v>100</v>
      </c>
      <c r="M305" s="40"/>
      <c r="N305" s="51" t="s">
        <v>883</v>
      </c>
      <c r="O305" s="35"/>
      <c r="P305" s="27"/>
      <c r="Q305" s="27"/>
      <c r="R305" s="27" t="s">
        <v>886</v>
      </c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17"/>
      <c r="BP305" s="17"/>
      <c r="BQ305" s="17">
        <v>2</v>
      </c>
      <c r="BR305" s="17">
        <f t="shared" si="13"/>
        <v>1</v>
      </c>
      <c r="BS305" s="28">
        <f t="shared" si="14"/>
        <v>0</v>
      </c>
      <c r="BT305" s="28">
        <v>1</v>
      </c>
    </row>
    <row r="306" spans="1:72" ht="15.75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566</v>
      </c>
      <c r="F306" s="33" t="s">
        <v>88</v>
      </c>
      <c r="G306" s="34" t="s">
        <v>127</v>
      </c>
      <c r="H306" s="24">
        <f t="shared" si="12"/>
        <v>0</v>
      </c>
      <c r="I306" s="35"/>
      <c r="J306" s="35"/>
      <c r="K306" s="36"/>
      <c r="L306" s="34" t="s">
        <v>100</v>
      </c>
      <c r="M306" s="40"/>
      <c r="N306" s="48"/>
      <c r="O306" s="35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17">
        <v>2</v>
      </c>
      <c r="BR306" s="17">
        <f t="shared" si="13"/>
        <v>0</v>
      </c>
      <c r="BS306" s="28">
        <f t="shared" si="14"/>
        <v>0</v>
      </c>
      <c r="BT306" s="28">
        <v>1</v>
      </c>
    </row>
    <row r="307" spans="1:72" ht="15.75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225</v>
      </c>
      <c r="F307" s="33" t="s">
        <v>672</v>
      </c>
      <c r="G307" s="34" t="s">
        <v>673</v>
      </c>
      <c r="H307" s="24">
        <f t="shared" si="12"/>
        <v>0.25</v>
      </c>
      <c r="I307" s="35"/>
      <c r="J307" s="35" t="s">
        <v>226</v>
      </c>
      <c r="K307" s="36"/>
      <c r="L307" s="34" t="s">
        <v>100</v>
      </c>
      <c r="M307" s="40"/>
      <c r="N307" s="40" t="s">
        <v>869</v>
      </c>
      <c r="O307" s="35" t="s">
        <v>226</v>
      </c>
      <c r="P307" s="27"/>
      <c r="Q307" s="27"/>
      <c r="R307" s="27"/>
      <c r="S307" s="27" t="s">
        <v>865</v>
      </c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17"/>
      <c r="BP307" s="17"/>
      <c r="BQ307" s="17">
        <v>4</v>
      </c>
      <c r="BR307" s="17">
        <f t="shared" si="13"/>
        <v>1</v>
      </c>
      <c r="BS307" s="28">
        <f t="shared" si="14"/>
        <v>0</v>
      </c>
      <c r="BT307" s="28">
        <v>1</v>
      </c>
    </row>
    <row r="308" spans="1:72" ht="15.75" customHeight="1" x14ac:dyDescent="0.3">
      <c r="A308" s="32" t="s">
        <v>546</v>
      </c>
      <c r="B308" s="33" t="s">
        <v>573</v>
      </c>
      <c r="C308" s="33" t="s">
        <v>556</v>
      </c>
      <c r="D308" s="33" t="s">
        <v>574</v>
      </c>
      <c r="E308" s="33" t="s">
        <v>764</v>
      </c>
      <c r="F308" s="33" t="s">
        <v>96</v>
      </c>
      <c r="G308" s="34" t="s">
        <v>167</v>
      </c>
      <c r="H308" s="24">
        <f t="shared" si="12"/>
        <v>0</v>
      </c>
      <c r="I308" s="35"/>
      <c r="J308" s="35"/>
      <c r="K308" s="36"/>
      <c r="L308" s="34" t="s">
        <v>100</v>
      </c>
      <c r="M308" s="40"/>
      <c r="N308" s="53"/>
      <c r="O308" s="35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17">
        <v>3</v>
      </c>
      <c r="BR308" s="17">
        <f t="shared" si="13"/>
        <v>0</v>
      </c>
      <c r="BS308" s="28">
        <f t="shared" si="14"/>
        <v>0</v>
      </c>
      <c r="BT308" s="28">
        <v>1</v>
      </c>
    </row>
    <row r="309" spans="1:72" ht="15.75" customHeight="1" x14ac:dyDescent="0.3">
      <c r="A309" s="32" t="s">
        <v>546</v>
      </c>
      <c r="B309" s="33" t="s">
        <v>573</v>
      </c>
      <c r="C309" s="33" t="s">
        <v>556</v>
      </c>
      <c r="D309" s="33" t="s">
        <v>574</v>
      </c>
      <c r="E309" s="33" t="s">
        <v>787</v>
      </c>
      <c r="F309" s="33" t="s">
        <v>88</v>
      </c>
      <c r="G309" s="34" t="s">
        <v>127</v>
      </c>
      <c r="H309" s="24">
        <f t="shared" si="12"/>
        <v>0.5</v>
      </c>
      <c r="I309" s="35"/>
      <c r="J309" s="35"/>
      <c r="K309" s="36"/>
      <c r="L309" s="34" t="s">
        <v>100</v>
      </c>
      <c r="M309" s="40"/>
      <c r="N309" s="51" t="s">
        <v>883</v>
      </c>
      <c r="O309" s="35"/>
      <c r="P309" s="27"/>
      <c r="Q309" s="27"/>
      <c r="R309" s="27" t="s">
        <v>886</v>
      </c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17"/>
      <c r="BP309" s="17"/>
      <c r="BQ309" s="17">
        <v>2</v>
      </c>
      <c r="BR309" s="17">
        <f t="shared" si="13"/>
        <v>1</v>
      </c>
      <c r="BS309" s="28">
        <f t="shared" si="14"/>
        <v>0</v>
      </c>
      <c r="BT309" s="28">
        <v>1</v>
      </c>
    </row>
    <row r="310" spans="1:72" ht="15.75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566</v>
      </c>
      <c r="F310" s="33" t="s">
        <v>88</v>
      </c>
      <c r="G310" s="34" t="s">
        <v>127</v>
      </c>
      <c r="H310" s="24">
        <f t="shared" si="12"/>
        <v>0</v>
      </c>
      <c r="I310" s="35"/>
      <c r="J310" s="35"/>
      <c r="K310" s="36"/>
      <c r="L310" s="34" t="s">
        <v>100</v>
      </c>
      <c r="M310" s="40"/>
      <c r="N310" s="48"/>
      <c r="O310" s="35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17">
        <v>2</v>
      </c>
      <c r="BR310" s="17">
        <f t="shared" si="13"/>
        <v>0</v>
      </c>
      <c r="BS310" s="28">
        <f t="shared" si="14"/>
        <v>0</v>
      </c>
      <c r="BT310" s="28">
        <v>1</v>
      </c>
    </row>
    <row r="311" spans="1:72" ht="15.75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225</v>
      </c>
      <c r="F311" s="33" t="s">
        <v>672</v>
      </c>
      <c r="G311" s="34" t="s">
        <v>673</v>
      </c>
      <c r="H311" s="24">
        <f t="shared" si="12"/>
        <v>0.25</v>
      </c>
      <c r="I311" s="35"/>
      <c r="J311" s="35" t="s">
        <v>226</v>
      </c>
      <c r="K311" s="36"/>
      <c r="L311" s="34" t="s">
        <v>100</v>
      </c>
      <c r="M311" s="40"/>
      <c r="N311" s="40" t="s">
        <v>869</v>
      </c>
      <c r="O311" s="35" t="s">
        <v>226</v>
      </c>
      <c r="P311" s="27"/>
      <c r="Q311" s="27"/>
      <c r="R311" s="27"/>
      <c r="S311" s="27" t="s">
        <v>865</v>
      </c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17"/>
      <c r="BP311" s="49"/>
      <c r="BQ311" s="17">
        <v>4</v>
      </c>
      <c r="BR311" s="17">
        <f t="shared" si="13"/>
        <v>1</v>
      </c>
      <c r="BS311" s="28">
        <f t="shared" si="14"/>
        <v>0</v>
      </c>
      <c r="BT311" s="28">
        <v>1</v>
      </c>
    </row>
    <row r="312" spans="1:72" ht="15.75" customHeight="1" x14ac:dyDescent="0.3">
      <c r="A312" s="32" t="s">
        <v>546</v>
      </c>
      <c r="B312" s="33" t="s">
        <v>593</v>
      </c>
      <c r="C312" s="33" t="s">
        <v>558</v>
      </c>
      <c r="D312" s="33" t="s">
        <v>585</v>
      </c>
      <c r="E312" s="33" t="s">
        <v>586</v>
      </c>
      <c r="F312" s="33" t="s">
        <v>132</v>
      </c>
      <c r="G312" s="34" t="s">
        <v>99</v>
      </c>
      <c r="H312" s="24">
        <f t="shared" si="12"/>
        <v>0</v>
      </c>
      <c r="I312" s="35" t="s">
        <v>808</v>
      </c>
      <c r="J312" s="35"/>
      <c r="K312" s="36"/>
      <c r="L312" s="34" t="s">
        <v>105</v>
      </c>
      <c r="M312" s="40"/>
      <c r="N312" s="53"/>
      <c r="O312" s="35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17"/>
      <c r="BQ312" s="17">
        <v>1</v>
      </c>
      <c r="BR312" s="17">
        <f t="shared" si="13"/>
        <v>0</v>
      </c>
      <c r="BS312" s="28">
        <f t="shared" si="14"/>
        <v>0</v>
      </c>
      <c r="BT312" s="28">
        <v>1</v>
      </c>
    </row>
    <row r="313" spans="1:72" ht="15.75" customHeight="1" x14ac:dyDescent="0.3">
      <c r="A313" s="32" t="s">
        <v>546</v>
      </c>
      <c r="B313" s="33" t="s">
        <v>593</v>
      </c>
      <c r="C313" s="33" t="s">
        <v>558</v>
      </c>
      <c r="D313" s="33" t="s">
        <v>585</v>
      </c>
      <c r="E313" s="33" t="s">
        <v>788</v>
      </c>
      <c r="F313" s="33" t="s">
        <v>132</v>
      </c>
      <c r="G313" s="34" t="s">
        <v>99</v>
      </c>
      <c r="H313" s="24">
        <f t="shared" si="12"/>
        <v>0</v>
      </c>
      <c r="I313" s="35" t="s">
        <v>808</v>
      </c>
      <c r="J313" s="35"/>
      <c r="K313" s="36"/>
      <c r="L313" s="34" t="s">
        <v>105</v>
      </c>
      <c r="M313" s="40"/>
      <c r="N313" s="53"/>
      <c r="O313" s="35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17"/>
      <c r="BQ313" s="17">
        <v>1</v>
      </c>
      <c r="BR313" s="17">
        <f t="shared" si="13"/>
        <v>0</v>
      </c>
      <c r="BS313" s="28">
        <f t="shared" si="14"/>
        <v>0</v>
      </c>
      <c r="BT313" s="28">
        <v>1</v>
      </c>
    </row>
    <row r="314" spans="1:72" ht="15.75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588</v>
      </c>
      <c r="F314" s="33" t="s">
        <v>132</v>
      </c>
      <c r="G314" s="34" t="s">
        <v>99</v>
      </c>
      <c r="H314" s="24">
        <f t="shared" si="12"/>
        <v>0</v>
      </c>
      <c r="I314" s="35" t="s">
        <v>808</v>
      </c>
      <c r="J314" s="35"/>
      <c r="K314" s="36"/>
      <c r="L314" s="34" t="s">
        <v>100</v>
      </c>
      <c r="M314" s="40"/>
      <c r="N314" s="48"/>
      <c r="O314" s="35" t="s">
        <v>589</v>
      </c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17"/>
      <c r="BQ314" s="17">
        <v>1</v>
      </c>
      <c r="BR314" s="17">
        <f t="shared" si="13"/>
        <v>0</v>
      </c>
      <c r="BS314" s="28">
        <f t="shared" si="14"/>
        <v>0</v>
      </c>
      <c r="BT314" s="28">
        <v>1</v>
      </c>
    </row>
    <row r="315" spans="1:72" ht="15.75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587</v>
      </c>
      <c r="F315" s="33" t="s">
        <v>204</v>
      </c>
      <c r="G315" s="34" t="s">
        <v>127</v>
      </c>
      <c r="H315" s="24">
        <f t="shared" si="12"/>
        <v>0</v>
      </c>
      <c r="I315" s="35" t="s">
        <v>808</v>
      </c>
      <c r="J315" s="35" t="s">
        <v>579</v>
      </c>
      <c r="K315" s="36"/>
      <c r="L315" s="34" t="s">
        <v>100</v>
      </c>
      <c r="M315" s="40"/>
      <c r="N315" s="48"/>
      <c r="O315" s="35" t="s">
        <v>579</v>
      </c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80"/>
      <c r="BP315" s="17"/>
      <c r="BQ315" s="17">
        <v>2</v>
      </c>
      <c r="BR315" s="17">
        <f t="shared" si="13"/>
        <v>0</v>
      </c>
      <c r="BS315" s="28">
        <f t="shared" si="14"/>
        <v>0</v>
      </c>
      <c r="BT315" s="28">
        <v>1</v>
      </c>
    </row>
    <row r="316" spans="1:72" ht="15.75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590</v>
      </c>
      <c r="F316" s="33" t="s">
        <v>204</v>
      </c>
      <c r="G316" s="34" t="s">
        <v>127</v>
      </c>
      <c r="H316" s="24">
        <f t="shared" si="12"/>
        <v>0</v>
      </c>
      <c r="I316" s="35" t="s">
        <v>808</v>
      </c>
      <c r="J316" s="35" t="s">
        <v>579</v>
      </c>
      <c r="K316" s="36"/>
      <c r="L316" s="34" t="s">
        <v>100</v>
      </c>
      <c r="M316" s="40"/>
      <c r="N316" s="48"/>
      <c r="O316" s="35" t="s">
        <v>579</v>
      </c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80"/>
      <c r="BP316" s="17"/>
      <c r="BQ316" s="17">
        <v>2</v>
      </c>
      <c r="BR316" s="17">
        <f t="shared" si="13"/>
        <v>0</v>
      </c>
      <c r="BS316" s="28">
        <f t="shared" si="14"/>
        <v>0</v>
      </c>
      <c r="BT316" s="28">
        <v>1</v>
      </c>
    </row>
    <row r="317" spans="1:72" ht="15.75" customHeight="1" x14ac:dyDescent="0.3">
      <c r="A317" s="32" t="s">
        <v>546</v>
      </c>
      <c r="B317" s="33" t="s">
        <v>557</v>
      </c>
      <c r="C317" s="33" t="s">
        <v>558</v>
      </c>
      <c r="D317" s="33" t="s">
        <v>552</v>
      </c>
      <c r="E317" s="33" t="s">
        <v>225</v>
      </c>
      <c r="F317" s="33" t="s">
        <v>672</v>
      </c>
      <c r="G317" s="34" t="s">
        <v>673</v>
      </c>
      <c r="H317" s="24">
        <f t="shared" si="12"/>
        <v>0.25</v>
      </c>
      <c r="I317" s="35"/>
      <c r="J317" s="35" t="s">
        <v>234</v>
      </c>
      <c r="K317" s="36"/>
      <c r="L317" s="34" t="s">
        <v>100</v>
      </c>
      <c r="M317" s="40"/>
      <c r="N317" s="51" t="s">
        <v>868</v>
      </c>
      <c r="O317" s="35" t="s">
        <v>234</v>
      </c>
      <c r="P317" s="27"/>
      <c r="Q317" s="27"/>
      <c r="R317" s="27"/>
      <c r="S317" s="27" t="s">
        <v>865</v>
      </c>
      <c r="T317" s="27"/>
      <c r="U317" s="27"/>
      <c r="V317" s="27"/>
      <c r="W317" s="27"/>
      <c r="X317" s="27"/>
      <c r="Y317" s="54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54"/>
      <c r="AK317" s="27"/>
      <c r="AL317" s="27"/>
      <c r="AM317" s="27"/>
      <c r="AN317" s="27"/>
      <c r="AO317" s="27"/>
      <c r="AP317" s="54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54"/>
      <c r="BE317" s="27"/>
      <c r="BF317" s="27"/>
      <c r="BG317" s="27"/>
      <c r="BH317" s="27"/>
      <c r="BI317" s="27"/>
      <c r="BJ317" s="27"/>
      <c r="BK317" s="27"/>
      <c r="BL317" s="54"/>
      <c r="BM317" s="27"/>
      <c r="BN317" s="27"/>
      <c r="BO317" s="17"/>
      <c r="BP317" s="17"/>
      <c r="BQ317" s="17">
        <v>4</v>
      </c>
      <c r="BR317" s="17">
        <f t="shared" si="13"/>
        <v>1</v>
      </c>
      <c r="BS317" s="28">
        <f t="shared" si="14"/>
        <v>0</v>
      </c>
      <c r="BT317" s="28">
        <v>1</v>
      </c>
    </row>
    <row r="318" spans="1:72" ht="15.75" customHeight="1" x14ac:dyDescent="0.3">
      <c r="A318" s="32" t="s">
        <v>546</v>
      </c>
      <c r="B318" s="33" t="s">
        <v>557</v>
      </c>
      <c r="C318" s="33" t="s">
        <v>558</v>
      </c>
      <c r="D318" s="33" t="s">
        <v>552</v>
      </c>
      <c r="E318" s="33" t="s">
        <v>577</v>
      </c>
      <c r="F318" s="33" t="s">
        <v>196</v>
      </c>
      <c r="G318" s="34" t="s">
        <v>167</v>
      </c>
      <c r="H318" s="24">
        <f t="shared" si="12"/>
        <v>0</v>
      </c>
      <c r="I318" s="35"/>
      <c r="J318" s="35"/>
      <c r="K318" s="36"/>
      <c r="L318" s="34" t="s">
        <v>100</v>
      </c>
      <c r="M318" s="40"/>
      <c r="N318" s="53"/>
      <c r="O318" s="35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17">
        <v>3</v>
      </c>
      <c r="BR318" s="17">
        <f t="shared" si="13"/>
        <v>0</v>
      </c>
      <c r="BS318" s="28">
        <f t="shared" si="14"/>
        <v>0</v>
      </c>
      <c r="BT318" s="28">
        <v>1</v>
      </c>
    </row>
    <row r="319" spans="1:72" ht="15.75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578</v>
      </c>
      <c r="F319" s="33" t="s">
        <v>204</v>
      </c>
      <c r="G319" s="34" t="s">
        <v>127</v>
      </c>
      <c r="H319" s="24">
        <f t="shared" si="12"/>
        <v>0</v>
      </c>
      <c r="I319" s="35"/>
      <c r="J319" s="35" t="s">
        <v>579</v>
      </c>
      <c r="K319" s="36"/>
      <c r="L319" s="34" t="s">
        <v>100</v>
      </c>
      <c r="M319" s="40"/>
      <c r="N319" s="48"/>
      <c r="O319" s="35" t="s">
        <v>579</v>
      </c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80"/>
      <c r="BP319" s="27"/>
      <c r="BQ319" s="17">
        <v>2</v>
      </c>
      <c r="BR319" s="17">
        <f t="shared" si="13"/>
        <v>0</v>
      </c>
      <c r="BS319" s="28">
        <f t="shared" si="14"/>
        <v>0</v>
      </c>
      <c r="BT319" s="28">
        <v>1</v>
      </c>
    </row>
    <row r="320" spans="1:72" ht="15.75" customHeight="1" x14ac:dyDescent="0.3">
      <c r="A320" s="32" t="s">
        <v>546</v>
      </c>
      <c r="B320" s="33" t="s">
        <v>569</v>
      </c>
      <c r="C320" s="33" t="s">
        <v>558</v>
      </c>
      <c r="D320" s="33" t="s">
        <v>568</v>
      </c>
      <c r="E320" s="33" t="s">
        <v>764</v>
      </c>
      <c r="F320" s="33" t="s">
        <v>96</v>
      </c>
      <c r="G320" s="34" t="s">
        <v>167</v>
      </c>
      <c r="H320" s="24">
        <f t="shared" si="12"/>
        <v>0</v>
      </c>
      <c r="I320" s="35"/>
      <c r="J320" s="35"/>
      <c r="K320" s="36"/>
      <c r="L320" s="34" t="s">
        <v>100</v>
      </c>
      <c r="M320" s="40"/>
      <c r="N320" s="48"/>
      <c r="O320" s="35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17">
        <v>3</v>
      </c>
      <c r="BR320" s="17">
        <f t="shared" si="13"/>
        <v>0</v>
      </c>
      <c r="BS320" s="28">
        <f t="shared" si="14"/>
        <v>0</v>
      </c>
      <c r="BT320" s="28">
        <v>1</v>
      </c>
    </row>
    <row r="321" spans="1:72" ht="15.75" customHeight="1" x14ac:dyDescent="0.3">
      <c r="A321" s="32" t="s">
        <v>546</v>
      </c>
      <c r="B321" s="33" t="s">
        <v>569</v>
      </c>
      <c r="C321" s="33" t="s">
        <v>558</v>
      </c>
      <c r="D321" s="33" t="s">
        <v>568</v>
      </c>
      <c r="E321" s="33" t="s">
        <v>787</v>
      </c>
      <c r="F321" s="33" t="s">
        <v>88</v>
      </c>
      <c r="G321" s="34" t="s">
        <v>127</v>
      </c>
      <c r="H321" s="24">
        <f t="shared" si="12"/>
        <v>0.5</v>
      </c>
      <c r="I321" s="35"/>
      <c r="J321" s="35"/>
      <c r="K321" s="36"/>
      <c r="L321" s="34" t="s">
        <v>100</v>
      </c>
      <c r="M321" s="40"/>
      <c r="N321" s="51" t="s">
        <v>883</v>
      </c>
      <c r="O321" s="35"/>
      <c r="P321" s="27"/>
      <c r="Q321" s="27"/>
      <c r="R321" s="27" t="s">
        <v>886</v>
      </c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17"/>
      <c r="BP321" s="17"/>
      <c r="BQ321" s="17">
        <v>2</v>
      </c>
      <c r="BR321" s="17">
        <f t="shared" si="13"/>
        <v>1</v>
      </c>
      <c r="BS321" s="28">
        <f t="shared" si="14"/>
        <v>0</v>
      </c>
      <c r="BT321" s="28">
        <v>1</v>
      </c>
    </row>
    <row r="322" spans="1:72" ht="15.75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566</v>
      </c>
      <c r="F322" s="33" t="s">
        <v>88</v>
      </c>
      <c r="G322" s="34" t="s">
        <v>127</v>
      </c>
      <c r="H322" s="24">
        <f t="shared" si="12"/>
        <v>0</v>
      </c>
      <c r="I322" s="35"/>
      <c r="J322" s="35"/>
      <c r="K322" s="36"/>
      <c r="L322" s="34" t="s">
        <v>100</v>
      </c>
      <c r="M322" s="40"/>
      <c r="N322" s="48"/>
      <c r="O322" s="35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41"/>
      <c r="BQ322" s="17">
        <v>2</v>
      </c>
      <c r="BR322" s="17">
        <f t="shared" si="13"/>
        <v>0</v>
      </c>
      <c r="BS322" s="28">
        <f t="shared" si="14"/>
        <v>0</v>
      </c>
      <c r="BT322" s="28">
        <v>1</v>
      </c>
    </row>
    <row r="323" spans="1:72" ht="15.75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225</v>
      </c>
      <c r="F323" s="33" t="s">
        <v>672</v>
      </c>
      <c r="G323" s="34" t="s">
        <v>673</v>
      </c>
      <c r="H323" s="24">
        <f t="shared" ref="H323:H386" si="15">IF(BQ323=0," ",(BR323/BQ323))</f>
        <v>0.25</v>
      </c>
      <c r="I323" s="35"/>
      <c r="J323" s="35" t="s">
        <v>226</v>
      </c>
      <c r="K323" s="36"/>
      <c r="L323" s="34" t="s">
        <v>100</v>
      </c>
      <c r="M323" s="40"/>
      <c r="N323" s="40" t="s">
        <v>869</v>
      </c>
      <c r="O323" s="35" t="s">
        <v>226</v>
      </c>
      <c r="P323" s="27"/>
      <c r="Q323" s="27"/>
      <c r="R323" s="27"/>
      <c r="S323" s="27" t="s">
        <v>865</v>
      </c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17"/>
      <c r="BP323" s="17"/>
      <c r="BQ323" s="17">
        <v>4</v>
      </c>
      <c r="BR323" s="17">
        <f t="shared" ref="BR323:BR386" si="16">IF(COUNTA(P323:BP323)&gt;BQ323,BQ323,COUNTA(P323:BP323))</f>
        <v>1</v>
      </c>
      <c r="BS323" s="28">
        <f t="shared" ref="BS323:BS386" si="17">IF(H323=1,1,0)</f>
        <v>0</v>
      </c>
      <c r="BT323" s="28">
        <v>1</v>
      </c>
    </row>
    <row r="324" spans="1:72" ht="15.75" customHeight="1" x14ac:dyDescent="0.3">
      <c r="A324" s="32" t="s">
        <v>546</v>
      </c>
      <c r="B324" s="33" t="s">
        <v>575</v>
      </c>
      <c r="C324" s="33" t="s">
        <v>558</v>
      </c>
      <c r="D324" s="33" t="s">
        <v>574</v>
      </c>
      <c r="E324" s="33" t="s">
        <v>764</v>
      </c>
      <c r="F324" s="33" t="s">
        <v>96</v>
      </c>
      <c r="G324" s="34" t="s">
        <v>167</v>
      </c>
      <c r="H324" s="24">
        <f t="shared" si="15"/>
        <v>0</v>
      </c>
      <c r="I324" s="35"/>
      <c r="J324" s="35"/>
      <c r="K324" s="36"/>
      <c r="L324" s="34" t="s">
        <v>100</v>
      </c>
      <c r="M324" s="40"/>
      <c r="N324" s="48"/>
      <c r="O324" s="35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17">
        <v>3</v>
      </c>
      <c r="BR324" s="17">
        <f t="shared" si="16"/>
        <v>0</v>
      </c>
      <c r="BS324" s="28">
        <f t="shared" si="17"/>
        <v>0</v>
      </c>
      <c r="BT324" s="28">
        <v>1</v>
      </c>
    </row>
    <row r="325" spans="1:72" ht="15.75" customHeight="1" x14ac:dyDescent="0.3">
      <c r="A325" s="32" t="s">
        <v>546</v>
      </c>
      <c r="B325" s="33" t="s">
        <v>575</v>
      </c>
      <c r="C325" s="33" t="s">
        <v>558</v>
      </c>
      <c r="D325" s="33" t="s">
        <v>574</v>
      </c>
      <c r="E325" s="33" t="s">
        <v>787</v>
      </c>
      <c r="F325" s="33" t="s">
        <v>88</v>
      </c>
      <c r="G325" s="34" t="s">
        <v>127</v>
      </c>
      <c r="H325" s="24">
        <f t="shared" si="15"/>
        <v>0.5</v>
      </c>
      <c r="I325" s="35"/>
      <c r="J325" s="35"/>
      <c r="K325" s="36"/>
      <c r="L325" s="34" t="s">
        <v>100</v>
      </c>
      <c r="M325" s="40"/>
      <c r="N325" s="51" t="s">
        <v>883</v>
      </c>
      <c r="O325" s="35"/>
      <c r="P325" s="27"/>
      <c r="Q325" s="27"/>
      <c r="R325" s="27" t="s">
        <v>886</v>
      </c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17"/>
      <c r="BP325" s="49"/>
      <c r="BQ325" s="17">
        <v>2</v>
      </c>
      <c r="BR325" s="17">
        <f t="shared" si="16"/>
        <v>1</v>
      </c>
      <c r="BS325" s="28">
        <f t="shared" si="17"/>
        <v>0</v>
      </c>
      <c r="BT325" s="28">
        <v>1</v>
      </c>
    </row>
    <row r="326" spans="1:72" ht="15.75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566</v>
      </c>
      <c r="F326" s="33" t="s">
        <v>88</v>
      </c>
      <c r="G326" s="34" t="s">
        <v>127</v>
      </c>
      <c r="H326" s="24">
        <f t="shared" si="15"/>
        <v>0</v>
      </c>
      <c r="I326" s="35"/>
      <c r="J326" s="35"/>
      <c r="K326" s="36"/>
      <c r="L326" s="34" t="s">
        <v>100</v>
      </c>
      <c r="M326" s="40"/>
      <c r="N326" s="48"/>
      <c r="O326" s="35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17">
        <v>2</v>
      </c>
      <c r="BR326" s="17">
        <f t="shared" si="16"/>
        <v>0</v>
      </c>
      <c r="BS326" s="28">
        <f t="shared" si="17"/>
        <v>0</v>
      </c>
      <c r="BT326" s="28">
        <v>1</v>
      </c>
    </row>
    <row r="327" spans="1:72" ht="15.75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225</v>
      </c>
      <c r="F327" s="33" t="s">
        <v>672</v>
      </c>
      <c r="G327" s="34" t="s">
        <v>673</v>
      </c>
      <c r="H327" s="24">
        <f t="shared" si="15"/>
        <v>0.25</v>
      </c>
      <c r="I327" s="35"/>
      <c r="J327" s="35" t="s">
        <v>226</v>
      </c>
      <c r="K327" s="36"/>
      <c r="L327" s="34" t="s">
        <v>100</v>
      </c>
      <c r="M327" s="40"/>
      <c r="N327" s="40" t="s">
        <v>869</v>
      </c>
      <c r="O327" s="35" t="s">
        <v>226</v>
      </c>
      <c r="P327" s="27"/>
      <c r="Q327" s="27"/>
      <c r="R327" s="27"/>
      <c r="S327" s="27" t="s">
        <v>865</v>
      </c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17"/>
      <c r="BP327" s="17"/>
      <c r="BQ327" s="17">
        <v>4</v>
      </c>
      <c r="BR327" s="17">
        <f t="shared" si="16"/>
        <v>1</v>
      </c>
      <c r="BS327" s="28">
        <f t="shared" si="17"/>
        <v>0</v>
      </c>
      <c r="BT327" s="28">
        <v>1</v>
      </c>
    </row>
    <row r="328" spans="1:72" ht="15.75" customHeight="1" x14ac:dyDescent="0.3">
      <c r="A328" s="32" t="s">
        <v>546</v>
      </c>
      <c r="B328" s="33" t="s">
        <v>594</v>
      </c>
      <c r="C328" s="33" t="s">
        <v>560</v>
      </c>
      <c r="D328" s="33" t="s">
        <v>585</v>
      </c>
      <c r="E328" s="33" t="s">
        <v>586</v>
      </c>
      <c r="F328" s="33" t="s">
        <v>132</v>
      </c>
      <c r="G328" s="34" t="s">
        <v>99</v>
      </c>
      <c r="H328" s="24">
        <f t="shared" si="15"/>
        <v>0</v>
      </c>
      <c r="I328" s="35" t="s">
        <v>808</v>
      </c>
      <c r="J328" s="35"/>
      <c r="K328" s="36"/>
      <c r="L328" s="34" t="s">
        <v>105</v>
      </c>
      <c r="M328" s="40"/>
      <c r="N328" s="48"/>
      <c r="O328" s="35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17"/>
      <c r="BQ328" s="17">
        <v>1</v>
      </c>
      <c r="BR328" s="17">
        <f t="shared" si="16"/>
        <v>0</v>
      </c>
      <c r="BS328" s="28">
        <f t="shared" si="17"/>
        <v>0</v>
      </c>
      <c r="BT328" s="28">
        <v>1</v>
      </c>
    </row>
    <row r="329" spans="1:72" ht="15.75" customHeight="1" x14ac:dyDescent="0.3">
      <c r="A329" s="32" t="s">
        <v>546</v>
      </c>
      <c r="B329" s="33" t="s">
        <v>594</v>
      </c>
      <c r="C329" s="33" t="s">
        <v>560</v>
      </c>
      <c r="D329" s="33" t="s">
        <v>585</v>
      </c>
      <c r="E329" s="33" t="s">
        <v>788</v>
      </c>
      <c r="F329" s="33" t="s">
        <v>132</v>
      </c>
      <c r="G329" s="34" t="s">
        <v>99</v>
      </c>
      <c r="H329" s="24">
        <f t="shared" si="15"/>
        <v>0</v>
      </c>
      <c r="I329" s="35" t="s">
        <v>808</v>
      </c>
      <c r="J329" s="35"/>
      <c r="K329" s="36"/>
      <c r="L329" s="34" t="s">
        <v>105</v>
      </c>
      <c r="M329" s="40"/>
      <c r="N329" s="48"/>
      <c r="O329" s="35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17"/>
      <c r="BQ329" s="17">
        <v>1</v>
      </c>
      <c r="BR329" s="17">
        <f t="shared" si="16"/>
        <v>0</v>
      </c>
      <c r="BS329" s="28">
        <f t="shared" si="17"/>
        <v>0</v>
      </c>
      <c r="BT329" s="28">
        <v>1</v>
      </c>
    </row>
    <row r="330" spans="1:72" ht="15.75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588</v>
      </c>
      <c r="F330" s="33" t="s">
        <v>132</v>
      </c>
      <c r="G330" s="34" t="s">
        <v>99</v>
      </c>
      <c r="H330" s="24">
        <f t="shared" si="15"/>
        <v>0</v>
      </c>
      <c r="I330" s="35" t="s">
        <v>808</v>
      </c>
      <c r="J330" s="35"/>
      <c r="K330" s="36"/>
      <c r="L330" s="34" t="s">
        <v>100</v>
      </c>
      <c r="M330" s="40"/>
      <c r="N330" s="48"/>
      <c r="O330" s="35" t="s">
        <v>589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49"/>
      <c r="BQ330" s="17">
        <v>1</v>
      </c>
      <c r="BR330" s="17">
        <f t="shared" si="16"/>
        <v>0</v>
      </c>
      <c r="BS330" s="28">
        <f t="shared" si="17"/>
        <v>0</v>
      </c>
      <c r="BT330" s="28">
        <v>1</v>
      </c>
    </row>
    <row r="331" spans="1:72" ht="15.75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587</v>
      </c>
      <c r="F331" s="33" t="s">
        <v>204</v>
      </c>
      <c r="G331" s="34" t="s">
        <v>127</v>
      </c>
      <c r="H331" s="24">
        <f t="shared" si="15"/>
        <v>0</v>
      </c>
      <c r="I331" s="35" t="s">
        <v>808</v>
      </c>
      <c r="J331" s="35" t="s">
        <v>579</v>
      </c>
      <c r="K331" s="36"/>
      <c r="L331" s="34" t="s">
        <v>100</v>
      </c>
      <c r="M331" s="40"/>
      <c r="N331" s="48"/>
      <c r="O331" s="35" t="s">
        <v>579</v>
      </c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80"/>
      <c r="BP331" s="49"/>
      <c r="BQ331" s="17">
        <v>2</v>
      </c>
      <c r="BR331" s="17">
        <f t="shared" si="16"/>
        <v>0</v>
      </c>
      <c r="BS331" s="28">
        <f t="shared" si="17"/>
        <v>0</v>
      </c>
      <c r="BT331" s="28">
        <v>1</v>
      </c>
    </row>
    <row r="332" spans="1:72" ht="15.75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590</v>
      </c>
      <c r="F332" s="33" t="s">
        <v>204</v>
      </c>
      <c r="G332" s="34" t="s">
        <v>127</v>
      </c>
      <c r="H332" s="24">
        <f t="shared" si="15"/>
        <v>0</v>
      </c>
      <c r="I332" s="35" t="s">
        <v>808</v>
      </c>
      <c r="J332" s="35" t="s">
        <v>579</v>
      </c>
      <c r="K332" s="36"/>
      <c r="L332" s="34" t="s">
        <v>100</v>
      </c>
      <c r="M332" s="40"/>
      <c r="N332" s="48"/>
      <c r="O332" s="35" t="s">
        <v>579</v>
      </c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49"/>
      <c r="BQ332" s="17">
        <v>2</v>
      </c>
      <c r="BR332" s="17">
        <f t="shared" si="16"/>
        <v>0</v>
      </c>
      <c r="BS332" s="28">
        <f t="shared" si="17"/>
        <v>0</v>
      </c>
      <c r="BT332" s="28">
        <v>1</v>
      </c>
    </row>
    <row r="333" spans="1:72" ht="15.75" customHeight="1" x14ac:dyDescent="0.3">
      <c r="A333" s="32" t="s">
        <v>546</v>
      </c>
      <c r="B333" s="33" t="s">
        <v>559</v>
      </c>
      <c r="C333" s="33" t="s">
        <v>560</v>
      </c>
      <c r="D333" s="33" t="s">
        <v>552</v>
      </c>
      <c r="E333" s="33" t="s">
        <v>225</v>
      </c>
      <c r="F333" s="33" t="s">
        <v>672</v>
      </c>
      <c r="G333" s="34" t="s">
        <v>673</v>
      </c>
      <c r="H333" s="24">
        <f t="shared" si="15"/>
        <v>0.25</v>
      </c>
      <c r="I333" s="35"/>
      <c r="J333" s="35" t="s">
        <v>234</v>
      </c>
      <c r="K333" s="36"/>
      <c r="L333" s="34" t="s">
        <v>100</v>
      </c>
      <c r="M333" s="40"/>
      <c r="N333" s="51" t="s">
        <v>868</v>
      </c>
      <c r="O333" s="35" t="s">
        <v>234</v>
      </c>
      <c r="P333" s="27"/>
      <c r="Q333" s="27"/>
      <c r="R333" s="27"/>
      <c r="S333" s="27" t="s">
        <v>865</v>
      </c>
      <c r="T333" s="27"/>
      <c r="U333" s="27"/>
      <c r="V333" s="27"/>
      <c r="W333" s="27"/>
      <c r="X333" s="27"/>
      <c r="Y333" s="54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54"/>
      <c r="AK333" s="27"/>
      <c r="AL333" s="27"/>
      <c r="AM333" s="27"/>
      <c r="AN333" s="27"/>
      <c r="AO333" s="27"/>
      <c r="AP333" s="54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54"/>
      <c r="BE333" s="27"/>
      <c r="BF333" s="27"/>
      <c r="BG333" s="27"/>
      <c r="BH333" s="27"/>
      <c r="BI333" s="27"/>
      <c r="BJ333" s="27"/>
      <c r="BK333" s="27"/>
      <c r="BL333" s="54"/>
      <c r="BM333" s="27"/>
      <c r="BN333" s="27"/>
      <c r="BO333" s="17"/>
      <c r="BP333" s="49"/>
      <c r="BQ333" s="17">
        <v>4</v>
      </c>
      <c r="BR333" s="17">
        <f t="shared" si="16"/>
        <v>1</v>
      </c>
      <c r="BS333" s="28">
        <f t="shared" si="17"/>
        <v>0</v>
      </c>
      <c r="BT333" s="28">
        <v>1</v>
      </c>
    </row>
    <row r="334" spans="1:72" ht="15.75" customHeight="1" x14ac:dyDescent="0.3">
      <c r="A334" s="32" t="s">
        <v>546</v>
      </c>
      <c r="B334" s="33" t="s">
        <v>559</v>
      </c>
      <c r="C334" s="33" t="s">
        <v>560</v>
      </c>
      <c r="D334" s="33" t="s">
        <v>552</v>
      </c>
      <c r="E334" s="33" t="s">
        <v>577</v>
      </c>
      <c r="F334" s="33" t="s">
        <v>196</v>
      </c>
      <c r="G334" s="34" t="s">
        <v>167</v>
      </c>
      <c r="H334" s="24">
        <f t="shared" si="15"/>
        <v>0</v>
      </c>
      <c r="I334" s="35"/>
      <c r="J334" s="35"/>
      <c r="K334" s="36"/>
      <c r="L334" s="34" t="s">
        <v>100</v>
      </c>
      <c r="M334" s="40"/>
      <c r="N334" s="48"/>
      <c r="O334" s="35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41"/>
      <c r="BQ334" s="17">
        <v>3</v>
      </c>
      <c r="BR334" s="17">
        <f t="shared" si="16"/>
        <v>0</v>
      </c>
      <c r="BS334" s="28">
        <f t="shared" si="17"/>
        <v>0</v>
      </c>
      <c r="BT334" s="28">
        <v>1</v>
      </c>
    </row>
    <row r="335" spans="1:72" ht="15.75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578</v>
      </c>
      <c r="F335" s="33" t="s">
        <v>204</v>
      </c>
      <c r="G335" s="34" t="s">
        <v>127</v>
      </c>
      <c r="H335" s="24">
        <f t="shared" si="15"/>
        <v>0</v>
      </c>
      <c r="I335" s="35"/>
      <c r="J335" s="35" t="s">
        <v>579</v>
      </c>
      <c r="K335" s="36"/>
      <c r="L335" s="34" t="s">
        <v>100</v>
      </c>
      <c r="M335" s="40"/>
      <c r="N335" s="48"/>
      <c r="O335" s="35" t="s">
        <v>579</v>
      </c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80"/>
      <c r="BP335" s="41"/>
      <c r="BQ335" s="17">
        <v>2</v>
      </c>
      <c r="BR335" s="17">
        <f t="shared" si="16"/>
        <v>0</v>
      </c>
      <c r="BS335" s="28">
        <f t="shared" si="17"/>
        <v>0</v>
      </c>
      <c r="BT335" s="28">
        <v>1</v>
      </c>
    </row>
    <row r="336" spans="1:72" ht="15.75" customHeight="1" x14ac:dyDescent="0.3">
      <c r="A336" s="32" t="s">
        <v>546</v>
      </c>
      <c r="B336" s="33" t="s">
        <v>570</v>
      </c>
      <c r="C336" s="33" t="s">
        <v>560</v>
      </c>
      <c r="D336" s="33" t="s">
        <v>568</v>
      </c>
      <c r="E336" s="33" t="s">
        <v>764</v>
      </c>
      <c r="F336" s="33" t="s">
        <v>96</v>
      </c>
      <c r="G336" s="34" t="s">
        <v>167</v>
      </c>
      <c r="H336" s="24">
        <f t="shared" si="15"/>
        <v>0</v>
      </c>
      <c r="I336" s="35"/>
      <c r="J336" s="35"/>
      <c r="K336" s="36"/>
      <c r="L336" s="34" t="s">
        <v>100</v>
      </c>
      <c r="M336" s="51"/>
      <c r="N336" s="48"/>
      <c r="O336" s="35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77"/>
      <c r="BQ336" s="17">
        <v>3</v>
      </c>
      <c r="BR336" s="17">
        <f t="shared" si="16"/>
        <v>0</v>
      </c>
      <c r="BS336" s="28">
        <f t="shared" si="17"/>
        <v>0</v>
      </c>
      <c r="BT336" s="75">
        <v>1</v>
      </c>
    </row>
    <row r="337" spans="1:72" ht="15.75" customHeight="1" x14ac:dyDescent="0.3">
      <c r="A337" s="32" t="s">
        <v>546</v>
      </c>
      <c r="B337" s="33" t="s">
        <v>570</v>
      </c>
      <c r="C337" s="33" t="s">
        <v>560</v>
      </c>
      <c r="D337" s="33" t="s">
        <v>568</v>
      </c>
      <c r="E337" s="33" t="s">
        <v>787</v>
      </c>
      <c r="F337" s="33" t="s">
        <v>88</v>
      </c>
      <c r="G337" s="34" t="s">
        <v>127</v>
      </c>
      <c r="H337" s="24">
        <f t="shared" si="15"/>
        <v>0.5</v>
      </c>
      <c r="I337" s="35"/>
      <c r="J337" s="35"/>
      <c r="K337" s="36"/>
      <c r="L337" s="34" t="s">
        <v>100</v>
      </c>
      <c r="M337" s="40"/>
      <c r="N337" s="51" t="s">
        <v>883</v>
      </c>
      <c r="O337" s="35"/>
      <c r="P337" s="27"/>
      <c r="Q337" s="27"/>
      <c r="R337" s="27" t="s">
        <v>886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17"/>
      <c r="BP337" s="49"/>
      <c r="BQ337" s="17">
        <v>2</v>
      </c>
      <c r="BR337" s="17">
        <f t="shared" si="16"/>
        <v>1</v>
      </c>
      <c r="BS337" s="28">
        <f t="shared" si="17"/>
        <v>0</v>
      </c>
      <c r="BT337" s="28">
        <v>1</v>
      </c>
    </row>
    <row r="338" spans="1:72" ht="15.75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566</v>
      </c>
      <c r="F338" s="33" t="s">
        <v>88</v>
      </c>
      <c r="G338" s="34" t="s">
        <v>127</v>
      </c>
      <c r="H338" s="24">
        <f t="shared" si="15"/>
        <v>0</v>
      </c>
      <c r="I338" s="35"/>
      <c r="J338" s="35"/>
      <c r="K338" s="67"/>
      <c r="L338" s="34" t="s">
        <v>100</v>
      </c>
      <c r="M338" s="29"/>
      <c r="N338" s="48"/>
      <c r="O338" s="35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41"/>
      <c r="BN338" s="27"/>
      <c r="BO338" s="27"/>
      <c r="BP338" s="108"/>
      <c r="BQ338" s="17">
        <v>2</v>
      </c>
      <c r="BR338" s="17">
        <f t="shared" si="16"/>
        <v>0</v>
      </c>
      <c r="BS338" s="28">
        <f t="shared" si="17"/>
        <v>0</v>
      </c>
      <c r="BT338" s="28">
        <v>1</v>
      </c>
    </row>
    <row r="339" spans="1:72" ht="15.75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225</v>
      </c>
      <c r="F339" s="33" t="s">
        <v>672</v>
      </c>
      <c r="G339" s="34" t="s">
        <v>673</v>
      </c>
      <c r="H339" s="24">
        <f t="shared" si="15"/>
        <v>0.25</v>
      </c>
      <c r="I339" s="35"/>
      <c r="J339" s="35" t="s">
        <v>226</v>
      </c>
      <c r="K339" s="36"/>
      <c r="L339" s="34" t="s">
        <v>100</v>
      </c>
      <c r="M339" s="51"/>
      <c r="N339" s="40" t="s">
        <v>869</v>
      </c>
      <c r="O339" s="35" t="s">
        <v>226</v>
      </c>
      <c r="P339" s="27"/>
      <c r="Q339" s="27"/>
      <c r="R339" s="27"/>
      <c r="S339" s="27" t="s">
        <v>865</v>
      </c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17"/>
      <c r="BP339" s="79"/>
      <c r="BQ339" s="17">
        <v>4</v>
      </c>
      <c r="BR339" s="17">
        <f t="shared" si="16"/>
        <v>1</v>
      </c>
      <c r="BS339" s="28">
        <f t="shared" si="17"/>
        <v>0</v>
      </c>
      <c r="BT339" s="28">
        <v>1</v>
      </c>
    </row>
    <row r="340" spans="1:72" ht="15.75" customHeight="1" x14ac:dyDescent="0.3">
      <c r="A340" s="32" t="s">
        <v>546</v>
      </c>
      <c r="B340" s="33" t="s">
        <v>576</v>
      </c>
      <c r="C340" s="33" t="s">
        <v>560</v>
      </c>
      <c r="D340" s="33" t="s">
        <v>574</v>
      </c>
      <c r="E340" s="33" t="s">
        <v>764</v>
      </c>
      <c r="F340" s="33" t="s">
        <v>96</v>
      </c>
      <c r="G340" s="34" t="s">
        <v>167</v>
      </c>
      <c r="H340" s="24">
        <f t="shared" si="15"/>
        <v>0</v>
      </c>
      <c r="I340" s="35"/>
      <c r="J340" s="35"/>
      <c r="K340" s="36"/>
      <c r="L340" s="34" t="s">
        <v>100</v>
      </c>
      <c r="M340" s="51"/>
      <c r="N340" s="48"/>
      <c r="O340" s="35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77"/>
      <c r="BQ340" s="17">
        <v>3</v>
      </c>
      <c r="BR340" s="17">
        <f t="shared" si="16"/>
        <v>0</v>
      </c>
      <c r="BS340" s="28">
        <f t="shared" si="17"/>
        <v>0</v>
      </c>
      <c r="BT340" s="28">
        <v>1</v>
      </c>
    </row>
    <row r="341" spans="1:72" ht="15.75" customHeight="1" x14ac:dyDescent="0.3">
      <c r="A341" s="32" t="s">
        <v>546</v>
      </c>
      <c r="B341" s="33" t="s">
        <v>576</v>
      </c>
      <c r="C341" s="33" t="s">
        <v>560</v>
      </c>
      <c r="D341" s="33" t="s">
        <v>574</v>
      </c>
      <c r="E341" s="33" t="s">
        <v>787</v>
      </c>
      <c r="F341" s="33" t="s">
        <v>88</v>
      </c>
      <c r="G341" s="34" t="s">
        <v>127</v>
      </c>
      <c r="H341" s="24">
        <f t="shared" si="15"/>
        <v>0.5</v>
      </c>
      <c r="I341" s="35"/>
      <c r="J341" s="35"/>
      <c r="K341" s="36"/>
      <c r="L341" s="34" t="s">
        <v>100</v>
      </c>
      <c r="M341" s="51"/>
      <c r="N341" s="51" t="s">
        <v>883</v>
      </c>
      <c r="O341" s="35"/>
      <c r="P341" s="27"/>
      <c r="Q341" s="27"/>
      <c r="R341" s="27" t="s">
        <v>886</v>
      </c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17"/>
      <c r="BP341" s="79"/>
      <c r="BQ341" s="17">
        <v>2</v>
      </c>
      <c r="BR341" s="17">
        <f t="shared" si="16"/>
        <v>1</v>
      </c>
      <c r="BS341" s="28">
        <f t="shared" si="17"/>
        <v>0</v>
      </c>
      <c r="BT341" s="28">
        <v>1</v>
      </c>
    </row>
    <row r="342" spans="1:72" ht="15.75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566</v>
      </c>
      <c r="F342" s="33" t="s">
        <v>88</v>
      </c>
      <c r="G342" s="34" t="s">
        <v>127</v>
      </c>
      <c r="H342" s="24">
        <f t="shared" si="15"/>
        <v>0</v>
      </c>
      <c r="I342" s="35"/>
      <c r="J342" s="35"/>
      <c r="K342" s="36"/>
      <c r="L342" s="34" t="s">
        <v>100</v>
      </c>
      <c r="M342" s="51"/>
      <c r="N342" s="48"/>
      <c r="O342" s="35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77"/>
      <c r="BQ342" s="17">
        <v>2</v>
      </c>
      <c r="BR342" s="17">
        <f t="shared" si="16"/>
        <v>0</v>
      </c>
      <c r="BS342" s="28">
        <f t="shared" si="17"/>
        <v>0</v>
      </c>
      <c r="BT342" s="28">
        <v>1</v>
      </c>
    </row>
    <row r="343" spans="1:72" ht="15.75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225</v>
      </c>
      <c r="F343" s="33" t="s">
        <v>672</v>
      </c>
      <c r="G343" s="34" t="s">
        <v>673</v>
      </c>
      <c r="H343" s="24">
        <f t="shared" si="15"/>
        <v>0.25</v>
      </c>
      <c r="I343" s="35"/>
      <c r="J343" s="35" t="s">
        <v>226</v>
      </c>
      <c r="K343" s="36"/>
      <c r="L343" s="34" t="s">
        <v>100</v>
      </c>
      <c r="M343" s="51"/>
      <c r="N343" s="40" t="s">
        <v>869</v>
      </c>
      <c r="O343" s="35" t="s">
        <v>226</v>
      </c>
      <c r="P343" s="27"/>
      <c r="Q343" s="27"/>
      <c r="R343" s="27"/>
      <c r="S343" s="27" t="s">
        <v>865</v>
      </c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17"/>
      <c r="BP343" s="79"/>
      <c r="BQ343" s="17">
        <v>4</v>
      </c>
      <c r="BR343" s="17">
        <f t="shared" si="16"/>
        <v>1</v>
      </c>
      <c r="BS343" s="28">
        <f t="shared" si="17"/>
        <v>0</v>
      </c>
      <c r="BT343" s="28">
        <v>1</v>
      </c>
    </row>
    <row r="344" spans="1:72" ht="15.75" customHeight="1" x14ac:dyDescent="0.3">
      <c r="A344" s="32" t="s">
        <v>546</v>
      </c>
      <c r="B344" s="33" t="s">
        <v>595</v>
      </c>
      <c r="C344" s="33" t="s">
        <v>548</v>
      </c>
      <c r="D344" s="33" t="s">
        <v>585</v>
      </c>
      <c r="E344" s="33" t="s">
        <v>586</v>
      </c>
      <c r="F344" s="33" t="s">
        <v>132</v>
      </c>
      <c r="G344" s="34" t="s">
        <v>99</v>
      </c>
      <c r="H344" s="24">
        <f t="shared" si="15"/>
        <v>0</v>
      </c>
      <c r="I344" s="35" t="s">
        <v>808</v>
      </c>
      <c r="J344" s="35"/>
      <c r="K344" s="36"/>
      <c r="L344" s="34" t="s">
        <v>105</v>
      </c>
      <c r="M344" s="51"/>
      <c r="N344" s="48"/>
      <c r="O344" s="35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79"/>
      <c r="BQ344" s="17">
        <v>1</v>
      </c>
      <c r="BR344" s="17">
        <f t="shared" si="16"/>
        <v>0</v>
      </c>
      <c r="BS344" s="28">
        <f t="shared" si="17"/>
        <v>0</v>
      </c>
      <c r="BT344" s="28">
        <v>1</v>
      </c>
    </row>
    <row r="345" spans="1:72" ht="15.75" customHeight="1" x14ac:dyDescent="0.3">
      <c r="A345" s="32" t="s">
        <v>546</v>
      </c>
      <c r="B345" s="33" t="s">
        <v>595</v>
      </c>
      <c r="C345" s="33" t="s">
        <v>548</v>
      </c>
      <c r="D345" s="33" t="s">
        <v>585</v>
      </c>
      <c r="E345" s="33" t="s">
        <v>788</v>
      </c>
      <c r="F345" s="33" t="s">
        <v>132</v>
      </c>
      <c r="G345" s="34" t="s">
        <v>99</v>
      </c>
      <c r="H345" s="24">
        <f t="shared" si="15"/>
        <v>0</v>
      </c>
      <c r="I345" s="35" t="s">
        <v>808</v>
      </c>
      <c r="J345" s="35"/>
      <c r="K345" s="36"/>
      <c r="L345" s="34" t="s">
        <v>105</v>
      </c>
      <c r="M345" s="51"/>
      <c r="N345" s="48"/>
      <c r="O345" s="35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79"/>
      <c r="BQ345" s="17">
        <v>1</v>
      </c>
      <c r="BR345" s="17">
        <f t="shared" si="16"/>
        <v>0</v>
      </c>
      <c r="BS345" s="28">
        <f t="shared" si="17"/>
        <v>0</v>
      </c>
      <c r="BT345" s="28">
        <v>1</v>
      </c>
    </row>
    <row r="346" spans="1:72" ht="15.75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588</v>
      </c>
      <c r="F346" s="33" t="s">
        <v>132</v>
      </c>
      <c r="G346" s="34" t="s">
        <v>99</v>
      </c>
      <c r="H346" s="24">
        <f t="shared" si="15"/>
        <v>0</v>
      </c>
      <c r="I346" s="35" t="s">
        <v>808</v>
      </c>
      <c r="J346" s="35"/>
      <c r="K346" s="36"/>
      <c r="L346" s="34" t="s">
        <v>100</v>
      </c>
      <c r="M346" s="51"/>
      <c r="N346" s="48"/>
      <c r="O346" s="35" t="s">
        <v>589</v>
      </c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79"/>
      <c r="BQ346" s="17">
        <v>1</v>
      </c>
      <c r="BR346" s="17">
        <f t="shared" si="16"/>
        <v>0</v>
      </c>
      <c r="BS346" s="28">
        <f t="shared" si="17"/>
        <v>0</v>
      </c>
      <c r="BT346" s="28">
        <v>1</v>
      </c>
    </row>
    <row r="347" spans="1:72" ht="15.75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587</v>
      </c>
      <c r="F347" s="33" t="s">
        <v>204</v>
      </c>
      <c r="G347" s="34" t="s">
        <v>127</v>
      </c>
      <c r="H347" s="24">
        <f t="shared" si="15"/>
        <v>0</v>
      </c>
      <c r="I347" s="35" t="s">
        <v>808</v>
      </c>
      <c r="J347" s="35" t="s">
        <v>579</v>
      </c>
      <c r="K347" s="36"/>
      <c r="L347" s="34" t="s">
        <v>100</v>
      </c>
      <c r="M347" s="51"/>
      <c r="N347" s="48"/>
      <c r="O347" s="35" t="s">
        <v>579</v>
      </c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80"/>
      <c r="BP347" s="79"/>
      <c r="BQ347" s="17">
        <v>2</v>
      </c>
      <c r="BR347" s="17">
        <f t="shared" si="16"/>
        <v>0</v>
      </c>
      <c r="BS347" s="28">
        <f t="shared" si="17"/>
        <v>0</v>
      </c>
      <c r="BT347" s="28">
        <v>1</v>
      </c>
    </row>
    <row r="348" spans="1:72" ht="15.75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590</v>
      </c>
      <c r="F348" s="33" t="s">
        <v>204</v>
      </c>
      <c r="G348" s="34" t="s">
        <v>127</v>
      </c>
      <c r="H348" s="24">
        <f t="shared" si="15"/>
        <v>0</v>
      </c>
      <c r="I348" s="35" t="s">
        <v>808</v>
      </c>
      <c r="J348" s="35" t="s">
        <v>579</v>
      </c>
      <c r="K348" s="36"/>
      <c r="L348" s="34" t="s">
        <v>100</v>
      </c>
      <c r="M348" s="51"/>
      <c r="N348" s="48"/>
      <c r="O348" s="35" t="s">
        <v>579</v>
      </c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80"/>
      <c r="BP348" s="79"/>
      <c r="BQ348" s="17">
        <v>2</v>
      </c>
      <c r="BR348" s="17">
        <f t="shared" si="16"/>
        <v>0</v>
      </c>
      <c r="BS348" s="28">
        <f t="shared" si="17"/>
        <v>0</v>
      </c>
      <c r="BT348" s="28">
        <v>1</v>
      </c>
    </row>
    <row r="349" spans="1:72" ht="15.75" customHeight="1" x14ac:dyDescent="0.3">
      <c r="A349" s="32" t="s">
        <v>546</v>
      </c>
      <c r="B349" s="33" t="s">
        <v>547</v>
      </c>
      <c r="C349" s="33" t="s">
        <v>548</v>
      </c>
      <c r="D349" s="33" t="s">
        <v>549</v>
      </c>
      <c r="E349" s="33" t="s">
        <v>225</v>
      </c>
      <c r="F349" s="33" t="s">
        <v>672</v>
      </c>
      <c r="G349" s="34" t="s">
        <v>673</v>
      </c>
      <c r="H349" s="24">
        <f t="shared" si="15"/>
        <v>0.25</v>
      </c>
      <c r="I349" s="35"/>
      <c r="J349" s="35" t="s">
        <v>234</v>
      </c>
      <c r="K349" s="36"/>
      <c r="L349" s="34" t="s">
        <v>100</v>
      </c>
      <c r="M349" s="51"/>
      <c r="N349" s="51" t="s">
        <v>868</v>
      </c>
      <c r="O349" s="35" t="s">
        <v>234</v>
      </c>
      <c r="P349" s="27"/>
      <c r="Q349" s="27"/>
      <c r="R349" s="27"/>
      <c r="S349" s="27" t="s">
        <v>865</v>
      </c>
      <c r="T349" s="27"/>
      <c r="U349" s="27"/>
      <c r="V349" s="27"/>
      <c r="W349" s="27"/>
      <c r="X349" s="27"/>
      <c r="Y349" s="54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54"/>
      <c r="AK349" s="27"/>
      <c r="AL349" s="27"/>
      <c r="AM349" s="27"/>
      <c r="AN349" s="27"/>
      <c r="AO349" s="27"/>
      <c r="AP349" s="54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54"/>
      <c r="BE349" s="27"/>
      <c r="BF349" s="27"/>
      <c r="BG349" s="27"/>
      <c r="BH349" s="27"/>
      <c r="BI349" s="27"/>
      <c r="BJ349" s="27"/>
      <c r="BK349" s="27"/>
      <c r="BL349" s="54"/>
      <c r="BM349" s="27"/>
      <c r="BN349" s="27"/>
      <c r="BO349" s="17"/>
      <c r="BP349" s="79"/>
      <c r="BQ349" s="17">
        <v>4</v>
      </c>
      <c r="BR349" s="17">
        <f t="shared" si="16"/>
        <v>1</v>
      </c>
      <c r="BS349" s="28">
        <f t="shared" si="17"/>
        <v>0</v>
      </c>
      <c r="BT349" s="28">
        <v>1</v>
      </c>
    </row>
    <row r="350" spans="1:72" ht="15.75" customHeight="1" x14ac:dyDescent="0.3">
      <c r="A350" s="32" t="s">
        <v>546</v>
      </c>
      <c r="B350" s="33" t="s">
        <v>547</v>
      </c>
      <c r="C350" s="33" t="s">
        <v>548</v>
      </c>
      <c r="D350" s="33" t="s">
        <v>549</v>
      </c>
      <c r="E350" s="33" t="s">
        <v>577</v>
      </c>
      <c r="F350" s="33" t="s">
        <v>196</v>
      </c>
      <c r="G350" s="34" t="s">
        <v>167</v>
      </c>
      <c r="H350" s="24">
        <f t="shared" si="15"/>
        <v>0</v>
      </c>
      <c r="I350" s="35"/>
      <c r="J350" s="35"/>
      <c r="K350" s="36"/>
      <c r="L350" s="34" t="s">
        <v>100</v>
      </c>
      <c r="M350" s="51"/>
      <c r="N350" s="48"/>
      <c r="O350" s="35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77"/>
      <c r="BQ350" s="17">
        <v>3</v>
      </c>
      <c r="BR350" s="17">
        <f t="shared" si="16"/>
        <v>0</v>
      </c>
      <c r="BS350" s="28">
        <f t="shared" si="17"/>
        <v>0</v>
      </c>
      <c r="BT350" s="28">
        <v>1</v>
      </c>
    </row>
    <row r="351" spans="1:72" ht="15.75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578</v>
      </c>
      <c r="F351" s="33" t="s">
        <v>204</v>
      </c>
      <c r="G351" s="34" t="s">
        <v>127</v>
      </c>
      <c r="H351" s="24">
        <f t="shared" si="15"/>
        <v>0</v>
      </c>
      <c r="I351" s="35"/>
      <c r="J351" s="35" t="s">
        <v>579</v>
      </c>
      <c r="K351" s="36"/>
      <c r="L351" s="34" t="s">
        <v>100</v>
      </c>
      <c r="M351" s="51"/>
      <c r="N351" s="48"/>
      <c r="O351" s="35" t="s">
        <v>579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80"/>
      <c r="BP351" s="77"/>
      <c r="BQ351" s="17">
        <v>2</v>
      </c>
      <c r="BR351" s="17">
        <f t="shared" si="16"/>
        <v>0</v>
      </c>
      <c r="BS351" s="28">
        <f t="shared" si="17"/>
        <v>0</v>
      </c>
      <c r="BT351" s="28">
        <v>1</v>
      </c>
    </row>
    <row r="352" spans="1:72" ht="15.75" customHeight="1" x14ac:dyDescent="0.3">
      <c r="A352" s="32" t="s">
        <v>546</v>
      </c>
      <c r="B352" s="33" t="s">
        <v>564</v>
      </c>
      <c r="C352" s="33" t="s">
        <v>548</v>
      </c>
      <c r="D352" s="33" t="s">
        <v>565</v>
      </c>
      <c r="E352" s="33" t="s">
        <v>764</v>
      </c>
      <c r="F352" s="33" t="s">
        <v>96</v>
      </c>
      <c r="G352" s="34" t="s">
        <v>167</v>
      </c>
      <c r="H352" s="24">
        <f t="shared" si="15"/>
        <v>0</v>
      </c>
      <c r="I352" s="35"/>
      <c r="J352" s="35"/>
      <c r="K352" s="36"/>
      <c r="L352" s="34" t="s">
        <v>100</v>
      </c>
      <c r="M352" s="40"/>
      <c r="N352" s="48"/>
      <c r="O352" s="35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17">
        <v>3</v>
      </c>
      <c r="BR352" s="17">
        <f t="shared" si="16"/>
        <v>0</v>
      </c>
      <c r="BS352" s="28">
        <f t="shared" si="17"/>
        <v>0</v>
      </c>
      <c r="BT352" s="28">
        <v>1</v>
      </c>
    </row>
    <row r="353" spans="1:72" ht="15.75" customHeight="1" x14ac:dyDescent="0.3">
      <c r="A353" s="32" t="s">
        <v>546</v>
      </c>
      <c r="B353" s="33" t="s">
        <v>564</v>
      </c>
      <c r="C353" s="33" t="s">
        <v>548</v>
      </c>
      <c r="D353" s="33" t="s">
        <v>565</v>
      </c>
      <c r="E353" s="33" t="s">
        <v>787</v>
      </c>
      <c r="F353" s="33" t="s">
        <v>88</v>
      </c>
      <c r="G353" s="34" t="s">
        <v>127</v>
      </c>
      <c r="H353" s="24">
        <f t="shared" si="15"/>
        <v>0.5</v>
      </c>
      <c r="I353" s="35"/>
      <c r="J353" s="35"/>
      <c r="K353" s="36"/>
      <c r="L353" s="34" t="s">
        <v>100</v>
      </c>
      <c r="M353" s="40"/>
      <c r="N353" s="51" t="s">
        <v>883</v>
      </c>
      <c r="O353" s="35"/>
      <c r="P353" s="27"/>
      <c r="Q353" s="27"/>
      <c r="R353" s="27" t="s">
        <v>886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17"/>
      <c r="BP353" s="49"/>
      <c r="BQ353" s="17">
        <v>2</v>
      </c>
      <c r="BR353" s="17">
        <f t="shared" si="16"/>
        <v>1</v>
      </c>
      <c r="BS353" s="28">
        <f t="shared" si="17"/>
        <v>0</v>
      </c>
      <c r="BT353" s="28">
        <v>1</v>
      </c>
    </row>
    <row r="354" spans="1:72" ht="15.75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566</v>
      </c>
      <c r="F354" s="33" t="s">
        <v>88</v>
      </c>
      <c r="G354" s="34" t="s">
        <v>127</v>
      </c>
      <c r="H354" s="24">
        <f t="shared" si="15"/>
        <v>0</v>
      </c>
      <c r="I354" s="35"/>
      <c r="J354" s="35"/>
      <c r="K354" s="36"/>
      <c r="L354" s="34" t="s">
        <v>100</v>
      </c>
      <c r="M354" s="40"/>
      <c r="N354" s="48"/>
      <c r="O354" s="35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41"/>
      <c r="BQ354" s="17">
        <v>2</v>
      </c>
      <c r="BR354" s="17">
        <f t="shared" si="16"/>
        <v>0</v>
      </c>
      <c r="BS354" s="28">
        <f t="shared" si="17"/>
        <v>0</v>
      </c>
      <c r="BT354" s="28">
        <v>1</v>
      </c>
    </row>
    <row r="355" spans="1:72" ht="15.75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225</v>
      </c>
      <c r="F355" s="33" t="s">
        <v>672</v>
      </c>
      <c r="G355" s="34" t="s">
        <v>673</v>
      </c>
      <c r="H355" s="24">
        <f t="shared" si="15"/>
        <v>0.25</v>
      </c>
      <c r="I355" s="35"/>
      <c r="J355" s="35" t="s">
        <v>226</v>
      </c>
      <c r="K355" s="36"/>
      <c r="L355" s="34" t="s">
        <v>100</v>
      </c>
      <c r="M355" s="40"/>
      <c r="N355" s="40" t="s">
        <v>869</v>
      </c>
      <c r="O355" s="35" t="s">
        <v>226</v>
      </c>
      <c r="P355" s="27"/>
      <c r="Q355" s="27"/>
      <c r="R355" s="27"/>
      <c r="S355" s="27" t="s">
        <v>865</v>
      </c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17"/>
      <c r="BP355" s="49"/>
      <c r="BQ355" s="17">
        <v>4</v>
      </c>
      <c r="BR355" s="17">
        <f t="shared" si="16"/>
        <v>1</v>
      </c>
      <c r="BS355" s="28">
        <f t="shared" si="17"/>
        <v>0</v>
      </c>
      <c r="BT355" s="28">
        <v>1</v>
      </c>
    </row>
    <row r="356" spans="1:72" ht="15.75" customHeight="1" x14ac:dyDescent="0.3">
      <c r="A356" s="32" t="s">
        <v>546</v>
      </c>
      <c r="B356" s="33" t="s">
        <v>571</v>
      </c>
      <c r="C356" s="33" t="s">
        <v>548</v>
      </c>
      <c r="D356" s="33" t="s">
        <v>572</v>
      </c>
      <c r="E356" s="33" t="s">
        <v>764</v>
      </c>
      <c r="F356" s="33" t="s">
        <v>96</v>
      </c>
      <c r="G356" s="34" t="s">
        <v>167</v>
      </c>
      <c r="H356" s="24">
        <f t="shared" si="15"/>
        <v>0</v>
      </c>
      <c r="I356" s="35"/>
      <c r="J356" s="35"/>
      <c r="K356" s="36"/>
      <c r="L356" s="34" t="s">
        <v>100</v>
      </c>
      <c r="M356" s="40"/>
      <c r="N356" s="48"/>
      <c r="O356" s="35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41"/>
      <c r="BQ356" s="17">
        <v>3</v>
      </c>
      <c r="BR356" s="17">
        <f t="shared" si="16"/>
        <v>0</v>
      </c>
      <c r="BS356" s="28">
        <f t="shared" si="17"/>
        <v>0</v>
      </c>
      <c r="BT356" s="28">
        <v>1</v>
      </c>
    </row>
    <row r="357" spans="1:72" ht="15.75" customHeight="1" x14ac:dyDescent="0.3">
      <c r="A357" s="32" t="s">
        <v>546</v>
      </c>
      <c r="B357" s="33" t="s">
        <v>571</v>
      </c>
      <c r="C357" s="33" t="s">
        <v>548</v>
      </c>
      <c r="D357" s="33" t="s">
        <v>572</v>
      </c>
      <c r="E357" s="33" t="s">
        <v>787</v>
      </c>
      <c r="F357" s="33" t="s">
        <v>88</v>
      </c>
      <c r="G357" s="34" t="s">
        <v>127</v>
      </c>
      <c r="H357" s="24">
        <f t="shared" si="15"/>
        <v>0.5</v>
      </c>
      <c r="I357" s="35"/>
      <c r="J357" s="35"/>
      <c r="K357" s="36"/>
      <c r="L357" s="34" t="s">
        <v>100</v>
      </c>
      <c r="M357" s="40"/>
      <c r="N357" s="51" t="s">
        <v>883</v>
      </c>
      <c r="O357" s="35"/>
      <c r="P357" s="27"/>
      <c r="Q357" s="27"/>
      <c r="R357" s="27" t="s">
        <v>886</v>
      </c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17"/>
      <c r="BP357" s="17"/>
      <c r="BQ357" s="17">
        <v>2</v>
      </c>
      <c r="BR357" s="17">
        <f t="shared" si="16"/>
        <v>1</v>
      </c>
      <c r="BS357" s="28">
        <f t="shared" si="17"/>
        <v>0</v>
      </c>
      <c r="BT357" s="28">
        <v>1</v>
      </c>
    </row>
    <row r="358" spans="1:72" ht="15.75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566</v>
      </c>
      <c r="F358" s="33" t="s">
        <v>88</v>
      </c>
      <c r="G358" s="34" t="s">
        <v>127</v>
      </c>
      <c r="H358" s="24">
        <f t="shared" si="15"/>
        <v>0</v>
      </c>
      <c r="I358" s="35"/>
      <c r="J358" s="35"/>
      <c r="K358" s="36"/>
      <c r="L358" s="34" t="s">
        <v>100</v>
      </c>
      <c r="M358" s="40"/>
      <c r="N358" s="48"/>
      <c r="O358" s="35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42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41"/>
      <c r="BQ358" s="17">
        <v>2</v>
      </c>
      <c r="BR358" s="17">
        <f t="shared" si="16"/>
        <v>0</v>
      </c>
      <c r="BS358" s="28">
        <f t="shared" si="17"/>
        <v>0</v>
      </c>
      <c r="BT358" s="28">
        <v>1</v>
      </c>
    </row>
    <row r="359" spans="1:72" ht="15.75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225</v>
      </c>
      <c r="F359" s="33" t="s">
        <v>672</v>
      </c>
      <c r="G359" s="34" t="s">
        <v>673</v>
      </c>
      <c r="H359" s="24">
        <f t="shared" si="15"/>
        <v>0.25</v>
      </c>
      <c r="I359" s="35"/>
      <c r="J359" s="35" t="s">
        <v>226</v>
      </c>
      <c r="K359" s="36"/>
      <c r="L359" s="34" t="s">
        <v>100</v>
      </c>
      <c r="M359" s="40"/>
      <c r="N359" s="40" t="s">
        <v>869</v>
      </c>
      <c r="O359" s="35" t="s">
        <v>226</v>
      </c>
      <c r="P359" s="27"/>
      <c r="Q359" s="27"/>
      <c r="R359" s="27"/>
      <c r="S359" s="27" t="s">
        <v>865</v>
      </c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17"/>
      <c r="BP359" s="17"/>
      <c r="BQ359" s="17">
        <v>4</v>
      </c>
      <c r="BR359" s="17">
        <f t="shared" si="16"/>
        <v>1</v>
      </c>
      <c r="BS359" s="28">
        <f t="shared" si="17"/>
        <v>0</v>
      </c>
      <c r="BT359" s="28">
        <v>1</v>
      </c>
    </row>
    <row r="360" spans="1:72" ht="15.75" customHeight="1" x14ac:dyDescent="0.3">
      <c r="A360" s="32" t="s">
        <v>599</v>
      </c>
      <c r="B360" s="33" t="s">
        <v>624</v>
      </c>
      <c r="C360" s="33" t="s">
        <v>551</v>
      </c>
      <c r="D360" s="33" t="s">
        <v>625</v>
      </c>
      <c r="E360" s="33" t="s">
        <v>626</v>
      </c>
      <c r="F360" s="33" t="s">
        <v>132</v>
      </c>
      <c r="G360" s="34" t="s">
        <v>99</v>
      </c>
      <c r="H360" s="24">
        <f t="shared" si="15"/>
        <v>0</v>
      </c>
      <c r="I360" s="35" t="s">
        <v>808</v>
      </c>
      <c r="J360" s="35"/>
      <c r="K360" s="36"/>
      <c r="L360" s="34" t="s">
        <v>105</v>
      </c>
      <c r="M360" s="40"/>
      <c r="N360" s="48"/>
      <c r="O360" s="35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17"/>
      <c r="BP360" s="17"/>
      <c r="BQ360" s="17">
        <v>1</v>
      </c>
      <c r="BR360" s="17">
        <f t="shared" si="16"/>
        <v>0</v>
      </c>
      <c r="BS360" s="28">
        <f t="shared" si="17"/>
        <v>0</v>
      </c>
      <c r="BT360" s="28">
        <v>1</v>
      </c>
    </row>
    <row r="361" spans="1:72" ht="15.75" customHeight="1" x14ac:dyDescent="0.3">
      <c r="A361" s="32" t="s">
        <v>599</v>
      </c>
      <c r="B361" s="33" t="s">
        <v>624</v>
      </c>
      <c r="C361" s="33" t="s">
        <v>551</v>
      </c>
      <c r="D361" s="33" t="s">
        <v>625</v>
      </c>
      <c r="E361" s="33" t="s">
        <v>790</v>
      </c>
      <c r="F361" s="33" t="s">
        <v>132</v>
      </c>
      <c r="G361" s="34" t="s">
        <v>99</v>
      </c>
      <c r="H361" s="24">
        <f t="shared" si="15"/>
        <v>0</v>
      </c>
      <c r="I361" s="35"/>
      <c r="J361" s="35"/>
      <c r="K361" s="36"/>
      <c r="L361" s="34" t="s">
        <v>100</v>
      </c>
      <c r="M361" s="40"/>
      <c r="N361" s="48"/>
      <c r="O361" s="35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17">
        <v>1</v>
      </c>
      <c r="BR361" s="17">
        <f t="shared" si="16"/>
        <v>0</v>
      </c>
      <c r="BS361" s="28">
        <f t="shared" si="17"/>
        <v>0</v>
      </c>
      <c r="BT361" s="28">
        <v>1</v>
      </c>
    </row>
    <row r="362" spans="1:72" ht="15.75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628</v>
      </c>
      <c r="F362" s="33" t="s">
        <v>132</v>
      </c>
      <c r="G362" s="34" t="s">
        <v>99</v>
      </c>
      <c r="H362" s="24">
        <f t="shared" si="15"/>
        <v>0</v>
      </c>
      <c r="I362" s="35" t="s">
        <v>808</v>
      </c>
      <c r="J362" s="35"/>
      <c r="K362" s="36"/>
      <c r="L362" s="34" t="s">
        <v>100</v>
      </c>
      <c r="M362" s="40"/>
      <c r="N362" s="48"/>
      <c r="O362" s="35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17"/>
      <c r="BQ362" s="17">
        <v>1</v>
      </c>
      <c r="BR362" s="17">
        <f t="shared" si="16"/>
        <v>0</v>
      </c>
      <c r="BS362" s="28">
        <f t="shared" si="17"/>
        <v>0</v>
      </c>
      <c r="BT362" s="28">
        <v>1</v>
      </c>
    </row>
    <row r="363" spans="1:72" ht="15.75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632</v>
      </c>
      <c r="F363" s="33" t="s">
        <v>132</v>
      </c>
      <c r="G363" s="34" t="s">
        <v>99</v>
      </c>
      <c r="H363" s="24">
        <f t="shared" si="15"/>
        <v>0</v>
      </c>
      <c r="I363" s="35"/>
      <c r="J363" s="35"/>
      <c r="K363" s="36"/>
      <c r="L363" s="34" t="s">
        <v>100</v>
      </c>
      <c r="M363" s="40"/>
      <c r="N363" s="48"/>
      <c r="O363" s="35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17"/>
      <c r="BP363" s="49"/>
      <c r="BQ363" s="17">
        <v>1</v>
      </c>
      <c r="BR363" s="17">
        <f t="shared" si="16"/>
        <v>0</v>
      </c>
      <c r="BS363" s="28">
        <f t="shared" si="17"/>
        <v>0</v>
      </c>
      <c r="BT363" s="28">
        <v>1</v>
      </c>
    </row>
    <row r="364" spans="1:72" ht="15.75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792</v>
      </c>
      <c r="F364" s="33" t="s">
        <v>132</v>
      </c>
      <c r="G364" s="34" t="s">
        <v>99</v>
      </c>
      <c r="H364" s="24">
        <f t="shared" si="15"/>
        <v>0</v>
      </c>
      <c r="I364" s="35"/>
      <c r="J364" s="35"/>
      <c r="K364" s="36"/>
      <c r="L364" s="34" t="s">
        <v>105</v>
      </c>
      <c r="M364" s="40"/>
      <c r="N364" s="48"/>
      <c r="O364" s="35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17"/>
      <c r="BP364" s="49"/>
      <c r="BQ364" s="17">
        <v>1</v>
      </c>
      <c r="BR364" s="17">
        <f t="shared" si="16"/>
        <v>0</v>
      </c>
      <c r="BS364" s="28">
        <f t="shared" si="17"/>
        <v>0</v>
      </c>
      <c r="BT364" s="28">
        <v>1</v>
      </c>
    </row>
    <row r="365" spans="1:72" ht="15.75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588</v>
      </c>
      <c r="F365" s="33" t="s">
        <v>132</v>
      </c>
      <c r="G365" s="34" t="s">
        <v>99</v>
      </c>
      <c r="H365" s="24">
        <f t="shared" si="15"/>
        <v>0</v>
      </c>
      <c r="I365" s="35" t="s">
        <v>808</v>
      </c>
      <c r="J365" s="35"/>
      <c r="K365" s="36"/>
      <c r="L365" s="34" t="s">
        <v>100</v>
      </c>
      <c r="M365" s="40"/>
      <c r="N365" s="48"/>
      <c r="O365" s="35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17"/>
      <c r="BP365" s="49"/>
      <c r="BQ365" s="17">
        <v>1</v>
      </c>
      <c r="BR365" s="17">
        <f t="shared" si="16"/>
        <v>0</v>
      </c>
      <c r="BS365" s="28">
        <f t="shared" si="17"/>
        <v>0</v>
      </c>
      <c r="BT365" s="28">
        <v>1</v>
      </c>
    </row>
    <row r="366" spans="1:72" ht="15.75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633</v>
      </c>
      <c r="F366" s="33" t="s">
        <v>132</v>
      </c>
      <c r="G366" s="34" t="s">
        <v>99</v>
      </c>
      <c r="H366" s="24">
        <f t="shared" si="15"/>
        <v>0</v>
      </c>
      <c r="I366" s="35" t="s">
        <v>808</v>
      </c>
      <c r="J366" s="35"/>
      <c r="K366" s="36"/>
      <c r="L366" s="34" t="s">
        <v>100</v>
      </c>
      <c r="M366" s="40"/>
      <c r="N366" s="48"/>
      <c r="O366" s="35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49"/>
      <c r="BQ366" s="17">
        <v>1</v>
      </c>
      <c r="BR366" s="17">
        <f t="shared" si="16"/>
        <v>0</v>
      </c>
      <c r="BS366" s="28">
        <f t="shared" si="17"/>
        <v>0</v>
      </c>
      <c r="BT366" s="28">
        <v>1</v>
      </c>
    </row>
    <row r="367" spans="1:72" ht="15.75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634</v>
      </c>
      <c r="F367" s="33" t="s">
        <v>132</v>
      </c>
      <c r="G367" s="34" t="s">
        <v>99</v>
      </c>
      <c r="H367" s="24">
        <f t="shared" si="15"/>
        <v>0</v>
      </c>
      <c r="I367" s="35" t="s">
        <v>808</v>
      </c>
      <c r="J367" s="35"/>
      <c r="K367" s="36"/>
      <c r="L367" s="34" t="s">
        <v>105</v>
      </c>
      <c r="M367" s="40"/>
      <c r="N367" s="48"/>
      <c r="O367" s="35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49"/>
      <c r="BQ367" s="17">
        <v>1</v>
      </c>
      <c r="BR367" s="17">
        <f t="shared" si="16"/>
        <v>0</v>
      </c>
      <c r="BS367" s="28">
        <f t="shared" si="17"/>
        <v>0</v>
      </c>
      <c r="BT367" s="28">
        <v>1</v>
      </c>
    </row>
    <row r="368" spans="1:72" ht="15.75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627</v>
      </c>
      <c r="F368" s="33" t="s">
        <v>204</v>
      </c>
      <c r="G368" s="34" t="s">
        <v>127</v>
      </c>
      <c r="H368" s="24">
        <f t="shared" si="15"/>
        <v>0</v>
      </c>
      <c r="I368" s="35"/>
      <c r="J368" s="35" t="s">
        <v>579</v>
      </c>
      <c r="K368" s="36"/>
      <c r="L368" s="34" t="s">
        <v>100</v>
      </c>
      <c r="M368" s="40"/>
      <c r="N368" s="48"/>
      <c r="O368" s="35" t="s">
        <v>579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49"/>
      <c r="BQ368" s="17">
        <v>2</v>
      </c>
      <c r="BR368" s="17">
        <f t="shared" si="16"/>
        <v>0</v>
      </c>
      <c r="BS368" s="28">
        <f t="shared" si="17"/>
        <v>0</v>
      </c>
      <c r="BT368" s="28">
        <v>1</v>
      </c>
    </row>
    <row r="369" spans="1:72" ht="15.75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629</v>
      </c>
      <c r="F369" s="33" t="s">
        <v>204</v>
      </c>
      <c r="G369" s="34" t="s">
        <v>127</v>
      </c>
      <c r="H369" s="24">
        <f t="shared" si="15"/>
        <v>0</v>
      </c>
      <c r="I369" s="35"/>
      <c r="J369" s="35" t="s">
        <v>579</v>
      </c>
      <c r="K369" s="36"/>
      <c r="L369" s="34" t="s">
        <v>100</v>
      </c>
      <c r="M369" s="40"/>
      <c r="N369" s="48"/>
      <c r="O369" s="35" t="s">
        <v>579</v>
      </c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49"/>
      <c r="BQ369" s="17">
        <v>2</v>
      </c>
      <c r="BR369" s="17">
        <f t="shared" si="16"/>
        <v>0</v>
      </c>
      <c r="BS369" s="28">
        <f t="shared" si="17"/>
        <v>0</v>
      </c>
      <c r="BT369" s="28">
        <v>1</v>
      </c>
    </row>
    <row r="370" spans="1:72" ht="15.75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630</v>
      </c>
      <c r="F370" s="33" t="s">
        <v>204</v>
      </c>
      <c r="G370" s="34" t="s">
        <v>127</v>
      </c>
      <c r="H370" s="24">
        <f t="shared" si="15"/>
        <v>0</v>
      </c>
      <c r="I370" s="35" t="s">
        <v>808</v>
      </c>
      <c r="J370" s="35" t="s">
        <v>579</v>
      </c>
      <c r="K370" s="36"/>
      <c r="L370" s="34" t="s">
        <v>100</v>
      </c>
      <c r="M370" s="40"/>
      <c r="N370" s="48"/>
      <c r="O370" s="35" t="s">
        <v>579</v>
      </c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17"/>
      <c r="BO370" s="27"/>
      <c r="BP370" s="49"/>
      <c r="BQ370" s="17">
        <v>2</v>
      </c>
      <c r="BR370" s="17">
        <f t="shared" si="16"/>
        <v>0</v>
      </c>
      <c r="BS370" s="28">
        <f t="shared" si="17"/>
        <v>0</v>
      </c>
      <c r="BT370" s="28">
        <v>1</v>
      </c>
    </row>
    <row r="371" spans="1:72" ht="15.75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631</v>
      </c>
      <c r="F371" s="33" t="s">
        <v>204</v>
      </c>
      <c r="G371" s="34" t="s">
        <v>127</v>
      </c>
      <c r="H371" s="24">
        <f t="shared" si="15"/>
        <v>0</v>
      </c>
      <c r="I371" s="35" t="s">
        <v>808</v>
      </c>
      <c r="J371" s="35" t="s">
        <v>579</v>
      </c>
      <c r="K371" s="36"/>
      <c r="L371" s="34" t="s">
        <v>100</v>
      </c>
      <c r="M371" s="40"/>
      <c r="N371" s="48"/>
      <c r="O371" s="35" t="s">
        <v>579</v>
      </c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17"/>
      <c r="BO371" s="27"/>
      <c r="BP371" s="17"/>
      <c r="BQ371" s="17">
        <v>2</v>
      </c>
      <c r="BR371" s="17">
        <f t="shared" si="16"/>
        <v>0</v>
      </c>
      <c r="BS371" s="28">
        <f t="shared" si="17"/>
        <v>0</v>
      </c>
      <c r="BT371" s="28">
        <v>1</v>
      </c>
    </row>
    <row r="372" spans="1:72" ht="15.75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791</v>
      </c>
      <c r="F372" s="33" t="s">
        <v>204</v>
      </c>
      <c r="G372" s="34" t="s">
        <v>127</v>
      </c>
      <c r="H372" s="24">
        <f t="shared" si="15"/>
        <v>0</v>
      </c>
      <c r="I372" s="35" t="s">
        <v>808</v>
      </c>
      <c r="J372" s="35" t="s">
        <v>579</v>
      </c>
      <c r="K372" s="36"/>
      <c r="L372" s="34" t="s">
        <v>100</v>
      </c>
      <c r="M372" s="40"/>
      <c r="N372" s="48"/>
      <c r="O372" s="35" t="s">
        <v>579</v>
      </c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17"/>
      <c r="BO372" s="27"/>
      <c r="BP372" s="49"/>
      <c r="BQ372" s="17">
        <v>2</v>
      </c>
      <c r="BR372" s="17">
        <f t="shared" si="16"/>
        <v>0</v>
      </c>
      <c r="BS372" s="28">
        <f t="shared" si="17"/>
        <v>0</v>
      </c>
      <c r="BT372" s="28">
        <v>1</v>
      </c>
    </row>
    <row r="373" spans="1:72" ht="15.75" customHeight="1" x14ac:dyDescent="0.3">
      <c r="A373" s="32" t="s">
        <v>599</v>
      </c>
      <c r="B373" s="33" t="s">
        <v>640</v>
      </c>
      <c r="C373" s="33" t="s">
        <v>551</v>
      </c>
      <c r="D373" s="33" t="s">
        <v>641</v>
      </c>
      <c r="E373" s="33" t="s">
        <v>642</v>
      </c>
      <c r="F373" s="33" t="s">
        <v>132</v>
      </c>
      <c r="G373" s="34" t="s">
        <v>99</v>
      </c>
      <c r="H373" s="24">
        <f t="shared" si="15"/>
        <v>0</v>
      </c>
      <c r="I373" s="35" t="s">
        <v>808</v>
      </c>
      <c r="J373" s="35"/>
      <c r="K373" s="36"/>
      <c r="L373" s="34" t="s">
        <v>100</v>
      </c>
      <c r="M373" s="40"/>
      <c r="N373" s="48"/>
      <c r="O373" s="35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49"/>
      <c r="BQ373" s="17">
        <v>1</v>
      </c>
      <c r="BR373" s="17">
        <f t="shared" si="16"/>
        <v>0</v>
      </c>
      <c r="BS373" s="28">
        <f t="shared" si="17"/>
        <v>0</v>
      </c>
      <c r="BT373" s="28">
        <v>1</v>
      </c>
    </row>
    <row r="374" spans="1:72" ht="15.75" customHeight="1" x14ac:dyDescent="0.3">
      <c r="A374" s="32" t="s">
        <v>599</v>
      </c>
      <c r="B374" s="33" t="s">
        <v>611</v>
      </c>
      <c r="C374" s="33" t="s">
        <v>551</v>
      </c>
      <c r="D374" s="33" t="s">
        <v>601</v>
      </c>
      <c r="E374" s="33" t="s">
        <v>789</v>
      </c>
      <c r="F374" s="33" t="s">
        <v>88</v>
      </c>
      <c r="G374" s="34" t="s">
        <v>127</v>
      </c>
      <c r="H374" s="24">
        <f t="shared" si="15"/>
        <v>0.5</v>
      </c>
      <c r="I374" s="35" t="s">
        <v>808</v>
      </c>
      <c r="J374" s="35"/>
      <c r="K374" s="36"/>
      <c r="L374" s="34" t="s">
        <v>100</v>
      </c>
      <c r="M374" s="40"/>
      <c r="N374" s="51" t="s">
        <v>885</v>
      </c>
      <c r="O374" s="35"/>
      <c r="P374" s="27"/>
      <c r="Q374" s="27"/>
      <c r="R374" s="27" t="s">
        <v>886</v>
      </c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17"/>
      <c r="BP374" s="49"/>
      <c r="BQ374" s="17">
        <v>2</v>
      </c>
      <c r="BR374" s="17">
        <f t="shared" si="16"/>
        <v>1</v>
      </c>
      <c r="BS374" s="28">
        <f t="shared" si="17"/>
        <v>0</v>
      </c>
      <c r="BT374" s="28">
        <v>1</v>
      </c>
    </row>
    <row r="375" spans="1:72" ht="15.75" customHeight="1" x14ac:dyDescent="0.3">
      <c r="A375" s="32" t="s">
        <v>599</v>
      </c>
      <c r="B375" s="33" t="s">
        <v>611</v>
      </c>
      <c r="C375" s="33" t="s">
        <v>551</v>
      </c>
      <c r="D375" s="33" t="s">
        <v>601</v>
      </c>
      <c r="E375" s="33" t="s">
        <v>617</v>
      </c>
      <c r="F375" s="33" t="s">
        <v>132</v>
      </c>
      <c r="G375" s="34" t="s">
        <v>99</v>
      </c>
      <c r="H375" s="24">
        <f t="shared" si="15"/>
        <v>0</v>
      </c>
      <c r="I375" s="35" t="s">
        <v>808</v>
      </c>
      <c r="J375" s="35"/>
      <c r="K375" s="36"/>
      <c r="L375" s="34" t="s">
        <v>100</v>
      </c>
      <c r="M375" s="40"/>
      <c r="N375" s="48"/>
      <c r="O375" s="35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17"/>
      <c r="BP375" s="49"/>
      <c r="BQ375" s="17">
        <v>1</v>
      </c>
      <c r="BR375" s="17">
        <f t="shared" si="16"/>
        <v>0</v>
      </c>
      <c r="BS375" s="28">
        <f t="shared" si="17"/>
        <v>0</v>
      </c>
      <c r="BT375" s="28">
        <v>1</v>
      </c>
    </row>
    <row r="376" spans="1:72" ht="15.75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618</v>
      </c>
      <c r="F376" s="33" t="s">
        <v>132</v>
      </c>
      <c r="G376" s="34" t="s">
        <v>99</v>
      </c>
      <c r="H376" s="24">
        <f t="shared" si="15"/>
        <v>0</v>
      </c>
      <c r="I376" s="35" t="s">
        <v>808</v>
      </c>
      <c r="J376" s="35"/>
      <c r="K376" s="36"/>
      <c r="L376" s="34" t="s">
        <v>100</v>
      </c>
      <c r="M376" s="40"/>
      <c r="N376" s="48"/>
      <c r="O376" s="35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17"/>
      <c r="BP376" s="17"/>
      <c r="BQ376" s="17">
        <v>1</v>
      </c>
      <c r="BR376" s="17">
        <f t="shared" si="16"/>
        <v>0</v>
      </c>
      <c r="BS376" s="28">
        <f t="shared" si="17"/>
        <v>0</v>
      </c>
      <c r="BT376" s="28">
        <v>1</v>
      </c>
    </row>
    <row r="377" spans="1:72" ht="15.75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619</v>
      </c>
      <c r="F377" s="33" t="s">
        <v>132</v>
      </c>
      <c r="G377" s="34" t="s">
        <v>99</v>
      </c>
      <c r="H377" s="24">
        <f t="shared" si="15"/>
        <v>0</v>
      </c>
      <c r="I377" s="35" t="s">
        <v>808</v>
      </c>
      <c r="J377" s="35"/>
      <c r="K377" s="36"/>
      <c r="L377" s="34" t="s">
        <v>105</v>
      </c>
      <c r="M377" s="40"/>
      <c r="N377" s="48"/>
      <c r="O377" s="35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17"/>
      <c r="BP377" s="49"/>
      <c r="BQ377" s="17">
        <v>1</v>
      </c>
      <c r="BR377" s="17">
        <f t="shared" si="16"/>
        <v>0</v>
      </c>
      <c r="BS377" s="28">
        <f t="shared" si="17"/>
        <v>0</v>
      </c>
      <c r="BT377" s="28">
        <v>1</v>
      </c>
    </row>
    <row r="378" spans="1:72" ht="15.75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602</v>
      </c>
      <c r="F378" s="33" t="s">
        <v>672</v>
      </c>
      <c r="G378" s="34" t="s">
        <v>673</v>
      </c>
      <c r="H378" s="24">
        <f t="shared" si="15"/>
        <v>0.25</v>
      </c>
      <c r="I378" s="35"/>
      <c r="J378" s="35"/>
      <c r="K378" s="36"/>
      <c r="L378" s="34" t="s">
        <v>100</v>
      </c>
      <c r="M378" s="40"/>
      <c r="N378" s="51" t="s">
        <v>871</v>
      </c>
      <c r="O378" s="35" t="s">
        <v>604</v>
      </c>
      <c r="P378" s="27"/>
      <c r="Q378" s="27"/>
      <c r="R378" s="27"/>
      <c r="S378" s="27" t="s">
        <v>865</v>
      </c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17"/>
      <c r="BP378" s="17"/>
      <c r="BQ378" s="17">
        <v>4</v>
      </c>
      <c r="BR378" s="17">
        <f t="shared" si="16"/>
        <v>1</v>
      </c>
      <c r="BS378" s="28">
        <f t="shared" si="17"/>
        <v>0</v>
      </c>
      <c r="BT378" s="28">
        <v>1</v>
      </c>
    </row>
    <row r="379" spans="1:72" ht="15.75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793</v>
      </c>
      <c r="F379" s="33" t="s">
        <v>672</v>
      </c>
      <c r="G379" s="34" t="s">
        <v>673</v>
      </c>
      <c r="H379" s="24">
        <f t="shared" si="15"/>
        <v>0.25</v>
      </c>
      <c r="I379" s="35"/>
      <c r="J379" s="35" t="s">
        <v>648</v>
      </c>
      <c r="K379" s="36"/>
      <c r="L379" s="34" t="s">
        <v>100</v>
      </c>
      <c r="M379" s="40"/>
      <c r="N379" s="40" t="s">
        <v>869</v>
      </c>
      <c r="O379" s="35" t="s">
        <v>649</v>
      </c>
      <c r="P379" s="27"/>
      <c r="Q379" s="27"/>
      <c r="R379" s="27"/>
      <c r="S379" s="27" t="s">
        <v>865</v>
      </c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17"/>
      <c r="BP379" s="17"/>
      <c r="BQ379" s="17">
        <v>4</v>
      </c>
      <c r="BR379" s="17">
        <f t="shared" si="16"/>
        <v>1</v>
      </c>
      <c r="BS379" s="28">
        <f t="shared" si="17"/>
        <v>0</v>
      </c>
      <c r="BT379" s="28">
        <v>1</v>
      </c>
    </row>
    <row r="380" spans="1:72" ht="15.75" customHeight="1" x14ac:dyDescent="0.3">
      <c r="A380" s="32" t="s">
        <v>599</v>
      </c>
      <c r="B380" s="33" t="s">
        <v>635</v>
      </c>
      <c r="C380" s="33" t="s">
        <v>554</v>
      </c>
      <c r="D380" s="33" t="s">
        <v>625</v>
      </c>
      <c r="E380" s="33" t="s">
        <v>626</v>
      </c>
      <c r="F380" s="33" t="s">
        <v>132</v>
      </c>
      <c r="G380" s="34" t="s">
        <v>99</v>
      </c>
      <c r="H380" s="24">
        <f t="shared" si="15"/>
        <v>0</v>
      </c>
      <c r="I380" s="35" t="s">
        <v>808</v>
      </c>
      <c r="J380" s="35"/>
      <c r="K380" s="36"/>
      <c r="L380" s="34" t="s">
        <v>105</v>
      </c>
      <c r="M380" s="40"/>
      <c r="N380" s="48"/>
      <c r="O380" s="35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17"/>
      <c r="BQ380" s="17">
        <v>1</v>
      </c>
      <c r="BR380" s="17">
        <f t="shared" si="16"/>
        <v>0</v>
      </c>
      <c r="BS380" s="28">
        <f t="shared" si="17"/>
        <v>0</v>
      </c>
      <c r="BT380" s="28">
        <v>1</v>
      </c>
    </row>
    <row r="381" spans="1:72" ht="15.75" customHeight="1" x14ac:dyDescent="0.3">
      <c r="A381" s="32" t="s">
        <v>599</v>
      </c>
      <c r="B381" s="33" t="s">
        <v>635</v>
      </c>
      <c r="C381" s="33" t="s">
        <v>554</v>
      </c>
      <c r="D381" s="33" t="s">
        <v>625</v>
      </c>
      <c r="E381" s="33" t="s">
        <v>790</v>
      </c>
      <c r="F381" s="33" t="s">
        <v>132</v>
      </c>
      <c r="G381" s="34" t="s">
        <v>99</v>
      </c>
      <c r="H381" s="24">
        <f t="shared" si="15"/>
        <v>0</v>
      </c>
      <c r="I381" s="35"/>
      <c r="J381" s="35"/>
      <c r="K381" s="36"/>
      <c r="L381" s="34" t="s">
        <v>100</v>
      </c>
      <c r="M381" s="40"/>
      <c r="N381" s="48"/>
      <c r="O381" s="35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17"/>
      <c r="BQ381" s="17">
        <v>1</v>
      </c>
      <c r="BR381" s="17">
        <f t="shared" si="16"/>
        <v>0</v>
      </c>
      <c r="BS381" s="28">
        <f t="shared" si="17"/>
        <v>0</v>
      </c>
      <c r="BT381" s="28">
        <v>1</v>
      </c>
    </row>
    <row r="382" spans="1:72" ht="15.75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628</v>
      </c>
      <c r="F382" s="33" t="s">
        <v>132</v>
      </c>
      <c r="G382" s="34" t="s">
        <v>99</v>
      </c>
      <c r="H382" s="24">
        <f t="shared" si="15"/>
        <v>0</v>
      </c>
      <c r="I382" s="35" t="s">
        <v>808</v>
      </c>
      <c r="J382" s="35"/>
      <c r="K382" s="36"/>
      <c r="L382" s="34" t="s">
        <v>105</v>
      </c>
      <c r="M382" s="40"/>
      <c r="N382" s="48"/>
      <c r="O382" s="35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17"/>
      <c r="BQ382" s="17">
        <v>1</v>
      </c>
      <c r="BR382" s="17">
        <f t="shared" si="16"/>
        <v>0</v>
      </c>
      <c r="BS382" s="28">
        <f t="shared" si="17"/>
        <v>0</v>
      </c>
      <c r="BT382" s="28">
        <v>1</v>
      </c>
    </row>
    <row r="383" spans="1:72" ht="15.75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632</v>
      </c>
      <c r="F383" s="33" t="s">
        <v>132</v>
      </c>
      <c r="G383" s="34" t="s">
        <v>99</v>
      </c>
      <c r="H383" s="24">
        <f t="shared" si="15"/>
        <v>0</v>
      </c>
      <c r="I383" s="35"/>
      <c r="J383" s="35"/>
      <c r="K383" s="36"/>
      <c r="L383" s="34" t="s">
        <v>100</v>
      </c>
      <c r="M383" s="40"/>
      <c r="N383" s="48"/>
      <c r="O383" s="35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17"/>
      <c r="BP383" s="49"/>
      <c r="BQ383" s="17">
        <v>1</v>
      </c>
      <c r="BR383" s="17">
        <f t="shared" si="16"/>
        <v>0</v>
      </c>
      <c r="BS383" s="28">
        <f t="shared" si="17"/>
        <v>0</v>
      </c>
      <c r="BT383" s="28">
        <v>1</v>
      </c>
    </row>
    <row r="384" spans="1:72" ht="15.75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792</v>
      </c>
      <c r="F384" s="33" t="s">
        <v>132</v>
      </c>
      <c r="G384" s="34" t="s">
        <v>99</v>
      </c>
      <c r="H384" s="24">
        <f t="shared" si="15"/>
        <v>0</v>
      </c>
      <c r="I384" s="35"/>
      <c r="J384" s="35"/>
      <c r="K384" s="36"/>
      <c r="L384" s="34" t="s">
        <v>105</v>
      </c>
      <c r="M384" s="40"/>
      <c r="N384" s="48"/>
      <c r="O384" s="35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17"/>
      <c r="BP384" s="49"/>
      <c r="BQ384" s="17">
        <v>1</v>
      </c>
      <c r="BR384" s="17">
        <f t="shared" si="16"/>
        <v>0</v>
      </c>
      <c r="BS384" s="28">
        <f t="shared" si="17"/>
        <v>0</v>
      </c>
      <c r="BT384" s="28">
        <v>1</v>
      </c>
    </row>
    <row r="385" spans="1:72" ht="15.75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588</v>
      </c>
      <c r="F385" s="33" t="s">
        <v>132</v>
      </c>
      <c r="G385" s="34" t="s">
        <v>99</v>
      </c>
      <c r="H385" s="24">
        <f t="shared" si="15"/>
        <v>0</v>
      </c>
      <c r="I385" s="35" t="s">
        <v>808</v>
      </c>
      <c r="J385" s="35"/>
      <c r="K385" s="36"/>
      <c r="L385" s="34" t="s">
        <v>100</v>
      </c>
      <c r="M385" s="40"/>
      <c r="N385" s="48"/>
      <c r="O385" s="35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17"/>
      <c r="BP385" s="49"/>
      <c r="BQ385" s="17">
        <v>1</v>
      </c>
      <c r="BR385" s="17">
        <f t="shared" si="16"/>
        <v>0</v>
      </c>
      <c r="BS385" s="28">
        <f t="shared" si="17"/>
        <v>0</v>
      </c>
      <c r="BT385" s="28">
        <v>1</v>
      </c>
    </row>
    <row r="386" spans="1:72" ht="15.75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633</v>
      </c>
      <c r="F386" s="33" t="s">
        <v>132</v>
      </c>
      <c r="G386" s="34" t="s">
        <v>99</v>
      </c>
      <c r="H386" s="24">
        <f t="shared" si="15"/>
        <v>0</v>
      </c>
      <c r="I386" s="35" t="s">
        <v>808</v>
      </c>
      <c r="J386" s="35"/>
      <c r="K386" s="36"/>
      <c r="L386" s="34" t="s">
        <v>100</v>
      </c>
      <c r="M386" s="40"/>
      <c r="N386" s="48"/>
      <c r="O386" s="35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49"/>
      <c r="BQ386" s="17">
        <v>1</v>
      </c>
      <c r="BR386" s="17">
        <f t="shared" si="16"/>
        <v>0</v>
      </c>
      <c r="BS386" s="28">
        <f t="shared" si="17"/>
        <v>0</v>
      </c>
      <c r="BT386" s="28">
        <v>1</v>
      </c>
    </row>
    <row r="387" spans="1:72" ht="15.75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634</v>
      </c>
      <c r="F387" s="33" t="s">
        <v>132</v>
      </c>
      <c r="G387" s="34" t="s">
        <v>99</v>
      </c>
      <c r="H387" s="24">
        <f t="shared" ref="H387:H450" si="18">IF(BQ387=0," ",(BR387/BQ387))</f>
        <v>0</v>
      </c>
      <c r="I387" s="35" t="s">
        <v>808</v>
      </c>
      <c r="J387" s="35"/>
      <c r="K387" s="36"/>
      <c r="L387" s="34" t="s">
        <v>105</v>
      </c>
      <c r="M387" s="40"/>
      <c r="N387" s="48"/>
      <c r="O387" s="35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49"/>
      <c r="BQ387" s="17">
        <v>1</v>
      </c>
      <c r="BR387" s="17">
        <f t="shared" ref="BR387:BR450" si="19">IF(COUNTA(P387:BP387)&gt;BQ387,BQ387,COUNTA(P387:BP387))</f>
        <v>0</v>
      </c>
      <c r="BS387" s="28">
        <f t="shared" ref="BS387:BS450" si="20">IF(H387=1,1,0)</f>
        <v>0</v>
      </c>
      <c r="BT387" s="28">
        <v>1</v>
      </c>
    </row>
    <row r="388" spans="1:72" ht="15.75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627</v>
      </c>
      <c r="F388" s="33" t="s">
        <v>204</v>
      </c>
      <c r="G388" s="34" t="s">
        <v>127</v>
      </c>
      <c r="H388" s="24">
        <f t="shared" si="18"/>
        <v>0</v>
      </c>
      <c r="I388" s="35"/>
      <c r="J388" s="35" t="s">
        <v>579</v>
      </c>
      <c r="K388" s="36"/>
      <c r="L388" s="34" t="s">
        <v>100</v>
      </c>
      <c r="M388" s="40"/>
      <c r="N388" s="48"/>
      <c r="O388" s="35" t="s">
        <v>579</v>
      </c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49"/>
      <c r="BQ388" s="17">
        <v>2</v>
      </c>
      <c r="BR388" s="17">
        <f t="shared" si="19"/>
        <v>0</v>
      </c>
      <c r="BS388" s="28">
        <f t="shared" si="20"/>
        <v>0</v>
      </c>
      <c r="BT388" s="28">
        <v>1</v>
      </c>
    </row>
    <row r="389" spans="1:72" ht="15.75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629</v>
      </c>
      <c r="F389" s="33" t="s">
        <v>204</v>
      </c>
      <c r="G389" s="34" t="s">
        <v>127</v>
      </c>
      <c r="H389" s="24">
        <f t="shared" si="18"/>
        <v>0</v>
      </c>
      <c r="I389" s="35" t="s">
        <v>808</v>
      </c>
      <c r="J389" s="35" t="s">
        <v>579</v>
      </c>
      <c r="K389" s="36"/>
      <c r="L389" s="34" t="s">
        <v>100</v>
      </c>
      <c r="M389" s="40"/>
      <c r="N389" s="48"/>
      <c r="O389" s="35" t="s">
        <v>579</v>
      </c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49"/>
      <c r="BQ389" s="17">
        <v>2</v>
      </c>
      <c r="BR389" s="17">
        <f t="shared" si="19"/>
        <v>0</v>
      </c>
      <c r="BS389" s="28">
        <f t="shared" si="20"/>
        <v>0</v>
      </c>
      <c r="BT389" s="28">
        <v>1</v>
      </c>
    </row>
    <row r="390" spans="1:72" ht="15.75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630</v>
      </c>
      <c r="F390" s="33" t="s">
        <v>204</v>
      </c>
      <c r="G390" s="34" t="s">
        <v>127</v>
      </c>
      <c r="H390" s="24">
        <f t="shared" si="18"/>
        <v>0</v>
      </c>
      <c r="I390" s="35" t="s">
        <v>808</v>
      </c>
      <c r="J390" s="35" t="s">
        <v>579</v>
      </c>
      <c r="K390" s="36"/>
      <c r="L390" s="34" t="s">
        <v>100</v>
      </c>
      <c r="M390" s="40"/>
      <c r="N390" s="53"/>
      <c r="O390" s="35" t="s">
        <v>579</v>
      </c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49"/>
      <c r="BQ390" s="17">
        <v>2</v>
      </c>
      <c r="BR390" s="17">
        <f t="shared" si="19"/>
        <v>0</v>
      </c>
      <c r="BS390" s="28">
        <f t="shared" si="20"/>
        <v>0</v>
      </c>
      <c r="BT390" s="28">
        <v>1</v>
      </c>
    </row>
    <row r="391" spans="1:72" ht="15.75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631</v>
      </c>
      <c r="F391" s="33" t="s">
        <v>204</v>
      </c>
      <c r="G391" s="34" t="s">
        <v>127</v>
      </c>
      <c r="H391" s="24">
        <f t="shared" si="18"/>
        <v>0</v>
      </c>
      <c r="I391" s="35" t="s">
        <v>808</v>
      </c>
      <c r="J391" s="35" t="s">
        <v>579</v>
      </c>
      <c r="K391" s="36"/>
      <c r="L391" s="34" t="s">
        <v>100</v>
      </c>
      <c r="M391" s="40"/>
      <c r="N391" s="53"/>
      <c r="O391" s="35" t="s">
        <v>579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17"/>
      <c r="BQ391" s="17">
        <v>2</v>
      </c>
      <c r="BR391" s="17">
        <f t="shared" si="19"/>
        <v>0</v>
      </c>
      <c r="BS391" s="28">
        <f t="shared" si="20"/>
        <v>0</v>
      </c>
      <c r="BT391" s="28">
        <v>1</v>
      </c>
    </row>
    <row r="392" spans="1:72" ht="15.75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791</v>
      </c>
      <c r="F392" s="33" t="s">
        <v>204</v>
      </c>
      <c r="G392" s="34" t="s">
        <v>127</v>
      </c>
      <c r="H392" s="24">
        <f t="shared" si="18"/>
        <v>0</v>
      </c>
      <c r="I392" s="35" t="s">
        <v>808</v>
      </c>
      <c r="J392" s="35" t="s">
        <v>579</v>
      </c>
      <c r="K392" s="36"/>
      <c r="L392" s="34" t="s">
        <v>100</v>
      </c>
      <c r="M392" s="40"/>
      <c r="N392" s="53"/>
      <c r="O392" s="35" t="s">
        <v>579</v>
      </c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49"/>
      <c r="BQ392" s="17">
        <v>2</v>
      </c>
      <c r="BR392" s="17">
        <f t="shared" si="19"/>
        <v>0</v>
      </c>
      <c r="BS392" s="28">
        <f t="shared" si="20"/>
        <v>0</v>
      </c>
      <c r="BT392" s="28">
        <v>1</v>
      </c>
    </row>
    <row r="393" spans="1:72" ht="15.75" customHeight="1" x14ac:dyDescent="0.3">
      <c r="A393" s="32" t="s">
        <v>599</v>
      </c>
      <c r="B393" s="33" t="s">
        <v>643</v>
      </c>
      <c r="C393" s="33" t="s">
        <v>554</v>
      </c>
      <c r="D393" s="33" t="s">
        <v>641</v>
      </c>
      <c r="E393" s="33" t="s">
        <v>642</v>
      </c>
      <c r="F393" s="33" t="s">
        <v>132</v>
      </c>
      <c r="G393" s="34" t="s">
        <v>99</v>
      </c>
      <c r="H393" s="24">
        <f t="shared" si="18"/>
        <v>0</v>
      </c>
      <c r="I393" s="35" t="s">
        <v>808</v>
      </c>
      <c r="J393" s="35"/>
      <c r="K393" s="36"/>
      <c r="L393" s="34" t="s">
        <v>100</v>
      </c>
      <c r="M393" s="40"/>
      <c r="N393" s="53"/>
      <c r="O393" s="35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49"/>
      <c r="BQ393" s="17">
        <v>1</v>
      </c>
      <c r="BR393" s="17">
        <f t="shared" si="19"/>
        <v>0</v>
      </c>
      <c r="BS393" s="28">
        <f t="shared" si="20"/>
        <v>0</v>
      </c>
      <c r="BT393" s="28">
        <v>1</v>
      </c>
    </row>
    <row r="394" spans="1:72" ht="15.75" customHeight="1" x14ac:dyDescent="0.3">
      <c r="A394" s="32" t="s">
        <v>599</v>
      </c>
      <c r="B394" s="33" t="s">
        <v>613</v>
      </c>
      <c r="C394" s="33" t="s">
        <v>554</v>
      </c>
      <c r="D394" s="33" t="s">
        <v>601</v>
      </c>
      <c r="E394" s="33" t="s">
        <v>789</v>
      </c>
      <c r="F394" s="33" t="s">
        <v>88</v>
      </c>
      <c r="G394" s="34" t="s">
        <v>127</v>
      </c>
      <c r="H394" s="24">
        <f t="shared" si="18"/>
        <v>0.5</v>
      </c>
      <c r="I394" s="35" t="s">
        <v>808</v>
      </c>
      <c r="J394" s="35"/>
      <c r="K394" s="36"/>
      <c r="L394" s="34" t="s">
        <v>100</v>
      </c>
      <c r="M394" s="40"/>
      <c r="N394" s="51" t="s">
        <v>885</v>
      </c>
      <c r="O394" s="35"/>
      <c r="P394" s="27"/>
      <c r="Q394" s="27"/>
      <c r="R394" s="27" t="s">
        <v>886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17"/>
      <c r="BP394" s="17"/>
      <c r="BQ394" s="17">
        <v>2</v>
      </c>
      <c r="BR394" s="17">
        <f t="shared" si="19"/>
        <v>1</v>
      </c>
      <c r="BS394" s="28">
        <f t="shared" si="20"/>
        <v>0</v>
      </c>
      <c r="BT394" s="28">
        <v>1</v>
      </c>
    </row>
    <row r="395" spans="1:72" ht="15.75" customHeight="1" x14ac:dyDescent="0.3">
      <c r="A395" s="32" t="s">
        <v>599</v>
      </c>
      <c r="B395" s="33" t="s">
        <v>613</v>
      </c>
      <c r="C395" s="33" t="s">
        <v>554</v>
      </c>
      <c r="D395" s="33" t="s">
        <v>601</v>
      </c>
      <c r="E395" s="33" t="s">
        <v>617</v>
      </c>
      <c r="F395" s="33" t="s">
        <v>132</v>
      </c>
      <c r="G395" s="34" t="s">
        <v>99</v>
      </c>
      <c r="H395" s="24">
        <f t="shared" si="18"/>
        <v>0</v>
      </c>
      <c r="I395" s="35" t="s">
        <v>808</v>
      </c>
      <c r="J395" s="35"/>
      <c r="K395" s="36"/>
      <c r="L395" s="34" t="s">
        <v>100</v>
      </c>
      <c r="M395" s="40"/>
      <c r="N395" s="48"/>
      <c r="O395" s="35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17"/>
      <c r="BP395" s="49"/>
      <c r="BQ395" s="17">
        <v>1</v>
      </c>
      <c r="BR395" s="17">
        <f t="shared" si="19"/>
        <v>0</v>
      </c>
      <c r="BS395" s="28">
        <f t="shared" si="20"/>
        <v>0</v>
      </c>
      <c r="BT395" s="28">
        <v>1</v>
      </c>
    </row>
    <row r="396" spans="1:72" ht="15.75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618</v>
      </c>
      <c r="F396" s="33" t="s">
        <v>132</v>
      </c>
      <c r="G396" s="34" t="s">
        <v>99</v>
      </c>
      <c r="H396" s="24">
        <f t="shared" si="18"/>
        <v>0</v>
      </c>
      <c r="I396" s="35" t="s">
        <v>808</v>
      </c>
      <c r="J396" s="35"/>
      <c r="K396" s="36"/>
      <c r="L396" s="34" t="s">
        <v>100</v>
      </c>
      <c r="M396" s="40"/>
      <c r="N396" s="48"/>
      <c r="O396" s="35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17"/>
      <c r="BP396" s="17"/>
      <c r="BQ396" s="17">
        <v>1</v>
      </c>
      <c r="BR396" s="17">
        <f t="shared" si="19"/>
        <v>0</v>
      </c>
      <c r="BS396" s="28">
        <f t="shared" si="20"/>
        <v>0</v>
      </c>
      <c r="BT396" s="28">
        <v>1</v>
      </c>
    </row>
    <row r="397" spans="1:72" ht="15.75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619</v>
      </c>
      <c r="F397" s="33" t="s">
        <v>132</v>
      </c>
      <c r="G397" s="34" t="s">
        <v>99</v>
      </c>
      <c r="H397" s="24">
        <f t="shared" si="18"/>
        <v>0</v>
      </c>
      <c r="I397" s="35" t="s">
        <v>808</v>
      </c>
      <c r="J397" s="35"/>
      <c r="K397" s="36"/>
      <c r="L397" s="34" t="s">
        <v>105</v>
      </c>
      <c r="M397" s="40"/>
      <c r="N397" s="48"/>
      <c r="O397" s="35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17"/>
      <c r="BP397" s="49"/>
      <c r="BQ397" s="17">
        <v>1</v>
      </c>
      <c r="BR397" s="17">
        <f t="shared" si="19"/>
        <v>0</v>
      </c>
      <c r="BS397" s="28">
        <f t="shared" si="20"/>
        <v>0</v>
      </c>
      <c r="BT397" s="28">
        <v>1</v>
      </c>
    </row>
    <row r="398" spans="1:72" ht="15.75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602</v>
      </c>
      <c r="F398" s="33" t="s">
        <v>672</v>
      </c>
      <c r="G398" s="34" t="s">
        <v>673</v>
      </c>
      <c r="H398" s="24">
        <f t="shared" si="18"/>
        <v>0.25</v>
      </c>
      <c r="I398" s="35"/>
      <c r="J398" s="35"/>
      <c r="K398" s="36"/>
      <c r="L398" s="34" t="s">
        <v>100</v>
      </c>
      <c r="M398" s="40"/>
      <c r="N398" s="51" t="s">
        <v>871</v>
      </c>
      <c r="O398" s="35" t="s">
        <v>604</v>
      </c>
      <c r="P398" s="27"/>
      <c r="Q398" s="27"/>
      <c r="R398" s="27"/>
      <c r="S398" s="27" t="s">
        <v>865</v>
      </c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17"/>
      <c r="BP398" s="17"/>
      <c r="BQ398" s="17">
        <v>4</v>
      </c>
      <c r="BR398" s="17">
        <f t="shared" si="19"/>
        <v>1</v>
      </c>
      <c r="BS398" s="28">
        <f t="shared" si="20"/>
        <v>0</v>
      </c>
      <c r="BT398" s="28">
        <v>1</v>
      </c>
    </row>
    <row r="399" spans="1:72" ht="15.75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793</v>
      </c>
      <c r="F399" s="33" t="s">
        <v>672</v>
      </c>
      <c r="G399" s="34" t="s">
        <v>673</v>
      </c>
      <c r="H399" s="24">
        <f t="shared" si="18"/>
        <v>0.25</v>
      </c>
      <c r="I399" s="35"/>
      <c r="J399" s="35" t="s">
        <v>648</v>
      </c>
      <c r="K399" s="36"/>
      <c r="L399" s="34" t="s">
        <v>100</v>
      </c>
      <c r="M399" s="40"/>
      <c r="N399" s="40" t="s">
        <v>869</v>
      </c>
      <c r="O399" s="35" t="s">
        <v>649</v>
      </c>
      <c r="P399" s="27"/>
      <c r="Q399" s="27"/>
      <c r="R399" s="27"/>
      <c r="S399" s="27" t="s">
        <v>865</v>
      </c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17"/>
      <c r="BP399" s="17"/>
      <c r="BQ399" s="17">
        <v>4</v>
      </c>
      <c r="BR399" s="17">
        <f t="shared" si="19"/>
        <v>1</v>
      </c>
      <c r="BS399" s="28">
        <f t="shared" si="20"/>
        <v>0</v>
      </c>
      <c r="BT399" s="28">
        <v>1</v>
      </c>
    </row>
    <row r="400" spans="1:72" ht="15.75" customHeight="1" x14ac:dyDescent="0.3">
      <c r="A400" s="32" t="s">
        <v>599</v>
      </c>
      <c r="B400" s="33" t="s">
        <v>636</v>
      </c>
      <c r="C400" s="33" t="s">
        <v>556</v>
      </c>
      <c r="D400" s="33" t="s">
        <v>625</v>
      </c>
      <c r="E400" s="33" t="s">
        <v>626</v>
      </c>
      <c r="F400" s="33" t="s">
        <v>132</v>
      </c>
      <c r="G400" s="34" t="s">
        <v>99</v>
      </c>
      <c r="H400" s="24">
        <f t="shared" si="18"/>
        <v>0</v>
      </c>
      <c r="I400" s="35" t="s">
        <v>808</v>
      </c>
      <c r="J400" s="35"/>
      <c r="K400" s="36"/>
      <c r="L400" s="34" t="s">
        <v>105</v>
      </c>
      <c r="M400" s="40"/>
      <c r="N400" s="48"/>
      <c r="O400" s="35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17"/>
      <c r="BQ400" s="17">
        <v>1</v>
      </c>
      <c r="BR400" s="17">
        <f t="shared" si="19"/>
        <v>0</v>
      </c>
      <c r="BS400" s="28">
        <f t="shared" si="20"/>
        <v>0</v>
      </c>
      <c r="BT400" s="28">
        <v>1</v>
      </c>
    </row>
    <row r="401" spans="1:72" ht="15.75" customHeight="1" x14ac:dyDescent="0.3">
      <c r="A401" s="32" t="s">
        <v>599</v>
      </c>
      <c r="B401" s="33" t="s">
        <v>636</v>
      </c>
      <c r="C401" s="33" t="s">
        <v>556</v>
      </c>
      <c r="D401" s="33" t="s">
        <v>625</v>
      </c>
      <c r="E401" s="33" t="s">
        <v>790</v>
      </c>
      <c r="F401" s="33" t="s">
        <v>132</v>
      </c>
      <c r="G401" s="34" t="s">
        <v>99</v>
      </c>
      <c r="H401" s="24">
        <f t="shared" si="18"/>
        <v>0</v>
      </c>
      <c r="I401" s="35"/>
      <c r="J401" s="35"/>
      <c r="K401" s="36"/>
      <c r="L401" s="34" t="s">
        <v>100</v>
      </c>
      <c r="M401" s="40"/>
      <c r="N401" s="48"/>
      <c r="O401" s="35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17"/>
      <c r="BQ401" s="17">
        <v>1</v>
      </c>
      <c r="BR401" s="17">
        <f t="shared" si="19"/>
        <v>0</v>
      </c>
      <c r="BS401" s="28">
        <f t="shared" si="20"/>
        <v>0</v>
      </c>
      <c r="BT401" s="28">
        <v>1</v>
      </c>
    </row>
    <row r="402" spans="1:72" ht="15.75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628</v>
      </c>
      <c r="F402" s="33" t="s">
        <v>132</v>
      </c>
      <c r="G402" s="34" t="s">
        <v>99</v>
      </c>
      <c r="H402" s="24">
        <f t="shared" si="18"/>
        <v>0</v>
      </c>
      <c r="I402" s="35" t="s">
        <v>808</v>
      </c>
      <c r="J402" s="35"/>
      <c r="K402" s="36"/>
      <c r="L402" s="34" t="s">
        <v>105</v>
      </c>
      <c r="M402" s="40"/>
      <c r="N402" s="53"/>
      <c r="O402" s="35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49"/>
      <c r="BQ402" s="17">
        <v>1</v>
      </c>
      <c r="BR402" s="17">
        <f t="shared" si="19"/>
        <v>0</v>
      </c>
      <c r="BS402" s="28">
        <f t="shared" si="20"/>
        <v>0</v>
      </c>
      <c r="BT402" s="28">
        <v>1</v>
      </c>
    </row>
    <row r="403" spans="1:72" ht="15.75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632</v>
      </c>
      <c r="F403" s="33" t="s">
        <v>132</v>
      </c>
      <c r="G403" s="34" t="s">
        <v>99</v>
      </c>
      <c r="H403" s="24">
        <f t="shared" si="18"/>
        <v>0</v>
      </c>
      <c r="I403" s="35"/>
      <c r="J403" s="35"/>
      <c r="K403" s="36"/>
      <c r="L403" s="34" t="s">
        <v>100</v>
      </c>
      <c r="M403" s="40"/>
      <c r="N403" s="48"/>
      <c r="O403" s="35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17"/>
      <c r="BP403" s="49"/>
      <c r="BQ403" s="17">
        <v>1</v>
      </c>
      <c r="BR403" s="17">
        <f t="shared" si="19"/>
        <v>0</v>
      </c>
      <c r="BS403" s="28">
        <f t="shared" si="20"/>
        <v>0</v>
      </c>
      <c r="BT403" s="28">
        <v>1</v>
      </c>
    </row>
    <row r="404" spans="1:72" ht="15.75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792</v>
      </c>
      <c r="F404" s="33" t="s">
        <v>132</v>
      </c>
      <c r="G404" s="34" t="s">
        <v>99</v>
      </c>
      <c r="H404" s="24">
        <f t="shared" si="18"/>
        <v>0</v>
      </c>
      <c r="I404" s="35"/>
      <c r="J404" s="35"/>
      <c r="K404" s="36"/>
      <c r="L404" s="34" t="s">
        <v>105</v>
      </c>
      <c r="M404" s="40"/>
      <c r="N404" s="53"/>
      <c r="O404" s="35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17"/>
      <c r="BP404" s="49"/>
      <c r="BQ404" s="17">
        <v>1</v>
      </c>
      <c r="BR404" s="17">
        <f t="shared" si="19"/>
        <v>0</v>
      </c>
      <c r="BS404" s="28">
        <f t="shared" si="20"/>
        <v>0</v>
      </c>
      <c r="BT404" s="28">
        <v>1</v>
      </c>
    </row>
    <row r="405" spans="1:72" ht="15.75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588</v>
      </c>
      <c r="F405" s="33" t="s">
        <v>132</v>
      </c>
      <c r="G405" s="34" t="s">
        <v>99</v>
      </c>
      <c r="H405" s="24">
        <f t="shared" si="18"/>
        <v>0</v>
      </c>
      <c r="I405" s="35" t="s">
        <v>808</v>
      </c>
      <c r="J405" s="35"/>
      <c r="K405" s="36"/>
      <c r="L405" s="34" t="s">
        <v>100</v>
      </c>
      <c r="M405" s="40"/>
      <c r="N405" s="53"/>
      <c r="O405" s="35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17"/>
      <c r="BP405" s="49"/>
      <c r="BQ405" s="17">
        <v>1</v>
      </c>
      <c r="BR405" s="17">
        <f t="shared" si="19"/>
        <v>0</v>
      </c>
      <c r="BS405" s="28">
        <f t="shared" si="20"/>
        <v>0</v>
      </c>
      <c r="BT405" s="28">
        <v>1</v>
      </c>
    </row>
    <row r="406" spans="1:72" ht="15.75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633</v>
      </c>
      <c r="F406" s="33" t="s">
        <v>132</v>
      </c>
      <c r="G406" s="34" t="s">
        <v>99</v>
      </c>
      <c r="H406" s="24">
        <f t="shared" si="18"/>
        <v>0</v>
      </c>
      <c r="I406" s="35" t="s">
        <v>808</v>
      </c>
      <c r="J406" s="35"/>
      <c r="K406" s="36"/>
      <c r="L406" s="34" t="s">
        <v>100</v>
      </c>
      <c r="M406" s="40"/>
      <c r="N406" s="53"/>
      <c r="O406" s="35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49"/>
      <c r="BQ406" s="17">
        <v>1</v>
      </c>
      <c r="BR406" s="17">
        <f t="shared" si="19"/>
        <v>0</v>
      </c>
      <c r="BS406" s="28">
        <f t="shared" si="20"/>
        <v>0</v>
      </c>
      <c r="BT406" s="28">
        <v>1</v>
      </c>
    </row>
    <row r="407" spans="1:72" ht="15.75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634</v>
      </c>
      <c r="F407" s="33" t="s">
        <v>132</v>
      </c>
      <c r="G407" s="34" t="s">
        <v>99</v>
      </c>
      <c r="H407" s="24">
        <f t="shared" si="18"/>
        <v>0</v>
      </c>
      <c r="I407" s="35" t="s">
        <v>808</v>
      </c>
      <c r="J407" s="35"/>
      <c r="K407" s="36"/>
      <c r="L407" s="34" t="s">
        <v>105</v>
      </c>
      <c r="M407" s="40"/>
      <c r="N407" s="53"/>
      <c r="O407" s="35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49"/>
      <c r="BQ407" s="17">
        <v>1</v>
      </c>
      <c r="BR407" s="17">
        <f t="shared" si="19"/>
        <v>0</v>
      </c>
      <c r="BS407" s="28">
        <f t="shared" si="20"/>
        <v>0</v>
      </c>
      <c r="BT407" s="28">
        <v>1</v>
      </c>
    </row>
    <row r="408" spans="1:72" ht="15.75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627</v>
      </c>
      <c r="F408" s="33" t="s">
        <v>204</v>
      </c>
      <c r="G408" s="34" t="s">
        <v>127</v>
      </c>
      <c r="H408" s="24">
        <f t="shared" si="18"/>
        <v>0</v>
      </c>
      <c r="I408" s="35"/>
      <c r="J408" s="35" t="s">
        <v>579</v>
      </c>
      <c r="K408" s="36"/>
      <c r="L408" s="34" t="s">
        <v>100</v>
      </c>
      <c r="M408" s="40"/>
      <c r="N408" s="53"/>
      <c r="O408" s="35" t="s">
        <v>579</v>
      </c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80"/>
      <c r="BP408" s="49"/>
      <c r="BQ408" s="17">
        <v>2</v>
      </c>
      <c r="BR408" s="17">
        <f t="shared" si="19"/>
        <v>0</v>
      </c>
      <c r="BS408" s="28">
        <f t="shared" si="20"/>
        <v>0</v>
      </c>
      <c r="BT408" s="28">
        <v>1</v>
      </c>
    </row>
    <row r="409" spans="1:72" ht="15.75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629</v>
      </c>
      <c r="F409" s="33" t="s">
        <v>204</v>
      </c>
      <c r="G409" s="34" t="s">
        <v>127</v>
      </c>
      <c r="H409" s="24">
        <f t="shared" si="18"/>
        <v>0</v>
      </c>
      <c r="I409" s="35"/>
      <c r="J409" s="35" t="s">
        <v>579</v>
      </c>
      <c r="K409" s="36"/>
      <c r="L409" s="34" t="s">
        <v>100</v>
      </c>
      <c r="M409" s="40"/>
      <c r="N409" s="53"/>
      <c r="O409" s="35" t="s">
        <v>579</v>
      </c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80"/>
      <c r="BP409" s="49"/>
      <c r="BQ409" s="17">
        <v>2</v>
      </c>
      <c r="BR409" s="17">
        <f t="shared" si="19"/>
        <v>0</v>
      </c>
      <c r="BS409" s="28">
        <f t="shared" si="20"/>
        <v>0</v>
      </c>
      <c r="BT409" s="28">
        <v>1</v>
      </c>
    </row>
    <row r="410" spans="1:72" ht="15.75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630</v>
      </c>
      <c r="F410" s="33" t="s">
        <v>204</v>
      </c>
      <c r="G410" s="34" t="s">
        <v>127</v>
      </c>
      <c r="H410" s="24">
        <f t="shared" si="18"/>
        <v>0</v>
      </c>
      <c r="I410" s="35" t="s">
        <v>808</v>
      </c>
      <c r="J410" s="35" t="s">
        <v>579</v>
      </c>
      <c r="K410" s="36"/>
      <c r="L410" s="34" t="s">
        <v>100</v>
      </c>
      <c r="M410" s="40"/>
      <c r="N410" s="48"/>
      <c r="O410" s="35" t="s">
        <v>579</v>
      </c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17"/>
      <c r="BQ410" s="17">
        <v>2</v>
      </c>
      <c r="BR410" s="17">
        <f t="shared" si="19"/>
        <v>0</v>
      </c>
      <c r="BS410" s="28">
        <f t="shared" si="20"/>
        <v>0</v>
      </c>
      <c r="BT410" s="28">
        <v>1</v>
      </c>
    </row>
    <row r="411" spans="1:72" ht="15.75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631</v>
      </c>
      <c r="F411" s="33" t="s">
        <v>204</v>
      </c>
      <c r="G411" s="34" t="s">
        <v>127</v>
      </c>
      <c r="H411" s="24">
        <f t="shared" si="18"/>
        <v>0</v>
      </c>
      <c r="I411" s="35" t="s">
        <v>808</v>
      </c>
      <c r="J411" s="35" t="s">
        <v>579</v>
      </c>
      <c r="K411" s="36"/>
      <c r="L411" s="34" t="s">
        <v>100</v>
      </c>
      <c r="M411" s="40"/>
      <c r="N411" s="48"/>
      <c r="O411" s="35" t="s">
        <v>579</v>
      </c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49"/>
      <c r="BQ411" s="17">
        <v>2</v>
      </c>
      <c r="BR411" s="17">
        <f t="shared" si="19"/>
        <v>0</v>
      </c>
      <c r="BS411" s="28">
        <f t="shared" si="20"/>
        <v>0</v>
      </c>
      <c r="BT411" s="28">
        <v>1</v>
      </c>
    </row>
    <row r="412" spans="1:72" ht="15.75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791</v>
      </c>
      <c r="F412" s="33" t="s">
        <v>204</v>
      </c>
      <c r="G412" s="34" t="s">
        <v>127</v>
      </c>
      <c r="H412" s="24">
        <f t="shared" si="18"/>
        <v>0</v>
      </c>
      <c r="I412" s="35" t="s">
        <v>808</v>
      </c>
      <c r="J412" s="35" t="s">
        <v>579</v>
      </c>
      <c r="K412" s="36"/>
      <c r="L412" s="34" t="s">
        <v>100</v>
      </c>
      <c r="M412" s="40"/>
      <c r="N412" s="48"/>
      <c r="O412" s="35" t="s">
        <v>579</v>
      </c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17"/>
      <c r="BQ412" s="17">
        <v>2</v>
      </c>
      <c r="BR412" s="17">
        <f t="shared" si="19"/>
        <v>0</v>
      </c>
      <c r="BS412" s="28">
        <f t="shared" si="20"/>
        <v>0</v>
      </c>
      <c r="BT412" s="28">
        <v>1</v>
      </c>
    </row>
    <row r="413" spans="1:72" ht="15.75" customHeight="1" x14ac:dyDescent="0.3">
      <c r="A413" s="32" t="s">
        <v>599</v>
      </c>
      <c r="B413" s="33" t="s">
        <v>644</v>
      </c>
      <c r="C413" s="33" t="s">
        <v>556</v>
      </c>
      <c r="D413" s="33" t="s">
        <v>641</v>
      </c>
      <c r="E413" s="33" t="s">
        <v>642</v>
      </c>
      <c r="F413" s="33" t="s">
        <v>132</v>
      </c>
      <c r="G413" s="34" t="s">
        <v>99</v>
      </c>
      <c r="H413" s="24">
        <f t="shared" si="18"/>
        <v>0</v>
      </c>
      <c r="I413" s="35" t="s">
        <v>808</v>
      </c>
      <c r="J413" s="35"/>
      <c r="K413" s="36"/>
      <c r="L413" s="34" t="s">
        <v>100</v>
      </c>
      <c r="M413" s="40"/>
      <c r="N413" s="48"/>
      <c r="O413" s="35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17"/>
      <c r="BQ413" s="17">
        <v>1</v>
      </c>
      <c r="BR413" s="17">
        <f t="shared" si="19"/>
        <v>0</v>
      </c>
      <c r="BS413" s="28">
        <f t="shared" si="20"/>
        <v>0</v>
      </c>
      <c r="BT413" s="28">
        <v>1</v>
      </c>
    </row>
    <row r="414" spans="1:72" ht="15.75" customHeight="1" x14ac:dyDescent="0.3">
      <c r="A414" s="32" t="s">
        <v>599</v>
      </c>
      <c r="B414" s="33" t="s">
        <v>600</v>
      </c>
      <c r="C414" s="33" t="s">
        <v>556</v>
      </c>
      <c r="D414" s="33" t="s">
        <v>601</v>
      </c>
      <c r="E414" s="33" t="s">
        <v>789</v>
      </c>
      <c r="F414" s="33" t="s">
        <v>88</v>
      </c>
      <c r="G414" s="34" t="s">
        <v>127</v>
      </c>
      <c r="H414" s="24">
        <f t="shared" si="18"/>
        <v>0</v>
      </c>
      <c r="I414" s="35"/>
      <c r="J414" s="35"/>
      <c r="K414" s="36"/>
      <c r="L414" s="34" t="s">
        <v>100</v>
      </c>
      <c r="M414" s="40"/>
      <c r="N414" s="51" t="s">
        <v>883</v>
      </c>
      <c r="O414" s="35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17"/>
      <c r="BP414" s="17"/>
      <c r="BQ414" s="17">
        <v>2</v>
      </c>
      <c r="BR414" s="17">
        <f t="shared" si="19"/>
        <v>0</v>
      </c>
      <c r="BS414" s="28">
        <f t="shared" si="20"/>
        <v>0</v>
      </c>
      <c r="BT414" s="28">
        <v>1</v>
      </c>
    </row>
    <row r="415" spans="1:72" ht="15.75" customHeight="1" x14ac:dyDescent="0.3">
      <c r="A415" s="32" t="s">
        <v>599</v>
      </c>
      <c r="B415" s="33" t="s">
        <v>600</v>
      </c>
      <c r="C415" s="33" t="s">
        <v>556</v>
      </c>
      <c r="D415" s="33" t="s">
        <v>601</v>
      </c>
      <c r="E415" s="33" t="s">
        <v>617</v>
      </c>
      <c r="F415" s="33" t="s">
        <v>132</v>
      </c>
      <c r="G415" s="34" t="s">
        <v>99</v>
      </c>
      <c r="H415" s="24">
        <f t="shared" si="18"/>
        <v>0</v>
      </c>
      <c r="I415" s="35" t="s">
        <v>808</v>
      </c>
      <c r="J415" s="35"/>
      <c r="K415" s="36"/>
      <c r="L415" s="34" t="s">
        <v>100</v>
      </c>
      <c r="M415" s="40"/>
      <c r="N415" s="53"/>
      <c r="O415" s="35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17"/>
      <c r="BP415" s="17"/>
      <c r="BQ415" s="17">
        <v>1</v>
      </c>
      <c r="BR415" s="17">
        <f t="shared" si="19"/>
        <v>0</v>
      </c>
      <c r="BS415" s="28">
        <f t="shared" si="20"/>
        <v>0</v>
      </c>
      <c r="BT415" s="28">
        <v>1</v>
      </c>
    </row>
    <row r="416" spans="1:72" ht="15.75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619</v>
      </c>
      <c r="F416" s="33" t="s">
        <v>132</v>
      </c>
      <c r="G416" s="34" t="s">
        <v>99</v>
      </c>
      <c r="H416" s="24">
        <f t="shared" si="18"/>
        <v>0</v>
      </c>
      <c r="I416" s="35" t="s">
        <v>808</v>
      </c>
      <c r="J416" s="35"/>
      <c r="K416" s="36"/>
      <c r="L416" s="34" t="s">
        <v>105</v>
      </c>
      <c r="M416" s="40"/>
      <c r="N416" s="48"/>
      <c r="O416" s="35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17"/>
      <c r="BP416" s="27"/>
      <c r="BQ416" s="17">
        <v>1</v>
      </c>
      <c r="BR416" s="17">
        <f t="shared" si="19"/>
        <v>0</v>
      </c>
      <c r="BS416" s="28">
        <f t="shared" si="20"/>
        <v>0</v>
      </c>
      <c r="BT416" s="28">
        <v>1</v>
      </c>
    </row>
    <row r="417" spans="1:72" ht="15.75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602</v>
      </c>
      <c r="F417" s="33" t="s">
        <v>672</v>
      </c>
      <c r="G417" s="34" t="s">
        <v>673</v>
      </c>
      <c r="H417" s="24">
        <f t="shared" si="18"/>
        <v>0.25</v>
      </c>
      <c r="I417" s="35"/>
      <c r="J417" s="35"/>
      <c r="K417" s="36"/>
      <c r="L417" s="34" t="s">
        <v>100</v>
      </c>
      <c r="M417" s="40"/>
      <c r="N417" s="51" t="s">
        <v>871</v>
      </c>
      <c r="O417" s="35" t="s">
        <v>604</v>
      </c>
      <c r="P417" s="27"/>
      <c r="Q417" s="27"/>
      <c r="R417" s="27"/>
      <c r="S417" s="27" t="s">
        <v>865</v>
      </c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17"/>
      <c r="BP417" s="17"/>
      <c r="BQ417" s="17">
        <v>4</v>
      </c>
      <c r="BR417" s="17">
        <f t="shared" si="19"/>
        <v>1</v>
      </c>
      <c r="BS417" s="28">
        <f t="shared" si="20"/>
        <v>0</v>
      </c>
      <c r="BT417" s="28">
        <v>1</v>
      </c>
    </row>
    <row r="418" spans="1:72" ht="15.75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605</v>
      </c>
      <c r="F418" s="43" t="s">
        <v>672</v>
      </c>
      <c r="G418" s="34" t="s">
        <v>673</v>
      </c>
      <c r="H418" s="24" t="str">
        <f t="shared" si="18"/>
        <v xml:space="preserve"> </v>
      </c>
      <c r="I418" s="35"/>
      <c r="J418" s="35"/>
      <c r="K418" s="36"/>
      <c r="L418" s="34" t="s">
        <v>100</v>
      </c>
      <c r="M418" s="40"/>
      <c r="N418" s="51" t="s">
        <v>866</v>
      </c>
      <c r="O418" s="35" t="s">
        <v>606</v>
      </c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54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54"/>
      <c r="BE418" s="27"/>
      <c r="BF418" s="27"/>
      <c r="BG418" s="27"/>
      <c r="BH418" s="27"/>
      <c r="BI418" s="27"/>
      <c r="BJ418" s="27"/>
      <c r="BK418" s="27"/>
      <c r="BL418" s="54"/>
      <c r="BM418" s="27"/>
      <c r="BN418" s="27"/>
      <c r="BO418" s="17"/>
      <c r="BP418" s="17"/>
      <c r="BQ418" s="109">
        <v>0</v>
      </c>
      <c r="BR418" s="17">
        <f t="shared" si="19"/>
        <v>0</v>
      </c>
      <c r="BS418" s="28">
        <f t="shared" si="20"/>
        <v>0</v>
      </c>
      <c r="BT418" s="28">
        <v>1</v>
      </c>
    </row>
    <row r="419" spans="1:72" ht="15.75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793</v>
      </c>
      <c r="F419" s="33" t="s">
        <v>672</v>
      </c>
      <c r="G419" s="34" t="s">
        <v>673</v>
      </c>
      <c r="H419" s="24">
        <f t="shared" si="18"/>
        <v>0.25</v>
      </c>
      <c r="I419" s="35"/>
      <c r="J419" s="35" t="s">
        <v>648</v>
      </c>
      <c r="K419" s="36"/>
      <c r="L419" s="34" t="s">
        <v>100</v>
      </c>
      <c r="M419" s="40"/>
      <c r="N419" s="40" t="s">
        <v>869</v>
      </c>
      <c r="O419" s="35" t="s">
        <v>649</v>
      </c>
      <c r="P419" s="27"/>
      <c r="Q419" s="27"/>
      <c r="R419" s="27"/>
      <c r="S419" s="27" t="s">
        <v>865</v>
      </c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17"/>
      <c r="BP419" s="27"/>
      <c r="BQ419" s="17">
        <v>4</v>
      </c>
      <c r="BR419" s="17">
        <f t="shared" si="19"/>
        <v>1</v>
      </c>
      <c r="BS419" s="28">
        <f t="shared" si="20"/>
        <v>0</v>
      </c>
      <c r="BT419" s="28">
        <v>1</v>
      </c>
    </row>
    <row r="420" spans="1:72" ht="15.75" customHeight="1" x14ac:dyDescent="0.3">
      <c r="A420" s="32" t="s">
        <v>599</v>
      </c>
      <c r="B420" s="33" t="s">
        <v>637</v>
      </c>
      <c r="C420" s="33" t="s">
        <v>558</v>
      </c>
      <c r="D420" s="33" t="s">
        <v>625</v>
      </c>
      <c r="E420" s="33" t="s">
        <v>626</v>
      </c>
      <c r="F420" s="33" t="s">
        <v>132</v>
      </c>
      <c r="G420" s="34" t="s">
        <v>99</v>
      </c>
      <c r="H420" s="24">
        <f t="shared" si="18"/>
        <v>0</v>
      </c>
      <c r="I420" s="35" t="s">
        <v>808</v>
      </c>
      <c r="J420" s="35"/>
      <c r="K420" s="36"/>
      <c r="L420" s="34" t="s">
        <v>105</v>
      </c>
      <c r="M420" s="40"/>
      <c r="N420" s="48"/>
      <c r="O420" s="35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17"/>
      <c r="BQ420" s="17">
        <v>1</v>
      </c>
      <c r="BR420" s="17">
        <f t="shared" si="19"/>
        <v>0</v>
      </c>
      <c r="BS420" s="28">
        <f t="shared" si="20"/>
        <v>0</v>
      </c>
      <c r="BT420" s="28">
        <v>1</v>
      </c>
    </row>
    <row r="421" spans="1:72" ht="15.75" customHeight="1" x14ac:dyDescent="0.3">
      <c r="A421" s="32" t="s">
        <v>599</v>
      </c>
      <c r="B421" s="33" t="s">
        <v>637</v>
      </c>
      <c r="C421" s="33" t="s">
        <v>558</v>
      </c>
      <c r="D421" s="33" t="s">
        <v>625</v>
      </c>
      <c r="E421" s="33" t="s">
        <v>790</v>
      </c>
      <c r="F421" s="33" t="s">
        <v>132</v>
      </c>
      <c r="G421" s="34" t="s">
        <v>99</v>
      </c>
      <c r="H421" s="24">
        <f t="shared" si="18"/>
        <v>0</v>
      </c>
      <c r="I421" s="35"/>
      <c r="J421" s="35"/>
      <c r="K421" s="36"/>
      <c r="L421" s="34" t="s">
        <v>100</v>
      </c>
      <c r="M421" s="40"/>
      <c r="N421" s="48"/>
      <c r="O421" s="35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17"/>
      <c r="BQ421" s="17">
        <v>1</v>
      </c>
      <c r="BR421" s="17">
        <f t="shared" si="19"/>
        <v>0</v>
      </c>
      <c r="BS421" s="28">
        <f t="shared" si="20"/>
        <v>0</v>
      </c>
      <c r="BT421" s="28">
        <v>1</v>
      </c>
    </row>
    <row r="422" spans="1:72" ht="15.75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628</v>
      </c>
      <c r="F422" s="33" t="s">
        <v>132</v>
      </c>
      <c r="G422" s="34" t="s">
        <v>99</v>
      </c>
      <c r="H422" s="24">
        <f t="shared" si="18"/>
        <v>0</v>
      </c>
      <c r="I422" s="35" t="s">
        <v>808</v>
      </c>
      <c r="J422" s="35"/>
      <c r="K422" s="36"/>
      <c r="L422" s="34" t="s">
        <v>105</v>
      </c>
      <c r="M422" s="40"/>
      <c r="N422" s="53"/>
      <c r="O422" s="35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17"/>
      <c r="BQ422" s="17">
        <v>1</v>
      </c>
      <c r="BR422" s="17">
        <f t="shared" si="19"/>
        <v>0</v>
      </c>
      <c r="BS422" s="28">
        <f t="shared" si="20"/>
        <v>0</v>
      </c>
      <c r="BT422" s="28">
        <v>1</v>
      </c>
    </row>
    <row r="423" spans="1:72" ht="15.75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632</v>
      </c>
      <c r="F423" s="33" t="s">
        <v>132</v>
      </c>
      <c r="G423" s="34" t="s">
        <v>99</v>
      </c>
      <c r="H423" s="24">
        <f t="shared" si="18"/>
        <v>0</v>
      </c>
      <c r="I423" s="35"/>
      <c r="J423" s="35"/>
      <c r="K423" s="36"/>
      <c r="L423" s="34" t="s">
        <v>100</v>
      </c>
      <c r="M423" s="40"/>
      <c r="N423" s="53"/>
      <c r="O423" s="35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17"/>
      <c r="BP423" s="17"/>
      <c r="BQ423" s="17">
        <v>1</v>
      </c>
      <c r="BR423" s="17">
        <f t="shared" si="19"/>
        <v>0</v>
      </c>
      <c r="BS423" s="28">
        <f t="shared" si="20"/>
        <v>0</v>
      </c>
      <c r="BT423" s="28">
        <v>1</v>
      </c>
    </row>
    <row r="424" spans="1:72" ht="15.75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792</v>
      </c>
      <c r="F424" s="33" t="s">
        <v>132</v>
      </c>
      <c r="G424" s="34" t="s">
        <v>99</v>
      </c>
      <c r="H424" s="24">
        <f t="shared" si="18"/>
        <v>0</v>
      </c>
      <c r="I424" s="35"/>
      <c r="J424" s="35"/>
      <c r="K424" s="36"/>
      <c r="L424" s="34" t="s">
        <v>105</v>
      </c>
      <c r="M424" s="40"/>
      <c r="N424" s="53"/>
      <c r="O424" s="35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17"/>
      <c r="BP424" s="17"/>
      <c r="BQ424" s="17">
        <v>1</v>
      </c>
      <c r="BR424" s="17">
        <f t="shared" si="19"/>
        <v>0</v>
      </c>
      <c r="BS424" s="28">
        <f t="shared" si="20"/>
        <v>0</v>
      </c>
      <c r="BT424" s="28">
        <v>1</v>
      </c>
    </row>
    <row r="425" spans="1:72" ht="15.75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588</v>
      </c>
      <c r="F425" s="33" t="s">
        <v>132</v>
      </c>
      <c r="G425" s="34" t="s">
        <v>99</v>
      </c>
      <c r="H425" s="24">
        <f t="shared" si="18"/>
        <v>0</v>
      </c>
      <c r="I425" s="35" t="s">
        <v>808</v>
      </c>
      <c r="J425" s="35"/>
      <c r="K425" s="36"/>
      <c r="L425" s="34" t="s">
        <v>100</v>
      </c>
      <c r="M425" s="40"/>
      <c r="N425" s="53"/>
      <c r="O425" s="35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17"/>
      <c r="BP425" s="17"/>
      <c r="BQ425" s="17">
        <v>1</v>
      </c>
      <c r="BR425" s="17">
        <f t="shared" si="19"/>
        <v>0</v>
      </c>
      <c r="BS425" s="28">
        <f t="shared" si="20"/>
        <v>0</v>
      </c>
      <c r="BT425" s="28">
        <v>1</v>
      </c>
    </row>
    <row r="426" spans="1:72" ht="15.75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633</v>
      </c>
      <c r="F426" s="33" t="s">
        <v>132</v>
      </c>
      <c r="G426" s="34" t="s">
        <v>99</v>
      </c>
      <c r="H426" s="24">
        <f t="shared" si="18"/>
        <v>0</v>
      </c>
      <c r="I426" s="35" t="s">
        <v>808</v>
      </c>
      <c r="J426" s="35"/>
      <c r="K426" s="36"/>
      <c r="L426" s="34" t="s">
        <v>100</v>
      </c>
      <c r="M426" s="40"/>
      <c r="N426" s="53"/>
      <c r="O426" s="35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17"/>
      <c r="BQ426" s="17">
        <v>1</v>
      </c>
      <c r="BR426" s="17">
        <f t="shared" si="19"/>
        <v>0</v>
      </c>
      <c r="BS426" s="28">
        <f t="shared" si="20"/>
        <v>0</v>
      </c>
      <c r="BT426" s="28">
        <v>1</v>
      </c>
    </row>
    <row r="427" spans="1:72" ht="15.75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634</v>
      </c>
      <c r="F427" s="33" t="s">
        <v>132</v>
      </c>
      <c r="G427" s="34" t="s">
        <v>99</v>
      </c>
      <c r="H427" s="24">
        <f t="shared" si="18"/>
        <v>0</v>
      </c>
      <c r="I427" s="35" t="s">
        <v>808</v>
      </c>
      <c r="J427" s="35"/>
      <c r="K427" s="36"/>
      <c r="L427" s="34" t="s">
        <v>105</v>
      </c>
      <c r="M427" s="40"/>
      <c r="N427" s="53"/>
      <c r="O427" s="35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17"/>
      <c r="BQ427" s="17">
        <v>1</v>
      </c>
      <c r="BR427" s="17">
        <f t="shared" si="19"/>
        <v>0</v>
      </c>
      <c r="BS427" s="28">
        <f t="shared" si="20"/>
        <v>0</v>
      </c>
      <c r="BT427" s="28">
        <v>1</v>
      </c>
    </row>
    <row r="428" spans="1:72" ht="15.75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627</v>
      </c>
      <c r="F428" s="33" t="s">
        <v>204</v>
      </c>
      <c r="G428" s="34" t="s">
        <v>127</v>
      </c>
      <c r="H428" s="24">
        <f t="shared" si="18"/>
        <v>0</v>
      </c>
      <c r="I428" s="35"/>
      <c r="J428" s="35" t="s">
        <v>579</v>
      </c>
      <c r="K428" s="36"/>
      <c r="L428" s="34" t="s">
        <v>100</v>
      </c>
      <c r="M428" s="40"/>
      <c r="N428" s="53"/>
      <c r="O428" s="35" t="s">
        <v>579</v>
      </c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17"/>
      <c r="BQ428" s="17">
        <v>2</v>
      </c>
      <c r="BR428" s="17">
        <f t="shared" si="19"/>
        <v>0</v>
      </c>
      <c r="BS428" s="28">
        <f t="shared" si="20"/>
        <v>0</v>
      </c>
      <c r="BT428" s="28">
        <v>1</v>
      </c>
    </row>
    <row r="429" spans="1:72" ht="15.75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629</v>
      </c>
      <c r="F429" s="33" t="s">
        <v>204</v>
      </c>
      <c r="G429" s="34" t="s">
        <v>127</v>
      </c>
      <c r="H429" s="24">
        <f t="shared" si="18"/>
        <v>0</v>
      </c>
      <c r="I429" s="35"/>
      <c r="J429" s="35" t="s">
        <v>579</v>
      </c>
      <c r="K429" s="36"/>
      <c r="L429" s="34" t="s">
        <v>100</v>
      </c>
      <c r="M429" s="40"/>
      <c r="N429" s="53"/>
      <c r="O429" s="35" t="s">
        <v>579</v>
      </c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17"/>
      <c r="BQ429" s="17">
        <v>2</v>
      </c>
      <c r="BR429" s="17">
        <f t="shared" si="19"/>
        <v>0</v>
      </c>
      <c r="BS429" s="28">
        <f t="shared" si="20"/>
        <v>0</v>
      </c>
      <c r="BT429" s="28">
        <v>1</v>
      </c>
    </row>
    <row r="430" spans="1:72" ht="15.75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630</v>
      </c>
      <c r="F430" s="33" t="s">
        <v>204</v>
      </c>
      <c r="G430" s="34" t="s">
        <v>127</v>
      </c>
      <c r="H430" s="24">
        <f t="shared" si="18"/>
        <v>0</v>
      </c>
      <c r="I430" s="35" t="s">
        <v>808</v>
      </c>
      <c r="J430" s="35" t="s">
        <v>579</v>
      </c>
      <c r="K430" s="36"/>
      <c r="L430" s="34" t="s">
        <v>100</v>
      </c>
      <c r="M430" s="40"/>
      <c r="N430" s="53"/>
      <c r="O430" s="35" t="s">
        <v>579</v>
      </c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17"/>
      <c r="BQ430" s="17">
        <v>2</v>
      </c>
      <c r="BR430" s="17">
        <f t="shared" si="19"/>
        <v>0</v>
      </c>
      <c r="BS430" s="28">
        <f t="shared" si="20"/>
        <v>0</v>
      </c>
      <c r="BT430" s="28">
        <v>1</v>
      </c>
    </row>
    <row r="431" spans="1:72" ht="15.75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631</v>
      </c>
      <c r="F431" s="33" t="s">
        <v>204</v>
      </c>
      <c r="G431" s="34" t="s">
        <v>127</v>
      </c>
      <c r="H431" s="24">
        <f t="shared" si="18"/>
        <v>0</v>
      </c>
      <c r="I431" s="35" t="s">
        <v>808</v>
      </c>
      <c r="J431" s="35" t="s">
        <v>579</v>
      </c>
      <c r="K431" s="36"/>
      <c r="L431" s="34" t="s">
        <v>100</v>
      </c>
      <c r="M431" s="40"/>
      <c r="N431" s="53"/>
      <c r="O431" s="35" t="s">
        <v>579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17"/>
      <c r="BQ431" s="17">
        <v>2</v>
      </c>
      <c r="BR431" s="17">
        <f t="shared" si="19"/>
        <v>0</v>
      </c>
      <c r="BS431" s="28">
        <f t="shared" si="20"/>
        <v>0</v>
      </c>
      <c r="BT431" s="28">
        <v>1</v>
      </c>
    </row>
    <row r="432" spans="1:72" ht="15.75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791</v>
      </c>
      <c r="F432" s="33" t="s">
        <v>204</v>
      </c>
      <c r="G432" s="34" t="s">
        <v>127</v>
      </c>
      <c r="H432" s="24">
        <f t="shared" si="18"/>
        <v>0</v>
      </c>
      <c r="I432" s="35" t="s">
        <v>808</v>
      </c>
      <c r="J432" s="35" t="s">
        <v>579</v>
      </c>
      <c r="K432" s="36"/>
      <c r="L432" s="34" t="s">
        <v>100</v>
      </c>
      <c r="M432" s="40"/>
      <c r="N432" s="53"/>
      <c r="O432" s="35" t="s">
        <v>579</v>
      </c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17"/>
      <c r="BQ432" s="17">
        <v>2</v>
      </c>
      <c r="BR432" s="17">
        <f t="shared" si="19"/>
        <v>0</v>
      </c>
      <c r="BS432" s="28">
        <f t="shared" si="20"/>
        <v>0</v>
      </c>
      <c r="BT432" s="28">
        <v>1</v>
      </c>
    </row>
    <row r="433" spans="1:72" ht="15.75" customHeight="1" x14ac:dyDescent="0.3">
      <c r="A433" s="32" t="s">
        <v>599</v>
      </c>
      <c r="B433" s="33" t="s">
        <v>645</v>
      </c>
      <c r="C433" s="33" t="s">
        <v>558</v>
      </c>
      <c r="D433" s="33" t="s">
        <v>641</v>
      </c>
      <c r="E433" s="33" t="s">
        <v>642</v>
      </c>
      <c r="F433" s="33" t="s">
        <v>132</v>
      </c>
      <c r="G433" s="34" t="s">
        <v>99</v>
      </c>
      <c r="H433" s="24">
        <f t="shared" si="18"/>
        <v>0</v>
      </c>
      <c r="I433" s="35" t="s">
        <v>808</v>
      </c>
      <c r="J433" s="35"/>
      <c r="K433" s="36"/>
      <c r="L433" s="34" t="s">
        <v>100</v>
      </c>
      <c r="M433" s="40"/>
      <c r="N433" s="53"/>
      <c r="O433" s="35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17"/>
      <c r="BQ433" s="17">
        <v>1</v>
      </c>
      <c r="BR433" s="17">
        <f t="shared" si="19"/>
        <v>0</v>
      </c>
      <c r="BS433" s="28">
        <f t="shared" si="20"/>
        <v>0</v>
      </c>
      <c r="BT433" s="28">
        <v>1</v>
      </c>
    </row>
    <row r="434" spans="1:72" ht="15.75" customHeight="1" x14ac:dyDescent="0.3">
      <c r="A434" s="32" t="s">
        <v>599</v>
      </c>
      <c r="B434" s="33" t="s">
        <v>607</v>
      </c>
      <c r="C434" s="33" t="s">
        <v>558</v>
      </c>
      <c r="D434" s="33" t="s">
        <v>601</v>
      </c>
      <c r="E434" s="33" t="s">
        <v>789</v>
      </c>
      <c r="F434" s="33" t="s">
        <v>88</v>
      </c>
      <c r="G434" s="34" t="s">
        <v>127</v>
      </c>
      <c r="H434" s="24">
        <f t="shared" si="18"/>
        <v>0</v>
      </c>
      <c r="I434" s="35" t="s">
        <v>808</v>
      </c>
      <c r="J434" s="35"/>
      <c r="K434" s="36"/>
      <c r="L434" s="34" t="s">
        <v>100</v>
      </c>
      <c r="M434" s="40"/>
      <c r="N434" s="51" t="s">
        <v>883</v>
      </c>
      <c r="O434" s="35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17"/>
      <c r="BP434" s="17"/>
      <c r="BQ434" s="17">
        <v>2</v>
      </c>
      <c r="BR434" s="17">
        <f t="shared" si="19"/>
        <v>0</v>
      </c>
      <c r="BS434" s="28">
        <f t="shared" si="20"/>
        <v>0</v>
      </c>
      <c r="BT434" s="28">
        <v>1</v>
      </c>
    </row>
    <row r="435" spans="1:72" ht="15.75" customHeight="1" x14ac:dyDescent="0.3">
      <c r="A435" s="32" t="s">
        <v>599</v>
      </c>
      <c r="B435" s="33" t="s">
        <v>607</v>
      </c>
      <c r="C435" s="33" t="s">
        <v>558</v>
      </c>
      <c r="D435" s="33" t="s">
        <v>601</v>
      </c>
      <c r="E435" s="33" t="s">
        <v>617</v>
      </c>
      <c r="F435" s="33" t="s">
        <v>132</v>
      </c>
      <c r="G435" s="34" t="s">
        <v>99</v>
      </c>
      <c r="H435" s="24">
        <f t="shared" si="18"/>
        <v>0</v>
      </c>
      <c r="I435" s="35" t="s">
        <v>808</v>
      </c>
      <c r="J435" s="35"/>
      <c r="K435" s="36"/>
      <c r="L435" s="34" t="s">
        <v>100</v>
      </c>
      <c r="M435" s="40"/>
      <c r="N435" s="53"/>
      <c r="O435" s="35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17"/>
      <c r="BP435" s="17"/>
      <c r="BQ435" s="17">
        <v>1</v>
      </c>
      <c r="BR435" s="17">
        <f t="shared" si="19"/>
        <v>0</v>
      </c>
      <c r="BS435" s="28">
        <f t="shared" si="20"/>
        <v>0</v>
      </c>
      <c r="BT435" s="28">
        <v>1</v>
      </c>
    </row>
    <row r="436" spans="1:72" ht="15.75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618</v>
      </c>
      <c r="F436" s="33" t="s">
        <v>132</v>
      </c>
      <c r="G436" s="34" t="s">
        <v>99</v>
      </c>
      <c r="H436" s="24">
        <f t="shared" si="18"/>
        <v>0</v>
      </c>
      <c r="I436" s="35" t="s">
        <v>808</v>
      </c>
      <c r="J436" s="35"/>
      <c r="K436" s="36"/>
      <c r="L436" s="34" t="s">
        <v>100</v>
      </c>
      <c r="M436" s="40"/>
      <c r="N436" s="53"/>
      <c r="O436" s="35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17"/>
      <c r="BP436" s="17"/>
      <c r="BQ436" s="17">
        <v>1</v>
      </c>
      <c r="BR436" s="17">
        <f t="shared" si="19"/>
        <v>0</v>
      </c>
      <c r="BS436" s="28">
        <f t="shared" si="20"/>
        <v>0</v>
      </c>
      <c r="BT436" s="28">
        <v>1</v>
      </c>
    </row>
    <row r="437" spans="1:72" ht="15.75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619</v>
      </c>
      <c r="F437" s="33" t="s">
        <v>132</v>
      </c>
      <c r="G437" s="34" t="s">
        <v>99</v>
      </c>
      <c r="H437" s="24">
        <f t="shared" si="18"/>
        <v>0</v>
      </c>
      <c r="I437" s="35" t="s">
        <v>808</v>
      </c>
      <c r="J437" s="35"/>
      <c r="K437" s="36"/>
      <c r="L437" s="34" t="s">
        <v>105</v>
      </c>
      <c r="M437" s="40"/>
      <c r="N437" s="53"/>
      <c r="O437" s="35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17"/>
      <c r="BP437" s="17"/>
      <c r="BQ437" s="17">
        <v>1</v>
      </c>
      <c r="BR437" s="17">
        <f t="shared" si="19"/>
        <v>0</v>
      </c>
      <c r="BS437" s="28">
        <f t="shared" si="20"/>
        <v>0</v>
      </c>
      <c r="BT437" s="28">
        <v>1</v>
      </c>
    </row>
    <row r="438" spans="1:72" ht="15.75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602</v>
      </c>
      <c r="F438" s="33" t="s">
        <v>672</v>
      </c>
      <c r="G438" s="34" t="s">
        <v>673</v>
      </c>
      <c r="H438" s="24">
        <f t="shared" si="18"/>
        <v>0.25</v>
      </c>
      <c r="I438" s="35"/>
      <c r="J438" s="35"/>
      <c r="K438" s="36"/>
      <c r="L438" s="34" t="s">
        <v>100</v>
      </c>
      <c r="M438" s="40"/>
      <c r="N438" s="51" t="s">
        <v>871</v>
      </c>
      <c r="O438" s="35" t="s">
        <v>604</v>
      </c>
      <c r="P438" s="27"/>
      <c r="Q438" s="27"/>
      <c r="R438" s="27"/>
      <c r="S438" s="27" t="s">
        <v>865</v>
      </c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17"/>
      <c r="BP438" s="17"/>
      <c r="BQ438" s="17">
        <v>4</v>
      </c>
      <c r="BR438" s="17">
        <f t="shared" si="19"/>
        <v>1</v>
      </c>
      <c r="BS438" s="28">
        <f t="shared" si="20"/>
        <v>0</v>
      </c>
      <c r="BT438" s="28">
        <v>1</v>
      </c>
    </row>
    <row r="439" spans="1:72" ht="15.75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605</v>
      </c>
      <c r="F439" s="33" t="s">
        <v>672</v>
      </c>
      <c r="G439" s="34" t="s">
        <v>673</v>
      </c>
      <c r="H439" s="24">
        <f t="shared" si="18"/>
        <v>0.25</v>
      </c>
      <c r="I439" s="35"/>
      <c r="J439" s="35"/>
      <c r="K439" s="36"/>
      <c r="L439" s="34" t="s">
        <v>100</v>
      </c>
      <c r="M439" s="40"/>
      <c r="N439" s="51" t="s">
        <v>866</v>
      </c>
      <c r="O439" s="35" t="s">
        <v>606</v>
      </c>
      <c r="P439" s="27"/>
      <c r="Q439" s="27"/>
      <c r="R439" s="27"/>
      <c r="S439" s="68" t="s">
        <v>867</v>
      </c>
      <c r="T439" s="27"/>
      <c r="U439" s="27"/>
      <c r="V439" s="27"/>
      <c r="W439" s="27"/>
      <c r="X439" s="27"/>
      <c r="Y439" s="54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54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54"/>
      <c r="BM439" s="27"/>
      <c r="BN439" s="27"/>
      <c r="BO439" s="17"/>
      <c r="BP439" s="17"/>
      <c r="BQ439" s="17">
        <v>4</v>
      </c>
      <c r="BR439" s="17">
        <f t="shared" si="19"/>
        <v>1</v>
      </c>
      <c r="BS439" s="28">
        <f t="shared" si="20"/>
        <v>0</v>
      </c>
      <c r="BT439" s="28">
        <v>1</v>
      </c>
    </row>
    <row r="440" spans="1:72" ht="15.75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793</v>
      </c>
      <c r="F440" s="33" t="s">
        <v>672</v>
      </c>
      <c r="G440" s="34" t="s">
        <v>673</v>
      </c>
      <c r="H440" s="24">
        <f t="shared" si="18"/>
        <v>0.25</v>
      </c>
      <c r="I440" s="35"/>
      <c r="J440" s="35" t="s">
        <v>648</v>
      </c>
      <c r="K440" s="36"/>
      <c r="L440" s="34" t="s">
        <v>100</v>
      </c>
      <c r="M440" s="40"/>
      <c r="N440" s="40" t="s">
        <v>869</v>
      </c>
      <c r="O440" s="35" t="s">
        <v>649</v>
      </c>
      <c r="P440" s="27"/>
      <c r="Q440" s="27"/>
      <c r="R440" s="27"/>
      <c r="S440" s="27" t="s">
        <v>865</v>
      </c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17"/>
      <c r="BP440" s="27"/>
      <c r="BQ440" s="17">
        <v>4</v>
      </c>
      <c r="BR440" s="17">
        <f t="shared" si="19"/>
        <v>1</v>
      </c>
      <c r="BS440" s="28">
        <f t="shared" si="20"/>
        <v>0</v>
      </c>
      <c r="BT440" s="28">
        <v>1</v>
      </c>
    </row>
    <row r="441" spans="1:72" ht="15.75" customHeight="1" x14ac:dyDescent="0.3">
      <c r="A441" s="32" t="s">
        <v>599</v>
      </c>
      <c r="B441" s="33" t="s">
        <v>638</v>
      </c>
      <c r="C441" s="33" t="s">
        <v>560</v>
      </c>
      <c r="D441" s="33" t="s">
        <v>625</v>
      </c>
      <c r="E441" s="33" t="s">
        <v>626</v>
      </c>
      <c r="F441" s="33" t="s">
        <v>132</v>
      </c>
      <c r="G441" s="34" t="s">
        <v>99</v>
      </c>
      <c r="H441" s="24">
        <f t="shared" si="18"/>
        <v>0</v>
      </c>
      <c r="I441" s="35" t="s">
        <v>808</v>
      </c>
      <c r="J441" s="35"/>
      <c r="K441" s="36"/>
      <c r="L441" s="34" t="s">
        <v>105</v>
      </c>
      <c r="M441" s="40"/>
      <c r="N441" s="53"/>
      <c r="O441" s="35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17"/>
      <c r="BQ441" s="17">
        <v>1</v>
      </c>
      <c r="BR441" s="17">
        <f t="shared" si="19"/>
        <v>0</v>
      </c>
      <c r="BS441" s="28">
        <f t="shared" si="20"/>
        <v>0</v>
      </c>
      <c r="BT441" s="28">
        <v>1</v>
      </c>
    </row>
    <row r="442" spans="1:72" ht="15.75" customHeight="1" x14ac:dyDescent="0.3">
      <c r="A442" s="32" t="s">
        <v>599</v>
      </c>
      <c r="B442" s="33" t="s">
        <v>638</v>
      </c>
      <c r="C442" s="33" t="s">
        <v>560</v>
      </c>
      <c r="D442" s="33" t="s">
        <v>625</v>
      </c>
      <c r="E442" s="33" t="s">
        <v>790</v>
      </c>
      <c r="F442" s="33" t="s">
        <v>132</v>
      </c>
      <c r="G442" s="34" t="s">
        <v>99</v>
      </c>
      <c r="H442" s="24">
        <f t="shared" si="18"/>
        <v>0</v>
      </c>
      <c r="I442" s="35"/>
      <c r="J442" s="35"/>
      <c r="K442" s="36"/>
      <c r="L442" s="34" t="s">
        <v>100</v>
      </c>
      <c r="M442" s="40"/>
      <c r="N442" s="40"/>
      <c r="O442" s="35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17"/>
      <c r="BQ442" s="17">
        <v>1</v>
      </c>
      <c r="BR442" s="17">
        <f t="shared" si="19"/>
        <v>0</v>
      </c>
      <c r="BS442" s="28">
        <f t="shared" si="20"/>
        <v>0</v>
      </c>
      <c r="BT442" s="28">
        <v>1</v>
      </c>
    </row>
    <row r="443" spans="1:72" ht="15.75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628</v>
      </c>
      <c r="F443" s="33" t="s">
        <v>132</v>
      </c>
      <c r="G443" s="34" t="s">
        <v>99</v>
      </c>
      <c r="H443" s="24">
        <f t="shared" si="18"/>
        <v>0</v>
      </c>
      <c r="I443" s="35" t="s">
        <v>808</v>
      </c>
      <c r="J443" s="35"/>
      <c r="K443" s="36"/>
      <c r="L443" s="34" t="s">
        <v>105</v>
      </c>
      <c r="M443" s="40"/>
      <c r="N443" s="40"/>
      <c r="O443" s="35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17"/>
      <c r="BQ443" s="17">
        <v>1</v>
      </c>
      <c r="BR443" s="17">
        <f t="shared" si="19"/>
        <v>0</v>
      </c>
      <c r="BS443" s="28">
        <f t="shared" si="20"/>
        <v>0</v>
      </c>
      <c r="BT443" s="28">
        <v>1</v>
      </c>
    </row>
    <row r="444" spans="1:72" ht="15.75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632</v>
      </c>
      <c r="F444" s="33" t="s">
        <v>132</v>
      </c>
      <c r="G444" s="34" t="s">
        <v>99</v>
      </c>
      <c r="H444" s="24">
        <f t="shared" si="18"/>
        <v>0</v>
      </c>
      <c r="I444" s="35"/>
      <c r="J444" s="35"/>
      <c r="K444" s="36"/>
      <c r="L444" s="34" t="s">
        <v>100</v>
      </c>
      <c r="M444" s="40"/>
      <c r="N444" s="53"/>
      <c r="O444" s="35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17"/>
      <c r="BP444" s="17"/>
      <c r="BQ444" s="17">
        <v>1</v>
      </c>
      <c r="BR444" s="17">
        <f t="shared" si="19"/>
        <v>0</v>
      </c>
      <c r="BS444" s="28">
        <f t="shared" si="20"/>
        <v>0</v>
      </c>
      <c r="BT444" s="28">
        <v>1</v>
      </c>
    </row>
    <row r="445" spans="1:72" ht="15.75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792</v>
      </c>
      <c r="F445" s="33" t="s">
        <v>132</v>
      </c>
      <c r="G445" s="34" t="s">
        <v>99</v>
      </c>
      <c r="H445" s="24">
        <f t="shared" si="18"/>
        <v>0</v>
      </c>
      <c r="I445" s="35"/>
      <c r="J445" s="35"/>
      <c r="K445" s="36"/>
      <c r="L445" s="34" t="s">
        <v>105</v>
      </c>
      <c r="M445" s="40"/>
      <c r="N445" s="53"/>
      <c r="O445" s="35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17"/>
      <c r="BP445" s="17"/>
      <c r="BQ445" s="17">
        <v>1</v>
      </c>
      <c r="BR445" s="17">
        <f t="shared" si="19"/>
        <v>0</v>
      </c>
      <c r="BS445" s="28">
        <f t="shared" si="20"/>
        <v>0</v>
      </c>
      <c r="BT445" s="28">
        <v>1</v>
      </c>
    </row>
    <row r="446" spans="1:72" ht="15.75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588</v>
      </c>
      <c r="F446" s="33" t="s">
        <v>132</v>
      </c>
      <c r="G446" s="34" t="s">
        <v>99</v>
      </c>
      <c r="H446" s="24">
        <f t="shared" si="18"/>
        <v>0</v>
      </c>
      <c r="I446" s="35" t="s">
        <v>808</v>
      </c>
      <c r="J446" s="35"/>
      <c r="K446" s="36"/>
      <c r="L446" s="34" t="s">
        <v>100</v>
      </c>
      <c r="M446" s="40"/>
      <c r="N446" s="53"/>
      <c r="O446" s="35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17"/>
      <c r="BP446" s="17"/>
      <c r="BQ446" s="17">
        <v>1</v>
      </c>
      <c r="BR446" s="17">
        <f t="shared" si="19"/>
        <v>0</v>
      </c>
      <c r="BS446" s="28">
        <f t="shared" si="20"/>
        <v>0</v>
      </c>
      <c r="BT446" s="28">
        <v>1</v>
      </c>
    </row>
    <row r="447" spans="1:72" ht="15.75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633</v>
      </c>
      <c r="F447" s="33" t="s">
        <v>132</v>
      </c>
      <c r="G447" s="34" t="s">
        <v>99</v>
      </c>
      <c r="H447" s="24">
        <f t="shared" si="18"/>
        <v>0</v>
      </c>
      <c r="I447" s="35" t="s">
        <v>808</v>
      </c>
      <c r="J447" s="35"/>
      <c r="K447" s="36"/>
      <c r="L447" s="34" t="s">
        <v>100</v>
      </c>
      <c r="M447" s="40"/>
      <c r="N447" s="53"/>
      <c r="O447" s="35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17"/>
      <c r="BQ447" s="17">
        <v>1</v>
      </c>
      <c r="BR447" s="17">
        <f t="shared" si="19"/>
        <v>0</v>
      </c>
      <c r="BS447" s="28">
        <f t="shared" si="20"/>
        <v>0</v>
      </c>
      <c r="BT447" s="28">
        <v>1</v>
      </c>
    </row>
    <row r="448" spans="1:72" ht="15.75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634</v>
      </c>
      <c r="F448" s="33" t="s">
        <v>132</v>
      </c>
      <c r="G448" s="34" t="s">
        <v>99</v>
      </c>
      <c r="H448" s="24">
        <f t="shared" si="18"/>
        <v>0</v>
      </c>
      <c r="I448" s="35" t="s">
        <v>808</v>
      </c>
      <c r="J448" s="35"/>
      <c r="K448" s="36"/>
      <c r="L448" s="34" t="s">
        <v>105</v>
      </c>
      <c r="M448" s="40"/>
      <c r="N448" s="40"/>
      <c r="O448" s="35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17"/>
      <c r="BQ448" s="17">
        <v>1</v>
      </c>
      <c r="BR448" s="17">
        <f t="shared" si="19"/>
        <v>0</v>
      </c>
      <c r="BS448" s="28">
        <f t="shared" si="20"/>
        <v>0</v>
      </c>
      <c r="BT448" s="28">
        <v>1</v>
      </c>
    </row>
    <row r="449" spans="1:72" ht="15.75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627</v>
      </c>
      <c r="F449" s="33" t="s">
        <v>204</v>
      </c>
      <c r="G449" s="34" t="s">
        <v>127</v>
      </c>
      <c r="H449" s="24">
        <f t="shared" si="18"/>
        <v>0</v>
      </c>
      <c r="I449" s="35"/>
      <c r="J449" s="35" t="s">
        <v>579</v>
      </c>
      <c r="K449" s="36"/>
      <c r="L449" s="34" t="s">
        <v>100</v>
      </c>
      <c r="M449" s="40"/>
      <c r="N449" s="40"/>
      <c r="O449" s="35" t="s">
        <v>579</v>
      </c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17"/>
      <c r="BQ449" s="17">
        <v>2</v>
      </c>
      <c r="BR449" s="17">
        <f t="shared" si="19"/>
        <v>0</v>
      </c>
      <c r="BS449" s="28">
        <f t="shared" si="20"/>
        <v>0</v>
      </c>
      <c r="BT449" s="28">
        <v>1</v>
      </c>
    </row>
    <row r="450" spans="1:72" ht="15.75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629</v>
      </c>
      <c r="F450" s="33" t="s">
        <v>204</v>
      </c>
      <c r="G450" s="34" t="s">
        <v>127</v>
      </c>
      <c r="H450" s="24">
        <f t="shared" si="18"/>
        <v>0</v>
      </c>
      <c r="I450" s="35"/>
      <c r="J450" s="35" t="s">
        <v>579</v>
      </c>
      <c r="K450" s="36"/>
      <c r="L450" s="34" t="s">
        <v>100</v>
      </c>
      <c r="M450" s="40"/>
      <c r="N450" s="40"/>
      <c r="O450" s="35" t="s">
        <v>579</v>
      </c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17"/>
      <c r="BQ450" s="17">
        <v>2</v>
      </c>
      <c r="BR450" s="17">
        <f t="shared" si="19"/>
        <v>0</v>
      </c>
      <c r="BS450" s="28">
        <f t="shared" si="20"/>
        <v>0</v>
      </c>
      <c r="BT450" s="28">
        <v>1</v>
      </c>
    </row>
    <row r="451" spans="1:72" ht="15.75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617</v>
      </c>
      <c r="F451" s="33" t="s">
        <v>204</v>
      </c>
      <c r="G451" s="34" t="s">
        <v>127</v>
      </c>
      <c r="H451" s="24">
        <f t="shared" ref="H451:H514" si="21">IF(BQ451=0," ",(BR451/BQ451))</f>
        <v>0</v>
      </c>
      <c r="I451" s="35" t="s">
        <v>808</v>
      </c>
      <c r="J451" s="35" t="s">
        <v>579</v>
      </c>
      <c r="K451" s="36"/>
      <c r="L451" s="34" t="s">
        <v>100</v>
      </c>
      <c r="M451" s="40"/>
      <c r="N451" s="40"/>
      <c r="O451" s="35" t="s">
        <v>579</v>
      </c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17"/>
      <c r="BQ451" s="17">
        <v>2</v>
      </c>
      <c r="BR451" s="17">
        <f t="shared" ref="BR451:BR514" si="22">IF(COUNTA(P451:BP451)&gt;BQ451,BQ451,COUNTA(P451:BP451))</f>
        <v>0</v>
      </c>
      <c r="BS451" s="28">
        <f t="shared" ref="BS451:BS514" si="23">IF(H451=1,1,0)</f>
        <v>0</v>
      </c>
      <c r="BT451" s="28">
        <v>1</v>
      </c>
    </row>
    <row r="452" spans="1:72" ht="15.75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630</v>
      </c>
      <c r="F452" s="33" t="s">
        <v>204</v>
      </c>
      <c r="G452" s="34" t="s">
        <v>127</v>
      </c>
      <c r="H452" s="24">
        <f t="shared" si="21"/>
        <v>0</v>
      </c>
      <c r="I452" s="35" t="s">
        <v>808</v>
      </c>
      <c r="J452" s="35" t="s">
        <v>579</v>
      </c>
      <c r="K452" s="36"/>
      <c r="L452" s="34" t="s">
        <v>100</v>
      </c>
      <c r="M452" s="40"/>
      <c r="N452" s="53"/>
      <c r="O452" s="35" t="s">
        <v>579</v>
      </c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17"/>
      <c r="BQ452" s="17">
        <v>2</v>
      </c>
      <c r="BR452" s="17">
        <f t="shared" si="22"/>
        <v>0</v>
      </c>
      <c r="BS452" s="28">
        <f t="shared" si="23"/>
        <v>0</v>
      </c>
      <c r="BT452" s="28">
        <v>1</v>
      </c>
    </row>
    <row r="453" spans="1:72" ht="15.75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631</v>
      </c>
      <c r="F453" s="33" t="s">
        <v>204</v>
      </c>
      <c r="G453" s="34" t="s">
        <v>127</v>
      </c>
      <c r="H453" s="24">
        <f t="shared" si="21"/>
        <v>0</v>
      </c>
      <c r="I453" s="35" t="s">
        <v>808</v>
      </c>
      <c r="J453" s="35" t="s">
        <v>579</v>
      </c>
      <c r="K453" s="36"/>
      <c r="L453" s="34" t="s">
        <v>100</v>
      </c>
      <c r="M453" s="40"/>
      <c r="N453" s="53"/>
      <c r="O453" s="35" t="s">
        <v>579</v>
      </c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17"/>
      <c r="BQ453" s="17">
        <v>2</v>
      </c>
      <c r="BR453" s="17">
        <f t="shared" si="22"/>
        <v>0</v>
      </c>
      <c r="BS453" s="28">
        <f t="shared" si="23"/>
        <v>0</v>
      </c>
      <c r="BT453" s="28">
        <v>1</v>
      </c>
    </row>
    <row r="454" spans="1:72" ht="15.75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791</v>
      </c>
      <c r="F454" s="33" t="s">
        <v>204</v>
      </c>
      <c r="G454" s="34" t="s">
        <v>127</v>
      </c>
      <c r="H454" s="24">
        <f t="shared" si="21"/>
        <v>0</v>
      </c>
      <c r="I454" s="35" t="s">
        <v>808</v>
      </c>
      <c r="J454" s="35" t="s">
        <v>579</v>
      </c>
      <c r="K454" s="36"/>
      <c r="L454" s="34" t="s">
        <v>100</v>
      </c>
      <c r="M454" s="40"/>
      <c r="N454" s="53"/>
      <c r="O454" s="35" t="s">
        <v>579</v>
      </c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17"/>
      <c r="BQ454" s="17">
        <v>2</v>
      </c>
      <c r="BR454" s="17">
        <f t="shared" si="22"/>
        <v>0</v>
      </c>
      <c r="BS454" s="28">
        <f t="shared" si="23"/>
        <v>0</v>
      </c>
      <c r="BT454" s="28">
        <v>1</v>
      </c>
    </row>
    <row r="455" spans="1:72" ht="15.75" customHeight="1" x14ac:dyDescent="0.3">
      <c r="A455" s="32" t="s">
        <v>599</v>
      </c>
      <c r="B455" s="33" t="s">
        <v>646</v>
      </c>
      <c r="C455" s="33" t="s">
        <v>560</v>
      </c>
      <c r="D455" s="33" t="s">
        <v>641</v>
      </c>
      <c r="E455" s="33" t="s">
        <v>642</v>
      </c>
      <c r="F455" s="33" t="s">
        <v>132</v>
      </c>
      <c r="G455" s="34" t="s">
        <v>99</v>
      </c>
      <c r="H455" s="24">
        <f t="shared" si="21"/>
        <v>0</v>
      </c>
      <c r="I455" s="35" t="s">
        <v>808</v>
      </c>
      <c r="J455" s="35"/>
      <c r="K455" s="36"/>
      <c r="L455" s="34" t="s">
        <v>100</v>
      </c>
      <c r="M455" s="40"/>
      <c r="N455" s="53"/>
      <c r="O455" s="35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17"/>
      <c r="BQ455" s="17">
        <v>1</v>
      </c>
      <c r="BR455" s="17">
        <f t="shared" si="22"/>
        <v>0</v>
      </c>
      <c r="BS455" s="28">
        <f t="shared" si="23"/>
        <v>0</v>
      </c>
      <c r="BT455" s="28">
        <v>1</v>
      </c>
    </row>
    <row r="456" spans="1:72" ht="15.75" customHeight="1" x14ac:dyDescent="0.3">
      <c r="A456" s="32" t="s">
        <v>599</v>
      </c>
      <c r="B456" s="33" t="s">
        <v>608</v>
      </c>
      <c r="C456" s="33" t="s">
        <v>560</v>
      </c>
      <c r="D456" s="33" t="s">
        <v>601</v>
      </c>
      <c r="E456" s="33" t="s">
        <v>789</v>
      </c>
      <c r="F456" s="33" t="s">
        <v>88</v>
      </c>
      <c r="G456" s="34" t="s">
        <v>127</v>
      </c>
      <c r="H456" s="24">
        <f t="shared" si="21"/>
        <v>0</v>
      </c>
      <c r="I456" s="35" t="s">
        <v>808</v>
      </c>
      <c r="J456" s="35"/>
      <c r="K456" s="36"/>
      <c r="L456" s="34" t="s">
        <v>100</v>
      </c>
      <c r="M456" s="40"/>
      <c r="N456" s="51" t="s">
        <v>883</v>
      </c>
      <c r="O456" s="35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80"/>
      <c r="BP456" s="17"/>
      <c r="BQ456" s="17">
        <v>2</v>
      </c>
      <c r="BR456" s="17">
        <f t="shared" si="22"/>
        <v>0</v>
      </c>
      <c r="BS456" s="28">
        <f t="shared" si="23"/>
        <v>0</v>
      </c>
      <c r="BT456" s="28">
        <v>1</v>
      </c>
    </row>
    <row r="457" spans="1:72" ht="15.75" customHeight="1" x14ac:dyDescent="0.3">
      <c r="A457" s="32" t="s">
        <v>599</v>
      </c>
      <c r="B457" s="33" t="s">
        <v>608</v>
      </c>
      <c r="C457" s="33" t="s">
        <v>560</v>
      </c>
      <c r="D457" s="33" t="s">
        <v>601</v>
      </c>
      <c r="E457" s="33" t="s">
        <v>617</v>
      </c>
      <c r="F457" s="33" t="s">
        <v>132</v>
      </c>
      <c r="G457" s="34" t="s">
        <v>99</v>
      </c>
      <c r="H457" s="24">
        <f t="shared" si="21"/>
        <v>0</v>
      </c>
      <c r="I457" s="35" t="s">
        <v>808</v>
      </c>
      <c r="J457" s="35"/>
      <c r="K457" s="36"/>
      <c r="L457" s="34" t="s">
        <v>100</v>
      </c>
      <c r="M457" s="40"/>
      <c r="N457" s="53"/>
      <c r="O457" s="35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17"/>
      <c r="BP457" s="17"/>
      <c r="BQ457" s="17">
        <v>1</v>
      </c>
      <c r="BR457" s="17">
        <f t="shared" si="22"/>
        <v>0</v>
      </c>
      <c r="BS457" s="28">
        <f t="shared" si="23"/>
        <v>0</v>
      </c>
      <c r="BT457" s="28">
        <v>1</v>
      </c>
    </row>
    <row r="458" spans="1:72" ht="15.75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618</v>
      </c>
      <c r="F458" s="33" t="s">
        <v>132</v>
      </c>
      <c r="G458" s="34" t="s">
        <v>99</v>
      </c>
      <c r="H458" s="24">
        <f t="shared" si="21"/>
        <v>0</v>
      </c>
      <c r="I458" s="35" t="s">
        <v>808</v>
      </c>
      <c r="J458" s="35"/>
      <c r="K458" s="36"/>
      <c r="L458" s="34" t="s">
        <v>100</v>
      </c>
      <c r="M458" s="40"/>
      <c r="N458" s="53"/>
      <c r="O458" s="35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17"/>
      <c r="BP458" s="17"/>
      <c r="BQ458" s="17">
        <v>1</v>
      </c>
      <c r="BR458" s="17">
        <f t="shared" si="22"/>
        <v>0</v>
      </c>
      <c r="BS458" s="28">
        <f t="shared" si="23"/>
        <v>0</v>
      </c>
      <c r="BT458" s="28">
        <v>1</v>
      </c>
    </row>
    <row r="459" spans="1:72" ht="15.75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619</v>
      </c>
      <c r="F459" s="33" t="s">
        <v>132</v>
      </c>
      <c r="G459" s="34" t="s">
        <v>99</v>
      </c>
      <c r="H459" s="24">
        <f t="shared" si="21"/>
        <v>0</v>
      </c>
      <c r="I459" s="35" t="s">
        <v>808</v>
      </c>
      <c r="J459" s="35"/>
      <c r="K459" s="36"/>
      <c r="L459" s="34" t="s">
        <v>105</v>
      </c>
      <c r="M459" s="40"/>
      <c r="N459" s="53"/>
      <c r="O459" s="35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17"/>
      <c r="BP459" s="17"/>
      <c r="BQ459" s="17">
        <v>1</v>
      </c>
      <c r="BR459" s="17">
        <f t="shared" si="22"/>
        <v>0</v>
      </c>
      <c r="BS459" s="28">
        <f t="shared" si="23"/>
        <v>0</v>
      </c>
      <c r="BT459" s="28">
        <v>1</v>
      </c>
    </row>
    <row r="460" spans="1:72" ht="15.75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602</v>
      </c>
      <c r="F460" s="33" t="s">
        <v>672</v>
      </c>
      <c r="G460" s="34" t="s">
        <v>673</v>
      </c>
      <c r="H460" s="24">
        <f t="shared" si="21"/>
        <v>0.25</v>
      </c>
      <c r="I460" s="35"/>
      <c r="J460" s="35"/>
      <c r="K460" s="36"/>
      <c r="L460" s="34" t="s">
        <v>100</v>
      </c>
      <c r="M460" s="40"/>
      <c r="N460" s="51" t="s">
        <v>871</v>
      </c>
      <c r="O460" s="35" t="s">
        <v>604</v>
      </c>
      <c r="P460" s="27"/>
      <c r="Q460" s="27"/>
      <c r="R460" s="27"/>
      <c r="S460" s="27" t="s">
        <v>865</v>
      </c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17"/>
      <c r="BP460" s="17"/>
      <c r="BQ460" s="17">
        <v>4</v>
      </c>
      <c r="BR460" s="17">
        <f t="shared" si="22"/>
        <v>1</v>
      </c>
      <c r="BS460" s="28">
        <f t="shared" si="23"/>
        <v>0</v>
      </c>
      <c r="BT460" s="28">
        <v>1</v>
      </c>
    </row>
    <row r="461" spans="1:72" ht="15.75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605</v>
      </c>
      <c r="F461" s="33" t="s">
        <v>672</v>
      </c>
      <c r="G461" s="34" t="s">
        <v>673</v>
      </c>
      <c r="H461" s="24">
        <f t="shared" si="21"/>
        <v>0.25</v>
      </c>
      <c r="I461" s="35"/>
      <c r="J461" s="35"/>
      <c r="K461" s="36"/>
      <c r="L461" s="34" t="s">
        <v>100</v>
      </c>
      <c r="M461" s="40"/>
      <c r="N461" s="51" t="s">
        <v>866</v>
      </c>
      <c r="O461" s="35" t="s">
        <v>606</v>
      </c>
      <c r="P461" s="27"/>
      <c r="Q461" s="27"/>
      <c r="R461" s="27"/>
      <c r="S461" s="68" t="s">
        <v>867</v>
      </c>
      <c r="T461" s="27"/>
      <c r="U461" s="27"/>
      <c r="V461" s="27"/>
      <c r="W461" s="27"/>
      <c r="X461" s="27"/>
      <c r="Y461" s="54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54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54"/>
      <c r="BM461" s="27"/>
      <c r="BN461" s="27"/>
      <c r="BO461" s="17"/>
      <c r="BP461" s="17"/>
      <c r="BQ461" s="17">
        <v>4</v>
      </c>
      <c r="BR461" s="17">
        <f t="shared" si="22"/>
        <v>1</v>
      </c>
      <c r="BS461" s="28">
        <f t="shared" si="23"/>
        <v>0</v>
      </c>
      <c r="BT461" s="28">
        <v>1</v>
      </c>
    </row>
    <row r="462" spans="1:72" ht="15.75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793</v>
      </c>
      <c r="F462" s="33" t="s">
        <v>672</v>
      </c>
      <c r="G462" s="34" t="s">
        <v>673</v>
      </c>
      <c r="H462" s="24">
        <f t="shared" si="21"/>
        <v>0.25</v>
      </c>
      <c r="I462" s="35"/>
      <c r="J462" s="35" t="s">
        <v>648</v>
      </c>
      <c r="K462" s="36"/>
      <c r="L462" s="34" t="s">
        <v>100</v>
      </c>
      <c r="M462" s="40"/>
      <c r="N462" s="40" t="s">
        <v>869</v>
      </c>
      <c r="O462" s="35" t="s">
        <v>649</v>
      </c>
      <c r="P462" s="27"/>
      <c r="Q462" s="27"/>
      <c r="R462" s="27"/>
      <c r="S462" s="27" t="s">
        <v>865</v>
      </c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17"/>
      <c r="BP462" s="27"/>
      <c r="BQ462" s="17">
        <v>4</v>
      </c>
      <c r="BR462" s="17">
        <f t="shared" si="22"/>
        <v>1</v>
      </c>
      <c r="BS462" s="28">
        <f t="shared" si="23"/>
        <v>0</v>
      </c>
      <c r="BT462" s="28">
        <v>1</v>
      </c>
    </row>
    <row r="463" spans="1:72" ht="15.75" customHeight="1" x14ac:dyDescent="0.3">
      <c r="A463" s="32" t="s">
        <v>599</v>
      </c>
      <c r="B463" s="33" t="s">
        <v>639</v>
      </c>
      <c r="C463" s="33" t="s">
        <v>548</v>
      </c>
      <c r="D463" s="33" t="s">
        <v>625</v>
      </c>
      <c r="E463" s="33" t="s">
        <v>626</v>
      </c>
      <c r="F463" s="33" t="s">
        <v>132</v>
      </c>
      <c r="G463" s="34" t="s">
        <v>99</v>
      </c>
      <c r="H463" s="24">
        <f t="shared" si="21"/>
        <v>0</v>
      </c>
      <c r="I463" s="35"/>
      <c r="J463" s="35"/>
      <c r="K463" s="36"/>
      <c r="L463" s="34" t="s">
        <v>105</v>
      </c>
      <c r="M463" s="40"/>
      <c r="N463" s="53"/>
      <c r="O463" s="35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17"/>
      <c r="BP463" s="17"/>
      <c r="BQ463" s="17">
        <v>1</v>
      </c>
      <c r="BR463" s="17">
        <f t="shared" si="22"/>
        <v>0</v>
      </c>
      <c r="BS463" s="28">
        <f t="shared" si="23"/>
        <v>0</v>
      </c>
      <c r="BT463" s="28">
        <v>1</v>
      </c>
    </row>
    <row r="464" spans="1:72" ht="15.75" customHeight="1" x14ac:dyDescent="0.3">
      <c r="A464" s="32" t="s">
        <v>599</v>
      </c>
      <c r="B464" s="33" t="s">
        <v>639</v>
      </c>
      <c r="C464" s="33" t="s">
        <v>548</v>
      </c>
      <c r="D464" s="33" t="s">
        <v>625</v>
      </c>
      <c r="E464" s="33" t="s">
        <v>790</v>
      </c>
      <c r="F464" s="33" t="s">
        <v>132</v>
      </c>
      <c r="G464" s="34" t="s">
        <v>99</v>
      </c>
      <c r="H464" s="24">
        <f t="shared" si="21"/>
        <v>0</v>
      </c>
      <c r="I464" s="35"/>
      <c r="J464" s="35"/>
      <c r="K464" s="36"/>
      <c r="L464" s="34" t="s">
        <v>100</v>
      </c>
      <c r="M464" s="40"/>
      <c r="N464" s="40"/>
      <c r="O464" s="35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17"/>
      <c r="BQ464" s="17">
        <v>1</v>
      </c>
      <c r="BR464" s="17">
        <f t="shared" si="22"/>
        <v>0</v>
      </c>
      <c r="BS464" s="28">
        <f t="shared" si="23"/>
        <v>0</v>
      </c>
      <c r="BT464" s="28">
        <v>1</v>
      </c>
    </row>
    <row r="465" spans="1:72" ht="15.75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628</v>
      </c>
      <c r="F465" s="33" t="s">
        <v>132</v>
      </c>
      <c r="G465" s="34" t="s">
        <v>99</v>
      </c>
      <c r="H465" s="24">
        <f t="shared" si="21"/>
        <v>0</v>
      </c>
      <c r="I465" s="35" t="s">
        <v>808</v>
      </c>
      <c r="J465" s="35"/>
      <c r="K465" s="36"/>
      <c r="L465" s="34" t="s">
        <v>105</v>
      </c>
      <c r="M465" s="40"/>
      <c r="N465" s="40"/>
      <c r="O465" s="35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17"/>
      <c r="BQ465" s="17">
        <v>1</v>
      </c>
      <c r="BR465" s="17">
        <f t="shared" si="22"/>
        <v>0</v>
      </c>
      <c r="BS465" s="28">
        <f t="shared" si="23"/>
        <v>0</v>
      </c>
      <c r="BT465" s="28">
        <v>1</v>
      </c>
    </row>
    <row r="466" spans="1:72" ht="15.75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632</v>
      </c>
      <c r="F466" s="33" t="s">
        <v>132</v>
      </c>
      <c r="G466" s="34" t="s">
        <v>99</v>
      </c>
      <c r="H466" s="24">
        <f t="shared" si="21"/>
        <v>0</v>
      </c>
      <c r="I466" s="35"/>
      <c r="J466" s="35"/>
      <c r="K466" s="36"/>
      <c r="L466" s="34" t="s">
        <v>100</v>
      </c>
      <c r="M466" s="40"/>
      <c r="N466" s="53"/>
      <c r="O466" s="35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17"/>
      <c r="BP466" s="17"/>
      <c r="BQ466" s="17">
        <v>1</v>
      </c>
      <c r="BR466" s="17">
        <f t="shared" si="22"/>
        <v>0</v>
      </c>
      <c r="BS466" s="28">
        <f t="shared" si="23"/>
        <v>0</v>
      </c>
      <c r="BT466" s="28">
        <v>1</v>
      </c>
    </row>
    <row r="467" spans="1:72" ht="15.75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792</v>
      </c>
      <c r="F467" s="33" t="s">
        <v>132</v>
      </c>
      <c r="G467" s="34" t="s">
        <v>99</v>
      </c>
      <c r="H467" s="24">
        <f t="shared" si="21"/>
        <v>0</v>
      </c>
      <c r="I467" s="55"/>
      <c r="J467" s="55"/>
      <c r="K467" s="36"/>
      <c r="L467" s="34" t="s">
        <v>105</v>
      </c>
      <c r="M467" s="40"/>
      <c r="N467" s="53"/>
      <c r="O467" s="55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17"/>
      <c r="BP467" s="17"/>
      <c r="BQ467" s="17">
        <v>1</v>
      </c>
      <c r="BR467" s="17">
        <f t="shared" si="22"/>
        <v>0</v>
      </c>
      <c r="BS467" s="28">
        <f t="shared" si="23"/>
        <v>0</v>
      </c>
      <c r="BT467" s="28">
        <v>1</v>
      </c>
    </row>
    <row r="468" spans="1:72" ht="15.75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588</v>
      </c>
      <c r="F468" s="33" t="s">
        <v>132</v>
      </c>
      <c r="G468" s="34" t="s">
        <v>99</v>
      </c>
      <c r="H468" s="24">
        <f t="shared" si="21"/>
        <v>0</v>
      </c>
      <c r="I468" s="35" t="s">
        <v>808</v>
      </c>
      <c r="J468" s="35"/>
      <c r="K468" s="36"/>
      <c r="L468" s="34" t="s">
        <v>100</v>
      </c>
      <c r="M468" s="40"/>
      <c r="N468" s="53"/>
      <c r="O468" s="35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17"/>
      <c r="BP468" s="49"/>
      <c r="BQ468" s="17">
        <v>1</v>
      </c>
      <c r="BR468" s="17">
        <f t="shared" si="22"/>
        <v>0</v>
      </c>
      <c r="BS468" s="28">
        <f t="shared" si="23"/>
        <v>0</v>
      </c>
      <c r="BT468" s="28">
        <v>1</v>
      </c>
    </row>
    <row r="469" spans="1:72" ht="15.75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633</v>
      </c>
      <c r="F469" s="33" t="s">
        <v>132</v>
      </c>
      <c r="G469" s="34" t="s">
        <v>99</v>
      </c>
      <c r="H469" s="24">
        <f t="shared" si="21"/>
        <v>0</v>
      </c>
      <c r="I469" s="35" t="s">
        <v>808</v>
      </c>
      <c r="J469" s="35"/>
      <c r="K469" s="36"/>
      <c r="L469" s="34" t="s">
        <v>100</v>
      </c>
      <c r="M469" s="40"/>
      <c r="N469" s="53"/>
      <c r="O469" s="35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49"/>
      <c r="BQ469" s="17">
        <v>1</v>
      </c>
      <c r="BR469" s="17">
        <f t="shared" si="22"/>
        <v>0</v>
      </c>
      <c r="BS469" s="28">
        <f t="shared" si="23"/>
        <v>0</v>
      </c>
      <c r="BT469" s="28">
        <v>1</v>
      </c>
    </row>
    <row r="470" spans="1:72" ht="15.75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634</v>
      </c>
      <c r="F470" s="33" t="s">
        <v>132</v>
      </c>
      <c r="G470" s="34" t="s">
        <v>99</v>
      </c>
      <c r="H470" s="24">
        <f t="shared" si="21"/>
        <v>0</v>
      </c>
      <c r="I470" s="35" t="s">
        <v>808</v>
      </c>
      <c r="J470" s="35"/>
      <c r="K470" s="36"/>
      <c r="L470" s="34" t="s">
        <v>105</v>
      </c>
      <c r="M470" s="40"/>
      <c r="N470" s="40"/>
      <c r="O470" s="35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17"/>
      <c r="BP470" s="49"/>
      <c r="BQ470" s="17">
        <v>1</v>
      </c>
      <c r="BR470" s="17">
        <f t="shared" si="22"/>
        <v>0</v>
      </c>
      <c r="BS470" s="28">
        <f t="shared" si="23"/>
        <v>0</v>
      </c>
      <c r="BT470" s="28">
        <v>1</v>
      </c>
    </row>
    <row r="471" spans="1:72" ht="15.75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627</v>
      </c>
      <c r="F471" s="33" t="s">
        <v>204</v>
      </c>
      <c r="G471" s="34" t="s">
        <v>127</v>
      </c>
      <c r="H471" s="24">
        <f t="shared" si="21"/>
        <v>0</v>
      </c>
      <c r="I471" s="35"/>
      <c r="J471" s="35" t="s">
        <v>579</v>
      </c>
      <c r="K471" s="36"/>
      <c r="L471" s="34" t="s">
        <v>100</v>
      </c>
      <c r="M471" s="40"/>
      <c r="N471" s="40"/>
      <c r="O471" s="35" t="s">
        <v>579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17"/>
      <c r="BQ471" s="17">
        <v>2</v>
      </c>
      <c r="BR471" s="17">
        <f t="shared" si="22"/>
        <v>0</v>
      </c>
      <c r="BS471" s="28">
        <f t="shared" si="23"/>
        <v>0</v>
      </c>
      <c r="BT471" s="28">
        <v>1</v>
      </c>
    </row>
    <row r="472" spans="1:72" ht="15.75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629</v>
      </c>
      <c r="F472" s="33" t="s">
        <v>204</v>
      </c>
      <c r="G472" s="34" t="s">
        <v>127</v>
      </c>
      <c r="H472" s="24">
        <f t="shared" si="21"/>
        <v>0</v>
      </c>
      <c r="I472" s="35"/>
      <c r="J472" s="35" t="s">
        <v>579</v>
      </c>
      <c r="K472" s="36"/>
      <c r="L472" s="34" t="s">
        <v>100</v>
      </c>
      <c r="M472" s="40"/>
      <c r="N472" s="40"/>
      <c r="O472" s="35" t="s">
        <v>579</v>
      </c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17"/>
      <c r="BQ472" s="17">
        <v>2</v>
      </c>
      <c r="BR472" s="17">
        <f t="shared" si="22"/>
        <v>0</v>
      </c>
      <c r="BS472" s="28">
        <f t="shared" si="23"/>
        <v>0</v>
      </c>
      <c r="BT472" s="28">
        <v>1</v>
      </c>
    </row>
    <row r="473" spans="1:72" ht="15.75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630</v>
      </c>
      <c r="F473" s="33" t="s">
        <v>204</v>
      </c>
      <c r="G473" s="34" t="s">
        <v>127</v>
      </c>
      <c r="H473" s="24">
        <f t="shared" si="21"/>
        <v>0</v>
      </c>
      <c r="I473" s="35" t="s">
        <v>808</v>
      </c>
      <c r="J473" s="35" t="s">
        <v>579</v>
      </c>
      <c r="K473" s="36"/>
      <c r="L473" s="34" t="s">
        <v>100</v>
      </c>
      <c r="M473" s="40"/>
      <c r="N473" s="40"/>
      <c r="O473" s="35" t="s">
        <v>579</v>
      </c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17"/>
      <c r="BP473" s="17"/>
      <c r="BQ473" s="17">
        <v>2</v>
      </c>
      <c r="BR473" s="17">
        <f t="shared" si="22"/>
        <v>0</v>
      </c>
      <c r="BS473" s="28">
        <f t="shared" si="23"/>
        <v>0</v>
      </c>
      <c r="BT473" s="28">
        <v>1</v>
      </c>
    </row>
    <row r="474" spans="1:72" ht="15.75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631</v>
      </c>
      <c r="F474" s="33" t="s">
        <v>204</v>
      </c>
      <c r="G474" s="34" t="s">
        <v>127</v>
      </c>
      <c r="H474" s="24">
        <f t="shared" si="21"/>
        <v>0</v>
      </c>
      <c r="I474" s="35" t="s">
        <v>808</v>
      </c>
      <c r="J474" s="35" t="s">
        <v>579</v>
      </c>
      <c r="K474" s="36"/>
      <c r="L474" s="34" t="s">
        <v>100</v>
      </c>
      <c r="M474" s="40"/>
      <c r="N474" s="40"/>
      <c r="O474" s="35" t="s">
        <v>579</v>
      </c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17"/>
      <c r="BP474" s="17"/>
      <c r="BQ474" s="17">
        <v>2</v>
      </c>
      <c r="BR474" s="17">
        <f t="shared" si="22"/>
        <v>0</v>
      </c>
      <c r="BS474" s="28">
        <f t="shared" si="23"/>
        <v>0</v>
      </c>
      <c r="BT474" s="28">
        <v>1</v>
      </c>
    </row>
    <row r="475" spans="1:72" ht="15.75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791</v>
      </c>
      <c r="F475" s="33" t="s">
        <v>204</v>
      </c>
      <c r="G475" s="34" t="s">
        <v>127</v>
      </c>
      <c r="H475" s="24">
        <f t="shared" si="21"/>
        <v>0</v>
      </c>
      <c r="I475" s="35" t="s">
        <v>808</v>
      </c>
      <c r="J475" s="35" t="s">
        <v>579</v>
      </c>
      <c r="K475" s="36"/>
      <c r="L475" s="34" t="s">
        <v>100</v>
      </c>
      <c r="M475" s="40"/>
      <c r="N475" s="53"/>
      <c r="O475" s="35" t="s">
        <v>579</v>
      </c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17"/>
      <c r="BP475" s="17"/>
      <c r="BQ475" s="17">
        <v>2</v>
      </c>
      <c r="BR475" s="17">
        <f t="shared" si="22"/>
        <v>0</v>
      </c>
      <c r="BS475" s="28">
        <f t="shared" si="23"/>
        <v>0</v>
      </c>
      <c r="BT475" s="28">
        <v>1</v>
      </c>
    </row>
    <row r="476" spans="1:72" ht="15.75" customHeight="1" x14ac:dyDescent="0.3">
      <c r="A476" s="32" t="s">
        <v>599</v>
      </c>
      <c r="B476" s="33" t="s">
        <v>647</v>
      </c>
      <c r="C476" s="33" t="s">
        <v>548</v>
      </c>
      <c r="D476" s="33" t="s">
        <v>641</v>
      </c>
      <c r="E476" s="33" t="s">
        <v>642</v>
      </c>
      <c r="F476" s="33" t="s">
        <v>132</v>
      </c>
      <c r="G476" s="34" t="s">
        <v>99</v>
      </c>
      <c r="H476" s="24">
        <f t="shared" si="21"/>
        <v>0</v>
      </c>
      <c r="I476" s="35" t="s">
        <v>808</v>
      </c>
      <c r="J476" s="35"/>
      <c r="K476" s="36"/>
      <c r="L476" s="34" t="s">
        <v>100</v>
      </c>
      <c r="M476" s="40"/>
      <c r="N476" s="53"/>
      <c r="O476" s="35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17"/>
      <c r="BQ476" s="17">
        <v>1</v>
      </c>
      <c r="BR476" s="17">
        <f t="shared" si="22"/>
        <v>0</v>
      </c>
      <c r="BS476" s="28">
        <f t="shared" si="23"/>
        <v>0</v>
      </c>
      <c r="BT476" s="28">
        <v>1</v>
      </c>
    </row>
    <row r="477" spans="1:72" ht="15.75" customHeight="1" x14ac:dyDescent="0.3">
      <c r="A477" s="32" t="s">
        <v>599</v>
      </c>
      <c r="B477" s="33" t="s">
        <v>609</v>
      </c>
      <c r="C477" s="33" t="s">
        <v>548</v>
      </c>
      <c r="D477" s="33" t="s">
        <v>610</v>
      </c>
      <c r="E477" s="33" t="s">
        <v>789</v>
      </c>
      <c r="F477" s="33" t="s">
        <v>88</v>
      </c>
      <c r="G477" s="34" t="s">
        <v>127</v>
      </c>
      <c r="H477" s="24">
        <f t="shared" si="21"/>
        <v>0.5</v>
      </c>
      <c r="I477" s="35" t="s">
        <v>808</v>
      </c>
      <c r="J477" s="35"/>
      <c r="K477" s="36"/>
      <c r="L477" s="34" t="s">
        <v>100</v>
      </c>
      <c r="M477" s="40"/>
      <c r="N477" s="51" t="s">
        <v>883</v>
      </c>
      <c r="O477" s="35"/>
      <c r="P477" s="27"/>
      <c r="Q477" s="27"/>
      <c r="R477" s="27" t="s">
        <v>886</v>
      </c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17"/>
      <c r="BP477" s="17"/>
      <c r="BQ477" s="17">
        <v>2</v>
      </c>
      <c r="BR477" s="17">
        <f t="shared" si="22"/>
        <v>1</v>
      </c>
      <c r="BS477" s="28">
        <f t="shared" si="23"/>
        <v>0</v>
      </c>
      <c r="BT477" s="28">
        <v>1</v>
      </c>
    </row>
    <row r="478" spans="1:72" ht="15.75" customHeight="1" x14ac:dyDescent="0.3">
      <c r="A478" s="32" t="s">
        <v>599</v>
      </c>
      <c r="B478" s="33" t="s">
        <v>609</v>
      </c>
      <c r="C478" s="33" t="s">
        <v>548</v>
      </c>
      <c r="D478" s="33" t="s">
        <v>601</v>
      </c>
      <c r="E478" s="33" t="s">
        <v>617</v>
      </c>
      <c r="F478" s="33" t="s">
        <v>132</v>
      </c>
      <c r="G478" s="34" t="s">
        <v>99</v>
      </c>
      <c r="H478" s="24">
        <f t="shared" si="21"/>
        <v>0</v>
      </c>
      <c r="I478" s="35" t="s">
        <v>808</v>
      </c>
      <c r="J478" s="35"/>
      <c r="K478" s="36"/>
      <c r="L478" s="34" t="s">
        <v>100</v>
      </c>
      <c r="M478" s="40"/>
      <c r="N478" s="53"/>
      <c r="O478" s="35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17"/>
      <c r="BP478" s="17"/>
      <c r="BQ478" s="17">
        <v>1</v>
      </c>
      <c r="BR478" s="17">
        <f t="shared" si="22"/>
        <v>0</v>
      </c>
      <c r="BS478" s="28">
        <f t="shared" si="23"/>
        <v>0</v>
      </c>
      <c r="BT478" s="28">
        <v>1</v>
      </c>
    </row>
    <row r="479" spans="1:72" ht="15.75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618</v>
      </c>
      <c r="F479" s="33" t="s">
        <v>132</v>
      </c>
      <c r="G479" s="34" t="s">
        <v>99</v>
      </c>
      <c r="H479" s="24">
        <f t="shared" si="21"/>
        <v>0</v>
      </c>
      <c r="I479" s="35" t="s">
        <v>808</v>
      </c>
      <c r="J479" s="35"/>
      <c r="K479" s="36"/>
      <c r="L479" s="34" t="s">
        <v>100</v>
      </c>
      <c r="M479" s="40"/>
      <c r="N479" s="53"/>
      <c r="O479" s="35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17"/>
      <c r="BP479" s="17"/>
      <c r="BQ479" s="17">
        <v>1</v>
      </c>
      <c r="BR479" s="17">
        <f t="shared" si="22"/>
        <v>0</v>
      </c>
      <c r="BS479" s="28">
        <f t="shared" si="23"/>
        <v>0</v>
      </c>
      <c r="BT479" s="28">
        <v>1</v>
      </c>
    </row>
    <row r="480" spans="1:72" ht="15.75" customHeight="1" x14ac:dyDescent="0.3">
      <c r="A480" s="32" t="s">
        <v>599</v>
      </c>
      <c r="B480" s="33" t="s">
        <v>609</v>
      </c>
      <c r="C480" s="33" t="s">
        <v>548</v>
      </c>
      <c r="D480" s="33" t="s">
        <v>610</v>
      </c>
      <c r="E480" s="33" t="s">
        <v>619</v>
      </c>
      <c r="F480" s="33" t="s">
        <v>132</v>
      </c>
      <c r="G480" s="34" t="s">
        <v>99</v>
      </c>
      <c r="H480" s="24">
        <f t="shared" si="21"/>
        <v>0</v>
      </c>
      <c r="I480" s="35" t="s">
        <v>808</v>
      </c>
      <c r="J480" s="35"/>
      <c r="K480" s="36"/>
      <c r="L480" s="34" t="s">
        <v>105</v>
      </c>
      <c r="M480" s="40"/>
      <c r="N480" s="53"/>
      <c r="O480" s="35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17"/>
      <c r="BP480" s="17"/>
      <c r="BQ480" s="17">
        <v>1</v>
      </c>
      <c r="BR480" s="17">
        <f t="shared" si="22"/>
        <v>0</v>
      </c>
      <c r="BS480" s="28">
        <f t="shared" si="23"/>
        <v>0</v>
      </c>
      <c r="BT480" s="28">
        <v>1</v>
      </c>
    </row>
    <row r="481" spans="1:72" ht="15.75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602</v>
      </c>
      <c r="F481" s="33" t="s">
        <v>672</v>
      </c>
      <c r="G481" s="34" t="s">
        <v>673</v>
      </c>
      <c r="H481" s="24">
        <f t="shared" si="21"/>
        <v>0.25</v>
      </c>
      <c r="I481" s="35"/>
      <c r="J481" s="35"/>
      <c r="K481" s="36"/>
      <c r="L481" s="34" t="s">
        <v>100</v>
      </c>
      <c r="M481" s="40"/>
      <c r="N481" s="51" t="s">
        <v>871</v>
      </c>
      <c r="O481" s="35" t="s">
        <v>604</v>
      </c>
      <c r="P481" s="27"/>
      <c r="Q481" s="27"/>
      <c r="R481" s="27"/>
      <c r="S481" s="27" t="s">
        <v>865</v>
      </c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17"/>
      <c r="BP481" s="17"/>
      <c r="BQ481" s="17">
        <v>4</v>
      </c>
      <c r="BR481" s="17">
        <f t="shared" si="22"/>
        <v>1</v>
      </c>
      <c r="BS481" s="28">
        <f t="shared" si="23"/>
        <v>0</v>
      </c>
      <c r="BT481" s="28">
        <v>1</v>
      </c>
    </row>
    <row r="482" spans="1:72" ht="15.75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605</v>
      </c>
      <c r="F482" s="33" t="s">
        <v>672</v>
      </c>
      <c r="G482" s="34" t="s">
        <v>673</v>
      </c>
      <c r="H482" s="24">
        <f t="shared" si="21"/>
        <v>0.25</v>
      </c>
      <c r="I482" s="35"/>
      <c r="J482" s="35"/>
      <c r="K482" s="36"/>
      <c r="L482" s="34" t="s">
        <v>100</v>
      </c>
      <c r="M482" s="40"/>
      <c r="N482" s="51" t="s">
        <v>866</v>
      </c>
      <c r="O482" s="35" t="s">
        <v>606</v>
      </c>
      <c r="P482" s="27"/>
      <c r="Q482" s="27"/>
      <c r="R482" s="27"/>
      <c r="S482" s="68" t="s">
        <v>867</v>
      </c>
      <c r="T482" s="27"/>
      <c r="U482" s="27"/>
      <c r="V482" s="27"/>
      <c r="W482" s="27"/>
      <c r="X482" s="27"/>
      <c r="Y482" s="54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54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54"/>
      <c r="BM482" s="27"/>
      <c r="BN482" s="27"/>
      <c r="BO482" s="17"/>
      <c r="BP482" s="17"/>
      <c r="BQ482" s="17">
        <v>4</v>
      </c>
      <c r="BR482" s="17">
        <f t="shared" si="22"/>
        <v>1</v>
      </c>
      <c r="BS482" s="28">
        <f t="shared" si="23"/>
        <v>0</v>
      </c>
      <c r="BT482" s="28">
        <v>1</v>
      </c>
    </row>
    <row r="483" spans="1:72" ht="15.75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793</v>
      </c>
      <c r="F483" s="33" t="s">
        <v>672</v>
      </c>
      <c r="G483" s="34" t="s">
        <v>673</v>
      </c>
      <c r="H483" s="24">
        <f t="shared" si="21"/>
        <v>0.25</v>
      </c>
      <c r="I483" s="35"/>
      <c r="J483" s="35" t="s">
        <v>648</v>
      </c>
      <c r="K483" s="36"/>
      <c r="L483" s="34" t="s">
        <v>100</v>
      </c>
      <c r="M483" s="40"/>
      <c r="N483" s="40" t="s">
        <v>869</v>
      </c>
      <c r="O483" s="35" t="s">
        <v>649</v>
      </c>
      <c r="P483" s="27"/>
      <c r="Q483" s="27"/>
      <c r="R483" s="27"/>
      <c r="S483" s="27" t="s">
        <v>865</v>
      </c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17"/>
      <c r="BP483" s="27"/>
      <c r="BQ483" s="17">
        <v>4</v>
      </c>
      <c r="BR483" s="17">
        <f t="shared" si="22"/>
        <v>1</v>
      </c>
      <c r="BS483" s="28">
        <f t="shared" si="23"/>
        <v>0</v>
      </c>
      <c r="BT483" s="28">
        <v>1</v>
      </c>
    </row>
    <row r="484" spans="1:72" ht="15.75" customHeight="1" x14ac:dyDescent="0.3">
      <c r="A484" s="32" t="s">
        <v>599</v>
      </c>
      <c r="B484" s="33" t="s">
        <v>614</v>
      </c>
      <c r="C484" s="33" t="s">
        <v>615</v>
      </c>
      <c r="D484" s="33" t="s">
        <v>848</v>
      </c>
      <c r="E484" s="33" t="s">
        <v>243</v>
      </c>
      <c r="F484" s="33" t="s">
        <v>204</v>
      </c>
      <c r="G484" s="34" t="s">
        <v>127</v>
      </c>
      <c r="H484" s="24">
        <f t="shared" si="21"/>
        <v>0</v>
      </c>
      <c r="I484" s="35" t="s">
        <v>808</v>
      </c>
      <c r="J484" s="35" t="s">
        <v>205</v>
      </c>
      <c r="K484" s="36"/>
      <c r="L484" s="34" t="s">
        <v>100</v>
      </c>
      <c r="M484" s="40"/>
      <c r="N484" s="53"/>
      <c r="O484" s="35" t="s">
        <v>205</v>
      </c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17">
        <v>2</v>
      </c>
      <c r="BR484" s="17">
        <f t="shared" si="22"/>
        <v>0</v>
      </c>
      <c r="BS484" s="28">
        <f t="shared" si="23"/>
        <v>0</v>
      </c>
      <c r="BT484" s="28">
        <v>1</v>
      </c>
    </row>
    <row r="485" spans="1:72" ht="15.75" customHeight="1" x14ac:dyDescent="0.3">
      <c r="A485" s="32" t="s">
        <v>599</v>
      </c>
      <c r="B485" s="33" t="s">
        <v>620</v>
      </c>
      <c r="C485" s="33" t="s">
        <v>615</v>
      </c>
      <c r="D485" s="33" t="s">
        <v>849</v>
      </c>
      <c r="E485" s="33" t="s">
        <v>622</v>
      </c>
      <c r="F485" s="33" t="s">
        <v>204</v>
      </c>
      <c r="G485" s="34" t="s">
        <v>127</v>
      </c>
      <c r="H485" s="24">
        <f t="shared" si="21"/>
        <v>0</v>
      </c>
      <c r="I485" s="35" t="s">
        <v>808</v>
      </c>
      <c r="J485" s="35"/>
      <c r="K485" s="36"/>
      <c r="L485" s="34" t="s">
        <v>105</v>
      </c>
      <c r="M485" s="40"/>
      <c r="N485" s="53"/>
      <c r="O485" s="35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80"/>
      <c r="BP485" s="27"/>
      <c r="BQ485" s="17">
        <v>2</v>
      </c>
      <c r="BR485" s="17">
        <f t="shared" si="22"/>
        <v>0</v>
      </c>
      <c r="BS485" s="28">
        <f t="shared" si="23"/>
        <v>0</v>
      </c>
      <c r="BT485" s="28">
        <v>1</v>
      </c>
    </row>
    <row r="486" spans="1:72" ht="15.75" customHeight="1" x14ac:dyDescent="0.3">
      <c r="A486" s="32" t="s">
        <v>599</v>
      </c>
      <c r="B486" s="33" t="s">
        <v>620</v>
      </c>
      <c r="C486" s="33" t="s">
        <v>615</v>
      </c>
      <c r="D486" s="33" t="s">
        <v>849</v>
      </c>
      <c r="E486" s="33" t="s">
        <v>623</v>
      </c>
      <c r="F486" s="33" t="s">
        <v>204</v>
      </c>
      <c r="G486" s="34" t="s">
        <v>127</v>
      </c>
      <c r="H486" s="24">
        <f t="shared" si="21"/>
        <v>0</v>
      </c>
      <c r="I486" s="35" t="s">
        <v>808</v>
      </c>
      <c r="J486" s="35"/>
      <c r="K486" s="36"/>
      <c r="L486" s="34" t="s">
        <v>105</v>
      </c>
      <c r="M486" s="40"/>
      <c r="N486" s="53"/>
      <c r="O486" s="35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80"/>
      <c r="BP486" s="41"/>
      <c r="BQ486" s="17">
        <v>2</v>
      </c>
      <c r="BR486" s="17">
        <f t="shared" si="22"/>
        <v>0</v>
      </c>
      <c r="BS486" s="28">
        <f t="shared" si="23"/>
        <v>0</v>
      </c>
      <c r="BT486" s="28">
        <v>1</v>
      </c>
    </row>
    <row r="487" spans="1:72" ht="15.75" customHeight="1" x14ac:dyDescent="0.3">
      <c r="A487" s="32" t="s">
        <v>599</v>
      </c>
      <c r="B487" s="33" t="s">
        <v>847</v>
      </c>
      <c r="C487" s="33" t="s">
        <v>615</v>
      </c>
      <c r="D487" s="33" t="s">
        <v>616</v>
      </c>
      <c r="E487" s="33" t="s">
        <v>243</v>
      </c>
      <c r="F487" s="33" t="s">
        <v>204</v>
      </c>
      <c r="G487" s="34" t="s">
        <v>127</v>
      </c>
      <c r="H487" s="24">
        <f t="shared" si="21"/>
        <v>0</v>
      </c>
      <c r="I487" s="35" t="s">
        <v>808</v>
      </c>
      <c r="J487" s="35" t="s">
        <v>205</v>
      </c>
      <c r="K487" s="36"/>
      <c r="L487" s="34" t="s">
        <v>100</v>
      </c>
      <c r="M487" s="40"/>
      <c r="N487" s="53"/>
      <c r="O487" s="35" t="s">
        <v>205</v>
      </c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17">
        <v>2</v>
      </c>
      <c r="BR487" s="17">
        <f t="shared" si="22"/>
        <v>0</v>
      </c>
      <c r="BS487" s="28">
        <f t="shared" si="23"/>
        <v>0</v>
      </c>
      <c r="BT487" s="28">
        <v>1</v>
      </c>
    </row>
    <row r="488" spans="1:72" ht="15.75" customHeight="1" x14ac:dyDescent="0.3">
      <c r="A488" s="32" t="s">
        <v>599</v>
      </c>
      <c r="B488" s="33" t="s">
        <v>620</v>
      </c>
      <c r="C488" s="33" t="s">
        <v>615</v>
      </c>
      <c r="D488" s="33" t="s">
        <v>621</v>
      </c>
      <c r="E488" s="33" t="s">
        <v>622</v>
      </c>
      <c r="F488" s="33" t="s">
        <v>204</v>
      </c>
      <c r="G488" s="34" t="s">
        <v>127</v>
      </c>
      <c r="H488" s="24">
        <f t="shared" si="21"/>
        <v>0</v>
      </c>
      <c r="I488" s="35" t="s">
        <v>808</v>
      </c>
      <c r="J488" s="35"/>
      <c r="K488" s="36"/>
      <c r="L488" s="34" t="s">
        <v>105</v>
      </c>
      <c r="M488" s="40"/>
      <c r="N488" s="53"/>
      <c r="O488" s="35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80"/>
      <c r="BP488" s="27"/>
      <c r="BQ488" s="17">
        <v>2</v>
      </c>
      <c r="BR488" s="17">
        <f t="shared" si="22"/>
        <v>0</v>
      </c>
      <c r="BS488" s="28">
        <f t="shared" si="23"/>
        <v>0</v>
      </c>
      <c r="BT488" s="28">
        <v>1</v>
      </c>
    </row>
    <row r="489" spans="1:72" ht="15.75" customHeight="1" x14ac:dyDescent="0.3">
      <c r="A489" s="32" t="s">
        <v>599</v>
      </c>
      <c r="B489" s="33" t="s">
        <v>620</v>
      </c>
      <c r="C489" s="33" t="s">
        <v>615</v>
      </c>
      <c r="D489" s="33" t="s">
        <v>621</v>
      </c>
      <c r="E489" s="33" t="s">
        <v>623</v>
      </c>
      <c r="F489" s="33" t="s">
        <v>204</v>
      </c>
      <c r="G489" s="34" t="s">
        <v>127</v>
      </c>
      <c r="H489" s="24">
        <f t="shared" si="21"/>
        <v>0</v>
      </c>
      <c r="I489" s="35" t="s">
        <v>808</v>
      </c>
      <c r="J489" s="35"/>
      <c r="K489" s="36"/>
      <c r="L489" s="34" t="s">
        <v>105</v>
      </c>
      <c r="M489" s="40"/>
      <c r="N489" s="53"/>
      <c r="O489" s="35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80"/>
      <c r="BP489" s="27"/>
      <c r="BQ489" s="17">
        <v>2</v>
      </c>
      <c r="BR489" s="17">
        <f t="shared" si="22"/>
        <v>0</v>
      </c>
      <c r="BS489" s="28">
        <f t="shared" si="23"/>
        <v>0</v>
      </c>
      <c r="BT489" s="28">
        <v>1</v>
      </c>
    </row>
    <row r="490" spans="1:72" ht="15.75" customHeight="1" x14ac:dyDescent="0.3">
      <c r="A490" s="32" t="s">
        <v>650</v>
      </c>
      <c r="B490" s="33" t="s">
        <v>651</v>
      </c>
      <c r="C490" s="33" t="s">
        <v>652</v>
      </c>
      <c r="D490" s="33" t="s">
        <v>653</v>
      </c>
      <c r="E490" s="33" t="s">
        <v>173</v>
      </c>
      <c r="F490" s="33" t="s">
        <v>204</v>
      </c>
      <c r="G490" s="34" t="s">
        <v>127</v>
      </c>
      <c r="H490" s="24">
        <f t="shared" si="21"/>
        <v>0</v>
      </c>
      <c r="I490" s="35"/>
      <c r="J490" s="35"/>
      <c r="K490" s="36"/>
      <c r="L490" s="34" t="s">
        <v>100</v>
      </c>
      <c r="M490" s="40"/>
      <c r="N490" s="40"/>
      <c r="O490" s="35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80"/>
      <c r="BP490" s="27"/>
      <c r="BQ490" s="17">
        <v>2</v>
      </c>
      <c r="BR490" s="17">
        <f t="shared" si="22"/>
        <v>0</v>
      </c>
      <c r="BS490" s="28">
        <f t="shared" si="23"/>
        <v>0</v>
      </c>
      <c r="BT490" s="28">
        <v>1</v>
      </c>
    </row>
    <row r="491" spans="1:72" ht="15.75" customHeight="1" x14ac:dyDescent="0.3">
      <c r="A491" s="32" t="s">
        <v>650</v>
      </c>
      <c r="B491" s="33" t="s">
        <v>651</v>
      </c>
      <c r="C491" s="33" t="s">
        <v>652</v>
      </c>
      <c r="D491" s="33" t="s">
        <v>653</v>
      </c>
      <c r="E491" s="33" t="s">
        <v>794</v>
      </c>
      <c r="F491" s="33" t="s">
        <v>204</v>
      </c>
      <c r="G491" s="34" t="s">
        <v>127</v>
      </c>
      <c r="H491" s="24">
        <f t="shared" si="21"/>
        <v>0</v>
      </c>
      <c r="I491" s="35"/>
      <c r="J491" s="35"/>
      <c r="K491" s="36"/>
      <c r="L491" s="34" t="s">
        <v>100</v>
      </c>
      <c r="M491" s="40"/>
      <c r="N491" s="40"/>
      <c r="O491" s="35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80"/>
      <c r="BP491" s="27"/>
      <c r="BQ491" s="17">
        <v>2</v>
      </c>
      <c r="BR491" s="17">
        <f t="shared" si="22"/>
        <v>0</v>
      </c>
      <c r="BS491" s="28">
        <f t="shared" si="23"/>
        <v>0</v>
      </c>
      <c r="BT491" s="28">
        <v>1</v>
      </c>
    </row>
    <row r="492" spans="1:72" ht="15.75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183</v>
      </c>
      <c r="F492" s="33" t="s">
        <v>204</v>
      </c>
      <c r="G492" s="34" t="s">
        <v>127</v>
      </c>
      <c r="H492" s="24">
        <f t="shared" si="21"/>
        <v>0</v>
      </c>
      <c r="I492" s="35"/>
      <c r="J492" s="35"/>
      <c r="K492" s="36"/>
      <c r="L492" s="34" t="s">
        <v>100</v>
      </c>
      <c r="M492" s="40"/>
      <c r="N492" s="40"/>
      <c r="O492" s="35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80"/>
      <c r="BP492" s="27"/>
      <c r="BQ492" s="17">
        <v>2</v>
      </c>
      <c r="BR492" s="17">
        <f t="shared" si="22"/>
        <v>0</v>
      </c>
      <c r="BS492" s="28">
        <f t="shared" si="23"/>
        <v>0</v>
      </c>
      <c r="BT492" s="28">
        <v>1</v>
      </c>
    </row>
    <row r="493" spans="1:72" ht="15.75" customHeight="1" x14ac:dyDescent="0.3">
      <c r="A493" s="32" t="s">
        <v>650</v>
      </c>
      <c r="B493" s="33" t="s">
        <v>654</v>
      </c>
      <c r="C493" s="33" t="s">
        <v>652</v>
      </c>
      <c r="D493" s="33" t="s">
        <v>655</v>
      </c>
      <c r="E493" s="33" t="s">
        <v>173</v>
      </c>
      <c r="F493" s="33" t="s">
        <v>204</v>
      </c>
      <c r="G493" s="34" t="s">
        <v>127</v>
      </c>
      <c r="H493" s="24">
        <f t="shared" si="21"/>
        <v>0</v>
      </c>
      <c r="I493" s="35"/>
      <c r="J493" s="35"/>
      <c r="K493" s="36"/>
      <c r="L493" s="34" t="s">
        <v>100</v>
      </c>
      <c r="M493" s="40"/>
      <c r="N493" s="40"/>
      <c r="O493" s="35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80"/>
      <c r="BP493" s="27"/>
      <c r="BQ493" s="17">
        <v>2</v>
      </c>
      <c r="BR493" s="17">
        <f t="shared" si="22"/>
        <v>0</v>
      </c>
      <c r="BS493" s="28">
        <f t="shared" si="23"/>
        <v>0</v>
      </c>
      <c r="BT493" s="28">
        <v>1</v>
      </c>
    </row>
    <row r="494" spans="1:72" ht="15.75" customHeight="1" x14ac:dyDescent="0.3">
      <c r="A494" s="32" t="s">
        <v>650</v>
      </c>
      <c r="B494" s="33" t="s">
        <v>654</v>
      </c>
      <c r="C494" s="33" t="s">
        <v>652</v>
      </c>
      <c r="D494" s="33" t="s">
        <v>655</v>
      </c>
      <c r="E494" s="33" t="s">
        <v>794</v>
      </c>
      <c r="F494" s="33" t="s">
        <v>204</v>
      </c>
      <c r="G494" s="34" t="s">
        <v>127</v>
      </c>
      <c r="H494" s="24">
        <f t="shared" si="21"/>
        <v>0</v>
      </c>
      <c r="I494" s="35"/>
      <c r="J494" s="35"/>
      <c r="K494" s="36"/>
      <c r="L494" s="34" t="s">
        <v>100</v>
      </c>
      <c r="M494" s="40"/>
      <c r="N494" s="40"/>
      <c r="O494" s="35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80"/>
      <c r="BP494" s="27"/>
      <c r="BQ494" s="17">
        <v>2</v>
      </c>
      <c r="BR494" s="17">
        <f t="shared" si="22"/>
        <v>0</v>
      </c>
      <c r="BS494" s="28">
        <f t="shared" si="23"/>
        <v>0</v>
      </c>
      <c r="BT494" s="28">
        <v>1</v>
      </c>
    </row>
    <row r="495" spans="1:72" ht="15.75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183</v>
      </c>
      <c r="F495" s="33" t="s">
        <v>204</v>
      </c>
      <c r="G495" s="34" t="s">
        <v>127</v>
      </c>
      <c r="H495" s="24">
        <f t="shared" si="21"/>
        <v>0</v>
      </c>
      <c r="I495" s="35"/>
      <c r="J495" s="35"/>
      <c r="K495" s="36"/>
      <c r="L495" s="34" t="s">
        <v>100</v>
      </c>
      <c r="M495" s="40"/>
      <c r="N495" s="40"/>
      <c r="O495" s="35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80"/>
      <c r="BP495" s="27"/>
      <c r="BQ495" s="17">
        <v>2</v>
      </c>
      <c r="BR495" s="17">
        <f t="shared" si="22"/>
        <v>0</v>
      </c>
      <c r="BS495" s="28">
        <f t="shared" si="23"/>
        <v>0</v>
      </c>
      <c r="BT495" s="28">
        <v>1</v>
      </c>
    </row>
    <row r="496" spans="1:72" ht="15.75" customHeight="1" x14ac:dyDescent="0.3">
      <c r="A496" s="32" t="s">
        <v>650</v>
      </c>
      <c r="B496" s="33" t="s">
        <v>656</v>
      </c>
      <c r="C496" s="33" t="s">
        <v>652</v>
      </c>
      <c r="D496" s="33" t="s">
        <v>657</v>
      </c>
      <c r="E496" s="33" t="s">
        <v>173</v>
      </c>
      <c r="F496" s="33" t="s">
        <v>88</v>
      </c>
      <c r="G496" s="34" t="s">
        <v>127</v>
      </c>
      <c r="H496" s="24">
        <f t="shared" si="21"/>
        <v>0</v>
      </c>
      <c r="I496" s="35"/>
      <c r="J496" s="35"/>
      <c r="K496" s="36"/>
      <c r="L496" s="34" t="s">
        <v>100</v>
      </c>
      <c r="M496" s="40"/>
      <c r="N496" s="40"/>
      <c r="O496" s="35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80"/>
      <c r="BP496" s="27"/>
      <c r="BQ496" s="17">
        <v>2</v>
      </c>
      <c r="BR496" s="17">
        <f t="shared" si="22"/>
        <v>0</v>
      </c>
      <c r="BS496" s="28">
        <f t="shared" si="23"/>
        <v>0</v>
      </c>
      <c r="BT496" s="28">
        <v>1</v>
      </c>
    </row>
    <row r="497" spans="1:72" ht="15.75" customHeight="1" x14ac:dyDescent="0.3">
      <c r="A497" s="32" t="s">
        <v>650</v>
      </c>
      <c r="B497" s="33" t="s">
        <v>656</v>
      </c>
      <c r="C497" s="33" t="s">
        <v>652</v>
      </c>
      <c r="D497" s="33" t="s">
        <v>657</v>
      </c>
      <c r="E497" s="33" t="s">
        <v>794</v>
      </c>
      <c r="F497" s="33" t="s">
        <v>88</v>
      </c>
      <c r="G497" s="34" t="s">
        <v>127</v>
      </c>
      <c r="H497" s="24">
        <f t="shared" si="21"/>
        <v>0</v>
      </c>
      <c r="I497" s="35"/>
      <c r="J497" s="35"/>
      <c r="K497" s="36"/>
      <c r="L497" s="34" t="s">
        <v>100</v>
      </c>
      <c r="M497" s="40"/>
      <c r="N497" s="40"/>
      <c r="O497" s="35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80"/>
      <c r="BP497" s="27"/>
      <c r="BQ497" s="17">
        <v>2</v>
      </c>
      <c r="BR497" s="17">
        <f t="shared" si="22"/>
        <v>0</v>
      </c>
      <c r="BS497" s="28">
        <f t="shared" si="23"/>
        <v>0</v>
      </c>
      <c r="BT497" s="28">
        <v>1</v>
      </c>
    </row>
    <row r="498" spans="1:72" ht="15.75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183</v>
      </c>
      <c r="F498" s="33" t="s">
        <v>88</v>
      </c>
      <c r="G498" s="34" t="s">
        <v>127</v>
      </c>
      <c r="H498" s="24">
        <f t="shared" si="21"/>
        <v>0</v>
      </c>
      <c r="I498" s="35"/>
      <c r="J498" s="35"/>
      <c r="K498" s="36"/>
      <c r="L498" s="34" t="s">
        <v>100</v>
      </c>
      <c r="M498" s="40"/>
      <c r="N498" s="40"/>
      <c r="O498" s="35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80"/>
      <c r="BP498" s="27"/>
      <c r="BQ498" s="17">
        <v>2</v>
      </c>
      <c r="BR498" s="17">
        <f t="shared" si="22"/>
        <v>0</v>
      </c>
      <c r="BS498" s="28">
        <f t="shared" si="23"/>
        <v>0</v>
      </c>
      <c r="BT498" s="28">
        <v>1</v>
      </c>
    </row>
    <row r="499" spans="1:72" ht="15.75" customHeight="1" x14ac:dyDescent="0.3">
      <c r="A499" s="32" t="s">
        <v>650</v>
      </c>
      <c r="B499" s="33" t="s">
        <v>659</v>
      </c>
      <c r="C499" s="33" t="s">
        <v>652</v>
      </c>
      <c r="D499" s="33" t="s">
        <v>185</v>
      </c>
      <c r="E499" s="33" t="s">
        <v>160</v>
      </c>
      <c r="F499" s="33" t="s">
        <v>204</v>
      </c>
      <c r="G499" s="34" t="s">
        <v>127</v>
      </c>
      <c r="H499" s="24">
        <f t="shared" si="21"/>
        <v>0</v>
      </c>
      <c r="I499" s="35"/>
      <c r="J499" s="35"/>
      <c r="K499" s="36"/>
      <c r="L499" s="34" t="s">
        <v>100</v>
      </c>
      <c r="M499" s="40"/>
      <c r="N499" s="51"/>
      <c r="O499" s="35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80"/>
      <c r="BP499" s="27"/>
      <c r="BQ499" s="17">
        <v>2</v>
      </c>
      <c r="BR499" s="17">
        <f t="shared" si="22"/>
        <v>0</v>
      </c>
      <c r="BS499" s="28">
        <f t="shared" si="23"/>
        <v>0</v>
      </c>
      <c r="BT499" s="28">
        <v>1</v>
      </c>
    </row>
    <row r="500" spans="1:72" ht="15.75" customHeight="1" x14ac:dyDescent="0.3">
      <c r="A500" s="32" t="s">
        <v>650</v>
      </c>
      <c r="B500" s="33" t="s">
        <v>659</v>
      </c>
      <c r="C500" s="33" t="s">
        <v>652</v>
      </c>
      <c r="D500" s="33" t="s">
        <v>185</v>
      </c>
      <c r="E500" s="33" t="s">
        <v>183</v>
      </c>
      <c r="F500" s="33" t="s">
        <v>204</v>
      </c>
      <c r="G500" s="34" t="s">
        <v>127</v>
      </c>
      <c r="H500" s="24">
        <f t="shared" si="21"/>
        <v>0</v>
      </c>
      <c r="I500" s="35"/>
      <c r="J500" s="35"/>
      <c r="K500" s="36"/>
      <c r="L500" s="34" t="s">
        <v>100</v>
      </c>
      <c r="M500" s="40"/>
      <c r="N500" s="51"/>
      <c r="O500" s="35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80"/>
      <c r="BP500" s="27"/>
      <c r="BQ500" s="17">
        <v>2</v>
      </c>
      <c r="BR500" s="17">
        <f t="shared" si="22"/>
        <v>0</v>
      </c>
      <c r="BS500" s="28">
        <f t="shared" si="23"/>
        <v>0</v>
      </c>
      <c r="BT500" s="28">
        <v>1</v>
      </c>
    </row>
    <row r="501" spans="1:72" ht="15.75" customHeight="1" x14ac:dyDescent="0.3">
      <c r="A501" s="32" t="s">
        <v>650</v>
      </c>
      <c r="B501" s="33" t="s">
        <v>658</v>
      </c>
      <c r="C501" s="33" t="s">
        <v>652</v>
      </c>
      <c r="D501" s="33" t="s">
        <v>189</v>
      </c>
      <c r="E501" s="33" t="s">
        <v>160</v>
      </c>
      <c r="F501" s="33" t="s">
        <v>204</v>
      </c>
      <c r="G501" s="34" t="s">
        <v>127</v>
      </c>
      <c r="H501" s="24">
        <f t="shared" si="21"/>
        <v>0</v>
      </c>
      <c r="I501" s="35"/>
      <c r="J501" s="35"/>
      <c r="K501" s="36"/>
      <c r="L501" s="34" t="s">
        <v>100</v>
      </c>
      <c r="M501" s="40"/>
      <c r="N501" s="51"/>
      <c r="O501" s="35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80"/>
      <c r="BP501" s="27"/>
      <c r="BQ501" s="17">
        <v>2</v>
      </c>
      <c r="BR501" s="17">
        <f t="shared" si="22"/>
        <v>0</v>
      </c>
      <c r="BS501" s="28">
        <f t="shared" si="23"/>
        <v>0</v>
      </c>
      <c r="BT501" s="28">
        <v>1</v>
      </c>
    </row>
    <row r="502" spans="1:72" ht="15.75" customHeight="1" x14ac:dyDescent="0.3">
      <c r="A502" s="32" t="s">
        <v>650</v>
      </c>
      <c r="B502" s="33" t="s">
        <v>658</v>
      </c>
      <c r="C502" s="33" t="s">
        <v>652</v>
      </c>
      <c r="D502" s="33" t="s">
        <v>189</v>
      </c>
      <c r="E502" s="33" t="s">
        <v>183</v>
      </c>
      <c r="F502" s="33" t="s">
        <v>204</v>
      </c>
      <c r="G502" s="34" t="s">
        <v>127</v>
      </c>
      <c r="H502" s="24">
        <f t="shared" si="21"/>
        <v>0</v>
      </c>
      <c r="I502" s="35"/>
      <c r="J502" s="35"/>
      <c r="K502" s="36"/>
      <c r="L502" s="34" t="s">
        <v>100</v>
      </c>
      <c r="M502" s="40"/>
      <c r="N502" s="51"/>
      <c r="O502" s="35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80"/>
      <c r="BP502" s="27"/>
      <c r="BQ502" s="17">
        <v>2</v>
      </c>
      <c r="BR502" s="17">
        <f t="shared" si="22"/>
        <v>0</v>
      </c>
      <c r="BS502" s="28">
        <f t="shared" si="23"/>
        <v>0</v>
      </c>
      <c r="BT502" s="28">
        <v>1</v>
      </c>
    </row>
    <row r="503" spans="1:72" ht="15.75" customHeight="1" x14ac:dyDescent="0.3">
      <c r="A503" s="32" t="s">
        <v>650</v>
      </c>
      <c r="B503" s="33" t="s">
        <v>660</v>
      </c>
      <c r="C503" s="33" t="s">
        <v>652</v>
      </c>
      <c r="D503" s="33" t="s">
        <v>187</v>
      </c>
      <c r="E503" s="33" t="s">
        <v>160</v>
      </c>
      <c r="F503" s="33" t="s">
        <v>204</v>
      </c>
      <c r="G503" s="34" t="s">
        <v>127</v>
      </c>
      <c r="H503" s="24">
        <f t="shared" si="21"/>
        <v>0</v>
      </c>
      <c r="I503" s="35"/>
      <c r="J503" s="35"/>
      <c r="K503" s="36"/>
      <c r="L503" s="34" t="s">
        <v>100</v>
      </c>
      <c r="M503" s="40"/>
      <c r="N503" s="51"/>
      <c r="O503" s="35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80"/>
      <c r="BP503" s="27"/>
      <c r="BQ503" s="17">
        <v>2</v>
      </c>
      <c r="BR503" s="17">
        <f t="shared" si="22"/>
        <v>0</v>
      </c>
      <c r="BS503" s="28">
        <f t="shared" si="23"/>
        <v>0</v>
      </c>
      <c r="BT503" s="28">
        <v>1</v>
      </c>
    </row>
    <row r="504" spans="1:72" ht="15.75" customHeight="1" x14ac:dyDescent="0.3">
      <c r="A504" s="32" t="s">
        <v>650</v>
      </c>
      <c r="B504" s="33" t="s">
        <v>660</v>
      </c>
      <c r="C504" s="33" t="s">
        <v>652</v>
      </c>
      <c r="D504" s="33" t="s">
        <v>187</v>
      </c>
      <c r="E504" s="33" t="s">
        <v>183</v>
      </c>
      <c r="F504" s="33" t="s">
        <v>204</v>
      </c>
      <c r="G504" s="34" t="s">
        <v>127</v>
      </c>
      <c r="H504" s="24">
        <f t="shared" si="21"/>
        <v>0</v>
      </c>
      <c r="I504" s="35"/>
      <c r="J504" s="35"/>
      <c r="K504" s="36"/>
      <c r="L504" s="34" t="s">
        <v>100</v>
      </c>
      <c r="M504" s="40"/>
      <c r="N504" s="51"/>
      <c r="O504" s="35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80"/>
      <c r="BP504" s="27"/>
      <c r="BQ504" s="17">
        <v>2</v>
      </c>
      <c r="BR504" s="17">
        <f t="shared" si="22"/>
        <v>0</v>
      </c>
      <c r="BS504" s="28">
        <f t="shared" si="23"/>
        <v>0</v>
      </c>
      <c r="BT504" s="28">
        <v>1</v>
      </c>
    </row>
    <row r="505" spans="1:72" ht="15.75" customHeight="1" x14ac:dyDescent="0.3">
      <c r="A505" s="32" t="s">
        <v>661</v>
      </c>
      <c r="B505" s="33" t="s">
        <v>662</v>
      </c>
      <c r="C505" s="33" t="s">
        <v>370</v>
      </c>
      <c r="D505" s="33" t="s">
        <v>663</v>
      </c>
      <c r="E505" s="33" t="s">
        <v>780</v>
      </c>
      <c r="F505" s="33" t="s">
        <v>88</v>
      </c>
      <c r="G505" s="34" t="s">
        <v>127</v>
      </c>
      <c r="H505" s="24">
        <f t="shared" si="21"/>
        <v>0</v>
      </c>
      <c r="I505" s="35" t="s">
        <v>808</v>
      </c>
      <c r="J505" s="35"/>
      <c r="K505" s="36"/>
      <c r="L505" s="34" t="s">
        <v>100</v>
      </c>
      <c r="M505" s="40"/>
      <c r="N505" s="40"/>
      <c r="O505" s="35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80"/>
      <c r="BP505" s="27"/>
      <c r="BQ505" s="17">
        <v>2</v>
      </c>
      <c r="BR505" s="17">
        <f t="shared" si="22"/>
        <v>0</v>
      </c>
      <c r="BS505" s="28">
        <f t="shared" si="23"/>
        <v>0</v>
      </c>
      <c r="BT505" s="28">
        <v>1</v>
      </c>
    </row>
    <row r="506" spans="1:72" ht="15.75" customHeight="1" x14ac:dyDescent="0.3">
      <c r="A506" s="32" t="s">
        <v>661</v>
      </c>
      <c r="B506" s="33" t="s">
        <v>664</v>
      </c>
      <c r="C506" s="33" t="s">
        <v>665</v>
      </c>
      <c r="D506" s="33" t="s">
        <v>804</v>
      </c>
      <c r="E506" s="33" t="s">
        <v>666</v>
      </c>
      <c r="F506" s="33" t="s">
        <v>667</v>
      </c>
      <c r="G506" s="34" t="s">
        <v>99</v>
      </c>
      <c r="H506" s="24">
        <f t="shared" si="21"/>
        <v>0</v>
      </c>
      <c r="I506" s="35"/>
      <c r="J506" s="35"/>
      <c r="K506" s="36"/>
      <c r="L506" s="34" t="s">
        <v>105</v>
      </c>
      <c r="M506" s="40"/>
      <c r="N506" s="40"/>
      <c r="O506" s="35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17">
        <v>1</v>
      </c>
      <c r="BR506" s="17">
        <f t="shared" si="22"/>
        <v>0</v>
      </c>
      <c r="BS506" s="28">
        <f t="shared" si="23"/>
        <v>0</v>
      </c>
      <c r="BT506" s="28">
        <v>1</v>
      </c>
    </row>
    <row r="507" spans="1:72" ht="15.75" customHeight="1" x14ac:dyDescent="0.3">
      <c r="A507" s="32" t="s">
        <v>661</v>
      </c>
      <c r="B507" s="33" t="s">
        <v>664</v>
      </c>
      <c r="C507" s="33" t="s">
        <v>665</v>
      </c>
      <c r="D507" s="33" t="s">
        <v>804</v>
      </c>
      <c r="E507" s="33" t="s">
        <v>795</v>
      </c>
      <c r="F507" s="33" t="s">
        <v>88</v>
      </c>
      <c r="G507" s="34" t="s">
        <v>127</v>
      </c>
      <c r="H507" s="24">
        <f t="shared" si="21"/>
        <v>0</v>
      </c>
      <c r="I507" s="35"/>
      <c r="J507" s="35"/>
      <c r="K507" s="36"/>
      <c r="L507" s="34" t="s">
        <v>105</v>
      </c>
      <c r="M507" s="40"/>
      <c r="N507" s="40"/>
      <c r="O507" s="35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17"/>
      <c r="BQ507" s="17">
        <v>2</v>
      </c>
      <c r="BR507" s="17">
        <f t="shared" si="22"/>
        <v>0</v>
      </c>
      <c r="BS507" s="28">
        <f t="shared" si="23"/>
        <v>0</v>
      </c>
      <c r="BT507" s="28">
        <v>1</v>
      </c>
    </row>
    <row r="508" spans="1:72" ht="15.75" customHeight="1" x14ac:dyDescent="0.3">
      <c r="A508" s="32" t="s">
        <v>661</v>
      </c>
      <c r="B508" s="33" t="s">
        <v>668</v>
      </c>
      <c r="C508" s="33" t="s">
        <v>665</v>
      </c>
      <c r="D508" s="33" t="s">
        <v>805</v>
      </c>
      <c r="E508" s="33" t="s">
        <v>666</v>
      </c>
      <c r="F508" s="33" t="s">
        <v>667</v>
      </c>
      <c r="G508" s="34" t="s">
        <v>99</v>
      </c>
      <c r="H508" s="24">
        <f t="shared" si="21"/>
        <v>0</v>
      </c>
      <c r="I508" s="35"/>
      <c r="J508" s="35"/>
      <c r="K508" s="36"/>
      <c r="L508" s="34" t="s">
        <v>105</v>
      </c>
      <c r="M508" s="40"/>
      <c r="N508" s="40"/>
      <c r="O508" s="35" t="s">
        <v>579</v>
      </c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17">
        <v>1</v>
      </c>
      <c r="BR508" s="17">
        <f t="shared" si="22"/>
        <v>0</v>
      </c>
      <c r="BS508" s="28">
        <f t="shared" si="23"/>
        <v>0</v>
      </c>
      <c r="BT508" s="28">
        <v>1</v>
      </c>
    </row>
    <row r="509" spans="1:72" ht="15.75" customHeight="1" x14ac:dyDescent="0.3">
      <c r="A509" s="32" t="s">
        <v>661</v>
      </c>
      <c r="B509" s="33" t="s">
        <v>668</v>
      </c>
      <c r="C509" s="33" t="s">
        <v>665</v>
      </c>
      <c r="D509" s="33" t="s">
        <v>805</v>
      </c>
      <c r="E509" s="33" t="s">
        <v>795</v>
      </c>
      <c r="F509" s="33" t="s">
        <v>88</v>
      </c>
      <c r="G509" s="34" t="s">
        <v>127</v>
      </c>
      <c r="H509" s="24">
        <f t="shared" si="21"/>
        <v>0</v>
      </c>
      <c r="I509" s="35"/>
      <c r="J509" s="35"/>
      <c r="K509" s="36"/>
      <c r="L509" s="34" t="s">
        <v>105</v>
      </c>
      <c r="M509" s="40"/>
      <c r="N509" s="40"/>
      <c r="O509" s="35" t="s">
        <v>579</v>
      </c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17"/>
      <c r="BQ509" s="17">
        <v>2</v>
      </c>
      <c r="BR509" s="17">
        <f t="shared" si="22"/>
        <v>0</v>
      </c>
      <c r="BS509" s="28">
        <f t="shared" si="23"/>
        <v>0</v>
      </c>
      <c r="BT509" s="28">
        <v>1</v>
      </c>
    </row>
    <row r="510" spans="1:72" ht="15.75" customHeight="1" x14ac:dyDescent="0.3">
      <c r="A510" s="32" t="s">
        <v>661</v>
      </c>
      <c r="B510" s="33" t="s">
        <v>669</v>
      </c>
      <c r="C510" s="33" t="s">
        <v>551</v>
      </c>
      <c r="D510" s="33" t="s">
        <v>670</v>
      </c>
      <c r="E510" s="33" t="s">
        <v>671</v>
      </c>
      <c r="F510" s="33" t="s">
        <v>88</v>
      </c>
      <c r="G510" s="34" t="s">
        <v>127</v>
      </c>
      <c r="H510" s="24">
        <f t="shared" si="21"/>
        <v>0</v>
      </c>
      <c r="I510" s="35"/>
      <c r="J510" s="35" t="s">
        <v>579</v>
      </c>
      <c r="K510" s="36"/>
      <c r="L510" s="34" t="s">
        <v>100</v>
      </c>
      <c r="M510" s="40"/>
      <c r="N510" s="40"/>
      <c r="O510" s="35" t="s">
        <v>579</v>
      </c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17"/>
      <c r="BQ510" s="17">
        <v>2</v>
      </c>
      <c r="BR510" s="17">
        <f t="shared" si="22"/>
        <v>0</v>
      </c>
      <c r="BS510" s="28">
        <f t="shared" si="23"/>
        <v>0</v>
      </c>
      <c r="BT510" s="28">
        <v>1</v>
      </c>
    </row>
    <row r="511" spans="1:72" ht="15.75" customHeight="1" x14ac:dyDescent="0.3">
      <c r="A511" s="32" t="s">
        <v>661</v>
      </c>
      <c r="B511" s="33" t="s">
        <v>669</v>
      </c>
      <c r="C511" s="33" t="s">
        <v>551</v>
      </c>
      <c r="D511" s="33" t="s">
        <v>670</v>
      </c>
      <c r="E511" s="33" t="s">
        <v>796</v>
      </c>
      <c r="F511" s="33" t="s">
        <v>88</v>
      </c>
      <c r="G511" s="34" t="s">
        <v>127</v>
      </c>
      <c r="H511" s="24">
        <f t="shared" si="21"/>
        <v>0</v>
      </c>
      <c r="I511" s="35"/>
      <c r="J511" s="35" t="s">
        <v>579</v>
      </c>
      <c r="K511" s="36"/>
      <c r="L511" s="34" t="s">
        <v>100</v>
      </c>
      <c r="M511" s="40"/>
      <c r="N511" s="40"/>
      <c r="O511" s="35" t="s">
        <v>579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17"/>
      <c r="BQ511" s="17">
        <v>2</v>
      </c>
      <c r="BR511" s="17">
        <f t="shared" si="22"/>
        <v>0</v>
      </c>
      <c r="BS511" s="28">
        <f t="shared" si="23"/>
        <v>0</v>
      </c>
      <c r="BT511" s="28">
        <v>1</v>
      </c>
    </row>
    <row r="512" spans="1:72" ht="15.75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674</v>
      </c>
      <c r="F512" s="33" t="s">
        <v>88</v>
      </c>
      <c r="G512" s="34" t="s">
        <v>127</v>
      </c>
      <c r="H512" s="24">
        <f t="shared" si="21"/>
        <v>0</v>
      </c>
      <c r="I512" s="35"/>
      <c r="J512" s="35" t="s">
        <v>579</v>
      </c>
      <c r="K512" s="36"/>
      <c r="L512" s="34" t="s">
        <v>100</v>
      </c>
      <c r="M512" s="40"/>
      <c r="N512" s="40"/>
      <c r="O512" s="35" t="s">
        <v>579</v>
      </c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17"/>
      <c r="BQ512" s="17">
        <v>2</v>
      </c>
      <c r="BR512" s="17">
        <f t="shared" si="22"/>
        <v>0</v>
      </c>
      <c r="BS512" s="28">
        <f t="shared" si="23"/>
        <v>0</v>
      </c>
      <c r="BT512" s="28">
        <v>1</v>
      </c>
    </row>
    <row r="513" spans="1:72" ht="15.75" customHeight="1" x14ac:dyDescent="0.3">
      <c r="A513" s="32" t="s">
        <v>661</v>
      </c>
      <c r="B513" s="33" t="s">
        <v>675</v>
      </c>
      <c r="C513" s="33" t="s">
        <v>554</v>
      </c>
      <c r="D513" s="33" t="s">
        <v>670</v>
      </c>
      <c r="E513" s="33" t="s">
        <v>671</v>
      </c>
      <c r="F513" s="33" t="s">
        <v>88</v>
      </c>
      <c r="G513" s="34" t="s">
        <v>127</v>
      </c>
      <c r="H513" s="24">
        <f t="shared" si="21"/>
        <v>0.5</v>
      </c>
      <c r="I513" s="35"/>
      <c r="J513" s="35" t="s">
        <v>579</v>
      </c>
      <c r="K513" s="36"/>
      <c r="L513" s="34" t="s">
        <v>100</v>
      </c>
      <c r="M513" s="40"/>
      <c r="N513" s="40"/>
      <c r="O513" s="35" t="s">
        <v>579</v>
      </c>
      <c r="P513" s="27"/>
      <c r="Q513" s="27"/>
      <c r="R513" s="27"/>
      <c r="S513" s="27"/>
      <c r="T513" s="27"/>
      <c r="U513" s="27"/>
      <c r="V513" s="27"/>
      <c r="W513" s="27"/>
      <c r="X513" s="27" t="s">
        <v>856</v>
      </c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17"/>
      <c r="BQ513" s="17">
        <v>2</v>
      </c>
      <c r="BR513" s="17">
        <f t="shared" si="22"/>
        <v>1</v>
      </c>
      <c r="BS513" s="28">
        <f t="shared" si="23"/>
        <v>0</v>
      </c>
      <c r="BT513" s="28">
        <v>1</v>
      </c>
    </row>
    <row r="514" spans="1:72" ht="15.75" customHeight="1" x14ac:dyDescent="0.3">
      <c r="A514" s="32" t="s">
        <v>661</v>
      </c>
      <c r="B514" s="33" t="s">
        <v>675</v>
      </c>
      <c r="C514" s="33" t="s">
        <v>554</v>
      </c>
      <c r="D514" s="33" t="s">
        <v>670</v>
      </c>
      <c r="E514" s="33" t="s">
        <v>796</v>
      </c>
      <c r="F514" s="33" t="s">
        <v>88</v>
      </c>
      <c r="G514" s="34" t="s">
        <v>127</v>
      </c>
      <c r="H514" s="24">
        <f t="shared" si="21"/>
        <v>0.5</v>
      </c>
      <c r="I514" s="35"/>
      <c r="J514" s="35" t="s">
        <v>579</v>
      </c>
      <c r="K514" s="36"/>
      <c r="L514" s="34" t="s">
        <v>100</v>
      </c>
      <c r="M514" s="40"/>
      <c r="N514" s="40"/>
      <c r="O514" s="35" t="s">
        <v>579</v>
      </c>
      <c r="P514" s="27"/>
      <c r="Q514" s="27"/>
      <c r="R514" s="27"/>
      <c r="S514" s="27"/>
      <c r="T514" s="27"/>
      <c r="U514" s="27"/>
      <c r="V514" s="27"/>
      <c r="W514" s="27"/>
      <c r="X514" s="27" t="s">
        <v>856</v>
      </c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17"/>
      <c r="BQ514" s="17">
        <v>2</v>
      </c>
      <c r="BR514" s="17">
        <f t="shared" si="22"/>
        <v>1</v>
      </c>
      <c r="BS514" s="28">
        <f t="shared" si="23"/>
        <v>0</v>
      </c>
      <c r="BT514" s="28">
        <v>1</v>
      </c>
    </row>
    <row r="515" spans="1:72" ht="15.75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674</v>
      </c>
      <c r="F515" s="33" t="s">
        <v>88</v>
      </c>
      <c r="G515" s="34" t="s">
        <v>127</v>
      </c>
      <c r="H515" s="24">
        <f t="shared" ref="H515:H576" si="24">IF(BQ515=0," ",(BR515/BQ515))</f>
        <v>0.5</v>
      </c>
      <c r="I515" s="35"/>
      <c r="J515" s="35" t="s">
        <v>579</v>
      </c>
      <c r="K515" s="36"/>
      <c r="L515" s="34" t="s">
        <v>100</v>
      </c>
      <c r="M515" s="40"/>
      <c r="N515" s="40"/>
      <c r="O515" s="35" t="s">
        <v>579</v>
      </c>
      <c r="P515" s="27"/>
      <c r="Q515" s="27"/>
      <c r="R515" s="27"/>
      <c r="S515" s="27"/>
      <c r="T515" s="27"/>
      <c r="U515" s="27"/>
      <c r="V515" s="27"/>
      <c r="W515" s="27"/>
      <c r="X515" s="27" t="s">
        <v>856</v>
      </c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17"/>
      <c r="BQ515" s="17">
        <v>2</v>
      </c>
      <c r="BR515" s="17">
        <f t="shared" ref="BR515:BR576" si="25">IF(COUNTA(P515:BP515)&gt;BQ515,BQ515,COUNTA(P515:BP515))</f>
        <v>1</v>
      </c>
      <c r="BS515" s="28">
        <f t="shared" ref="BS515:BS576" si="26">IF(H515=1,1,0)</f>
        <v>0</v>
      </c>
      <c r="BT515" s="28">
        <v>1</v>
      </c>
    </row>
    <row r="516" spans="1:72" ht="15.75" customHeight="1" x14ac:dyDescent="0.3">
      <c r="A516" s="32" t="s">
        <v>661</v>
      </c>
      <c r="B516" s="33" t="s">
        <v>676</v>
      </c>
      <c r="C516" s="33" t="s">
        <v>556</v>
      </c>
      <c r="D516" s="33" t="s">
        <v>670</v>
      </c>
      <c r="E516" s="33" t="s">
        <v>671</v>
      </c>
      <c r="F516" s="33" t="s">
        <v>672</v>
      </c>
      <c r="G516" s="34" t="s">
        <v>673</v>
      </c>
      <c r="H516" s="24">
        <f t="shared" si="24"/>
        <v>0.25</v>
      </c>
      <c r="I516" s="35"/>
      <c r="J516" s="35" t="s">
        <v>579</v>
      </c>
      <c r="K516" s="36"/>
      <c r="L516" s="34" t="s">
        <v>100</v>
      </c>
      <c r="M516" s="40"/>
      <c r="N516" s="40"/>
      <c r="O516" s="35" t="s">
        <v>579</v>
      </c>
      <c r="P516" s="27"/>
      <c r="Q516" s="27"/>
      <c r="R516" s="27"/>
      <c r="S516" s="27"/>
      <c r="T516" s="27"/>
      <c r="U516" s="27"/>
      <c r="V516" s="27"/>
      <c r="W516" s="27" t="s">
        <v>857</v>
      </c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17"/>
      <c r="BQ516" s="17">
        <v>4</v>
      </c>
      <c r="BR516" s="17">
        <f t="shared" si="25"/>
        <v>1</v>
      </c>
      <c r="BS516" s="28">
        <f t="shared" si="26"/>
        <v>0</v>
      </c>
      <c r="BT516" s="28">
        <v>1</v>
      </c>
    </row>
    <row r="517" spans="1:72" ht="15.75" customHeight="1" x14ac:dyDescent="0.3">
      <c r="A517" s="32" t="s">
        <v>661</v>
      </c>
      <c r="B517" s="33" t="s">
        <v>676</v>
      </c>
      <c r="C517" s="33" t="s">
        <v>556</v>
      </c>
      <c r="D517" s="33" t="s">
        <v>670</v>
      </c>
      <c r="E517" s="33" t="s">
        <v>796</v>
      </c>
      <c r="F517" s="33" t="s">
        <v>672</v>
      </c>
      <c r="G517" s="34" t="s">
        <v>673</v>
      </c>
      <c r="H517" s="24">
        <f t="shared" si="24"/>
        <v>0.25</v>
      </c>
      <c r="I517" s="35"/>
      <c r="J517" s="35" t="s">
        <v>579</v>
      </c>
      <c r="K517" s="36"/>
      <c r="L517" s="34" t="s">
        <v>100</v>
      </c>
      <c r="M517" s="40"/>
      <c r="N517" s="40"/>
      <c r="O517" s="35" t="s">
        <v>579</v>
      </c>
      <c r="P517" s="27"/>
      <c r="Q517" s="27"/>
      <c r="R517" s="27"/>
      <c r="S517" s="27"/>
      <c r="T517" s="27"/>
      <c r="U517" s="27"/>
      <c r="V517" s="27"/>
      <c r="W517" s="27" t="s">
        <v>857</v>
      </c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17"/>
      <c r="BQ517" s="17">
        <v>4</v>
      </c>
      <c r="BR517" s="17">
        <f t="shared" si="25"/>
        <v>1</v>
      </c>
      <c r="BS517" s="28">
        <f t="shared" si="26"/>
        <v>0</v>
      </c>
      <c r="BT517" s="28">
        <v>1</v>
      </c>
    </row>
    <row r="518" spans="1:72" ht="15.75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674</v>
      </c>
      <c r="F518" s="33" t="s">
        <v>672</v>
      </c>
      <c r="G518" s="34" t="s">
        <v>673</v>
      </c>
      <c r="H518" s="24">
        <f t="shared" si="24"/>
        <v>0.25</v>
      </c>
      <c r="I518" s="35"/>
      <c r="J518" s="35" t="s">
        <v>579</v>
      </c>
      <c r="K518" s="36"/>
      <c r="L518" s="34" t="s">
        <v>100</v>
      </c>
      <c r="M518" s="40"/>
      <c r="N518" s="40"/>
      <c r="O518" s="35" t="s">
        <v>579</v>
      </c>
      <c r="P518" s="27"/>
      <c r="Q518" s="27"/>
      <c r="R518" s="27"/>
      <c r="S518" s="27"/>
      <c r="T518" s="27"/>
      <c r="U518" s="27"/>
      <c r="V518" s="27"/>
      <c r="W518" s="27" t="s">
        <v>857</v>
      </c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17"/>
      <c r="BQ518" s="17">
        <v>4</v>
      </c>
      <c r="BR518" s="17">
        <f t="shared" si="25"/>
        <v>1</v>
      </c>
      <c r="BS518" s="28">
        <f t="shared" si="26"/>
        <v>0</v>
      </c>
      <c r="BT518" s="28">
        <v>1</v>
      </c>
    </row>
    <row r="519" spans="1:72" ht="15.75" customHeight="1" x14ac:dyDescent="0.3">
      <c r="A519" s="32" t="s">
        <v>661</v>
      </c>
      <c r="B519" s="33" t="s">
        <v>677</v>
      </c>
      <c r="C519" s="33" t="s">
        <v>558</v>
      </c>
      <c r="D519" s="33" t="s">
        <v>670</v>
      </c>
      <c r="E519" s="33" t="s">
        <v>671</v>
      </c>
      <c r="F519" s="33" t="s">
        <v>672</v>
      </c>
      <c r="G519" s="34" t="s">
        <v>673</v>
      </c>
      <c r="H519" s="24">
        <f t="shared" si="24"/>
        <v>0</v>
      </c>
      <c r="I519" s="35"/>
      <c r="J519" s="35" t="s">
        <v>579</v>
      </c>
      <c r="K519" s="36"/>
      <c r="L519" s="34" t="s">
        <v>100</v>
      </c>
      <c r="M519" s="40"/>
      <c r="N519" s="40"/>
      <c r="O519" s="35" t="s">
        <v>579</v>
      </c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17"/>
      <c r="BQ519" s="17">
        <v>4</v>
      </c>
      <c r="BR519" s="17">
        <f t="shared" si="25"/>
        <v>0</v>
      </c>
      <c r="BS519" s="28">
        <f t="shared" si="26"/>
        <v>0</v>
      </c>
      <c r="BT519" s="28">
        <v>1</v>
      </c>
    </row>
    <row r="520" spans="1:72" ht="15.75" customHeight="1" x14ac:dyDescent="0.3">
      <c r="A520" s="32" t="s">
        <v>661</v>
      </c>
      <c r="B520" s="33" t="s">
        <v>677</v>
      </c>
      <c r="C520" s="33" t="s">
        <v>558</v>
      </c>
      <c r="D520" s="33" t="s">
        <v>670</v>
      </c>
      <c r="E520" s="33" t="s">
        <v>796</v>
      </c>
      <c r="F520" s="33" t="s">
        <v>672</v>
      </c>
      <c r="G520" s="34" t="s">
        <v>673</v>
      </c>
      <c r="H520" s="24">
        <f t="shared" si="24"/>
        <v>0</v>
      </c>
      <c r="I520" s="35"/>
      <c r="J520" s="35" t="s">
        <v>579</v>
      </c>
      <c r="K520" s="36"/>
      <c r="L520" s="34" t="s">
        <v>100</v>
      </c>
      <c r="M520" s="40"/>
      <c r="N520" s="40"/>
      <c r="O520" s="35" t="s">
        <v>579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17"/>
      <c r="BQ520" s="17">
        <v>4</v>
      </c>
      <c r="BR520" s="17">
        <f t="shared" si="25"/>
        <v>0</v>
      </c>
      <c r="BS520" s="28">
        <f t="shared" si="26"/>
        <v>0</v>
      </c>
      <c r="BT520" s="28">
        <v>1</v>
      </c>
    </row>
    <row r="521" spans="1:72" ht="15.75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674</v>
      </c>
      <c r="F521" s="33" t="s">
        <v>672</v>
      </c>
      <c r="G521" s="34" t="s">
        <v>673</v>
      </c>
      <c r="H521" s="24">
        <f t="shared" si="24"/>
        <v>0</v>
      </c>
      <c r="I521" s="35"/>
      <c r="J521" s="35" t="s">
        <v>579</v>
      </c>
      <c r="K521" s="36"/>
      <c r="L521" s="34" t="s">
        <v>100</v>
      </c>
      <c r="M521" s="40"/>
      <c r="N521" s="40"/>
      <c r="O521" s="35" t="s">
        <v>579</v>
      </c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17"/>
      <c r="BQ521" s="17">
        <v>4</v>
      </c>
      <c r="BR521" s="17">
        <f t="shared" si="25"/>
        <v>0</v>
      </c>
      <c r="BS521" s="28">
        <f t="shared" si="26"/>
        <v>0</v>
      </c>
      <c r="BT521" s="28">
        <v>1</v>
      </c>
    </row>
    <row r="522" spans="1:72" ht="15.75" customHeight="1" x14ac:dyDescent="0.3">
      <c r="A522" s="32" t="s">
        <v>661</v>
      </c>
      <c r="B522" s="33" t="s">
        <v>678</v>
      </c>
      <c r="C522" s="33" t="s">
        <v>560</v>
      </c>
      <c r="D522" s="33" t="s">
        <v>670</v>
      </c>
      <c r="E522" s="33" t="s">
        <v>671</v>
      </c>
      <c r="F522" s="33" t="s">
        <v>672</v>
      </c>
      <c r="G522" s="34" t="s">
        <v>673</v>
      </c>
      <c r="H522" s="24">
        <f t="shared" si="24"/>
        <v>0.25</v>
      </c>
      <c r="I522" s="35"/>
      <c r="J522" s="35" t="s">
        <v>579</v>
      </c>
      <c r="K522" s="36"/>
      <c r="L522" s="34" t="s">
        <v>100</v>
      </c>
      <c r="M522" s="40"/>
      <c r="N522" s="40"/>
      <c r="O522" s="35" t="s">
        <v>579</v>
      </c>
      <c r="P522" s="27"/>
      <c r="Q522" s="27"/>
      <c r="R522" s="27"/>
      <c r="S522" s="27"/>
      <c r="T522" s="27"/>
      <c r="U522" s="27"/>
      <c r="V522" s="27"/>
      <c r="W522" s="27"/>
      <c r="X522" s="27" t="s">
        <v>858</v>
      </c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17"/>
      <c r="BQ522" s="17">
        <v>4</v>
      </c>
      <c r="BR522" s="17">
        <f t="shared" si="25"/>
        <v>1</v>
      </c>
      <c r="BS522" s="28">
        <f t="shared" si="26"/>
        <v>0</v>
      </c>
      <c r="BT522" s="28">
        <v>1</v>
      </c>
    </row>
    <row r="523" spans="1:72" ht="15.75" customHeight="1" x14ac:dyDescent="0.3">
      <c r="A523" s="32" t="s">
        <v>661</v>
      </c>
      <c r="B523" s="33" t="s">
        <v>678</v>
      </c>
      <c r="C523" s="33" t="s">
        <v>560</v>
      </c>
      <c r="D523" s="33" t="s">
        <v>670</v>
      </c>
      <c r="E523" s="33" t="s">
        <v>796</v>
      </c>
      <c r="F523" s="33" t="s">
        <v>672</v>
      </c>
      <c r="G523" s="34" t="s">
        <v>673</v>
      </c>
      <c r="H523" s="24">
        <f t="shared" si="24"/>
        <v>0.25</v>
      </c>
      <c r="I523" s="35"/>
      <c r="J523" s="35" t="s">
        <v>579</v>
      </c>
      <c r="K523" s="36"/>
      <c r="L523" s="34" t="s">
        <v>100</v>
      </c>
      <c r="M523" s="40"/>
      <c r="N523" s="40"/>
      <c r="O523" s="35" t="s">
        <v>579</v>
      </c>
      <c r="P523" s="27"/>
      <c r="Q523" s="27"/>
      <c r="R523" s="27"/>
      <c r="S523" s="27"/>
      <c r="T523" s="27"/>
      <c r="U523" s="27"/>
      <c r="V523" s="27"/>
      <c r="W523" s="27"/>
      <c r="X523" s="27" t="s">
        <v>858</v>
      </c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17"/>
      <c r="BQ523" s="17">
        <v>4</v>
      </c>
      <c r="BR523" s="17">
        <f t="shared" si="25"/>
        <v>1</v>
      </c>
      <c r="BS523" s="28">
        <f t="shared" si="26"/>
        <v>0</v>
      </c>
      <c r="BT523" s="28">
        <v>1</v>
      </c>
    </row>
    <row r="524" spans="1:72" ht="15.75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674</v>
      </c>
      <c r="F524" s="33" t="s">
        <v>672</v>
      </c>
      <c r="G524" s="34" t="s">
        <v>673</v>
      </c>
      <c r="H524" s="24">
        <f t="shared" si="24"/>
        <v>0.25</v>
      </c>
      <c r="I524" s="35"/>
      <c r="J524" s="35" t="s">
        <v>579</v>
      </c>
      <c r="K524" s="36"/>
      <c r="L524" s="34" t="s">
        <v>100</v>
      </c>
      <c r="M524" s="40"/>
      <c r="N524" s="40"/>
      <c r="O524" s="35" t="s">
        <v>579</v>
      </c>
      <c r="P524" s="27"/>
      <c r="Q524" s="27"/>
      <c r="R524" s="27"/>
      <c r="S524" s="27"/>
      <c r="T524" s="27"/>
      <c r="U524" s="27"/>
      <c r="V524" s="27"/>
      <c r="W524" s="27"/>
      <c r="X524" s="27" t="s">
        <v>858</v>
      </c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17"/>
      <c r="BQ524" s="17">
        <v>4</v>
      </c>
      <c r="BR524" s="17">
        <f t="shared" si="25"/>
        <v>1</v>
      </c>
      <c r="BS524" s="28">
        <f t="shared" si="26"/>
        <v>0</v>
      </c>
      <c r="BT524" s="28">
        <v>1</v>
      </c>
    </row>
    <row r="525" spans="1:72" ht="15.75" customHeight="1" x14ac:dyDescent="0.3">
      <c r="A525" s="32" t="s">
        <v>661</v>
      </c>
      <c r="B525" s="33" t="s">
        <v>679</v>
      </c>
      <c r="C525" s="33" t="s">
        <v>548</v>
      </c>
      <c r="D525" s="33" t="s">
        <v>670</v>
      </c>
      <c r="E525" s="33" t="s">
        <v>671</v>
      </c>
      <c r="F525" s="33" t="s">
        <v>672</v>
      </c>
      <c r="G525" s="34" t="s">
        <v>673</v>
      </c>
      <c r="H525" s="24">
        <f t="shared" si="24"/>
        <v>0</v>
      </c>
      <c r="I525" s="35"/>
      <c r="J525" s="35" t="s">
        <v>579</v>
      </c>
      <c r="K525" s="36"/>
      <c r="L525" s="34" t="s">
        <v>100</v>
      </c>
      <c r="M525" s="40"/>
      <c r="N525" s="40"/>
      <c r="O525" s="35" t="s">
        <v>579</v>
      </c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17"/>
      <c r="BP525" s="27"/>
      <c r="BQ525" s="17">
        <v>4</v>
      </c>
      <c r="BR525" s="17">
        <f t="shared" si="25"/>
        <v>0</v>
      </c>
      <c r="BS525" s="28">
        <f t="shared" si="26"/>
        <v>0</v>
      </c>
      <c r="BT525" s="28">
        <v>1</v>
      </c>
    </row>
    <row r="526" spans="1:72" ht="15.75" customHeight="1" x14ac:dyDescent="0.3">
      <c r="A526" s="32" t="s">
        <v>661</v>
      </c>
      <c r="B526" s="33" t="s">
        <v>679</v>
      </c>
      <c r="C526" s="33" t="s">
        <v>548</v>
      </c>
      <c r="D526" s="33" t="s">
        <v>670</v>
      </c>
      <c r="E526" s="33" t="s">
        <v>796</v>
      </c>
      <c r="F526" s="33" t="s">
        <v>672</v>
      </c>
      <c r="G526" s="34" t="s">
        <v>673</v>
      </c>
      <c r="H526" s="24">
        <f t="shared" si="24"/>
        <v>0</v>
      </c>
      <c r="I526" s="35"/>
      <c r="J526" s="35" t="s">
        <v>579</v>
      </c>
      <c r="K526" s="36"/>
      <c r="L526" s="34" t="s">
        <v>100</v>
      </c>
      <c r="M526" s="40"/>
      <c r="N526" s="40"/>
      <c r="O526" s="35" t="s">
        <v>579</v>
      </c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17">
        <v>4</v>
      </c>
      <c r="BR526" s="17">
        <f t="shared" si="25"/>
        <v>0</v>
      </c>
      <c r="BS526" s="28">
        <f t="shared" si="26"/>
        <v>0</v>
      </c>
      <c r="BT526" s="28">
        <v>1</v>
      </c>
    </row>
    <row r="527" spans="1:72" ht="15.75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674</v>
      </c>
      <c r="F527" s="33" t="s">
        <v>672</v>
      </c>
      <c r="G527" s="34" t="s">
        <v>673</v>
      </c>
      <c r="H527" s="24">
        <f t="shared" si="24"/>
        <v>0</v>
      </c>
      <c r="I527" s="35"/>
      <c r="J527" s="35" t="s">
        <v>579</v>
      </c>
      <c r="K527" s="36"/>
      <c r="L527" s="34" t="s">
        <v>100</v>
      </c>
      <c r="M527" s="40"/>
      <c r="N527" s="40"/>
      <c r="O527" s="35" t="s">
        <v>579</v>
      </c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17"/>
      <c r="BP527" s="27"/>
      <c r="BQ527" s="17">
        <v>4</v>
      </c>
      <c r="BR527" s="17">
        <f t="shared" si="25"/>
        <v>0</v>
      </c>
      <c r="BS527" s="28">
        <f t="shared" si="26"/>
        <v>0</v>
      </c>
      <c r="BT527" s="28">
        <v>1</v>
      </c>
    </row>
    <row r="528" spans="1:72" ht="15.75" customHeight="1" x14ac:dyDescent="0.3">
      <c r="A528" s="32" t="s">
        <v>680</v>
      </c>
      <c r="B528" s="33" t="s">
        <v>702</v>
      </c>
      <c r="C528" s="33" t="s">
        <v>703</v>
      </c>
      <c r="D528" s="33" t="s">
        <v>704</v>
      </c>
      <c r="E528" s="33" t="s">
        <v>765</v>
      </c>
      <c r="F528" s="33" t="s">
        <v>88</v>
      </c>
      <c r="G528" s="34" t="s">
        <v>127</v>
      </c>
      <c r="H528" s="24">
        <f t="shared" si="24"/>
        <v>0.5</v>
      </c>
      <c r="I528" s="35"/>
      <c r="J528" s="35"/>
      <c r="K528" s="36"/>
      <c r="L528" s="34" t="s">
        <v>100</v>
      </c>
      <c r="M528" s="40"/>
      <c r="N528" s="51" t="s">
        <v>883</v>
      </c>
      <c r="O528" s="35"/>
      <c r="P528" s="27"/>
      <c r="Q528" s="27"/>
      <c r="R528" s="27" t="s">
        <v>886</v>
      </c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17"/>
      <c r="BP528" s="17"/>
      <c r="BQ528" s="17">
        <v>2</v>
      </c>
      <c r="BR528" s="17">
        <f t="shared" si="25"/>
        <v>1</v>
      </c>
      <c r="BS528" s="28">
        <f t="shared" si="26"/>
        <v>0</v>
      </c>
      <c r="BT528" s="28">
        <v>1</v>
      </c>
    </row>
    <row r="529" spans="1:72" ht="15.75" customHeight="1" x14ac:dyDescent="0.3">
      <c r="A529" s="32" t="s">
        <v>680</v>
      </c>
      <c r="B529" s="33" t="s">
        <v>702</v>
      </c>
      <c r="C529" s="33" t="s">
        <v>703</v>
      </c>
      <c r="D529" s="33" t="s">
        <v>704</v>
      </c>
      <c r="E529" s="33" t="s">
        <v>225</v>
      </c>
      <c r="F529" s="33" t="s">
        <v>672</v>
      </c>
      <c r="G529" s="34" t="s">
        <v>673</v>
      </c>
      <c r="H529" s="24">
        <f t="shared" si="24"/>
        <v>0.25</v>
      </c>
      <c r="I529" s="35"/>
      <c r="J529" s="35" t="s">
        <v>226</v>
      </c>
      <c r="K529" s="36"/>
      <c r="L529" s="34" t="s">
        <v>100</v>
      </c>
      <c r="M529" s="40"/>
      <c r="N529" s="40" t="s">
        <v>869</v>
      </c>
      <c r="O529" s="35" t="s">
        <v>226</v>
      </c>
      <c r="P529" s="27"/>
      <c r="Q529" s="27"/>
      <c r="R529" s="27"/>
      <c r="S529" s="27" t="s">
        <v>865</v>
      </c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17"/>
      <c r="BP529" s="17"/>
      <c r="BQ529" s="17">
        <v>4</v>
      </c>
      <c r="BR529" s="17">
        <f t="shared" si="25"/>
        <v>1</v>
      </c>
      <c r="BS529" s="28">
        <f t="shared" si="26"/>
        <v>0</v>
      </c>
      <c r="BT529" s="28">
        <v>3</v>
      </c>
    </row>
    <row r="530" spans="1:72" ht="15.75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764</v>
      </c>
      <c r="F530" s="33" t="s">
        <v>96</v>
      </c>
      <c r="G530" s="34" t="s">
        <v>167</v>
      </c>
      <c r="H530" s="24">
        <f t="shared" si="24"/>
        <v>0</v>
      </c>
      <c r="I530" s="35"/>
      <c r="J530" s="35"/>
      <c r="K530" s="36"/>
      <c r="L530" s="34" t="s">
        <v>105</v>
      </c>
      <c r="M530" s="40"/>
      <c r="N530" s="40"/>
      <c r="O530" s="35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17">
        <v>3</v>
      </c>
      <c r="BR530" s="17">
        <f t="shared" si="25"/>
        <v>0</v>
      </c>
      <c r="BS530" s="28">
        <f t="shared" si="26"/>
        <v>0</v>
      </c>
      <c r="BT530" s="28">
        <v>1</v>
      </c>
    </row>
    <row r="531" spans="1:72" ht="15.75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195</v>
      </c>
      <c r="F531" s="33" t="s">
        <v>196</v>
      </c>
      <c r="G531" s="34" t="s">
        <v>167</v>
      </c>
      <c r="H531" s="24">
        <f t="shared" si="24"/>
        <v>0</v>
      </c>
      <c r="I531" s="35"/>
      <c r="J531" s="35"/>
      <c r="K531" s="36"/>
      <c r="L531" s="34" t="s">
        <v>105</v>
      </c>
      <c r="M531" s="40"/>
      <c r="N531" s="51"/>
      <c r="O531" s="35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17">
        <v>3</v>
      </c>
      <c r="BR531" s="17">
        <f t="shared" si="25"/>
        <v>0</v>
      </c>
      <c r="BS531" s="28">
        <f t="shared" si="26"/>
        <v>0</v>
      </c>
      <c r="BT531" s="28">
        <v>1</v>
      </c>
    </row>
    <row r="532" spans="1:72" ht="15.75" customHeight="1" x14ac:dyDescent="0.3">
      <c r="A532" s="32" t="s">
        <v>680</v>
      </c>
      <c r="B532" s="33" t="s">
        <v>689</v>
      </c>
      <c r="C532" s="33" t="s">
        <v>690</v>
      </c>
      <c r="D532" s="33" t="s">
        <v>691</v>
      </c>
      <c r="E532" s="33" t="s">
        <v>692</v>
      </c>
      <c r="F532" s="33" t="s">
        <v>672</v>
      </c>
      <c r="G532" s="34" t="s">
        <v>673</v>
      </c>
      <c r="H532" s="24">
        <f t="shared" si="24"/>
        <v>0.25</v>
      </c>
      <c r="I532" s="35"/>
      <c r="J532" s="35" t="s">
        <v>693</v>
      </c>
      <c r="K532" s="36"/>
      <c r="L532" s="34" t="s">
        <v>100</v>
      </c>
      <c r="M532" s="40"/>
      <c r="N532" s="40" t="s">
        <v>864</v>
      </c>
      <c r="O532" s="35" t="s">
        <v>693</v>
      </c>
      <c r="P532" s="27"/>
      <c r="Q532" s="27"/>
      <c r="R532" s="27"/>
      <c r="S532" s="27" t="s">
        <v>865</v>
      </c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17"/>
      <c r="BP532" s="17"/>
      <c r="BQ532" s="17">
        <v>4</v>
      </c>
      <c r="BR532" s="17">
        <f t="shared" si="25"/>
        <v>1</v>
      </c>
      <c r="BS532" s="28">
        <f t="shared" si="26"/>
        <v>0</v>
      </c>
      <c r="BT532" s="28">
        <v>1</v>
      </c>
    </row>
    <row r="533" spans="1:72" ht="15.75" customHeight="1" x14ac:dyDescent="0.3">
      <c r="A533" s="32" t="s">
        <v>680</v>
      </c>
      <c r="B533" s="33" t="s">
        <v>689</v>
      </c>
      <c r="C533" s="33" t="s">
        <v>690</v>
      </c>
      <c r="D533" s="33" t="s">
        <v>691</v>
      </c>
      <c r="E533" s="33" t="s">
        <v>694</v>
      </c>
      <c r="F533" s="33" t="s">
        <v>672</v>
      </c>
      <c r="G533" s="34" t="s">
        <v>673</v>
      </c>
      <c r="H533" s="24">
        <f t="shared" si="24"/>
        <v>0.25</v>
      </c>
      <c r="I533" s="35"/>
      <c r="J533" s="35" t="s">
        <v>695</v>
      </c>
      <c r="K533" s="36"/>
      <c r="L533" s="34" t="s">
        <v>100</v>
      </c>
      <c r="M533" s="40"/>
      <c r="N533" s="40" t="s">
        <v>864</v>
      </c>
      <c r="O533" s="35" t="s">
        <v>695</v>
      </c>
      <c r="P533" s="27"/>
      <c r="Q533" s="27"/>
      <c r="R533" s="27"/>
      <c r="S533" s="27" t="s">
        <v>865</v>
      </c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17"/>
      <c r="BP533" s="17"/>
      <c r="BQ533" s="17">
        <v>4</v>
      </c>
      <c r="BR533" s="17">
        <f t="shared" si="25"/>
        <v>1</v>
      </c>
      <c r="BS533" s="28">
        <f t="shared" si="26"/>
        <v>0</v>
      </c>
      <c r="BT533" s="28">
        <v>1</v>
      </c>
    </row>
    <row r="534" spans="1:72" ht="15.75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714</v>
      </c>
      <c r="F534" s="33" t="s">
        <v>88</v>
      </c>
      <c r="G534" s="34" t="s">
        <v>127</v>
      </c>
      <c r="H534" s="24">
        <f t="shared" si="24"/>
        <v>1</v>
      </c>
      <c r="I534" s="35"/>
      <c r="J534" s="35"/>
      <c r="K534" s="36"/>
      <c r="L534" s="34" t="s">
        <v>100</v>
      </c>
      <c r="M534" s="40"/>
      <c r="N534" s="40" t="s">
        <v>859</v>
      </c>
      <c r="O534" s="35"/>
      <c r="P534" s="27"/>
      <c r="Q534" s="27" t="s">
        <v>860</v>
      </c>
      <c r="R534" s="27"/>
      <c r="S534" s="27"/>
      <c r="T534" s="27" t="s">
        <v>861</v>
      </c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17">
        <v>2</v>
      </c>
      <c r="BR534" s="17">
        <f t="shared" si="25"/>
        <v>2</v>
      </c>
      <c r="BS534" s="28">
        <f t="shared" si="26"/>
        <v>1</v>
      </c>
      <c r="BT534" s="28">
        <v>1</v>
      </c>
    </row>
    <row r="535" spans="1:72" ht="15.75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715</v>
      </c>
      <c r="F535" s="33" t="s">
        <v>88</v>
      </c>
      <c r="G535" s="34" t="s">
        <v>127</v>
      </c>
      <c r="H535" s="24">
        <f t="shared" si="24"/>
        <v>0</v>
      </c>
      <c r="I535" s="35"/>
      <c r="J535" s="35"/>
      <c r="K535" s="36"/>
      <c r="L535" s="34" t="s">
        <v>100</v>
      </c>
      <c r="M535" s="40"/>
      <c r="N535" s="40"/>
      <c r="O535" s="35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17"/>
      <c r="BQ535" s="17">
        <v>2</v>
      </c>
      <c r="BR535" s="17">
        <f t="shared" si="25"/>
        <v>0</v>
      </c>
      <c r="BS535" s="28">
        <f t="shared" si="26"/>
        <v>0</v>
      </c>
      <c r="BT535" s="28">
        <v>1</v>
      </c>
    </row>
    <row r="536" spans="1:72" ht="15.75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716</v>
      </c>
      <c r="F536" s="33" t="s">
        <v>88</v>
      </c>
      <c r="G536" s="34" t="s">
        <v>127</v>
      </c>
      <c r="H536" s="24">
        <f t="shared" si="24"/>
        <v>0</v>
      </c>
      <c r="I536" s="35"/>
      <c r="J536" s="35"/>
      <c r="K536" s="36"/>
      <c r="L536" s="34" t="s">
        <v>100</v>
      </c>
      <c r="M536" s="40"/>
      <c r="N536" s="40"/>
      <c r="O536" s="35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17"/>
      <c r="BQ536" s="17">
        <v>2</v>
      </c>
      <c r="BR536" s="17">
        <f t="shared" si="25"/>
        <v>0</v>
      </c>
      <c r="BS536" s="28">
        <f t="shared" si="26"/>
        <v>0</v>
      </c>
      <c r="BT536" s="28">
        <v>1</v>
      </c>
    </row>
    <row r="537" spans="1:72" ht="15.75" customHeight="1" x14ac:dyDescent="0.3">
      <c r="A537" s="32" t="s">
        <v>680</v>
      </c>
      <c r="B537" s="33" t="s">
        <v>689</v>
      </c>
      <c r="C537" s="33" t="s">
        <v>690</v>
      </c>
      <c r="D537" s="33" t="s">
        <v>699</v>
      </c>
      <c r="E537" s="33" t="s">
        <v>700</v>
      </c>
      <c r="F537" s="33" t="s">
        <v>95</v>
      </c>
      <c r="G537" s="34" t="s">
        <v>95</v>
      </c>
      <c r="H537" s="24">
        <f t="shared" si="24"/>
        <v>0.21153846153846154</v>
      </c>
      <c r="I537" s="35"/>
      <c r="J537" s="35"/>
      <c r="K537" s="36"/>
      <c r="L537" s="34" t="s">
        <v>100</v>
      </c>
      <c r="M537" s="40"/>
      <c r="N537" s="40"/>
      <c r="O537" s="35"/>
      <c r="P537" s="27" t="s">
        <v>810</v>
      </c>
      <c r="Q537" s="27" t="s">
        <v>810</v>
      </c>
      <c r="R537" s="27" t="s">
        <v>810</v>
      </c>
      <c r="S537" s="27" t="s">
        <v>810</v>
      </c>
      <c r="T537" s="27" t="s">
        <v>810</v>
      </c>
      <c r="U537" s="27" t="s">
        <v>810</v>
      </c>
      <c r="V537" s="27" t="s">
        <v>810</v>
      </c>
      <c r="W537" s="27" t="s">
        <v>810</v>
      </c>
      <c r="X537" s="27" t="s">
        <v>810</v>
      </c>
      <c r="Y537" s="27" t="s">
        <v>810</v>
      </c>
      <c r="Z537" s="27" t="s">
        <v>810</v>
      </c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17"/>
      <c r="BQ537" s="17">
        <v>52</v>
      </c>
      <c r="BR537" s="17">
        <f t="shared" si="25"/>
        <v>11</v>
      </c>
      <c r="BS537" s="28">
        <f t="shared" si="26"/>
        <v>0</v>
      </c>
      <c r="BT537" s="28">
        <v>1</v>
      </c>
    </row>
    <row r="538" spans="1:72" ht="15.75" customHeight="1" x14ac:dyDescent="0.3">
      <c r="A538" s="32" t="s">
        <v>680</v>
      </c>
      <c r="B538" s="33" t="s">
        <v>689</v>
      </c>
      <c r="C538" s="33" t="s">
        <v>690</v>
      </c>
      <c r="D538" s="33" t="s">
        <v>699</v>
      </c>
      <c r="E538" s="33" t="s">
        <v>701</v>
      </c>
      <c r="F538" s="33" t="s">
        <v>95</v>
      </c>
      <c r="G538" s="34" t="s">
        <v>95</v>
      </c>
      <c r="H538" s="24">
        <f t="shared" si="24"/>
        <v>0.21153846153846154</v>
      </c>
      <c r="I538" s="35"/>
      <c r="J538" s="35"/>
      <c r="K538" s="36"/>
      <c r="L538" s="34" t="s">
        <v>105</v>
      </c>
      <c r="M538" s="40"/>
      <c r="N538" s="40"/>
      <c r="O538" s="35"/>
      <c r="P538" s="27" t="s">
        <v>810</v>
      </c>
      <c r="Q538" s="27" t="s">
        <v>810</v>
      </c>
      <c r="R538" s="27" t="s">
        <v>810</v>
      </c>
      <c r="S538" s="27" t="s">
        <v>810</v>
      </c>
      <c r="T538" s="27" t="s">
        <v>810</v>
      </c>
      <c r="U538" s="27" t="s">
        <v>810</v>
      </c>
      <c r="V538" s="27" t="s">
        <v>810</v>
      </c>
      <c r="W538" s="27" t="s">
        <v>810</v>
      </c>
      <c r="X538" s="27" t="s">
        <v>810</v>
      </c>
      <c r="Y538" s="27" t="s">
        <v>810</v>
      </c>
      <c r="Z538" s="27" t="s">
        <v>810</v>
      </c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17"/>
      <c r="BQ538" s="17">
        <v>52</v>
      </c>
      <c r="BR538" s="17">
        <f t="shared" si="25"/>
        <v>11</v>
      </c>
      <c r="BS538" s="28">
        <f t="shared" si="26"/>
        <v>0</v>
      </c>
      <c r="BT538" s="28">
        <v>1</v>
      </c>
    </row>
    <row r="539" spans="1:72" ht="15.75" customHeight="1" x14ac:dyDescent="0.3">
      <c r="A539" s="32" t="s">
        <v>680</v>
      </c>
      <c r="B539" s="33" t="s">
        <v>681</v>
      </c>
      <c r="C539" s="33" t="s">
        <v>682</v>
      </c>
      <c r="D539" s="33" t="s">
        <v>683</v>
      </c>
      <c r="E539" s="33" t="s">
        <v>229</v>
      </c>
      <c r="F539" s="33" t="s">
        <v>672</v>
      </c>
      <c r="G539" s="34" t="s">
        <v>673</v>
      </c>
      <c r="H539" s="24">
        <f t="shared" si="24"/>
        <v>0.25</v>
      </c>
      <c r="I539" s="35"/>
      <c r="J539" s="35"/>
      <c r="K539" s="36"/>
      <c r="L539" s="34" t="s">
        <v>100</v>
      </c>
      <c r="M539" s="40"/>
      <c r="N539" s="40" t="s">
        <v>864</v>
      </c>
      <c r="O539" s="35" t="s">
        <v>684</v>
      </c>
      <c r="P539" s="42"/>
      <c r="Q539" s="27"/>
      <c r="R539" s="27"/>
      <c r="S539" s="27" t="s">
        <v>865</v>
      </c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17"/>
      <c r="BP539" s="27"/>
      <c r="BQ539" s="17">
        <v>4</v>
      </c>
      <c r="BR539" s="17">
        <f t="shared" si="25"/>
        <v>1</v>
      </c>
      <c r="BS539" s="28">
        <f t="shared" si="26"/>
        <v>0</v>
      </c>
      <c r="BT539" s="28">
        <v>1</v>
      </c>
    </row>
    <row r="540" spans="1:72" ht="15.75" customHeight="1" x14ac:dyDescent="0.3">
      <c r="A540" s="32" t="s">
        <v>680</v>
      </c>
      <c r="B540" s="33" t="s">
        <v>681</v>
      </c>
      <c r="C540" s="33" t="s">
        <v>682</v>
      </c>
      <c r="D540" s="33" t="s">
        <v>683</v>
      </c>
      <c r="E540" s="33" t="s">
        <v>713</v>
      </c>
      <c r="F540" s="33" t="s">
        <v>88</v>
      </c>
      <c r="G540" s="34" t="s">
        <v>127</v>
      </c>
      <c r="H540" s="24">
        <f t="shared" si="24"/>
        <v>0</v>
      </c>
      <c r="I540" s="35"/>
      <c r="J540" s="35"/>
      <c r="K540" s="36"/>
      <c r="L540" s="34" t="s">
        <v>100</v>
      </c>
      <c r="M540" s="40"/>
      <c r="N540" s="40"/>
      <c r="O540" s="35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17"/>
      <c r="BP540" s="27"/>
      <c r="BQ540" s="17">
        <v>2</v>
      </c>
      <c r="BR540" s="17">
        <f t="shared" si="25"/>
        <v>0</v>
      </c>
      <c r="BS540" s="28">
        <f t="shared" si="26"/>
        <v>0</v>
      </c>
      <c r="BT540" s="28">
        <v>1</v>
      </c>
    </row>
    <row r="541" spans="1:72" ht="15.75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221</v>
      </c>
      <c r="F541" s="33" t="s">
        <v>88</v>
      </c>
      <c r="G541" s="34" t="s">
        <v>127</v>
      </c>
      <c r="H541" s="24">
        <f t="shared" si="24"/>
        <v>0</v>
      </c>
      <c r="I541" s="35" t="s">
        <v>808</v>
      </c>
      <c r="J541" s="35"/>
      <c r="K541" s="36"/>
      <c r="L541" s="34" t="s">
        <v>100</v>
      </c>
      <c r="M541" s="40"/>
      <c r="N541" s="40"/>
      <c r="O541" s="35"/>
      <c r="P541" s="42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17">
        <v>2</v>
      </c>
      <c r="BR541" s="17">
        <f t="shared" si="25"/>
        <v>0</v>
      </c>
      <c r="BS541" s="28">
        <f t="shared" si="26"/>
        <v>0</v>
      </c>
      <c r="BT541" s="28">
        <v>1</v>
      </c>
    </row>
    <row r="542" spans="1:72" ht="15.75" customHeight="1" x14ac:dyDescent="0.3">
      <c r="A542" s="32" t="s">
        <v>680</v>
      </c>
      <c r="B542" s="33" t="s">
        <v>705</v>
      </c>
      <c r="C542" s="33" t="s">
        <v>703</v>
      </c>
      <c r="D542" s="33" t="s">
        <v>706</v>
      </c>
      <c r="E542" s="33" t="s">
        <v>213</v>
      </c>
      <c r="F542" s="33" t="s">
        <v>86</v>
      </c>
      <c r="G542" s="34" t="s">
        <v>99</v>
      </c>
      <c r="H542" s="24">
        <f t="shared" si="24"/>
        <v>0</v>
      </c>
      <c r="I542" s="35" t="s">
        <v>808</v>
      </c>
      <c r="J542" s="35"/>
      <c r="K542" s="36"/>
      <c r="L542" s="34" t="s">
        <v>100</v>
      </c>
      <c r="M542" s="40"/>
      <c r="N542" s="51"/>
      <c r="O542" s="35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17"/>
      <c r="BP542" s="17"/>
      <c r="BQ542" s="17">
        <v>1</v>
      </c>
      <c r="BR542" s="17">
        <f t="shared" si="25"/>
        <v>0</v>
      </c>
      <c r="BS542" s="28">
        <f t="shared" si="26"/>
        <v>0</v>
      </c>
      <c r="BT542" s="28">
        <v>1</v>
      </c>
    </row>
    <row r="543" spans="1:72" ht="15.75" customHeight="1" x14ac:dyDescent="0.3">
      <c r="A543" s="32" t="s">
        <v>680</v>
      </c>
      <c r="B543" s="33" t="s">
        <v>705</v>
      </c>
      <c r="C543" s="33" t="s">
        <v>703</v>
      </c>
      <c r="D543" s="33" t="s">
        <v>706</v>
      </c>
      <c r="E543" s="33" t="s">
        <v>707</v>
      </c>
      <c r="F543" s="33" t="s">
        <v>86</v>
      </c>
      <c r="G543" s="34" t="s">
        <v>99</v>
      </c>
      <c r="H543" s="24">
        <f t="shared" si="24"/>
        <v>0</v>
      </c>
      <c r="I543" s="35" t="s">
        <v>808</v>
      </c>
      <c r="J543" s="35"/>
      <c r="K543" s="36"/>
      <c r="L543" s="34" t="s">
        <v>100</v>
      </c>
      <c r="M543" s="40"/>
      <c r="N543" s="40"/>
      <c r="O543" s="35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17"/>
      <c r="BP543" s="17"/>
      <c r="BQ543" s="17">
        <v>1</v>
      </c>
      <c r="BR543" s="17">
        <f t="shared" si="25"/>
        <v>0</v>
      </c>
      <c r="BS543" s="28">
        <f t="shared" si="26"/>
        <v>0</v>
      </c>
      <c r="BT543" s="28">
        <v>2</v>
      </c>
    </row>
    <row r="544" spans="1:72" ht="15.75" customHeight="1" x14ac:dyDescent="0.3">
      <c r="A544" s="32" t="s">
        <v>680</v>
      </c>
      <c r="B544" s="33" t="s">
        <v>705</v>
      </c>
      <c r="C544" s="33" t="s">
        <v>703</v>
      </c>
      <c r="D544" s="33" t="s">
        <v>708</v>
      </c>
      <c r="E544" s="33" t="s">
        <v>160</v>
      </c>
      <c r="F544" s="33" t="s">
        <v>86</v>
      </c>
      <c r="G544" s="34" t="s">
        <v>99</v>
      </c>
      <c r="H544" s="24">
        <f t="shared" si="24"/>
        <v>0</v>
      </c>
      <c r="I544" s="35" t="s">
        <v>808</v>
      </c>
      <c r="J544" s="35"/>
      <c r="K544" s="36"/>
      <c r="L544" s="34" t="s">
        <v>100</v>
      </c>
      <c r="M544" s="40"/>
      <c r="N544" s="40"/>
      <c r="O544" s="35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17"/>
      <c r="BP544" s="17"/>
      <c r="BQ544" s="17">
        <v>1</v>
      </c>
      <c r="BR544" s="17">
        <f t="shared" si="25"/>
        <v>0</v>
      </c>
      <c r="BS544" s="28">
        <f t="shared" si="26"/>
        <v>0</v>
      </c>
      <c r="BT544" s="28">
        <v>1</v>
      </c>
    </row>
    <row r="545" spans="1:72" ht="15.75" customHeight="1" x14ac:dyDescent="0.3">
      <c r="A545" s="32" t="s">
        <v>680</v>
      </c>
      <c r="B545" s="33" t="s">
        <v>705</v>
      </c>
      <c r="C545" s="33" t="s">
        <v>703</v>
      </c>
      <c r="D545" s="33" t="s">
        <v>708</v>
      </c>
      <c r="E545" s="33" t="s">
        <v>797</v>
      </c>
      <c r="F545" s="33" t="s">
        <v>88</v>
      </c>
      <c r="G545" s="34" t="s">
        <v>127</v>
      </c>
      <c r="H545" s="24">
        <f t="shared" si="24"/>
        <v>0</v>
      </c>
      <c r="I545" s="35" t="s">
        <v>808</v>
      </c>
      <c r="J545" s="35"/>
      <c r="K545" s="36"/>
      <c r="L545" s="34" t="s">
        <v>100</v>
      </c>
      <c r="M545" s="40"/>
      <c r="N545" s="40"/>
      <c r="O545" s="35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80"/>
      <c r="BP545" s="27"/>
      <c r="BQ545" s="17">
        <v>2</v>
      </c>
      <c r="BR545" s="17">
        <f t="shared" si="25"/>
        <v>0</v>
      </c>
      <c r="BS545" s="28">
        <f t="shared" si="26"/>
        <v>0</v>
      </c>
      <c r="BT545" s="28">
        <v>1</v>
      </c>
    </row>
    <row r="546" spans="1:72" ht="15.75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217</v>
      </c>
      <c r="F546" s="33" t="s">
        <v>118</v>
      </c>
      <c r="G546" s="34"/>
      <c r="H546" s="24">
        <f t="shared" si="24"/>
        <v>0</v>
      </c>
      <c r="I546" s="25"/>
      <c r="J546" s="25"/>
      <c r="K546" s="26"/>
      <c r="L546" s="27" t="s">
        <v>100</v>
      </c>
      <c r="M546" s="29"/>
      <c r="N546" s="29"/>
      <c r="O546" s="25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17"/>
      <c r="BQ546" s="17">
        <v>1</v>
      </c>
      <c r="BR546" s="17">
        <f t="shared" si="25"/>
        <v>0</v>
      </c>
      <c r="BS546" s="28">
        <f t="shared" si="26"/>
        <v>0</v>
      </c>
      <c r="BT546" s="28">
        <v>1</v>
      </c>
    </row>
    <row r="547" spans="1:72" ht="15.75" customHeight="1" x14ac:dyDescent="0.3">
      <c r="A547" s="32" t="s">
        <v>680</v>
      </c>
      <c r="B547" s="33" t="s">
        <v>705</v>
      </c>
      <c r="C547" s="33" t="s">
        <v>703</v>
      </c>
      <c r="D547" s="33" t="s">
        <v>846</v>
      </c>
      <c r="E547" s="33" t="s">
        <v>823</v>
      </c>
      <c r="F547" s="33" t="s">
        <v>672</v>
      </c>
      <c r="G547" s="34" t="s">
        <v>673</v>
      </c>
      <c r="H547" s="24">
        <f t="shared" si="24"/>
        <v>0.25</v>
      </c>
      <c r="I547" s="35"/>
      <c r="J547" s="35"/>
      <c r="K547" s="36"/>
      <c r="L547" s="34"/>
      <c r="M547" s="40"/>
      <c r="N547" s="40" t="s">
        <v>881</v>
      </c>
      <c r="O547" s="35"/>
      <c r="P547" s="27"/>
      <c r="Q547" s="27"/>
      <c r="R547" s="27"/>
      <c r="S547" s="27" t="s">
        <v>882</v>
      </c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80"/>
      <c r="BP547" s="17"/>
      <c r="BQ547" s="17">
        <v>4</v>
      </c>
      <c r="BR547" s="17">
        <f t="shared" si="25"/>
        <v>1</v>
      </c>
      <c r="BS547" s="28">
        <f t="shared" si="26"/>
        <v>0</v>
      </c>
      <c r="BT547" s="28"/>
    </row>
    <row r="548" spans="1:72" ht="15.75" customHeight="1" x14ac:dyDescent="0.3">
      <c r="A548" s="32" t="s">
        <v>680</v>
      </c>
      <c r="B548" s="33" t="s">
        <v>709</v>
      </c>
      <c r="C548" s="33" t="s">
        <v>686</v>
      </c>
      <c r="D548" s="33" t="s">
        <v>710</v>
      </c>
      <c r="E548" s="33" t="s">
        <v>712</v>
      </c>
      <c r="F548" s="33" t="s">
        <v>88</v>
      </c>
      <c r="G548" s="34" t="s">
        <v>127</v>
      </c>
      <c r="H548" s="24">
        <f t="shared" si="24"/>
        <v>0</v>
      </c>
      <c r="I548" s="35"/>
      <c r="J548" s="35"/>
      <c r="K548" s="36"/>
      <c r="L548" s="34" t="s">
        <v>100</v>
      </c>
      <c r="M548" s="40"/>
      <c r="N548" s="40"/>
      <c r="O548" s="35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54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17">
        <v>2</v>
      </c>
      <c r="BR548" s="17">
        <f t="shared" si="25"/>
        <v>0</v>
      </c>
      <c r="BS548" s="28">
        <f t="shared" si="26"/>
        <v>0</v>
      </c>
      <c r="BT548" s="28">
        <v>1</v>
      </c>
    </row>
    <row r="549" spans="1:72" ht="15.75" customHeight="1" x14ac:dyDescent="0.3">
      <c r="A549" s="32" t="s">
        <v>680</v>
      </c>
      <c r="B549" s="33" t="s">
        <v>813</v>
      </c>
      <c r="C549" s="33" t="s">
        <v>686</v>
      </c>
      <c r="D549" s="33" t="s">
        <v>822</v>
      </c>
      <c r="E549" s="33" t="s">
        <v>737</v>
      </c>
      <c r="F549" s="33" t="s">
        <v>672</v>
      </c>
      <c r="G549" s="34" t="s">
        <v>673</v>
      </c>
      <c r="H549" s="24">
        <f t="shared" si="24"/>
        <v>0.25</v>
      </c>
      <c r="I549" s="35"/>
      <c r="J549" s="34"/>
      <c r="K549" s="97"/>
      <c r="L549" s="34" t="s">
        <v>100</v>
      </c>
      <c r="M549" s="50"/>
      <c r="N549" s="40" t="s">
        <v>864</v>
      </c>
      <c r="O549" s="35" t="s">
        <v>838</v>
      </c>
      <c r="P549" s="27"/>
      <c r="Q549" s="27"/>
      <c r="R549" s="27"/>
      <c r="S549" s="27" t="s">
        <v>865</v>
      </c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54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17"/>
      <c r="BO549" s="17"/>
      <c r="BP549" s="17"/>
      <c r="BQ549" s="17">
        <v>4</v>
      </c>
      <c r="BR549" s="17">
        <f t="shared" si="25"/>
        <v>1</v>
      </c>
      <c r="BS549" s="28">
        <f t="shared" si="26"/>
        <v>0</v>
      </c>
      <c r="BT549" s="28">
        <v>1</v>
      </c>
    </row>
    <row r="550" spans="1:72" ht="15.75" customHeight="1" x14ac:dyDescent="0.3">
      <c r="A550" s="32" t="s">
        <v>680</v>
      </c>
      <c r="B550" s="33" t="s">
        <v>814</v>
      </c>
      <c r="C550" s="33" t="s">
        <v>686</v>
      </c>
      <c r="D550" s="33" t="s">
        <v>825</v>
      </c>
      <c r="E550" s="33" t="s">
        <v>823</v>
      </c>
      <c r="F550" s="33" t="s">
        <v>672</v>
      </c>
      <c r="G550" s="34" t="s">
        <v>673</v>
      </c>
      <c r="H550" s="24">
        <f t="shared" si="24"/>
        <v>0.25</v>
      </c>
      <c r="I550" s="35"/>
      <c r="J550" s="35"/>
      <c r="K550" s="36"/>
      <c r="L550" s="34" t="s">
        <v>100</v>
      </c>
      <c r="M550" s="40"/>
      <c r="N550" s="40" t="s">
        <v>864</v>
      </c>
      <c r="O550" s="35" t="s">
        <v>839</v>
      </c>
      <c r="P550" s="27"/>
      <c r="Q550" s="27"/>
      <c r="R550" s="27"/>
      <c r="S550" s="27" t="s">
        <v>865</v>
      </c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54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17">
        <v>4</v>
      </c>
      <c r="BR550" s="17">
        <f t="shared" si="25"/>
        <v>1</v>
      </c>
      <c r="BS550" s="28">
        <f t="shared" si="26"/>
        <v>0</v>
      </c>
      <c r="BT550" s="28">
        <v>1</v>
      </c>
    </row>
    <row r="551" spans="1:72" ht="15.75" customHeight="1" x14ac:dyDescent="0.3">
      <c r="A551" s="32" t="s">
        <v>680</v>
      </c>
      <c r="B551" s="33" t="s">
        <v>815</v>
      </c>
      <c r="C551" s="33" t="s">
        <v>686</v>
      </c>
      <c r="D551" s="33" t="s">
        <v>826</v>
      </c>
      <c r="E551" s="33" t="s">
        <v>823</v>
      </c>
      <c r="F551" s="33" t="s">
        <v>672</v>
      </c>
      <c r="G551" s="34" t="s">
        <v>673</v>
      </c>
      <c r="H551" s="24">
        <f t="shared" si="24"/>
        <v>0.25</v>
      </c>
      <c r="I551" s="35"/>
      <c r="J551" s="35"/>
      <c r="K551" s="36"/>
      <c r="L551" s="34" t="s">
        <v>100</v>
      </c>
      <c r="M551" s="40"/>
      <c r="N551" s="40" t="s">
        <v>864</v>
      </c>
      <c r="O551" s="35" t="s">
        <v>840</v>
      </c>
      <c r="P551" s="27"/>
      <c r="Q551" s="27"/>
      <c r="R551" s="27"/>
      <c r="S551" s="27" t="s">
        <v>865</v>
      </c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54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17">
        <v>4</v>
      </c>
      <c r="BR551" s="17">
        <f t="shared" si="25"/>
        <v>1</v>
      </c>
      <c r="BS551" s="28">
        <f t="shared" si="26"/>
        <v>0</v>
      </c>
      <c r="BT551" s="28">
        <v>1</v>
      </c>
    </row>
    <row r="552" spans="1:72" ht="15.75" customHeight="1" x14ac:dyDescent="0.3">
      <c r="A552" s="32" t="s">
        <v>680</v>
      </c>
      <c r="B552" s="33" t="s">
        <v>816</v>
      </c>
      <c r="C552" s="33" t="s">
        <v>686</v>
      </c>
      <c r="D552" s="33" t="s">
        <v>827</v>
      </c>
      <c r="E552" s="33" t="s">
        <v>823</v>
      </c>
      <c r="F552" s="33" t="s">
        <v>672</v>
      </c>
      <c r="G552" s="34" t="s">
        <v>673</v>
      </c>
      <c r="H552" s="24">
        <f t="shared" si="24"/>
        <v>0.25</v>
      </c>
      <c r="I552" s="35"/>
      <c r="J552" s="35"/>
      <c r="K552" s="36"/>
      <c r="L552" s="34" t="s">
        <v>100</v>
      </c>
      <c r="M552" s="40"/>
      <c r="N552" s="40" t="s">
        <v>864</v>
      </c>
      <c r="O552" s="35" t="s">
        <v>841</v>
      </c>
      <c r="P552" s="27"/>
      <c r="Q552" s="27"/>
      <c r="R552" s="27"/>
      <c r="S552" s="27" t="s">
        <v>865</v>
      </c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54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17">
        <v>4</v>
      </c>
      <c r="BR552" s="17">
        <f t="shared" si="25"/>
        <v>1</v>
      </c>
      <c r="BS552" s="28">
        <f t="shared" si="26"/>
        <v>0</v>
      </c>
      <c r="BT552" s="28">
        <v>1</v>
      </c>
    </row>
    <row r="553" spans="1:72" ht="15.75" customHeight="1" x14ac:dyDescent="0.3">
      <c r="A553" s="32" t="s">
        <v>680</v>
      </c>
      <c r="B553" s="33" t="s">
        <v>817</v>
      </c>
      <c r="C553" s="33" t="s">
        <v>686</v>
      </c>
      <c r="D553" s="33" t="s">
        <v>828</v>
      </c>
      <c r="E553" s="33" t="s">
        <v>823</v>
      </c>
      <c r="F553" s="33" t="s">
        <v>672</v>
      </c>
      <c r="G553" s="34" t="s">
        <v>673</v>
      </c>
      <c r="H553" s="24">
        <f t="shared" si="24"/>
        <v>0.25</v>
      </c>
      <c r="I553" s="35"/>
      <c r="J553" s="35"/>
      <c r="K553" s="36"/>
      <c r="L553" s="34" t="s">
        <v>100</v>
      </c>
      <c r="M553" s="40"/>
      <c r="N553" s="40" t="s">
        <v>864</v>
      </c>
      <c r="O553" s="35" t="s">
        <v>840</v>
      </c>
      <c r="P553" s="27"/>
      <c r="Q553" s="27"/>
      <c r="R553" s="27"/>
      <c r="S553" s="27" t="s">
        <v>865</v>
      </c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54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17">
        <v>4</v>
      </c>
      <c r="BR553" s="17">
        <f t="shared" si="25"/>
        <v>1</v>
      </c>
      <c r="BS553" s="28">
        <f t="shared" si="26"/>
        <v>0</v>
      </c>
      <c r="BT553" s="28">
        <v>1</v>
      </c>
    </row>
    <row r="554" spans="1:72" ht="15.75" customHeight="1" x14ac:dyDescent="0.3">
      <c r="A554" s="32" t="s">
        <v>680</v>
      </c>
      <c r="B554" s="33" t="s">
        <v>817</v>
      </c>
      <c r="C554" s="33" t="s">
        <v>686</v>
      </c>
      <c r="D554" s="33" t="s">
        <v>829</v>
      </c>
      <c r="E554" s="33" t="s">
        <v>823</v>
      </c>
      <c r="F554" s="33" t="s">
        <v>672</v>
      </c>
      <c r="G554" s="34" t="s">
        <v>673</v>
      </c>
      <c r="H554" s="24">
        <f t="shared" si="24"/>
        <v>0.25</v>
      </c>
      <c r="I554" s="35"/>
      <c r="J554" s="35"/>
      <c r="K554" s="36"/>
      <c r="L554" s="34" t="s">
        <v>100</v>
      </c>
      <c r="M554" s="40"/>
      <c r="N554" s="40" t="s">
        <v>864</v>
      </c>
      <c r="O554" s="35" t="s">
        <v>840</v>
      </c>
      <c r="P554" s="27"/>
      <c r="Q554" s="27"/>
      <c r="R554" s="27"/>
      <c r="S554" s="27" t="s">
        <v>865</v>
      </c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54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17">
        <v>4</v>
      </c>
      <c r="BR554" s="17">
        <f t="shared" si="25"/>
        <v>1</v>
      </c>
      <c r="BS554" s="28">
        <f t="shared" si="26"/>
        <v>0</v>
      </c>
      <c r="BT554" s="28">
        <v>1</v>
      </c>
    </row>
    <row r="555" spans="1:72" ht="15.75" customHeight="1" x14ac:dyDescent="0.3">
      <c r="A555" s="32" t="s">
        <v>680</v>
      </c>
      <c r="B555" s="33" t="s">
        <v>818</v>
      </c>
      <c r="C555" s="33" t="s">
        <v>686</v>
      </c>
      <c r="D555" s="33" t="s">
        <v>830</v>
      </c>
      <c r="E555" s="33" t="s">
        <v>823</v>
      </c>
      <c r="F555" s="33" t="s">
        <v>672</v>
      </c>
      <c r="G555" s="34" t="s">
        <v>673</v>
      </c>
      <c r="H555" s="24">
        <f t="shared" si="24"/>
        <v>0.25</v>
      </c>
      <c r="I555" s="35"/>
      <c r="J555" s="35"/>
      <c r="K555" s="36"/>
      <c r="L555" s="34" t="s">
        <v>100</v>
      </c>
      <c r="M555" s="40"/>
      <c r="N555" s="40" t="s">
        <v>864</v>
      </c>
      <c r="O555" s="35" t="s">
        <v>840</v>
      </c>
      <c r="P555" s="27"/>
      <c r="Q555" s="27"/>
      <c r="R555" s="27"/>
      <c r="S555" s="27" t="s">
        <v>865</v>
      </c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54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17">
        <v>4</v>
      </c>
      <c r="BR555" s="17">
        <f t="shared" si="25"/>
        <v>1</v>
      </c>
      <c r="BS555" s="28">
        <f t="shared" si="26"/>
        <v>0</v>
      </c>
      <c r="BT555" s="28">
        <v>1</v>
      </c>
    </row>
    <row r="556" spans="1:72" ht="15.75" customHeight="1" x14ac:dyDescent="0.3">
      <c r="A556" s="32" t="s">
        <v>680</v>
      </c>
      <c r="B556" s="33" t="s">
        <v>819</v>
      </c>
      <c r="C556" s="33" t="s">
        <v>686</v>
      </c>
      <c r="D556" s="33" t="s">
        <v>831</v>
      </c>
      <c r="E556" s="33" t="s">
        <v>823</v>
      </c>
      <c r="F556" s="33" t="s">
        <v>672</v>
      </c>
      <c r="G556" s="34" t="s">
        <v>673</v>
      </c>
      <c r="H556" s="24">
        <f t="shared" si="24"/>
        <v>0.25</v>
      </c>
      <c r="I556" s="35"/>
      <c r="J556" s="35"/>
      <c r="K556" s="36"/>
      <c r="L556" s="34" t="s">
        <v>100</v>
      </c>
      <c r="M556" s="40"/>
      <c r="N556" s="40" t="s">
        <v>864</v>
      </c>
      <c r="O556" s="35" t="s">
        <v>841</v>
      </c>
      <c r="P556" s="27"/>
      <c r="Q556" s="27"/>
      <c r="R556" s="27"/>
      <c r="S556" s="27" t="s">
        <v>865</v>
      </c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54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17">
        <v>4</v>
      </c>
      <c r="BR556" s="17">
        <f t="shared" si="25"/>
        <v>1</v>
      </c>
      <c r="BS556" s="28">
        <f t="shared" si="26"/>
        <v>0</v>
      </c>
      <c r="BT556" s="28">
        <v>1</v>
      </c>
    </row>
    <row r="557" spans="1:72" ht="15.75" customHeight="1" x14ac:dyDescent="0.3">
      <c r="A557" s="32" t="s">
        <v>680</v>
      </c>
      <c r="B557" s="33" t="s">
        <v>820</v>
      </c>
      <c r="C557" s="33" t="s">
        <v>686</v>
      </c>
      <c r="D557" s="33" t="s">
        <v>832</v>
      </c>
      <c r="E557" s="33" t="s">
        <v>823</v>
      </c>
      <c r="F557" s="33" t="s">
        <v>672</v>
      </c>
      <c r="G557" s="34" t="s">
        <v>673</v>
      </c>
      <c r="H557" s="24">
        <f t="shared" si="24"/>
        <v>0.25</v>
      </c>
      <c r="I557" s="35"/>
      <c r="J557" s="35"/>
      <c r="K557" s="36"/>
      <c r="L557" s="34" t="s">
        <v>100</v>
      </c>
      <c r="M557" s="40"/>
      <c r="N557" s="40" t="s">
        <v>864</v>
      </c>
      <c r="O557" s="35" t="s">
        <v>840</v>
      </c>
      <c r="P557" s="27"/>
      <c r="Q557" s="27"/>
      <c r="R557" s="27"/>
      <c r="S557" s="27" t="s">
        <v>865</v>
      </c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54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17">
        <v>4</v>
      </c>
      <c r="BR557" s="17">
        <f t="shared" si="25"/>
        <v>1</v>
      </c>
      <c r="BS557" s="28">
        <f t="shared" si="26"/>
        <v>0</v>
      </c>
      <c r="BT557" s="28">
        <v>1</v>
      </c>
    </row>
    <row r="558" spans="1:72" ht="15.75" customHeight="1" x14ac:dyDescent="0.3">
      <c r="A558" s="32" t="s">
        <v>680</v>
      </c>
      <c r="B558" s="33" t="s">
        <v>820</v>
      </c>
      <c r="C558" s="90" t="s">
        <v>686</v>
      </c>
      <c r="D558" s="33" t="s">
        <v>832</v>
      </c>
      <c r="E558" s="33" t="s">
        <v>824</v>
      </c>
      <c r="F558" s="33" t="s">
        <v>672</v>
      </c>
      <c r="G558" s="34" t="s">
        <v>673</v>
      </c>
      <c r="H558" s="24">
        <f t="shared" si="24"/>
        <v>0.25</v>
      </c>
      <c r="I558" s="35"/>
      <c r="J558" s="35"/>
      <c r="K558" s="36"/>
      <c r="L558" s="34" t="s">
        <v>100</v>
      </c>
      <c r="M558" s="40"/>
      <c r="N558" s="40" t="s">
        <v>864</v>
      </c>
      <c r="O558" s="35" t="s">
        <v>842</v>
      </c>
      <c r="P558" s="27"/>
      <c r="Q558" s="27"/>
      <c r="R558" s="27"/>
      <c r="S558" s="27" t="s">
        <v>865</v>
      </c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54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17">
        <v>4</v>
      </c>
      <c r="BR558" s="17">
        <f t="shared" si="25"/>
        <v>1</v>
      </c>
      <c r="BS558" s="28">
        <f t="shared" si="26"/>
        <v>0</v>
      </c>
      <c r="BT558" s="28">
        <v>1</v>
      </c>
    </row>
    <row r="559" spans="1:72" ht="15.75" customHeight="1" x14ac:dyDescent="0.3">
      <c r="A559" s="32" t="s">
        <v>680</v>
      </c>
      <c r="B559" s="33" t="s">
        <v>821</v>
      </c>
      <c r="C559" s="90" t="s">
        <v>686</v>
      </c>
      <c r="D559" s="33" t="s">
        <v>833</v>
      </c>
      <c r="E559" s="33" t="s">
        <v>823</v>
      </c>
      <c r="F559" s="33" t="s">
        <v>672</v>
      </c>
      <c r="G559" s="34" t="s">
        <v>673</v>
      </c>
      <c r="H559" s="24">
        <f t="shared" si="24"/>
        <v>0.25</v>
      </c>
      <c r="I559" s="35"/>
      <c r="J559" s="35"/>
      <c r="K559" s="36"/>
      <c r="L559" s="34" t="s">
        <v>100</v>
      </c>
      <c r="M559" s="40"/>
      <c r="N559" s="40" t="s">
        <v>864</v>
      </c>
      <c r="O559" s="35" t="s">
        <v>840</v>
      </c>
      <c r="P559" s="27"/>
      <c r="Q559" s="27"/>
      <c r="R559" s="27"/>
      <c r="S559" s="27" t="s">
        <v>865</v>
      </c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54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17">
        <v>4</v>
      </c>
      <c r="BR559" s="17">
        <f t="shared" si="25"/>
        <v>1</v>
      </c>
      <c r="BS559" s="28">
        <f t="shared" si="26"/>
        <v>0</v>
      </c>
      <c r="BT559" s="28">
        <v>1</v>
      </c>
    </row>
    <row r="560" spans="1:72" ht="15.75" customHeight="1" x14ac:dyDescent="0.3">
      <c r="A560" s="32" t="s">
        <v>680</v>
      </c>
      <c r="B560" s="33" t="s">
        <v>821</v>
      </c>
      <c r="C560" s="90" t="s">
        <v>686</v>
      </c>
      <c r="D560" s="33" t="s">
        <v>834</v>
      </c>
      <c r="E560" s="33" t="s">
        <v>824</v>
      </c>
      <c r="F560" s="33" t="s">
        <v>672</v>
      </c>
      <c r="G560" s="34" t="s">
        <v>673</v>
      </c>
      <c r="H560" s="24">
        <f t="shared" si="24"/>
        <v>0.25</v>
      </c>
      <c r="I560" s="35"/>
      <c r="J560" s="35"/>
      <c r="K560" s="36"/>
      <c r="L560" s="34" t="s">
        <v>100</v>
      </c>
      <c r="M560" s="40"/>
      <c r="N560" s="40" t="s">
        <v>864</v>
      </c>
      <c r="O560" s="35" t="s">
        <v>842</v>
      </c>
      <c r="P560" s="27"/>
      <c r="Q560" s="27"/>
      <c r="R560" s="27"/>
      <c r="S560" s="27" t="s">
        <v>865</v>
      </c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54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17">
        <v>4</v>
      </c>
      <c r="BR560" s="17">
        <f t="shared" si="25"/>
        <v>1</v>
      </c>
      <c r="BS560" s="28">
        <f t="shared" si="26"/>
        <v>0</v>
      </c>
      <c r="BT560" s="28">
        <v>1</v>
      </c>
    </row>
    <row r="561" spans="1:72" ht="15.75" customHeight="1" x14ac:dyDescent="0.3">
      <c r="A561" s="32" t="s">
        <v>680</v>
      </c>
      <c r="B561" s="33" t="s">
        <v>821</v>
      </c>
      <c r="C561" s="90" t="s">
        <v>686</v>
      </c>
      <c r="D561" s="33" t="s">
        <v>835</v>
      </c>
      <c r="E561" s="33" t="s">
        <v>824</v>
      </c>
      <c r="F561" s="33" t="s">
        <v>672</v>
      </c>
      <c r="G561" s="34" t="s">
        <v>673</v>
      </c>
      <c r="H561" s="24">
        <f t="shared" si="24"/>
        <v>0.25</v>
      </c>
      <c r="I561" s="35"/>
      <c r="J561" s="35"/>
      <c r="K561" s="36"/>
      <c r="L561" s="34" t="s">
        <v>100</v>
      </c>
      <c r="M561" s="40"/>
      <c r="N561" s="40" t="s">
        <v>864</v>
      </c>
      <c r="O561" s="35" t="s">
        <v>842</v>
      </c>
      <c r="P561" s="27"/>
      <c r="Q561" s="27"/>
      <c r="R561" s="27"/>
      <c r="S561" s="27" t="s">
        <v>865</v>
      </c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54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17">
        <v>4</v>
      </c>
      <c r="BR561" s="17">
        <f t="shared" si="25"/>
        <v>1</v>
      </c>
      <c r="BS561" s="28">
        <f t="shared" si="26"/>
        <v>0</v>
      </c>
      <c r="BT561" s="28">
        <v>1</v>
      </c>
    </row>
    <row r="562" spans="1:72" ht="15.75" customHeight="1" x14ac:dyDescent="0.3">
      <c r="A562" s="32" t="s">
        <v>680</v>
      </c>
      <c r="B562" s="33" t="s">
        <v>821</v>
      </c>
      <c r="C562" s="90" t="s">
        <v>686</v>
      </c>
      <c r="D562" s="33" t="s">
        <v>836</v>
      </c>
      <c r="E562" s="33" t="s">
        <v>823</v>
      </c>
      <c r="F562" s="33" t="s">
        <v>672</v>
      </c>
      <c r="G562" s="34" t="s">
        <v>673</v>
      </c>
      <c r="H562" s="24">
        <f t="shared" si="24"/>
        <v>0.25</v>
      </c>
      <c r="I562" s="35"/>
      <c r="J562" s="35"/>
      <c r="K562" s="36"/>
      <c r="L562" s="34" t="s">
        <v>100</v>
      </c>
      <c r="M562" s="40"/>
      <c r="N562" s="40" t="s">
        <v>864</v>
      </c>
      <c r="O562" s="35" t="s">
        <v>842</v>
      </c>
      <c r="P562" s="27"/>
      <c r="Q562" s="27"/>
      <c r="R562" s="27"/>
      <c r="S562" s="27" t="s">
        <v>865</v>
      </c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54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17">
        <v>4</v>
      </c>
      <c r="BR562" s="17">
        <f t="shared" si="25"/>
        <v>1</v>
      </c>
      <c r="BS562" s="28">
        <f t="shared" si="26"/>
        <v>0</v>
      </c>
      <c r="BT562" s="28">
        <v>1</v>
      </c>
    </row>
    <row r="563" spans="1:72" ht="15.75" customHeight="1" x14ac:dyDescent="0.3">
      <c r="A563" s="32" t="s">
        <v>680</v>
      </c>
      <c r="B563" s="33" t="s">
        <v>709</v>
      </c>
      <c r="C563" s="90" t="s">
        <v>686</v>
      </c>
      <c r="D563" s="33" t="s">
        <v>710</v>
      </c>
      <c r="E563" s="33" t="s">
        <v>711</v>
      </c>
      <c r="F563" s="33" t="s">
        <v>96</v>
      </c>
      <c r="G563" s="34" t="s">
        <v>167</v>
      </c>
      <c r="H563" s="24">
        <f t="shared" si="24"/>
        <v>0.66666666666666663</v>
      </c>
      <c r="I563" s="35"/>
      <c r="J563" s="35"/>
      <c r="K563" s="36"/>
      <c r="L563" s="34" t="s">
        <v>100</v>
      </c>
      <c r="M563" s="40"/>
      <c r="N563" s="40" t="s">
        <v>859</v>
      </c>
      <c r="O563" s="35"/>
      <c r="P563" s="27"/>
      <c r="Q563" s="27" t="s">
        <v>860</v>
      </c>
      <c r="R563" s="27"/>
      <c r="S563" s="27"/>
      <c r="T563" s="27" t="s">
        <v>861</v>
      </c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17"/>
      <c r="BQ563" s="17">
        <v>3</v>
      </c>
      <c r="BR563" s="17">
        <f t="shared" si="25"/>
        <v>2</v>
      </c>
      <c r="BS563" s="28">
        <f t="shared" si="26"/>
        <v>0</v>
      </c>
      <c r="BT563" s="28">
        <v>1</v>
      </c>
    </row>
    <row r="564" spans="1:72" ht="15.75" customHeight="1" x14ac:dyDescent="0.3">
      <c r="A564" s="32" t="s">
        <v>680</v>
      </c>
      <c r="B564" s="33" t="s">
        <v>685</v>
      </c>
      <c r="C564" s="33" t="s">
        <v>686</v>
      </c>
      <c r="D564" s="33" t="s">
        <v>687</v>
      </c>
      <c r="E564" s="33" t="s">
        <v>712</v>
      </c>
      <c r="F564" s="33" t="s">
        <v>88</v>
      </c>
      <c r="G564" s="34" t="s">
        <v>127</v>
      </c>
      <c r="H564" s="24">
        <f t="shared" si="24"/>
        <v>0</v>
      </c>
      <c r="I564" s="35"/>
      <c r="J564" s="35"/>
      <c r="K564" s="36"/>
      <c r="L564" s="34" t="s">
        <v>100</v>
      </c>
      <c r="M564" s="40"/>
      <c r="N564" s="40"/>
      <c r="O564" s="35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54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17">
        <v>2</v>
      </c>
      <c r="BR564" s="17">
        <f t="shared" si="25"/>
        <v>0</v>
      </c>
      <c r="BS564" s="28">
        <f t="shared" si="26"/>
        <v>0</v>
      </c>
      <c r="BT564" s="28">
        <v>1</v>
      </c>
    </row>
    <row r="565" spans="1:72" ht="15.75" customHeight="1" x14ac:dyDescent="0.3">
      <c r="A565" s="32" t="s">
        <v>680</v>
      </c>
      <c r="B565" s="33" t="s">
        <v>685</v>
      </c>
      <c r="C565" s="33" t="s">
        <v>686</v>
      </c>
      <c r="D565" s="33" t="s">
        <v>687</v>
      </c>
      <c r="E565" s="33" t="s">
        <v>711</v>
      </c>
      <c r="F565" s="33" t="s">
        <v>96</v>
      </c>
      <c r="G565" s="34" t="s">
        <v>167</v>
      </c>
      <c r="H565" s="24">
        <f t="shared" si="24"/>
        <v>0.66666666666666663</v>
      </c>
      <c r="I565" s="35"/>
      <c r="J565" s="35"/>
      <c r="K565" s="36"/>
      <c r="L565" s="34" t="s">
        <v>100</v>
      </c>
      <c r="M565" s="40"/>
      <c r="N565" s="40" t="s">
        <v>859</v>
      </c>
      <c r="O565" s="35"/>
      <c r="P565" s="27"/>
      <c r="Q565" s="27" t="s">
        <v>860</v>
      </c>
      <c r="R565" s="27"/>
      <c r="S565" s="27"/>
      <c r="T565" s="27" t="s">
        <v>861</v>
      </c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17"/>
      <c r="BQ565" s="17">
        <v>3</v>
      </c>
      <c r="BR565" s="17">
        <f t="shared" si="25"/>
        <v>2</v>
      </c>
      <c r="BS565" s="28">
        <f t="shared" si="26"/>
        <v>0</v>
      </c>
      <c r="BT565" s="28">
        <v>1</v>
      </c>
    </row>
    <row r="566" spans="1:72" ht="15.75" customHeight="1" x14ac:dyDescent="0.3">
      <c r="A566" s="32" t="s">
        <v>680</v>
      </c>
      <c r="B566" s="33" t="s">
        <v>696</v>
      </c>
      <c r="C566" s="33" t="s">
        <v>686</v>
      </c>
      <c r="D566" s="33" t="s">
        <v>697</v>
      </c>
      <c r="E566" s="33" t="s">
        <v>717</v>
      </c>
      <c r="F566" s="33" t="s">
        <v>88</v>
      </c>
      <c r="G566" s="34" t="s">
        <v>127</v>
      </c>
      <c r="H566" s="24">
        <f t="shared" si="24"/>
        <v>0</v>
      </c>
      <c r="I566" s="35"/>
      <c r="J566" s="35"/>
      <c r="K566" s="36"/>
      <c r="L566" s="34" t="s">
        <v>100</v>
      </c>
      <c r="M566" s="40"/>
      <c r="N566" s="40"/>
      <c r="O566" s="35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17"/>
      <c r="BQ566" s="17">
        <v>2</v>
      </c>
      <c r="BR566" s="17">
        <f t="shared" si="25"/>
        <v>0</v>
      </c>
      <c r="BS566" s="28">
        <f t="shared" si="26"/>
        <v>0</v>
      </c>
      <c r="BT566" s="28">
        <v>2</v>
      </c>
    </row>
    <row r="567" spans="1:72" ht="15.75" customHeight="1" x14ac:dyDescent="0.3">
      <c r="A567" s="32" t="s">
        <v>718</v>
      </c>
      <c r="B567" s="33" t="s">
        <v>724</v>
      </c>
      <c r="C567" s="33" t="s">
        <v>725</v>
      </c>
      <c r="D567" s="33" t="s">
        <v>726</v>
      </c>
      <c r="E567" s="33" t="s">
        <v>130</v>
      </c>
      <c r="F567" s="33" t="s">
        <v>86</v>
      </c>
      <c r="G567" s="34" t="s">
        <v>99</v>
      </c>
      <c r="H567" s="24">
        <f t="shared" si="24"/>
        <v>0</v>
      </c>
      <c r="I567" s="35" t="s">
        <v>808</v>
      </c>
      <c r="J567" s="35"/>
      <c r="K567" s="36"/>
      <c r="L567" s="34" t="s">
        <v>105</v>
      </c>
      <c r="M567" s="40"/>
      <c r="N567" s="40"/>
      <c r="O567" s="35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17"/>
      <c r="BP567" s="17"/>
      <c r="BQ567" s="17">
        <v>1</v>
      </c>
      <c r="BR567" s="17">
        <f t="shared" si="25"/>
        <v>0</v>
      </c>
      <c r="BS567" s="28">
        <f t="shared" si="26"/>
        <v>0</v>
      </c>
      <c r="BT567" s="28">
        <v>1</v>
      </c>
    </row>
    <row r="568" spans="1:72" ht="15.75" customHeight="1" x14ac:dyDescent="0.3">
      <c r="A568" s="32" t="s">
        <v>718</v>
      </c>
      <c r="B568" s="33" t="s">
        <v>724</v>
      </c>
      <c r="C568" s="33" t="s">
        <v>725</v>
      </c>
      <c r="D568" s="33" t="s">
        <v>726</v>
      </c>
      <c r="E568" s="33" t="s">
        <v>748</v>
      </c>
      <c r="F568" s="33" t="s">
        <v>90</v>
      </c>
      <c r="G568" s="34" t="s">
        <v>99</v>
      </c>
      <c r="H568" s="24">
        <f t="shared" si="24"/>
        <v>0</v>
      </c>
      <c r="I568" s="35" t="s">
        <v>808</v>
      </c>
      <c r="J568" s="35"/>
      <c r="K568" s="36"/>
      <c r="L568" s="34" t="s">
        <v>105</v>
      </c>
      <c r="M568" s="40"/>
      <c r="N568" s="40"/>
      <c r="O568" s="35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17"/>
      <c r="BP568" s="17"/>
      <c r="BQ568" s="17">
        <v>1</v>
      </c>
      <c r="BR568" s="17">
        <f t="shared" si="25"/>
        <v>0</v>
      </c>
      <c r="BS568" s="28">
        <f t="shared" si="26"/>
        <v>0</v>
      </c>
      <c r="BT568" s="28">
        <v>1</v>
      </c>
    </row>
    <row r="569" spans="1:72" ht="15.75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727</v>
      </c>
      <c r="F569" s="33" t="s">
        <v>672</v>
      </c>
      <c r="G569" s="34" t="s">
        <v>673</v>
      </c>
      <c r="H569" s="24">
        <f t="shared" si="24"/>
        <v>0</v>
      </c>
      <c r="I569" s="35"/>
      <c r="J569" s="35"/>
      <c r="K569" s="36"/>
      <c r="L569" s="34" t="s">
        <v>100</v>
      </c>
      <c r="M569" s="40"/>
      <c r="N569" s="40" t="s">
        <v>884</v>
      </c>
      <c r="O569" s="35" t="s">
        <v>169</v>
      </c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17"/>
      <c r="BQ569" s="17">
        <v>4</v>
      </c>
      <c r="BR569" s="17">
        <f t="shared" si="25"/>
        <v>0</v>
      </c>
      <c r="BS569" s="28">
        <f t="shared" si="26"/>
        <v>0</v>
      </c>
      <c r="BT569" s="28">
        <v>1</v>
      </c>
    </row>
    <row r="570" spans="1:72" ht="15.75" customHeight="1" x14ac:dyDescent="0.3">
      <c r="A570" s="32" t="s">
        <v>718</v>
      </c>
      <c r="B570" s="33" t="s">
        <v>719</v>
      </c>
      <c r="C570" s="33" t="s">
        <v>720</v>
      </c>
      <c r="D570" s="33" t="s">
        <v>721</v>
      </c>
      <c r="E570" s="33" t="s">
        <v>694</v>
      </c>
      <c r="F570" s="33" t="s">
        <v>672</v>
      </c>
      <c r="G570" s="34" t="s">
        <v>673</v>
      </c>
      <c r="H570" s="24">
        <f t="shared" si="24"/>
        <v>0.25</v>
      </c>
      <c r="I570" s="35" t="s">
        <v>808</v>
      </c>
      <c r="J570" s="35" t="s">
        <v>695</v>
      </c>
      <c r="K570" s="36"/>
      <c r="L570" s="34" t="s">
        <v>100</v>
      </c>
      <c r="M570" s="40"/>
      <c r="N570" s="51" t="s">
        <v>870</v>
      </c>
      <c r="O570" s="35" t="s">
        <v>695</v>
      </c>
      <c r="P570" s="27"/>
      <c r="Q570" s="27"/>
      <c r="R570" s="27"/>
      <c r="S570" s="27" t="s">
        <v>865</v>
      </c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17"/>
      <c r="BQ570" s="17">
        <v>4</v>
      </c>
      <c r="BR570" s="17">
        <f t="shared" si="25"/>
        <v>1</v>
      </c>
      <c r="BS570" s="28">
        <f t="shared" si="26"/>
        <v>0</v>
      </c>
      <c r="BT570" s="28">
        <v>1</v>
      </c>
    </row>
    <row r="571" spans="1:72" ht="15.75" customHeight="1" x14ac:dyDescent="0.3">
      <c r="A571" s="32" t="s">
        <v>718</v>
      </c>
      <c r="B571" s="33" t="s">
        <v>719</v>
      </c>
      <c r="C571" s="33" t="s">
        <v>720</v>
      </c>
      <c r="D571" s="33" t="s">
        <v>721</v>
      </c>
      <c r="E571" s="33" t="s">
        <v>692</v>
      </c>
      <c r="F571" s="33" t="s">
        <v>672</v>
      </c>
      <c r="G571" s="34" t="s">
        <v>673</v>
      </c>
      <c r="H571" s="24">
        <f t="shared" si="24"/>
        <v>0.25</v>
      </c>
      <c r="I571" s="35"/>
      <c r="J571" s="35" t="s">
        <v>693</v>
      </c>
      <c r="K571" s="36"/>
      <c r="L571" s="34" t="s">
        <v>100</v>
      </c>
      <c r="M571" s="40"/>
      <c r="N571" s="51" t="s">
        <v>870</v>
      </c>
      <c r="O571" s="35" t="s">
        <v>693</v>
      </c>
      <c r="P571" s="27"/>
      <c r="Q571" s="27"/>
      <c r="R571" s="27"/>
      <c r="S571" s="27" t="s">
        <v>865</v>
      </c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17">
        <v>4</v>
      </c>
      <c r="BR571" s="17">
        <f t="shared" si="25"/>
        <v>1</v>
      </c>
      <c r="BS571" s="28">
        <f t="shared" si="26"/>
        <v>0</v>
      </c>
      <c r="BT571" s="28">
        <v>1</v>
      </c>
    </row>
    <row r="572" spans="1:72" ht="15.75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714</v>
      </c>
      <c r="F572" s="33" t="s">
        <v>88</v>
      </c>
      <c r="G572" s="34" t="s">
        <v>127</v>
      </c>
      <c r="H572" s="24">
        <f t="shared" si="24"/>
        <v>0</v>
      </c>
      <c r="I572" s="35"/>
      <c r="J572" s="35"/>
      <c r="K572" s="36"/>
      <c r="L572" s="34" t="s">
        <v>100</v>
      </c>
      <c r="M572" s="40"/>
      <c r="N572" s="40"/>
      <c r="O572" s="35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17">
        <v>2</v>
      </c>
      <c r="BR572" s="17">
        <f t="shared" si="25"/>
        <v>0</v>
      </c>
      <c r="BS572" s="28">
        <f t="shared" si="26"/>
        <v>0</v>
      </c>
      <c r="BT572" s="28">
        <v>1</v>
      </c>
    </row>
    <row r="573" spans="1:72" ht="15.75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747</v>
      </c>
      <c r="F573" s="33" t="s">
        <v>88</v>
      </c>
      <c r="G573" s="34" t="s">
        <v>127</v>
      </c>
      <c r="H573" s="24">
        <f t="shared" si="24"/>
        <v>0</v>
      </c>
      <c r="I573" s="35"/>
      <c r="J573" s="35"/>
      <c r="K573" s="36"/>
      <c r="L573" s="34" t="s">
        <v>100</v>
      </c>
      <c r="M573" s="40"/>
      <c r="N573" s="40"/>
      <c r="O573" s="35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17">
        <v>2</v>
      </c>
      <c r="BR573" s="17">
        <f t="shared" si="25"/>
        <v>0</v>
      </c>
      <c r="BS573" s="28">
        <f t="shared" si="26"/>
        <v>0</v>
      </c>
      <c r="BT573" s="28">
        <v>1</v>
      </c>
    </row>
    <row r="574" spans="1:72" ht="15.75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700</v>
      </c>
      <c r="F574" s="33" t="s">
        <v>95</v>
      </c>
      <c r="G574" s="34" t="s">
        <v>95</v>
      </c>
      <c r="H574" s="24">
        <f t="shared" si="24"/>
        <v>0.21153846153846154</v>
      </c>
      <c r="I574" s="35"/>
      <c r="J574" s="35"/>
      <c r="K574" s="36"/>
      <c r="L574" s="34" t="s">
        <v>100</v>
      </c>
      <c r="M574" s="40"/>
      <c r="N574" s="40"/>
      <c r="O574" s="35"/>
      <c r="P574" s="27" t="s">
        <v>810</v>
      </c>
      <c r="Q574" s="27" t="s">
        <v>810</v>
      </c>
      <c r="R574" s="27" t="s">
        <v>810</v>
      </c>
      <c r="S574" s="27" t="s">
        <v>810</v>
      </c>
      <c r="T574" s="27" t="s">
        <v>810</v>
      </c>
      <c r="U574" s="27" t="s">
        <v>810</v>
      </c>
      <c r="V574" s="27" t="s">
        <v>810</v>
      </c>
      <c r="W574" s="27" t="s">
        <v>810</v>
      </c>
      <c r="X574" s="27" t="s">
        <v>810</v>
      </c>
      <c r="Y574" s="27" t="s">
        <v>810</v>
      </c>
      <c r="Z574" s="27" t="s">
        <v>810</v>
      </c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17"/>
      <c r="BQ574" s="17">
        <v>52</v>
      </c>
      <c r="BR574" s="17">
        <f t="shared" si="25"/>
        <v>11</v>
      </c>
      <c r="BS574" s="28">
        <f t="shared" si="26"/>
        <v>0</v>
      </c>
      <c r="BT574" s="28">
        <v>1</v>
      </c>
    </row>
    <row r="575" spans="1:72" ht="15.75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701</v>
      </c>
      <c r="F575" s="33" t="s">
        <v>95</v>
      </c>
      <c r="G575" s="34" t="s">
        <v>95</v>
      </c>
      <c r="H575" s="24">
        <f t="shared" si="24"/>
        <v>0.21153846153846154</v>
      </c>
      <c r="I575" s="35"/>
      <c r="J575" s="35"/>
      <c r="K575" s="36"/>
      <c r="L575" s="34" t="s">
        <v>105</v>
      </c>
      <c r="M575" s="40"/>
      <c r="N575" s="40"/>
      <c r="O575" s="35"/>
      <c r="P575" s="27" t="s">
        <v>810</v>
      </c>
      <c r="Q575" s="27" t="s">
        <v>810</v>
      </c>
      <c r="R575" s="27" t="s">
        <v>810</v>
      </c>
      <c r="S575" s="27" t="s">
        <v>810</v>
      </c>
      <c r="T575" s="27" t="s">
        <v>810</v>
      </c>
      <c r="U575" s="27" t="s">
        <v>810</v>
      </c>
      <c r="V575" s="27" t="s">
        <v>810</v>
      </c>
      <c r="W575" s="27" t="s">
        <v>810</v>
      </c>
      <c r="X575" s="27" t="s">
        <v>810</v>
      </c>
      <c r="Y575" s="27" t="s">
        <v>810</v>
      </c>
      <c r="Z575" s="27" t="s">
        <v>810</v>
      </c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17"/>
      <c r="BQ575" s="17">
        <v>52</v>
      </c>
      <c r="BR575" s="17">
        <f t="shared" si="25"/>
        <v>11</v>
      </c>
      <c r="BS575" s="28">
        <f t="shared" si="26"/>
        <v>0</v>
      </c>
      <c r="BT575" s="28">
        <v>1</v>
      </c>
    </row>
    <row r="576" spans="1:72" ht="15.75" customHeight="1" x14ac:dyDescent="0.3">
      <c r="A576" s="32" t="s">
        <v>718</v>
      </c>
      <c r="B576" s="33" t="s">
        <v>735</v>
      </c>
      <c r="C576" s="33" t="s">
        <v>720</v>
      </c>
      <c r="D576" s="33" t="s">
        <v>736</v>
      </c>
      <c r="E576" s="33" t="s">
        <v>130</v>
      </c>
      <c r="F576" s="33" t="s">
        <v>88</v>
      </c>
      <c r="G576" s="34" t="s">
        <v>127</v>
      </c>
      <c r="H576" s="24">
        <f t="shared" si="24"/>
        <v>0</v>
      </c>
      <c r="I576" s="35"/>
      <c r="J576" s="35"/>
      <c r="K576" s="36"/>
      <c r="L576" s="34" t="s">
        <v>100</v>
      </c>
      <c r="M576" s="40"/>
      <c r="N576" s="40"/>
      <c r="O576" s="35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17">
        <v>2</v>
      </c>
      <c r="BR576" s="17">
        <f t="shared" si="25"/>
        <v>0</v>
      </c>
      <c r="BS576" s="28">
        <f t="shared" si="26"/>
        <v>0</v>
      </c>
      <c r="BT576" s="28">
        <v>1</v>
      </c>
    </row>
    <row r="577" spans="1:72" ht="15.75" customHeight="1" x14ac:dyDescent="0.3">
      <c r="A577" s="32" t="s">
        <v>718</v>
      </c>
      <c r="B577" s="33" t="s">
        <v>735</v>
      </c>
      <c r="C577" s="33" t="s">
        <v>720</v>
      </c>
      <c r="D577" s="33" t="s">
        <v>736</v>
      </c>
      <c r="E577" s="33" t="s">
        <v>799</v>
      </c>
      <c r="F577" s="33" t="s">
        <v>88</v>
      </c>
      <c r="G577" s="34" t="s">
        <v>127</v>
      </c>
      <c r="H577" s="24">
        <f t="shared" ref="H577:H608" si="27">IF(BQ577=0," ",(BR577/BQ577))</f>
        <v>0</v>
      </c>
      <c r="I577" s="35"/>
      <c r="J577" s="35"/>
      <c r="K577" s="36"/>
      <c r="L577" s="34" t="s">
        <v>100</v>
      </c>
      <c r="M577" s="40"/>
      <c r="N577" s="40"/>
      <c r="O577" s="35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17">
        <v>2</v>
      </c>
      <c r="BR577" s="17">
        <f t="shared" ref="BR577:BR608" si="28">IF(COUNTA(P577:BP577)&gt;BQ577,BQ577,COUNTA(P577:BP577))</f>
        <v>0</v>
      </c>
      <c r="BS577" s="28">
        <f t="shared" ref="BS577:BS608" si="29">IF(H577=1,1,0)</f>
        <v>0</v>
      </c>
      <c r="BT577" s="28">
        <v>1</v>
      </c>
    </row>
    <row r="578" spans="1:72" ht="15.75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737</v>
      </c>
      <c r="F578" s="33" t="s">
        <v>672</v>
      </c>
      <c r="G578" s="34" t="s">
        <v>673</v>
      </c>
      <c r="H578" s="24">
        <f t="shared" si="27"/>
        <v>0.25</v>
      </c>
      <c r="I578" s="35"/>
      <c r="J578" s="35" t="s">
        <v>738</v>
      </c>
      <c r="K578" s="36"/>
      <c r="L578" s="34" t="s">
        <v>100</v>
      </c>
      <c r="M578" s="40"/>
      <c r="N578" s="51" t="s">
        <v>870</v>
      </c>
      <c r="O578" s="35" t="s">
        <v>738</v>
      </c>
      <c r="P578" s="27"/>
      <c r="Q578" s="27"/>
      <c r="R578" s="27"/>
      <c r="S578" s="27" t="s">
        <v>865</v>
      </c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17"/>
      <c r="BP578" s="17"/>
      <c r="BQ578" s="17">
        <v>4</v>
      </c>
      <c r="BR578" s="17">
        <f t="shared" si="28"/>
        <v>1</v>
      </c>
      <c r="BS578" s="28">
        <f t="shared" si="29"/>
        <v>0</v>
      </c>
      <c r="BT578" s="28">
        <v>1</v>
      </c>
    </row>
    <row r="579" spans="1:72" ht="15.75" customHeight="1" x14ac:dyDescent="0.3">
      <c r="A579" s="32" t="s">
        <v>718</v>
      </c>
      <c r="B579" s="33" t="s">
        <v>722</v>
      </c>
      <c r="C579" s="33" t="s">
        <v>720</v>
      </c>
      <c r="D579" s="33" t="s">
        <v>723</v>
      </c>
      <c r="E579" s="33" t="s">
        <v>694</v>
      </c>
      <c r="F579" s="33" t="s">
        <v>672</v>
      </c>
      <c r="G579" s="34" t="s">
        <v>673</v>
      </c>
      <c r="H579" s="24">
        <f t="shared" si="27"/>
        <v>0.25</v>
      </c>
      <c r="I579" s="35"/>
      <c r="J579" s="35" t="s">
        <v>695</v>
      </c>
      <c r="K579" s="36"/>
      <c r="L579" s="34" t="s">
        <v>100</v>
      </c>
      <c r="M579" s="40"/>
      <c r="N579" s="51" t="s">
        <v>870</v>
      </c>
      <c r="O579" s="35" t="s">
        <v>695</v>
      </c>
      <c r="P579" s="27"/>
      <c r="Q579" s="27"/>
      <c r="R579" s="27"/>
      <c r="S579" s="27" t="s">
        <v>865</v>
      </c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17"/>
      <c r="BQ579" s="17">
        <v>4</v>
      </c>
      <c r="BR579" s="17">
        <f t="shared" si="28"/>
        <v>1</v>
      </c>
      <c r="BS579" s="28">
        <f t="shared" si="29"/>
        <v>0</v>
      </c>
      <c r="BT579" s="28">
        <v>1</v>
      </c>
    </row>
    <row r="580" spans="1:72" ht="15.75" customHeight="1" x14ac:dyDescent="0.3">
      <c r="A580" s="32" t="s">
        <v>718</v>
      </c>
      <c r="B580" s="33" t="s">
        <v>722</v>
      </c>
      <c r="C580" s="33" t="s">
        <v>720</v>
      </c>
      <c r="D580" s="33" t="s">
        <v>723</v>
      </c>
      <c r="E580" s="33" t="s">
        <v>692</v>
      </c>
      <c r="F580" s="33" t="s">
        <v>672</v>
      </c>
      <c r="G580" s="34" t="s">
        <v>673</v>
      </c>
      <c r="H580" s="24">
        <f t="shared" si="27"/>
        <v>0.25</v>
      </c>
      <c r="I580" s="35"/>
      <c r="J580" s="35" t="s">
        <v>693</v>
      </c>
      <c r="K580" s="36"/>
      <c r="L580" s="34" t="s">
        <v>100</v>
      </c>
      <c r="M580" s="40"/>
      <c r="N580" s="51" t="s">
        <v>870</v>
      </c>
      <c r="O580" s="35" t="s">
        <v>693</v>
      </c>
      <c r="P580" s="27"/>
      <c r="Q580" s="27"/>
      <c r="R580" s="27"/>
      <c r="S580" s="27" t="s">
        <v>865</v>
      </c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17"/>
      <c r="BP580" s="17"/>
      <c r="BQ580" s="17">
        <v>4</v>
      </c>
      <c r="BR580" s="17">
        <f t="shared" si="28"/>
        <v>1</v>
      </c>
      <c r="BS580" s="28">
        <f t="shared" si="29"/>
        <v>0</v>
      </c>
      <c r="BT580" s="28">
        <v>1</v>
      </c>
    </row>
    <row r="581" spans="1:72" ht="15.75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714</v>
      </c>
      <c r="F581" s="33" t="s">
        <v>88</v>
      </c>
      <c r="G581" s="34" t="s">
        <v>127</v>
      </c>
      <c r="H581" s="24">
        <f t="shared" si="27"/>
        <v>0</v>
      </c>
      <c r="I581" s="35"/>
      <c r="J581" s="35"/>
      <c r="K581" s="36"/>
      <c r="L581" s="34" t="s">
        <v>100</v>
      </c>
      <c r="M581" s="40"/>
      <c r="N581" s="40"/>
      <c r="O581" s="35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17">
        <v>2</v>
      </c>
      <c r="BR581" s="17">
        <f t="shared" si="28"/>
        <v>0</v>
      </c>
      <c r="BS581" s="28">
        <f t="shared" si="29"/>
        <v>0</v>
      </c>
      <c r="BT581" s="28">
        <v>1</v>
      </c>
    </row>
    <row r="582" spans="1:72" ht="15.75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747</v>
      </c>
      <c r="F582" s="33" t="s">
        <v>88</v>
      </c>
      <c r="G582" s="34" t="s">
        <v>127</v>
      </c>
      <c r="H582" s="24">
        <f t="shared" si="27"/>
        <v>0</v>
      </c>
      <c r="I582" s="35"/>
      <c r="J582" s="35"/>
      <c r="K582" s="36"/>
      <c r="L582" s="34" t="s">
        <v>100</v>
      </c>
      <c r="M582" s="40"/>
      <c r="N582" s="40"/>
      <c r="O582" s="35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17">
        <v>2</v>
      </c>
      <c r="BR582" s="17">
        <f t="shared" si="28"/>
        <v>0</v>
      </c>
      <c r="BS582" s="28">
        <f t="shared" si="29"/>
        <v>0</v>
      </c>
      <c r="BT582" s="28">
        <v>1</v>
      </c>
    </row>
    <row r="583" spans="1:72" ht="15.75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700</v>
      </c>
      <c r="F583" s="33" t="s">
        <v>95</v>
      </c>
      <c r="G583" s="34" t="s">
        <v>95</v>
      </c>
      <c r="H583" s="24">
        <f t="shared" si="27"/>
        <v>0.21153846153846154</v>
      </c>
      <c r="I583" s="35"/>
      <c r="J583" s="35"/>
      <c r="K583" s="36"/>
      <c r="L583" s="34" t="s">
        <v>100</v>
      </c>
      <c r="M583" s="40"/>
      <c r="N583" s="40"/>
      <c r="O583" s="35"/>
      <c r="P583" s="27" t="s">
        <v>810</v>
      </c>
      <c r="Q583" s="27" t="s">
        <v>810</v>
      </c>
      <c r="R583" s="27" t="s">
        <v>810</v>
      </c>
      <c r="S583" s="27" t="s">
        <v>810</v>
      </c>
      <c r="T583" s="27" t="s">
        <v>810</v>
      </c>
      <c r="U583" s="27" t="s">
        <v>810</v>
      </c>
      <c r="V583" s="27" t="s">
        <v>810</v>
      </c>
      <c r="W583" s="27" t="s">
        <v>810</v>
      </c>
      <c r="X583" s="27" t="s">
        <v>810</v>
      </c>
      <c r="Y583" s="27" t="s">
        <v>810</v>
      </c>
      <c r="Z583" s="27" t="s">
        <v>810</v>
      </c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17"/>
      <c r="BQ583" s="17">
        <v>52</v>
      </c>
      <c r="BR583" s="17">
        <f t="shared" si="28"/>
        <v>11</v>
      </c>
      <c r="BS583" s="28">
        <f t="shared" si="29"/>
        <v>0</v>
      </c>
      <c r="BT583" s="28">
        <v>1</v>
      </c>
    </row>
    <row r="584" spans="1:72" ht="15.75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701</v>
      </c>
      <c r="F584" s="33" t="s">
        <v>95</v>
      </c>
      <c r="G584" s="34" t="s">
        <v>95</v>
      </c>
      <c r="H584" s="24">
        <f t="shared" si="27"/>
        <v>0.21153846153846154</v>
      </c>
      <c r="I584" s="35"/>
      <c r="J584" s="35"/>
      <c r="K584" s="36"/>
      <c r="L584" s="34" t="s">
        <v>105</v>
      </c>
      <c r="M584" s="40"/>
      <c r="N584" s="40"/>
      <c r="O584" s="35"/>
      <c r="P584" s="27" t="s">
        <v>810</v>
      </c>
      <c r="Q584" s="27" t="s">
        <v>810</v>
      </c>
      <c r="R584" s="27" t="s">
        <v>810</v>
      </c>
      <c r="S584" s="27" t="s">
        <v>810</v>
      </c>
      <c r="T584" s="27" t="s">
        <v>810</v>
      </c>
      <c r="U584" s="27" t="s">
        <v>810</v>
      </c>
      <c r="V584" s="27" t="s">
        <v>810</v>
      </c>
      <c r="W584" s="27" t="s">
        <v>810</v>
      </c>
      <c r="X584" s="27" t="s">
        <v>810</v>
      </c>
      <c r="Y584" s="27" t="s">
        <v>810</v>
      </c>
      <c r="Z584" s="27" t="s">
        <v>810</v>
      </c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17"/>
      <c r="BQ584" s="17">
        <v>52</v>
      </c>
      <c r="BR584" s="17">
        <f t="shared" si="28"/>
        <v>11</v>
      </c>
      <c r="BS584" s="28">
        <f t="shared" si="29"/>
        <v>0</v>
      </c>
      <c r="BT584" s="28">
        <v>1</v>
      </c>
    </row>
    <row r="585" spans="1:72" ht="15.75" customHeight="1" x14ac:dyDescent="0.3">
      <c r="A585" s="32" t="s">
        <v>718</v>
      </c>
      <c r="B585" s="33" t="s">
        <v>739</v>
      </c>
      <c r="C585" s="33" t="s">
        <v>720</v>
      </c>
      <c r="D585" s="33" t="s">
        <v>740</v>
      </c>
      <c r="E585" s="33" t="s">
        <v>130</v>
      </c>
      <c r="F585" s="33" t="s">
        <v>88</v>
      </c>
      <c r="G585" s="34" t="s">
        <v>127</v>
      </c>
      <c r="H585" s="24">
        <f t="shared" si="27"/>
        <v>0</v>
      </c>
      <c r="I585" s="35"/>
      <c r="J585" s="35"/>
      <c r="K585" s="36"/>
      <c r="L585" s="34" t="s">
        <v>100</v>
      </c>
      <c r="M585" s="40"/>
      <c r="N585" s="40"/>
      <c r="O585" s="35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17">
        <v>2</v>
      </c>
      <c r="BR585" s="17">
        <f t="shared" si="28"/>
        <v>0</v>
      </c>
      <c r="BS585" s="28">
        <f t="shared" si="29"/>
        <v>0</v>
      </c>
      <c r="BT585" s="28">
        <v>1</v>
      </c>
    </row>
    <row r="586" spans="1:72" ht="15.75" customHeight="1" x14ac:dyDescent="0.3">
      <c r="A586" s="32" t="s">
        <v>718</v>
      </c>
      <c r="B586" s="33" t="s">
        <v>739</v>
      </c>
      <c r="C586" s="33" t="s">
        <v>720</v>
      </c>
      <c r="D586" s="33" t="s">
        <v>740</v>
      </c>
      <c r="E586" s="33" t="s">
        <v>799</v>
      </c>
      <c r="F586" s="33" t="s">
        <v>88</v>
      </c>
      <c r="G586" s="34" t="s">
        <v>127</v>
      </c>
      <c r="H586" s="24">
        <f t="shared" si="27"/>
        <v>0</v>
      </c>
      <c r="I586" s="35"/>
      <c r="J586" s="35"/>
      <c r="K586" s="36"/>
      <c r="L586" s="34" t="s">
        <v>100</v>
      </c>
      <c r="M586" s="40"/>
      <c r="N586" s="40"/>
      <c r="O586" s="35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17">
        <v>2</v>
      </c>
      <c r="BR586" s="17">
        <f t="shared" si="28"/>
        <v>0</v>
      </c>
      <c r="BS586" s="28">
        <f t="shared" si="29"/>
        <v>0</v>
      </c>
      <c r="BT586" s="28">
        <v>1</v>
      </c>
    </row>
    <row r="587" spans="1:72" ht="15.75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737</v>
      </c>
      <c r="F587" s="33" t="s">
        <v>672</v>
      </c>
      <c r="G587" s="34" t="s">
        <v>673</v>
      </c>
      <c r="H587" s="24">
        <f t="shared" si="27"/>
        <v>0.25</v>
      </c>
      <c r="I587" s="35"/>
      <c r="J587" s="35" t="s">
        <v>738</v>
      </c>
      <c r="K587" s="36"/>
      <c r="L587" s="34" t="s">
        <v>100</v>
      </c>
      <c r="M587" s="40"/>
      <c r="N587" s="51" t="s">
        <v>870</v>
      </c>
      <c r="O587" s="35" t="s">
        <v>738</v>
      </c>
      <c r="P587" s="27"/>
      <c r="Q587" s="27"/>
      <c r="R587" s="27"/>
      <c r="S587" s="27" t="s">
        <v>865</v>
      </c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17"/>
      <c r="BP587" s="17"/>
      <c r="BQ587" s="17">
        <v>4</v>
      </c>
      <c r="BR587" s="17">
        <f t="shared" si="28"/>
        <v>1</v>
      </c>
      <c r="BS587" s="28">
        <f t="shared" si="29"/>
        <v>0</v>
      </c>
      <c r="BT587" s="28">
        <v>1</v>
      </c>
    </row>
    <row r="588" spans="1:72" ht="15.75" customHeight="1" x14ac:dyDescent="0.3">
      <c r="A588" s="32" t="s">
        <v>718</v>
      </c>
      <c r="B588" s="33" t="s">
        <v>757</v>
      </c>
      <c r="C588" s="33" t="s">
        <v>725</v>
      </c>
      <c r="D588" s="33" t="s">
        <v>754</v>
      </c>
      <c r="E588" s="33" t="s">
        <v>775</v>
      </c>
      <c r="F588" s="33" t="s">
        <v>96</v>
      </c>
      <c r="G588" s="34" t="s">
        <v>167</v>
      </c>
      <c r="H588" s="24">
        <f t="shared" si="27"/>
        <v>0</v>
      </c>
      <c r="I588" s="35"/>
      <c r="J588" s="35"/>
      <c r="K588" s="36"/>
      <c r="L588" s="34" t="s">
        <v>100</v>
      </c>
      <c r="M588" s="40"/>
      <c r="N588" s="40"/>
      <c r="O588" s="35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17">
        <v>3</v>
      </c>
      <c r="BR588" s="17">
        <f t="shared" si="28"/>
        <v>0</v>
      </c>
      <c r="BS588" s="28">
        <f t="shared" si="29"/>
        <v>0</v>
      </c>
      <c r="BT588" s="28">
        <v>1</v>
      </c>
    </row>
    <row r="589" spans="1:72" ht="15.75" customHeight="1" x14ac:dyDescent="0.3">
      <c r="A589" s="32" t="s">
        <v>718</v>
      </c>
      <c r="B589" s="33" t="s">
        <v>728</v>
      </c>
      <c r="C589" s="33" t="s">
        <v>729</v>
      </c>
      <c r="D589" s="33" t="s">
        <v>730</v>
      </c>
      <c r="E589" s="33" t="s">
        <v>731</v>
      </c>
      <c r="F589" s="33" t="s">
        <v>672</v>
      </c>
      <c r="G589" s="34" t="s">
        <v>673</v>
      </c>
      <c r="H589" s="24">
        <f t="shared" si="27"/>
        <v>0.25</v>
      </c>
      <c r="I589" s="35"/>
      <c r="J589" s="35" t="s">
        <v>732</v>
      </c>
      <c r="K589" s="36"/>
      <c r="L589" s="34" t="s">
        <v>105</v>
      </c>
      <c r="M589" s="40"/>
      <c r="N589" s="51" t="s">
        <v>870</v>
      </c>
      <c r="O589" s="35" t="s">
        <v>732</v>
      </c>
      <c r="P589" s="27"/>
      <c r="Q589" s="27"/>
      <c r="R589" s="27"/>
      <c r="S589" s="27" t="s">
        <v>865</v>
      </c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17">
        <v>4</v>
      </c>
      <c r="BR589" s="17">
        <f t="shared" si="28"/>
        <v>1</v>
      </c>
      <c r="BS589" s="28">
        <f t="shared" si="29"/>
        <v>0</v>
      </c>
      <c r="BT589" s="28">
        <v>1</v>
      </c>
    </row>
    <row r="590" spans="1:72" ht="15.75" customHeight="1" x14ac:dyDescent="0.3">
      <c r="A590" s="32" t="s">
        <v>718</v>
      </c>
      <c r="B590" s="33" t="s">
        <v>728</v>
      </c>
      <c r="C590" s="33" t="s">
        <v>729</v>
      </c>
      <c r="D590" s="33" t="s">
        <v>730</v>
      </c>
      <c r="E590" s="33" t="s">
        <v>711</v>
      </c>
      <c r="F590" s="33" t="s">
        <v>88</v>
      </c>
      <c r="G590" s="34" t="s">
        <v>127</v>
      </c>
      <c r="H590" s="24">
        <f t="shared" si="27"/>
        <v>0</v>
      </c>
      <c r="I590" s="35"/>
      <c r="J590" s="35"/>
      <c r="K590" s="36"/>
      <c r="L590" s="34" t="s">
        <v>100</v>
      </c>
      <c r="M590" s="40"/>
      <c r="N590" s="40"/>
      <c r="O590" s="35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17"/>
      <c r="BQ590" s="17">
        <v>2</v>
      </c>
      <c r="BR590" s="17">
        <f t="shared" si="28"/>
        <v>0</v>
      </c>
      <c r="BS590" s="28">
        <f t="shared" si="29"/>
        <v>0</v>
      </c>
      <c r="BT590" s="28">
        <v>1</v>
      </c>
    </row>
    <row r="591" spans="1:72" ht="15.75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130</v>
      </c>
      <c r="F591" s="33" t="s">
        <v>96</v>
      </c>
      <c r="G591" s="34" t="s">
        <v>167</v>
      </c>
      <c r="H591" s="24">
        <f t="shared" si="27"/>
        <v>0</v>
      </c>
      <c r="I591" s="35"/>
      <c r="J591" s="35"/>
      <c r="K591" s="36"/>
      <c r="L591" s="34" t="s">
        <v>105</v>
      </c>
      <c r="M591" s="40"/>
      <c r="N591" s="40"/>
      <c r="O591" s="35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17"/>
      <c r="BQ591" s="17">
        <v>3</v>
      </c>
      <c r="BR591" s="17">
        <f t="shared" si="28"/>
        <v>0</v>
      </c>
      <c r="BS591" s="28">
        <f t="shared" si="29"/>
        <v>0</v>
      </c>
      <c r="BT591" s="28">
        <v>1</v>
      </c>
    </row>
    <row r="592" spans="1:72" ht="15.75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746</v>
      </c>
      <c r="F592" s="33" t="s">
        <v>96</v>
      </c>
      <c r="G592" s="34" t="s">
        <v>167</v>
      </c>
      <c r="H592" s="24">
        <f t="shared" si="27"/>
        <v>0</v>
      </c>
      <c r="I592" s="35"/>
      <c r="J592" s="35"/>
      <c r="K592" s="36"/>
      <c r="L592" s="34" t="s">
        <v>100</v>
      </c>
      <c r="M592" s="40"/>
      <c r="N592" s="40"/>
      <c r="O592" s="35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17"/>
      <c r="BQ592" s="17">
        <v>3</v>
      </c>
      <c r="BR592" s="17">
        <f t="shared" si="28"/>
        <v>0</v>
      </c>
      <c r="BS592" s="28">
        <f t="shared" si="29"/>
        <v>0</v>
      </c>
      <c r="BT592" s="28">
        <v>1</v>
      </c>
    </row>
    <row r="593" spans="1:72" ht="15.75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798</v>
      </c>
      <c r="F593" s="33" t="s">
        <v>96</v>
      </c>
      <c r="G593" s="34" t="s">
        <v>167</v>
      </c>
      <c r="H593" s="24">
        <f t="shared" si="27"/>
        <v>0</v>
      </c>
      <c r="I593" s="35"/>
      <c r="J593" s="35"/>
      <c r="K593" s="36"/>
      <c r="L593" s="34" t="s">
        <v>105</v>
      </c>
      <c r="M593" s="40"/>
      <c r="N593" s="40"/>
      <c r="O593" s="35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17"/>
      <c r="BQ593" s="17">
        <v>3</v>
      </c>
      <c r="BR593" s="17">
        <f t="shared" si="28"/>
        <v>0</v>
      </c>
      <c r="BS593" s="28">
        <f t="shared" si="29"/>
        <v>0</v>
      </c>
      <c r="BT593" s="28">
        <v>1</v>
      </c>
    </row>
    <row r="594" spans="1:72" ht="15.75" customHeight="1" x14ac:dyDescent="0.3">
      <c r="A594" s="32" t="s">
        <v>718</v>
      </c>
      <c r="B594" s="33" t="s">
        <v>741</v>
      </c>
      <c r="C594" s="33" t="s">
        <v>720</v>
      </c>
      <c r="D594" s="33" t="s">
        <v>742</v>
      </c>
      <c r="E594" s="33" t="s">
        <v>130</v>
      </c>
      <c r="F594" s="33" t="s">
        <v>88</v>
      </c>
      <c r="G594" s="34" t="s">
        <v>127</v>
      </c>
      <c r="H594" s="24">
        <f t="shared" si="27"/>
        <v>0</v>
      </c>
      <c r="I594" s="35"/>
      <c r="J594" s="35"/>
      <c r="K594" s="36"/>
      <c r="L594" s="34" t="s">
        <v>100</v>
      </c>
      <c r="M594" s="40"/>
      <c r="N594" s="40"/>
      <c r="O594" s="35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17">
        <v>2</v>
      </c>
      <c r="BR594" s="17">
        <f t="shared" si="28"/>
        <v>0</v>
      </c>
      <c r="BS594" s="28">
        <f t="shared" si="29"/>
        <v>0</v>
      </c>
      <c r="BT594" s="28">
        <v>1</v>
      </c>
    </row>
    <row r="595" spans="1:72" ht="15.75" customHeight="1" x14ac:dyDescent="0.3">
      <c r="A595" s="32" t="s">
        <v>718</v>
      </c>
      <c r="B595" s="33" t="s">
        <v>741</v>
      </c>
      <c r="C595" s="33" t="s">
        <v>720</v>
      </c>
      <c r="D595" s="33" t="s">
        <v>742</v>
      </c>
      <c r="E595" s="33" t="s">
        <v>711</v>
      </c>
      <c r="F595" s="33" t="s">
        <v>88</v>
      </c>
      <c r="G595" s="34" t="s">
        <v>127</v>
      </c>
      <c r="H595" s="24">
        <f t="shared" si="27"/>
        <v>0</v>
      </c>
      <c r="I595" s="35"/>
      <c r="J595" s="35"/>
      <c r="K595" s="36"/>
      <c r="L595" s="34" t="s">
        <v>100</v>
      </c>
      <c r="M595" s="40"/>
      <c r="N595" s="40"/>
      <c r="O595" s="35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17">
        <v>2</v>
      </c>
      <c r="BR595" s="17">
        <f t="shared" si="28"/>
        <v>0</v>
      </c>
      <c r="BS595" s="28">
        <f t="shared" si="29"/>
        <v>0</v>
      </c>
      <c r="BT595" s="28">
        <v>1</v>
      </c>
    </row>
    <row r="596" spans="1:72" ht="15.75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737</v>
      </c>
      <c r="F596" s="33" t="s">
        <v>672</v>
      </c>
      <c r="G596" s="34" t="s">
        <v>673</v>
      </c>
      <c r="H596" s="24">
        <f t="shared" si="27"/>
        <v>0.25</v>
      </c>
      <c r="I596" s="35"/>
      <c r="J596" s="35" t="s">
        <v>743</v>
      </c>
      <c r="K596" s="36"/>
      <c r="L596" s="34" t="s">
        <v>100</v>
      </c>
      <c r="M596" s="40"/>
      <c r="N596" s="51" t="s">
        <v>870</v>
      </c>
      <c r="O596" s="35" t="s">
        <v>743</v>
      </c>
      <c r="P596" s="27"/>
      <c r="Q596" s="27"/>
      <c r="R596" s="27"/>
      <c r="S596" s="27" t="s">
        <v>865</v>
      </c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17"/>
      <c r="BP596" s="17"/>
      <c r="BQ596" s="17">
        <v>4</v>
      </c>
      <c r="BR596" s="17">
        <f t="shared" si="28"/>
        <v>1</v>
      </c>
      <c r="BS596" s="28">
        <f t="shared" si="29"/>
        <v>0</v>
      </c>
      <c r="BT596" s="28">
        <v>1</v>
      </c>
    </row>
    <row r="597" spans="1:72" ht="15.75" customHeight="1" x14ac:dyDescent="0.3">
      <c r="A597" s="32" t="s">
        <v>718</v>
      </c>
      <c r="B597" s="33" t="s">
        <v>733</v>
      </c>
      <c r="C597" s="33" t="s">
        <v>729</v>
      </c>
      <c r="D597" s="33" t="s">
        <v>734</v>
      </c>
      <c r="E597" s="33" t="s">
        <v>731</v>
      </c>
      <c r="F597" s="33" t="s">
        <v>672</v>
      </c>
      <c r="G597" s="34" t="s">
        <v>673</v>
      </c>
      <c r="H597" s="24">
        <f t="shared" si="27"/>
        <v>0.25</v>
      </c>
      <c r="I597" s="35"/>
      <c r="J597" s="35" t="s">
        <v>732</v>
      </c>
      <c r="K597" s="36"/>
      <c r="L597" s="34" t="s">
        <v>105</v>
      </c>
      <c r="M597" s="40"/>
      <c r="N597" s="51" t="s">
        <v>870</v>
      </c>
      <c r="O597" s="35" t="s">
        <v>732</v>
      </c>
      <c r="P597" s="27"/>
      <c r="Q597" s="27"/>
      <c r="R597" s="27"/>
      <c r="S597" s="27" t="s">
        <v>865</v>
      </c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17"/>
      <c r="BP597" s="17"/>
      <c r="BQ597" s="17">
        <v>4</v>
      </c>
      <c r="BR597" s="17">
        <f t="shared" si="28"/>
        <v>1</v>
      </c>
      <c r="BS597" s="28">
        <f t="shared" si="29"/>
        <v>0</v>
      </c>
      <c r="BT597" s="28">
        <v>1</v>
      </c>
    </row>
    <row r="598" spans="1:72" ht="15.75" customHeight="1" x14ac:dyDescent="0.3">
      <c r="A598" s="32" t="s">
        <v>718</v>
      </c>
      <c r="B598" s="33" t="s">
        <v>733</v>
      </c>
      <c r="C598" s="33" t="s">
        <v>729</v>
      </c>
      <c r="D598" s="33" t="s">
        <v>734</v>
      </c>
      <c r="E598" s="33" t="s">
        <v>711</v>
      </c>
      <c r="F598" s="33" t="s">
        <v>88</v>
      </c>
      <c r="G598" s="34" t="s">
        <v>127</v>
      </c>
      <c r="H598" s="24">
        <f t="shared" si="27"/>
        <v>0</v>
      </c>
      <c r="I598" s="35"/>
      <c r="J598" s="35"/>
      <c r="K598" s="36"/>
      <c r="L598" s="34" t="s">
        <v>100</v>
      </c>
      <c r="M598" s="40"/>
      <c r="N598" s="40"/>
      <c r="O598" s="35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17"/>
      <c r="BQ598" s="17">
        <v>2</v>
      </c>
      <c r="BR598" s="17">
        <f t="shared" si="28"/>
        <v>0</v>
      </c>
      <c r="BS598" s="28">
        <f t="shared" si="29"/>
        <v>0</v>
      </c>
      <c r="BT598" s="28">
        <v>1</v>
      </c>
    </row>
    <row r="599" spans="1:72" ht="15.75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746</v>
      </c>
      <c r="F599" s="33" t="s">
        <v>88</v>
      </c>
      <c r="G599" s="34" t="s">
        <v>127</v>
      </c>
      <c r="H599" s="24">
        <f t="shared" si="27"/>
        <v>0</v>
      </c>
      <c r="I599" s="35"/>
      <c r="J599" s="35"/>
      <c r="K599" s="36"/>
      <c r="L599" s="34" t="s">
        <v>100</v>
      </c>
      <c r="M599" s="40"/>
      <c r="N599" s="40"/>
      <c r="O599" s="35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17"/>
      <c r="BQ599" s="17">
        <v>2</v>
      </c>
      <c r="BR599" s="17">
        <f t="shared" si="28"/>
        <v>0</v>
      </c>
      <c r="BS599" s="28">
        <f t="shared" si="29"/>
        <v>0</v>
      </c>
      <c r="BT599" s="28">
        <v>1</v>
      </c>
    </row>
    <row r="600" spans="1:72" ht="15.75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130</v>
      </c>
      <c r="F600" s="33" t="s">
        <v>96</v>
      </c>
      <c r="G600" s="34" t="s">
        <v>167</v>
      </c>
      <c r="H600" s="24">
        <f t="shared" si="27"/>
        <v>0</v>
      </c>
      <c r="I600" s="35"/>
      <c r="J600" s="35"/>
      <c r="K600" s="36"/>
      <c r="L600" s="34" t="s">
        <v>105</v>
      </c>
      <c r="M600" s="40"/>
      <c r="N600" s="40"/>
      <c r="O600" s="35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17">
        <v>3</v>
      </c>
      <c r="BR600" s="17">
        <f t="shared" si="28"/>
        <v>0</v>
      </c>
      <c r="BS600" s="28">
        <f t="shared" si="29"/>
        <v>0</v>
      </c>
      <c r="BT600" s="28">
        <v>1</v>
      </c>
    </row>
    <row r="601" spans="1:72" ht="15.75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798</v>
      </c>
      <c r="F601" s="33" t="s">
        <v>96</v>
      </c>
      <c r="G601" s="34" t="s">
        <v>167</v>
      </c>
      <c r="H601" s="24">
        <f t="shared" si="27"/>
        <v>0</v>
      </c>
      <c r="I601" s="35"/>
      <c r="J601" s="35"/>
      <c r="K601" s="36"/>
      <c r="L601" s="34" t="s">
        <v>105</v>
      </c>
      <c r="M601" s="40"/>
      <c r="N601" s="40"/>
      <c r="O601" s="35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17"/>
      <c r="BQ601" s="17">
        <v>3</v>
      </c>
      <c r="BR601" s="17">
        <f t="shared" si="28"/>
        <v>0</v>
      </c>
      <c r="BS601" s="28">
        <f t="shared" si="29"/>
        <v>0</v>
      </c>
      <c r="BT601" s="28">
        <v>1</v>
      </c>
    </row>
    <row r="602" spans="1:72" ht="15.75" customHeight="1" x14ac:dyDescent="0.3">
      <c r="A602" s="32" t="s">
        <v>718</v>
      </c>
      <c r="B602" s="33" t="s">
        <v>744</v>
      </c>
      <c r="C602" s="33" t="s">
        <v>720</v>
      </c>
      <c r="D602" s="33" t="s">
        <v>745</v>
      </c>
      <c r="E602" s="33" t="s">
        <v>130</v>
      </c>
      <c r="F602" s="33" t="s">
        <v>88</v>
      </c>
      <c r="G602" s="34" t="s">
        <v>127</v>
      </c>
      <c r="H602" s="24">
        <f t="shared" si="27"/>
        <v>0</v>
      </c>
      <c r="I602" s="35"/>
      <c r="J602" s="35"/>
      <c r="K602" s="36"/>
      <c r="L602" s="34" t="s">
        <v>100</v>
      </c>
      <c r="M602" s="40"/>
      <c r="N602" s="40"/>
      <c r="O602" s="35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17">
        <v>2</v>
      </c>
      <c r="BR602" s="17">
        <f t="shared" si="28"/>
        <v>0</v>
      </c>
      <c r="BS602" s="28">
        <f t="shared" si="29"/>
        <v>0</v>
      </c>
      <c r="BT602" s="28">
        <v>1</v>
      </c>
    </row>
    <row r="603" spans="1:72" ht="15.75" customHeight="1" x14ac:dyDescent="0.3">
      <c r="A603" s="32" t="s">
        <v>718</v>
      </c>
      <c r="B603" s="33" t="s">
        <v>744</v>
      </c>
      <c r="C603" s="33" t="s">
        <v>720</v>
      </c>
      <c r="D603" s="33" t="s">
        <v>745</v>
      </c>
      <c r="E603" s="33" t="s">
        <v>711</v>
      </c>
      <c r="F603" s="33" t="s">
        <v>88</v>
      </c>
      <c r="G603" s="34" t="s">
        <v>127</v>
      </c>
      <c r="H603" s="24">
        <f t="shared" si="27"/>
        <v>0</v>
      </c>
      <c r="I603" s="35"/>
      <c r="J603" s="35"/>
      <c r="K603" s="36"/>
      <c r="L603" s="34" t="s">
        <v>100</v>
      </c>
      <c r="M603" s="40"/>
      <c r="N603" s="40"/>
      <c r="O603" s="35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17">
        <v>2</v>
      </c>
      <c r="BR603" s="17">
        <f t="shared" si="28"/>
        <v>0</v>
      </c>
      <c r="BS603" s="28">
        <f t="shared" si="29"/>
        <v>0</v>
      </c>
      <c r="BT603" s="28">
        <v>1</v>
      </c>
    </row>
    <row r="604" spans="1:72" ht="15.75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737</v>
      </c>
      <c r="F604" s="33" t="s">
        <v>672</v>
      </c>
      <c r="G604" s="34" t="s">
        <v>673</v>
      </c>
      <c r="H604" s="24">
        <f t="shared" si="27"/>
        <v>0.25</v>
      </c>
      <c r="I604" s="35"/>
      <c r="J604" s="35" t="s">
        <v>743</v>
      </c>
      <c r="K604" s="36"/>
      <c r="L604" s="34" t="s">
        <v>100</v>
      </c>
      <c r="M604" s="40"/>
      <c r="N604" s="51" t="s">
        <v>870</v>
      </c>
      <c r="O604" s="35" t="s">
        <v>743</v>
      </c>
      <c r="P604" s="27"/>
      <c r="Q604" s="27"/>
      <c r="R604" s="27"/>
      <c r="S604" s="27" t="s">
        <v>865</v>
      </c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17"/>
      <c r="BP604" s="17"/>
      <c r="BQ604" s="17">
        <v>4</v>
      </c>
      <c r="BR604" s="17">
        <f t="shared" si="28"/>
        <v>1</v>
      </c>
      <c r="BS604" s="28">
        <f t="shared" si="29"/>
        <v>0</v>
      </c>
      <c r="BT604" s="28">
        <v>1</v>
      </c>
    </row>
    <row r="605" spans="1:72" ht="15.75" customHeight="1" x14ac:dyDescent="0.3">
      <c r="A605" s="32" t="s">
        <v>718</v>
      </c>
      <c r="B605" s="33" t="s">
        <v>749</v>
      </c>
      <c r="C605" s="33" t="s">
        <v>720</v>
      </c>
      <c r="D605" s="33" t="s">
        <v>750</v>
      </c>
      <c r="E605" s="33" t="s">
        <v>751</v>
      </c>
      <c r="F605" s="33" t="s">
        <v>88</v>
      </c>
      <c r="G605" s="34" t="s">
        <v>127</v>
      </c>
      <c r="H605" s="24">
        <f t="shared" si="27"/>
        <v>0</v>
      </c>
      <c r="I605" s="35" t="s">
        <v>808</v>
      </c>
      <c r="J605" s="35"/>
      <c r="K605" s="36"/>
      <c r="L605" s="34" t="s">
        <v>105</v>
      </c>
      <c r="M605" s="40"/>
      <c r="N605" s="40"/>
      <c r="O605" s="35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17">
        <v>2</v>
      </c>
      <c r="BR605" s="17">
        <f t="shared" si="28"/>
        <v>0</v>
      </c>
      <c r="BS605" s="28">
        <f t="shared" si="29"/>
        <v>0</v>
      </c>
      <c r="BT605" s="28">
        <v>1</v>
      </c>
    </row>
    <row r="606" spans="1:72" ht="15.75" customHeight="1" x14ac:dyDescent="0.3">
      <c r="A606" s="32" t="s">
        <v>718</v>
      </c>
      <c r="B606" s="33" t="s">
        <v>749</v>
      </c>
      <c r="C606" s="33" t="s">
        <v>720</v>
      </c>
      <c r="D606" s="33" t="s">
        <v>750</v>
      </c>
      <c r="E606" s="33" t="s">
        <v>752</v>
      </c>
      <c r="F606" s="33" t="s">
        <v>88</v>
      </c>
      <c r="G606" s="34" t="s">
        <v>127</v>
      </c>
      <c r="H606" s="24">
        <f t="shared" si="27"/>
        <v>0</v>
      </c>
      <c r="I606" s="35"/>
      <c r="J606" s="35"/>
      <c r="K606" s="36"/>
      <c r="L606" s="34" t="s">
        <v>105</v>
      </c>
      <c r="M606" s="40"/>
      <c r="N606" s="40"/>
      <c r="O606" s="35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17">
        <v>2</v>
      </c>
      <c r="BR606" s="17">
        <f t="shared" si="28"/>
        <v>0</v>
      </c>
      <c r="BS606" s="28">
        <f t="shared" si="29"/>
        <v>0</v>
      </c>
      <c r="BT606" s="28">
        <v>1</v>
      </c>
    </row>
    <row r="607" spans="1:72" ht="15.75" customHeight="1" x14ac:dyDescent="0.3">
      <c r="A607" s="32" t="s">
        <v>718</v>
      </c>
      <c r="B607" s="33" t="s">
        <v>753</v>
      </c>
      <c r="C607" s="33" t="s">
        <v>725</v>
      </c>
      <c r="D607" s="33" t="s">
        <v>754</v>
      </c>
      <c r="E607" s="33" t="s">
        <v>756</v>
      </c>
      <c r="F607" s="33" t="s">
        <v>88</v>
      </c>
      <c r="G607" s="34" t="s">
        <v>127</v>
      </c>
      <c r="H607" s="24">
        <f t="shared" si="27"/>
        <v>0</v>
      </c>
      <c r="I607" s="35"/>
      <c r="J607" s="35"/>
      <c r="K607" s="36"/>
      <c r="L607" s="34" t="s">
        <v>105</v>
      </c>
      <c r="M607" s="40"/>
      <c r="N607" s="40"/>
      <c r="O607" s="35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17">
        <v>2</v>
      </c>
      <c r="BR607" s="17">
        <f t="shared" si="28"/>
        <v>0</v>
      </c>
      <c r="BS607" s="28">
        <f t="shared" si="29"/>
        <v>0</v>
      </c>
      <c r="BT607" s="28">
        <v>1</v>
      </c>
    </row>
    <row r="608" spans="1:72" ht="15.75" customHeight="1" x14ac:dyDescent="0.3">
      <c r="A608" s="32" t="s">
        <v>718</v>
      </c>
      <c r="B608" s="33" t="s">
        <v>753</v>
      </c>
      <c r="C608" s="33" t="s">
        <v>725</v>
      </c>
      <c r="D608" s="33" t="s">
        <v>754</v>
      </c>
      <c r="E608" s="33" t="s">
        <v>755</v>
      </c>
      <c r="F608" s="33" t="s">
        <v>96</v>
      </c>
      <c r="G608" s="34" t="s">
        <v>167</v>
      </c>
      <c r="H608" s="24">
        <f t="shared" si="27"/>
        <v>0</v>
      </c>
      <c r="I608" s="35"/>
      <c r="J608" s="35"/>
      <c r="K608" s="36"/>
      <c r="L608" s="34" t="s">
        <v>105</v>
      </c>
      <c r="M608" s="40"/>
      <c r="N608" s="40"/>
      <c r="O608" s="35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17">
        <v>3</v>
      </c>
      <c r="BR608" s="17">
        <f t="shared" si="28"/>
        <v>0</v>
      </c>
      <c r="BS608" s="28">
        <f t="shared" si="29"/>
        <v>0</v>
      </c>
      <c r="BT608" s="28">
        <v>1</v>
      </c>
    </row>
    <row r="609" spans="1:72" ht="15.75" customHeight="1" x14ac:dyDescent="0.3">
      <c r="A609" s="32"/>
      <c r="B609" s="33"/>
      <c r="C609" s="33"/>
      <c r="D609" s="33"/>
      <c r="E609" s="33"/>
      <c r="F609" s="33"/>
      <c r="G609" s="34"/>
      <c r="H609" s="24" t="str">
        <f>IF(BQ609=0," ",(IF((BR609/BQ609&lt;=1),IF(BR609=0,0,BR609/BQ609),1)))</f>
        <v xml:space="preserve"> </v>
      </c>
      <c r="I609" s="35"/>
      <c r="J609" s="35"/>
      <c r="K609" s="36"/>
      <c r="L609" s="34"/>
      <c r="M609" s="40"/>
      <c r="N609" s="40"/>
      <c r="O609" s="35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17"/>
      <c r="BP609" s="17"/>
      <c r="BQ609" s="17"/>
      <c r="BR609" s="17"/>
      <c r="BS609" s="28"/>
      <c r="BT609" s="28"/>
    </row>
  </sheetData>
  <autoFilter ref="A3:IP609" xr:uid="{00000000-0001-0000-0000-000000000000}">
    <sortState xmlns:xlrd2="http://schemas.microsoft.com/office/spreadsheetml/2017/richdata2" ref="A160:IP160">
      <sortCondition ref="A3:A609"/>
    </sortState>
  </autoFilter>
  <mergeCells count="14">
    <mergeCell ref="BL1:BO1"/>
    <mergeCell ref="K1:K2"/>
    <mergeCell ref="N1:N2"/>
    <mergeCell ref="AY1:BB1"/>
    <mergeCell ref="P1:T1"/>
    <mergeCell ref="U1:X1"/>
    <mergeCell ref="AU1:AX1"/>
    <mergeCell ref="BC1:BG1"/>
    <mergeCell ref="BH1:BK1"/>
    <mergeCell ref="Y1:AB1"/>
    <mergeCell ref="AC1:AG1"/>
    <mergeCell ref="AH1:AK1"/>
    <mergeCell ref="AL1:AO1"/>
    <mergeCell ref="AP1:AT1"/>
  </mergeCells>
  <conditionalFormatting sqref="H4:H609">
    <cfRule type="cellIs" dxfId="11" priority="4" operator="between">
      <formula>0.5</formula>
      <formula>0.74</formula>
    </cfRule>
    <cfRule type="cellIs" dxfId="10" priority="5" operator="lessThanOrEqual">
      <formula>0.49</formula>
    </cfRule>
    <cfRule type="cellIs" dxfId="9" priority="6" operator="greaterThanOrEqual">
      <formula>0.75</formula>
    </cfRule>
  </conditionalFormatting>
  <conditionalFormatting sqref="I115:I118">
    <cfRule type="cellIs" dxfId="8" priority="1" operator="between">
      <formula>0.5</formula>
      <formula>0.74</formula>
    </cfRule>
    <cfRule type="cellIs" dxfId="7" priority="2" operator="lessThanOrEqual">
      <formula>0.49</formula>
    </cfRule>
    <cfRule type="cellIs" dxfId="6" priority="3" operator="greaterThanOrEqual">
      <formula>0.75</formula>
    </cfRule>
  </conditionalFormatting>
  <pageMargins left="0.15748031496062992" right="0.15748031496062992" top="0.17" bottom="0.17" header="0" footer="0"/>
  <pageSetup paperSize="9" scale="7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8010-9770-41AE-9040-B736805C3736}">
  <sheetPr filterMode="1">
    <tabColor theme="8" tint="-0.499984740745262"/>
    <pageSetUpPr fitToPage="1"/>
  </sheetPr>
  <dimension ref="A1:HB605"/>
  <sheetViews>
    <sheetView showGridLines="0" zoomScaleNormal="100" workbookViewId="0">
      <pane xSplit="8" ySplit="3" topLeftCell="P74" activePane="bottomRight" state="frozen"/>
      <selection pane="topRight" activeCell="I1" sqref="I1"/>
      <selection pane="bottomLeft" activeCell="A4" sqref="A4"/>
      <selection pane="bottomRight" activeCell="P515" sqref="P515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1.33203125" bestFit="1" customWidth="1"/>
    <col min="6" max="7" width="12" customWidth="1"/>
    <col min="8" max="8" width="7.6640625" customWidth="1"/>
    <col min="9" max="9" width="7.44140625" customWidth="1"/>
    <col min="10" max="10" width="24.88671875" hidden="1" customWidth="1"/>
    <col min="11" max="11" width="23.44140625" hidden="1" customWidth="1"/>
    <col min="12" max="12" width="7.109375" customWidth="1"/>
    <col min="13" max="13" width="6.88671875" hidden="1" customWidth="1"/>
    <col min="14" max="14" width="32.44140625" customWidth="1"/>
    <col min="15" max="15" width="50.6640625" customWidth="1"/>
    <col min="16" max="18" width="15.6640625" customWidth="1"/>
    <col min="19" max="19" width="11.33203125" customWidth="1"/>
    <col min="20" max="20" width="13" customWidth="1"/>
    <col min="21" max="21" width="17.5546875" customWidth="1"/>
    <col min="22" max="22" width="13.6640625" customWidth="1"/>
    <col min="23" max="23" width="12.44140625" customWidth="1"/>
    <col min="24" max="28" width="11.33203125" customWidth="1"/>
    <col min="29" max="29" width="13.33203125" customWidth="1"/>
    <col min="30" max="32" width="13.5546875" customWidth="1"/>
  </cols>
  <sheetData>
    <row r="1" spans="1:32" s="112" customFormat="1" ht="15.75" customHeight="1" x14ac:dyDescent="0.3">
      <c r="A1" s="2"/>
      <c r="B1" s="2"/>
      <c r="C1" s="2"/>
      <c r="D1" s="2"/>
      <c r="E1" s="2"/>
      <c r="F1" s="5"/>
      <c r="G1" s="5"/>
      <c r="H1" s="127"/>
      <c r="I1" s="5"/>
      <c r="J1" s="5" t="s">
        <v>0</v>
      </c>
      <c r="K1" s="133" t="s">
        <v>1</v>
      </c>
      <c r="L1" s="2"/>
      <c r="M1" s="10"/>
      <c r="N1" s="135"/>
      <c r="O1" s="5" t="s">
        <v>0</v>
      </c>
      <c r="P1" s="15" t="s">
        <v>2</v>
      </c>
      <c r="Q1" s="14" t="s">
        <v>3</v>
      </c>
      <c r="R1" s="15" t="s">
        <v>4</v>
      </c>
      <c r="S1" s="83" t="s">
        <v>5</v>
      </c>
      <c r="T1" s="85" t="s">
        <v>6</v>
      </c>
      <c r="U1" s="83" t="s">
        <v>7</v>
      </c>
      <c r="V1" s="84" t="s">
        <v>8</v>
      </c>
      <c r="W1" s="83" t="s">
        <v>9</v>
      </c>
      <c r="X1" s="82" t="s">
        <v>10</v>
      </c>
      <c r="Y1" s="83" t="s">
        <v>11</v>
      </c>
      <c r="Z1" s="84" t="s">
        <v>12</v>
      </c>
      <c r="AA1" s="81" t="s">
        <v>13</v>
      </c>
      <c r="AB1" s="7" t="s">
        <v>14</v>
      </c>
      <c r="AC1" s="76">
        <f>+AD2/AC2</f>
        <v>8.3333333333333329E-2</v>
      </c>
      <c r="AD1" s="17">
        <f>+AC2-AD2</f>
        <v>33</v>
      </c>
      <c r="AE1" s="8" t="s">
        <v>855</v>
      </c>
      <c r="AF1" s="9">
        <f>+AE2/AF2</f>
        <v>0</v>
      </c>
    </row>
    <row r="2" spans="1:32" ht="15.75" customHeight="1" x14ac:dyDescent="0.3">
      <c r="A2" s="6"/>
      <c r="B2" s="10"/>
      <c r="C2" s="10"/>
      <c r="D2" s="10"/>
      <c r="E2" s="10"/>
      <c r="F2" s="10"/>
      <c r="G2" s="2"/>
      <c r="H2" s="11"/>
      <c r="I2" s="12"/>
      <c r="J2" s="12"/>
      <c r="K2" s="134"/>
      <c r="L2" s="10"/>
      <c r="M2" s="6"/>
      <c r="N2" s="136"/>
      <c r="O2" s="12"/>
      <c r="P2" s="7" t="s">
        <v>15</v>
      </c>
      <c r="Q2" s="13" t="s">
        <v>20</v>
      </c>
      <c r="R2" s="7" t="s">
        <v>24</v>
      </c>
      <c r="S2" s="13" t="s">
        <v>28</v>
      </c>
      <c r="T2" s="7" t="s">
        <v>33</v>
      </c>
      <c r="U2" s="13" t="s">
        <v>37</v>
      </c>
      <c r="V2" s="7" t="s">
        <v>41</v>
      </c>
      <c r="W2" s="13" t="s">
        <v>46</v>
      </c>
      <c r="X2" s="7" t="s">
        <v>50</v>
      </c>
      <c r="Y2" s="13" t="s">
        <v>54</v>
      </c>
      <c r="Z2" s="7" t="s">
        <v>59</v>
      </c>
      <c r="AA2" s="13" t="s">
        <v>63</v>
      </c>
      <c r="AB2" s="16" t="s">
        <v>15</v>
      </c>
      <c r="AC2" s="17">
        <f>SUBTOTAL(9,AC4:AC1038)</f>
        <v>36</v>
      </c>
      <c r="AD2" s="17">
        <f>SUBTOTAL(9,AD4:AD1038)</f>
        <v>3</v>
      </c>
      <c r="AE2" s="17">
        <f>SUBTOTAL(9,(AE4:AE1038))</f>
        <v>0</v>
      </c>
      <c r="AF2" s="17">
        <f>SUBTOTAL(9,(AF4:AF1038))</f>
        <v>18</v>
      </c>
    </row>
    <row r="3" spans="1:32" ht="51" customHeight="1" x14ac:dyDescent="0.3">
      <c r="A3" s="110" t="s">
        <v>67</v>
      </c>
      <c r="B3" s="110" t="s">
        <v>68</v>
      </c>
      <c r="C3" s="110" t="s">
        <v>69</v>
      </c>
      <c r="D3" s="110" t="s">
        <v>70</v>
      </c>
      <c r="E3" s="110" t="s">
        <v>71</v>
      </c>
      <c r="F3" s="110" t="s">
        <v>72</v>
      </c>
      <c r="G3" s="110" t="s">
        <v>73</v>
      </c>
      <c r="H3" s="110" t="s">
        <v>74</v>
      </c>
      <c r="I3" s="110"/>
      <c r="J3" s="110" t="s">
        <v>75</v>
      </c>
      <c r="K3" s="110" t="s">
        <v>76</v>
      </c>
      <c r="L3" s="110" t="s">
        <v>77</v>
      </c>
      <c r="M3" s="110" t="s">
        <v>78</v>
      </c>
      <c r="N3" s="110" t="s">
        <v>79</v>
      </c>
      <c r="O3" s="110" t="s">
        <v>75</v>
      </c>
      <c r="P3" s="19" t="s">
        <v>76</v>
      </c>
      <c r="Q3" s="20" t="s">
        <v>76</v>
      </c>
      <c r="R3" s="19" t="s">
        <v>76</v>
      </c>
      <c r="S3" s="20" t="s">
        <v>76</v>
      </c>
      <c r="T3" s="19" t="s">
        <v>76</v>
      </c>
      <c r="U3" s="20" t="s">
        <v>76</v>
      </c>
      <c r="V3" s="19" t="s">
        <v>76</v>
      </c>
      <c r="W3" s="20" t="s">
        <v>76</v>
      </c>
      <c r="X3" s="19" t="s">
        <v>76</v>
      </c>
      <c r="Y3" s="20" t="s">
        <v>76</v>
      </c>
      <c r="Z3" s="19" t="s">
        <v>76</v>
      </c>
      <c r="AA3" s="20" t="s">
        <v>76</v>
      </c>
      <c r="AB3" s="19" t="s">
        <v>76</v>
      </c>
      <c r="AC3" s="18" t="s">
        <v>80</v>
      </c>
      <c r="AD3" s="23" t="s">
        <v>81</v>
      </c>
      <c r="AE3" s="8" t="s">
        <v>82</v>
      </c>
      <c r="AF3" s="8" t="s">
        <v>83</v>
      </c>
    </row>
    <row r="4" spans="1:32" ht="15.75" hidden="1" customHeight="1" x14ac:dyDescent="0.3">
      <c r="A4" s="59">
        <v>10</v>
      </c>
      <c r="B4" s="61" t="s">
        <v>97</v>
      </c>
      <c r="C4" s="61" t="s">
        <v>98</v>
      </c>
      <c r="D4" s="61" t="s">
        <v>98</v>
      </c>
      <c r="E4" s="61" t="s">
        <v>760</v>
      </c>
      <c r="F4" s="61" t="s">
        <v>87</v>
      </c>
      <c r="G4" s="63" t="s">
        <v>99</v>
      </c>
      <c r="H4" s="24">
        <f t="shared" ref="H4:H67" si="0">IF(AC4=0," ",(AD4/AC4))</f>
        <v>0</v>
      </c>
      <c r="I4" s="30"/>
      <c r="J4" s="30"/>
      <c r="K4" s="31"/>
      <c r="L4" s="63" t="s">
        <v>100</v>
      </c>
      <c r="M4" s="29"/>
      <c r="N4" s="70"/>
      <c r="O4" s="30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17">
        <v>1</v>
      </c>
      <c r="AD4" s="17">
        <f t="shared" ref="AD4:AD67" si="1">IF(COUNTA(P4:AB4)&gt;AC4,AC4,COUNTA(P4:AB4))</f>
        <v>0</v>
      </c>
      <c r="AE4" s="28">
        <f t="shared" ref="AE4:AE67" si="2">IF(H4=1,1,0)</f>
        <v>0</v>
      </c>
      <c r="AF4" s="28">
        <v>1</v>
      </c>
    </row>
    <row r="5" spans="1:32" ht="15.75" hidden="1" customHeight="1" x14ac:dyDescent="0.3">
      <c r="A5" s="32">
        <v>20</v>
      </c>
      <c r="B5" s="33" t="s">
        <v>114</v>
      </c>
      <c r="C5" s="33" t="s">
        <v>115</v>
      </c>
      <c r="D5" s="33" t="s">
        <v>116</v>
      </c>
      <c r="E5" s="33" t="s">
        <v>117</v>
      </c>
      <c r="F5" s="33" t="s">
        <v>118</v>
      </c>
      <c r="G5" s="34" t="s">
        <v>119</v>
      </c>
      <c r="H5" s="24">
        <f t="shared" si="0"/>
        <v>0</v>
      </c>
      <c r="I5" s="35"/>
      <c r="J5" s="35" t="s">
        <v>120</v>
      </c>
      <c r="K5" s="36"/>
      <c r="L5" s="34" t="s">
        <v>105</v>
      </c>
      <c r="M5" s="37"/>
      <c r="N5" s="37"/>
      <c r="O5" s="35" t="s">
        <v>120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9"/>
      <c r="AC5" s="17">
        <v>12</v>
      </c>
      <c r="AD5" s="17">
        <f t="shared" si="1"/>
        <v>0</v>
      </c>
      <c r="AE5" s="28">
        <f t="shared" si="2"/>
        <v>0</v>
      </c>
      <c r="AF5" s="28">
        <v>1</v>
      </c>
    </row>
    <row r="6" spans="1:32" ht="15.75" hidden="1" customHeight="1" x14ac:dyDescent="0.3">
      <c r="A6" s="32">
        <v>20</v>
      </c>
      <c r="B6" s="33" t="s">
        <v>112</v>
      </c>
      <c r="C6" s="33" t="s">
        <v>102</v>
      </c>
      <c r="D6" s="33" t="s">
        <v>113</v>
      </c>
      <c r="E6" s="33"/>
      <c r="F6" s="33" t="s">
        <v>90</v>
      </c>
      <c r="G6" s="34" t="s">
        <v>99</v>
      </c>
      <c r="H6" s="24">
        <f t="shared" si="0"/>
        <v>0</v>
      </c>
      <c r="I6" s="35"/>
      <c r="J6" s="35"/>
      <c r="K6" s="36"/>
      <c r="L6" s="34" t="s">
        <v>105</v>
      </c>
      <c r="M6" s="40"/>
      <c r="N6" s="40"/>
      <c r="O6" s="35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17">
        <v>1</v>
      </c>
      <c r="AD6" s="17">
        <f t="shared" si="1"/>
        <v>0</v>
      </c>
      <c r="AE6" s="28">
        <f t="shared" si="2"/>
        <v>0</v>
      </c>
      <c r="AF6" s="28">
        <v>1</v>
      </c>
    </row>
    <row r="7" spans="1:32" ht="15.75" hidden="1" customHeight="1" x14ac:dyDescent="0.3">
      <c r="A7" s="32">
        <v>20</v>
      </c>
      <c r="B7" s="33" t="s">
        <v>101</v>
      </c>
      <c r="C7" s="33" t="s">
        <v>102</v>
      </c>
      <c r="D7" s="33" t="s">
        <v>103</v>
      </c>
      <c r="E7" s="33" t="s">
        <v>104</v>
      </c>
      <c r="F7" s="33" t="s">
        <v>90</v>
      </c>
      <c r="G7" s="34" t="s">
        <v>99</v>
      </c>
      <c r="H7" s="24">
        <f t="shared" si="0"/>
        <v>0</v>
      </c>
      <c r="I7" s="35" t="s">
        <v>808</v>
      </c>
      <c r="J7" s="35"/>
      <c r="K7" s="36"/>
      <c r="L7" s="34" t="s">
        <v>105</v>
      </c>
      <c r="M7" s="40"/>
      <c r="N7" s="40"/>
      <c r="O7" s="35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17">
        <v>1</v>
      </c>
      <c r="AD7" s="17">
        <f t="shared" si="1"/>
        <v>0</v>
      </c>
      <c r="AE7" s="28">
        <f t="shared" si="2"/>
        <v>0</v>
      </c>
      <c r="AF7" s="28">
        <v>1</v>
      </c>
    </row>
    <row r="8" spans="1:32" ht="15.75" hidden="1" customHeight="1" x14ac:dyDescent="0.3">
      <c r="A8" s="32">
        <v>20</v>
      </c>
      <c r="B8" s="33" t="s">
        <v>110</v>
      </c>
      <c r="C8" s="33" t="s">
        <v>102</v>
      </c>
      <c r="D8" s="33" t="s">
        <v>111</v>
      </c>
      <c r="E8" s="33" t="s">
        <v>104</v>
      </c>
      <c r="F8" s="33" t="s">
        <v>90</v>
      </c>
      <c r="G8" s="34" t="s">
        <v>99</v>
      </c>
      <c r="H8" s="24">
        <f t="shared" si="0"/>
        <v>0</v>
      </c>
      <c r="I8" s="35" t="s">
        <v>808</v>
      </c>
      <c r="J8" s="35"/>
      <c r="K8" s="36"/>
      <c r="L8" s="34" t="s">
        <v>105</v>
      </c>
      <c r="M8" s="40"/>
      <c r="N8" s="40"/>
      <c r="O8" s="35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17">
        <v>1</v>
      </c>
      <c r="AD8" s="17">
        <f t="shared" si="1"/>
        <v>0</v>
      </c>
      <c r="AE8" s="28">
        <f t="shared" si="2"/>
        <v>0</v>
      </c>
      <c r="AF8" s="28">
        <v>1</v>
      </c>
    </row>
    <row r="9" spans="1:32" ht="15.75" hidden="1" customHeight="1" x14ac:dyDescent="0.3">
      <c r="A9" s="32">
        <v>20</v>
      </c>
      <c r="B9" s="33" t="s">
        <v>106</v>
      </c>
      <c r="C9" s="33" t="s">
        <v>107</v>
      </c>
      <c r="D9" s="33" t="s">
        <v>108</v>
      </c>
      <c r="E9" s="33" t="s">
        <v>109</v>
      </c>
      <c r="F9" s="33" t="s">
        <v>86</v>
      </c>
      <c r="G9" s="34" t="s">
        <v>99</v>
      </c>
      <c r="H9" s="24">
        <f t="shared" si="0"/>
        <v>0</v>
      </c>
      <c r="I9" s="35" t="s">
        <v>808</v>
      </c>
      <c r="J9" s="35"/>
      <c r="K9" s="36"/>
      <c r="L9" s="34" t="s">
        <v>105</v>
      </c>
      <c r="M9" s="40"/>
      <c r="N9" s="40"/>
      <c r="O9" s="35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17">
        <v>1</v>
      </c>
      <c r="AD9" s="17">
        <f t="shared" si="1"/>
        <v>0</v>
      </c>
      <c r="AE9" s="28">
        <f t="shared" si="2"/>
        <v>0</v>
      </c>
      <c r="AF9" s="28">
        <v>1</v>
      </c>
    </row>
    <row r="10" spans="1:32" ht="15.75" hidden="1" customHeight="1" x14ac:dyDescent="0.3">
      <c r="A10" s="32">
        <v>30</v>
      </c>
      <c r="B10" s="33" t="s">
        <v>133</v>
      </c>
      <c r="C10" s="33" t="s">
        <v>122</v>
      </c>
      <c r="D10" s="33" t="s">
        <v>134</v>
      </c>
      <c r="E10" s="33" t="s">
        <v>130</v>
      </c>
      <c r="F10" s="33" t="s">
        <v>93</v>
      </c>
      <c r="G10" s="34" t="s">
        <v>119</v>
      </c>
      <c r="H10" s="24">
        <f t="shared" si="0"/>
        <v>0</v>
      </c>
      <c r="I10" s="35"/>
      <c r="J10" s="35"/>
      <c r="K10" s="36"/>
      <c r="L10" s="34" t="s">
        <v>100</v>
      </c>
      <c r="M10" s="40"/>
      <c r="N10" s="40"/>
      <c r="O10" s="35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41"/>
      <c r="AC10" s="17">
        <v>12</v>
      </c>
      <c r="AD10" s="17">
        <f t="shared" si="1"/>
        <v>0</v>
      </c>
      <c r="AE10" s="28">
        <f t="shared" si="2"/>
        <v>0</v>
      </c>
      <c r="AF10" s="28">
        <v>1</v>
      </c>
    </row>
    <row r="11" spans="1:32" ht="15.75" hidden="1" customHeight="1" x14ac:dyDescent="0.3">
      <c r="A11" s="32">
        <v>30</v>
      </c>
      <c r="B11" s="33" t="s">
        <v>135</v>
      </c>
      <c r="C11" s="33" t="s">
        <v>122</v>
      </c>
      <c r="D11" s="33" t="s">
        <v>136</v>
      </c>
      <c r="E11" s="33" t="s">
        <v>130</v>
      </c>
      <c r="F11" s="33" t="s">
        <v>93</v>
      </c>
      <c r="G11" s="34" t="s">
        <v>119</v>
      </c>
      <c r="H11" s="24">
        <f t="shared" si="0"/>
        <v>0</v>
      </c>
      <c r="I11" s="35"/>
      <c r="J11" s="35"/>
      <c r="K11" s="36"/>
      <c r="L11" s="34" t="s">
        <v>100</v>
      </c>
      <c r="M11" s="40"/>
      <c r="N11" s="40"/>
      <c r="O11" s="35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17">
        <v>12</v>
      </c>
      <c r="AD11" s="17">
        <f t="shared" si="1"/>
        <v>0</v>
      </c>
      <c r="AE11" s="28">
        <f t="shared" si="2"/>
        <v>0</v>
      </c>
      <c r="AF11" s="28">
        <v>1</v>
      </c>
    </row>
    <row r="12" spans="1:32" ht="15.75" hidden="1" customHeight="1" x14ac:dyDescent="0.3">
      <c r="A12" s="32">
        <v>30</v>
      </c>
      <c r="B12" s="33" t="s">
        <v>124</v>
      </c>
      <c r="C12" s="33" t="s">
        <v>122</v>
      </c>
      <c r="D12" s="33" t="s">
        <v>125</v>
      </c>
      <c r="E12" s="33" t="s">
        <v>761</v>
      </c>
      <c r="F12" s="33" t="s">
        <v>93</v>
      </c>
      <c r="G12" s="34" t="s">
        <v>119</v>
      </c>
      <c r="H12" s="24">
        <f t="shared" si="0"/>
        <v>0</v>
      </c>
      <c r="I12" s="35"/>
      <c r="J12" s="35"/>
      <c r="K12" s="36"/>
      <c r="L12" s="34" t="s">
        <v>100</v>
      </c>
      <c r="M12" s="40"/>
      <c r="N12" s="40"/>
      <c r="O12" s="35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17">
        <v>12</v>
      </c>
      <c r="AD12" s="17">
        <f t="shared" si="1"/>
        <v>0</v>
      </c>
      <c r="AE12" s="28">
        <f t="shared" si="2"/>
        <v>0</v>
      </c>
      <c r="AF12" s="28">
        <v>1</v>
      </c>
    </row>
    <row r="13" spans="1:32" ht="15.75" hidden="1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126</v>
      </c>
      <c r="F13" s="33" t="s">
        <v>86</v>
      </c>
      <c r="G13" s="34" t="s">
        <v>99</v>
      </c>
      <c r="H13" s="24">
        <f t="shared" si="0"/>
        <v>0</v>
      </c>
      <c r="I13" s="35"/>
      <c r="J13" s="35"/>
      <c r="K13" s="36"/>
      <c r="L13" s="34" t="s">
        <v>100</v>
      </c>
      <c r="M13" s="40"/>
      <c r="N13" s="40"/>
      <c r="O13" s="35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17">
        <v>1</v>
      </c>
      <c r="AD13" s="17">
        <f t="shared" si="1"/>
        <v>0</v>
      </c>
      <c r="AE13" s="28">
        <f t="shared" si="2"/>
        <v>0</v>
      </c>
      <c r="AF13" s="28">
        <v>1</v>
      </c>
    </row>
    <row r="14" spans="1:32" ht="15.75" hidden="1" customHeight="1" x14ac:dyDescent="0.3">
      <c r="A14" s="32">
        <v>30</v>
      </c>
      <c r="B14" s="33" t="s">
        <v>128</v>
      </c>
      <c r="C14" s="33" t="s">
        <v>122</v>
      </c>
      <c r="D14" s="33" t="s">
        <v>129</v>
      </c>
      <c r="E14" s="33" t="s">
        <v>130</v>
      </c>
      <c r="F14" s="33" t="s">
        <v>93</v>
      </c>
      <c r="G14" s="34" t="s">
        <v>119</v>
      </c>
      <c r="H14" s="24">
        <f t="shared" si="0"/>
        <v>0</v>
      </c>
      <c r="I14" s="35"/>
      <c r="J14" s="35"/>
      <c r="K14" s="36"/>
      <c r="L14" s="34" t="s">
        <v>105</v>
      </c>
      <c r="M14" s="40"/>
      <c r="N14" s="40"/>
      <c r="O14" s="35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17">
        <v>12</v>
      </c>
      <c r="AD14" s="17">
        <f t="shared" si="1"/>
        <v>0</v>
      </c>
      <c r="AE14" s="28">
        <f t="shared" si="2"/>
        <v>0</v>
      </c>
      <c r="AF14" s="28">
        <v>1</v>
      </c>
    </row>
    <row r="15" spans="1:32" ht="15.75" hidden="1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131</v>
      </c>
      <c r="F15" s="33" t="s">
        <v>132</v>
      </c>
      <c r="G15" s="34" t="s">
        <v>99</v>
      </c>
      <c r="H15" s="24">
        <f t="shared" si="0"/>
        <v>0</v>
      </c>
      <c r="I15" s="35"/>
      <c r="J15" s="35"/>
      <c r="K15" s="36"/>
      <c r="L15" s="34" t="s">
        <v>100</v>
      </c>
      <c r="M15" s="40"/>
      <c r="N15" s="40"/>
      <c r="O15" s="35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17">
        <v>1</v>
      </c>
      <c r="AD15" s="17">
        <f t="shared" si="1"/>
        <v>0</v>
      </c>
      <c r="AE15" s="28">
        <f t="shared" si="2"/>
        <v>0</v>
      </c>
      <c r="AF15" s="28">
        <v>1</v>
      </c>
    </row>
    <row r="16" spans="1:32" ht="15.75" hidden="1" customHeight="1" x14ac:dyDescent="0.3">
      <c r="A16" s="32">
        <v>30</v>
      </c>
      <c r="B16" s="33" t="s">
        <v>121</v>
      </c>
      <c r="C16" s="33" t="s">
        <v>122</v>
      </c>
      <c r="D16" s="33" t="s">
        <v>123</v>
      </c>
      <c r="E16" s="33" t="s">
        <v>117</v>
      </c>
      <c r="F16" s="33" t="s">
        <v>93</v>
      </c>
      <c r="G16" s="34" t="s">
        <v>119</v>
      </c>
      <c r="H16" s="24">
        <f t="shared" si="0"/>
        <v>0</v>
      </c>
      <c r="I16" s="35"/>
      <c r="J16" s="35"/>
      <c r="K16" s="36"/>
      <c r="L16" s="34" t="s">
        <v>105</v>
      </c>
      <c r="M16" s="40"/>
      <c r="N16" s="40"/>
      <c r="O16" s="35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41"/>
      <c r="AC16" s="17">
        <v>12</v>
      </c>
      <c r="AD16" s="17">
        <f t="shared" si="1"/>
        <v>0</v>
      </c>
      <c r="AE16" s="28">
        <f t="shared" si="2"/>
        <v>0</v>
      </c>
      <c r="AF16" s="28">
        <v>1</v>
      </c>
    </row>
    <row r="17" spans="1:32" ht="15.75" hidden="1" customHeight="1" x14ac:dyDescent="0.3">
      <c r="A17" s="32">
        <v>31</v>
      </c>
      <c r="B17" s="33" t="s">
        <v>137</v>
      </c>
      <c r="C17" s="33" t="s">
        <v>138</v>
      </c>
      <c r="D17" s="33" t="s">
        <v>139</v>
      </c>
      <c r="E17" s="33" t="s">
        <v>140</v>
      </c>
      <c r="F17" s="33" t="s">
        <v>141</v>
      </c>
      <c r="G17" s="34" t="s">
        <v>99</v>
      </c>
      <c r="H17" s="24">
        <f t="shared" si="0"/>
        <v>0</v>
      </c>
      <c r="I17" s="35" t="s">
        <v>808</v>
      </c>
      <c r="J17" s="35" t="s">
        <v>762</v>
      </c>
      <c r="K17" s="36"/>
      <c r="L17" s="34" t="s">
        <v>100</v>
      </c>
      <c r="M17" s="40"/>
      <c r="N17" s="40"/>
      <c r="O17" s="35" t="s">
        <v>762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17">
        <v>1</v>
      </c>
      <c r="AD17" s="17">
        <f t="shared" si="1"/>
        <v>0</v>
      </c>
      <c r="AE17" s="28">
        <f t="shared" si="2"/>
        <v>0</v>
      </c>
      <c r="AF17" s="28">
        <v>1</v>
      </c>
    </row>
    <row r="18" spans="1:32" ht="15.75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142</v>
      </c>
      <c r="F18" s="33" t="s">
        <v>87</v>
      </c>
      <c r="G18" s="34" t="s">
        <v>99</v>
      </c>
      <c r="H18" s="24">
        <f t="shared" si="0"/>
        <v>0</v>
      </c>
      <c r="I18" s="35" t="s">
        <v>808</v>
      </c>
      <c r="J18" s="35" t="s">
        <v>762</v>
      </c>
      <c r="K18" s="36"/>
      <c r="L18" s="34" t="s">
        <v>100</v>
      </c>
      <c r="M18" s="40"/>
      <c r="N18" s="40"/>
      <c r="O18" s="35" t="s">
        <v>762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17">
        <v>1</v>
      </c>
      <c r="AD18" s="17">
        <f t="shared" si="1"/>
        <v>0</v>
      </c>
      <c r="AE18" s="28">
        <f t="shared" si="2"/>
        <v>0</v>
      </c>
      <c r="AF18" s="28">
        <v>1</v>
      </c>
    </row>
    <row r="19" spans="1:32" ht="15.75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143</v>
      </c>
      <c r="F19" s="33" t="s">
        <v>141</v>
      </c>
      <c r="G19" s="34" t="s">
        <v>99</v>
      </c>
      <c r="H19" s="24">
        <f t="shared" si="0"/>
        <v>0</v>
      </c>
      <c r="I19" s="35" t="s">
        <v>808</v>
      </c>
      <c r="J19" s="35" t="s">
        <v>762</v>
      </c>
      <c r="K19" s="36"/>
      <c r="L19" s="34" t="s">
        <v>100</v>
      </c>
      <c r="M19" s="40"/>
      <c r="N19" s="40"/>
      <c r="O19" s="35" t="s">
        <v>762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41"/>
      <c r="AC19" s="17">
        <v>1</v>
      </c>
      <c r="AD19" s="17">
        <f t="shared" si="1"/>
        <v>0</v>
      </c>
      <c r="AE19" s="28">
        <f t="shared" si="2"/>
        <v>0</v>
      </c>
      <c r="AF19" s="28">
        <v>1</v>
      </c>
    </row>
    <row r="20" spans="1:32" ht="15.75" hidden="1" customHeight="1" x14ac:dyDescent="0.3">
      <c r="A20" s="32">
        <v>40</v>
      </c>
      <c r="B20" s="33" t="s">
        <v>144</v>
      </c>
      <c r="C20" s="33" t="s">
        <v>145</v>
      </c>
      <c r="D20" s="33" t="s">
        <v>146</v>
      </c>
      <c r="E20" s="33" t="s">
        <v>130</v>
      </c>
      <c r="F20" s="33" t="s">
        <v>86</v>
      </c>
      <c r="G20" s="34" t="s">
        <v>99</v>
      </c>
      <c r="H20" s="24">
        <f t="shared" si="0"/>
        <v>0</v>
      </c>
      <c r="I20" s="35" t="s">
        <v>808</v>
      </c>
      <c r="J20" s="35"/>
      <c r="K20" s="36"/>
      <c r="L20" s="34" t="s">
        <v>105</v>
      </c>
      <c r="M20" s="40"/>
      <c r="N20" s="40"/>
      <c r="O20" s="35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17">
        <v>1</v>
      </c>
      <c r="AD20" s="17">
        <f t="shared" si="1"/>
        <v>0</v>
      </c>
      <c r="AE20" s="28">
        <f t="shared" si="2"/>
        <v>0</v>
      </c>
      <c r="AF20" s="28">
        <v>1</v>
      </c>
    </row>
    <row r="21" spans="1:32" ht="15.75" hidden="1" customHeight="1" x14ac:dyDescent="0.3">
      <c r="A21" s="32">
        <v>40</v>
      </c>
      <c r="B21" s="33" t="s">
        <v>147</v>
      </c>
      <c r="C21" s="33" t="s">
        <v>107</v>
      </c>
      <c r="D21" s="33" t="s">
        <v>108</v>
      </c>
      <c r="E21" s="33" t="s">
        <v>130</v>
      </c>
      <c r="F21" s="33" t="s">
        <v>86</v>
      </c>
      <c r="G21" s="34" t="s">
        <v>99</v>
      </c>
      <c r="H21" s="24">
        <f t="shared" si="0"/>
        <v>0</v>
      </c>
      <c r="I21" s="35" t="s">
        <v>808</v>
      </c>
      <c r="J21" s="35"/>
      <c r="K21" s="36"/>
      <c r="L21" s="34"/>
      <c r="M21" s="40"/>
      <c r="N21" s="40"/>
      <c r="O21" s="35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41"/>
      <c r="AC21" s="17">
        <v>1</v>
      </c>
      <c r="AD21" s="17">
        <f t="shared" si="1"/>
        <v>0</v>
      </c>
      <c r="AE21" s="28">
        <f t="shared" si="2"/>
        <v>0</v>
      </c>
      <c r="AF21" s="28">
        <v>1</v>
      </c>
    </row>
    <row r="22" spans="1:32" ht="15.75" hidden="1" customHeight="1" x14ac:dyDescent="0.3">
      <c r="A22" s="32">
        <v>40</v>
      </c>
      <c r="B22" s="33" t="s">
        <v>148</v>
      </c>
      <c r="C22" s="33" t="s">
        <v>149</v>
      </c>
      <c r="D22" s="33" t="s">
        <v>150</v>
      </c>
      <c r="E22" s="33" t="s">
        <v>130</v>
      </c>
      <c r="F22" s="33" t="s">
        <v>86</v>
      </c>
      <c r="G22" s="34" t="s">
        <v>99</v>
      </c>
      <c r="H22" s="24">
        <f t="shared" si="0"/>
        <v>0</v>
      </c>
      <c r="I22" s="35" t="s">
        <v>808</v>
      </c>
      <c r="J22" s="35"/>
      <c r="K22" s="36"/>
      <c r="L22" s="34" t="s">
        <v>105</v>
      </c>
      <c r="M22" s="40"/>
      <c r="N22" s="40"/>
      <c r="O22" s="35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41"/>
      <c r="AC22" s="17">
        <v>1</v>
      </c>
      <c r="AD22" s="17">
        <f t="shared" si="1"/>
        <v>0</v>
      </c>
      <c r="AE22" s="28">
        <f t="shared" si="2"/>
        <v>0</v>
      </c>
      <c r="AF22" s="28">
        <v>1</v>
      </c>
    </row>
    <row r="23" spans="1:32" ht="15.75" hidden="1" customHeight="1" x14ac:dyDescent="0.3">
      <c r="A23" s="32">
        <v>40</v>
      </c>
      <c r="B23" s="33" t="s">
        <v>151</v>
      </c>
      <c r="C23" s="33" t="s">
        <v>152</v>
      </c>
      <c r="D23" s="33" t="s">
        <v>153</v>
      </c>
      <c r="E23" s="33" t="s">
        <v>130</v>
      </c>
      <c r="F23" s="33" t="s">
        <v>86</v>
      </c>
      <c r="G23" s="34" t="s">
        <v>99</v>
      </c>
      <c r="H23" s="24">
        <f t="shared" si="0"/>
        <v>0</v>
      </c>
      <c r="I23" s="35" t="s">
        <v>808</v>
      </c>
      <c r="J23" s="35"/>
      <c r="K23" s="36"/>
      <c r="L23" s="34"/>
      <c r="M23" s="40"/>
      <c r="N23" s="40"/>
      <c r="O23" s="35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41"/>
      <c r="AC23" s="17">
        <v>1</v>
      </c>
      <c r="AD23" s="17">
        <f t="shared" si="1"/>
        <v>0</v>
      </c>
      <c r="AE23" s="28">
        <f t="shared" si="2"/>
        <v>0</v>
      </c>
      <c r="AF23" s="28">
        <v>1</v>
      </c>
    </row>
    <row r="24" spans="1:32" ht="15.75" hidden="1" customHeight="1" x14ac:dyDescent="0.3">
      <c r="A24" s="32">
        <v>50</v>
      </c>
      <c r="B24" s="33" t="s">
        <v>154</v>
      </c>
      <c r="C24" s="33" t="s">
        <v>155</v>
      </c>
      <c r="D24" s="33" t="s">
        <v>156</v>
      </c>
      <c r="E24" s="33" t="s">
        <v>763</v>
      </c>
      <c r="F24" s="33" t="s">
        <v>86</v>
      </c>
      <c r="G24" s="34" t="s">
        <v>99</v>
      </c>
      <c r="H24" s="24">
        <f t="shared" si="0"/>
        <v>0</v>
      </c>
      <c r="I24" s="35" t="s">
        <v>808</v>
      </c>
      <c r="J24" s="35"/>
      <c r="K24" s="36"/>
      <c r="L24" s="34" t="s">
        <v>105</v>
      </c>
      <c r="M24" s="40"/>
      <c r="N24" s="40"/>
      <c r="O24" s="35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41"/>
      <c r="AC24" s="17">
        <v>1</v>
      </c>
      <c r="AD24" s="17">
        <f t="shared" si="1"/>
        <v>0</v>
      </c>
      <c r="AE24" s="28">
        <f t="shared" si="2"/>
        <v>0</v>
      </c>
      <c r="AF24" s="28">
        <v>1</v>
      </c>
    </row>
    <row r="25" spans="1:32" ht="15.75" hidden="1" customHeight="1" x14ac:dyDescent="0.3">
      <c r="A25" s="32">
        <v>50</v>
      </c>
      <c r="B25" s="33" t="s">
        <v>161</v>
      </c>
      <c r="C25" s="33" t="s">
        <v>158</v>
      </c>
      <c r="D25" s="33" t="s">
        <v>158</v>
      </c>
      <c r="E25" s="33" t="s">
        <v>130</v>
      </c>
      <c r="F25" s="33" t="s">
        <v>86</v>
      </c>
      <c r="G25" s="34" t="s">
        <v>99</v>
      </c>
      <c r="H25" s="24">
        <f t="shared" si="0"/>
        <v>0</v>
      </c>
      <c r="I25" s="35" t="s">
        <v>808</v>
      </c>
      <c r="J25" s="35"/>
      <c r="K25" s="36"/>
      <c r="L25" s="34" t="s">
        <v>100</v>
      </c>
      <c r="M25" s="40"/>
      <c r="N25" s="40"/>
      <c r="O25" s="35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41"/>
      <c r="AC25" s="17">
        <v>1</v>
      </c>
      <c r="AD25" s="17">
        <f t="shared" si="1"/>
        <v>0</v>
      </c>
      <c r="AE25" s="28">
        <f t="shared" si="2"/>
        <v>0</v>
      </c>
      <c r="AF25" s="28">
        <v>1</v>
      </c>
    </row>
    <row r="26" spans="1:32" ht="15.75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162</v>
      </c>
      <c r="F26" s="33" t="s">
        <v>88</v>
      </c>
      <c r="G26" s="34" t="s">
        <v>127</v>
      </c>
      <c r="H26" s="24">
        <f t="shared" si="0"/>
        <v>0</v>
      </c>
      <c r="I26" s="35" t="s">
        <v>808</v>
      </c>
      <c r="J26" s="35"/>
      <c r="K26" s="36"/>
      <c r="L26" s="34" t="s">
        <v>105</v>
      </c>
      <c r="M26" s="40"/>
      <c r="N26" s="40"/>
      <c r="O26" s="35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17">
        <v>2</v>
      </c>
      <c r="AD26" s="17">
        <f t="shared" si="1"/>
        <v>0</v>
      </c>
      <c r="AE26" s="28">
        <f t="shared" si="2"/>
        <v>0</v>
      </c>
      <c r="AF26" s="28">
        <v>1</v>
      </c>
    </row>
    <row r="27" spans="1:32" ht="15.75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166</v>
      </c>
      <c r="F27" s="33" t="s">
        <v>672</v>
      </c>
      <c r="G27" s="34" t="s">
        <v>673</v>
      </c>
      <c r="H27" s="24">
        <f t="shared" si="0"/>
        <v>0</v>
      </c>
      <c r="I27" s="35"/>
      <c r="J27" s="35"/>
      <c r="K27" s="36"/>
      <c r="L27" s="34" t="s">
        <v>100</v>
      </c>
      <c r="M27" s="40"/>
      <c r="N27" s="40" t="s">
        <v>168</v>
      </c>
      <c r="O27" s="35" t="s">
        <v>169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41"/>
      <c r="AC27" s="17">
        <v>2</v>
      </c>
      <c r="AD27" s="17">
        <f t="shared" si="1"/>
        <v>0</v>
      </c>
      <c r="AE27" s="28">
        <f t="shared" si="2"/>
        <v>0</v>
      </c>
      <c r="AF27" s="28">
        <v>1</v>
      </c>
    </row>
    <row r="28" spans="1:32" ht="15.75" hidden="1" customHeight="1" x14ac:dyDescent="0.3">
      <c r="A28" s="32">
        <v>50</v>
      </c>
      <c r="B28" s="33" t="s">
        <v>163</v>
      </c>
      <c r="C28" s="33" t="s">
        <v>158</v>
      </c>
      <c r="D28" s="33" t="s">
        <v>164</v>
      </c>
      <c r="E28" s="33" t="s">
        <v>165</v>
      </c>
      <c r="F28" s="33" t="s">
        <v>86</v>
      </c>
      <c r="G28" s="34" t="s">
        <v>99</v>
      </c>
      <c r="H28" s="24">
        <f t="shared" si="0"/>
        <v>0</v>
      </c>
      <c r="I28" s="35" t="s">
        <v>808</v>
      </c>
      <c r="J28" s="35"/>
      <c r="K28" s="36"/>
      <c r="L28" s="34" t="s">
        <v>105</v>
      </c>
      <c r="M28" s="40"/>
      <c r="N28" s="40"/>
      <c r="O28" s="35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41"/>
      <c r="AC28" s="17">
        <v>1</v>
      </c>
      <c r="AD28" s="17">
        <f t="shared" si="1"/>
        <v>0</v>
      </c>
      <c r="AE28" s="28">
        <f t="shared" si="2"/>
        <v>0</v>
      </c>
      <c r="AF28" s="28">
        <v>1</v>
      </c>
    </row>
    <row r="29" spans="1:32" ht="15.75" hidden="1" customHeight="1" x14ac:dyDescent="0.3">
      <c r="A29" s="32">
        <v>50</v>
      </c>
      <c r="B29" s="33" t="s">
        <v>157</v>
      </c>
      <c r="C29" s="33" t="s">
        <v>158</v>
      </c>
      <c r="D29" s="33" t="s">
        <v>159</v>
      </c>
      <c r="E29" s="33" t="s">
        <v>160</v>
      </c>
      <c r="F29" s="33" t="s">
        <v>86</v>
      </c>
      <c r="G29" s="34" t="s">
        <v>99</v>
      </c>
      <c r="H29" s="24">
        <f t="shared" si="0"/>
        <v>0</v>
      </c>
      <c r="I29" s="35" t="s">
        <v>808</v>
      </c>
      <c r="J29" s="35"/>
      <c r="K29" s="36"/>
      <c r="L29" s="34" t="s">
        <v>105</v>
      </c>
      <c r="M29" s="40"/>
      <c r="N29" s="40"/>
      <c r="O29" s="35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41"/>
      <c r="AC29" s="17">
        <v>1</v>
      </c>
      <c r="AD29" s="17">
        <f t="shared" si="1"/>
        <v>0</v>
      </c>
      <c r="AE29" s="28">
        <f t="shared" si="2"/>
        <v>0</v>
      </c>
      <c r="AF29" s="28">
        <v>1</v>
      </c>
    </row>
    <row r="30" spans="1:32" ht="15.75" hidden="1" customHeight="1" x14ac:dyDescent="0.3">
      <c r="A30" s="32">
        <v>60</v>
      </c>
      <c r="B30" s="33" t="s">
        <v>190</v>
      </c>
      <c r="C30" s="33" t="s">
        <v>171</v>
      </c>
      <c r="D30" s="33" t="s">
        <v>191</v>
      </c>
      <c r="E30" s="33" t="s">
        <v>173</v>
      </c>
      <c r="F30" s="33" t="s">
        <v>88</v>
      </c>
      <c r="G30" s="34" t="s">
        <v>127</v>
      </c>
      <c r="H30" s="24">
        <f t="shared" si="0"/>
        <v>0</v>
      </c>
      <c r="I30" s="35" t="s">
        <v>808</v>
      </c>
      <c r="J30" s="35"/>
      <c r="K30" s="36"/>
      <c r="L30" s="34" t="s">
        <v>105</v>
      </c>
      <c r="M30" s="40"/>
      <c r="N30" s="40"/>
      <c r="O30" s="35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41"/>
      <c r="AC30" s="17">
        <v>2</v>
      </c>
      <c r="AD30" s="17">
        <f t="shared" si="1"/>
        <v>0</v>
      </c>
      <c r="AE30" s="28">
        <f t="shared" si="2"/>
        <v>0</v>
      </c>
      <c r="AF30" s="28">
        <v>1</v>
      </c>
    </row>
    <row r="31" spans="1:32" ht="15.75" hidden="1" customHeight="1" x14ac:dyDescent="0.3">
      <c r="A31" s="32">
        <v>60</v>
      </c>
      <c r="B31" s="33" t="s">
        <v>170</v>
      </c>
      <c r="C31" s="33" t="s">
        <v>171</v>
      </c>
      <c r="D31" s="33" t="s">
        <v>172</v>
      </c>
      <c r="E31" s="33" t="s">
        <v>173</v>
      </c>
      <c r="F31" s="33" t="s">
        <v>88</v>
      </c>
      <c r="G31" s="34" t="s">
        <v>127</v>
      </c>
      <c r="H31" s="24">
        <f t="shared" si="0"/>
        <v>0</v>
      </c>
      <c r="I31" s="35" t="s">
        <v>808</v>
      </c>
      <c r="J31" s="35"/>
      <c r="K31" s="36"/>
      <c r="L31" s="34" t="s">
        <v>105</v>
      </c>
      <c r="M31" s="40"/>
      <c r="N31" s="40"/>
      <c r="O31" s="35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17">
        <v>2</v>
      </c>
      <c r="AD31" s="17">
        <f t="shared" si="1"/>
        <v>0</v>
      </c>
      <c r="AE31" s="28">
        <f t="shared" si="2"/>
        <v>0</v>
      </c>
      <c r="AF31" s="28">
        <v>1</v>
      </c>
    </row>
    <row r="32" spans="1:32" ht="15.75" hidden="1" customHeight="1" x14ac:dyDescent="0.3">
      <c r="A32" s="32">
        <v>60</v>
      </c>
      <c r="B32" s="33" t="s">
        <v>179</v>
      </c>
      <c r="C32" s="33" t="s">
        <v>171</v>
      </c>
      <c r="D32" s="33" t="s">
        <v>180</v>
      </c>
      <c r="E32" s="33" t="s">
        <v>173</v>
      </c>
      <c r="F32" s="33" t="s">
        <v>88</v>
      </c>
      <c r="G32" s="34" t="s">
        <v>127</v>
      </c>
      <c r="H32" s="24">
        <f t="shared" si="0"/>
        <v>0</v>
      </c>
      <c r="I32" s="35" t="s">
        <v>808</v>
      </c>
      <c r="J32" s="35"/>
      <c r="K32" s="36"/>
      <c r="L32" s="34" t="s">
        <v>105</v>
      </c>
      <c r="M32" s="40"/>
      <c r="N32" s="40"/>
      <c r="O32" s="35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17">
        <v>2</v>
      </c>
      <c r="AD32" s="17">
        <f t="shared" si="1"/>
        <v>0</v>
      </c>
      <c r="AE32" s="28">
        <f t="shared" si="2"/>
        <v>0</v>
      </c>
      <c r="AF32" s="28">
        <v>1</v>
      </c>
    </row>
    <row r="33" spans="1:32" ht="15.75" hidden="1" customHeight="1" x14ac:dyDescent="0.3">
      <c r="A33" s="32">
        <v>60</v>
      </c>
      <c r="B33" s="33" t="s">
        <v>184</v>
      </c>
      <c r="C33" s="33" t="s">
        <v>171</v>
      </c>
      <c r="D33" s="33" t="s">
        <v>185</v>
      </c>
      <c r="E33" s="33" t="s">
        <v>173</v>
      </c>
      <c r="F33" s="33" t="s">
        <v>88</v>
      </c>
      <c r="G33" s="34" t="s">
        <v>127</v>
      </c>
      <c r="H33" s="24">
        <f t="shared" si="0"/>
        <v>0</v>
      </c>
      <c r="I33" s="35" t="s">
        <v>808</v>
      </c>
      <c r="J33" s="35"/>
      <c r="K33" s="36"/>
      <c r="L33" s="34" t="s">
        <v>105</v>
      </c>
      <c r="M33" s="40"/>
      <c r="N33" s="40"/>
      <c r="O33" s="35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17">
        <v>2</v>
      </c>
      <c r="AD33" s="17">
        <f t="shared" si="1"/>
        <v>0</v>
      </c>
      <c r="AE33" s="28">
        <f t="shared" si="2"/>
        <v>0</v>
      </c>
      <c r="AF33" s="28">
        <v>1</v>
      </c>
    </row>
    <row r="34" spans="1:32" ht="15.75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183</v>
      </c>
      <c r="F34" s="33" t="s">
        <v>88</v>
      </c>
      <c r="G34" s="34" t="s">
        <v>127</v>
      </c>
      <c r="H34" s="24">
        <f t="shared" si="0"/>
        <v>0</v>
      </c>
      <c r="I34" s="35" t="s">
        <v>808</v>
      </c>
      <c r="J34" s="35"/>
      <c r="K34" s="36"/>
      <c r="L34" s="34" t="s">
        <v>105</v>
      </c>
      <c r="M34" s="40"/>
      <c r="N34" s="40"/>
      <c r="O34" s="35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17">
        <v>2</v>
      </c>
      <c r="AD34" s="17">
        <f t="shared" si="1"/>
        <v>0</v>
      </c>
      <c r="AE34" s="28">
        <f t="shared" si="2"/>
        <v>0</v>
      </c>
      <c r="AF34" s="28">
        <v>1</v>
      </c>
    </row>
    <row r="35" spans="1:32" ht="15.75" hidden="1" customHeight="1" x14ac:dyDescent="0.3">
      <c r="A35" s="32">
        <v>60</v>
      </c>
      <c r="B35" s="33" t="s">
        <v>174</v>
      </c>
      <c r="C35" s="33" t="s">
        <v>171</v>
      </c>
      <c r="D35" s="33" t="s">
        <v>175</v>
      </c>
      <c r="E35" s="33" t="s">
        <v>130</v>
      </c>
      <c r="F35" s="33" t="s">
        <v>88</v>
      </c>
      <c r="G35" s="34" t="s">
        <v>127</v>
      </c>
      <c r="H35" s="24">
        <f t="shared" si="0"/>
        <v>0</v>
      </c>
      <c r="I35" s="35" t="s">
        <v>808</v>
      </c>
      <c r="J35" s="35"/>
      <c r="K35" s="36"/>
      <c r="L35" s="34" t="s">
        <v>105</v>
      </c>
      <c r="M35" s="40"/>
      <c r="N35" s="40"/>
      <c r="O35" s="35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17">
        <v>2</v>
      </c>
      <c r="AD35" s="17">
        <f t="shared" si="1"/>
        <v>0</v>
      </c>
      <c r="AE35" s="28">
        <f t="shared" si="2"/>
        <v>0</v>
      </c>
      <c r="AF35" s="28">
        <v>1</v>
      </c>
    </row>
    <row r="36" spans="1:32" ht="15.75" hidden="1" customHeight="1" x14ac:dyDescent="0.3">
      <c r="A36" s="32">
        <v>60</v>
      </c>
      <c r="B36" s="33" t="s">
        <v>181</v>
      </c>
      <c r="C36" s="33" t="s">
        <v>171</v>
      </c>
      <c r="D36" s="33" t="s">
        <v>182</v>
      </c>
      <c r="E36" s="33" t="s">
        <v>173</v>
      </c>
      <c r="F36" s="33" t="s">
        <v>88</v>
      </c>
      <c r="G36" s="34" t="s">
        <v>127</v>
      </c>
      <c r="H36" s="24">
        <f t="shared" si="0"/>
        <v>0</v>
      </c>
      <c r="I36" s="35" t="s">
        <v>808</v>
      </c>
      <c r="J36" s="35"/>
      <c r="K36" s="36"/>
      <c r="L36" s="34" t="s">
        <v>105</v>
      </c>
      <c r="M36" s="40"/>
      <c r="N36" s="40"/>
      <c r="O36" s="35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17">
        <v>2</v>
      </c>
      <c r="AD36" s="17">
        <f t="shared" si="1"/>
        <v>0</v>
      </c>
      <c r="AE36" s="28">
        <f t="shared" si="2"/>
        <v>0</v>
      </c>
      <c r="AF36" s="28">
        <v>1</v>
      </c>
    </row>
    <row r="37" spans="1:32" ht="15.75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183</v>
      </c>
      <c r="F37" s="33" t="s">
        <v>88</v>
      </c>
      <c r="G37" s="34" t="s">
        <v>127</v>
      </c>
      <c r="H37" s="24">
        <f t="shared" si="0"/>
        <v>0</v>
      </c>
      <c r="I37" s="35" t="s">
        <v>808</v>
      </c>
      <c r="J37" s="35"/>
      <c r="K37" s="36"/>
      <c r="L37" s="34" t="s">
        <v>105</v>
      </c>
      <c r="M37" s="40"/>
      <c r="N37" s="40"/>
      <c r="O37" s="3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17">
        <v>2</v>
      </c>
      <c r="AD37" s="17">
        <f t="shared" si="1"/>
        <v>0</v>
      </c>
      <c r="AE37" s="28">
        <f t="shared" si="2"/>
        <v>0</v>
      </c>
      <c r="AF37" s="28">
        <v>1</v>
      </c>
    </row>
    <row r="38" spans="1:32" ht="15.75" hidden="1" customHeight="1" x14ac:dyDescent="0.3">
      <c r="A38" s="32">
        <v>60</v>
      </c>
      <c r="B38" s="33" t="s">
        <v>176</v>
      </c>
      <c r="C38" s="33" t="s">
        <v>171</v>
      </c>
      <c r="D38" s="33" t="s">
        <v>175</v>
      </c>
      <c r="E38" s="33" t="s">
        <v>173</v>
      </c>
      <c r="F38" s="33" t="s">
        <v>88</v>
      </c>
      <c r="G38" s="34" t="s">
        <v>127</v>
      </c>
      <c r="H38" s="24">
        <f t="shared" si="0"/>
        <v>0</v>
      </c>
      <c r="I38" s="35" t="s">
        <v>808</v>
      </c>
      <c r="J38" s="35"/>
      <c r="K38" s="36"/>
      <c r="L38" s="34" t="s">
        <v>105</v>
      </c>
      <c r="M38" s="40"/>
      <c r="N38" s="40"/>
      <c r="O38" s="3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17">
        <v>2</v>
      </c>
      <c r="AD38" s="17">
        <f t="shared" si="1"/>
        <v>0</v>
      </c>
      <c r="AE38" s="28">
        <f t="shared" si="2"/>
        <v>0</v>
      </c>
      <c r="AF38" s="28">
        <v>1</v>
      </c>
    </row>
    <row r="39" spans="1:32" ht="15.75" hidden="1" customHeight="1" x14ac:dyDescent="0.3">
      <c r="A39" s="32">
        <v>60</v>
      </c>
      <c r="B39" s="33" t="s">
        <v>186</v>
      </c>
      <c r="C39" s="33" t="s">
        <v>171</v>
      </c>
      <c r="D39" s="33" t="s">
        <v>187</v>
      </c>
      <c r="E39" s="33" t="s">
        <v>173</v>
      </c>
      <c r="F39" s="33" t="s">
        <v>88</v>
      </c>
      <c r="G39" s="34" t="s">
        <v>127</v>
      </c>
      <c r="H39" s="24">
        <f t="shared" si="0"/>
        <v>0</v>
      </c>
      <c r="I39" s="35" t="s">
        <v>808</v>
      </c>
      <c r="J39" s="35"/>
      <c r="K39" s="36"/>
      <c r="L39" s="34" t="s">
        <v>105</v>
      </c>
      <c r="M39" s="40"/>
      <c r="N39" s="40"/>
      <c r="O39" s="35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17">
        <v>2</v>
      </c>
      <c r="AD39" s="17">
        <f t="shared" si="1"/>
        <v>0</v>
      </c>
      <c r="AE39" s="28">
        <f t="shared" si="2"/>
        <v>0</v>
      </c>
      <c r="AF39" s="28">
        <v>1</v>
      </c>
    </row>
    <row r="40" spans="1:32" ht="15.75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183</v>
      </c>
      <c r="F40" s="33" t="s">
        <v>88</v>
      </c>
      <c r="G40" s="34" t="s">
        <v>127</v>
      </c>
      <c r="H40" s="24">
        <f t="shared" si="0"/>
        <v>0</v>
      </c>
      <c r="I40" s="35" t="s">
        <v>808</v>
      </c>
      <c r="J40" s="35"/>
      <c r="K40" s="36"/>
      <c r="L40" s="34" t="s">
        <v>105</v>
      </c>
      <c r="M40" s="40"/>
      <c r="N40" s="40"/>
      <c r="O40" s="3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7">
        <v>2</v>
      </c>
      <c r="AD40" s="17">
        <f t="shared" si="1"/>
        <v>0</v>
      </c>
      <c r="AE40" s="28">
        <f t="shared" si="2"/>
        <v>0</v>
      </c>
      <c r="AF40" s="28">
        <v>1</v>
      </c>
    </row>
    <row r="41" spans="1:32" ht="15.75" hidden="1" customHeight="1" x14ac:dyDescent="0.3">
      <c r="A41" s="32">
        <v>60</v>
      </c>
      <c r="B41" s="33" t="s">
        <v>177</v>
      </c>
      <c r="C41" s="33" t="s">
        <v>171</v>
      </c>
      <c r="D41" s="33" t="s">
        <v>175</v>
      </c>
      <c r="E41" s="33" t="s">
        <v>173</v>
      </c>
      <c r="F41" s="33" t="s">
        <v>88</v>
      </c>
      <c r="G41" s="34" t="s">
        <v>127</v>
      </c>
      <c r="H41" s="24">
        <f t="shared" si="0"/>
        <v>0</v>
      </c>
      <c r="I41" s="35" t="s">
        <v>808</v>
      </c>
      <c r="J41" s="35"/>
      <c r="K41" s="36"/>
      <c r="L41" s="34" t="s">
        <v>105</v>
      </c>
      <c r="M41" s="40"/>
      <c r="N41" s="40"/>
      <c r="O41" s="3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7">
        <v>2</v>
      </c>
      <c r="AD41" s="17">
        <f t="shared" si="1"/>
        <v>0</v>
      </c>
      <c r="AE41" s="28">
        <f t="shared" si="2"/>
        <v>0</v>
      </c>
      <c r="AF41" s="28">
        <v>1</v>
      </c>
    </row>
    <row r="42" spans="1:32" ht="15.75" hidden="1" customHeight="1" x14ac:dyDescent="0.3">
      <c r="A42" s="32">
        <v>60</v>
      </c>
      <c r="B42" s="33" t="s">
        <v>188</v>
      </c>
      <c r="C42" s="33" t="s">
        <v>171</v>
      </c>
      <c r="D42" s="33" t="s">
        <v>189</v>
      </c>
      <c r="E42" s="33" t="s">
        <v>173</v>
      </c>
      <c r="F42" s="33" t="s">
        <v>88</v>
      </c>
      <c r="G42" s="34" t="s">
        <v>127</v>
      </c>
      <c r="H42" s="24">
        <f t="shared" si="0"/>
        <v>0</v>
      </c>
      <c r="I42" s="35" t="s">
        <v>808</v>
      </c>
      <c r="J42" s="35"/>
      <c r="K42" s="36"/>
      <c r="L42" s="34" t="s">
        <v>105</v>
      </c>
      <c r="M42" s="40"/>
      <c r="N42" s="40"/>
      <c r="O42" s="3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7">
        <v>2</v>
      </c>
      <c r="AD42" s="17">
        <f t="shared" si="1"/>
        <v>0</v>
      </c>
      <c r="AE42" s="28">
        <f t="shared" si="2"/>
        <v>0</v>
      </c>
      <c r="AF42" s="28">
        <v>1</v>
      </c>
    </row>
    <row r="43" spans="1:32" ht="15.75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183</v>
      </c>
      <c r="F43" s="33" t="s">
        <v>88</v>
      </c>
      <c r="G43" s="34" t="s">
        <v>127</v>
      </c>
      <c r="H43" s="24">
        <f t="shared" si="0"/>
        <v>0</v>
      </c>
      <c r="I43" s="35" t="s">
        <v>808</v>
      </c>
      <c r="J43" s="35"/>
      <c r="K43" s="36"/>
      <c r="L43" s="34" t="s">
        <v>105</v>
      </c>
      <c r="M43" s="40"/>
      <c r="N43" s="40"/>
      <c r="O43" s="35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7">
        <v>2</v>
      </c>
      <c r="AD43" s="17">
        <f t="shared" si="1"/>
        <v>0</v>
      </c>
      <c r="AE43" s="28">
        <f t="shared" si="2"/>
        <v>0</v>
      </c>
      <c r="AF43" s="28">
        <v>1</v>
      </c>
    </row>
    <row r="44" spans="1:32" ht="15.75" hidden="1" customHeight="1" x14ac:dyDescent="0.3">
      <c r="A44" s="32">
        <v>60</v>
      </c>
      <c r="B44" s="33" t="s">
        <v>178</v>
      </c>
      <c r="C44" s="33" t="s">
        <v>171</v>
      </c>
      <c r="D44" s="33" t="s">
        <v>175</v>
      </c>
      <c r="E44" s="33" t="s">
        <v>173</v>
      </c>
      <c r="F44" s="33" t="s">
        <v>88</v>
      </c>
      <c r="G44" s="34" t="s">
        <v>127</v>
      </c>
      <c r="H44" s="24">
        <f t="shared" si="0"/>
        <v>0</v>
      </c>
      <c r="I44" s="35" t="s">
        <v>808</v>
      </c>
      <c r="J44" s="35"/>
      <c r="K44" s="36"/>
      <c r="L44" s="34" t="s">
        <v>105</v>
      </c>
      <c r="M44" s="40"/>
      <c r="N44" s="40"/>
      <c r="O44" s="35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17">
        <v>2</v>
      </c>
      <c r="AD44" s="17">
        <f t="shared" si="1"/>
        <v>0</v>
      </c>
      <c r="AE44" s="28">
        <f t="shared" si="2"/>
        <v>0</v>
      </c>
      <c r="AF44" s="28">
        <v>1</v>
      </c>
    </row>
    <row r="45" spans="1:32" ht="15.75" hidden="1" customHeight="1" x14ac:dyDescent="0.3">
      <c r="A45" s="32">
        <v>80</v>
      </c>
      <c r="B45" s="33" t="s">
        <v>197</v>
      </c>
      <c r="C45" s="33" t="s">
        <v>198</v>
      </c>
      <c r="D45" s="33" t="s">
        <v>199</v>
      </c>
      <c r="E45" s="33" t="s">
        <v>764</v>
      </c>
      <c r="F45" s="33" t="s">
        <v>96</v>
      </c>
      <c r="G45" s="34" t="s">
        <v>167</v>
      </c>
      <c r="H45" s="24">
        <f t="shared" si="0"/>
        <v>0</v>
      </c>
      <c r="I45" s="35"/>
      <c r="J45" s="35"/>
      <c r="K45" s="36"/>
      <c r="L45" s="34" t="s">
        <v>105</v>
      </c>
      <c r="M45" s="40"/>
      <c r="N45" s="40"/>
      <c r="O45" s="35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17">
        <v>3</v>
      </c>
      <c r="AD45" s="17">
        <f t="shared" si="1"/>
        <v>0</v>
      </c>
      <c r="AE45" s="28">
        <f t="shared" si="2"/>
        <v>0</v>
      </c>
      <c r="AF45" s="28">
        <v>1</v>
      </c>
    </row>
    <row r="46" spans="1:32" ht="15.75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195</v>
      </c>
      <c r="F46" s="33" t="s">
        <v>196</v>
      </c>
      <c r="G46" s="34" t="s">
        <v>167</v>
      </c>
      <c r="H46" s="24">
        <f t="shared" si="0"/>
        <v>0</v>
      </c>
      <c r="I46" s="35"/>
      <c r="J46" s="35"/>
      <c r="K46" s="36"/>
      <c r="L46" s="34" t="s">
        <v>105</v>
      </c>
      <c r="M46" s="40"/>
      <c r="N46" s="40"/>
      <c r="O46" s="35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17">
        <v>3</v>
      </c>
      <c r="AD46" s="17">
        <f t="shared" si="1"/>
        <v>0</v>
      </c>
      <c r="AE46" s="28">
        <f t="shared" si="2"/>
        <v>0</v>
      </c>
      <c r="AF46" s="28">
        <v>1</v>
      </c>
    </row>
    <row r="47" spans="1:32" ht="15.75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765</v>
      </c>
      <c r="F47" s="33" t="s">
        <v>89</v>
      </c>
      <c r="G47" s="34" t="s">
        <v>99</v>
      </c>
      <c r="H47" s="24">
        <f t="shared" si="0"/>
        <v>0</v>
      </c>
      <c r="I47" s="35"/>
      <c r="J47" s="35"/>
      <c r="K47" s="36"/>
      <c r="L47" s="34" t="s">
        <v>100</v>
      </c>
      <c r="M47" s="40"/>
      <c r="N47" s="40" t="s">
        <v>543</v>
      </c>
      <c r="O47" s="35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17">
        <v>1</v>
      </c>
      <c r="AD47" s="17">
        <f t="shared" si="1"/>
        <v>0</v>
      </c>
      <c r="AE47" s="28">
        <f t="shared" si="2"/>
        <v>0</v>
      </c>
      <c r="AF47" s="28">
        <v>1</v>
      </c>
    </row>
    <row r="48" spans="1:32" ht="15.75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225</v>
      </c>
      <c r="F48" s="33" t="s">
        <v>672</v>
      </c>
      <c r="G48" s="34" t="s">
        <v>673</v>
      </c>
      <c r="H48" s="24">
        <f t="shared" si="0"/>
        <v>0</v>
      </c>
      <c r="I48" s="35"/>
      <c r="J48" s="35" t="s">
        <v>226</v>
      </c>
      <c r="K48" s="36"/>
      <c r="L48" s="34" t="s">
        <v>105</v>
      </c>
      <c r="M48" s="40"/>
      <c r="N48" s="40" t="s">
        <v>227</v>
      </c>
      <c r="O48" s="35" t="s">
        <v>226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17">
        <v>2</v>
      </c>
      <c r="AD48" s="17">
        <f t="shared" si="1"/>
        <v>0</v>
      </c>
      <c r="AE48" s="28">
        <f t="shared" si="2"/>
        <v>0</v>
      </c>
      <c r="AF48" s="28">
        <v>1</v>
      </c>
    </row>
    <row r="49" spans="1:32" ht="15.75" hidden="1" customHeight="1" x14ac:dyDescent="0.3">
      <c r="A49" s="32">
        <v>80</v>
      </c>
      <c r="B49" s="33" t="s">
        <v>202</v>
      </c>
      <c r="C49" s="33" t="s">
        <v>198</v>
      </c>
      <c r="D49" s="33" t="s">
        <v>203</v>
      </c>
      <c r="E49" s="33" t="s">
        <v>160</v>
      </c>
      <c r="F49" s="33" t="s">
        <v>204</v>
      </c>
      <c r="G49" s="34" t="s">
        <v>127</v>
      </c>
      <c r="H49" s="24">
        <f t="shared" si="0"/>
        <v>0</v>
      </c>
      <c r="I49" s="35" t="s">
        <v>808</v>
      </c>
      <c r="J49" s="35" t="s">
        <v>205</v>
      </c>
      <c r="K49" s="36"/>
      <c r="L49" s="34" t="s">
        <v>100</v>
      </c>
      <c r="M49" s="40"/>
      <c r="N49" s="40"/>
      <c r="O49" s="35" t="s">
        <v>205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17">
        <v>2</v>
      </c>
      <c r="AD49" s="17">
        <f t="shared" si="1"/>
        <v>0</v>
      </c>
      <c r="AE49" s="28">
        <f t="shared" si="2"/>
        <v>0</v>
      </c>
      <c r="AF49" s="28">
        <v>1</v>
      </c>
    </row>
    <row r="50" spans="1:32" ht="15.75" hidden="1" customHeight="1" x14ac:dyDescent="0.3">
      <c r="A50" s="32">
        <v>80</v>
      </c>
      <c r="B50" s="33" t="s">
        <v>208</v>
      </c>
      <c r="C50" s="33" t="s">
        <v>193</v>
      </c>
      <c r="D50" s="33" t="s">
        <v>209</v>
      </c>
      <c r="E50" s="33" t="s">
        <v>210</v>
      </c>
      <c r="F50" s="33" t="s">
        <v>204</v>
      </c>
      <c r="G50" s="34" t="s">
        <v>127</v>
      </c>
      <c r="H50" s="24">
        <f t="shared" si="0"/>
        <v>0</v>
      </c>
      <c r="I50" s="35"/>
      <c r="J50" s="35" t="s">
        <v>205</v>
      </c>
      <c r="K50" s="36"/>
      <c r="L50" s="34" t="s">
        <v>100</v>
      </c>
      <c r="M50" s="40"/>
      <c r="N50" s="40"/>
      <c r="O50" s="35" t="s">
        <v>205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17">
        <v>2</v>
      </c>
      <c r="AD50" s="17">
        <f t="shared" si="1"/>
        <v>0</v>
      </c>
      <c r="AE50" s="28">
        <f t="shared" si="2"/>
        <v>0</v>
      </c>
      <c r="AF50" s="28">
        <v>1</v>
      </c>
    </row>
    <row r="51" spans="1:32" ht="15.75" hidden="1" customHeight="1" x14ac:dyDescent="0.3">
      <c r="A51" s="32">
        <v>80</v>
      </c>
      <c r="B51" s="33" t="s">
        <v>215</v>
      </c>
      <c r="C51" s="33" t="s">
        <v>198</v>
      </c>
      <c r="D51" s="33" t="s">
        <v>216</v>
      </c>
      <c r="E51" s="33" t="s">
        <v>217</v>
      </c>
      <c r="F51" s="33" t="s">
        <v>118</v>
      </c>
      <c r="G51" s="34"/>
      <c r="H51" s="24">
        <f t="shared" si="0"/>
        <v>0</v>
      </c>
      <c r="I51" s="35"/>
      <c r="J51" s="35"/>
      <c r="K51" s="36"/>
      <c r="L51" s="34" t="s">
        <v>100</v>
      </c>
      <c r="M51" s="40"/>
      <c r="N51" s="40"/>
      <c r="O51" s="35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17">
        <v>1</v>
      </c>
      <c r="AD51" s="17">
        <f t="shared" si="1"/>
        <v>0</v>
      </c>
      <c r="AE51" s="28">
        <f t="shared" si="2"/>
        <v>0</v>
      </c>
      <c r="AF51" s="28">
        <v>1</v>
      </c>
    </row>
    <row r="52" spans="1:32" ht="15.75" hidden="1" customHeight="1" x14ac:dyDescent="0.3">
      <c r="A52" s="32">
        <v>80</v>
      </c>
      <c r="B52" s="33" t="s">
        <v>211</v>
      </c>
      <c r="C52" s="33" t="s">
        <v>193</v>
      </c>
      <c r="D52" s="33" t="s">
        <v>212</v>
      </c>
      <c r="E52" s="33" t="s">
        <v>213</v>
      </c>
      <c r="F52" s="33" t="s">
        <v>204</v>
      </c>
      <c r="G52" s="34" t="s">
        <v>127</v>
      </c>
      <c r="H52" s="24">
        <f t="shared" si="0"/>
        <v>0</v>
      </c>
      <c r="I52" s="35" t="s">
        <v>808</v>
      </c>
      <c r="J52" s="35" t="s">
        <v>205</v>
      </c>
      <c r="K52" s="36"/>
      <c r="L52" s="34" t="s">
        <v>100</v>
      </c>
      <c r="M52" s="40"/>
      <c r="N52" s="40"/>
      <c r="O52" s="35" t="s">
        <v>205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17">
        <v>2</v>
      </c>
      <c r="AD52" s="17">
        <f t="shared" si="1"/>
        <v>0</v>
      </c>
      <c r="AE52" s="28">
        <f t="shared" si="2"/>
        <v>0</v>
      </c>
      <c r="AF52" s="28">
        <v>1</v>
      </c>
    </row>
    <row r="53" spans="1:32" ht="15.75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214</v>
      </c>
      <c r="F53" s="33" t="s">
        <v>204</v>
      </c>
      <c r="G53" s="34" t="s">
        <v>127</v>
      </c>
      <c r="H53" s="24">
        <f t="shared" si="0"/>
        <v>0</v>
      </c>
      <c r="I53" s="35" t="s">
        <v>808</v>
      </c>
      <c r="J53" s="35" t="s">
        <v>205</v>
      </c>
      <c r="K53" s="36"/>
      <c r="L53" s="34" t="s">
        <v>100</v>
      </c>
      <c r="M53" s="40"/>
      <c r="N53" s="40"/>
      <c r="O53" s="35" t="s">
        <v>205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17">
        <v>2</v>
      </c>
      <c r="AD53" s="17">
        <f t="shared" si="1"/>
        <v>0</v>
      </c>
      <c r="AE53" s="28">
        <f t="shared" si="2"/>
        <v>0</v>
      </c>
      <c r="AF53" s="28">
        <v>1</v>
      </c>
    </row>
    <row r="54" spans="1:32" ht="15.75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160</v>
      </c>
      <c r="F54" s="33" t="s">
        <v>204</v>
      </c>
      <c r="G54" s="34" t="s">
        <v>127</v>
      </c>
      <c r="H54" s="24">
        <f t="shared" si="0"/>
        <v>0</v>
      </c>
      <c r="I54" s="35" t="s">
        <v>808</v>
      </c>
      <c r="J54" s="35" t="s">
        <v>205</v>
      </c>
      <c r="K54" s="36"/>
      <c r="L54" s="34" t="s">
        <v>100</v>
      </c>
      <c r="M54" s="40"/>
      <c r="N54" s="40"/>
      <c r="O54" s="35" t="s">
        <v>205</v>
      </c>
      <c r="P54" s="27"/>
      <c r="Q54" s="27"/>
      <c r="R54" s="27"/>
      <c r="S54" s="27"/>
      <c r="T54" s="27"/>
      <c r="U54" s="27"/>
      <c r="V54" s="42"/>
      <c r="W54" s="27"/>
      <c r="X54" s="27"/>
      <c r="Y54" s="27"/>
      <c r="Z54" s="27"/>
      <c r="AA54" s="27"/>
      <c r="AB54" s="27"/>
      <c r="AC54" s="17">
        <v>2</v>
      </c>
      <c r="AD54" s="17">
        <f t="shared" si="1"/>
        <v>0</v>
      </c>
      <c r="AE54" s="28">
        <f t="shared" si="2"/>
        <v>0</v>
      </c>
      <c r="AF54" s="28">
        <v>1</v>
      </c>
    </row>
    <row r="55" spans="1:32" ht="15.75" hidden="1" customHeight="1" x14ac:dyDescent="0.3">
      <c r="A55" s="32">
        <v>80</v>
      </c>
      <c r="B55" s="33" t="s">
        <v>192</v>
      </c>
      <c r="C55" s="33" t="s">
        <v>193</v>
      </c>
      <c r="D55" s="33" t="s">
        <v>194</v>
      </c>
      <c r="E55" s="33" t="s">
        <v>764</v>
      </c>
      <c r="F55" s="33" t="s">
        <v>96</v>
      </c>
      <c r="G55" s="34" t="s">
        <v>167</v>
      </c>
      <c r="H55" s="24">
        <f t="shared" si="0"/>
        <v>0</v>
      </c>
      <c r="I55" s="35"/>
      <c r="J55" s="35"/>
      <c r="K55" s="36"/>
      <c r="L55" s="34" t="s">
        <v>105</v>
      </c>
      <c r="M55" s="40"/>
      <c r="N55" s="40"/>
      <c r="O55" s="35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17">
        <v>3</v>
      </c>
      <c r="AD55" s="17">
        <f t="shared" si="1"/>
        <v>0</v>
      </c>
      <c r="AE55" s="28">
        <f t="shared" si="2"/>
        <v>0</v>
      </c>
      <c r="AF55" s="28">
        <v>1</v>
      </c>
    </row>
    <row r="56" spans="1:32" ht="15.75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195</v>
      </c>
      <c r="F56" s="33" t="s">
        <v>196</v>
      </c>
      <c r="G56" s="34" t="s">
        <v>167</v>
      </c>
      <c r="H56" s="24">
        <f t="shared" si="0"/>
        <v>0</v>
      </c>
      <c r="I56" s="35"/>
      <c r="J56" s="35"/>
      <c r="K56" s="36"/>
      <c r="L56" s="34" t="s">
        <v>105</v>
      </c>
      <c r="M56" s="40"/>
      <c r="N56" s="40"/>
      <c r="O56" s="35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17">
        <v>3</v>
      </c>
      <c r="AD56" s="17">
        <f t="shared" si="1"/>
        <v>0</v>
      </c>
      <c r="AE56" s="28">
        <f t="shared" si="2"/>
        <v>0</v>
      </c>
      <c r="AF56" s="28">
        <v>1</v>
      </c>
    </row>
    <row r="57" spans="1:32" ht="15.75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765</v>
      </c>
      <c r="F57" s="33" t="s">
        <v>89</v>
      </c>
      <c r="G57" s="34" t="s">
        <v>99</v>
      </c>
      <c r="H57" s="24">
        <f t="shared" si="0"/>
        <v>0</v>
      </c>
      <c r="I57" s="35"/>
      <c r="J57" s="35"/>
      <c r="K57" s="36"/>
      <c r="L57" s="34" t="s">
        <v>100</v>
      </c>
      <c r="M57" s="40"/>
      <c r="N57" s="40" t="s">
        <v>543</v>
      </c>
      <c r="O57" s="35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17">
        <v>1</v>
      </c>
      <c r="AD57" s="17">
        <f t="shared" si="1"/>
        <v>0</v>
      </c>
      <c r="AE57" s="28">
        <f t="shared" si="2"/>
        <v>0</v>
      </c>
      <c r="AF57" s="28">
        <v>1</v>
      </c>
    </row>
    <row r="58" spans="1:32" ht="15.75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225</v>
      </c>
      <c r="F58" s="33" t="s">
        <v>672</v>
      </c>
      <c r="G58" s="34" t="s">
        <v>673</v>
      </c>
      <c r="H58" s="24">
        <f t="shared" si="0"/>
        <v>0</v>
      </c>
      <c r="I58" s="35"/>
      <c r="J58" s="35" t="s">
        <v>226</v>
      </c>
      <c r="K58" s="36"/>
      <c r="L58" s="34" t="s">
        <v>105</v>
      </c>
      <c r="M58" s="40"/>
      <c r="N58" s="40" t="s">
        <v>227</v>
      </c>
      <c r="O58" s="35" t="s">
        <v>226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17">
        <v>2</v>
      </c>
      <c r="AD58" s="17">
        <f t="shared" si="1"/>
        <v>0</v>
      </c>
      <c r="AE58" s="28">
        <f t="shared" si="2"/>
        <v>0</v>
      </c>
      <c r="AF58" s="28">
        <v>1</v>
      </c>
    </row>
    <row r="59" spans="1:32" ht="15.75" hidden="1" customHeight="1" x14ac:dyDescent="0.3">
      <c r="A59" s="32">
        <v>80</v>
      </c>
      <c r="B59" s="33" t="s">
        <v>206</v>
      </c>
      <c r="C59" s="33" t="s">
        <v>193</v>
      </c>
      <c r="D59" s="33" t="s">
        <v>207</v>
      </c>
      <c r="E59" s="33" t="s">
        <v>768</v>
      </c>
      <c r="F59" s="33" t="s">
        <v>88</v>
      </c>
      <c r="G59" s="34" t="s">
        <v>127</v>
      </c>
      <c r="H59" s="24">
        <f t="shared" si="0"/>
        <v>0</v>
      </c>
      <c r="I59" s="35"/>
      <c r="J59" s="35"/>
      <c r="K59" s="36"/>
      <c r="L59" s="34" t="s">
        <v>105</v>
      </c>
      <c r="M59" s="40"/>
      <c r="N59" s="40"/>
      <c r="O59" s="35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17">
        <v>2</v>
      </c>
      <c r="AD59" s="17">
        <f t="shared" si="1"/>
        <v>0</v>
      </c>
      <c r="AE59" s="28">
        <f t="shared" si="2"/>
        <v>0</v>
      </c>
      <c r="AF59" s="28">
        <v>1</v>
      </c>
    </row>
    <row r="60" spans="1:32" ht="15.75" hidden="1" customHeight="1" x14ac:dyDescent="0.3">
      <c r="A60" s="32">
        <v>80</v>
      </c>
      <c r="B60" s="33" t="s">
        <v>200</v>
      </c>
      <c r="C60" s="33" t="s">
        <v>193</v>
      </c>
      <c r="D60" s="33" t="s">
        <v>201</v>
      </c>
      <c r="E60" s="33" t="s">
        <v>767</v>
      </c>
      <c r="F60" s="33" t="s">
        <v>86</v>
      </c>
      <c r="G60" s="34" t="s">
        <v>99</v>
      </c>
      <c r="H60" s="24">
        <f t="shared" si="0"/>
        <v>0</v>
      </c>
      <c r="I60" s="35"/>
      <c r="J60" s="35"/>
      <c r="K60" s="36"/>
      <c r="L60" s="34" t="s">
        <v>105</v>
      </c>
      <c r="M60" s="40"/>
      <c r="N60" s="40"/>
      <c r="O60" s="35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17">
        <v>1</v>
      </c>
      <c r="AD60" s="17">
        <f t="shared" si="1"/>
        <v>0</v>
      </c>
      <c r="AE60" s="28">
        <f t="shared" si="2"/>
        <v>0</v>
      </c>
      <c r="AF60" s="28">
        <v>1</v>
      </c>
    </row>
    <row r="61" spans="1:32" ht="15.75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173</v>
      </c>
      <c r="F61" s="33" t="s">
        <v>88</v>
      </c>
      <c r="G61" s="34" t="s">
        <v>127</v>
      </c>
      <c r="H61" s="24">
        <f t="shared" si="0"/>
        <v>0</v>
      </c>
      <c r="I61" s="35"/>
      <c r="J61" s="35"/>
      <c r="K61" s="36"/>
      <c r="L61" s="34" t="s">
        <v>100</v>
      </c>
      <c r="M61" s="40"/>
      <c r="N61" s="40"/>
      <c r="O61" s="35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17">
        <v>2</v>
      </c>
      <c r="AD61" s="17">
        <f t="shared" si="1"/>
        <v>0</v>
      </c>
      <c r="AE61" s="28">
        <f t="shared" si="2"/>
        <v>0</v>
      </c>
      <c r="AF61" s="28">
        <v>1</v>
      </c>
    </row>
    <row r="62" spans="1:32" ht="15.75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766</v>
      </c>
      <c r="F62" s="33" t="s">
        <v>88</v>
      </c>
      <c r="G62" s="34" t="s">
        <v>127</v>
      </c>
      <c r="H62" s="24">
        <f t="shared" si="0"/>
        <v>0</v>
      </c>
      <c r="I62" s="35"/>
      <c r="J62" s="35"/>
      <c r="K62" s="36"/>
      <c r="L62" s="34" t="s">
        <v>100</v>
      </c>
      <c r="M62" s="40"/>
      <c r="N62" s="40"/>
      <c r="O62" s="35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17">
        <v>2</v>
      </c>
      <c r="AD62" s="17">
        <f t="shared" si="1"/>
        <v>0</v>
      </c>
      <c r="AE62" s="28">
        <f t="shared" si="2"/>
        <v>0</v>
      </c>
      <c r="AF62" s="28">
        <v>1</v>
      </c>
    </row>
    <row r="63" spans="1:32" ht="15.75" hidden="1" customHeight="1" x14ac:dyDescent="0.3">
      <c r="A63" s="32">
        <v>80</v>
      </c>
      <c r="B63" s="33" t="s">
        <v>218</v>
      </c>
      <c r="C63" s="33" t="s">
        <v>219</v>
      </c>
      <c r="D63" s="33" t="s">
        <v>220</v>
      </c>
      <c r="E63" s="33" t="s">
        <v>221</v>
      </c>
      <c r="F63" s="33" t="s">
        <v>88</v>
      </c>
      <c r="G63" s="34" t="s">
        <v>127</v>
      </c>
      <c r="H63" s="24">
        <f t="shared" si="0"/>
        <v>0</v>
      </c>
      <c r="I63" s="35" t="s">
        <v>808</v>
      </c>
      <c r="J63" s="35"/>
      <c r="K63" s="36"/>
      <c r="L63" s="34" t="s">
        <v>100</v>
      </c>
      <c r="M63" s="40"/>
      <c r="N63" s="40"/>
      <c r="O63" s="35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41"/>
      <c r="AC63" s="17">
        <v>2</v>
      </c>
      <c r="AD63" s="17">
        <f t="shared" si="1"/>
        <v>0</v>
      </c>
      <c r="AE63" s="28">
        <f t="shared" si="2"/>
        <v>0</v>
      </c>
      <c r="AF63" s="28">
        <v>1</v>
      </c>
    </row>
    <row r="64" spans="1:32" ht="15.75" hidden="1" customHeight="1" x14ac:dyDescent="0.3">
      <c r="A64" s="32">
        <v>80</v>
      </c>
      <c r="B64" s="33" t="s">
        <v>218</v>
      </c>
      <c r="C64" s="33" t="s">
        <v>219</v>
      </c>
      <c r="D64" s="33" t="s">
        <v>228</v>
      </c>
      <c r="E64" s="33" t="s">
        <v>229</v>
      </c>
      <c r="F64" s="33" t="s">
        <v>672</v>
      </c>
      <c r="G64" s="34" t="s">
        <v>673</v>
      </c>
      <c r="H64" s="24">
        <f t="shared" si="0"/>
        <v>0</v>
      </c>
      <c r="I64" s="35"/>
      <c r="J64" s="35"/>
      <c r="K64" s="36"/>
      <c r="L64" s="34" t="s">
        <v>100</v>
      </c>
      <c r="M64" s="40"/>
      <c r="N64" s="40" t="s">
        <v>227</v>
      </c>
      <c r="O64" s="35" t="s">
        <v>230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17">
        <v>3</v>
      </c>
      <c r="AD64" s="17">
        <f t="shared" si="1"/>
        <v>0</v>
      </c>
      <c r="AE64" s="28">
        <f t="shared" si="2"/>
        <v>0</v>
      </c>
      <c r="AF64" s="28">
        <v>1</v>
      </c>
    </row>
    <row r="65" spans="1:32" ht="15.75" hidden="1" customHeight="1" x14ac:dyDescent="0.3">
      <c r="A65" s="32">
        <v>90</v>
      </c>
      <c r="B65" s="33" t="s">
        <v>255</v>
      </c>
      <c r="C65" s="33" t="s">
        <v>232</v>
      </c>
      <c r="D65" s="33" t="s">
        <v>256</v>
      </c>
      <c r="E65" s="33" t="s">
        <v>173</v>
      </c>
      <c r="F65" s="33" t="s">
        <v>95</v>
      </c>
      <c r="G65" s="34" t="s">
        <v>95</v>
      </c>
      <c r="H65" s="24">
        <f t="shared" si="0"/>
        <v>0</v>
      </c>
      <c r="I65" s="35"/>
      <c r="J65" s="35"/>
      <c r="K65" s="36"/>
      <c r="L65" s="34" t="s">
        <v>100</v>
      </c>
      <c r="M65" s="40"/>
      <c r="N65" s="40"/>
      <c r="O65" s="35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17">
        <v>12</v>
      </c>
      <c r="AD65" s="17">
        <f t="shared" si="1"/>
        <v>0</v>
      </c>
      <c r="AE65" s="28">
        <f t="shared" si="2"/>
        <v>0</v>
      </c>
      <c r="AF65" s="28">
        <v>1</v>
      </c>
    </row>
    <row r="66" spans="1:32" ht="15.75" hidden="1" customHeight="1" x14ac:dyDescent="0.3">
      <c r="A66" s="32">
        <v>90</v>
      </c>
      <c r="B66" s="33" t="s">
        <v>246</v>
      </c>
      <c r="C66" s="33" t="s">
        <v>236</v>
      </c>
      <c r="D66" s="33" t="s">
        <v>247</v>
      </c>
      <c r="E66" s="33" t="s">
        <v>243</v>
      </c>
      <c r="F66" s="33" t="s">
        <v>132</v>
      </c>
      <c r="G66" s="34" t="s">
        <v>99</v>
      </c>
      <c r="H66" s="24">
        <f t="shared" si="0"/>
        <v>0</v>
      </c>
      <c r="I66" s="35" t="s">
        <v>808</v>
      </c>
      <c r="J66" s="35" t="s">
        <v>248</v>
      </c>
      <c r="K66" s="36"/>
      <c r="L66" s="34" t="s">
        <v>100</v>
      </c>
      <c r="M66" s="40"/>
      <c r="N66" s="40"/>
      <c r="O66" s="35" t="s">
        <v>248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17">
        <v>1</v>
      </c>
      <c r="AD66" s="17">
        <f t="shared" si="1"/>
        <v>0</v>
      </c>
      <c r="AE66" s="28">
        <f t="shared" si="2"/>
        <v>0</v>
      </c>
      <c r="AF66" s="28">
        <v>1</v>
      </c>
    </row>
    <row r="67" spans="1:32" ht="15.75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245</v>
      </c>
      <c r="F67" s="33" t="s">
        <v>132</v>
      </c>
      <c r="G67" s="34" t="s">
        <v>99</v>
      </c>
      <c r="H67" s="24">
        <f t="shared" si="0"/>
        <v>0</v>
      </c>
      <c r="I67" s="35" t="s">
        <v>808</v>
      </c>
      <c r="J67" s="35" t="s">
        <v>248</v>
      </c>
      <c r="K67" s="36"/>
      <c r="L67" s="34" t="s">
        <v>100</v>
      </c>
      <c r="M67" s="40"/>
      <c r="N67" s="40"/>
      <c r="O67" s="35" t="s">
        <v>248</v>
      </c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41"/>
      <c r="AC67" s="17">
        <v>1</v>
      </c>
      <c r="AD67" s="17">
        <f t="shared" si="1"/>
        <v>0</v>
      </c>
      <c r="AE67" s="28">
        <f t="shared" si="2"/>
        <v>0</v>
      </c>
      <c r="AF67" s="28">
        <v>1</v>
      </c>
    </row>
    <row r="68" spans="1:32" ht="15.75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769</v>
      </c>
      <c r="F68" s="33" t="s">
        <v>84</v>
      </c>
      <c r="G68" s="34" t="s">
        <v>99</v>
      </c>
      <c r="H68" s="24">
        <f t="shared" ref="H68:H131" si="3">IF(AC68=0," ",(AD68/AC68))</f>
        <v>0</v>
      </c>
      <c r="I68" s="35"/>
      <c r="J68" s="35" t="s">
        <v>248</v>
      </c>
      <c r="K68" s="36"/>
      <c r="L68" s="34" t="s">
        <v>100</v>
      </c>
      <c r="M68" s="40"/>
      <c r="N68" s="40"/>
      <c r="O68" s="35" t="s">
        <v>248</v>
      </c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41"/>
      <c r="AC68" s="17">
        <v>1</v>
      </c>
      <c r="AD68" s="17">
        <f t="shared" ref="AD68:AD131" si="4">IF(COUNTA(P68:AB68)&gt;AC68,AC68,COUNTA(P68:AB68))</f>
        <v>0</v>
      </c>
      <c r="AE68" s="28">
        <f t="shared" ref="AE68:AE131" si="5">IF(H68=1,1,0)</f>
        <v>0</v>
      </c>
      <c r="AF68" s="28">
        <v>1</v>
      </c>
    </row>
    <row r="69" spans="1:32" ht="15.75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770</v>
      </c>
      <c r="F69" s="33" t="s">
        <v>92</v>
      </c>
      <c r="G69" s="34" t="s">
        <v>99</v>
      </c>
      <c r="H69" s="24">
        <f t="shared" si="3"/>
        <v>0</v>
      </c>
      <c r="I69" s="35"/>
      <c r="J69" s="35" t="s">
        <v>248</v>
      </c>
      <c r="K69" s="36"/>
      <c r="L69" s="34" t="s">
        <v>100</v>
      </c>
      <c r="M69" s="40"/>
      <c r="N69" s="40"/>
      <c r="O69" s="35" t="s">
        <v>248</v>
      </c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17">
        <v>1</v>
      </c>
      <c r="AD69" s="17">
        <f t="shared" si="4"/>
        <v>0</v>
      </c>
      <c r="AE69" s="28">
        <f t="shared" si="5"/>
        <v>0</v>
      </c>
      <c r="AF69" s="28">
        <v>1</v>
      </c>
    </row>
    <row r="70" spans="1:32" ht="15.75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771</v>
      </c>
      <c r="F70" s="33" t="s">
        <v>85</v>
      </c>
      <c r="G70" s="34" t="s">
        <v>99</v>
      </c>
      <c r="H70" s="24">
        <f t="shared" si="3"/>
        <v>0</v>
      </c>
      <c r="I70" s="35"/>
      <c r="J70" s="35" t="s">
        <v>248</v>
      </c>
      <c r="K70" s="36"/>
      <c r="L70" s="34" t="s">
        <v>100</v>
      </c>
      <c r="M70" s="40"/>
      <c r="N70" s="40"/>
      <c r="O70" s="35" t="s">
        <v>248</v>
      </c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17">
        <v>1</v>
      </c>
      <c r="AD70" s="17">
        <f t="shared" si="4"/>
        <v>0</v>
      </c>
      <c r="AE70" s="28">
        <f t="shared" si="5"/>
        <v>0</v>
      </c>
      <c r="AF70" s="28">
        <v>1</v>
      </c>
    </row>
    <row r="71" spans="1:32" ht="15.75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772</v>
      </c>
      <c r="F71" s="33" t="s">
        <v>132</v>
      </c>
      <c r="G71" s="34" t="s">
        <v>99</v>
      </c>
      <c r="H71" s="24">
        <f t="shared" si="3"/>
        <v>0</v>
      </c>
      <c r="I71" s="35"/>
      <c r="J71" s="35"/>
      <c r="K71" s="36"/>
      <c r="L71" s="34" t="s">
        <v>100</v>
      </c>
      <c r="M71" s="40"/>
      <c r="N71" s="40"/>
      <c r="O71" s="35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17">
        <v>1</v>
      </c>
      <c r="AD71" s="17">
        <f t="shared" si="4"/>
        <v>0</v>
      </c>
      <c r="AE71" s="28">
        <f t="shared" si="5"/>
        <v>0</v>
      </c>
      <c r="AF71" s="28">
        <v>1</v>
      </c>
    </row>
    <row r="72" spans="1:32" ht="15.75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773</v>
      </c>
      <c r="F72" s="33" t="s">
        <v>92</v>
      </c>
      <c r="G72" s="34" t="s">
        <v>99</v>
      </c>
      <c r="H72" s="24">
        <f t="shared" si="3"/>
        <v>0</v>
      </c>
      <c r="I72" s="35" t="s">
        <v>808</v>
      </c>
      <c r="J72" s="35" t="s">
        <v>248</v>
      </c>
      <c r="K72" s="36"/>
      <c r="L72" s="34" t="s">
        <v>100</v>
      </c>
      <c r="M72" s="40"/>
      <c r="N72" s="40"/>
      <c r="O72" s="35" t="s">
        <v>248</v>
      </c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41"/>
      <c r="AC72" s="17">
        <v>1</v>
      </c>
      <c r="AD72" s="17">
        <f t="shared" si="4"/>
        <v>0</v>
      </c>
      <c r="AE72" s="28">
        <f t="shared" si="5"/>
        <v>0</v>
      </c>
      <c r="AF72" s="28">
        <v>1</v>
      </c>
    </row>
    <row r="73" spans="1:32" ht="15.75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257</v>
      </c>
      <c r="F73" s="33" t="s">
        <v>95</v>
      </c>
      <c r="G73" s="34" t="s">
        <v>95</v>
      </c>
      <c r="H73" s="24">
        <f t="shared" si="3"/>
        <v>0</v>
      </c>
      <c r="I73" s="35"/>
      <c r="J73" s="35"/>
      <c r="K73" s="36"/>
      <c r="L73" s="34" t="s">
        <v>100</v>
      </c>
      <c r="M73" s="40"/>
      <c r="N73" s="40"/>
      <c r="O73" s="35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17">
        <v>12</v>
      </c>
      <c r="AD73" s="17">
        <f t="shared" si="4"/>
        <v>0</v>
      </c>
      <c r="AE73" s="28">
        <f t="shared" si="5"/>
        <v>0</v>
      </c>
      <c r="AF73" s="28">
        <v>1</v>
      </c>
    </row>
    <row r="74" spans="1:32" ht="15.75" hidden="1" customHeight="1" x14ac:dyDescent="0.3">
      <c r="A74" s="32">
        <v>90</v>
      </c>
      <c r="B74" s="33" t="s">
        <v>246</v>
      </c>
      <c r="C74" s="33" t="s">
        <v>236</v>
      </c>
      <c r="D74" s="33" t="s">
        <v>247</v>
      </c>
      <c r="E74" s="33" t="s">
        <v>258</v>
      </c>
      <c r="F74" s="33" t="s">
        <v>95</v>
      </c>
      <c r="G74" s="34" t="s">
        <v>95</v>
      </c>
      <c r="H74" s="24">
        <f t="shared" si="3"/>
        <v>0</v>
      </c>
      <c r="I74" s="35"/>
      <c r="J74" s="35"/>
      <c r="K74" s="36"/>
      <c r="L74" s="34" t="s">
        <v>100</v>
      </c>
      <c r="M74" s="40"/>
      <c r="N74" s="40"/>
      <c r="O74" s="35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17">
        <v>12</v>
      </c>
      <c r="AD74" s="17">
        <f t="shared" si="4"/>
        <v>0</v>
      </c>
      <c r="AE74" s="28">
        <f t="shared" si="5"/>
        <v>0</v>
      </c>
      <c r="AF74" s="28">
        <v>1</v>
      </c>
    </row>
    <row r="75" spans="1:32" ht="15.75" hidden="1" customHeight="1" x14ac:dyDescent="0.3">
      <c r="A75" s="32">
        <v>90</v>
      </c>
      <c r="B75" s="33" t="s">
        <v>246</v>
      </c>
      <c r="C75" s="33" t="s">
        <v>236</v>
      </c>
      <c r="D75" s="33" t="s">
        <v>247</v>
      </c>
      <c r="E75" s="33" t="s">
        <v>259</v>
      </c>
      <c r="F75" s="33" t="s">
        <v>95</v>
      </c>
      <c r="G75" s="34" t="s">
        <v>95</v>
      </c>
      <c r="H75" s="24">
        <f t="shared" si="3"/>
        <v>0</v>
      </c>
      <c r="I75" s="35"/>
      <c r="J75" s="35"/>
      <c r="K75" s="36"/>
      <c r="L75" s="34" t="s">
        <v>100</v>
      </c>
      <c r="M75" s="40"/>
      <c r="N75" s="40"/>
      <c r="O75" s="35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17">
        <v>12</v>
      </c>
      <c r="AD75" s="17">
        <f t="shared" si="4"/>
        <v>0</v>
      </c>
      <c r="AE75" s="28">
        <f t="shared" si="5"/>
        <v>0</v>
      </c>
      <c r="AF75" s="28">
        <v>1</v>
      </c>
    </row>
    <row r="76" spans="1:32" ht="15.75" hidden="1" customHeight="1" x14ac:dyDescent="0.3">
      <c r="A76" s="32">
        <v>90</v>
      </c>
      <c r="B76" s="33" t="s">
        <v>235</v>
      </c>
      <c r="C76" s="33" t="s">
        <v>236</v>
      </c>
      <c r="D76" s="33" t="s">
        <v>237</v>
      </c>
      <c r="E76" s="33" t="s">
        <v>130</v>
      </c>
      <c r="F76" s="33" t="s">
        <v>95</v>
      </c>
      <c r="G76" s="34" t="s">
        <v>95</v>
      </c>
      <c r="H76" s="24">
        <f t="shared" si="3"/>
        <v>0</v>
      </c>
      <c r="I76" s="35" t="s">
        <v>808</v>
      </c>
      <c r="J76" s="35"/>
      <c r="K76" s="36"/>
      <c r="L76" s="34" t="s">
        <v>105</v>
      </c>
      <c r="M76" s="40"/>
      <c r="N76" s="40"/>
      <c r="O76" s="35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17">
        <v>12</v>
      </c>
      <c r="AD76" s="17">
        <f t="shared" si="4"/>
        <v>0</v>
      </c>
      <c r="AE76" s="28">
        <f t="shared" si="5"/>
        <v>0</v>
      </c>
      <c r="AF76" s="28">
        <v>1</v>
      </c>
    </row>
    <row r="77" spans="1:32" ht="15.75" hidden="1" customHeight="1" x14ac:dyDescent="0.3">
      <c r="A77" s="32">
        <v>90</v>
      </c>
      <c r="B77" s="33" t="s">
        <v>238</v>
      </c>
      <c r="C77" s="33" t="s">
        <v>236</v>
      </c>
      <c r="D77" s="33" t="s">
        <v>239</v>
      </c>
      <c r="E77" s="33" t="s">
        <v>130</v>
      </c>
      <c r="F77" s="33" t="s">
        <v>95</v>
      </c>
      <c r="G77" s="34" t="s">
        <v>95</v>
      </c>
      <c r="H77" s="24">
        <f t="shared" si="3"/>
        <v>0</v>
      </c>
      <c r="I77" s="35" t="s">
        <v>808</v>
      </c>
      <c r="J77" s="35"/>
      <c r="K77" s="36"/>
      <c r="L77" s="34" t="s">
        <v>105</v>
      </c>
      <c r="M77" s="40"/>
      <c r="N77" s="40"/>
      <c r="O77" s="35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17">
        <v>12</v>
      </c>
      <c r="AD77" s="17">
        <f t="shared" si="4"/>
        <v>0</v>
      </c>
      <c r="AE77" s="28">
        <f t="shared" si="5"/>
        <v>0</v>
      </c>
      <c r="AF77" s="28">
        <v>1</v>
      </c>
    </row>
    <row r="78" spans="1:32" ht="15.75" hidden="1" customHeight="1" x14ac:dyDescent="0.3">
      <c r="A78" s="32">
        <v>90</v>
      </c>
      <c r="B78" s="33" t="s">
        <v>249</v>
      </c>
      <c r="C78" s="33" t="s">
        <v>236</v>
      </c>
      <c r="D78" s="33" t="s">
        <v>250</v>
      </c>
      <c r="E78" s="33" t="s">
        <v>774</v>
      </c>
      <c r="F78" s="33" t="s">
        <v>96</v>
      </c>
      <c r="G78" s="34" t="s">
        <v>167</v>
      </c>
      <c r="H78" s="24">
        <f t="shared" si="3"/>
        <v>0</v>
      </c>
      <c r="I78" s="35" t="s">
        <v>808</v>
      </c>
      <c r="J78" s="35" t="s">
        <v>248</v>
      </c>
      <c r="K78" s="36"/>
      <c r="L78" s="34" t="s">
        <v>100</v>
      </c>
      <c r="M78" s="40"/>
      <c r="N78" s="40"/>
      <c r="O78" s="35" t="s">
        <v>248</v>
      </c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17">
        <v>3</v>
      </c>
      <c r="AD78" s="17">
        <f t="shared" si="4"/>
        <v>0</v>
      </c>
      <c r="AE78" s="28">
        <f t="shared" si="5"/>
        <v>0</v>
      </c>
      <c r="AF78" s="28">
        <v>1</v>
      </c>
    </row>
    <row r="79" spans="1:32" ht="15.75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251</v>
      </c>
      <c r="F79" s="33" t="s">
        <v>132</v>
      </c>
      <c r="G79" s="34" t="s">
        <v>99</v>
      </c>
      <c r="H79" s="24">
        <f t="shared" si="3"/>
        <v>0</v>
      </c>
      <c r="I79" s="35" t="s">
        <v>808</v>
      </c>
      <c r="J79" s="35" t="s">
        <v>248</v>
      </c>
      <c r="K79" s="36"/>
      <c r="L79" s="34" t="s">
        <v>100</v>
      </c>
      <c r="M79" s="40"/>
      <c r="N79" s="40"/>
      <c r="O79" s="35" t="s">
        <v>248</v>
      </c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17">
        <v>1</v>
      </c>
      <c r="AD79" s="17">
        <f t="shared" si="4"/>
        <v>0</v>
      </c>
      <c r="AE79" s="28">
        <f t="shared" si="5"/>
        <v>0</v>
      </c>
      <c r="AF79" s="28">
        <v>1</v>
      </c>
    </row>
    <row r="80" spans="1:32" ht="15.75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130</v>
      </c>
      <c r="F80" s="33" t="s">
        <v>95</v>
      </c>
      <c r="G80" s="34" t="s">
        <v>95</v>
      </c>
      <c r="H80" s="24">
        <f t="shared" si="3"/>
        <v>0</v>
      </c>
      <c r="I80" s="35"/>
      <c r="J80" s="35" t="s">
        <v>244</v>
      </c>
      <c r="K80" s="36"/>
      <c r="L80" s="34" t="s">
        <v>100</v>
      </c>
      <c r="M80" s="40"/>
      <c r="N80" s="40"/>
      <c r="O80" s="35" t="s">
        <v>244</v>
      </c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41"/>
      <c r="AC80" s="17">
        <v>12</v>
      </c>
      <c r="AD80" s="17">
        <f t="shared" si="4"/>
        <v>0</v>
      </c>
      <c r="AE80" s="28">
        <f t="shared" si="5"/>
        <v>0</v>
      </c>
      <c r="AF80" s="28">
        <v>1</v>
      </c>
    </row>
    <row r="81" spans="1:32" ht="15.75" hidden="1" customHeight="1" x14ac:dyDescent="0.3">
      <c r="A81" s="32">
        <v>90</v>
      </c>
      <c r="B81" s="33" t="s">
        <v>253</v>
      </c>
      <c r="C81" s="33" t="s">
        <v>236</v>
      </c>
      <c r="D81" s="33" t="s">
        <v>254</v>
      </c>
      <c r="E81" s="33" t="s">
        <v>243</v>
      </c>
      <c r="F81" s="33" t="s">
        <v>132</v>
      </c>
      <c r="G81" s="34" t="s">
        <v>99</v>
      </c>
      <c r="H81" s="24">
        <f t="shared" si="3"/>
        <v>0</v>
      </c>
      <c r="I81" s="35" t="s">
        <v>808</v>
      </c>
      <c r="J81" s="35" t="s">
        <v>248</v>
      </c>
      <c r="K81" s="36"/>
      <c r="L81" s="34" t="s">
        <v>100</v>
      </c>
      <c r="M81" s="40"/>
      <c r="N81" s="40"/>
      <c r="O81" s="35" t="s">
        <v>248</v>
      </c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17">
        <v>1</v>
      </c>
      <c r="AD81" s="17">
        <f t="shared" si="4"/>
        <v>0</v>
      </c>
      <c r="AE81" s="28">
        <f t="shared" si="5"/>
        <v>0</v>
      </c>
      <c r="AF81" s="28">
        <v>1</v>
      </c>
    </row>
    <row r="82" spans="1:32" ht="15.75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772</v>
      </c>
      <c r="F82" s="33" t="s">
        <v>132</v>
      </c>
      <c r="G82" s="34" t="s">
        <v>99</v>
      </c>
      <c r="H82" s="24">
        <f t="shared" si="3"/>
        <v>0</v>
      </c>
      <c r="I82" s="35" t="s">
        <v>808</v>
      </c>
      <c r="J82" s="35"/>
      <c r="K82" s="36"/>
      <c r="L82" s="34" t="s">
        <v>100</v>
      </c>
      <c r="M82" s="40"/>
      <c r="N82" s="40"/>
      <c r="O82" s="35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17">
        <v>1</v>
      </c>
      <c r="AD82" s="17">
        <f t="shared" si="4"/>
        <v>0</v>
      </c>
      <c r="AE82" s="28">
        <f t="shared" si="5"/>
        <v>0</v>
      </c>
      <c r="AF82" s="28">
        <v>1</v>
      </c>
    </row>
    <row r="83" spans="1:32" ht="15.75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130</v>
      </c>
      <c r="F83" s="33" t="s">
        <v>95</v>
      </c>
      <c r="G83" s="34" t="s">
        <v>95</v>
      </c>
      <c r="H83" s="24">
        <f t="shared" si="3"/>
        <v>0</v>
      </c>
      <c r="I83" s="35"/>
      <c r="J83" s="35"/>
      <c r="K83" s="36"/>
      <c r="L83" s="34" t="s">
        <v>105</v>
      </c>
      <c r="M83" s="40"/>
      <c r="N83" s="40"/>
      <c r="O83" s="35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41"/>
      <c r="AC83" s="17">
        <v>12</v>
      </c>
      <c r="AD83" s="17">
        <f t="shared" si="4"/>
        <v>0</v>
      </c>
      <c r="AE83" s="28">
        <f t="shared" si="5"/>
        <v>0</v>
      </c>
      <c r="AF83" s="28">
        <v>1</v>
      </c>
    </row>
    <row r="84" spans="1:32" ht="15.75" hidden="1" customHeight="1" x14ac:dyDescent="0.3">
      <c r="A84" s="32">
        <v>90</v>
      </c>
      <c r="B84" s="33" t="s">
        <v>241</v>
      </c>
      <c r="C84" s="33" t="s">
        <v>232</v>
      </c>
      <c r="D84" s="33" t="s">
        <v>242</v>
      </c>
      <c r="E84" s="33" t="s">
        <v>243</v>
      </c>
      <c r="F84" s="33" t="s">
        <v>132</v>
      </c>
      <c r="G84" s="34" t="s">
        <v>99</v>
      </c>
      <c r="H84" s="24">
        <f t="shared" si="3"/>
        <v>0</v>
      </c>
      <c r="I84" s="35" t="s">
        <v>808</v>
      </c>
      <c r="J84" s="35" t="s">
        <v>244</v>
      </c>
      <c r="K84" s="36"/>
      <c r="L84" s="34" t="s">
        <v>100</v>
      </c>
      <c r="M84" s="40"/>
      <c r="N84" s="40"/>
      <c r="O84" s="35" t="s">
        <v>244</v>
      </c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41"/>
      <c r="AC84" s="17">
        <v>1</v>
      </c>
      <c r="AD84" s="17">
        <f t="shared" si="4"/>
        <v>0</v>
      </c>
      <c r="AE84" s="28">
        <f t="shared" si="5"/>
        <v>0</v>
      </c>
      <c r="AF84" s="28">
        <v>1</v>
      </c>
    </row>
    <row r="85" spans="1:32" ht="15.75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160</v>
      </c>
      <c r="F85" s="33" t="s">
        <v>132</v>
      </c>
      <c r="G85" s="34" t="s">
        <v>99</v>
      </c>
      <c r="H85" s="24">
        <f t="shared" si="3"/>
        <v>0</v>
      </c>
      <c r="I85" s="35" t="s">
        <v>808</v>
      </c>
      <c r="J85" s="35" t="s">
        <v>244</v>
      </c>
      <c r="K85" s="36"/>
      <c r="L85" s="34" t="s">
        <v>100</v>
      </c>
      <c r="M85" s="40"/>
      <c r="N85" s="40"/>
      <c r="O85" s="35" t="s">
        <v>244</v>
      </c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41"/>
      <c r="AC85" s="17">
        <v>1</v>
      </c>
      <c r="AD85" s="17">
        <f t="shared" si="4"/>
        <v>0</v>
      </c>
      <c r="AE85" s="28">
        <f t="shared" si="5"/>
        <v>0</v>
      </c>
      <c r="AF85" s="28">
        <v>1</v>
      </c>
    </row>
    <row r="86" spans="1:32" ht="15.75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245</v>
      </c>
      <c r="F86" s="33" t="s">
        <v>132</v>
      </c>
      <c r="G86" s="34" t="s">
        <v>99</v>
      </c>
      <c r="H86" s="24">
        <f t="shared" si="3"/>
        <v>0</v>
      </c>
      <c r="I86" s="35" t="s">
        <v>808</v>
      </c>
      <c r="J86" s="35" t="s">
        <v>244</v>
      </c>
      <c r="K86" s="36"/>
      <c r="L86" s="34" t="s">
        <v>100</v>
      </c>
      <c r="M86" s="40"/>
      <c r="N86" s="40"/>
      <c r="O86" s="35" t="s">
        <v>244</v>
      </c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41"/>
      <c r="AC86" s="17">
        <v>1</v>
      </c>
      <c r="AD86" s="17">
        <f t="shared" si="4"/>
        <v>0</v>
      </c>
      <c r="AE86" s="28">
        <f t="shared" si="5"/>
        <v>0</v>
      </c>
      <c r="AF86" s="28">
        <v>1</v>
      </c>
    </row>
    <row r="87" spans="1:32" ht="15.75" hidden="1" customHeight="1" x14ac:dyDescent="0.3">
      <c r="A87" s="32">
        <v>90</v>
      </c>
      <c r="B87" s="33" t="s">
        <v>231</v>
      </c>
      <c r="C87" s="33" t="s">
        <v>232</v>
      </c>
      <c r="D87" s="33" t="s">
        <v>233</v>
      </c>
      <c r="E87" s="33" t="s">
        <v>225</v>
      </c>
      <c r="F87" s="33" t="s">
        <v>672</v>
      </c>
      <c r="G87" s="34" t="s">
        <v>673</v>
      </c>
      <c r="H87" s="24">
        <f t="shared" si="3"/>
        <v>0</v>
      </c>
      <c r="I87" s="35"/>
      <c r="J87" s="35" t="s">
        <v>234</v>
      </c>
      <c r="K87" s="36"/>
      <c r="L87" s="34" t="s">
        <v>100</v>
      </c>
      <c r="M87" s="40"/>
      <c r="N87" s="51" t="s">
        <v>850</v>
      </c>
      <c r="O87" s="35" t="s">
        <v>234</v>
      </c>
      <c r="P87" s="27"/>
      <c r="Q87" s="27"/>
      <c r="R87" s="54"/>
      <c r="S87" s="27"/>
      <c r="T87" s="27"/>
      <c r="U87" s="27"/>
      <c r="V87" s="54"/>
      <c r="W87" s="27"/>
      <c r="X87" s="27"/>
      <c r="Y87" s="27"/>
      <c r="Z87" s="27"/>
      <c r="AA87" s="54"/>
      <c r="AB87" s="41"/>
      <c r="AC87" s="17">
        <v>3</v>
      </c>
      <c r="AD87" s="17">
        <f t="shared" si="4"/>
        <v>0</v>
      </c>
      <c r="AE87" s="28">
        <f t="shared" si="5"/>
        <v>0</v>
      </c>
      <c r="AF87" s="28">
        <v>1</v>
      </c>
    </row>
    <row r="88" spans="1:32" ht="15.75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240</v>
      </c>
      <c r="F88" s="33" t="s">
        <v>95</v>
      </c>
      <c r="G88" s="34" t="s">
        <v>95</v>
      </c>
      <c r="H88" s="24">
        <f t="shared" si="3"/>
        <v>0</v>
      </c>
      <c r="I88" s="35" t="s">
        <v>808</v>
      </c>
      <c r="J88" s="35"/>
      <c r="K88" s="36"/>
      <c r="L88" s="34" t="s">
        <v>100</v>
      </c>
      <c r="M88" s="40"/>
      <c r="N88" s="40"/>
      <c r="O88" s="35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17">
        <v>12</v>
      </c>
      <c r="AD88" s="17">
        <f t="shared" si="4"/>
        <v>0</v>
      </c>
      <c r="AE88" s="28">
        <f t="shared" si="5"/>
        <v>0</v>
      </c>
      <c r="AF88" s="28">
        <v>1</v>
      </c>
    </row>
    <row r="89" spans="1:32" ht="15.75" hidden="1" customHeight="1" x14ac:dyDescent="0.3">
      <c r="A89" s="32">
        <v>90</v>
      </c>
      <c r="B89" s="33" t="s">
        <v>260</v>
      </c>
      <c r="C89" s="33" t="s">
        <v>232</v>
      </c>
      <c r="D89" s="33" t="s">
        <v>261</v>
      </c>
      <c r="E89" s="33" t="s">
        <v>130</v>
      </c>
      <c r="F89" s="33" t="s">
        <v>95</v>
      </c>
      <c r="G89" s="34" t="s">
        <v>95</v>
      </c>
      <c r="H89" s="24">
        <f t="shared" si="3"/>
        <v>0</v>
      </c>
      <c r="I89" s="35"/>
      <c r="J89" s="35"/>
      <c r="K89" s="36"/>
      <c r="L89" s="34" t="s">
        <v>105</v>
      </c>
      <c r="M89" s="40"/>
      <c r="N89" s="40"/>
      <c r="O89" s="35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17">
        <v>12</v>
      </c>
      <c r="AD89" s="17">
        <f t="shared" si="4"/>
        <v>0</v>
      </c>
      <c r="AE89" s="28">
        <f t="shared" si="5"/>
        <v>0</v>
      </c>
      <c r="AF89" s="28">
        <v>1</v>
      </c>
    </row>
    <row r="90" spans="1:32" ht="15.75" hidden="1" customHeight="1" x14ac:dyDescent="0.3">
      <c r="A90" s="32">
        <v>90</v>
      </c>
      <c r="B90" s="33" t="s">
        <v>252</v>
      </c>
      <c r="C90" s="33" t="s">
        <v>232</v>
      </c>
      <c r="D90" s="33" t="s">
        <v>250</v>
      </c>
      <c r="E90" s="33" t="s">
        <v>251</v>
      </c>
      <c r="F90" s="33" t="s">
        <v>132</v>
      </c>
      <c r="G90" s="34" t="s">
        <v>99</v>
      </c>
      <c r="H90" s="24">
        <f t="shared" si="3"/>
        <v>0</v>
      </c>
      <c r="I90" s="35" t="s">
        <v>808</v>
      </c>
      <c r="J90" s="35" t="s">
        <v>244</v>
      </c>
      <c r="K90" s="36"/>
      <c r="L90" s="34" t="s">
        <v>100</v>
      </c>
      <c r="M90" s="40"/>
      <c r="N90" s="51"/>
      <c r="O90" s="35" t="s">
        <v>244</v>
      </c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17">
        <v>1</v>
      </c>
      <c r="AD90" s="17">
        <f t="shared" si="4"/>
        <v>0</v>
      </c>
      <c r="AE90" s="28">
        <f t="shared" si="5"/>
        <v>0</v>
      </c>
      <c r="AF90" s="28">
        <v>1</v>
      </c>
    </row>
    <row r="91" spans="1:32" ht="15.75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130</v>
      </c>
      <c r="F91" s="33" t="s">
        <v>95</v>
      </c>
      <c r="G91" s="34" t="s">
        <v>95</v>
      </c>
      <c r="H91" s="24">
        <f t="shared" si="3"/>
        <v>0</v>
      </c>
      <c r="I91" s="35"/>
      <c r="J91" s="35"/>
      <c r="K91" s="36"/>
      <c r="L91" s="34" t="s">
        <v>100</v>
      </c>
      <c r="M91" s="40"/>
      <c r="N91" s="40"/>
      <c r="O91" s="35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17">
        <v>12</v>
      </c>
      <c r="AD91" s="17">
        <f t="shared" si="4"/>
        <v>0</v>
      </c>
      <c r="AE91" s="28">
        <f t="shared" si="5"/>
        <v>0</v>
      </c>
      <c r="AF91" s="28">
        <v>1</v>
      </c>
    </row>
    <row r="92" spans="1:32" ht="15.75" hidden="1" customHeight="1" x14ac:dyDescent="0.3">
      <c r="A92" s="32">
        <v>90</v>
      </c>
      <c r="B92" s="33" t="s">
        <v>845</v>
      </c>
      <c r="C92" s="33" t="s">
        <v>232</v>
      </c>
      <c r="D92" s="33" t="s">
        <v>254</v>
      </c>
      <c r="E92" s="33" t="s">
        <v>243</v>
      </c>
      <c r="F92" s="33" t="s">
        <v>132</v>
      </c>
      <c r="G92" s="34" t="s">
        <v>99</v>
      </c>
      <c r="H92" s="24">
        <f t="shared" si="3"/>
        <v>0</v>
      </c>
      <c r="I92" s="35" t="s">
        <v>808</v>
      </c>
      <c r="J92" s="35"/>
      <c r="K92" s="36"/>
      <c r="L92" s="34" t="s">
        <v>100</v>
      </c>
      <c r="M92" s="40"/>
      <c r="N92" s="40"/>
      <c r="O92" s="35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41"/>
      <c r="AC92" s="17">
        <v>1</v>
      </c>
      <c r="AD92" s="17">
        <f t="shared" si="4"/>
        <v>0</v>
      </c>
      <c r="AE92" s="28">
        <f t="shared" si="5"/>
        <v>0</v>
      </c>
      <c r="AF92" s="28">
        <v>1</v>
      </c>
    </row>
    <row r="93" spans="1:32" ht="15.75" hidden="1" customHeight="1" x14ac:dyDescent="0.3">
      <c r="A93" s="32">
        <v>92</v>
      </c>
      <c r="B93" s="33" t="s">
        <v>264</v>
      </c>
      <c r="C93" s="33" t="s">
        <v>265</v>
      </c>
      <c r="D93" s="33" t="s">
        <v>758</v>
      </c>
      <c r="E93" s="33" t="s">
        <v>130</v>
      </c>
      <c r="F93" s="33" t="s">
        <v>93</v>
      </c>
      <c r="G93" s="34" t="s">
        <v>119</v>
      </c>
      <c r="H93" s="24">
        <f t="shared" si="3"/>
        <v>0</v>
      </c>
      <c r="I93" s="35"/>
      <c r="J93" s="35" t="s">
        <v>266</v>
      </c>
      <c r="K93" s="36"/>
      <c r="L93" s="34" t="s">
        <v>105</v>
      </c>
      <c r="M93" s="40"/>
      <c r="N93" s="40"/>
      <c r="O93" s="35" t="s">
        <v>266</v>
      </c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41"/>
      <c r="AC93" s="17">
        <v>12</v>
      </c>
      <c r="AD93" s="17">
        <f t="shared" si="4"/>
        <v>0</v>
      </c>
      <c r="AE93" s="28">
        <f t="shared" si="5"/>
        <v>0</v>
      </c>
      <c r="AF93" s="28">
        <v>1</v>
      </c>
    </row>
    <row r="94" spans="1:32" ht="15.75" hidden="1" customHeight="1" x14ac:dyDescent="0.3">
      <c r="A94" s="32">
        <v>92</v>
      </c>
      <c r="B94" s="33" t="s">
        <v>264</v>
      </c>
      <c r="C94" s="33" t="s">
        <v>265</v>
      </c>
      <c r="D94" s="33" t="s">
        <v>278</v>
      </c>
      <c r="E94" s="33" t="s">
        <v>279</v>
      </c>
      <c r="F94" s="33" t="s">
        <v>91</v>
      </c>
      <c r="G94" s="34"/>
      <c r="H94" s="24">
        <f t="shared" si="3"/>
        <v>0</v>
      </c>
      <c r="I94" s="35"/>
      <c r="J94" s="35" t="s">
        <v>244</v>
      </c>
      <c r="K94" s="36"/>
      <c r="L94" s="34" t="s">
        <v>100</v>
      </c>
      <c r="M94" s="40"/>
      <c r="N94" s="40"/>
      <c r="O94" s="35" t="s">
        <v>244</v>
      </c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17">
        <v>1</v>
      </c>
      <c r="AD94" s="17">
        <f t="shared" si="4"/>
        <v>0</v>
      </c>
      <c r="AE94" s="28">
        <f t="shared" si="5"/>
        <v>0</v>
      </c>
      <c r="AF94" s="28">
        <v>1</v>
      </c>
    </row>
    <row r="95" spans="1:32" ht="15.75" hidden="1" customHeight="1" x14ac:dyDescent="0.3">
      <c r="A95" s="32">
        <v>92</v>
      </c>
      <c r="B95" s="33" t="s">
        <v>267</v>
      </c>
      <c r="C95" s="33" t="s">
        <v>265</v>
      </c>
      <c r="D95" s="33" t="s">
        <v>268</v>
      </c>
      <c r="E95" s="33" t="s">
        <v>130</v>
      </c>
      <c r="F95" s="33" t="s">
        <v>93</v>
      </c>
      <c r="G95" s="34" t="s">
        <v>119</v>
      </c>
      <c r="H95" s="24">
        <f t="shared" si="3"/>
        <v>0</v>
      </c>
      <c r="I95" s="35"/>
      <c r="J95" s="35" t="s">
        <v>266</v>
      </c>
      <c r="K95" s="36"/>
      <c r="L95" s="34" t="s">
        <v>105</v>
      </c>
      <c r="M95" s="40"/>
      <c r="N95" s="40"/>
      <c r="O95" s="35" t="s">
        <v>266</v>
      </c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17">
        <v>12</v>
      </c>
      <c r="AD95" s="17">
        <f t="shared" si="4"/>
        <v>0</v>
      </c>
      <c r="AE95" s="28">
        <f t="shared" si="5"/>
        <v>0</v>
      </c>
      <c r="AF95" s="28">
        <v>1</v>
      </c>
    </row>
    <row r="96" spans="1:32" ht="15.75" hidden="1" customHeight="1" x14ac:dyDescent="0.3">
      <c r="A96" s="32">
        <v>92</v>
      </c>
      <c r="B96" s="33" t="s">
        <v>267</v>
      </c>
      <c r="C96" s="33" t="s">
        <v>265</v>
      </c>
      <c r="D96" s="33" t="s">
        <v>280</v>
      </c>
      <c r="E96" s="33" t="s">
        <v>279</v>
      </c>
      <c r="F96" s="33" t="s">
        <v>91</v>
      </c>
      <c r="G96" s="34"/>
      <c r="H96" s="24">
        <f t="shared" si="3"/>
        <v>0</v>
      </c>
      <c r="I96" s="35"/>
      <c r="J96" s="35" t="s">
        <v>244</v>
      </c>
      <c r="K96" s="36"/>
      <c r="L96" s="34" t="s">
        <v>100</v>
      </c>
      <c r="M96" s="40"/>
      <c r="N96" s="40"/>
      <c r="O96" s="35" t="s">
        <v>244</v>
      </c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17">
        <v>1</v>
      </c>
      <c r="AD96" s="17">
        <f t="shared" si="4"/>
        <v>0</v>
      </c>
      <c r="AE96" s="28">
        <f t="shared" si="5"/>
        <v>0</v>
      </c>
      <c r="AF96" s="28">
        <v>1</v>
      </c>
    </row>
    <row r="97" spans="1:32" ht="15.75" hidden="1" customHeight="1" x14ac:dyDescent="0.3">
      <c r="A97" s="32">
        <v>92</v>
      </c>
      <c r="B97" s="33" t="s">
        <v>272</v>
      </c>
      <c r="C97" s="33" t="s">
        <v>265</v>
      </c>
      <c r="D97" s="33" t="s">
        <v>273</v>
      </c>
      <c r="E97" s="33" t="s">
        <v>160</v>
      </c>
      <c r="F97" s="33" t="s">
        <v>132</v>
      </c>
      <c r="G97" s="34" t="s">
        <v>99</v>
      </c>
      <c r="H97" s="24">
        <f t="shared" si="3"/>
        <v>0</v>
      </c>
      <c r="I97" s="35"/>
      <c r="J97" s="35"/>
      <c r="K97" s="36"/>
      <c r="L97" s="34" t="s">
        <v>105</v>
      </c>
      <c r="M97" s="40"/>
      <c r="N97" s="40"/>
      <c r="O97" s="35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17">
        <v>1</v>
      </c>
      <c r="AD97" s="17">
        <f t="shared" si="4"/>
        <v>0</v>
      </c>
      <c r="AE97" s="28">
        <f t="shared" si="5"/>
        <v>0</v>
      </c>
      <c r="AF97" s="28">
        <v>1</v>
      </c>
    </row>
    <row r="98" spans="1:32" ht="15.75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130</v>
      </c>
      <c r="F98" s="33" t="s">
        <v>88</v>
      </c>
      <c r="G98" s="34" t="s">
        <v>127</v>
      </c>
      <c r="H98" s="24">
        <f t="shared" si="3"/>
        <v>0</v>
      </c>
      <c r="I98" s="35"/>
      <c r="J98" s="35"/>
      <c r="K98" s="36"/>
      <c r="L98" s="34" t="s">
        <v>105</v>
      </c>
      <c r="M98" s="40"/>
      <c r="N98" s="40"/>
      <c r="O98" s="35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41"/>
      <c r="AC98" s="17">
        <v>2</v>
      </c>
      <c r="AD98" s="17">
        <f t="shared" si="4"/>
        <v>0</v>
      </c>
      <c r="AE98" s="28">
        <f t="shared" si="5"/>
        <v>0</v>
      </c>
      <c r="AF98" s="28">
        <v>1</v>
      </c>
    </row>
    <row r="99" spans="1:32" ht="15.75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772</v>
      </c>
      <c r="F99" s="33" t="s">
        <v>87</v>
      </c>
      <c r="G99" s="34" t="s">
        <v>283</v>
      </c>
      <c r="H99" s="24">
        <f t="shared" si="3"/>
        <v>0</v>
      </c>
      <c r="I99" s="35"/>
      <c r="J99" s="35"/>
      <c r="K99" s="36"/>
      <c r="L99" s="34" t="s">
        <v>100</v>
      </c>
      <c r="M99" s="40"/>
      <c r="N99" s="40"/>
      <c r="O99" s="35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17">
        <v>1</v>
      </c>
      <c r="AD99" s="17">
        <f t="shared" si="4"/>
        <v>0</v>
      </c>
      <c r="AE99" s="28">
        <f t="shared" si="5"/>
        <v>0</v>
      </c>
      <c r="AF99" s="28">
        <v>1</v>
      </c>
    </row>
    <row r="100" spans="1:32" ht="15.75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771</v>
      </c>
      <c r="F100" s="33" t="s">
        <v>92</v>
      </c>
      <c r="G100" s="34" t="s">
        <v>283</v>
      </c>
      <c r="H100" s="24">
        <f t="shared" si="3"/>
        <v>0</v>
      </c>
      <c r="I100" s="35"/>
      <c r="J100" s="35"/>
      <c r="K100" s="36"/>
      <c r="L100" s="34" t="s">
        <v>100</v>
      </c>
      <c r="M100" s="40"/>
      <c r="N100" s="40"/>
      <c r="O100" s="35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41"/>
      <c r="AC100" s="17">
        <v>1</v>
      </c>
      <c r="AD100" s="17">
        <f t="shared" si="4"/>
        <v>0</v>
      </c>
      <c r="AE100" s="28">
        <f t="shared" si="5"/>
        <v>0</v>
      </c>
      <c r="AF100" s="28">
        <v>1</v>
      </c>
    </row>
    <row r="101" spans="1:32" ht="15.75" hidden="1" customHeight="1" x14ac:dyDescent="0.3">
      <c r="A101" s="32">
        <v>92</v>
      </c>
      <c r="B101" s="33" t="s">
        <v>274</v>
      </c>
      <c r="C101" s="33" t="s">
        <v>265</v>
      </c>
      <c r="D101" s="33" t="s">
        <v>275</v>
      </c>
      <c r="E101" s="33" t="s">
        <v>160</v>
      </c>
      <c r="F101" s="33" t="s">
        <v>132</v>
      </c>
      <c r="G101" s="34" t="s">
        <v>99</v>
      </c>
      <c r="H101" s="24">
        <f t="shared" si="3"/>
        <v>0</v>
      </c>
      <c r="I101" s="35"/>
      <c r="J101" s="35"/>
      <c r="K101" s="36"/>
      <c r="L101" s="34" t="s">
        <v>105</v>
      </c>
      <c r="M101" s="40"/>
      <c r="N101" s="40"/>
      <c r="O101" s="35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17">
        <v>1</v>
      </c>
      <c r="AD101" s="17">
        <f t="shared" si="4"/>
        <v>0</v>
      </c>
      <c r="AE101" s="28">
        <f t="shared" si="5"/>
        <v>0</v>
      </c>
      <c r="AF101" s="28">
        <v>1</v>
      </c>
    </row>
    <row r="102" spans="1:32" ht="15.75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130</v>
      </c>
      <c r="F102" s="33" t="s">
        <v>88</v>
      </c>
      <c r="G102" s="34" t="s">
        <v>127</v>
      </c>
      <c r="H102" s="24">
        <f t="shared" si="3"/>
        <v>0</v>
      </c>
      <c r="I102" s="35"/>
      <c r="J102" s="35"/>
      <c r="K102" s="36"/>
      <c r="L102" s="34" t="s">
        <v>105</v>
      </c>
      <c r="M102" s="40"/>
      <c r="N102" s="51"/>
      <c r="O102" s="35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41"/>
      <c r="AC102" s="17">
        <v>2</v>
      </c>
      <c r="AD102" s="17">
        <f t="shared" si="4"/>
        <v>0</v>
      </c>
      <c r="AE102" s="28">
        <f t="shared" si="5"/>
        <v>0</v>
      </c>
      <c r="AF102" s="28">
        <v>1</v>
      </c>
    </row>
    <row r="103" spans="1:32" ht="15.75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772</v>
      </c>
      <c r="F103" s="33" t="s">
        <v>87</v>
      </c>
      <c r="G103" s="34" t="s">
        <v>283</v>
      </c>
      <c r="H103" s="24">
        <f t="shared" si="3"/>
        <v>0</v>
      </c>
      <c r="I103" s="35"/>
      <c r="J103" s="35"/>
      <c r="K103" s="36"/>
      <c r="L103" s="34" t="s">
        <v>100</v>
      </c>
      <c r="M103" s="40"/>
      <c r="N103" s="40"/>
      <c r="O103" s="35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17">
        <v>1</v>
      </c>
      <c r="AD103" s="17">
        <f t="shared" si="4"/>
        <v>0</v>
      </c>
      <c r="AE103" s="28">
        <f t="shared" si="5"/>
        <v>0</v>
      </c>
      <c r="AF103" s="28">
        <v>1</v>
      </c>
    </row>
    <row r="104" spans="1:32" ht="15.75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771</v>
      </c>
      <c r="F104" s="33" t="s">
        <v>92</v>
      </c>
      <c r="G104" s="34" t="s">
        <v>283</v>
      </c>
      <c r="H104" s="24">
        <f t="shared" si="3"/>
        <v>0</v>
      </c>
      <c r="I104" s="35"/>
      <c r="J104" s="35"/>
      <c r="K104" s="36"/>
      <c r="L104" s="34" t="s">
        <v>100</v>
      </c>
      <c r="M104" s="40"/>
      <c r="N104" s="40"/>
      <c r="O104" s="35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41"/>
      <c r="AC104" s="17">
        <v>1</v>
      </c>
      <c r="AD104" s="17">
        <f t="shared" si="4"/>
        <v>0</v>
      </c>
      <c r="AE104" s="28">
        <f t="shared" si="5"/>
        <v>0</v>
      </c>
      <c r="AF104" s="28">
        <v>1</v>
      </c>
    </row>
    <row r="105" spans="1:32" ht="15.75" hidden="1" customHeight="1" x14ac:dyDescent="0.3">
      <c r="A105" s="32">
        <v>92</v>
      </c>
      <c r="B105" s="33" t="s">
        <v>276</v>
      </c>
      <c r="C105" s="33" t="s">
        <v>265</v>
      </c>
      <c r="D105" s="33" t="s">
        <v>277</v>
      </c>
      <c r="E105" s="33" t="s">
        <v>160</v>
      </c>
      <c r="F105" s="33" t="s">
        <v>132</v>
      </c>
      <c r="G105" s="34" t="s">
        <v>99</v>
      </c>
      <c r="H105" s="24">
        <f t="shared" si="3"/>
        <v>0</v>
      </c>
      <c r="I105" s="35"/>
      <c r="J105" s="35"/>
      <c r="K105" s="36"/>
      <c r="L105" s="34" t="s">
        <v>105</v>
      </c>
      <c r="M105" s="40"/>
      <c r="N105" s="40"/>
      <c r="O105" s="35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46"/>
      <c r="AC105" s="17">
        <v>1</v>
      </c>
      <c r="AD105" s="17">
        <f t="shared" si="4"/>
        <v>0</v>
      </c>
      <c r="AE105" s="75">
        <f t="shared" si="5"/>
        <v>0</v>
      </c>
      <c r="AF105" s="75">
        <v>1</v>
      </c>
    </row>
    <row r="106" spans="1:32" ht="15.75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130</v>
      </c>
      <c r="F106" s="33" t="s">
        <v>88</v>
      </c>
      <c r="G106" s="34" t="s">
        <v>127</v>
      </c>
      <c r="H106" s="24">
        <f t="shared" si="3"/>
        <v>0</v>
      </c>
      <c r="I106" s="35"/>
      <c r="J106" s="35"/>
      <c r="K106" s="36"/>
      <c r="L106" s="34" t="s">
        <v>105</v>
      </c>
      <c r="M106" s="40"/>
      <c r="N106" s="51"/>
      <c r="O106" s="35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41"/>
      <c r="AC106" s="17">
        <v>2</v>
      </c>
      <c r="AD106" s="17">
        <f t="shared" si="4"/>
        <v>0</v>
      </c>
      <c r="AE106" s="28">
        <f t="shared" si="5"/>
        <v>0</v>
      </c>
      <c r="AF106" s="28">
        <v>1</v>
      </c>
    </row>
    <row r="107" spans="1:32" ht="15.75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772</v>
      </c>
      <c r="F107" s="33" t="s">
        <v>87</v>
      </c>
      <c r="G107" s="34" t="s">
        <v>283</v>
      </c>
      <c r="H107" s="24">
        <f t="shared" si="3"/>
        <v>0</v>
      </c>
      <c r="I107" s="35"/>
      <c r="J107" s="35"/>
      <c r="K107" s="36"/>
      <c r="L107" s="34" t="s">
        <v>100</v>
      </c>
      <c r="M107" s="40"/>
      <c r="N107" s="40"/>
      <c r="O107" s="35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17">
        <v>1</v>
      </c>
      <c r="AD107" s="17">
        <f t="shared" si="4"/>
        <v>0</v>
      </c>
      <c r="AE107" s="28">
        <f t="shared" si="5"/>
        <v>0</v>
      </c>
      <c r="AF107" s="28">
        <v>1</v>
      </c>
    </row>
    <row r="108" spans="1:32" ht="15.75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771</v>
      </c>
      <c r="F108" s="33" t="s">
        <v>92</v>
      </c>
      <c r="G108" s="34" t="s">
        <v>283</v>
      </c>
      <c r="H108" s="24">
        <f t="shared" si="3"/>
        <v>0</v>
      </c>
      <c r="I108" s="35"/>
      <c r="J108" s="35"/>
      <c r="K108" s="36"/>
      <c r="L108" s="34" t="s">
        <v>100</v>
      </c>
      <c r="M108" s="40"/>
      <c r="N108" s="40"/>
      <c r="O108" s="35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41"/>
      <c r="AC108" s="17">
        <v>1</v>
      </c>
      <c r="AD108" s="17">
        <f t="shared" si="4"/>
        <v>0</v>
      </c>
      <c r="AE108" s="28">
        <f t="shared" si="5"/>
        <v>0</v>
      </c>
      <c r="AF108" s="28">
        <v>1</v>
      </c>
    </row>
    <row r="109" spans="1:32" ht="15.75" hidden="1" customHeight="1" x14ac:dyDescent="0.3">
      <c r="A109" s="32">
        <v>92</v>
      </c>
      <c r="B109" s="33" t="s">
        <v>269</v>
      </c>
      <c r="C109" s="33" t="s">
        <v>265</v>
      </c>
      <c r="D109" s="33" t="s">
        <v>270</v>
      </c>
      <c r="E109" s="33" t="s">
        <v>271</v>
      </c>
      <c r="F109" s="33" t="s">
        <v>93</v>
      </c>
      <c r="G109" s="34" t="s">
        <v>119</v>
      </c>
      <c r="H109" s="24">
        <f t="shared" si="3"/>
        <v>0</v>
      </c>
      <c r="I109" s="35"/>
      <c r="J109" s="35"/>
      <c r="K109" s="36"/>
      <c r="L109" s="34" t="s">
        <v>105</v>
      </c>
      <c r="M109" s="40"/>
      <c r="N109" s="40"/>
      <c r="O109" s="35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17">
        <v>12</v>
      </c>
      <c r="AD109" s="17">
        <f t="shared" si="4"/>
        <v>0</v>
      </c>
      <c r="AE109" s="28">
        <f t="shared" si="5"/>
        <v>0</v>
      </c>
      <c r="AF109" s="28">
        <v>1</v>
      </c>
    </row>
    <row r="110" spans="1:32" ht="15.75" hidden="1" customHeight="1" x14ac:dyDescent="0.3">
      <c r="A110" s="32">
        <v>100</v>
      </c>
      <c r="B110" s="33" t="s">
        <v>290</v>
      </c>
      <c r="C110" s="33" t="s">
        <v>285</v>
      </c>
      <c r="D110" s="33" t="s">
        <v>291</v>
      </c>
      <c r="E110" s="33" t="s">
        <v>292</v>
      </c>
      <c r="F110" s="33" t="s">
        <v>95</v>
      </c>
      <c r="G110" s="34" t="s">
        <v>95</v>
      </c>
      <c r="H110" s="24">
        <f t="shared" si="3"/>
        <v>0</v>
      </c>
      <c r="I110" s="35"/>
      <c r="J110" s="35"/>
      <c r="K110" s="36"/>
      <c r="L110" s="34" t="s">
        <v>105</v>
      </c>
      <c r="M110" s="40"/>
      <c r="N110" s="40"/>
      <c r="O110" s="35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17">
        <v>12</v>
      </c>
      <c r="AD110" s="17">
        <f t="shared" si="4"/>
        <v>0</v>
      </c>
      <c r="AE110" s="28">
        <f t="shared" si="5"/>
        <v>0</v>
      </c>
      <c r="AF110" s="28">
        <v>1</v>
      </c>
    </row>
    <row r="111" spans="1:32" ht="15.75" hidden="1" customHeight="1" x14ac:dyDescent="0.3">
      <c r="A111" s="32">
        <v>100</v>
      </c>
      <c r="B111" s="33" t="s">
        <v>293</v>
      </c>
      <c r="C111" s="33" t="s">
        <v>285</v>
      </c>
      <c r="D111" s="33" t="s">
        <v>288</v>
      </c>
      <c r="E111" s="33" t="s">
        <v>776</v>
      </c>
      <c r="F111" s="33" t="s">
        <v>95</v>
      </c>
      <c r="G111" s="34" t="s">
        <v>95</v>
      </c>
      <c r="H111" s="24">
        <f t="shared" si="3"/>
        <v>0</v>
      </c>
      <c r="I111" s="35"/>
      <c r="J111" s="35"/>
      <c r="K111" s="36"/>
      <c r="L111" s="34" t="s">
        <v>105</v>
      </c>
      <c r="M111" s="40"/>
      <c r="N111" s="40"/>
      <c r="O111" s="35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41"/>
      <c r="AC111" s="17">
        <v>12</v>
      </c>
      <c r="AD111" s="17">
        <f t="shared" si="4"/>
        <v>0</v>
      </c>
      <c r="AE111" s="28">
        <f t="shared" si="5"/>
        <v>0</v>
      </c>
      <c r="AF111" s="28">
        <v>1</v>
      </c>
    </row>
    <row r="112" spans="1:32" ht="15.75" hidden="1" customHeight="1" x14ac:dyDescent="0.3">
      <c r="A112" s="32">
        <v>100</v>
      </c>
      <c r="B112" s="33" t="s">
        <v>287</v>
      </c>
      <c r="C112" s="33" t="s">
        <v>285</v>
      </c>
      <c r="D112" s="33" t="s">
        <v>288</v>
      </c>
      <c r="E112" s="33" t="s">
        <v>289</v>
      </c>
      <c r="F112" s="88" t="s">
        <v>132</v>
      </c>
      <c r="G112" s="91" t="s">
        <v>99</v>
      </c>
      <c r="H112" s="24">
        <f t="shared" si="3"/>
        <v>0</v>
      </c>
      <c r="I112" s="35"/>
      <c r="J112" s="34" t="s">
        <v>105</v>
      </c>
      <c r="K112" s="97"/>
      <c r="L112" s="35"/>
      <c r="M112" s="50"/>
      <c r="N112" s="50"/>
      <c r="O112" s="34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17"/>
      <c r="AC112" s="17">
        <v>1</v>
      </c>
      <c r="AD112" s="17">
        <f t="shared" si="4"/>
        <v>0</v>
      </c>
      <c r="AE112" s="28">
        <f t="shared" si="5"/>
        <v>0</v>
      </c>
      <c r="AF112" s="28">
        <v>1</v>
      </c>
    </row>
    <row r="113" spans="1:210" ht="15.75" hidden="1" customHeight="1" x14ac:dyDescent="0.3">
      <c r="A113" s="86">
        <v>100</v>
      </c>
      <c r="B113" s="88" t="s">
        <v>800</v>
      </c>
      <c r="C113" s="88" t="s">
        <v>285</v>
      </c>
      <c r="D113" s="33" t="s">
        <v>801</v>
      </c>
      <c r="E113" s="88" t="s">
        <v>806</v>
      </c>
      <c r="F113" s="88" t="s">
        <v>132</v>
      </c>
      <c r="G113" s="91" t="s">
        <v>99</v>
      </c>
      <c r="H113" s="24">
        <f t="shared" si="3"/>
        <v>0</v>
      </c>
      <c r="I113" s="93"/>
      <c r="J113" s="95"/>
      <c r="K113" s="91"/>
      <c r="L113" s="91"/>
      <c r="M113" s="101"/>
      <c r="N113" s="101"/>
      <c r="O113" s="91"/>
      <c r="P113" s="72"/>
      <c r="Q113" s="72"/>
      <c r="R113" s="72"/>
      <c r="S113" s="72"/>
      <c r="T113" s="72"/>
      <c r="U113" s="72"/>
      <c r="V113" s="72"/>
      <c r="W113" s="27"/>
      <c r="X113" s="72"/>
      <c r="Y113" s="72"/>
      <c r="Z113" s="72"/>
      <c r="AA113" s="73"/>
      <c r="AB113" s="73"/>
      <c r="AC113" s="17">
        <v>1</v>
      </c>
      <c r="AD113" s="17">
        <f t="shared" si="4"/>
        <v>0</v>
      </c>
      <c r="AE113" s="28">
        <f t="shared" si="5"/>
        <v>0</v>
      </c>
      <c r="AF113" s="28">
        <v>1</v>
      </c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  <c r="EL113" s="56"/>
      <c r="EM113" s="56"/>
      <c r="EN113" s="56"/>
      <c r="EO113" s="56"/>
      <c r="EP113" s="56"/>
      <c r="EQ113" s="56"/>
      <c r="ER113" s="56"/>
      <c r="ES113" s="56"/>
      <c r="ET113" s="56"/>
      <c r="EU113" s="56"/>
      <c r="EV113" s="56"/>
      <c r="EW113" s="56"/>
      <c r="EX113" s="56"/>
      <c r="EY113" s="56"/>
      <c r="EZ113" s="56"/>
      <c r="FA113" s="56"/>
      <c r="FB113" s="56"/>
      <c r="FC113" s="56"/>
      <c r="FD113" s="56"/>
      <c r="FE113" s="56"/>
      <c r="FF113" s="56"/>
      <c r="FG113" s="56"/>
      <c r="FH113" s="56"/>
      <c r="FI113" s="56"/>
      <c r="FJ113" s="56"/>
      <c r="FK113" s="56"/>
      <c r="FL113" s="56"/>
      <c r="FM113" s="56"/>
      <c r="FN113" s="56"/>
      <c r="FO113" s="56"/>
      <c r="FP113" s="56"/>
      <c r="FQ113" s="56"/>
      <c r="FR113" s="56"/>
      <c r="FS113" s="56"/>
      <c r="FT113" s="56"/>
      <c r="FU113" s="56"/>
      <c r="FV113" s="56"/>
      <c r="FW113" s="56"/>
      <c r="FX113" s="56"/>
      <c r="FY113" s="56"/>
      <c r="FZ113" s="56"/>
      <c r="GA113" s="56"/>
      <c r="GB113" s="56"/>
      <c r="GC113" s="56"/>
      <c r="GD113" s="56"/>
      <c r="GE113" s="56"/>
      <c r="GF113" s="56"/>
      <c r="GG113" s="56"/>
      <c r="GH113" s="56"/>
      <c r="GI113" s="56"/>
      <c r="GJ113" s="56"/>
      <c r="GK113" s="56"/>
      <c r="GL113" s="56"/>
      <c r="GM113" s="56"/>
      <c r="GN113" s="56"/>
      <c r="GO113" s="56"/>
      <c r="GP113" s="56"/>
      <c r="GQ113" s="56"/>
      <c r="GR113" s="56"/>
      <c r="GS113" s="56"/>
      <c r="GT113" s="56"/>
      <c r="GU113" s="56"/>
      <c r="GV113" s="56"/>
      <c r="GW113" s="56"/>
      <c r="GX113" s="56"/>
      <c r="GY113" s="56"/>
      <c r="GZ113" s="56"/>
      <c r="HA113" s="56"/>
      <c r="HB113" s="56"/>
    </row>
    <row r="114" spans="1:210" ht="15.75" hidden="1" customHeight="1" x14ac:dyDescent="0.3">
      <c r="A114" s="86">
        <v>100</v>
      </c>
      <c r="B114" s="88" t="s">
        <v>800</v>
      </c>
      <c r="C114" s="88" t="s">
        <v>285</v>
      </c>
      <c r="D114" s="33" t="s">
        <v>801</v>
      </c>
      <c r="E114" s="88" t="s">
        <v>807</v>
      </c>
      <c r="F114" s="89" t="s">
        <v>132</v>
      </c>
      <c r="G114" s="92" t="s">
        <v>99</v>
      </c>
      <c r="H114" s="24">
        <f t="shared" si="3"/>
        <v>0</v>
      </c>
      <c r="I114" s="93"/>
      <c r="J114" s="95"/>
      <c r="K114" s="98"/>
      <c r="L114" s="91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27"/>
      <c r="X114" s="72"/>
      <c r="Y114" s="72"/>
      <c r="Z114" s="72"/>
      <c r="AA114" s="73"/>
      <c r="AB114" s="73"/>
      <c r="AC114" s="17">
        <v>1</v>
      </c>
      <c r="AD114" s="17">
        <f t="shared" si="4"/>
        <v>0</v>
      </c>
      <c r="AE114" s="28">
        <f t="shared" si="5"/>
        <v>0</v>
      </c>
      <c r="AF114" s="28">
        <v>1</v>
      </c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</row>
    <row r="115" spans="1:210" ht="15.75" hidden="1" customHeight="1" x14ac:dyDescent="0.3">
      <c r="A115" s="87">
        <v>100</v>
      </c>
      <c r="B115" s="89" t="s">
        <v>802</v>
      </c>
      <c r="C115" s="89" t="s">
        <v>285</v>
      </c>
      <c r="D115" s="33" t="s">
        <v>803</v>
      </c>
      <c r="E115" s="89" t="s">
        <v>806</v>
      </c>
      <c r="F115" s="89" t="s">
        <v>132</v>
      </c>
      <c r="G115" s="92" t="s">
        <v>99</v>
      </c>
      <c r="H115" s="24">
        <f t="shared" si="3"/>
        <v>0</v>
      </c>
      <c r="I115" s="94"/>
      <c r="J115" s="96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68"/>
      <c r="X115" s="99"/>
      <c r="Y115" s="99"/>
      <c r="Z115" s="99"/>
      <c r="AA115" s="106"/>
      <c r="AB115" s="106"/>
      <c r="AC115" s="17">
        <v>1</v>
      </c>
      <c r="AD115" s="17">
        <f t="shared" si="4"/>
        <v>0</v>
      </c>
      <c r="AE115" s="28">
        <f t="shared" si="5"/>
        <v>0</v>
      </c>
      <c r="AF115" s="28">
        <v>1</v>
      </c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  <c r="GG115" s="56"/>
      <c r="GH115" s="56"/>
      <c r="GI115" s="56"/>
      <c r="GJ115" s="56"/>
      <c r="GK115" s="56"/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/>
      <c r="GX115" s="56"/>
      <c r="GY115" s="56"/>
      <c r="GZ115" s="56"/>
      <c r="HA115" s="56"/>
      <c r="HB115" s="56"/>
    </row>
    <row r="116" spans="1:210" ht="15.75" hidden="1" customHeight="1" x14ac:dyDescent="0.3">
      <c r="A116" s="87">
        <v>100</v>
      </c>
      <c r="B116" s="89" t="s">
        <v>802</v>
      </c>
      <c r="C116" s="89" t="s">
        <v>285</v>
      </c>
      <c r="D116" s="33" t="s">
        <v>803</v>
      </c>
      <c r="E116" s="89" t="s">
        <v>807</v>
      </c>
      <c r="F116" s="89" t="s">
        <v>132</v>
      </c>
      <c r="G116" s="92" t="s">
        <v>99</v>
      </c>
      <c r="H116" s="24">
        <f t="shared" si="3"/>
        <v>0</v>
      </c>
      <c r="I116" s="94"/>
      <c r="J116" s="96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68"/>
      <c r="X116" s="99"/>
      <c r="Y116" s="72"/>
      <c r="Z116" s="99"/>
      <c r="AA116" s="106"/>
      <c r="AB116" s="106"/>
      <c r="AC116" s="17">
        <v>1</v>
      </c>
      <c r="AD116" s="17">
        <f t="shared" si="4"/>
        <v>0</v>
      </c>
      <c r="AE116" s="28">
        <f t="shared" si="5"/>
        <v>0</v>
      </c>
      <c r="AF116" s="28">
        <v>1</v>
      </c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</row>
    <row r="117" spans="1:210" ht="15.75" hidden="1" customHeight="1" x14ac:dyDescent="0.3">
      <c r="A117" s="58">
        <v>100</v>
      </c>
      <c r="B117" s="60" t="s">
        <v>844</v>
      </c>
      <c r="C117" s="60" t="s">
        <v>285</v>
      </c>
      <c r="D117" s="33" t="s">
        <v>843</v>
      </c>
      <c r="E117" s="60" t="s">
        <v>298</v>
      </c>
      <c r="F117" s="33" t="s">
        <v>672</v>
      </c>
      <c r="G117" s="62" t="s">
        <v>673</v>
      </c>
      <c r="H117" s="24">
        <f t="shared" si="3"/>
        <v>0</v>
      </c>
      <c r="I117" s="64"/>
      <c r="J117" s="65" t="s">
        <v>299</v>
      </c>
      <c r="K117" s="66"/>
      <c r="L117" s="68" t="s">
        <v>100</v>
      </c>
      <c r="M117" s="69"/>
      <c r="N117" s="51" t="s">
        <v>300</v>
      </c>
      <c r="O117" s="71" t="s">
        <v>301</v>
      </c>
      <c r="P117" s="68"/>
      <c r="Q117" s="68"/>
      <c r="R117" s="68"/>
      <c r="S117" s="68"/>
      <c r="T117" s="68"/>
      <c r="U117" s="68"/>
      <c r="V117" s="104"/>
      <c r="W117" s="68"/>
      <c r="X117" s="68"/>
      <c r="Y117" s="68"/>
      <c r="Z117" s="68"/>
      <c r="AA117" s="107"/>
      <c r="AB117" s="74"/>
      <c r="AC117" s="17">
        <v>2</v>
      </c>
      <c r="AD117" s="17">
        <f t="shared" si="4"/>
        <v>0</v>
      </c>
      <c r="AE117" s="28">
        <f t="shared" si="5"/>
        <v>0</v>
      </c>
      <c r="AF117" s="28">
        <v>1</v>
      </c>
    </row>
    <row r="118" spans="1:210" ht="15.75" hidden="1" customHeight="1" x14ac:dyDescent="0.3">
      <c r="A118" s="58">
        <v>100</v>
      </c>
      <c r="B118" s="60" t="s">
        <v>284</v>
      </c>
      <c r="C118" s="60" t="s">
        <v>285</v>
      </c>
      <c r="D118" s="33" t="s">
        <v>286</v>
      </c>
      <c r="E118" s="60" t="s">
        <v>775</v>
      </c>
      <c r="F118" s="60" t="s">
        <v>96</v>
      </c>
      <c r="G118" s="62" t="s">
        <v>167</v>
      </c>
      <c r="H118" s="24">
        <f t="shared" si="3"/>
        <v>0</v>
      </c>
      <c r="I118" s="64"/>
      <c r="J118" s="65"/>
      <c r="K118" s="66"/>
      <c r="L118" s="68" t="s">
        <v>100</v>
      </c>
      <c r="M118" s="69"/>
      <c r="N118" s="69"/>
      <c r="O118" s="71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74"/>
      <c r="AB118" s="74"/>
      <c r="AC118" s="17">
        <v>3</v>
      </c>
      <c r="AD118" s="17">
        <f t="shared" si="4"/>
        <v>0</v>
      </c>
      <c r="AE118" s="28">
        <f t="shared" si="5"/>
        <v>0</v>
      </c>
      <c r="AF118" s="28">
        <v>1</v>
      </c>
    </row>
    <row r="119" spans="1:210" ht="15.75" hidden="1" customHeight="1" x14ac:dyDescent="0.3">
      <c r="A119" s="32">
        <v>101</v>
      </c>
      <c r="B119" s="33" t="s">
        <v>306</v>
      </c>
      <c r="C119" s="33" t="s">
        <v>285</v>
      </c>
      <c r="D119" s="33" t="s">
        <v>295</v>
      </c>
      <c r="E119" s="33" t="s">
        <v>307</v>
      </c>
      <c r="F119" s="33" t="s">
        <v>95</v>
      </c>
      <c r="G119" s="34" t="s">
        <v>95</v>
      </c>
      <c r="H119" s="24">
        <f t="shared" si="3"/>
        <v>0</v>
      </c>
      <c r="I119" s="35"/>
      <c r="J119" s="35"/>
      <c r="K119" s="36"/>
      <c r="L119" s="34" t="s">
        <v>100</v>
      </c>
      <c r="M119" s="40"/>
      <c r="N119" s="40"/>
      <c r="O119" s="35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17">
        <v>12</v>
      </c>
      <c r="AD119" s="17">
        <f t="shared" si="4"/>
        <v>0</v>
      </c>
      <c r="AE119" s="28">
        <f t="shared" si="5"/>
        <v>0</v>
      </c>
      <c r="AF119" s="28">
        <v>1</v>
      </c>
    </row>
    <row r="120" spans="1:210" ht="15.75" hidden="1" customHeight="1" x14ac:dyDescent="0.3">
      <c r="A120" s="32">
        <v>101</v>
      </c>
      <c r="B120" s="33" t="s">
        <v>294</v>
      </c>
      <c r="C120" s="33" t="s">
        <v>285</v>
      </c>
      <c r="D120" s="33" t="s">
        <v>295</v>
      </c>
      <c r="E120" s="33" t="s">
        <v>296</v>
      </c>
      <c r="F120" s="33" t="s">
        <v>204</v>
      </c>
      <c r="G120" s="34" t="s">
        <v>127</v>
      </c>
      <c r="H120" s="24">
        <f t="shared" si="3"/>
        <v>0</v>
      </c>
      <c r="I120" s="35"/>
      <c r="J120" s="35"/>
      <c r="K120" s="36"/>
      <c r="L120" s="34" t="s">
        <v>100</v>
      </c>
      <c r="M120" s="40"/>
      <c r="N120" s="40"/>
      <c r="O120" s="35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17">
        <v>2</v>
      </c>
      <c r="AD120" s="17">
        <f t="shared" si="4"/>
        <v>0</v>
      </c>
      <c r="AE120" s="28">
        <f t="shared" si="5"/>
        <v>0</v>
      </c>
      <c r="AF120" s="28">
        <v>1</v>
      </c>
    </row>
    <row r="121" spans="1:210" ht="15.75" hidden="1" customHeight="1" x14ac:dyDescent="0.3">
      <c r="A121" s="32">
        <v>101</v>
      </c>
      <c r="B121" s="33" t="s">
        <v>297</v>
      </c>
      <c r="C121" s="33" t="s">
        <v>285</v>
      </c>
      <c r="D121" s="33" t="s">
        <v>295</v>
      </c>
      <c r="E121" s="33" t="s">
        <v>298</v>
      </c>
      <c r="F121" s="33" t="s">
        <v>672</v>
      </c>
      <c r="G121" s="34" t="s">
        <v>673</v>
      </c>
      <c r="H121" s="24">
        <f t="shared" si="3"/>
        <v>0</v>
      </c>
      <c r="I121" s="35"/>
      <c r="J121" s="35" t="s">
        <v>299</v>
      </c>
      <c r="K121" s="36"/>
      <c r="L121" s="34" t="s">
        <v>100</v>
      </c>
      <c r="M121" s="40"/>
      <c r="N121" s="51" t="s">
        <v>300</v>
      </c>
      <c r="O121" s="35" t="s">
        <v>301</v>
      </c>
      <c r="P121" s="27"/>
      <c r="Q121" s="27"/>
      <c r="R121" s="27"/>
      <c r="S121" s="27"/>
      <c r="T121" s="27"/>
      <c r="U121" s="27"/>
      <c r="V121" s="54"/>
      <c r="W121" s="27"/>
      <c r="X121" s="27"/>
      <c r="Y121" s="27"/>
      <c r="Z121" s="27"/>
      <c r="AA121" s="54"/>
      <c r="AB121" s="27"/>
      <c r="AC121" s="17">
        <v>2</v>
      </c>
      <c r="AD121" s="17">
        <f t="shared" si="4"/>
        <v>0</v>
      </c>
      <c r="AE121" s="28">
        <f t="shared" si="5"/>
        <v>0</v>
      </c>
      <c r="AF121" s="28">
        <v>1</v>
      </c>
    </row>
    <row r="122" spans="1:210" ht="15.75" hidden="1" customHeight="1" x14ac:dyDescent="0.3">
      <c r="A122" s="32">
        <v>101</v>
      </c>
      <c r="B122" s="33" t="s">
        <v>309</v>
      </c>
      <c r="C122" s="33" t="s">
        <v>285</v>
      </c>
      <c r="D122" s="33" t="s">
        <v>295</v>
      </c>
      <c r="E122" s="33" t="s">
        <v>298</v>
      </c>
      <c r="F122" s="33" t="s">
        <v>672</v>
      </c>
      <c r="G122" s="34" t="s">
        <v>673</v>
      </c>
      <c r="H122" s="24">
        <f t="shared" si="3"/>
        <v>0</v>
      </c>
      <c r="I122" s="35"/>
      <c r="J122" s="35"/>
      <c r="K122" s="36"/>
      <c r="L122" s="34" t="s">
        <v>100</v>
      </c>
      <c r="M122" s="40"/>
      <c r="N122" s="40" t="s">
        <v>300</v>
      </c>
      <c r="O122" s="35" t="s">
        <v>301</v>
      </c>
      <c r="P122" s="27"/>
      <c r="Q122" s="27"/>
      <c r="R122" s="27"/>
      <c r="S122" s="27"/>
      <c r="T122" s="27"/>
      <c r="U122" s="27"/>
      <c r="V122" s="54"/>
      <c r="W122" s="27"/>
      <c r="X122" s="27"/>
      <c r="Y122" s="27"/>
      <c r="Z122" s="27"/>
      <c r="AA122" s="54"/>
      <c r="AB122" s="27"/>
      <c r="AC122" s="17">
        <v>2</v>
      </c>
      <c r="AD122" s="17">
        <f t="shared" si="4"/>
        <v>0</v>
      </c>
      <c r="AE122" s="28">
        <f t="shared" si="5"/>
        <v>0</v>
      </c>
      <c r="AF122" s="28">
        <v>1</v>
      </c>
    </row>
    <row r="123" spans="1:210" ht="15.75" hidden="1" customHeight="1" x14ac:dyDescent="0.3">
      <c r="A123" s="32">
        <v>101</v>
      </c>
      <c r="B123" s="33" t="s">
        <v>302</v>
      </c>
      <c r="C123" s="33" t="s">
        <v>285</v>
      </c>
      <c r="D123" s="33" t="s">
        <v>295</v>
      </c>
      <c r="E123" s="33" t="s">
        <v>777</v>
      </c>
      <c r="F123" s="33" t="s">
        <v>204</v>
      </c>
      <c r="G123" s="34" t="s">
        <v>127</v>
      </c>
      <c r="H123" s="24">
        <f t="shared" si="3"/>
        <v>0</v>
      </c>
      <c r="I123" s="35"/>
      <c r="J123" s="35"/>
      <c r="K123" s="36"/>
      <c r="L123" s="34" t="s">
        <v>100</v>
      </c>
      <c r="M123" s="40"/>
      <c r="N123" s="40"/>
      <c r="O123" s="35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17">
        <v>2</v>
      </c>
      <c r="AD123" s="17">
        <f t="shared" si="4"/>
        <v>0</v>
      </c>
      <c r="AE123" s="28">
        <f t="shared" si="5"/>
        <v>0</v>
      </c>
      <c r="AF123" s="28">
        <v>1</v>
      </c>
    </row>
    <row r="124" spans="1:210" ht="15.75" hidden="1" customHeight="1" x14ac:dyDescent="0.3">
      <c r="A124" s="32">
        <v>101</v>
      </c>
      <c r="B124" s="33" t="s">
        <v>308</v>
      </c>
      <c r="C124" s="33" t="s">
        <v>285</v>
      </c>
      <c r="D124" s="33" t="s">
        <v>304</v>
      </c>
      <c r="E124" s="33" t="s">
        <v>778</v>
      </c>
      <c r="F124" s="33" t="s">
        <v>95</v>
      </c>
      <c r="G124" s="34" t="s">
        <v>95</v>
      </c>
      <c r="H124" s="24">
        <f t="shared" si="3"/>
        <v>0</v>
      </c>
      <c r="I124" s="35"/>
      <c r="J124" s="35"/>
      <c r="K124" s="36"/>
      <c r="L124" s="34" t="s">
        <v>100</v>
      </c>
      <c r="M124" s="40"/>
      <c r="N124" s="40"/>
      <c r="O124" s="35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17">
        <v>12</v>
      </c>
      <c r="AD124" s="17">
        <f t="shared" si="4"/>
        <v>0</v>
      </c>
      <c r="AE124" s="28">
        <f t="shared" si="5"/>
        <v>0</v>
      </c>
      <c r="AF124" s="28">
        <v>1</v>
      </c>
    </row>
    <row r="125" spans="1:210" ht="15.75" hidden="1" customHeight="1" x14ac:dyDescent="0.3">
      <c r="A125" s="32">
        <v>101</v>
      </c>
      <c r="B125" s="33" t="s">
        <v>303</v>
      </c>
      <c r="C125" s="33" t="s">
        <v>285</v>
      </c>
      <c r="D125" s="33" t="s">
        <v>304</v>
      </c>
      <c r="E125" s="33" t="s">
        <v>305</v>
      </c>
      <c r="F125" s="33" t="s">
        <v>88</v>
      </c>
      <c r="G125" s="34" t="s">
        <v>127</v>
      </c>
      <c r="H125" s="24">
        <f t="shared" si="3"/>
        <v>0</v>
      </c>
      <c r="I125" s="35"/>
      <c r="J125" s="35"/>
      <c r="K125" s="36"/>
      <c r="L125" s="34" t="s">
        <v>100</v>
      </c>
      <c r="M125" s="40"/>
      <c r="N125" s="40"/>
      <c r="O125" s="35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17">
        <v>2</v>
      </c>
      <c r="AD125" s="17">
        <f t="shared" si="4"/>
        <v>0</v>
      </c>
      <c r="AE125" s="28">
        <f t="shared" si="5"/>
        <v>0</v>
      </c>
      <c r="AF125" s="28">
        <v>1</v>
      </c>
    </row>
    <row r="126" spans="1:210" ht="15.75" hidden="1" customHeight="1" x14ac:dyDescent="0.3">
      <c r="A126" s="32">
        <v>102</v>
      </c>
      <c r="B126" s="33" t="s">
        <v>310</v>
      </c>
      <c r="C126" s="33" t="s">
        <v>285</v>
      </c>
      <c r="D126" s="33" t="s">
        <v>311</v>
      </c>
      <c r="E126" s="33" t="s">
        <v>779</v>
      </c>
      <c r="F126" s="33" t="s">
        <v>672</v>
      </c>
      <c r="G126" s="34" t="s">
        <v>673</v>
      </c>
      <c r="H126" s="24">
        <f t="shared" si="3"/>
        <v>0</v>
      </c>
      <c r="I126" s="35"/>
      <c r="J126" s="35" t="s">
        <v>313</v>
      </c>
      <c r="K126" s="36"/>
      <c r="L126" s="34" t="s">
        <v>100</v>
      </c>
      <c r="M126" s="40"/>
      <c r="N126" s="40" t="s">
        <v>300</v>
      </c>
      <c r="O126" s="35" t="s">
        <v>314</v>
      </c>
      <c r="P126" s="27"/>
      <c r="Q126" s="27"/>
      <c r="R126" s="27"/>
      <c r="S126" s="27"/>
      <c r="T126" s="27"/>
      <c r="U126" s="27"/>
      <c r="V126" s="54"/>
      <c r="W126" s="27"/>
      <c r="X126" s="27"/>
      <c r="Y126" s="27"/>
      <c r="Z126" s="27"/>
      <c r="AA126" s="54"/>
      <c r="AB126" s="27"/>
      <c r="AC126" s="17">
        <v>2</v>
      </c>
      <c r="AD126" s="17">
        <f t="shared" si="4"/>
        <v>0</v>
      </c>
      <c r="AE126" s="28">
        <f t="shared" si="5"/>
        <v>0</v>
      </c>
      <c r="AF126" s="28">
        <v>1</v>
      </c>
    </row>
    <row r="127" spans="1:210" ht="15.75" hidden="1" customHeight="1" x14ac:dyDescent="0.3">
      <c r="A127" s="32">
        <v>102</v>
      </c>
      <c r="B127" s="33" t="s">
        <v>310</v>
      </c>
      <c r="C127" s="33" t="s">
        <v>285</v>
      </c>
      <c r="D127" s="33" t="s">
        <v>311</v>
      </c>
      <c r="E127" s="33" t="s">
        <v>312</v>
      </c>
      <c r="F127" s="33" t="s">
        <v>95</v>
      </c>
      <c r="G127" s="34" t="s">
        <v>95</v>
      </c>
      <c r="H127" s="24">
        <f t="shared" si="3"/>
        <v>0</v>
      </c>
      <c r="I127" s="35"/>
      <c r="J127" s="35"/>
      <c r="K127" s="36"/>
      <c r="L127" s="34" t="s">
        <v>100</v>
      </c>
      <c r="M127" s="40"/>
      <c r="N127" s="40"/>
      <c r="O127" s="35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17">
        <v>12</v>
      </c>
      <c r="AD127" s="17">
        <f t="shared" si="4"/>
        <v>0</v>
      </c>
      <c r="AE127" s="28">
        <f t="shared" si="5"/>
        <v>0</v>
      </c>
      <c r="AF127" s="28">
        <v>1</v>
      </c>
    </row>
    <row r="128" spans="1:210" ht="15.75" hidden="1" customHeight="1" x14ac:dyDescent="0.3">
      <c r="A128" s="32">
        <v>110</v>
      </c>
      <c r="B128" s="33" t="s">
        <v>328</v>
      </c>
      <c r="C128" s="33" t="s">
        <v>317</v>
      </c>
      <c r="D128" s="33" t="s">
        <v>329</v>
      </c>
      <c r="E128" s="33" t="s">
        <v>319</v>
      </c>
      <c r="F128" s="33" t="s">
        <v>132</v>
      </c>
      <c r="G128" s="34" t="s">
        <v>99</v>
      </c>
      <c r="H128" s="24">
        <f t="shared" si="3"/>
        <v>0</v>
      </c>
      <c r="I128" s="35"/>
      <c r="J128" s="35"/>
      <c r="K128" s="36"/>
      <c r="L128" s="34" t="s">
        <v>100</v>
      </c>
      <c r="M128" s="40"/>
      <c r="N128" s="40"/>
      <c r="O128" s="35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41"/>
      <c r="AC128" s="17">
        <v>1</v>
      </c>
      <c r="AD128" s="17">
        <f t="shared" si="4"/>
        <v>0</v>
      </c>
      <c r="AE128" s="28">
        <f t="shared" si="5"/>
        <v>0</v>
      </c>
      <c r="AF128" s="28">
        <v>1</v>
      </c>
    </row>
    <row r="129" spans="1:32" ht="15.75" hidden="1" customHeight="1" x14ac:dyDescent="0.3">
      <c r="A129" s="32">
        <v>110</v>
      </c>
      <c r="B129" s="33" t="s">
        <v>326</v>
      </c>
      <c r="C129" s="33" t="s">
        <v>317</v>
      </c>
      <c r="D129" s="33" t="s">
        <v>327</v>
      </c>
      <c r="E129" s="33" t="s">
        <v>319</v>
      </c>
      <c r="F129" s="33" t="s">
        <v>132</v>
      </c>
      <c r="G129" s="34" t="s">
        <v>99</v>
      </c>
      <c r="H129" s="24">
        <f t="shared" si="3"/>
        <v>0</v>
      </c>
      <c r="I129" s="35"/>
      <c r="J129" s="35"/>
      <c r="K129" s="36"/>
      <c r="L129" s="34" t="s">
        <v>100</v>
      </c>
      <c r="M129" s="40"/>
      <c r="N129" s="40"/>
      <c r="O129" s="35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41"/>
      <c r="AC129" s="17">
        <v>1</v>
      </c>
      <c r="AD129" s="17">
        <f t="shared" si="4"/>
        <v>0</v>
      </c>
      <c r="AE129" s="28">
        <f t="shared" si="5"/>
        <v>0</v>
      </c>
      <c r="AF129" s="28">
        <v>1</v>
      </c>
    </row>
    <row r="130" spans="1:32" ht="15.75" hidden="1" customHeight="1" x14ac:dyDescent="0.3">
      <c r="A130" s="32">
        <v>110</v>
      </c>
      <c r="B130" s="33" t="s">
        <v>349</v>
      </c>
      <c r="C130" s="33" t="s">
        <v>317</v>
      </c>
      <c r="D130" s="33" t="s">
        <v>116</v>
      </c>
      <c r="E130" s="33" t="s">
        <v>117</v>
      </c>
      <c r="F130" s="33" t="s">
        <v>93</v>
      </c>
      <c r="G130" s="34" t="s">
        <v>119</v>
      </c>
      <c r="H130" s="24">
        <f t="shared" si="3"/>
        <v>0</v>
      </c>
      <c r="I130" s="35"/>
      <c r="J130" s="35" t="s">
        <v>120</v>
      </c>
      <c r="K130" s="36"/>
      <c r="L130" s="34" t="s">
        <v>105</v>
      </c>
      <c r="M130" s="40"/>
      <c r="N130" s="40"/>
      <c r="O130" s="35" t="s">
        <v>120</v>
      </c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17">
        <v>12</v>
      </c>
      <c r="AD130" s="17">
        <f t="shared" si="4"/>
        <v>0</v>
      </c>
      <c r="AE130" s="28">
        <f t="shared" si="5"/>
        <v>0</v>
      </c>
      <c r="AF130" s="28">
        <v>1</v>
      </c>
    </row>
    <row r="131" spans="1:32" ht="15.75" hidden="1" customHeight="1" x14ac:dyDescent="0.3">
      <c r="A131" s="32">
        <v>110</v>
      </c>
      <c r="B131" s="33" t="s">
        <v>350</v>
      </c>
      <c r="C131" s="33" t="s">
        <v>317</v>
      </c>
      <c r="D131" s="33" t="s">
        <v>351</v>
      </c>
      <c r="E131" s="33" t="s">
        <v>117</v>
      </c>
      <c r="F131" s="33" t="s">
        <v>93</v>
      </c>
      <c r="G131" s="34" t="s">
        <v>119</v>
      </c>
      <c r="H131" s="24">
        <f t="shared" si="3"/>
        <v>0</v>
      </c>
      <c r="I131" s="35"/>
      <c r="J131" s="35" t="s">
        <v>120</v>
      </c>
      <c r="K131" s="36"/>
      <c r="L131" s="34" t="s">
        <v>105</v>
      </c>
      <c r="M131" s="40"/>
      <c r="N131" s="40"/>
      <c r="O131" s="35" t="s">
        <v>120</v>
      </c>
      <c r="P131" s="27"/>
      <c r="Q131" s="4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17">
        <v>12</v>
      </c>
      <c r="AD131" s="17">
        <f t="shared" si="4"/>
        <v>0</v>
      </c>
      <c r="AE131" s="28">
        <f t="shared" si="5"/>
        <v>0</v>
      </c>
      <c r="AF131" s="28">
        <v>1</v>
      </c>
    </row>
    <row r="132" spans="1:32" ht="15.75" hidden="1" customHeight="1" x14ac:dyDescent="0.3">
      <c r="A132" s="32">
        <v>110</v>
      </c>
      <c r="B132" s="33" t="s">
        <v>316</v>
      </c>
      <c r="C132" s="33" t="s">
        <v>317</v>
      </c>
      <c r="D132" s="33" t="s">
        <v>318</v>
      </c>
      <c r="E132" s="33" t="s">
        <v>319</v>
      </c>
      <c r="F132" s="33" t="s">
        <v>132</v>
      </c>
      <c r="G132" s="34" t="s">
        <v>99</v>
      </c>
      <c r="H132" s="24">
        <f t="shared" ref="H132:H195" si="6">IF(AC132=0," ",(AD132/AC132))</f>
        <v>0</v>
      </c>
      <c r="I132" s="35"/>
      <c r="J132" s="35"/>
      <c r="K132" s="36"/>
      <c r="L132" s="34" t="s">
        <v>100</v>
      </c>
      <c r="M132" s="40"/>
      <c r="N132" s="40"/>
      <c r="O132" s="35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41"/>
      <c r="AC132" s="17">
        <v>1</v>
      </c>
      <c r="AD132" s="17">
        <f t="shared" ref="AD132:AD195" si="7">IF(COUNTA(P132:AB132)&gt;AC132,AC132,COUNTA(P132:AB132))</f>
        <v>0</v>
      </c>
      <c r="AE132" s="28">
        <f t="shared" ref="AE132:AE195" si="8">IF(H132=1,1,0)</f>
        <v>0</v>
      </c>
      <c r="AF132" s="28">
        <v>1</v>
      </c>
    </row>
    <row r="133" spans="1:32" ht="15.75" hidden="1" customHeight="1" x14ac:dyDescent="0.3">
      <c r="A133" s="32">
        <v>110</v>
      </c>
      <c r="B133" s="33" t="s">
        <v>320</v>
      </c>
      <c r="C133" s="33" t="s">
        <v>317</v>
      </c>
      <c r="D133" s="33" t="s">
        <v>321</v>
      </c>
      <c r="E133" s="33" t="s">
        <v>319</v>
      </c>
      <c r="F133" s="33" t="s">
        <v>132</v>
      </c>
      <c r="G133" s="34" t="s">
        <v>99</v>
      </c>
      <c r="H133" s="24">
        <f t="shared" si="6"/>
        <v>0</v>
      </c>
      <c r="I133" s="35"/>
      <c r="J133" s="35"/>
      <c r="K133" s="36"/>
      <c r="L133" s="34" t="s">
        <v>100</v>
      </c>
      <c r="M133" s="40"/>
      <c r="N133" s="51"/>
      <c r="O133" s="35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41"/>
      <c r="AC133" s="17">
        <v>1</v>
      </c>
      <c r="AD133" s="17">
        <f t="shared" si="7"/>
        <v>0</v>
      </c>
      <c r="AE133" s="28">
        <f t="shared" si="8"/>
        <v>0</v>
      </c>
      <c r="AF133" s="28">
        <v>1</v>
      </c>
    </row>
    <row r="134" spans="1:32" ht="15.75" hidden="1" customHeight="1" x14ac:dyDescent="0.3">
      <c r="A134" s="32">
        <v>110</v>
      </c>
      <c r="B134" s="33" t="s">
        <v>322</v>
      </c>
      <c r="C134" s="33" t="s">
        <v>317</v>
      </c>
      <c r="D134" s="33" t="s">
        <v>323</v>
      </c>
      <c r="E134" s="33" t="s">
        <v>319</v>
      </c>
      <c r="F134" s="33" t="s">
        <v>132</v>
      </c>
      <c r="G134" s="34" t="s">
        <v>99</v>
      </c>
      <c r="H134" s="24">
        <f t="shared" si="6"/>
        <v>0</v>
      </c>
      <c r="I134" s="35"/>
      <c r="J134" s="35"/>
      <c r="K134" s="36"/>
      <c r="L134" s="34" t="s">
        <v>100</v>
      </c>
      <c r="M134" s="40"/>
      <c r="N134" s="40"/>
      <c r="O134" s="35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41"/>
      <c r="AC134" s="17">
        <v>1</v>
      </c>
      <c r="AD134" s="17">
        <f t="shared" si="7"/>
        <v>0</v>
      </c>
      <c r="AE134" s="28">
        <f t="shared" si="8"/>
        <v>0</v>
      </c>
      <c r="AF134" s="28">
        <v>1</v>
      </c>
    </row>
    <row r="135" spans="1:32" ht="15.75" hidden="1" customHeight="1" x14ac:dyDescent="0.3">
      <c r="A135" s="32">
        <v>110</v>
      </c>
      <c r="B135" s="33" t="s">
        <v>324</v>
      </c>
      <c r="C135" s="33" t="s">
        <v>317</v>
      </c>
      <c r="D135" s="33" t="s">
        <v>325</v>
      </c>
      <c r="E135" s="33" t="s">
        <v>319</v>
      </c>
      <c r="F135" s="33" t="s">
        <v>132</v>
      </c>
      <c r="G135" s="34" t="s">
        <v>99</v>
      </c>
      <c r="H135" s="24">
        <f t="shared" si="6"/>
        <v>0</v>
      </c>
      <c r="I135" s="35"/>
      <c r="J135" s="35"/>
      <c r="K135" s="36"/>
      <c r="L135" s="34" t="s">
        <v>100</v>
      </c>
      <c r="M135" s="40"/>
      <c r="N135" s="40"/>
      <c r="O135" s="35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41"/>
      <c r="AC135" s="17">
        <v>1</v>
      </c>
      <c r="AD135" s="17">
        <f t="shared" si="7"/>
        <v>0</v>
      </c>
      <c r="AE135" s="28">
        <f t="shared" si="8"/>
        <v>0</v>
      </c>
      <c r="AF135" s="28">
        <v>1</v>
      </c>
    </row>
    <row r="136" spans="1:32" ht="15.75" hidden="1" customHeight="1" x14ac:dyDescent="0.3">
      <c r="A136" s="32">
        <v>110</v>
      </c>
      <c r="B136" s="33" t="s">
        <v>333</v>
      </c>
      <c r="C136" s="33" t="s">
        <v>317</v>
      </c>
      <c r="D136" s="33" t="s">
        <v>334</v>
      </c>
      <c r="E136" s="33" t="s">
        <v>775</v>
      </c>
      <c r="F136" s="33" t="s">
        <v>96</v>
      </c>
      <c r="G136" s="34" t="s">
        <v>167</v>
      </c>
      <c r="H136" s="24">
        <f t="shared" si="6"/>
        <v>0</v>
      </c>
      <c r="I136" s="35"/>
      <c r="J136" s="35"/>
      <c r="K136" s="36"/>
      <c r="L136" s="34" t="s">
        <v>100</v>
      </c>
      <c r="M136" s="40"/>
      <c r="N136" s="40"/>
      <c r="O136" s="35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17">
        <v>3</v>
      </c>
      <c r="AD136" s="17">
        <f t="shared" si="7"/>
        <v>0</v>
      </c>
      <c r="AE136" s="28">
        <f t="shared" si="8"/>
        <v>0</v>
      </c>
      <c r="AF136" s="28">
        <v>1</v>
      </c>
    </row>
    <row r="137" spans="1:32" ht="15.75" hidden="1" customHeight="1" x14ac:dyDescent="0.3">
      <c r="A137" s="32">
        <v>110</v>
      </c>
      <c r="B137" s="33" t="s">
        <v>333</v>
      </c>
      <c r="C137" s="33" t="s">
        <v>317</v>
      </c>
      <c r="D137" s="33" t="s">
        <v>334</v>
      </c>
      <c r="E137" s="33" t="s">
        <v>332</v>
      </c>
      <c r="F137" s="33" t="s">
        <v>132</v>
      </c>
      <c r="G137" s="34" t="s">
        <v>99</v>
      </c>
      <c r="H137" s="24">
        <f t="shared" si="6"/>
        <v>0</v>
      </c>
      <c r="I137" s="35"/>
      <c r="J137" s="35"/>
      <c r="K137" s="36"/>
      <c r="L137" s="34" t="s">
        <v>100</v>
      </c>
      <c r="M137" s="40"/>
      <c r="N137" s="51"/>
      <c r="O137" s="35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17">
        <v>1</v>
      </c>
      <c r="AD137" s="17">
        <f t="shared" si="7"/>
        <v>0</v>
      </c>
      <c r="AE137" s="28">
        <f t="shared" si="8"/>
        <v>0</v>
      </c>
      <c r="AF137" s="28">
        <v>1</v>
      </c>
    </row>
    <row r="138" spans="1:32" ht="15.75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165</v>
      </c>
      <c r="F138" s="33" t="s">
        <v>132</v>
      </c>
      <c r="G138" s="34" t="s">
        <v>99</v>
      </c>
      <c r="H138" s="24">
        <f t="shared" si="6"/>
        <v>0</v>
      </c>
      <c r="I138" s="35"/>
      <c r="J138" s="35"/>
      <c r="K138" s="36"/>
      <c r="L138" s="34" t="s">
        <v>100</v>
      </c>
      <c r="M138" s="40"/>
      <c r="N138" s="40"/>
      <c r="O138" s="35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17">
        <v>1</v>
      </c>
      <c r="AD138" s="17">
        <f t="shared" si="7"/>
        <v>0</v>
      </c>
      <c r="AE138" s="28">
        <f t="shared" si="8"/>
        <v>0</v>
      </c>
      <c r="AF138" s="28">
        <v>1</v>
      </c>
    </row>
    <row r="139" spans="1:32" ht="15.75" hidden="1" customHeight="1" x14ac:dyDescent="0.3">
      <c r="A139" s="32">
        <v>110</v>
      </c>
      <c r="B139" s="33" t="s">
        <v>335</v>
      </c>
      <c r="C139" s="33" t="s">
        <v>317</v>
      </c>
      <c r="D139" s="33" t="s">
        <v>336</v>
      </c>
      <c r="E139" s="33" t="s">
        <v>775</v>
      </c>
      <c r="F139" s="33" t="s">
        <v>96</v>
      </c>
      <c r="G139" s="34" t="s">
        <v>167</v>
      </c>
      <c r="H139" s="24">
        <f t="shared" si="6"/>
        <v>0</v>
      </c>
      <c r="I139" s="35"/>
      <c r="J139" s="35"/>
      <c r="K139" s="36"/>
      <c r="L139" s="34" t="s">
        <v>100</v>
      </c>
      <c r="M139" s="40"/>
      <c r="N139" s="40"/>
      <c r="O139" s="35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17">
        <v>3</v>
      </c>
      <c r="AD139" s="17">
        <f t="shared" si="7"/>
        <v>0</v>
      </c>
      <c r="AE139" s="28">
        <f t="shared" si="8"/>
        <v>0</v>
      </c>
      <c r="AF139" s="28">
        <v>1</v>
      </c>
    </row>
    <row r="140" spans="1:32" ht="15.75" hidden="1" customHeight="1" x14ac:dyDescent="0.3">
      <c r="A140" s="32">
        <v>110</v>
      </c>
      <c r="B140" s="33" t="s">
        <v>343</v>
      </c>
      <c r="C140" s="33" t="s">
        <v>317</v>
      </c>
      <c r="D140" s="33" t="s">
        <v>344</v>
      </c>
      <c r="E140" s="33" t="s">
        <v>775</v>
      </c>
      <c r="F140" s="33" t="s">
        <v>96</v>
      </c>
      <c r="G140" s="34" t="s">
        <v>167</v>
      </c>
      <c r="H140" s="24">
        <f t="shared" si="6"/>
        <v>0</v>
      </c>
      <c r="I140" s="35"/>
      <c r="J140" s="35"/>
      <c r="K140" s="36"/>
      <c r="L140" s="34" t="s">
        <v>100</v>
      </c>
      <c r="M140" s="40"/>
      <c r="N140" s="40"/>
      <c r="O140" s="35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17">
        <v>3</v>
      </c>
      <c r="AD140" s="17">
        <f t="shared" si="7"/>
        <v>0</v>
      </c>
      <c r="AE140" s="28">
        <f t="shared" si="8"/>
        <v>0</v>
      </c>
      <c r="AF140" s="28">
        <v>1</v>
      </c>
    </row>
    <row r="141" spans="1:32" ht="15.75" hidden="1" customHeight="1" x14ac:dyDescent="0.3">
      <c r="A141" s="32">
        <v>110</v>
      </c>
      <c r="B141" s="33" t="s">
        <v>343</v>
      </c>
      <c r="C141" s="33" t="s">
        <v>317</v>
      </c>
      <c r="D141" s="33" t="s">
        <v>344</v>
      </c>
      <c r="E141" s="33" t="s">
        <v>332</v>
      </c>
      <c r="F141" s="33" t="s">
        <v>132</v>
      </c>
      <c r="G141" s="34" t="s">
        <v>99</v>
      </c>
      <c r="H141" s="24">
        <f t="shared" si="6"/>
        <v>0</v>
      </c>
      <c r="I141" s="35"/>
      <c r="J141" s="35"/>
      <c r="K141" s="36"/>
      <c r="L141" s="34" t="s">
        <v>100</v>
      </c>
      <c r="M141" s="40"/>
      <c r="N141" s="40"/>
      <c r="O141" s="35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17">
        <v>1</v>
      </c>
      <c r="AD141" s="17">
        <f t="shared" si="7"/>
        <v>0</v>
      </c>
      <c r="AE141" s="28">
        <f t="shared" si="8"/>
        <v>0</v>
      </c>
      <c r="AF141" s="28">
        <v>1</v>
      </c>
    </row>
    <row r="142" spans="1:32" ht="15.75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165</v>
      </c>
      <c r="F142" s="33" t="s">
        <v>132</v>
      </c>
      <c r="G142" s="34" t="s">
        <v>99</v>
      </c>
      <c r="H142" s="24">
        <f t="shared" si="6"/>
        <v>0</v>
      </c>
      <c r="I142" s="35"/>
      <c r="J142" s="35"/>
      <c r="K142" s="36"/>
      <c r="L142" s="34" t="s">
        <v>100</v>
      </c>
      <c r="M142" s="40"/>
      <c r="N142" s="40"/>
      <c r="O142" s="35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17">
        <v>1</v>
      </c>
      <c r="AD142" s="17">
        <f t="shared" si="7"/>
        <v>0</v>
      </c>
      <c r="AE142" s="28">
        <f t="shared" si="8"/>
        <v>0</v>
      </c>
      <c r="AF142" s="28">
        <v>1</v>
      </c>
    </row>
    <row r="143" spans="1:32" ht="15.75" hidden="1" customHeight="1" x14ac:dyDescent="0.3">
      <c r="A143" s="32">
        <v>110</v>
      </c>
      <c r="B143" s="33" t="s">
        <v>337</v>
      </c>
      <c r="C143" s="33" t="s">
        <v>317</v>
      </c>
      <c r="D143" s="33" t="s">
        <v>338</v>
      </c>
      <c r="E143" s="33" t="s">
        <v>775</v>
      </c>
      <c r="F143" s="33" t="s">
        <v>96</v>
      </c>
      <c r="G143" s="34" t="s">
        <v>167</v>
      </c>
      <c r="H143" s="24">
        <f t="shared" si="6"/>
        <v>0</v>
      </c>
      <c r="I143" s="35"/>
      <c r="J143" s="35"/>
      <c r="K143" s="36"/>
      <c r="L143" s="34" t="s">
        <v>100</v>
      </c>
      <c r="M143" s="40"/>
      <c r="N143" s="40"/>
      <c r="O143" s="35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17">
        <v>3</v>
      </c>
      <c r="AD143" s="17">
        <f t="shared" si="7"/>
        <v>0</v>
      </c>
      <c r="AE143" s="28">
        <f t="shared" si="8"/>
        <v>0</v>
      </c>
      <c r="AF143" s="28">
        <v>1</v>
      </c>
    </row>
    <row r="144" spans="1:32" ht="15.75" hidden="1" customHeight="1" x14ac:dyDescent="0.3">
      <c r="A144" s="32">
        <v>110</v>
      </c>
      <c r="B144" s="33" t="s">
        <v>339</v>
      </c>
      <c r="C144" s="33" t="s">
        <v>317</v>
      </c>
      <c r="D144" s="33" t="s">
        <v>340</v>
      </c>
      <c r="E144" s="33" t="s">
        <v>775</v>
      </c>
      <c r="F144" s="33" t="s">
        <v>96</v>
      </c>
      <c r="G144" s="34" t="s">
        <v>167</v>
      </c>
      <c r="H144" s="24">
        <f t="shared" si="6"/>
        <v>0</v>
      </c>
      <c r="I144" s="35"/>
      <c r="J144" s="35"/>
      <c r="K144" s="36"/>
      <c r="L144" s="34" t="s">
        <v>100</v>
      </c>
      <c r="M144" s="40"/>
      <c r="N144" s="40"/>
      <c r="O144" s="35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17">
        <v>3</v>
      </c>
      <c r="AD144" s="17">
        <f t="shared" si="7"/>
        <v>0</v>
      </c>
      <c r="AE144" s="28">
        <f t="shared" si="8"/>
        <v>0</v>
      </c>
      <c r="AF144" s="28">
        <v>1</v>
      </c>
    </row>
    <row r="145" spans="1:32" ht="15.75" hidden="1" customHeight="1" x14ac:dyDescent="0.3">
      <c r="A145" s="32">
        <v>110</v>
      </c>
      <c r="B145" s="33" t="s">
        <v>341</v>
      </c>
      <c r="C145" s="33" t="s">
        <v>317</v>
      </c>
      <c r="D145" s="33" t="s">
        <v>342</v>
      </c>
      <c r="E145" s="33" t="s">
        <v>775</v>
      </c>
      <c r="F145" s="33" t="s">
        <v>96</v>
      </c>
      <c r="G145" s="34" t="s">
        <v>167</v>
      </c>
      <c r="H145" s="24">
        <f t="shared" si="6"/>
        <v>0</v>
      </c>
      <c r="I145" s="35"/>
      <c r="J145" s="35"/>
      <c r="K145" s="36"/>
      <c r="L145" s="34" t="s">
        <v>100</v>
      </c>
      <c r="M145" s="40"/>
      <c r="N145" s="40"/>
      <c r="O145" s="35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17">
        <v>3</v>
      </c>
      <c r="AD145" s="17">
        <f t="shared" si="7"/>
        <v>0</v>
      </c>
      <c r="AE145" s="28">
        <f t="shared" si="8"/>
        <v>0</v>
      </c>
      <c r="AF145" s="28">
        <v>1</v>
      </c>
    </row>
    <row r="146" spans="1:32" ht="15.75" hidden="1" customHeight="1" x14ac:dyDescent="0.3">
      <c r="A146" s="32">
        <v>110</v>
      </c>
      <c r="B146" s="33" t="s">
        <v>345</v>
      </c>
      <c r="C146" s="33" t="s">
        <v>317</v>
      </c>
      <c r="D146" s="33" t="s">
        <v>346</v>
      </c>
      <c r="E146" s="33" t="s">
        <v>775</v>
      </c>
      <c r="F146" s="33" t="s">
        <v>96</v>
      </c>
      <c r="G146" s="34" t="s">
        <v>167</v>
      </c>
      <c r="H146" s="24">
        <f t="shared" si="6"/>
        <v>0</v>
      </c>
      <c r="I146" s="35"/>
      <c r="J146" s="35"/>
      <c r="K146" s="36"/>
      <c r="L146" s="34" t="s">
        <v>100</v>
      </c>
      <c r="M146" s="40"/>
      <c r="N146" s="40"/>
      <c r="O146" s="35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17">
        <v>3</v>
      </c>
      <c r="AD146" s="17">
        <f t="shared" si="7"/>
        <v>0</v>
      </c>
      <c r="AE146" s="28">
        <f t="shared" si="8"/>
        <v>0</v>
      </c>
      <c r="AF146" s="28">
        <v>1</v>
      </c>
    </row>
    <row r="147" spans="1:32" ht="15.75" hidden="1" customHeight="1" x14ac:dyDescent="0.3">
      <c r="A147" s="32">
        <v>110</v>
      </c>
      <c r="B147" s="33" t="s">
        <v>345</v>
      </c>
      <c r="C147" s="33" t="s">
        <v>317</v>
      </c>
      <c r="D147" s="33" t="s">
        <v>346</v>
      </c>
      <c r="E147" s="33" t="s">
        <v>332</v>
      </c>
      <c r="F147" s="33" t="s">
        <v>132</v>
      </c>
      <c r="G147" s="34" t="s">
        <v>99</v>
      </c>
      <c r="H147" s="24">
        <f t="shared" si="6"/>
        <v>0</v>
      </c>
      <c r="I147" s="35"/>
      <c r="J147" s="35"/>
      <c r="K147" s="36"/>
      <c r="L147" s="34" t="s">
        <v>100</v>
      </c>
      <c r="M147" s="40"/>
      <c r="N147" s="40"/>
      <c r="O147" s="35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17">
        <v>1</v>
      </c>
      <c r="AD147" s="17">
        <f t="shared" si="7"/>
        <v>0</v>
      </c>
      <c r="AE147" s="28">
        <f t="shared" si="8"/>
        <v>0</v>
      </c>
      <c r="AF147" s="28">
        <v>1</v>
      </c>
    </row>
    <row r="148" spans="1:32" ht="15.75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165</v>
      </c>
      <c r="F148" s="33" t="s">
        <v>132</v>
      </c>
      <c r="G148" s="34" t="s">
        <v>99</v>
      </c>
      <c r="H148" s="24">
        <f t="shared" si="6"/>
        <v>0</v>
      </c>
      <c r="I148" s="35"/>
      <c r="J148" s="35"/>
      <c r="K148" s="36"/>
      <c r="L148" s="34" t="s">
        <v>100</v>
      </c>
      <c r="M148" s="40"/>
      <c r="N148" s="40"/>
      <c r="O148" s="35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17">
        <v>1</v>
      </c>
      <c r="AD148" s="17">
        <f t="shared" si="7"/>
        <v>0</v>
      </c>
      <c r="AE148" s="28">
        <f t="shared" si="8"/>
        <v>0</v>
      </c>
      <c r="AF148" s="28">
        <v>1</v>
      </c>
    </row>
    <row r="149" spans="1:32" ht="15.75" hidden="1" customHeight="1" x14ac:dyDescent="0.3">
      <c r="A149" s="32">
        <v>110</v>
      </c>
      <c r="B149" s="33" t="s">
        <v>347</v>
      </c>
      <c r="C149" s="33" t="s">
        <v>317</v>
      </c>
      <c r="D149" s="33" t="s">
        <v>348</v>
      </c>
      <c r="E149" s="33" t="s">
        <v>775</v>
      </c>
      <c r="F149" s="33" t="s">
        <v>96</v>
      </c>
      <c r="G149" s="34" t="s">
        <v>167</v>
      </c>
      <c r="H149" s="24">
        <f t="shared" si="6"/>
        <v>0</v>
      </c>
      <c r="I149" s="35"/>
      <c r="J149" s="35"/>
      <c r="K149" s="36"/>
      <c r="L149" s="34" t="s">
        <v>100</v>
      </c>
      <c r="M149" s="40"/>
      <c r="N149" s="40"/>
      <c r="O149" s="35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17">
        <v>3</v>
      </c>
      <c r="AD149" s="17">
        <f t="shared" si="7"/>
        <v>0</v>
      </c>
      <c r="AE149" s="28">
        <f t="shared" si="8"/>
        <v>0</v>
      </c>
      <c r="AF149" s="28">
        <v>1</v>
      </c>
    </row>
    <row r="150" spans="1:32" ht="15.75" hidden="1" customHeight="1" x14ac:dyDescent="0.3">
      <c r="A150" s="32">
        <v>110</v>
      </c>
      <c r="B150" s="33" t="s">
        <v>347</v>
      </c>
      <c r="C150" s="33" t="s">
        <v>317</v>
      </c>
      <c r="D150" s="33" t="s">
        <v>348</v>
      </c>
      <c r="E150" s="33" t="s">
        <v>332</v>
      </c>
      <c r="F150" s="33" t="s">
        <v>132</v>
      </c>
      <c r="G150" s="34" t="s">
        <v>99</v>
      </c>
      <c r="H150" s="24">
        <f t="shared" si="6"/>
        <v>0</v>
      </c>
      <c r="I150" s="35"/>
      <c r="J150" s="35"/>
      <c r="K150" s="36"/>
      <c r="L150" s="34" t="s">
        <v>100</v>
      </c>
      <c r="M150" s="40"/>
      <c r="N150" s="40"/>
      <c r="O150" s="35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17">
        <v>1</v>
      </c>
      <c r="AD150" s="17">
        <f t="shared" si="7"/>
        <v>0</v>
      </c>
      <c r="AE150" s="28">
        <f t="shared" si="8"/>
        <v>0</v>
      </c>
      <c r="AF150" s="28">
        <v>1</v>
      </c>
    </row>
    <row r="151" spans="1:32" ht="15.75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165</v>
      </c>
      <c r="F151" s="33" t="s">
        <v>132</v>
      </c>
      <c r="G151" s="34" t="s">
        <v>99</v>
      </c>
      <c r="H151" s="24">
        <f t="shared" si="6"/>
        <v>0</v>
      </c>
      <c r="I151" s="35"/>
      <c r="J151" s="35"/>
      <c r="K151" s="36"/>
      <c r="L151" s="34" t="s">
        <v>100</v>
      </c>
      <c r="M151" s="40"/>
      <c r="N151" s="40"/>
      <c r="O151" s="35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17">
        <v>1</v>
      </c>
      <c r="AD151" s="17">
        <f t="shared" si="7"/>
        <v>0</v>
      </c>
      <c r="AE151" s="28">
        <f t="shared" si="8"/>
        <v>0</v>
      </c>
      <c r="AF151" s="28">
        <v>1</v>
      </c>
    </row>
    <row r="152" spans="1:32" ht="15.75" hidden="1" customHeight="1" x14ac:dyDescent="0.3">
      <c r="A152" s="32">
        <v>110</v>
      </c>
      <c r="B152" s="33" t="s">
        <v>330</v>
      </c>
      <c r="C152" s="33" t="s">
        <v>317</v>
      </c>
      <c r="D152" s="33" t="s">
        <v>331</v>
      </c>
      <c r="E152" s="33" t="s">
        <v>332</v>
      </c>
      <c r="F152" s="33" t="s">
        <v>132</v>
      </c>
      <c r="G152" s="34" t="s">
        <v>99</v>
      </c>
      <c r="H152" s="24">
        <f t="shared" si="6"/>
        <v>0</v>
      </c>
      <c r="I152" s="35"/>
      <c r="J152" s="35"/>
      <c r="K152" s="36"/>
      <c r="L152" s="34" t="s">
        <v>100</v>
      </c>
      <c r="M152" s="40"/>
      <c r="N152" s="40"/>
      <c r="O152" s="35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17">
        <v>1</v>
      </c>
      <c r="AD152" s="17">
        <f t="shared" si="7"/>
        <v>0</v>
      </c>
      <c r="AE152" s="28">
        <f t="shared" si="8"/>
        <v>0</v>
      </c>
      <c r="AF152" s="28">
        <v>1</v>
      </c>
    </row>
    <row r="153" spans="1:32" ht="15.75" hidden="1" customHeight="1" x14ac:dyDescent="0.3">
      <c r="A153" s="32">
        <v>110</v>
      </c>
      <c r="B153" s="33" t="s">
        <v>330</v>
      </c>
      <c r="C153" s="33" t="s">
        <v>317</v>
      </c>
      <c r="D153" s="33" t="s">
        <v>331</v>
      </c>
      <c r="E153" s="33" t="s">
        <v>165</v>
      </c>
      <c r="F153" s="33" t="s">
        <v>132</v>
      </c>
      <c r="G153" s="34" t="s">
        <v>99</v>
      </c>
      <c r="H153" s="24">
        <f t="shared" si="6"/>
        <v>0</v>
      </c>
      <c r="I153" s="35"/>
      <c r="J153" s="35"/>
      <c r="K153" s="36"/>
      <c r="L153" s="34" t="s">
        <v>100</v>
      </c>
      <c r="M153" s="40"/>
      <c r="N153" s="40"/>
      <c r="O153" s="35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41"/>
      <c r="AC153" s="17">
        <v>1</v>
      </c>
      <c r="AD153" s="17">
        <f t="shared" si="7"/>
        <v>0</v>
      </c>
      <c r="AE153" s="28">
        <f t="shared" si="8"/>
        <v>0</v>
      </c>
      <c r="AF153" s="28">
        <v>1</v>
      </c>
    </row>
    <row r="154" spans="1:32" ht="15.75" hidden="1" customHeight="1" x14ac:dyDescent="0.3">
      <c r="A154" s="32">
        <v>110</v>
      </c>
      <c r="B154" s="33" t="s">
        <v>315</v>
      </c>
      <c r="C154" s="33" t="s">
        <v>107</v>
      </c>
      <c r="D154" s="33" t="s">
        <v>108</v>
      </c>
      <c r="E154" s="33" t="s">
        <v>130</v>
      </c>
      <c r="F154" s="33" t="s">
        <v>86</v>
      </c>
      <c r="G154" s="34" t="s">
        <v>99</v>
      </c>
      <c r="H154" s="24">
        <f t="shared" si="6"/>
        <v>0</v>
      </c>
      <c r="I154" s="35"/>
      <c r="J154" s="35"/>
      <c r="K154" s="36"/>
      <c r="L154" s="34" t="s">
        <v>105</v>
      </c>
      <c r="M154" s="40"/>
      <c r="N154" s="40"/>
      <c r="O154" s="35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41"/>
      <c r="AC154" s="17">
        <v>1</v>
      </c>
      <c r="AD154" s="17">
        <f t="shared" si="7"/>
        <v>0</v>
      </c>
      <c r="AE154" s="28">
        <f t="shared" si="8"/>
        <v>0</v>
      </c>
      <c r="AF154" s="28">
        <v>1</v>
      </c>
    </row>
    <row r="155" spans="1:32" ht="15.75" hidden="1" customHeight="1" x14ac:dyDescent="0.3">
      <c r="A155" s="32">
        <v>120</v>
      </c>
      <c r="B155" s="33" t="s">
        <v>359</v>
      </c>
      <c r="C155" s="33" t="s">
        <v>353</v>
      </c>
      <c r="D155" s="33" t="s">
        <v>256</v>
      </c>
      <c r="E155" s="33" t="s">
        <v>160</v>
      </c>
      <c r="F155" s="33" t="s">
        <v>204</v>
      </c>
      <c r="G155" s="34" t="s">
        <v>127</v>
      </c>
      <c r="H155" s="24">
        <f t="shared" si="6"/>
        <v>0</v>
      </c>
      <c r="I155" s="35"/>
      <c r="J155" s="35" t="s">
        <v>205</v>
      </c>
      <c r="K155" s="36"/>
      <c r="L155" s="34" t="s">
        <v>100</v>
      </c>
      <c r="M155" s="40"/>
      <c r="N155" s="40"/>
      <c r="O155" s="35" t="s">
        <v>205</v>
      </c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17">
        <v>2</v>
      </c>
      <c r="AD155" s="17">
        <f t="shared" si="7"/>
        <v>0</v>
      </c>
      <c r="AE155" s="28">
        <f t="shared" si="8"/>
        <v>0</v>
      </c>
      <c r="AF155" s="28">
        <v>1</v>
      </c>
    </row>
    <row r="156" spans="1:32" ht="15.75" hidden="1" customHeight="1" x14ac:dyDescent="0.3">
      <c r="A156" s="32">
        <v>120</v>
      </c>
      <c r="B156" s="33" t="s">
        <v>360</v>
      </c>
      <c r="C156" s="33" t="s">
        <v>353</v>
      </c>
      <c r="D156" s="33" t="s">
        <v>180</v>
      </c>
      <c r="E156" s="33" t="s">
        <v>160</v>
      </c>
      <c r="F156" s="33" t="s">
        <v>204</v>
      </c>
      <c r="G156" s="34" t="s">
        <v>127</v>
      </c>
      <c r="H156" s="24">
        <f t="shared" si="6"/>
        <v>0</v>
      </c>
      <c r="I156" s="35"/>
      <c r="J156" s="35"/>
      <c r="K156" s="36"/>
      <c r="L156" s="34" t="s">
        <v>100</v>
      </c>
      <c r="M156" s="40"/>
      <c r="N156" s="40"/>
      <c r="O156" s="35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17">
        <v>2</v>
      </c>
      <c r="AD156" s="17">
        <f t="shared" si="7"/>
        <v>0</v>
      </c>
      <c r="AE156" s="28">
        <f t="shared" si="8"/>
        <v>0</v>
      </c>
      <c r="AF156" s="28">
        <v>1</v>
      </c>
    </row>
    <row r="157" spans="1:32" ht="15.75" hidden="1" customHeight="1" x14ac:dyDescent="0.3">
      <c r="A157" s="32">
        <v>120</v>
      </c>
      <c r="B157" s="33" t="s">
        <v>352</v>
      </c>
      <c r="C157" s="33" t="s">
        <v>353</v>
      </c>
      <c r="D157" s="33" t="s">
        <v>354</v>
      </c>
      <c r="E157" s="33" t="s">
        <v>160</v>
      </c>
      <c r="F157" s="33" t="s">
        <v>204</v>
      </c>
      <c r="G157" s="34" t="s">
        <v>127</v>
      </c>
      <c r="H157" s="24">
        <f t="shared" si="6"/>
        <v>0</v>
      </c>
      <c r="I157" s="35"/>
      <c r="J157" s="35"/>
      <c r="K157" s="36"/>
      <c r="L157" s="34" t="s">
        <v>100</v>
      </c>
      <c r="M157" s="40"/>
      <c r="N157" s="40"/>
      <c r="O157" s="35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17">
        <v>2</v>
      </c>
      <c r="AD157" s="17">
        <f t="shared" si="7"/>
        <v>0</v>
      </c>
      <c r="AE157" s="28">
        <f t="shared" si="8"/>
        <v>0</v>
      </c>
      <c r="AF157" s="28">
        <v>1</v>
      </c>
    </row>
    <row r="158" spans="1:32" ht="15.75" hidden="1" customHeight="1" x14ac:dyDescent="0.3">
      <c r="A158" s="32">
        <v>120</v>
      </c>
      <c r="B158" s="33" t="s">
        <v>355</v>
      </c>
      <c r="C158" s="33" t="s">
        <v>353</v>
      </c>
      <c r="D158" s="33" t="s">
        <v>356</v>
      </c>
      <c r="E158" s="33" t="s">
        <v>160</v>
      </c>
      <c r="F158" s="33" t="s">
        <v>204</v>
      </c>
      <c r="G158" s="34" t="s">
        <v>127</v>
      </c>
      <c r="H158" s="24">
        <f t="shared" si="6"/>
        <v>0</v>
      </c>
      <c r="I158" s="35"/>
      <c r="J158" s="35"/>
      <c r="K158" s="36"/>
      <c r="L158" s="34" t="s">
        <v>100</v>
      </c>
      <c r="M158" s="40"/>
      <c r="N158" s="40"/>
      <c r="O158" s="35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17">
        <v>2</v>
      </c>
      <c r="AD158" s="17">
        <f t="shared" si="7"/>
        <v>0</v>
      </c>
      <c r="AE158" s="28">
        <f t="shared" si="8"/>
        <v>0</v>
      </c>
      <c r="AF158" s="28">
        <v>1</v>
      </c>
    </row>
    <row r="159" spans="1:32" ht="15.75" hidden="1" customHeight="1" x14ac:dyDescent="0.3">
      <c r="A159" s="32">
        <v>120</v>
      </c>
      <c r="B159" s="33" t="s">
        <v>357</v>
      </c>
      <c r="C159" s="33" t="s">
        <v>353</v>
      </c>
      <c r="D159" s="33" t="s">
        <v>358</v>
      </c>
      <c r="E159" s="33" t="s">
        <v>160</v>
      </c>
      <c r="F159" s="33" t="s">
        <v>204</v>
      </c>
      <c r="G159" s="34" t="s">
        <v>127</v>
      </c>
      <c r="H159" s="24">
        <f t="shared" si="6"/>
        <v>0</v>
      </c>
      <c r="I159" s="35"/>
      <c r="J159" s="35"/>
      <c r="K159" s="36"/>
      <c r="L159" s="34" t="s">
        <v>100</v>
      </c>
      <c r="M159" s="40"/>
      <c r="N159" s="40"/>
      <c r="O159" s="35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17">
        <v>2</v>
      </c>
      <c r="AD159" s="17">
        <f t="shared" si="7"/>
        <v>0</v>
      </c>
      <c r="AE159" s="28">
        <f t="shared" si="8"/>
        <v>0</v>
      </c>
      <c r="AF159" s="28">
        <v>1</v>
      </c>
    </row>
    <row r="160" spans="1:32" ht="15.75" hidden="1" customHeight="1" x14ac:dyDescent="0.3">
      <c r="A160" s="32">
        <v>120</v>
      </c>
      <c r="B160" s="33" t="s">
        <v>361</v>
      </c>
      <c r="C160" s="33" t="s">
        <v>362</v>
      </c>
      <c r="D160" s="33" t="s">
        <v>362</v>
      </c>
      <c r="E160" s="33" t="s">
        <v>363</v>
      </c>
      <c r="F160" s="33" t="s">
        <v>94</v>
      </c>
      <c r="G160" s="34" t="s">
        <v>119</v>
      </c>
      <c r="H160" s="24">
        <f t="shared" si="6"/>
        <v>0</v>
      </c>
      <c r="I160" s="48"/>
      <c r="J160" s="48" t="s">
        <v>364</v>
      </c>
      <c r="K160" s="100"/>
      <c r="L160" s="34" t="s">
        <v>100</v>
      </c>
      <c r="M160" s="40"/>
      <c r="N160" s="40"/>
      <c r="O160" s="48" t="s">
        <v>364</v>
      </c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17">
        <v>12</v>
      </c>
      <c r="AD160" s="17">
        <f t="shared" si="7"/>
        <v>0</v>
      </c>
      <c r="AE160" s="28">
        <f t="shared" si="8"/>
        <v>0</v>
      </c>
      <c r="AF160" s="28">
        <v>1</v>
      </c>
    </row>
    <row r="161" spans="1:32" ht="15.75" hidden="1" customHeight="1" x14ac:dyDescent="0.3">
      <c r="A161" s="32">
        <v>130</v>
      </c>
      <c r="B161" s="33" t="s">
        <v>369</v>
      </c>
      <c r="C161" s="33" t="s">
        <v>370</v>
      </c>
      <c r="D161" s="33" t="s">
        <v>371</v>
      </c>
      <c r="E161" s="33" t="s">
        <v>373</v>
      </c>
      <c r="F161" s="33" t="s">
        <v>672</v>
      </c>
      <c r="G161" s="34" t="s">
        <v>673</v>
      </c>
      <c r="H161" s="24">
        <f t="shared" si="6"/>
        <v>0</v>
      </c>
      <c r="I161" s="35" t="s">
        <v>759</v>
      </c>
      <c r="J161" s="35" t="s">
        <v>374</v>
      </c>
      <c r="K161" s="36"/>
      <c r="L161" s="34" t="s">
        <v>100</v>
      </c>
      <c r="M161" s="40"/>
      <c r="N161" s="40" t="s">
        <v>300</v>
      </c>
      <c r="O161" s="35" t="s">
        <v>374</v>
      </c>
      <c r="P161" s="27"/>
      <c r="Q161" s="27"/>
      <c r="R161" s="27"/>
      <c r="S161" s="27"/>
      <c r="T161" s="27"/>
      <c r="U161" s="27"/>
      <c r="V161" s="54"/>
      <c r="W161" s="27"/>
      <c r="X161" s="27"/>
      <c r="Y161" s="27"/>
      <c r="Z161" s="27"/>
      <c r="AA161" s="54"/>
      <c r="AB161" s="17"/>
      <c r="AC161" s="17">
        <v>3</v>
      </c>
      <c r="AD161" s="17">
        <f t="shared" si="7"/>
        <v>0</v>
      </c>
      <c r="AE161" s="28">
        <f t="shared" si="8"/>
        <v>0</v>
      </c>
      <c r="AF161" s="28">
        <v>1</v>
      </c>
    </row>
    <row r="162" spans="1:32" ht="15.75" hidden="1" customHeight="1" x14ac:dyDescent="0.3">
      <c r="A162" s="32">
        <v>130</v>
      </c>
      <c r="B162" s="33" t="s">
        <v>369</v>
      </c>
      <c r="C162" s="33" t="s">
        <v>370</v>
      </c>
      <c r="D162" s="33" t="s">
        <v>371</v>
      </c>
      <c r="E162" s="33" t="s">
        <v>782</v>
      </c>
      <c r="F162" s="33" t="s">
        <v>672</v>
      </c>
      <c r="G162" s="34" t="s">
        <v>673</v>
      </c>
      <c r="H162" s="24">
        <f t="shared" si="6"/>
        <v>0</v>
      </c>
      <c r="I162" s="35" t="s">
        <v>759</v>
      </c>
      <c r="J162" s="35" t="s">
        <v>377</v>
      </c>
      <c r="K162" s="36"/>
      <c r="L162" s="34" t="s">
        <v>100</v>
      </c>
      <c r="M162" s="40"/>
      <c r="N162" s="40" t="s">
        <v>300</v>
      </c>
      <c r="O162" s="35" t="s">
        <v>377</v>
      </c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49"/>
      <c r="AC162" s="17">
        <v>3</v>
      </c>
      <c r="AD162" s="17">
        <f t="shared" si="7"/>
        <v>0</v>
      </c>
      <c r="AE162" s="28">
        <f t="shared" si="8"/>
        <v>0</v>
      </c>
      <c r="AF162" s="28">
        <v>1</v>
      </c>
    </row>
    <row r="163" spans="1:32" ht="15.75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130</v>
      </c>
      <c r="F163" s="33" t="s">
        <v>88</v>
      </c>
      <c r="G163" s="34" t="s">
        <v>127</v>
      </c>
      <c r="H163" s="24">
        <f t="shared" si="6"/>
        <v>0</v>
      </c>
      <c r="I163" s="35" t="s">
        <v>808</v>
      </c>
      <c r="J163" s="35"/>
      <c r="K163" s="36"/>
      <c r="L163" s="34" t="s">
        <v>100</v>
      </c>
      <c r="M163" s="40"/>
      <c r="N163" s="40"/>
      <c r="O163" s="35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17">
        <v>2</v>
      </c>
      <c r="AD163" s="17">
        <f t="shared" si="7"/>
        <v>0</v>
      </c>
      <c r="AE163" s="28">
        <f t="shared" si="8"/>
        <v>0</v>
      </c>
      <c r="AF163" s="28">
        <v>1</v>
      </c>
    </row>
    <row r="164" spans="1:32" ht="15.75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780</v>
      </c>
      <c r="F164" s="33" t="s">
        <v>88</v>
      </c>
      <c r="G164" s="34" t="s">
        <v>127</v>
      </c>
      <c r="H164" s="24">
        <f t="shared" si="6"/>
        <v>0</v>
      </c>
      <c r="I164" s="35" t="s">
        <v>808</v>
      </c>
      <c r="J164" s="35"/>
      <c r="K164" s="36"/>
      <c r="L164" s="34" t="s">
        <v>100</v>
      </c>
      <c r="M164" s="40"/>
      <c r="N164" s="40"/>
      <c r="O164" s="35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17">
        <v>2</v>
      </c>
      <c r="AD164" s="17">
        <f t="shared" si="7"/>
        <v>0</v>
      </c>
      <c r="AE164" s="28">
        <f t="shared" si="8"/>
        <v>0</v>
      </c>
      <c r="AF164" s="28">
        <v>1</v>
      </c>
    </row>
    <row r="165" spans="1:32" ht="15.75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781</v>
      </c>
      <c r="F165" s="33" t="s">
        <v>88</v>
      </c>
      <c r="G165" s="34" t="s">
        <v>127</v>
      </c>
      <c r="H165" s="24">
        <f t="shared" si="6"/>
        <v>0</v>
      </c>
      <c r="I165" s="35" t="s">
        <v>808</v>
      </c>
      <c r="J165" s="35"/>
      <c r="K165" s="36"/>
      <c r="L165" s="34" t="s">
        <v>100</v>
      </c>
      <c r="M165" s="40"/>
      <c r="N165" s="40"/>
      <c r="O165" s="35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17">
        <v>2</v>
      </c>
      <c r="AD165" s="17">
        <f t="shared" si="7"/>
        <v>0</v>
      </c>
      <c r="AE165" s="28">
        <f t="shared" si="8"/>
        <v>0</v>
      </c>
      <c r="AF165" s="28">
        <v>1</v>
      </c>
    </row>
    <row r="166" spans="1:32" ht="15.75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372</v>
      </c>
      <c r="F166" s="33" t="s">
        <v>88</v>
      </c>
      <c r="G166" s="34" t="s">
        <v>127</v>
      </c>
      <c r="H166" s="24">
        <f t="shared" si="6"/>
        <v>0</v>
      </c>
      <c r="I166" s="35" t="s">
        <v>808</v>
      </c>
      <c r="J166" s="35"/>
      <c r="K166" s="36"/>
      <c r="L166" s="34" t="s">
        <v>100</v>
      </c>
      <c r="M166" s="40"/>
      <c r="N166" s="40"/>
      <c r="O166" s="35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17">
        <v>2</v>
      </c>
      <c r="AD166" s="17">
        <f t="shared" si="7"/>
        <v>0</v>
      </c>
      <c r="AE166" s="28">
        <f t="shared" si="8"/>
        <v>0</v>
      </c>
      <c r="AF166" s="28">
        <v>1</v>
      </c>
    </row>
    <row r="167" spans="1:32" ht="16.5" hidden="1" customHeight="1" x14ac:dyDescent="0.3">
      <c r="A167" s="32">
        <v>130</v>
      </c>
      <c r="B167" s="33" t="s">
        <v>375</v>
      </c>
      <c r="C167" s="33"/>
      <c r="D167" s="33" t="s">
        <v>376</v>
      </c>
      <c r="E167" s="33" t="s">
        <v>775</v>
      </c>
      <c r="F167" s="33" t="s">
        <v>96</v>
      </c>
      <c r="G167" s="34" t="s">
        <v>167</v>
      </c>
      <c r="H167" s="24">
        <f t="shared" si="6"/>
        <v>0</v>
      </c>
      <c r="I167" s="35"/>
      <c r="J167" s="35"/>
      <c r="K167" s="36"/>
      <c r="L167" s="34" t="s">
        <v>100</v>
      </c>
      <c r="M167" s="40"/>
      <c r="N167" s="40"/>
      <c r="O167" s="35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17">
        <v>3</v>
      </c>
      <c r="AD167" s="17">
        <f t="shared" si="7"/>
        <v>0</v>
      </c>
      <c r="AE167" s="28">
        <f t="shared" si="8"/>
        <v>0</v>
      </c>
      <c r="AF167" s="28">
        <v>1</v>
      </c>
    </row>
    <row r="168" spans="1:32" ht="15.75" hidden="1" customHeight="1" x14ac:dyDescent="0.3">
      <c r="A168" s="32">
        <v>130</v>
      </c>
      <c r="B168" s="33" t="s">
        <v>365</v>
      </c>
      <c r="C168" s="33" t="s">
        <v>155</v>
      </c>
      <c r="D168" s="33" t="s">
        <v>366</v>
      </c>
      <c r="E168" s="33" t="s">
        <v>763</v>
      </c>
      <c r="F168" s="33" t="s">
        <v>86</v>
      </c>
      <c r="G168" s="34" t="s">
        <v>99</v>
      </c>
      <c r="H168" s="24">
        <f t="shared" si="6"/>
        <v>0</v>
      </c>
      <c r="I168" s="35"/>
      <c r="J168" s="35"/>
      <c r="K168" s="36"/>
      <c r="L168" s="34" t="s">
        <v>105</v>
      </c>
      <c r="M168" s="40"/>
      <c r="N168" s="40"/>
      <c r="O168" s="35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17"/>
      <c r="AC168" s="17">
        <v>1</v>
      </c>
      <c r="AD168" s="17">
        <f t="shared" si="7"/>
        <v>0</v>
      </c>
      <c r="AE168" s="28">
        <f t="shared" si="8"/>
        <v>0</v>
      </c>
      <c r="AF168" s="28">
        <v>1</v>
      </c>
    </row>
    <row r="169" spans="1:32" ht="15.75" hidden="1" customHeight="1" x14ac:dyDescent="0.3">
      <c r="A169" s="32">
        <v>130</v>
      </c>
      <c r="B169" s="33" t="s">
        <v>367</v>
      </c>
      <c r="C169" s="33" t="s">
        <v>155</v>
      </c>
      <c r="D169" s="33" t="s">
        <v>368</v>
      </c>
      <c r="E169" s="33" t="s">
        <v>763</v>
      </c>
      <c r="F169" s="33" t="s">
        <v>86</v>
      </c>
      <c r="G169" s="34" t="s">
        <v>99</v>
      </c>
      <c r="H169" s="24">
        <f t="shared" si="6"/>
        <v>0</v>
      </c>
      <c r="I169" s="35"/>
      <c r="J169" s="35"/>
      <c r="K169" s="36"/>
      <c r="L169" s="34" t="s">
        <v>105</v>
      </c>
      <c r="M169" s="40"/>
      <c r="N169" s="40"/>
      <c r="O169" s="35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17"/>
      <c r="AC169" s="17">
        <v>1</v>
      </c>
      <c r="AD169" s="17">
        <f t="shared" si="7"/>
        <v>0</v>
      </c>
      <c r="AE169" s="28">
        <f t="shared" si="8"/>
        <v>0</v>
      </c>
      <c r="AF169" s="28">
        <v>1</v>
      </c>
    </row>
    <row r="170" spans="1:32" ht="15.75" hidden="1" customHeight="1" x14ac:dyDescent="0.3">
      <c r="A170" s="32">
        <v>136</v>
      </c>
      <c r="B170" s="33" t="s">
        <v>382</v>
      </c>
      <c r="C170" s="33" t="s">
        <v>380</v>
      </c>
      <c r="D170" s="33" t="s">
        <v>380</v>
      </c>
      <c r="E170" s="33" t="s">
        <v>383</v>
      </c>
      <c r="F170" s="33" t="s">
        <v>204</v>
      </c>
      <c r="G170" s="34" t="s">
        <v>127</v>
      </c>
      <c r="H170" s="24">
        <f t="shared" si="6"/>
        <v>0</v>
      </c>
      <c r="I170" s="35" t="s">
        <v>759</v>
      </c>
      <c r="J170" s="35" t="s">
        <v>205</v>
      </c>
      <c r="K170" s="36"/>
      <c r="L170" s="34" t="s">
        <v>105</v>
      </c>
      <c r="M170" s="40"/>
      <c r="N170" s="40"/>
      <c r="O170" s="35" t="s">
        <v>205</v>
      </c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17">
        <v>2</v>
      </c>
      <c r="AD170" s="17">
        <f t="shared" si="7"/>
        <v>0</v>
      </c>
      <c r="AE170" s="28">
        <f t="shared" si="8"/>
        <v>0</v>
      </c>
      <c r="AF170" s="28">
        <v>1</v>
      </c>
    </row>
    <row r="171" spans="1:32" ht="15.75" hidden="1" customHeight="1" x14ac:dyDescent="0.3">
      <c r="A171" s="32">
        <v>136</v>
      </c>
      <c r="B171" s="33" t="s">
        <v>379</v>
      </c>
      <c r="C171" s="33" t="s">
        <v>380</v>
      </c>
      <c r="D171" s="33" t="s">
        <v>381</v>
      </c>
      <c r="E171" s="33" t="s">
        <v>130</v>
      </c>
      <c r="F171" s="33" t="s">
        <v>88</v>
      </c>
      <c r="G171" s="34" t="s">
        <v>127</v>
      </c>
      <c r="H171" s="24">
        <f t="shared" si="6"/>
        <v>0</v>
      </c>
      <c r="I171" s="35" t="s">
        <v>759</v>
      </c>
      <c r="J171" s="35"/>
      <c r="K171" s="36"/>
      <c r="L171" s="34" t="s">
        <v>100</v>
      </c>
      <c r="M171" s="40"/>
      <c r="N171" s="40"/>
      <c r="O171" s="35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17">
        <v>2</v>
      </c>
      <c r="AD171" s="17">
        <f t="shared" si="7"/>
        <v>0</v>
      </c>
      <c r="AE171" s="28">
        <f t="shared" si="8"/>
        <v>0</v>
      </c>
      <c r="AF171" s="28">
        <v>1</v>
      </c>
    </row>
    <row r="172" spans="1:32" ht="15.75" hidden="1" customHeight="1" x14ac:dyDescent="0.3">
      <c r="A172" s="32">
        <v>136</v>
      </c>
      <c r="B172" s="33" t="s">
        <v>384</v>
      </c>
      <c r="C172" s="33" t="s">
        <v>380</v>
      </c>
      <c r="D172" s="33" t="s">
        <v>385</v>
      </c>
      <c r="E172" s="33" t="s">
        <v>130</v>
      </c>
      <c r="F172" s="33" t="s">
        <v>88</v>
      </c>
      <c r="G172" s="34" t="s">
        <v>127</v>
      </c>
      <c r="H172" s="24">
        <f t="shared" si="6"/>
        <v>0</v>
      </c>
      <c r="I172" s="35" t="s">
        <v>759</v>
      </c>
      <c r="J172" s="35"/>
      <c r="K172" s="36"/>
      <c r="L172" s="34" t="s">
        <v>100</v>
      </c>
      <c r="M172" s="40"/>
      <c r="N172" s="40"/>
      <c r="O172" s="35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17">
        <v>2</v>
      </c>
      <c r="AD172" s="17">
        <f t="shared" si="7"/>
        <v>0</v>
      </c>
      <c r="AE172" s="28">
        <f t="shared" si="8"/>
        <v>0</v>
      </c>
      <c r="AF172" s="28">
        <v>1</v>
      </c>
    </row>
    <row r="173" spans="1:32" ht="15.75" hidden="1" customHeight="1" x14ac:dyDescent="0.3">
      <c r="A173" s="32">
        <v>136</v>
      </c>
      <c r="B173" s="33" t="s">
        <v>386</v>
      </c>
      <c r="C173" s="33" t="s">
        <v>380</v>
      </c>
      <c r="D173" s="33" t="s">
        <v>387</v>
      </c>
      <c r="E173" s="33" t="s">
        <v>130</v>
      </c>
      <c r="F173" s="33" t="s">
        <v>88</v>
      </c>
      <c r="G173" s="34" t="s">
        <v>127</v>
      </c>
      <c r="H173" s="24">
        <f t="shared" si="6"/>
        <v>0</v>
      </c>
      <c r="I173" s="35"/>
      <c r="J173" s="35"/>
      <c r="K173" s="36"/>
      <c r="L173" s="34" t="s">
        <v>100</v>
      </c>
      <c r="M173" s="40"/>
      <c r="N173" s="40"/>
      <c r="O173" s="35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17">
        <v>2</v>
      </c>
      <c r="AD173" s="17">
        <f t="shared" si="7"/>
        <v>0</v>
      </c>
      <c r="AE173" s="28">
        <f t="shared" si="8"/>
        <v>0</v>
      </c>
      <c r="AF173" s="28">
        <v>1</v>
      </c>
    </row>
    <row r="174" spans="1:32" ht="15.75" hidden="1" customHeight="1" x14ac:dyDescent="0.3">
      <c r="A174" s="32">
        <v>136</v>
      </c>
      <c r="B174" s="33" t="s">
        <v>388</v>
      </c>
      <c r="C174" s="33" t="s">
        <v>380</v>
      </c>
      <c r="D174" s="33" t="s">
        <v>389</v>
      </c>
      <c r="E174" s="33" t="s">
        <v>390</v>
      </c>
      <c r="F174" s="33" t="s">
        <v>204</v>
      </c>
      <c r="G174" s="34" t="s">
        <v>127</v>
      </c>
      <c r="H174" s="24">
        <f t="shared" si="6"/>
        <v>0</v>
      </c>
      <c r="I174" s="35" t="s">
        <v>808</v>
      </c>
      <c r="J174" s="35"/>
      <c r="K174" s="36"/>
      <c r="L174" s="34" t="s">
        <v>100</v>
      </c>
      <c r="M174" s="40"/>
      <c r="N174" s="40"/>
      <c r="O174" s="35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17">
        <v>2</v>
      </c>
      <c r="AD174" s="17">
        <f t="shared" si="7"/>
        <v>0</v>
      </c>
      <c r="AE174" s="28">
        <f t="shared" si="8"/>
        <v>0</v>
      </c>
      <c r="AF174" s="28">
        <v>1</v>
      </c>
    </row>
    <row r="175" spans="1:32" ht="15.75" hidden="1" customHeight="1" x14ac:dyDescent="0.3">
      <c r="A175" s="32">
        <v>140</v>
      </c>
      <c r="B175" s="33" t="s">
        <v>404</v>
      </c>
      <c r="C175" s="33" t="s">
        <v>398</v>
      </c>
      <c r="D175" s="33" t="s">
        <v>405</v>
      </c>
      <c r="E175" s="33" t="s">
        <v>173</v>
      </c>
      <c r="F175" s="33" t="s">
        <v>88</v>
      </c>
      <c r="G175" s="34" t="s">
        <v>127</v>
      </c>
      <c r="H175" s="24">
        <f t="shared" si="6"/>
        <v>0</v>
      </c>
      <c r="I175" s="35"/>
      <c r="J175" s="35"/>
      <c r="K175" s="36"/>
      <c r="L175" s="34"/>
      <c r="M175" s="40"/>
      <c r="N175" s="40"/>
      <c r="O175" s="35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17">
        <v>2</v>
      </c>
      <c r="AD175" s="17">
        <f t="shared" si="7"/>
        <v>0</v>
      </c>
      <c r="AE175" s="28">
        <f t="shared" si="8"/>
        <v>0</v>
      </c>
      <c r="AF175" s="28">
        <v>1</v>
      </c>
    </row>
    <row r="176" spans="1:32" ht="15.75" hidden="1" customHeight="1" x14ac:dyDescent="0.3">
      <c r="A176" s="32">
        <v>140</v>
      </c>
      <c r="B176" s="33" t="s">
        <v>416</v>
      </c>
      <c r="C176" s="33" t="s">
        <v>392</v>
      </c>
      <c r="D176" s="33" t="s">
        <v>417</v>
      </c>
      <c r="E176" s="33" t="s">
        <v>783</v>
      </c>
      <c r="F176" s="33" t="s">
        <v>88</v>
      </c>
      <c r="G176" s="34" t="s">
        <v>127</v>
      </c>
      <c r="H176" s="24">
        <f t="shared" si="6"/>
        <v>0</v>
      </c>
      <c r="I176" s="35"/>
      <c r="J176" s="35"/>
      <c r="K176" s="36"/>
      <c r="L176" s="34"/>
      <c r="M176" s="40"/>
      <c r="N176" s="40"/>
      <c r="O176" s="35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17">
        <v>2</v>
      </c>
      <c r="AD176" s="17">
        <f t="shared" si="7"/>
        <v>0</v>
      </c>
      <c r="AE176" s="28">
        <f t="shared" si="8"/>
        <v>0</v>
      </c>
      <c r="AF176" s="28">
        <v>1</v>
      </c>
    </row>
    <row r="177" spans="1:32" ht="15.75" hidden="1" customHeight="1" x14ac:dyDescent="0.3">
      <c r="A177" s="32">
        <v>140</v>
      </c>
      <c r="B177" s="33" t="s">
        <v>422</v>
      </c>
      <c r="C177" s="33" t="s">
        <v>392</v>
      </c>
      <c r="D177" s="33" t="s">
        <v>423</v>
      </c>
      <c r="E177" s="33" t="s">
        <v>783</v>
      </c>
      <c r="F177" s="33" t="s">
        <v>88</v>
      </c>
      <c r="G177" s="34" t="s">
        <v>127</v>
      </c>
      <c r="H177" s="24">
        <f t="shared" si="6"/>
        <v>0</v>
      </c>
      <c r="I177" s="35"/>
      <c r="J177" s="35"/>
      <c r="K177" s="36"/>
      <c r="L177" s="34"/>
      <c r="M177" s="40"/>
      <c r="N177" s="40"/>
      <c r="O177" s="35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17">
        <v>2</v>
      </c>
      <c r="AD177" s="17">
        <f t="shared" si="7"/>
        <v>0</v>
      </c>
      <c r="AE177" s="28">
        <f t="shared" si="8"/>
        <v>0</v>
      </c>
      <c r="AF177" s="28">
        <v>1</v>
      </c>
    </row>
    <row r="178" spans="1:32" ht="15.75" hidden="1" customHeight="1" x14ac:dyDescent="0.3">
      <c r="A178" s="32">
        <v>140</v>
      </c>
      <c r="B178" s="33" t="s">
        <v>458</v>
      </c>
      <c r="C178" s="33" t="s">
        <v>448</v>
      </c>
      <c r="D178" s="33" t="s">
        <v>459</v>
      </c>
      <c r="E178" s="33" t="s">
        <v>783</v>
      </c>
      <c r="F178" s="33" t="s">
        <v>88</v>
      </c>
      <c r="G178" s="34" t="s">
        <v>127</v>
      </c>
      <c r="H178" s="24">
        <f t="shared" si="6"/>
        <v>0</v>
      </c>
      <c r="I178" s="35"/>
      <c r="J178" s="35"/>
      <c r="K178" s="36"/>
      <c r="L178" s="34"/>
      <c r="M178" s="40"/>
      <c r="N178" s="40"/>
      <c r="O178" s="35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41"/>
      <c r="AC178" s="17">
        <v>2</v>
      </c>
      <c r="AD178" s="17">
        <f t="shared" si="7"/>
        <v>0</v>
      </c>
      <c r="AE178" s="28">
        <f t="shared" si="8"/>
        <v>0</v>
      </c>
      <c r="AF178" s="28">
        <v>1</v>
      </c>
    </row>
    <row r="179" spans="1:32" ht="15.75" hidden="1" customHeight="1" x14ac:dyDescent="0.3">
      <c r="A179" s="32">
        <v>140</v>
      </c>
      <c r="B179" s="33" t="s">
        <v>499</v>
      </c>
      <c r="C179" s="33" t="s">
        <v>495</v>
      </c>
      <c r="D179" s="33" t="s">
        <v>500</v>
      </c>
      <c r="E179" s="33" t="s">
        <v>783</v>
      </c>
      <c r="F179" s="33" t="s">
        <v>88</v>
      </c>
      <c r="G179" s="34" t="s">
        <v>127</v>
      </c>
      <c r="H179" s="24">
        <f t="shared" si="6"/>
        <v>0</v>
      </c>
      <c r="I179" s="35"/>
      <c r="J179" s="35"/>
      <c r="K179" s="36"/>
      <c r="L179" s="34"/>
      <c r="M179" s="40"/>
      <c r="N179" s="40"/>
      <c r="O179" s="35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17">
        <v>2</v>
      </c>
      <c r="AD179" s="17">
        <f t="shared" si="7"/>
        <v>0</v>
      </c>
      <c r="AE179" s="28">
        <f t="shared" si="8"/>
        <v>0</v>
      </c>
      <c r="AF179" s="28">
        <v>1</v>
      </c>
    </row>
    <row r="180" spans="1:32" ht="15.75" hidden="1" customHeight="1" x14ac:dyDescent="0.3">
      <c r="A180" s="32">
        <v>140</v>
      </c>
      <c r="B180" s="33" t="s">
        <v>441</v>
      </c>
      <c r="C180" s="52" t="s">
        <v>437</v>
      </c>
      <c r="D180" s="33" t="s">
        <v>442</v>
      </c>
      <c r="E180" s="33" t="s">
        <v>783</v>
      </c>
      <c r="F180" s="33" t="s">
        <v>88</v>
      </c>
      <c r="G180" s="34" t="s">
        <v>127</v>
      </c>
      <c r="H180" s="24">
        <f t="shared" si="6"/>
        <v>0</v>
      </c>
      <c r="I180" s="35"/>
      <c r="J180" s="35"/>
      <c r="K180" s="36"/>
      <c r="L180" s="34"/>
      <c r="M180" s="40"/>
      <c r="N180" s="40"/>
      <c r="O180" s="35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17">
        <v>2</v>
      </c>
      <c r="AD180" s="17">
        <f t="shared" si="7"/>
        <v>0</v>
      </c>
      <c r="AE180" s="28">
        <f t="shared" si="8"/>
        <v>0</v>
      </c>
      <c r="AF180" s="28">
        <v>1</v>
      </c>
    </row>
    <row r="181" spans="1:32" ht="15.75" hidden="1" customHeight="1" x14ac:dyDescent="0.3">
      <c r="A181" s="32">
        <v>140</v>
      </c>
      <c r="B181" s="33" t="s">
        <v>406</v>
      </c>
      <c r="C181" s="33" t="s">
        <v>398</v>
      </c>
      <c r="D181" s="33" t="s">
        <v>407</v>
      </c>
      <c r="E181" s="33" t="s">
        <v>240</v>
      </c>
      <c r="F181" s="33" t="s">
        <v>95</v>
      </c>
      <c r="G181" s="34" t="s">
        <v>95</v>
      </c>
      <c r="H181" s="24">
        <f t="shared" si="6"/>
        <v>0</v>
      </c>
      <c r="I181" s="35"/>
      <c r="J181" s="35"/>
      <c r="K181" s="36"/>
      <c r="L181" s="34"/>
      <c r="M181" s="40"/>
      <c r="N181" s="40"/>
      <c r="O181" s="35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17"/>
      <c r="AC181" s="17">
        <v>12</v>
      </c>
      <c r="AD181" s="17">
        <f t="shared" si="7"/>
        <v>0</v>
      </c>
      <c r="AE181" s="28">
        <f t="shared" si="8"/>
        <v>0</v>
      </c>
      <c r="AF181" s="28">
        <v>1</v>
      </c>
    </row>
    <row r="182" spans="1:32" ht="15.75" hidden="1" customHeight="1" x14ac:dyDescent="0.3">
      <c r="A182" s="32">
        <v>140</v>
      </c>
      <c r="B182" s="33" t="s">
        <v>492</v>
      </c>
      <c r="C182" s="33" t="s">
        <v>473</v>
      </c>
      <c r="D182" s="33" t="s">
        <v>493</v>
      </c>
      <c r="E182" s="33" t="s">
        <v>240</v>
      </c>
      <c r="F182" s="33" t="s">
        <v>95</v>
      </c>
      <c r="G182" s="34" t="s">
        <v>95</v>
      </c>
      <c r="H182" s="24">
        <f t="shared" si="6"/>
        <v>0</v>
      </c>
      <c r="I182" s="35"/>
      <c r="J182" s="35"/>
      <c r="K182" s="36"/>
      <c r="L182" s="34"/>
      <c r="M182" s="40"/>
      <c r="N182" s="40"/>
      <c r="O182" s="35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17"/>
      <c r="AC182" s="17">
        <v>12</v>
      </c>
      <c r="AD182" s="17">
        <f t="shared" si="7"/>
        <v>0</v>
      </c>
      <c r="AE182" s="28">
        <f t="shared" si="8"/>
        <v>0</v>
      </c>
      <c r="AF182" s="28">
        <v>1</v>
      </c>
    </row>
    <row r="183" spans="1:32" ht="15.75" hidden="1" customHeight="1" x14ac:dyDescent="0.3">
      <c r="A183" s="32">
        <v>140</v>
      </c>
      <c r="B183" s="33" t="s">
        <v>460</v>
      </c>
      <c r="C183" s="33" t="s">
        <v>448</v>
      </c>
      <c r="D183" s="33" t="s">
        <v>461</v>
      </c>
      <c r="E183" s="33" t="s">
        <v>240</v>
      </c>
      <c r="F183" s="33" t="s">
        <v>95</v>
      </c>
      <c r="G183" s="34" t="s">
        <v>95</v>
      </c>
      <c r="H183" s="24">
        <f t="shared" si="6"/>
        <v>0</v>
      </c>
      <c r="I183" s="35"/>
      <c r="J183" s="35"/>
      <c r="K183" s="36"/>
      <c r="L183" s="34"/>
      <c r="M183" s="40"/>
      <c r="N183" s="40"/>
      <c r="O183" s="35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17"/>
      <c r="AC183" s="17">
        <v>12</v>
      </c>
      <c r="AD183" s="17">
        <f t="shared" si="7"/>
        <v>0</v>
      </c>
      <c r="AE183" s="28">
        <f t="shared" si="8"/>
        <v>0</v>
      </c>
      <c r="AF183" s="28">
        <v>1</v>
      </c>
    </row>
    <row r="184" spans="1:32" ht="15.75" hidden="1" customHeight="1" x14ac:dyDescent="0.3">
      <c r="A184" s="32">
        <v>140</v>
      </c>
      <c r="B184" s="33" t="s">
        <v>501</v>
      </c>
      <c r="C184" s="33" t="s">
        <v>495</v>
      </c>
      <c r="D184" s="33" t="s">
        <v>502</v>
      </c>
      <c r="E184" s="33" t="s">
        <v>240</v>
      </c>
      <c r="F184" s="33" t="s">
        <v>95</v>
      </c>
      <c r="G184" s="34" t="s">
        <v>95</v>
      </c>
      <c r="H184" s="24">
        <f t="shared" si="6"/>
        <v>0</v>
      </c>
      <c r="I184" s="35"/>
      <c r="J184" s="35"/>
      <c r="K184" s="36"/>
      <c r="L184" s="34"/>
      <c r="M184" s="40"/>
      <c r="N184" s="40"/>
      <c r="O184" s="35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17"/>
      <c r="AC184" s="17">
        <v>12</v>
      </c>
      <c r="AD184" s="17">
        <f t="shared" si="7"/>
        <v>0</v>
      </c>
      <c r="AE184" s="28">
        <f t="shared" si="8"/>
        <v>0</v>
      </c>
      <c r="AF184" s="28">
        <v>1</v>
      </c>
    </row>
    <row r="185" spans="1:32" ht="15.75" hidden="1" customHeight="1" x14ac:dyDescent="0.3">
      <c r="A185" s="32">
        <v>140</v>
      </c>
      <c r="B185" s="33" t="s">
        <v>462</v>
      </c>
      <c r="C185" s="33" t="s">
        <v>448</v>
      </c>
      <c r="D185" s="33" t="s">
        <v>463</v>
      </c>
      <c r="E185" s="33" t="s">
        <v>240</v>
      </c>
      <c r="F185" s="33" t="s">
        <v>95</v>
      </c>
      <c r="G185" s="34" t="s">
        <v>95</v>
      </c>
      <c r="H185" s="24">
        <f t="shared" si="6"/>
        <v>0</v>
      </c>
      <c r="I185" s="35"/>
      <c r="J185" s="35"/>
      <c r="K185" s="36"/>
      <c r="L185" s="34"/>
      <c r="M185" s="40"/>
      <c r="N185" s="40"/>
      <c r="O185" s="35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17"/>
      <c r="AC185" s="17">
        <v>12</v>
      </c>
      <c r="AD185" s="17">
        <f t="shared" si="7"/>
        <v>0</v>
      </c>
      <c r="AE185" s="28">
        <f t="shared" si="8"/>
        <v>0</v>
      </c>
      <c r="AF185" s="28">
        <v>1</v>
      </c>
    </row>
    <row r="186" spans="1:32" ht="15.75" hidden="1" customHeight="1" x14ac:dyDescent="0.3">
      <c r="A186" s="32">
        <v>140</v>
      </c>
      <c r="B186" s="33" t="s">
        <v>503</v>
      </c>
      <c r="C186" s="33" t="s">
        <v>495</v>
      </c>
      <c r="D186" s="33" t="s">
        <v>504</v>
      </c>
      <c r="E186" s="33" t="s">
        <v>240</v>
      </c>
      <c r="F186" s="33" t="s">
        <v>95</v>
      </c>
      <c r="G186" s="34" t="s">
        <v>95</v>
      </c>
      <c r="H186" s="24">
        <f t="shared" si="6"/>
        <v>0</v>
      </c>
      <c r="I186" s="35"/>
      <c r="J186" s="35"/>
      <c r="K186" s="36"/>
      <c r="L186" s="34"/>
      <c r="M186" s="40"/>
      <c r="N186" s="40"/>
      <c r="O186" s="35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17"/>
      <c r="AC186" s="17">
        <v>12</v>
      </c>
      <c r="AD186" s="17">
        <f t="shared" si="7"/>
        <v>0</v>
      </c>
      <c r="AE186" s="28">
        <f t="shared" si="8"/>
        <v>0</v>
      </c>
      <c r="AF186" s="28">
        <v>1</v>
      </c>
    </row>
    <row r="187" spans="1:32" ht="15.75" hidden="1" customHeight="1" x14ac:dyDescent="0.3">
      <c r="A187" s="32">
        <v>140</v>
      </c>
      <c r="B187" s="33" t="s">
        <v>464</v>
      </c>
      <c r="C187" s="33" t="s">
        <v>448</v>
      </c>
      <c r="D187" s="33" t="s">
        <v>465</v>
      </c>
      <c r="E187" s="33" t="s">
        <v>240</v>
      </c>
      <c r="F187" s="33" t="s">
        <v>95</v>
      </c>
      <c r="G187" s="34" t="s">
        <v>95</v>
      </c>
      <c r="H187" s="24">
        <f t="shared" si="6"/>
        <v>0</v>
      </c>
      <c r="I187" s="35"/>
      <c r="J187" s="35"/>
      <c r="K187" s="36"/>
      <c r="L187" s="34"/>
      <c r="M187" s="40"/>
      <c r="N187" s="40"/>
      <c r="O187" s="35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17"/>
      <c r="AC187" s="17">
        <v>12</v>
      </c>
      <c r="AD187" s="17">
        <f t="shared" si="7"/>
        <v>0</v>
      </c>
      <c r="AE187" s="28">
        <f t="shared" si="8"/>
        <v>0</v>
      </c>
      <c r="AF187" s="28">
        <v>1</v>
      </c>
    </row>
    <row r="188" spans="1:32" ht="15.75" hidden="1" customHeight="1" x14ac:dyDescent="0.3">
      <c r="A188" s="32">
        <v>140</v>
      </c>
      <c r="B188" s="33" t="s">
        <v>482</v>
      </c>
      <c r="C188" s="33" t="s">
        <v>473</v>
      </c>
      <c r="D188" s="33" t="s">
        <v>483</v>
      </c>
      <c r="E188" s="33" t="s">
        <v>240</v>
      </c>
      <c r="F188" s="33" t="s">
        <v>95</v>
      </c>
      <c r="G188" s="34" t="s">
        <v>95</v>
      </c>
      <c r="H188" s="24">
        <f t="shared" si="6"/>
        <v>0</v>
      </c>
      <c r="I188" s="35"/>
      <c r="J188" s="35"/>
      <c r="K188" s="36"/>
      <c r="L188" s="34"/>
      <c r="M188" s="40"/>
      <c r="N188" s="40"/>
      <c r="O188" s="35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17"/>
      <c r="AC188" s="17">
        <v>12</v>
      </c>
      <c r="AD188" s="17">
        <f t="shared" si="7"/>
        <v>0</v>
      </c>
      <c r="AE188" s="28">
        <f t="shared" si="8"/>
        <v>0</v>
      </c>
      <c r="AF188" s="28">
        <v>1</v>
      </c>
    </row>
    <row r="189" spans="1:32" ht="15.75" hidden="1" customHeight="1" x14ac:dyDescent="0.3">
      <c r="A189" s="32">
        <v>140</v>
      </c>
      <c r="B189" s="33" t="s">
        <v>484</v>
      </c>
      <c r="C189" s="33" t="s">
        <v>473</v>
      </c>
      <c r="D189" s="33" t="s">
        <v>485</v>
      </c>
      <c r="E189" s="33" t="s">
        <v>240</v>
      </c>
      <c r="F189" s="33" t="s">
        <v>95</v>
      </c>
      <c r="G189" s="34" t="s">
        <v>95</v>
      </c>
      <c r="H189" s="24">
        <f t="shared" si="6"/>
        <v>0</v>
      </c>
      <c r="I189" s="35"/>
      <c r="J189" s="35"/>
      <c r="K189" s="36"/>
      <c r="L189" s="34"/>
      <c r="M189" s="40"/>
      <c r="N189" s="40"/>
      <c r="O189" s="35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17"/>
      <c r="AC189" s="17">
        <v>12</v>
      </c>
      <c r="AD189" s="17">
        <f t="shared" si="7"/>
        <v>0</v>
      </c>
      <c r="AE189" s="28">
        <f t="shared" si="8"/>
        <v>0</v>
      </c>
      <c r="AF189" s="28">
        <v>1</v>
      </c>
    </row>
    <row r="190" spans="1:32" ht="15.75" hidden="1" customHeight="1" x14ac:dyDescent="0.3">
      <c r="A190" s="32">
        <v>140</v>
      </c>
      <c r="B190" s="33" t="s">
        <v>486</v>
      </c>
      <c r="C190" s="33" t="s">
        <v>473</v>
      </c>
      <c r="D190" s="33" t="s">
        <v>487</v>
      </c>
      <c r="E190" s="33" t="s">
        <v>240</v>
      </c>
      <c r="F190" s="33" t="s">
        <v>95</v>
      </c>
      <c r="G190" s="34" t="s">
        <v>95</v>
      </c>
      <c r="H190" s="24">
        <f t="shared" si="6"/>
        <v>0</v>
      </c>
      <c r="I190" s="35"/>
      <c r="J190" s="35"/>
      <c r="K190" s="36"/>
      <c r="L190" s="34"/>
      <c r="M190" s="40"/>
      <c r="N190" s="40"/>
      <c r="O190" s="35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49"/>
      <c r="AC190" s="17">
        <v>12</v>
      </c>
      <c r="AD190" s="17">
        <f t="shared" si="7"/>
        <v>0</v>
      </c>
      <c r="AE190" s="28">
        <f t="shared" si="8"/>
        <v>0</v>
      </c>
      <c r="AF190" s="28">
        <v>1</v>
      </c>
    </row>
    <row r="191" spans="1:32" ht="15.75" hidden="1" customHeight="1" x14ac:dyDescent="0.3">
      <c r="A191" s="32">
        <v>140</v>
      </c>
      <c r="B191" s="33" t="s">
        <v>466</v>
      </c>
      <c r="C191" s="33" t="s">
        <v>448</v>
      </c>
      <c r="D191" s="33" t="s">
        <v>467</v>
      </c>
      <c r="E191" s="33" t="s">
        <v>240</v>
      </c>
      <c r="F191" s="33" t="s">
        <v>95</v>
      </c>
      <c r="G191" s="34" t="s">
        <v>95</v>
      </c>
      <c r="H191" s="24">
        <f t="shared" si="6"/>
        <v>0</v>
      </c>
      <c r="I191" s="35"/>
      <c r="J191" s="35"/>
      <c r="K191" s="36"/>
      <c r="L191" s="34"/>
      <c r="M191" s="40"/>
      <c r="N191" s="51"/>
      <c r="O191" s="35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17"/>
      <c r="AC191" s="17">
        <v>12</v>
      </c>
      <c r="AD191" s="17">
        <f t="shared" si="7"/>
        <v>0</v>
      </c>
      <c r="AE191" s="28">
        <f t="shared" si="8"/>
        <v>0</v>
      </c>
      <c r="AF191" s="28">
        <v>1</v>
      </c>
    </row>
    <row r="192" spans="1:32" ht="15.75" hidden="1" customHeight="1" x14ac:dyDescent="0.3">
      <c r="A192" s="32">
        <v>140</v>
      </c>
      <c r="B192" s="33" t="s">
        <v>505</v>
      </c>
      <c r="C192" s="33" t="s">
        <v>495</v>
      </c>
      <c r="D192" s="33" t="s">
        <v>506</v>
      </c>
      <c r="E192" s="33" t="s">
        <v>240</v>
      </c>
      <c r="F192" s="33" t="s">
        <v>95</v>
      </c>
      <c r="G192" s="34" t="s">
        <v>95</v>
      </c>
      <c r="H192" s="24">
        <f t="shared" si="6"/>
        <v>0</v>
      </c>
      <c r="I192" s="35"/>
      <c r="J192" s="35"/>
      <c r="K192" s="36"/>
      <c r="L192" s="34"/>
      <c r="M192" s="40"/>
      <c r="N192" s="51"/>
      <c r="O192" s="35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17"/>
      <c r="AC192" s="17">
        <v>12</v>
      </c>
      <c r="AD192" s="17">
        <f t="shared" si="7"/>
        <v>0</v>
      </c>
      <c r="AE192" s="28">
        <f t="shared" si="8"/>
        <v>0</v>
      </c>
      <c r="AF192" s="28">
        <v>1</v>
      </c>
    </row>
    <row r="193" spans="1:32" ht="15.75" hidden="1" customHeight="1" x14ac:dyDescent="0.3">
      <c r="A193" s="32">
        <v>140</v>
      </c>
      <c r="B193" s="33" t="s">
        <v>445</v>
      </c>
      <c r="C193" s="52" t="s">
        <v>437</v>
      </c>
      <c r="D193" s="33" t="s">
        <v>446</v>
      </c>
      <c r="E193" s="33" t="s">
        <v>240</v>
      </c>
      <c r="F193" s="33" t="s">
        <v>95</v>
      </c>
      <c r="G193" s="34" t="s">
        <v>95</v>
      </c>
      <c r="H193" s="24">
        <f t="shared" si="6"/>
        <v>0</v>
      </c>
      <c r="I193" s="35"/>
      <c r="J193" s="35"/>
      <c r="K193" s="36"/>
      <c r="L193" s="34"/>
      <c r="M193" s="40"/>
      <c r="N193" s="51"/>
      <c r="O193" s="35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17"/>
      <c r="AC193" s="17">
        <v>12</v>
      </c>
      <c r="AD193" s="17">
        <f t="shared" si="7"/>
        <v>0</v>
      </c>
      <c r="AE193" s="28">
        <f t="shared" si="8"/>
        <v>0</v>
      </c>
      <c r="AF193" s="28">
        <v>1</v>
      </c>
    </row>
    <row r="194" spans="1:32" ht="15.75" hidden="1" customHeight="1" x14ac:dyDescent="0.3">
      <c r="A194" s="32">
        <v>140</v>
      </c>
      <c r="B194" s="33" t="s">
        <v>488</v>
      </c>
      <c r="C194" s="33" t="s">
        <v>473</v>
      </c>
      <c r="D194" s="33" t="s">
        <v>489</v>
      </c>
      <c r="E194" s="33" t="s">
        <v>240</v>
      </c>
      <c r="F194" s="33" t="s">
        <v>95</v>
      </c>
      <c r="G194" s="34" t="s">
        <v>95</v>
      </c>
      <c r="H194" s="24">
        <f t="shared" si="6"/>
        <v>0</v>
      </c>
      <c r="I194" s="35"/>
      <c r="J194" s="35"/>
      <c r="K194" s="36"/>
      <c r="L194" s="34"/>
      <c r="M194" s="40"/>
      <c r="N194" s="40"/>
      <c r="O194" s="35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17"/>
      <c r="AC194" s="17">
        <v>12</v>
      </c>
      <c r="AD194" s="17">
        <f t="shared" si="7"/>
        <v>0</v>
      </c>
      <c r="AE194" s="28">
        <f t="shared" si="8"/>
        <v>0</v>
      </c>
      <c r="AF194" s="28">
        <v>1</v>
      </c>
    </row>
    <row r="195" spans="1:32" ht="15.75" hidden="1" customHeight="1" x14ac:dyDescent="0.3">
      <c r="A195" s="32">
        <v>140</v>
      </c>
      <c r="B195" s="33" t="s">
        <v>490</v>
      </c>
      <c r="C195" s="33" t="s">
        <v>473</v>
      </c>
      <c r="D195" s="33" t="s">
        <v>491</v>
      </c>
      <c r="E195" s="33" t="s">
        <v>240</v>
      </c>
      <c r="F195" s="33" t="s">
        <v>95</v>
      </c>
      <c r="G195" s="34" t="s">
        <v>95</v>
      </c>
      <c r="H195" s="24">
        <f t="shared" si="6"/>
        <v>0</v>
      </c>
      <c r="I195" s="35"/>
      <c r="J195" s="35"/>
      <c r="K195" s="36"/>
      <c r="L195" s="34"/>
      <c r="M195" s="40"/>
      <c r="N195" s="51"/>
      <c r="O195" s="35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17"/>
      <c r="AC195" s="17">
        <v>12</v>
      </c>
      <c r="AD195" s="17">
        <f t="shared" si="7"/>
        <v>0</v>
      </c>
      <c r="AE195" s="28">
        <f t="shared" si="8"/>
        <v>0</v>
      </c>
      <c r="AF195" s="28">
        <v>1</v>
      </c>
    </row>
    <row r="196" spans="1:32" ht="15.75" hidden="1" customHeight="1" x14ac:dyDescent="0.3">
      <c r="A196" s="32">
        <v>140</v>
      </c>
      <c r="B196" s="33" t="s">
        <v>430</v>
      </c>
      <c r="C196" s="33" t="s">
        <v>425</v>
      </c>
      <c r="D196" s="33" t="s">
        <v>431</v>
      </c>
      <c r="E196" s="33" t="s">
        <v>240</v>
      </c>
      <c r="F196" s="33" t="s">
        <v>95</v>
      </c>
      <c r="G196" s="34" t="s">
        <v>95</v>
      </c>
      <c r="H196" s="24">
        <f t="shared" ref="H196:H259" si="9">IF(AC196=0," ",(AD196/AC196))</f>
        <v>0</v>
      </c>
      <c r="I196" s="35"/>
      <c r="J196" s="35"/>
      <c r="K196" s="36"/>
      <c r="L196" s="34"/>
      <c r="M196" s="40"/>
      <c r="N196" s="51"/>
      <c r="O196" s="35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17"/>
      <c r="AC196" s="17">
        <v>12</v>
      </c>
      <c r="AD196" s="17">
        <f t="shared" ref="AD196:AD259" si="10">IF(COUNTA(P196:AB196)&gt;AC196,AC196,COUNTA(P196:AB196))</f>
        <v>0</v>
      </c>
      <c r="AE196" s="28">
        <f t="shared" ref="AE196:AE259" si="11">IF(H196=1,1,0)</f>
        <v>0</v>
      </c>
      <c r="AF196" s="28">
        <v>1</v>
      </c>
    </row>
    <row r="197" spans="1:32" ht="15.75" hidden="1" customHeight="1" x14ac:dyDescent="0.3">
      <c r="A197" s="32">
        <v>140</v>
      </c>
      <c r="B197" s="33" t="s">
        <v>475</v>
      </c>
      <c r="C197" s="33" t="s">
        <v>473</v>
      </c>
      <c r="D197" s="33" t="s">
        <v>476</v>
      </c>
      <c r="E197" s="33" t="s">
        <v>240</v>
      </c>
      <c r="F197" s="33" t="s">
        <v>93</v>
      </c>
      <c r="G197" s="34" t="s">
        <v>119</v>
      </c>
      <c r="H197" s="24">
        <f t="shared" si="9"/>
        <v>0</v>
      </c>
      <c r="I197" s="35"/>
      <c r="J197" s="35"/>
      <c r="K197" s="36"/>
      <c r="L197" s="34"/>
      <c r="M197" s="40"/>
      <c r="N197" s="51"/>
      <c r="O197" s="35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17"/>
      <c r="AC197" s="17">
        <v>12</v>
      </c>
      <c r="AD197" s="17">
        <f t="shared" si="10"/>
        <v>0</v>
      </c>
      <c r="AE197" s="28">
        <f t="shared" si="11"/>
        <v>0</v>
      </c>
      <c r="AF197" s="28">
        <v>1</v>
      </c>
    </row>
    <row r="198" spans="1:32" ht="15.75" hidden="1" customHeight="1" x14ac:dyDescent="0.3">
      <c r="A198" s="32">
        <v>140</v>
      </c>
      <c r="B198" s="33" t="s">
        <v>475</v>
      </c>
      <c r="C198" s="33" t="s">
        <v>473</v>
      </c>
      <c r="D198" s="33" t="s">
        <v>476</v>
      </c>
      <c r="E198" s="33" t="s">
        <v>477</v>
      </c>
      <c r="F198" s="33" t="s">
        <v>93</v>
      </c>
      <c r="G198" s="34" t="s">
        <v>119</v>
      </c>
      <c r="H198" s="24">
        <f t="shared" si="9"/>
        <v>0</v>
      </c>
      <c r="I198" s="35"/>
      <c r="J198" s="35"/>
      <c r="K198" s="36"/>
      <c r="L198" s="34"/>
      <c r="M198" s="40"/>
      <c r="N198" s="40"/>
      <c r="O198" s="35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49"/>
      <c r="AC198" s="17">
        <v>12</v>
      </c>
      <c r="AD198" s="17">
        <f t="shared" si="10"/>
        <v>0</v>
      </c>
      <c r="AE198" s="28">
        <f t="shared" si="11"/>
        <v>0</v>
      </c>
      <c r="AF198" s="28">
        <v>1</v>
      </c>
    </row>
    <row r="199" spans="1:32" ht="15.75" hidden="1" customHeight="1" x14ac:dyDescent="0.3">
      <c r="A199" s="32">
        <v>140</v>
      </c>
      <c r="B199" s="33" t="s">
        <v>475</v>
      </c>
      <c r="C199" s="33" t="s">
        <v>473</v>
      </c>
      <c r="D199" s="33" t="s">
        <v>853</v>
      </c>
      <c r="E199" s="33" t="s">
        <v>478</v>
      </c>
      <c r="F199" s="33" t="s">
        <v>479</v>
      </c>
      <c r="G199" s="33"/>
      <c r="H199" s="24">
        <f t="shared" si="9"/>
        <v>0</v>
      </c>
      <c r="I199" s="35"/>
      <c r="J199" s="35"/>
      <c r="K199" s="36"/>
      <c r="L199" s="34"/>
      <c r="M199" s="40"/>
      <c r="N199" s="51"/>
      <c r="O199" s="35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49"/>
      <c r="AC199" s="17">
        <v>1</v>
      </c>
      <c r="AD199" s="17">
        <f t="shared" si="10"/>
        <v>0</v>
      </c>
      <c r="AE199" s="28">
        <f t="shared" si="11"/>
        <v>0</v>
      </c>
      <c r="AF199" s="28">
        <v>1</v>
      </c>
    </row>
    <row r="200" spans="1:32" ht="15.75" hidden="1" customHeight="1" x14ac:dyDescent="0.3">
      <c r="A200" s="32">
        <v>140</v>
      </c>
      <c r="B200" s="33" t="s">
        <v>480</v>
      </c>
      <c r="C200" s="33" t="s">
        <v>473</v>
      </c>
      <c r="D200" s="33" t="s">
        <v>481</v>
      </c>
      <c r="E200" s="33" t="s">
        <v>240</v>
      </c>
      <c r="F200" s="33" t="s">
        <v>93</v>
      </c>
      <c r="G200" s="34" t="s">
        <v>119</v>
      </c>
      <c r="H200" s="24">
        <f t="shared" si="9"/>
        <v>0</v>
      </c>
      <c r="I200" s="35"/>
      <c r="J200" s="35"/>
      <c r="K200" s="36"/>
      <c r="L200" s="34"/>
      <c r="M200" s="40"/>
      <c r="N200" s="51"/>
      <c r="O200" s="35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17"/>
      <c r="AC200" s="17">
        <v>12</v>
      </c>
      <c r="AD200" s="17">
        <f t="shared" si="10"/>
        <v>0</v>
      </c>
      <c r="AE200" s="28">
        <f t="shared" si="11"/>
        <v>0</v>
      </c>
      <c r="AF200" s="28">
        <v>1</v>
      </c>
    </row>
    <row r="201" spans="1:32" ht="15.75" hidden="1" customHeight="1" x14ac:dyDescent="0.3">
      <c r="A201" s="32">
        <v>140</v>
      </c>
      <c r="B201" s="33" t="s">
        <v>480</v>
      </c>
      <c r="C201" s="33" t="s">
        <v>473</v>
      </c>
      <c r="D201" s="33" t="s">
        <v>481</v>
      </c>
      <c r="E201" s="33" t="s">
        <v>477</v>
      </c>
      <c r="F201" s="33" t="s">
        <v>93</v>
      </c>
      <c r="G201" s="34" t="s">
        <v>119</v>
      </c>
      <c r="H201" s="24">
        <f t="shared" si="9"/>
        <v>0</v>
      </c>
      <c r="I201" s="35"/>
      <c r="J201" s="35"/>
      <c r="K201" s="36"/>
      <c r="L201" s="34"/>
      <c r="M201" s="40"/>
      <c r="N201" s="51"/>
      <c r="O201" s="35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49"/>
      <c r="AC201" s="17">
        <v>12</v>
      </c>
      <c r="AD201" s="17">
        <f t="shared" si="10"/>
        <v>0</v>
      </c>
      <c r="AE201" s="28">
        <f t="shared" si="11"/>
        <v>0</v>
      </c>
      <c r="AF201" s="28">
        <v>1</v>
      </c>
    </row>
    <row r="202" spans="1:32" ht="15.75" hidden="1" customHeight="1" x14ac:dyDescent="0.3">
      <c r="A202" s="32">
        <v>140</v>
      </c>
      <c r="B202" s="33" t="s">
        <v>480</v>
      </c>
      <c r="C202" s="33" t="s">
        <v>473</v>
      </c>
      <c r="D202" s="33" t="s">
        <v>854</v>
      </c>
      <c r="E202" s="33" t="s">
        <v>478</v>
      </c>
      <c r="F202" s="33" t="s">
        <v>479</v>
      </c>
      <c r="G202" s="33"/>
      <c r="H202" s="24">
        <f t="shared" si="9"/>
        <v>0</v>
      </c>
      <c r="I202" s="35"/>
      <c r="J202" s="35"/>
      <c r="K202" s="36"/>
      <c r="L202" s="34"/>
      <c r="M202" s="40"/>
      <c r="N202" s="40"/>
      <c r="O202" s="35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17"/>
      <c r="AC202" s="17">
        <v>1</v>
      </c>
      <c r="AD202" s="17">
        <f t="shared" si="10"/>
        <v>0</v>
      </c>
      <c r="AE202" s="28">
        <f t="shared" si="11"/>
        <v>0</v>
      </c>
      <c r="AF202" s="28">
        <v>1</v>
      </c>
    </row>
    <row r="203" spans="1:32" ht="15.75" hidden="1" customHeight="1" x14ac:dyDescent="0.3">
      <c r="A203" s="32">
        <v>140</v>
      </c>
      <c r="B203" s="33" t="s">
        <v>427</v>
      </c>
      <c r="C203" s="33" t="s">
        <v>425</v>
      </c>
      <c r="D203" s="33" t="s">
        <v>428</v>
      </c>
      <c r="E203" s="33" t="s">
        <v>240</v>
      </c>
      <c r="F203" s="33" t="s">
        <v>95</v>
      </c>
      <c r="G203" s="34" t="s">
        <v>95</v>
      </c>
      <c r="H203" s="24">
        <f t="shared" si="9"/>
        <v>0</v>
      </c>
      <c r="I203" s="35"/>
      <c r="J203" s="35"/>
      <c r="K203" s="36"/>
      <c r="L203" s="34"/>
      <c r="M203" s="40"/>
      <c r="N203" s="51"/>
      <c r="O203" s="35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17"/>
      <c r="AC203" s="17">
        <v>12</v>
      </c>
      <c r="AD203" s="17">
        <f t="shared" si="10"/>
        <v>0</v>
      </c>
      <c r="AE203" s="28">
        <f t="shared" si="11"/>
        <v>0</v>
      </c>
      <c r="AF203" s="28">
        <v>1</v>
      </c>
    </row>
    <row r="204" spans="1:32" ht="15.75" hidden="1" customHeight="1" x14ac:dyDescent="0.3">
      <c r="A204" s="32">
        <v>140</v>
      </c>
      <c r="B204" s="33" t="s">
        <v>427</v>
      </c>
      <c r="C204" s="33" t="s">
        <v>425</v>
      </c>
      <c r="D204" s="33" t="s">
        <v>429</v>
      </c>
      <c r="E204" s="33" t="s">
        <v>240</v>
      </c>
      <c r="F204" s="33" t="s">
        <v>95</v>
      </c>
      <c r="G204" s="34" t="s">
        <v>95</v>
      </c>
      <c r="H204" s="24">
        <f t="shared" si="9"/>
        <v>0</v>
      </c>
      <c r="I204" s="35"/>
      <c r="J204" s="35"/>
      <c r="K204" s="36"/>
      <c r="L204" s="34"/>
      <c r="M204" s="40"/>
      <c r="N204" s="51"/>
      <c r="O204" s="35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17"/>
      <c r="AC204" s="17">
        <v>12</v>
      </c>
      <c r="AD204" s="17">
        <f t="shared" si="10"/>
        <v>0</v>
      </c>
      <c r="AE204" s="28">
        <f t="shared" si="11"/>
        <v>0</v>
      </c>
      <c r="AF204" s="28">
        <v>1</v>
      </c>
    </row>
    <row r="205" spans="1:32" ht="15.75" hidden="1" customHeight="1" x14ac:dyDescent="0.3">
      <c r="A205" s="32">
        <v>140</v>
      </c>
      <c r="B205" s="33" t="s">
        <v>515</v>
      </c>
      <c r="C205" s="33" t="s">
        <v>516</v>
      </c>
      <c r="D205" s="33" t="s">
        <v>518</v>
      </c>
      <c r="E205" s="33" t="s">
        <v>767</v>
      </c>
      <c r="F205" s="33" t="s">
        <v>86</v>
      </c>
      <c r="G205" s="34" t="s">
        <v>99</v>
      </c>
      <c r="H205" s="24">
        <f t="shared" si="9"/>
        <v>0</v>
      </c>
      <c r="I205" s="35"/>
      <c r="J205" s="35"/>
      <c r="K205" s="36"/>
      <c r="L205" s="34"/>
      <c r="M205" s="40"/>
      <c r="N205" s="51"/>
      <c r="O205" s="35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17">
        <v>1</v>
      </c>
      <c r="AD205" s="17">
        <f t="shared" si="10"/>
        <v>0</v>
      </c>
      <c r="AE205" s="28">
        <f t="shared" si="11"/>
        <v>0</v>
      </c>
      <c r="AF205" s="28">
        <v>1</v>
      </c>
    </row>
    <row r="206" spans="1:32" ht="15.75" hidden="1" customHeight="1" x14ac:dyDescent="0.3">
      <c r="A206" s="32">
        <v>140</v>
      </c>
      <c r="B206" s="33" t="s">
        <v>515</v>
      </c>
      <c r="C206" s="33" t="s">
        <v>516</v>
      </c>
      <c r="D206" s="33" t="s">
        <v>518</v>
      </c>
      <c r="E206" s="33" t="s">
        <v>173</v>
      </c>
      <c r="F206" s="33" t="s">
        <v>88</v>
      </c>
      <c r="G206" s="34" t="s">
        <v>127</v>
      </c>
      <c r="H206" s="24">
        <f t="shared" si="9"/>
        <v>0</v>
      </c>
      <c r="I206" s="35"/>
      <c r="J206" s="35"/>
      <c r="K206" s="36"/>
      <c r="L206" s="34"/>
      <c r="M206" s="40"/>
      <c r="N206" s="40"/>
      <c r="O206" s="35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17">
        <v>2</v>
      </c>
      <c r="AD206" s="17">
        <f t="shared" si="10"/>
        <v>0</v>
      </c>
      <c r="AE206" s="28">
        <f t="shared" si="11"/>
        <v>0</v>
      </c>
      <c r="AF206" s="28">
        <v>1</v>
      </c>
    </row>
    <row r="207" spans="1:32" ht="15.75" hidden="1" customHeight="1" x14ac:dyDescent="0.3">
      <c r="A207" s="32">
        <v>140</v>
      </c>
      <c r="B207" s="33" t="s">
        <v>515</v>
      </c>
      <c r="C207" s="33" t="s">
        <v>516</v>
      </c>
      <c r="D207" s="33" t="s">
        <v>518</v>
      </c>
      <c r="E207" s="33" t="s">
        <v>766</v>
      </c>
      <c r="F207" s="33" t="s">
        <v>88</v>
      </c>
      <c r="G207" s="34" t="s">
        <v>127</v>
      </c>
      <c r="H207" s="24">
        <f t="shared" si="9"/>
        <v>0</v>
      </c>
      <c r="I207" s="35"/>
      <c r="J207" s="35"/>
      <c r="K207" s="36"/>
      <c r="L207" s="34"/>
      <c r="M207" s="40"/>
      <c r="N207" s="51"/>
      <c r="O207" s="35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17">
        <v>2</v>
      </c>
      <c r="AD207" s="17">
        <f t="shared" si="10"/>
        <v>0</v>
      </c>
      <c r="AE207" s="28">
        <f t="shared" si="11"/>
        <v>0</v>
      </c>
      <c r="AF207" s="28">
        <v>1</v>
      </c>
    </row>
    <row r="208" spans="1:32" ht="15.75" hidden="1" customHeight="1" x14ac:dyDescent="0.3">
      <c r="A208" s="32">
        <v>140</v>
      </c>
      <c r="B208" s="33" t="s">
        <v>515</v>
      </c>
      <c r="C208" s="33" t="s">
        <v>516</v>
      </c>
      <c r="D208" s="33" t="s">
        <v>517</v>
      </c>
      <c r="E208" s="33" t="s">
        <v>240</v>
      </c>
      <c r="F208" s="33" t="s">
        <v>95</v>
      </c>
      <c r="G208" s="34" t="s">
        <v>95</v>
      </c>
      <c r="H208" s="24">
        <f t="shared" si="9"/>
        <v>0</v>
      </c>
      <c r="I208" s="35"/>
      <c r="J208" s="35"/>
      <c r="K208" s="36"/>
      <c r="L208" s="34"/>
      <c r="M208" s="40"/>
      <c r="N208" s="51"/>
      <c r="O208" s="35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17"/>
      <c r="AC208" s="17">
        <v>12</v>
      </c>
      <c r="AD208" s="17">
        <f t="shared" si="10"/>
        <v>0</v>
      </c>
      <c r="AE208" s="28">
        <f t="shared" si="11"/>
        <v>0</v>
      </c>
      <c r="AF208" s="28">
        <v>1</v>
      </c>
    </row>
    <row r="209" spans="1:32" ht="15.75" hidden="1" customHeight="1" x14ac:dyDescent="0.3">
      <c r="A209" s="32">
        <v>140</v>
      </c>
      <c r="B209" s="33" t="s">
        <v>452</v>
      </c>
      <c r="C209" s="33" t="s">
        <v>448</v>
      </c>
      <c r="D209" s="33" t="s">
        <v>453</v>
      </c>
      <c r="E209" s="33" t="s">
        <v>783</v>
      </c>
      <c r="F209" s="33" t="s">
        <v>88</v>
      </c>
      <c r="G209" s="34" t="s">
        <v>127</v>
      </c>
      <c r="H209" s="24">
        <f t="shared" si="9"/>
        <v>0</v>
      </c>
      <c r="I209" s="35"/>
      <c r="J209" s="35"/>
      <c r="K209" s="36"/>
      <c r="L209" s="34"/>
      <c r="M209" s="40"/>
      <c r="N209" s="51"/>
      <c r="O209" s="35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17"/>
      <c r="AC209" s="17">
        <v>2</v>
      </c>
      <c r="AD209" s="17">
        <f t="shared" si="10"/>
        <v>0</v>
      </c>
      <c r="AE209" s="28">
        <f t="shared" si="11"/>
        <v>0</v>
      </c>
      <c r="AF209" s="28">
        <v>1</v>
      </c>
    </row>
    <row r="210" spans="1:32" ht="15.75" hidden="1" customHeight="1" x14ac:dyDescent="0.3">
      <c r="A210" s="32">
        <v>140</v>
      </c>
      <c r="B210" s="33" t="s">
        <v>394</v>
      </c>
      <c r="C210" s="33" t="s">
        <v>395</v>
      </c>
      <c r="D210" s="33" t="s">
        <v>396</v>
      </c>
      <c r="E210" s="33" t="s">
        <v>775</v>
      </c>
      <c r="F210" s="33" t="s">
        <v>96</v>
      </c>
      <c r="G210" s="34" t="s">
        <v>167</v>
      </c>
      <c r="H210" s="24">
        <f t="shared" si="9"/>
        <v>0</v>
      </c>
      <c r="I210" s="35"/>
      <c r="J210" s="35"/>
      <c r="K210" s="36"/>
      <c r="L210" s="34" t="s">
        <v>100</v>
      </c>
      <c r="M210" s="40"/>
      <c r="N210" s="40"/>
      <c r="O210" s="35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17">
        <v>3</v>
      </c>
      <c r="AD210" s="17">
        <f t="shared" si="10"/>
        <v>0</v>
      </c>
      <c r="AE210" s="28">
        <f t="shared" si="11"/>
        <v>0</v>
      </c>
      <c r="AF210" s="28">
        <v>1</v>
      </c>
    </row>
    <row r="211" spans="1:32" ht="15.75" hidden="1" customHeight="1" x14ac:dyDescent="0.3">
      <c r="A211" s="32">
        <v>140</v>
      </c>
      <c r="B211" s="33" t="s">
        <v>394</v>
      </c>
      <c r="C211" s="33" t="s">
        <v>395</v>
      </c>
      <c r="D211" s="33" t="s">
        <v>396</v>
      </c>
      <c r="E211" s="33" t="s">
        <v>332</v>
      </c>
      <c r="F211" s="33" t="s">
        <v>132</v>
      </c>
      <c r="G211" s="34" t="s">
        <v>99</v>
      </c>
      <c r="H211" s="24">
        <f t="shared" si="9"/>
        <v>0</v>
      </c>
      <c r="I211" s="35"/>
      <c r="J211" s="35"/>
      <c r="K211" s="36"/>
      <c r="L211" s="34" t="s">
        <v>100</v>
      </c>
      <c r="M211" s="40"/>
      <c r="N211" s="51"/>
      <c r="O211" s="35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17"/>
      <c r="AC211" s="17">
        <v>1</v>
      </c>
      <c r="AD211" s="17">
        <f t="shared" si="10"/>
        <v>0</v>
      </c>
      <c r="AE211" s="28">
        <f t="shared" si="11"/>
        <v>0</v>
      </c>
      <c r="AF211" s="28">
        <v>1</v>
      </c>
    </row>
    <row r="212" spans="1:32" ht="15.75" hidden="1" customHeight="1" x14ac:dyDescent="0.3">
      <c r="A212" s="32">
        <v>140</v>
      </c>
      <c r="B212" s="33" t="s">
        <v>394</v>
      </c>
      <c r="C212" s="33" t="s">
        <v>395</v>
      </c>
      <c r="D212" s="33" t="s">
        <v>396</v>
      </c>
      <c r="E212" s="33" t="s">
        <v>165</v>
      </c>
      <c r="F212" s="33" t="s">
        <v>132</v>
      </c>
      <c r="G212" s="34" t="s">
        <v>99</v>
      </c>
      <c r="H212" s="24">
        <f t="shared" si="9"/>
        <v>0</v>
      </c>
      <c r="I212" s="35"/>
      <c r="J212" s="35"/>
      <c r="K212" s="36"/>
      <c r="L212" s="34" t="s">
        <v>100</v>
      </c>
      <c r="M212" s="40"/>
      <c r="N212" s="51"/>
      <c r="O212" s="35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17"/>
      <c r="AC212" s="17">
        <v>1</v>
      </c>
      <c r="AD212" s="17">
        <f t="shared" si="10"/>
        <v>0</v>
      </c>
      <c r="AE212" s="28">
        <f t="shared" si="11"/>
        <v>0</v>
      </c>
      <c r="AF212" s="28">
        <v>1</v>
      </c>
    </row>
    <row r="213" spans="1:32" ht="15.75" hidden="1" customHeight="1" x14ac:dyDescent="0.3">
      <c r="A213" s="32">
        <v>140</v>
      </c>
      <c r="B213" s="33" t="s">
        <v>424</v>
      </c>
      <c r="C213" s="33" t="s">
        <v>425</v>
      </c>
      <c r="D213" s="33" t="s">
        <v>426</v>
      </c>
      <c r="E213" s="33" t="s">
        <v>240</v>
      </c>
      <c r="F213" s="33" t="s">
        <v>95</v>
      </c>
      <c r="G213" s="34" t="s">
        <v>95</v>
      </c>
      <c r="H213" s="24">
        <f t="shared" si="9"/>
        <v>0</v>
      </c>
      <c r="I213" s="35"/>
      <c r="J213" s="35"/>
      <c r="K213" s="36"/>
      <c r="L213" s="34"/>
      <c r="M213" s="40"/>
      <c r="N213" s="51"/>
      <c r="O213" s="35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17"/>
      <c r="AC213" s="17">
        <v>12</v>
      </c>
      <c r="AD213" s="17">
        <f t="shared" si="10"/>
        <v>0</v>
      </c>
      <c r="AE213" s="28">
        <f t="shared" si="11"/>
        <v>0</v>
      </c>
      <c r="AF213" s="28">
        <v>1</v>
      </c>
    </row>
    <row r="214" spans="1:32" ht="15.75" hidden="1" customHeight="1" x14ac:dyDescent="0.3">
      <c r="A214" s="32">
        <v>140</v>
      </c>
      <c r="B214" s="33" t="s">
        <v>410</v>
      </c>
      <c r="C214" s="33" t="s">
        <v>392</v>
      </c>
      <c r="D214" s="33" t="s">
        <v>411</v>
      </c>
      <c r="E214" s="33" t="s">
        <v>240</v>
      </c>
      <c r="F214" s="33" t="s">
        <v>95</v>
      </c>
      <c r="G214" s="34" t="s">
        <v>95</v>
      </c>
      <c r="H214" s="24">
        <f t="shared" si="9"/>
        <v>0</v>
      </c>
      <c r="I214" s="35"/>
      <c r="J214" s="35"/>
      <c r="K214" s="36"/>
      <c r="L214" s="34"/>
      <c r="M214" s="40"/>
      <c r="N214" s="40"/>
      <c r="O214" s="35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17"/>
      <c r="AC214" s="17">
        <v>12</v>
      </c>
      <c r="AD214" s="17">
        <f t="shared" si="10"/>
        <v>0</v>
      </c>
      <c r="AE214" s="28">
        <f t="shared" si="11"/>
        <v>0</v>
      </c>
      <c r="AF214" s="28">
        <v>1</v>
      </c>
    </row>
    <row r="215" spans="1:32" ht="15.75" hidden="1" customHeight="1" x14ac:dyDescent="0.3">
      <c r="A215" s="32">
        <v>140</v>
      </c>
      <c r="B215" s="33" t="s">
        <v>412</v>
      </c>
      <c r="C215" s="33" t="s">
        <v>392</v>
      </c>
      <c r="D215" s="33" t="s">
        <v>413</v>
      </c>
      <c r="E215" s="33" t="s">
        <v>240</v>
      </c>
      <c r="F215" s="33" t="s">
        <v>95</v>
      </c>
      <c r="G215" s="34" t="s">
        <v>95</v>
      </c>
      <c r="H215" s="24">
        <f t="shared" si="9"/>
        <v>0</v>
      </c>
      <c r="I215" s="35"/>
      <c r="J215" s="35"/>
      <c r="K215" s="36"/>
      <c r="L215" s="34"/>
      <c r="M215" s="40"/>
      <c r="N215" s="51"/>
      <c r="O215" s="35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17"/>
      <c r="AC215" s="17">
        <v>12</v>
      </c>
      <c r="AD215" s="17">
        <f t="shared" si="10"/>
        <v>0</v>
      </c>
      <c r="AE215" s="28">
        <f t="shared" si="11"/>
        <v>0</v>
      </c>
      <c r="AF215" s="28">
        <v>1</v>
      </c>
    </row>
    <row r="216" spans="1:32" ht="15.75" hidden="1" customHeight="1" x14ac:dyDescent="0.3">
      <c r="A216" s="32">
        <v>140</v>
      </c>
      <c r="B216" s="33" t="s">
        <v>391</v>
      </c>
      <c r="C216" s="33" t="s">
        <v>392</v>
      </c>
      <c r="D216" s="33" t="s">
        <v>393</v>
      </c>
      <c r="E216" s="33" t="s">
        <v>240</v>
      </c>
      <c r="F216" s="33" t="s">
        <v>95</v>
      </c>
      <c r="G216" s="34" t="s">
        <v>95</v>
      </c>
      <c r="H216" s="24">
        <f t="shared" si="9"/>
        <v>0</v>
      </c>
      <c r="I216" s="34"/>
      <c r="J216" s="34"/>
      <c r="K216" s="34"/>
      <c r="L216" s="34"/>
      <c r="M216" s="50"/>
      <c r="N216" s="102"/>
      <c r="O216" s="34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17"/>
      <c r="AC216" s="17">
        <v>12</v>
      </c>
      <c r="AD216" s="17">
        <f t="shared" si="10"/>
        <v>0</v>
      </c>
      <c r="AE216" s="28">
        <f t="shared" si="11"/>
        <v>0</v>
      </c>
      <c r="AF216" s="28">
        <v>1</v>
      </c>
    </row>
    <row r="217" spans="1:32" ht="15.75" hidden="1" customHeight="1" x14ac:dyDescent="0.3">
      <c r="A217" s="32">
        <v>140</v>
      </c>
      <c r="B217" s="33" t="s">
        <v>418</v>
      </c>
      <c r="C217" s="33" t="s">
        <v>392</v>
      </c>
      <c r="D217" s="33" t="s">
        <v>419</v>
      </c>
      <c r="E217" s="33" t="s">
        <v>240</v>
      </c>
      <c r="F217" s="33" t="s">
        <v>95</v>
      </c>
      <c r="G217" s="34" t="s">
        <v>95</v>
      </c>
      <c r="H217" s="24">
        <f t="shared" si="9"/>
        <v>0</v>
      </c>
      <c r="I217" s="35"/>
      <c r="J217" s="35"/>
      <c r="K217" s="36"/>
      <c r="L217" s="34"/>
      <c r="M217" s="40"/>
      <c r="N217" s="51"/>
      <c r="O217" s="35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17"/>
      <c r="AC217" s="17">
        <v>12</v>
      </c>
      <c r="AD217" s="17">
        <f t="shared" si="10"/>
        <v>0</v>
      </c>
      <c r="AE217" s="28">
        <f t="shared" si="11"/>
        <v>0</v>
      </c>
      <c r="AF217" s="28">
        <v>1</v>
      </c>
    </row>
    <row r="218" spans="1:32" ht="15.75" hidden="1" customHeight="1" x14ac:dyDescent="0.3">
      <c r="A218" s="32">
        <v>140</v>
      </c>
      <c r="B218" s="33" t="s">
        <v>450</v>
      </c>
      <c r="C218" s="33" t="s">
        <v>448</v>
      </c>
      <c r="D218" s="33" t="s">
        <v>451</v>
      </c>
      <c r="E218" s="33" t="s">
        <v>240</v>
      </c>
      <c r="F218" s="33" t="s">
        <v>95</v>
      </c>
      <c r="G218" s="34" t="s">
        <v>95</v>
      </c>
      <c r="H218" s="24">
        <f t="shared" si="9"/>
        <v>0</v>
      </c>
      <c r="I218" s="35"/>
      <c r="J218" s="35"/>
      <c r="K218" s="36"/>
      <c r="L218" s="34"/>
      <c r="M218" s="40"/>
      <c r="N218" s="40"/>
      <c r="O218" s="35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17"/>
      <c r="AC218" s="17">
        <v>12</v>
      </c>
      <c r="AD218" s="17">
        <f t="shared" si="10"/>
        <v>0</v>
      </c>
      <c r="AE218" s="28">
        <f t="shared" si="11"/>
        <v>0</v>
      </c>
      <c r="AF218" s="28">
        <v>1</v>
      </c>
    </row>
    <row r="219" spans="1:32" ht="15.75" hidden="1" customHeight="1" x14ac:dyDescent="0.3">
      <c r="A219" s="32">
        <v>140</v>
      </c>
      <c r="B219" s="33" t="s">
        <v>470</v>
      </c>
      <c r="C219" s="33" t="s">
        <v>448</v>
      </c>
      <c r="D219" s="33" t="s">
        <v>471</v>
      </c>
      <c r="E219" s="33" t="s">
        <v>240</v>
      </c>
      <c r="F219" s="33" t="s">
        <v>95</v>
      </c>
      <c r="G219" s="34" t="s">
        <v>95</v>
      </c>
      <c r="H219" s="24">
        <f t="shared" si="9"/>
        <v>0</v>
      </c>
      <c r="I219" s="35"/>
      <c r="J219" s="35"/>
      <c r="K219" s="36"/>
      <c r="L219" s="34"/>
      <c r="M219" s="40"/>
      <c r="N219" s="51"/>
      <c r="O219" s="35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17"/>
      <c r="AC219" s="17">
        <v>12</v>
      </c>
      <c r="AD219" s="17">
        <f t="shared" si="10"/>
        <v>0</v>
      </c>
      <c r="AE219" s="28">
        <f t="shared" si="11"/>
        <v>0</v>
      </c>
      <c r="AF219" s="28">
        <v>1</v>
      </c>
    </row>
    <row r="220" spans="1:32" ht="15.75" hidden="1" customHeight="1" x14ac:dyDescent="0.3">
      <c r="A220" s="32">
        <v>140</v>
      </c>
      <c r="B220" s="33" t="s">
        <v>454</v>
      </c>
      <c r="C220" s="33" t="s">
        <v>448</v>
      </c>
      <c r="D220" s="33" t="s">
        <v>455</v>
      </c>
      <c r="E220" s="33" t="s">
        <v>240</v>
      </c>
      <c r="F220" s="33" t="s">
        <v>95</v>
      </c>
      <c r="G220" s="34" t="s">
        <v>95</v>
      </c>
      <c r="H220" s="24">
        <f t="shared" si="9"/>
        <v>0</v>
      </c>
      <c r="I220" s="35"/>
      <c r="J220" s="35"/>
      <c r="K220" s="36"/>
      <c r="L220" s="34"/>
      <c r="M220" s="40"/>
      <c r="N220" s="51"/>
      <c r="O220" s="35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17"/>
      <c r="AC220" s="17">
        <v>12</v>
      </c>
      <c r="AD220" s="17">
        <f t="shared" si="10"/>
        <v>0</v>
      </c>
      <c r="AE220" s="28">
        <f t="shared" si="11"/>
        <v>0</v>
      </c>
      <c r="AF220" s="28">
        <v>1</v>
      </c>
    </row>
    <row r="221" spans="1:32" ht="15.75" hidden="1" customHeight="1" x14ac:dyDescent="0.3">
      <c r="A221" s="32">
        <v>140</v>
      </c>
      <c r="B221" s="33" t="s">
        <v>494</v>
      </c>
      <c r="C221" s="33" t="s">
        <v>495</v>
      </c>
      <c r="D221" s="33" t="s">
        <v>496</v>
      </c>
      <c r="E221" s="33" t="s">
        <v>240</v>
      </c>
      <c r="F221" s="33" t="s">
        <v>95</v>
      </c>
      <c r="G221" s="34" t="s">
        <v>95</v>
      </c>
      <c r="H221" s="24">
        <f t="shared" si="9"/>
        <v>0</v>
      </c>
      <c r="I221" s="35"/>
      <c r="J221" s="35"/>
      <c r="K221" s="36"/>
      <c r="L221" s="34"/>
      <c r="M221" s="40"/>
      <c r="N221" s="51"/>
      <c r="O221" s="35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17"/>
      <c r="AC221" s="17">
        <v>12</v>
      </c>
      <c r="AD221" s="17">
        <f t="shared" si="10"/>
        <v>0</v>
      </c>
      <c r="AE221" s="28">
        <f t="shared" si="11"/>
        <v>0</v>
      </c>
      <c r="AF221" s="28">
        <v>1</v>
      </c>
    </row>
    <row r="222" spans="1:32" ht="15.75" hidden="1" customHeight="1" x14ac:dyDescent="0.3">
      <c r="A222" s="32">
        <v>140</v>
      </c>
      <c r="B222" s="33" t="s">
        <v>513</v>
      </c>
      <c r="C222" s="33" t="s">
        <v>495</v>
      </c>
      <c r="D222" s="33" t="s">
        <v>514</v>
      </c>
      <c r="E222" s="33" t="s">
        <v>240</v>
      </c>
      <c r="F222" s="33" t="s">
        <v>95</v>
      </c>
      <c r="G222" s="34" t="s">
        <v>95</v>
      </c>
      <c r="H222" s="24">
        <f t="shared" si="9"/>
        <v>0</v>
      </c>
      <c r="I222" s="35"/>
      <c r="J222" s="35"/>
      <c r="K222" s="36"/>
      <c r="L222" s="34"/>
      <c r="M222" s="40"/>
      <c r="N222" s="51"/>
      <c r="O222" s="35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49"/>
      <c r="AC222" s="17">
        <v>12</v>
      </c>
      <c r="AD222" s="17">
        <f t="shared" si="10"/>
        <v>0</v>
      </c>
      <c r="AE222" s="28">
        <f t="shared" si="11"/>
        <v>0</v>
      </c>
      <c r="AF222" s="28">
        <v>1</v>
      </c>
    </row>
    <row r="223" spans="1:32" ht="15.75" hidden="1" customHeight="1" x14ac:dyDescent="0.3">
      <c r="A223" s="32">
        <v>140</v>
      </c>
      <c r="B223" s="33" t="s">
        <v>436</v>
      </c>
      <c r="C223" s="52" t="s">
        <v>437</v>
      </c>
      <c r="D223" s="33" t="s">
        <v>438</v>
      </c>
      <c r="E223" s="33" t="s">
        <v>240</v>
      </c>
      <c r="F223" s="33" t="s">
        <v>95</v>
      </c>
      <c r="G223" s="34" t="s">
        <v>95</v>
      </c>
      <c r="H223" s="24">
        <f t="shared" si="9"/>
        <v>0</v>
      </c>
      <c r="I223" s="35"/>
      <c r="J223" s="35"/>
      <c r="K223" s="36"/>
      <c r="L223" s="34"/>
      <c r="M223" s="40"/>
      <c r="N223" s="51"/>
      <c r="O223" s="35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17"/>
      <c r="AC223" s="17">
        <v>12</v>
      </c>
      <c r="AD223" s="17">
        <f t="shared" si="10"/>
        <v>0</v>
      </c>
      <c r="AE223" s="28">
        <f t="shared" si="11"/>
        <v>0</v>
      </c>
      <c r="AF223" s="28">
        <v>1</v>
      </c>
    </row>
    <row r="224" spans="1:32" ht="15.75" hidden="1" customHeight="1" x14ac:dyDescent="0.3">
      <c r="A224" s="32">
        <v>140</v>
      </c>
      <c r="B224" s="33" t="s">
        <v>509</v>
      </c>
      <c r="C224" s="33" t="s">
        <v>495</v>
      </c>
      <c r="D224" s="33" t="s">
        <v>510</v>
      </c>
      <c r="E224" s="33" t="s">
        <v>240</v>
      </c>
      <c r="F224" s="33" t="s">
        <v>95</v>
      </c>
      <c r="G224" s="34" t="s">
        <v>95</v>
      </c>
      <c r="H224" s="24">
        <f t="shared" si="9"/>
        <v>0</v>
      </c>
      <c r="I224" s="35"/>
      <c r="J224" s="35"/>
      <c r="K224" s="36"/>
      <c r="L224" s="34"/>
      <c r="M224" s="40"/>
      <c r="N224" s="40"/>
      <c r="O224" s="35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17"/>
      <c r="AC224" s="17">
        <v>12</v>
      </c>
      <c r="AD224" s="17">
        <f t="shared" si="10"/>
        <v>0</v>
      </c>
      <c r="AE224" s="28">
        <f t="shared" si="11"/>
        <v>0</v>
      </c>
      <c r="AF224" s="28">
        <v>1</v>
      </c>
    </row>
    <row r="225" spans="1:32" ht="15.75" hidden="1" customHeight="1" x14ac:dyDescent="0.3">
      <c r="A225" s="32">
        <v>140</v>
      </c>
      <c r="B225" s="33" t="s">
        <v>520</v>
      </c>
      <c r="C225" s="33" t="s">
        <v>516</v>
      </c>
      <c r="D225" s="33" t="s">
        <v>521</v>
      </c>
      <c r="E225" s="33" t="s">
        <v>240</v>
      </c>
      <c r="F225" s="33" t="s">
        <v>95</v>
      </c>
      <c r="G225" s="34" t="s">
        <v>95</v>
      </c>
      <c r="H225" s="24">
        <f t="shared" si="9"/>
        <v>0</v>
      </c>
      <c r="I225" s="35"/>
      <c r="J225" s="35"/>
      <c r="K225" s="36"/>
      <c r="L225" s="34"/>
      <c r="M225" s="40"/>
      <c r="N225" s="40"/>
      <c r="O225" s="35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17"/>
      <c r="AC225" s="17">
        <v>12</v>
      </c>
      <c r="AD225" s="17">
        <f t="shared" si="10"/>
        <v>0</v>
      </c>
      <c r="AE225" s="28">
        <f t="shared" si="11"/>
        <v>0</v>
      </c>
      <c r="AF225" s="28">
        <v>1</v>
      </c>
    </row>
    <row r="226" spans="1:32" ht="15.75" hidden="1" customHeight="1" x14ac:dyDescent="0.3">
      <c r="A226" s="32">
        <v>140</v>
      </c>
      <c r="B226" s="33" t="s">
        <v>432</v>
      </c>
      <c r="C226" s="33" t="s">
        <v>425</v>
      </c>
      <c r="D226" s="33" t="s">
        <v>433</v>
      </c>
      <c r="E226" s="33" t="s">
        <v>783</v>
      </c>
      <c r="F226" s="33" t="s">
        <v>88</v>
      </c>
      <c r="G226" s="34" t="s">
        <v>127</v>
      </c>
      <c r="H226" s="24">
        <f t="shared" si="9"/>
        <v>0</v>
      </c>
      <c r="I226" s="35"/>
      <c r="J226" s="35"/>
      <c r="K226" s="36"/>
      <c r="L226" s="34"/>
      <c r="M226" s="40"/>
      <c r="N226" s="40"/>
      <c r="O226" s="35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17"/>
      <c r="AC226" s="17">
        <v>2</v>
      </c>
      <c r="AD226" s="17">
        <f t="shared" si="10"/>
        <v>0</v>
      </c>
      <c r="AE226" s="28">
        <f t="shared" si="11"/>
        <v>0</v>
      </c>
      <c r="AF226" s="28">
        <v>1</v>
      </c>
    </row>
    <row r="227" spans="1:32" ht="15.75" hidden="1" customHeight="1" x14ac:dyDescent="0.3">
      <c r="A227" s="32">
        <v>140</v>
      </c>
      <c r="B227" s="33" t="s">
        <v>456</v>
      </c>
      <c r="C227" s="33" t="s">
        <v>448</v>
      </c>
      <c r="D227" s="33" t="s">
        <v>457</v>
      </c>
      <c r="E227" s="33" t="s">
        <v>783</v>
      </c>
      <c r="F227" s="33" t="s">
        <v>88</v>
      </c>
      <c r="G227" s="34" t="s">
        <v>127</v>
      </c>
      <c r="H227" s="24">
        <f t="shared" si="9"/>
        <v>0</v>
      </c>
      <c r="I227" s="35"/>
      <c r="J227" s="35"/>
      <c r="K227" s="36"/>
      <c r="L227" s="34"/>
      <c r="M227" s="40"/>
      <c r="N227" s="51"/>
      <c r="O227" s="35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17">
        <v>2</v>
      </c>
      <c r="AD227" s="17">
        <f t="shared" si="10"/>
        <v>0</v>
      </c>
      <c r="AE227" s="28">
        <f t="shared" si="11"/>
        <v>0</v>
      </c>
      <c r="AF227" s="28">
        <v>1</v>
      </c>
    </row>
    <row r="228" spans="1:32" ht="15.75" hidden="1" customHeight="1" x14ac:dyDescent="0.3">
      <c r="A228" s="32">
        <v>140</v>
      </c>
      <c r="B228" s="33" t="s">
        <v>497</v>
      </c>
      <c r="C228" s="33" t="s">
        <v>495</v>
      </c>
      <c r="D228" s="33" t="s">
        <v>498</v>
      </c>
      <c r="E228" s="33" t="s">
        <v>783</v>
      </c>
      <c r="F228" s="33" t="s">
        <v>88</v>
      </c>
      <c r="G228" s="34" t="s">
        <v>127</v>
      </c>
      <c r="H228" s="24">
        <f t="shared" si="9"/>
        <v>0</v>
      </c>
      <c r="I228" s="35"/>
      <c r="J228" s="35"/>
      <c r="K228" s="36"/>
      <c r="L228" s="34"/>
      <c r="M228" s="40"/>
      <c r="N228" s="51"/>
      <c r="O228" s="35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17">
        <v>2</v>
      </c>
      <c r="AD228" s="17">
        <f t="shared" si="10"/>
        <v>0</v>
      </c>
      <c r="AE228" s="28">
        <f t="shared" si="11"/>
        <v>0</v>
      </c>
      <c r="AF228" s="28">
        <v>1</v>
      </c>
    </row>
    <row r="229" spans="1:32" ht="15.75" hidden="1" customHeight="1" x14ac:dyDescent="0.3">
      <c r="A229" s="32">
        <v>140</v>
      </c>
      <c r="B229" s="33" t="s">
        <v>397</v>
      </c>
      <c r="C229" s="33" t="s">
        <v>398</v>
      </c>
      <c r="D229" s="33" t="s">
        <v>399</v>
      </c>
      <c r="E229" s="33" t="s">
        <v>173</v>
      </c>
      <c r="F229" s="33" t="s">
        <v>88</v>
      </c>
      <c r="G229" s="34" t="s">
        <v>127</v>
      </c>
      <c r="H229" s="24">
        <f t="shared" si="9"/>
        <v>0</v>
      </c>
      <c r="I229" s="35"/>
      <c r="J229" s="35"/>
      <c r="K229" s="36"/>
      <c r="L229" s="34"/>
      <c r="M229" s="40"/>
      <c r="N229" s="40"/>
      <c r="O229" s="35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17">
        <v>2</v>
      </c>
      <c r="AD229" s="17">
        <f t="shared" si="10"/>
        <v>0</v>
      </c>
      <c r="AE229" s="28">
        <f t="shared" si="11"/>
        <v>0</v>
      </c>
      <c r="AF229" s="28">
        <v>1</v>
      </c>
    </row>
    <row r="230" spans="1:32" ht="15.75" hidden="1" customHeight="1" x14ac:dyDescent="0.3">
      <c r="A230" s="32">
        <v>140</v>
      </c>
      <c r="B230" s="33" t="s">
        <v>397</v>
      </c>
      <c r="C230" s="33" t="s">
        <v>398</v>
      </c>
      <c r="D230" s="33" t="s">
        <v>399</v>
      </c>
      <c r="E230" s="33" t="s">
        <v>183</v>
      </c>
      <c r="F230" s="33" t="s">
        <v>88</v>
      </c>
      <c r="G230" s="34" t="s">
        <v>127</v>
      </c>
      <c r="H230" s="24">
        <f t="shared" si="9"/>
        <v>0</v>
      </c>
      <c r="I230" s="35"/>
      <c r="J230" s="35"/>
      <c r="K230" s="36"/>
      <c r="L230" s="34"/>
      <c r="M230" s="40"/>
      <c r="N230" s="40"/>
      <c r="O230" s="35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17">
        <v>2</v>
      </c>
      <c r="AD230" s="17">
        <f t="shared" si="10"/>
        <v>0</v>
      </c>
      <c r="AE230" s="28">
        <f t="shared" si="11"/>
        <v>0</v>
      </c>
      <c r="AF230" s="28">
        <v>1</v>
      </c>
    </row>
    <row r="231" spans="1:32" ht="15.75" hidden="1" customHeight="1" x14ac:dyDescent="0.3">
      <c r="A231" s="32">
        <v>140</v>
      </c>
      <c r="B231" s="33" t="s">
        <v>408</v>
      </c>
      <c r="C231" s="33" t="s">
        <v>392</v>
      </c>
      <c r="D231" s="33" t="s">
        <v>409</v>
      </c>
      <c r="E231" s="33" t="s">
        <v>173</v>
      </c>
      <c r="F231" s="33" t="s">
        <v>88</v>
      </c>
      <c r="G231" s="34" t="s">
        <v>127</v>
      </c>
      <c r="H231" s="24">
        <f t="shared" si="9"/>
        <v>0</v>
      </c>
      <c r="I231" s="35"/>
      <c r="J231" s="35"/>
      <c r="K231" s="36"/>
      <c r="L231" s="34"/>
      <c r="M231" s="40"/>
      <c r="N231" s="40"/>
      <c r="O231" s="35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17">
        <v>2</v>
      </c>
      <c r="AD231" s="17">
        <f t="shared" si="10"/>
        <v>0</v>
      </c>
      <c r="AE231" s="28">
        <f t="shared" si="11"/>
        <v>0</v>
      </c>
      <c r="AF231" s="28">
        <v>1</v>
      </c>
    </row>
    <row r="232" spans="1:32" ht="15.75" hidden="1" customHeight="1" x14ac:dyDescent="0.3">
      <c r="A232" s="32">
        <v>140</v>
      </c>
      <c r="B232" s="33" t="s">
        <v>408</v>
      </c>
      <c r="C232" s="33" t="s">
        <v>392</v>
      </c>
      <c r="D232" s="33" t="s">
        <v>409</v>
      </c>
      <c r="E232" s="33" t="s">
        <v>183</v>
      </c>
      <c r="F232" s="33" t="s">
        <v>88</v>
      </c>
      <c r="G232" s="34" t="s">
        <v>127</v>
      </c>
      <c r="H232" s="24">
        <f t="shared" si="9"/>
        <v>0</v>
      </c>
      <c r="I232" s="35"/>
      <c r="J232" s="35"/>
      <c r="K232" s="36"/>
      <c r="L232" s="34"/>
      <c r="M232" s="40"/>
      <c r="N232" s="51"/>
      <c r="O232" s="35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17">
        <v>2</v>
      </c>
      <c r="AD232" s="17">
        <f t="shared" si="10"/>
        <v>0</v>
      </c>
      <c r="AE232" s="28">
        <f t="shared" si="11"/>
        <v>0</v>
      </c>
      <c r="AF232" s="28">
        <v>1</v>
      </c>
    </row>
    <row r="233" spans="1:32" ht="15.75" hidden="1" customHeight="1" x14ac:dyDescent="0.3">
      <c r="A233" s="32">
        <v>140</v>
      </c>
      <c r="B233" s="33" t="s">
        <v>414</v>
      </c>
      <c r="C233" s="33" t="s">
        <v>392</v>
      </c>
      <c r="D233" s="33" t="s">
        <v>415</v>
      </c>
      <c r="E233" s="33" t="s">
        <v>173</v>
      </c>
      <c r="F233" s="33" t="s">
        <v>88</v>
      </c>
      <c r="G233" s="34" t="s">
        <v>127</v>
      </c>
      <c r="H233" s="24">
        <f t="shared" si="9"/>
        <v>0</v>
      </c>
      <c r="I233" s="35"/>
      <c r="J233" s="35"/>
      <c r="K233" s="36"/>
      <c r="L233" s="34"/>
      <c r="M233" s="40"/>
      <c r="N233" s="51"/>
      <c r="O233" s="35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17">
        <v>2</v>
      </c>
      <c r="AD233" s="17">
        <f t="shared" si="10"/>
        <v>0</v>
      </c>
      <c r="AE233" s="28">
        <f t="shared" si="11"/>
        <v>0</v>
      </c>
      <c r="AF233" s="28">
        <v>1</v>
      </c>
    </row>
    <row r="234" spans="1:32" ht="15.75" hidden="1" customHeight="1" x14ac:dyDescent="0.3">
      <c r="A234" s="32">
        <v>140</v>
      </c>
      <c r="B234" s="33" t="s">
        <v>414</v>
      </c>
      <c r="C234" s="33" t="s">
        <v>392</v>
      </c>
      <c r="D234" s="33" t="s">
        <v>415</v>
      </c>
      <c r="E234" s="33" t="s">
        <v>183</v>
      </c>
      <c r="F234" s="33" t="s">
        <v>88</v>
      </c>
      <c r="G234" s="34" t="s">
        <v>127</v>
      </c>
      <c r="H234" s="24">
        <f t="shared" si="9"/>
        <v>0</v>
      </c>
      <c r="I234" s="35"/>
      <c r="J234" s="35"/>
      <c r="K234" s="36"/>
      <c r="L234" s="34"/>
      <c r="M234" s="40"/>
      <c r="N234" s="40"/>
      <c r="O234" s="35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17">
        <v>2</v>
      </c>
      <c r="AD234" s="17">
        <f t="shared" si="10"/>
        <v>0</v>
      </c>
      <c r="AE234" s="28">
        <f t="shared" si="11"/>
        <v>0</v>
      </c>
      <c r="AF234" s="28">
        <v>1</v>
      </c>
    </row>
    <row r="235" spans="1:32" ht="15.75" hidden="1" customHeight="1" x14ac:dyDescent="0.3">
      <c r="A235" s="32">
        <v>140</v>
      </c>
      <c r="B235" s="33" t="s">
        <v>420</v>
      </c>
      <c r="C235" s="33" t="s">
        <v>392</v>
      </c>
      <c r="D235" s="33" t="s">
        <v>421</v>
      </c>
      <c r="E235" s="33" t="s">
        <v>173</v>
      </c>
      <c r="F235" s="33" t="s">
        <v>88</v>
      </c>
      <c r="G235" s="34" t="s">
        <v>127</v>
      </c>
      <c r="H235" s="24">
        <f t="shared" si="9"/>
        <v>0</v>
      </c>
      <c r="I235" s="35"/>
      <c r="J235" s="35"/>
      <c r="K235" s="36"/>
      <c r="L235" s="34"/>
      <c r="M235" s="40"/>
      <c r="N235" s="40"/>
      <c r="O235" s="35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17">
        <v>2</v>
      </c>
      <c r="AD235" s="17">
        <f t="shared" si="10"/>
        <v>0</v>
      </c>
      <c r="AE235" s="28">
        <f t="shared" si="11"/>
        <v>0</v>
      </c>
      <c r="AF235" s="28">
        <v>1</v>
      </c>
    </row>
    <row r="236" spans="1:32" ht="15.75" hidden="1" customHeight="1" x14ac:dyDescent="0.3">
      <c r="A236" s="32">
        <v>140</v>
      </c>
      <c r="B236" s="33" t="s">
        <v>420</v>
      </c>
      <c r="C236" s="33" t="s">
        <v>392</v>
      </c>
      <c r="D236" s="33" t="s">
        <v>421</v>
      </c>
      <c r="E236" s="33" t="s">
        <v>183</v>
      </c>
      <c r="F236" s="33" t="s">
        <v>88</v>
      </c>
      <c r="G236" s="34" t="s">
        <v>127</v>
      </c>
      <c r="H236" s="24">
        <f t="shared" si="9"/>
        <v>0</v>
      </c>
      <c r="I236" s="35"/>
      <c r="J236" s="35"/>
      <c r="K236" s="36"/>
      <c r="L236" s="34"/>
      <c r="M236" s="40"/>
      <c r="N236" s="40"/>
      <c r="O236" s="35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17">
        <v>2</v>
      </c>
      <c r="AD236" s="17">
        <f t="shared" si="10"/>
        <v>0</v>
      </c>
      <c r="AE236" s="28">
        <f t="shared" si="11"/>
        <v>0</v>
      </c>
      <c r="AF236" s="28">
        <v>1</v>
      </c>
    </row>
    <row r="237" spans="1:32" ht="15.75" hidden="1" customHeight="1" x14ac:dyDescent="0.3">
      <c r="A237" s="32">
        <v>140</v>
      </c>
      <c r="B237" s="33" t="s">
        <v>400</v>
      </c>
      <c r="C237" s="33" t="s">
        <v>398</v>
      </c>
      <c r="D237" s="33" t="s">
        <v>401</v>
      </c>
      <c r="E237" s="33" t="s">
        <v>173</v>
      </c>
      <c r="F237" s="33" t="s">
        <v>88</v>
      </c>
      <c r="G237" s="34" t="s">
        <v>127</v>
      </c>
      <c r="H237" s="24">
        <f t="shared" si="9"/>
        <v>0</v>
      </c>
      <c r="I237" s="35"/>
      <c r="J237" s="35"/>
      <c r="K237" s="36"/>
      <c r="L237" s="34"/>
      <c r="M237" s="40"/>
      <c r="N237" s="51"/>
      <c r="O237" s="35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17">
        <v>2</v>
      </c>
      <c r="AD237" s="17">
        <f t="shared" si="10"/>
        <v>0</v>
      </c>
      <c r="AE237" s="28">
        <f t="shared" si="11"/>
        <v>0</v>
      </c>
      <c r="AF237" s="28">
        <v>1</v>
      </c>
    </row>
    <row r="238" spans="1:32" ht="15.75" hidden="1" customHeight="1" x14ac:dyDescent="0.3">
      <c r="A238" s="32">
        <v>140</v>
      </c>
      <c r="B238" s="33" t="s">
        <v>400</v>
      </c>
      <c r="C238" s="33" t="s">
        <v>398</v>
      </c>
      <c r="D238" s="33" t="s">
        <v>401</v>
      </c>
      <c r="E238" s="33" t="s">
        <v>183</v>
      </c>
      <c r="F238" s="33" t="s">
        <v>88</v>
      </c>
      <c r="G238" s="34" t="s">
        <v>127</v>
      </c>
      <c r="H238" s="24">
        <f t="shared" si="9"/>
        <v>0</v>
      </c>
      <c r="I238" s="35"/>
      <c r="J238" s="35"/>
      <c r="K238" s="36"/>
      <c r="L238" s="34"/>
      <c r="M238" s="40"/>
      <c r="N238" s="51"/>
      <c r="O238" s="35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17">
        <v>2</v>
      </c>
      <c r="AD238" s="17">
        <f t="shared" si="10"/>
        <v>0</v>
      </c>
      <c r="AE238" s="28">
        <f t="shared" si="11"/>
        <v>0</v>
      </c>
      <c r="AF238" s="28">
        <v>1</v>
      </c>
    </row>
    <row r="239" spans="1:32" ht="15.75" hidden="1" customHeight="1" x14ac:dyDescent="0.3">
      <c r="A239" s="32">
        <v>140</v>
      </c>
      <c r="B239" s="33" t="s">
        <v>434</v>
      </c>
      <c r="C239" s="33" t="s">
        <v>425</v>
      </c>
      <c r="D239" s="33" t="s">
        <v>435</v>
      </c>
      <c r="E239" s="33" t="s">
        <v>173</v>
      </c>
      <c r="F239" s="33" t="s">
        <v>88</v>
      </c>
      <c r="G239" s="34" t="s">
        <v>127</v>
      </c>
      <c r="H239" s="24">
        <f t="shared" si="9"/>
        <v>0</v>
      </c>
      <c r="I239" s="35"/>
      <c r="J239" s="35"/>
      <c r="K239" s="36"/>
      <c r="L239" s="34"/>
      <c r="M239" s="40"/>
      <c r="N239" s="40"/>
      <c r="O239" s="35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17">
        <v>2</v>
      </c>
      <c r="AD239" s="17">
        <f t="shared" si="10"/>
        <v>0</v>
      </c>
      <c r="AE239" s="28">
        <f t="shared" si="11"/>
        <v>0</v>
      </c>
      <c r="AF239" s="28">
        <v>1</v>
      </c>
    </row>
    <row r="240" spans="1:32" ht="15.75" hidden="1" customHeight="1" x14ac:dyDescent="0.3">
      <c r="A240" s="32">
        <v>140</v>
      </c>
      <c r="B240" s="33" t="s">
        <v>434</v>
      </c>
      <c r="C240" s="33" t="s">
        <v>425</v>
      </c>
      <c r="D240" s="33" t="s">
        <v>435</v>
      </c>
      <c r="E240" s="33" t="s">
        <v>183</v>
      </c>
      <c r="F240" s="33" t="s">
        <v>88</v>
      </c>
      <c r="G240" s="34" t="s">
        <v>127</v>
      </c>
      <c r="H240" s="24">
        <f t="shared" si="9"/>
        <v>0</v>
      </c>
      <c r="I240" s="35"/>
      <c r="J240" s="35"/>
      <c r="K240" s="36"/>
      <c r="L240" s="34"/>
      <c r="M240" s="40"/>
      <c r="N240" s="40"/>
      <c r="O240" s="35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17">
        <v>2</v>
      </c>
      <c r="AD240" s="17">
        <f t="shared" si="10"/>
        <v>0</v>
      </c>
      <c r="AE240" s="28">
        <f t="shared" si="11"/>
        <v>0</v>
      </c>
      <c r="AF240" s="28">
        <v>1</v>
      </c>
    </row>
    <row r="241" spans="1:32" ht="15.75" hidden="1" customHeight="1" x14ac:dyDescent="0.3">
      <c r="A241" s="32">
        <v>140</v>
      </c>
      <c r="B241" s="33" t="s">
        <v>468</v>
      </c>
      <c r="C241" s="33" t="s">
        <v>448</v>
      </c>
      <c r="D241" s="33" t="s">
        <v>469</v>
      </c>
      <c r="E241" s="33" t="s">
        <v>173</v>
      </c>
      <c r="F241" s="33" t="s">
        <v>88</v>
      </c>
      <c r="G241" s="34" t="s">
        <v>127</v>
      </c>
      <c r="H241" s="24">
        <f t="shared" si="9"/>
        <v>0</v>
      </c>
      <c r="I241" s="35"/>
      <c r="J241" s="35"/>
      <c r="K241" s="36"/>
      <c r="L241" s="34"/>
      <c r="M241" s="40"/>
      <c r="N241" s="40"/>
      <c r="O241" s="35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17">
        <v>2</v>
      </c>
      <c r="AD241" s="17">
        <f t="shared" si="10"/>
        <v>0</v>
      </c>
      <c r="AE241" s="28">
        <f t="shared" si="11"/>
        <v>0</v>
      </c>
      <c r="AF241" s="28">
        <v>1</v>
      </c>
    </row>
    <row r="242" spans="1:32" ht="15.75" hidden="1" customHeight="1" x14ac:dyDescent="0.3">
      <c r="A242" s="32">
        <v>140</v>
      </c>
      <c r="B242" s="33" t="s">
        <v>468</v>
      </c>
      <c r="C242" s="33" t="s">
        <v>448</v>
      </c>
      <c r="D242" s="33" t="s">
        <v>469</v>
      </c>
      <c r="E242" s="33" t="s">
        <v>183</v>
      </c>
      <c r="F242" s="33" t="s">
        <v>88</v>
      </c>
      <c r="G242" s="34" t="s">
        <v>127</v>
      </c>
      <c r="H242" s="24">
        <f t="shared" si="9"/>
        <v>0</v>
      </c>
      <c r="I242" s="35"/>
      <c r="J242" s="35"/>
      <c r="K242" s="36"/>
      <c r="L242" s="34"/>
      <c r="M242" s="40"/>
      <c r="N242" s="51"/>
      <c r="O242" s="35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17">
        <v>2</v>
      </c>
      <c r="AD242" s="17">
        <f t="shared" si="10"/>
        <v>0</v>
      </c>
      <c r="AE242" s="28">
        <f t="shared" si="11"/>
        <v>0</v>
      </c>
      <c r="AF242" s="28">
        <v>1</v>
      </c>
    </row>
    <row r="243" spans="1:32" ht="15.75" hidden="1" customHeight="1" x14ac:dyDescent="0.3">
      <c r="A243" s="32">
        <v>140</v>
      </c>
      <c r="B243" s="33" t="s">
        <v>402</v>
      </c>
      <c r="C243" s="33" t="s">
        <v>398</v>
      </c>
      <c r="D243" s="33" t="s">
        <v>403</v>
      </c>
      <c r="E243" s="33" t="s">
        <v>173</v>
      </c>
      <c r="F243" s="33" t="s">
        <v>88</v>
      </c>
      <c r="G243" s="34" t="s">
        <v>127</v>
      </c>
      <c r="H243" s="24">
        <f t="shared" si="9"/>
        <v>0</v>
      </c>
      <c r="I243" s="35"/>
      <c r="J243" s="35"/>
      <c r="K243" s="36">
        <v>1</v>
      </c>
      <c r="L243" s="34"/>
      <c r="M243" s="40"/>
      <c r="N243" s="51"/>
      <c r="O243" s="35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17">
        <v>2</v>
      </c>
      <c r="AD243" s="17">
        <f t="shared" si="10"/>
        <v>0</v>
      </c>
      <c r="AE243" s="28">
        <f t="shared" si="11"/>
        <v>0</v>
      </c>
      <c r="AF243" s="28">
        <v>1</v>
      </c>
    </row>
    <row r="244" spans="1:32" ht="15.75" hidden="1" customHeight="1" x14ac:dyDescent="0.3">
      <c r="A244" s="32">
        <v>140</v>
      </c>
      <c r="B244" s="33" t="s">
        <v>402</v>
      </c>
      <c r="C244" s="33" t="s">
        <v>398</v>
      </c>
      <c r="D244" s="33" t="s">
        <v>403</v>
      </c>
      <c r="E244" s="33" t="s">
        <v>183</v>
      </c>
      <c r="F244" s="33" t="s">
        <v>88</v>
      </c>
      <c r="G244" s="34" t="s">
        <v>127</v>
      </c>
      <c r="H244" s="24">
        <f t="shared" si="9"/>
        <v>0</v>
      </c>
      <c r="I244" s="35"/>
      <c r="J244" s="35"/>
      <c r="K244" s="36">
        <v>1</v>
      </c>
      <c r="L244" s="34"/>
      <c r="M244" s="40"/>
      <c r="N244" s="40"/>
      <c r="O244" s="35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17">
        <v>2</v>
      </c>
      <c r="AD244" s="17">
        <f t="shared" si="10"/>
        <v>0</v>
      </c>
      <c r="AE244" s="28">
        <f t="shared" si="11"/>
        <v>0</v>
      </c>
      <c r="AF244" s="28">
        <v>1</v>
      </c>
    </row>
    <row r="245" spans="1:32" ht="15.75" hidden="1" customHeight="1" x14ac:dyDescent="0.3">
      <c r="A245" s="32">
        <v>140</v>
      </c>
      <c r="B245" s="33" t="s">
        <v>472</v>
      </c>
      <c r="C245" s="33" t="s">
        <v>473</v>
      </c>
      <c r="D245" s="33" t="s">
        <v>474</v>
      </c>
      <c r="E245" s="33" t="s">
        <v>173</v>
      </c>
      <c r="F245" s="33" t="s">
        <v>88</v>
      </c>
      <c r="G245" s="34" t="s">
        <v>127</v>
      </c>
      <c r="H245" s="24">
        <f t="shared" si="9"/>
        <v>0</v>
      </c>
      <c r="I245" s="35"/>
      <c r="J245" s="35"/>
      <c r="K245" s="36"/>
      <c r="L245" s="34"/>
      <c r="M245" s="40"/>
      <c r="N245" s="40"/>
      <c r="O245" s="35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17">
        <v>2</v>
      </c>
      <c r="AD245" s="17">
        <f t="shared" si="10"/>
        <v>0</v>
      </c>
      <c r="AE245" s="28">
        <f t="shared" si="11"/>
        <v>0</v>
      </c>
      <c r="AF245" s="28">
        <v>1</v>
      </c>
    </row>
    <row r="246" spans="1:32" ht="15.75" hidden="1" customHeight="1" x14ac:dyDescent="0.3">
      <c r="A246" s="32">
        <v>140</v>
      </c>
      <c r="B246" s="33" t="s">
        <v>472</v>
      </c>
      <c r="C246" s="33" t="s">
        <v>473</v>
      </c>
      <c r="D246" s="33" t="s">
        <v>474</v>
      </c>
      <c r="E246" s="33" t="s">
        <v>183</v>
      </c>
      <c r="F246" s="33" t="s">
        <v>88</v>
      </c>
      <c r="G246" s="34" t="s">
        <v>127</v>
      </c>
      <c r="H246" s="24">
        <f t="shared" si="9"/>
        <v>0</v>
      </c>
      <c r="I246" s="35"/>
      <c r="J246" s="35"/>
      <c r="K246" s="36"/>
      <c r="L246" s="34"/>
      <c r="M246" s="40"/>
      <c r="N246" s="51"/>
      <c r="O246" s="35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17">
        <v>2</v>
      </c>
      <c r="AD246" s="17">
        <f t="shared" si="10"/>
        <v>0</v>
      </c>
      <c r="AE246" s="28">
        <f t="shared" si="11"/>
        <v>0</v>
      </c>
      <c r="AF246" s="28">
        <v>1</v>
      </c>
    </row>
    <row r="247" spans="1:32" ht="15.75" hidden="1" customHeight="1" x14ac:dyDescent="0.3">
      <c r="A247" s="32">
        <v>140</v>
      </c>
      <c r="B247" s="33" t="s">
        <v>511</v>
      </c>
      <c r="C247" s="33" t="s">
        <v>495</v>
      </c>
      <c r="D247" s="33" t="s">
        <v>512</v>
      </c>
      <c r="E247" s="33" t="s">
        <v>173</v>
      </c>
      <c r="F247" s="33" t="s">
        <v>88</v>
      </c>
      <c r="G247" s="34" t="s">
        <v>127</v>
      </c>
      <c r="H247" s="24">
        <f t="shared" si="9"/>
        <v>0</v>
      </c>
      <c r="I247" s="35"/>
      <c r="J247" s="35"/>
      <c r="K247" s="36"/>
      <c r="L247" s="34"/>
      <c r="M247" s="40"/>
      <c r="N247" s="51"/>
      <c r="O247" s="35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17">
        <v>2</v>
      </c>
      <c r="AD247" s="17">
        <f t="shared" si="10"/>
        <v>0</v>
      </c>
      <c r="AE247" s="28">
        <f t="shared" si="11"/>
        <v>0</v>
      </c>
      <c r="AF247" s="28">
        <v>1</v>
      </c>
    </row>
    <row r="248" spans="1:32" ht="15.75" hidden="1" customHeight="1" x14ac:dyDescent="0.3">
      <c r="A248" s="32">
        <v>140</v>
      </c>
      <c r="B248" s="33" t="s">
        <v>511</v>
      </c>
      <c r="C248" s="33" t="s">
        <v>495</v>
      </c>
      <c r="D248" s="33" t="s">
        <v>512</v>
      </c>
      <c r="E248" s="33" t="s">
        <v>183</v>
      </c>
      <c r="F248" s="33" t="s">
        <v>88</v>
      </c>
      <c r="G248" s="34" t="s">
        <v>127</v>
      </c>
      <c r="H248" s="24">
        <f t="shared" si="9"/>
        <v>0</v>
      </c>
      <c r="I248" s="35"/>
      <c r="J248" s="35"/>
      <c r="K248" s="36"/>
      <c r="L248" s="34"/>
      <c r="M248" s="40"/>
      <c r="N248" s="40"/>
      <c r="O248" s="35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41"/>
      <c r="AC248" s="17">
        <v>2</v>
      </c>
      <c r="AD248" s="17">
        <f t="shared" si="10"/>
        <v>0</v>
      </c>
      <c r="AE248" s="28">
        <f t="shared" si="11"/>
        <v>0</v>
      </c>
      <c r="AF248" s="28">
        <v>1</v>
      </c>
    </row>
    <row r="249" spans="1:32" ht="15.75" hidden="1" customHeight="1" x14ac:dyDescent="0.3">
      <c r="A249" s="32">
        <v>140</v>
      </c>
      <c r="B249" s="33" t="s">
        <v>447</v>
      </c>
      <c r="C249" s="33" t="s">
        <v>448</v>
      </c>
      <c r="D249" s="33" t="s">
        <v>449</v>
      </c>
      <c r="E249" s="33" t="s">
        <v>173</v>
      </c>
      <c r="F249" s="33" t="s">
        <v>88</v>
      </c>
      <c r="G249" s="34" t="s">
        <v>127</v>
      </c>
      <c r="H249" s="24">
        <f t="shared" si="9"/>
        <v>0</v>
      </c>
      <c r="I249" s="35"/>
      <c r="J249" s="35"/>
      <c r="K249" s="36"/>
      <c r="L249" s="34"/>
      <c r="M249" s="40"/>
      <c r="N249" s="40"/>
      <c r="O249" s="35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17">
        <v>2</v>
      </c>
      <c r="AD249" s="17">
        <f t="shared" si="10"/>
        <v>0</v>
      </c>
      <c r="AE249" s="28">
        <f t="shared" si="11"/>
        <v>0</v>
      </c>
      <c r="AF249" s="28">
        <v>1</v>
      </c>
    </row>
    <row r="250" spans="1:32" ht="15.75" hidden="1" customHeight="1" x14ac:dyDescent="0.3">
      <c r="A250" s="32">
        <v>140</v>
      </c>
      <c r="B250" s="33" t="s">
        <v>447</v>
      </c>
      <c r="C250" s="33" t="s">
        <v>448</v>
      </c>
      <c r="D250" s="33" t="s">
        <v>449</v>
      </c>
      <c r="E250" s="33" t="s">
        <v>183</v>
      </c>
      <c r="F250" s="33" t="s">
        <v>88</v>
      </c>
      <c r="G250" s="34" t="s">
        <v>127</v>
      </c>
      <c r="H250" s="24">
        <f t="shared" si="9"/>
        <v>0</v>
      </c>
      <c r="I250" s="35"/>
      <c r="J250" s="35"/>
      <c r="K250" s="36"/>
      <c r="L250" s="34"/>
      <c r="M250" s="40"/>
      <c r="N250" s="51"/>
      <c r="O250" s="35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17">
        <v>2</v>
      </c>
      <c r="AD250" s="17">
        <f t="shared" si="10"/>
        <v>0</v>
      </c>
      <c r="AE250" s="28">
        <f t="shared" si="11"/>
        <v>0</v>
      </c>
      <c r="AF250" s="28">
        <v>1</v>
      </c>
    </row>
    <row r="251" spans="1:32" ht="15.75" hidden="1" customHeight="1" x14ac:dyDescent="0.3">
      <c r="A251" s="32">
        <v>140</v>
      </c>
      <c r="B251" s="33" t="s">
        <v>507</v>
      </c>
      <c r="C251" s="33" t="s">
        <v>495</v>
      </c>
      <c r="D251" s="33" t="s">
        <v>508</v>
      </c>
      <c r="E251" s="33" t="s">
        <v>173</v>
      </c>
      <c r="F251" s="33" t="s">
        <v>88</v>
      </c>
      <c r="G251" s="34" t="s">
        <v>127</v>
      </c>
      <c r="H251" s="24">
        <f t="shared" si="9"/>
        <v>0</v>
      </c>
      <c r="I251" s="35"/>
      <c r="J251" s="35"/>
      <c r="K251" s="36"/>
      <c r="L251" s="34"/>
      <c r="M251" s="40"/>
      <c r="N251" s="51"/>
      <c r="O251" s="35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41"/>
      <c r="AC251" s="17">
        <v>2</v>
      </c>
      <c r="AD251" s="17">
        <f t="shared" si="10"/>
        <v>0</v>
      </c>
      <c r="AE251" s="28">
        <f t="shared" si="11"/>
        <v>0</v>
      </c>
      <c r="AF251" s="28">
        <v>1</v>
      </c>
    </row>
    <row r="252" spans="1:32" ht="15.75" hidden="1" customHeight="1" x14ac:dyDescent="0.3">
      <c r="A252" s="32">
        <v>140</v>
      </c>
      <c r="B252" s="33" t="s">
        <v>507</v>
      </c>
      <c r="C252" s="33" t="s">
        <v>495</v>
      </c>
      <c r="D252" s="33" t="s">
        <v>508</v>
      </c>
      <c r="E252" s="33" t="s">
        <v>183</v>
      </c>
      <c r="F252" s="33" t="s">
        <v>88</v>
      </c>
      <c r="G252" s="34" t="s">
        <v>127</v>
      </c>
      <c r="H252" s="24">
        <f t="shared" si="9"/>
        <v>0</v>
      </c>
      <c r="I252" s="35"/>
      <c r="J252" s="35"/>
      <c r="K252" s="36"/>
      <c r="L252" s="34"/>
      <c r="M252" s="40"/>
      <c r="N252" s="51"/>
      <c r="O252" s="35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17">
        <v>2</v>
      </c>
      <c r="AD252" s="17">
        <f t="shared" si="10"/>
        <v>0</v>
      </c>
      <c r="AE252" s="28">
        <f t="shared" si="11"/>
        <v>0</v>
      </c>
      <c r="AF252" s="28">
        <v>1</v>
      </c>
    </row>
    <row r="253" spans="1:32" ht="15.75" hidden="1" customHeight="1" x14ac:dyDescent="0.3">
      <c r="A253" s="32">
        <v>140</v>
      </c>
      <c r="B253" s="33" t="s">
        <v>439</v>
      </c>
      <c r="C253" s="52" t="s">
        <v>437</v>
      </c>
      <c r="D253" s="33" t="s">
        <v>440</v>
      </c>
      <c r="E253" s="33" t="s">
        <v>173</v>
      </c>
      <c r="F253" s="33" t="s">
        <v>88</v>
      </c>
      <c r="G253" s="34" t="s">
        <v>127</v>
      </c>
      <c r="H253" s="24">
        <f t="shared" si="9"/>
        <v>0</v>
      </c>
      <c r="I253" s="35"/>
      <c r="J253" s="35"/>
      <c r="K253" s="36"/>
      <c r="L253" s="34"/>
      <c r="M253" s="40"/>
      <c r="N253" s="40"/>
      <c r="O253" s="35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17">
        <v>2</v>
      </c>
      <c r="AD253" s="17">
        <f t="shared" si="10"/>
        <v>0</v>
      </c>
      <c r="AE253" s="28">
        <f t="shared" si="11"/>
        <v>0</v>
      </c>
      <c r="AF253" s="28">
        <v>1</v>
      </c>
    </row>
    <row r="254" spans="1:32" ht="15.75" hidden="1" customHeight="1" x14ac:dyDescent="0.3">
      <c r="A254" s="32">
        <v>140</v>
      </c>
      <c r="B254" s="33" t="s">
        <v>439</v>
      </c>
      <c r="C254" s="52" t="s">
        <v>437</v>
      </c>
      <c r="D254" s="33" t="s">
        <v>440</v>
      </c>
      <c r="E254" s="33" t="s">
        <v>183</v>
      </c>
      <c r="F254" s="33" t="s">
        <v>88</v>
      </c>
      <c r="G254" s="34" t="s">
        <v>127</v>
      </c>
      <c r="H254" s="24">
        <f t="shared" si="9"/>
        <v>0</v>
      </c>
      <c r="I254" s="35"/>
      <c r="J254" s="35"/>
      <c r="K254" s="36"/>
      <c r="L254" s="34"/>
      <c r="M254" s="40"/>
      <c r="N254" s="51"/>
      <c r="O254" s="35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17">
        <v>2</v>
      </c>
      <c r="AD254" s="17">
        <f t="shared" si="10"/>
        <v>0</v>
      </c>
      <c r="AE254" s="28">
        <f t="shared" si="11"/>
        <v>0</v>
      </c>
      <c r="AF254" s="28">
        <v>1</v>
      </c>
    </row>
    <row r="255" spans="1:32" ht="15.75" hidden="1" customHeight="1" x14ac:dyDescent="0.3">
      <c r="A255" s="32">
        <v>140</v>
      </c>
      <c r="B255" s="33" t="s">
        <v>439</v>
      </c>
      <c r="C255" s="33" t="s">
        <v>516</v>
      </c>
      <c r="D255" s="33" t="s">
        <v>519</v>
      </c>
      <c r="E255" s="33" t="s">
        <v>240</v>
      </c>
      <c r="F255" s="33" t="s">
        <v>95</v>
      </c>
      <c r="G255" s="34" t="s">
        <v>95</v>
      </c>
      <c r="H255" s="24">
        <f t="shared" si="9"/>
        <v>0</v>
      </c>
      <c r="I255" s="35"/>
      <c r="J255" s="35"/>
      <c r="K255" s="36"/>
      <c r="L255" s="34"/>
      <c r="M255" s="40"/>
      <c r="N255" s="51"/>
      <c r="O255" s="35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17"/>
      <c r="AC255" s="17">
        <v>12</v>
      </c>
      <c r="AD255" s="17">
        <f t="shared" si="10"/>
        <v>0</v>
      </c>
      <c r="AE255" s="28">
        <f t="shared" si="11"/>
        <v>0</v>
      </c>
      <c r="AF255" s="28">
        <v>1</v>
      </c>
    </row>
    <row r="256" spans="1:32" ht="15.75" hidden="1" customHeight="1" x14ac:dyDescent="0.3">
      <c r="A256" s="32">
        <v>140</v>
      </c>
      <c r="B256" s="33" t="s">
        <v>443</v>
      </c>
      <c r="C256" s="52" t="s">
        <v>437</v>
      </c>
      <c r="D256" s="33" t="s">
        <v>444</v>
      </c>
      <c r="E256" s="33" t="s">
        <v>173</v>
      </c>
      <c r="F256" s="33" t="s">
        <v>88</v>
      </c>
      <c r="G256" s="34" t="s">
        <v>127</v>
      </c>
      <c r="H256" s="24">
        <f t="shared" si="9"/>
        <v>0</v>
      </c>
      <c r="I256" s="35"/>
      <c r="J256" s="35"/>
      <c r="K256" s="36"/>
      <c r="L256" s="34"/>
      <c r="M256" s="40"/>
      <c r="N256" s="51"/>
      <c r="O256" s="35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17">
        <v>2</v>
      </c>
      <c r="AD256" s="17">
        <f t="shared" si="10"/>
        <v>0</v>
      </c>
      <c r="AE256" s="28">
        <f t="shared" si="11"/>
        <v>0</v>
      </c>
      <c r="AF256" s="28">
        <v>1</v>
      </c>
    </row>
    <row r="257" spans="1:32" ht="15.75" hidden="1" customHeight="1" x14ac:dyDescent="0.3">
      <c r="A257" s="32">
        <v>140</v>
      </c>
      <c r="B257" s="33" t="s">
        <v>443</v>
      </c>
      <c r="C257" s="52" t="s">
        <v>437</v>
      </c>
      <c r="D257" s="33" t="s">
        <v>444</v>
      </c>
      <c r="E257" s="33" t="s">
        <v>183</v>
      </c>
      <c r="F257" s="33" t="s">
        <v>88</v>
      </c>
      <c r="G257" s="34" t="s">
        <v>127</v>
      </c>
      <c r="H257" s="24">
        <f t="shared" si="9"/>
        <v>0</v>
      </c>
      <c r="I257" s="35"/>
      <c r="J257" s="35"/>
      <c r="K257" s="36"/>
      <c r="L257" s="34"/>
      <c r="M257" s="40"/>
      <c r="N257" s="51"/>
      <c r="O257" s="35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17">
        <v>2</v>
      </c>
      <c r="AD257" s="17">
        <f t="shared" si="10"/>
        <v>0</v>
      </c>
      <c r="AE257" s="28">
        <f t="shared" si="11"/>
        <v>0</v>
      </c>
      <c r="AF257" s="28">
        <v>1</v>
      </c>
    </row>
    <row r="258" spans="1:32" ht="15.75" hidden="1" customHeight="1" x14ac:dyDescent="0.3">
      <c r="A258" s="32" t="s">
        <v>522</v>
      </c>
      <c r="B258" s="33" t="s">
        <v>534</v>
      </c>
      <c r="C258" s="33" t="s">
        <v>527</v>
      </c>
      <c r="D258" s="33" t="s">
        <v>535</v>
      </c>
      <c r="E258" s="33" t="s">
        <v>243</v>
      </c>
      <c r="F258" s="33" t="s">
        <v>204</v>
      </c>
      <c r="G258" s="34" t="s">
        <v>127</v>
      </c>
      <c r="H258" s="24">
        <f t="shared" si="9"/>
        <v>0</v>
      </c>
      <c r="I258" s="35" t="s">
        <v>808</v>
      </c>
      <c r="J258" s="35" t="s">
        <v>205</v>
      </c>
      <c r="K258" s="36"/>
      <c r="L258" s="34" t="s">
        <v>100</v>
      </c>
      <c r="M258" s="40"/>
      <c r="N258" s="51"/>
      <c r="O258" s="35" t="s">
        <v>205</v>
      </c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17">
        <v>2</v>
      </c>
      <c r="AD258" s="17">
        <f t="shared" si="10"/>
        <v>0</v>
      </c>
      <c r="AE258" s="28">
        <f t="shared" si="11"/>
        <v>0</v>
      </c>
      <c r="AF258" s="28">
        <v>1</v>
      </c>
    </row>
    <row r="259" spans="1:32" ht="15.75" hidden="1" customHeight="1" x14ac:dyDescent="0.3">
      <c r="A259" s="32" t="s">
        <v>522</v>
      </c>
      <c r="B259" s="33" t="s">
        <v>526</v>
      </c>
      <c r="C259" s="33" t="s">
        <v>527</v>
      </c>
      <c r="D259" s="33" t="s">
        <v>528</v>
      </c>
      <c r="E259" s="33" t="s">
        <v>785</v>
      </c>
      <c r="F259" s="33" t="s">
        <v>204</v>
      </c>
      <c r="G259" s="34" t="s">
        <v>127</v>
      </c>
      <c r="H259" s="24">
        <f t="shared" si="9"/>
        <v>0</v>
      </c>
      <c r="I259" s="35" t="s">
        <v>808</v>
      </c>
      <c r="J259" s="35"/>
      <c r="K259" s="36"/>
      <c r="L259" s="34" t="s">
        <v>100</v>
      </c>
      <c r="M259" s="40"/>
      <c r="N259" s="51"/>
      <c r="O259" s="35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17">
        <v>2</v>
      </c>
      <c r="AD259" s="17">
        <f t="shared" si="10"/>
        <v>0</v>
      </c>
      <c r="AE259" s="28">
        <f t="shared" si="11"/>
        <v>0</v>
      </c>
      <c r="AF259" s="28">
        <v>1</v>
      </c>
    </row>
    <row r="260" spans="1:32" ht="15.75" hidden="1" customHeight="1" x14ac:dyDescent="0.3">
      <c r="A260" s="32" t="s">
        <v>522</v>
      </c>
      <c r="B260" s="33" t="s">
        <v>526</v>
      </c>
      <c r="C260" s="33" t="s">
        <v>527</v>
      </c>
      <c r="D260" s="33" t="s">
        <v>528</v>
      </c>
      <c r="E260" s="33" t="s">
        <v>225</v>
      </c>
      <c r="F260" s="33" t="s">
        <v>672</v>
      </c>
      <c r="G260" s="34" t="s">
        <v>673</v>
      </c>
      <c r="H260" s="24">
        <f t="shared" ref="H260:H323" si="12">IF(AC260=0," ",(AD260/AC260))</f>
        <v>0</v>
      </c>
      <c r="I260" s="35" t="s">
        <v>759</v>
      </c>
      <c r="J260" s="35" t="s">
        <v>786</v>
      </c>
      <c r="K260" s="36"/>
      <c r="L260" s="34" t="s">
        <v>100</v>
      </c>
      <c r="M260" s="40"/>
      <c r="N260" s="51" t="s">
        <v>543</v>
      </c>
      <c r="O260" s="35" t="s">
        <v>786</v>
      </c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17"/>
      <c r="AC260" s="17">
        <v>2</v>
      </c>
      <c r="AD260" s="17">
        <f t="shared" ref="AD260:AD323" si="13">IF(COUNTA(P260:AB260)&gt;AC260,AC260,COUNTA(P260:AB260))</f>
        <v>0</v>
      </c>
      <c r="AE260" s="28">
        <f t="shared" ref="AE260:AE323" si="14">IF(H260=1,1,0)</f>
        <v>0</v>
      </c>
      <c r="AF260" s="28">
        <v>1</v>
      </c>
    </row>
    <row r="261" spans="1:32" ht="15.75" hidden="1" customHeight="1" x14ac:dyDescent="0.3">
      <c r="A261" s="32" t="s">
        <v>522</v>
      </c>
      <c r="B261" s="33" t="s">
        <v>530</v>
      </c>
      <c r="C261" s="33" t="s">
        <v>527</v>
      </c>
      <c r="D261" s="33" t="s">
        <v>531</v>
      </c>
      <c r="E261" s="33" t="s">
        <v>785</v>
      </c>
      <c r="F261" s="33" t="s">
        <v>204</v>
      </c>
      <c r="G261" s="34" t="s">
        <v>127</v>
      </c>
      <c r="H261" s="24">
        <f t="shared" si="12"/>
        <v>0</v>
      </c>
      <c r="I261" s="35" t="s">
        <v>808</v>
      </c>
      <c r="J261" s="35"/>
      <c r="K261" s="36"/>
      <c r="L261" s="34" t="s">
        <v>100</v>
      </c>
      <c r="M261" s="40"/>
      <c r="N261" s="51"/>
      <c r="O261" s="35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17">
        <v>2</v>
      </c>
      <c r="AD261" s="17">
        <f t="shared" si="13"/>
        <v>0</v>
      </c>
      <c r="AE261" s="28">
        <f t="shared" si="14"/>
        <v>0</v>
      </c>
      <c r="AF261" s="28">
        <v>1</v>
      </c>
    </row>
    <row r="262" spans="1:32" ht="15.75" hidden="1" customHeight="1" x14ac:dyDescent="0.3">
      <c r="A262" s="32" t="s">
        <v>522</v>
      </c>
      <c r="B262" s="33" t="s">
        <v>530</v>
      </c>
      <c r="C262" s="33" t="s">
        <v>527</v>
      </c>
      <c r="D262" s="33" t="s">
        <v>531</v>
      </c>
      <c r="E262" s="33" t="s">
        <v>225</v>
      </c>
      <c r="F262" s="33" t="s">
        <v>672</v>
      </c>
      <c r="G262" s="34" t="s">
        <v>673</v>
      </c>
      <c r="H262" s="24">
        <f t="shared" si="12"/>
        <v>0</v>
      </c>
      <c r="I262" s="35" t="s">
        <v>759</v>
      </c>
      <c r="J262" s="35" t="s">
        <v>786</v>
      </c>
      <c r="K262" s="36"/>
      <c r="L262" s="34" t="s">
        <v>100</v>
      </c>
      <c r="M262" s="40"/>
      <c r="N262" s="51" t="s">
        <v>543</v>
      </c>
      <c r="O262" s="35" t="s">
        <v>786</v>
      </c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17"/>
      <c r="AC262" s="17">
        <v>2</v>
      </c>
      <c r="AD262" s="17">
        <f t="shared" si="13"/>
        <v>0</v>
      </c>
      <c r="AE262" s="28">
        <f t="shared" si="14"/>
        <v>0</v>
      </c>
      <c r="AF262" s="28">
        <v>1</v>
      </c>
    </row>
    <row r="263" spans="1:32" ht="15.75" hidden="1" customHeight="1" x14ac:dyDescent="0.3">
      <c r="A263" s="32" t="s">
        <v>522</v>
      </c>
      <c r="B263" s="33" t="s">
        <v>540</v>
      </c>
      <c r="C263" s="33" t="s">
        <v>524</v>
      </c>
      <c r="D263" s="33" t="s">
        <v>541</v>
      </c>
      <c r="E263" s="33" t="s">
        <v>542</v>
      </c>
      <c r="F263" s="33" t="s">
        <v>204</v>
      </c>
      <c r="G263" s="34" t="s">
        <v>127</v>
      </c>
      <c r="H263" s="24">
        <f t="shared" si="12"/>
        <v>0</v>
      </c>
      <c r="I263" s="35" t="s">
        <v>808</v>
      </c>
      <c r="J263" s="35" t="s">
        <v>205</v>
      </c>
      <c r="K263" s="36"/>
      <c r="L263" s="34" t="s">
        <v>100</v>
      </c>
      <c r="M263" s="40"/>
      <c r="N263" s="51"/>
      <c r="O263" s="35" t="s">
        <v>205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17">
        <v>2</v>
      </c>
      <c r="AD263" s="17">
        <f t="shared" si="13"/>
        <v>0</v>
      </c>
      <c r="AE263" s="28">
        <f t="shared" si="14"/>
        <v>0</v>
      </c>
      <c r="AF263" s="28">
        <v>1</v>
      </c>
    </row>
    <row r="264" spans="1:32" ht="15.75" hidden="1" customHeight="1" x14ac:dyDescent="0.3">
      <c r="A264" s="32" t="s">
        <v>522</v>
      </c>
      <c r="B264" s="33" t="s">
        <v>523</v>
      </c>
      <c r="C264" s="33" t="s">
        <v>524</v>
      </c>
      <c r="D264" s="33" t="s">
        <v>525</v>
      </c>
      <c r="E264" s="33" t="s">
        <v>784</v>
      </c>
      <c r="F264" s="33" t="s">
        <v>204</v>
      </c>
      <c r="G264" s="34" t="s">
        <v>127</v>
      </c>
      <c r="H264" s="24">
        <f t="shared" si="12"/>
        <v>0</v>
      </c>
      <c r="I264" s="35" t="s">
        <v>808</v>
      </c>
      <c r="J264" s="35"/>
      <c r="K264" s="36"/>
      <c r="L264" s="34" t="s">
        <v>105</v>
      </c>
      <c r="M264" s="40"/>
      <c r="N264" s="51"/>
      <c r="O264" s="35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17">
        <v>2</v>
      </c>
      <c r="AD264" s="17">
        <f t="shared" si="13"/>
        <v>0</v>
      </c>
      <c r="AE264" s="28">
        <f t="shared" si="14"/>
        <v>0</v>
      </c>
      <c r="AF264" s="28">
        <v>1</v>
      </c>
    </row>
    <row r="265" spans="1:32" ht="15.75" hidden="1" customHeight="1" x14ac:dyDescent="0.3">
      <c r="A265" s="32" t="s">
        <v>522</v>
      </c>
      <c r="B265" s="33" t="s">
        <v>523</v>
      </c>
      <c r="C265" s="33" t="s">
        <v>524</v>
      </c>
      <c r="D265" s="33" t="s">
        <v>525</v>
      </c>
      <c r="E265" s="33" t="s">
        <v>533</v>
      </c>
      <c r="F265" s="33" t="s">
        <v>88</v>
      </c>
      <c r="G265" s="34" t="s">
        <v>127</v>
      </c>
      <c r="H265" s="24">
        <f t="shared" si="12"/>
        <v>0</v>
      </c>
      <c r="I265" s="35" t="s">
        <v>808</v>
      </c>
      <c r="J265" s="35"/>
      <c r="K265" s="36"/>
      <c r="L265" s="34" t="s">
        <v>100</v>
      </c>
      <c r="M265" s="40"/>
      <c r="N265" s="51"/>
      <c r="O265" s="35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41"/>
      <c r="AC265" s="17">
        <v>2</v>
      </c>
      <c r="AD265" s="17">
        <f t="shared" si="13"/>
        <v>0</v>
      </c>
      <c r="AE265" s="28">
        <f t="shared" si="14"/>
        <v>0</v>
      </c>
      <c r="AF265" s="28">
        <v>1</v>
      </c>
    </row>
    <row r="266" spans="1:32" ht="15.75" hidden="1" customHeight="1" x14ac:dyDescent="0.3">
      <c r="A266" s="32" t="s">
        <v>522</v>
      </c>
      <c r="B266" s="33" t="s">
        <v>523</v>
      </c>
      <c r="C266" s="33" t="s">
        <v>524</v>
      </c>
      <c r="D266" s="33" t="s">
        <v>525</v>
      </c>
      <c r="E266" s="33" t="s">
        <v>544</v>
      </c>
      <c r="F266" s="33" t="s">
        <v>672</v>
      </c>
      <c r="G266" s="34" t="s">
        <v>673</v>
      </c>
      <c r="H266" s="24">
        <f t="shared" si="12"/>
        <v>0</v>
      </c>
      <c r="I266" s="35"/>
      <c r="J266" s="35" t="s">
        <v>545</v>
      </c>
      <c r="K266" s="36"/>
      <c r="L266" s="34" t="s">
        <v>100</v>
      </c>
      <c r="M266" s="40"/>
      <c r="N266" s="51" t="s">
        <v>378</v>
      </c>
      <c r="O266" s="35" t="s">
        <v>545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17">
        <v>2</v>
      </c>
      <c r="AD266" s="17">
        <f t="shared" si="13"/>
        <v>0</v>
      </c>
      <c r="AE266" s="28">
        <f t="shared" si="14"/>
        <v>0</v>
      </c>
      <c r="AF266" s="28">
        <v>1</v>
      </c>
    </row>
    <row r="267" spans="1:32" ht="15.75" hidden="1" customHeight="1" x14ac:dyDescent="0.3">
      <c r="A267" s="32" t="s">
        <v>522</v>
      </c>
      <c r="B267" s="33" t="s">
        <v>536</v>
      </c>
      <c r="C267" s="33" t="s">
        <v>527</v>
      </c>
      <c r="D267" s="33" t="s">
        <v>537</v>
      </c>
      <c r="E267" s="33" t="s">
        <v>243</v>
      </c>
      <c r="F267" s="33" t="s">
        <v>132</v>
      </c>
      <c r="G267" s="34" t="s">
        <v>127</v>
      </c>
      <c r="H267" s="24">
        <f t="shared" si="12"/>
        <v>0</v>
      </c>
      <c r="I267" s="35" t="s">
        <v>808</v>
      </c>
      <c r="J267" s="35"/>
      <c r="K267" s="36"/>
      <c r="L267" s="34" t="s">
        <v>100</v>
      </c>
      <c r="M267" s="40"/>
      <c r="N267" s="51"/>
      <c r="O267" s="35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17"/>
      <c r="AC267" s="17">
        <v>1</v>
      </c>
      <c r="AD267" s="17">
        <f t="shared" si="13"/>
        <v>0</v>
      </c>
      <c r="AE267" s="28">
        <f t="shared" si="14"/>
        <v>0</v>
      </c>
      <c r="AF267" s="28">
        <v>1</v>
      </c>
    </row>
    <row r="268" spans="1:32" ht="15.75" hidden="1" customHeight="1" x14ac:dyDescent="0.3">
      <c r="A268" s="32" t="s">
        <v>522</v>
      </c>
      <c r="B268" s="33" t="s">
        <v>529</v>
      </c>
      <c r="C268" s="33" t="s">
        <v>527</v>
      </c>
      <c r="D268" s="33" t="s">
        <v>528</v>
      </c>
      <c r="E268" s="33" t="s">
        <v>785</v>
      </c>
      <c r="F268" s="33" t="s">
        <v>132</v>
      </c>
      <c r="G268" s="34" t="s">
        <v>127</v>
      </c>
      <c r="H268" s="24">
        <f t="shared" si="12"/>
        <v>0</v>
      </c>
      <c r="I268" s="35" t="s">
        <v>808</v>
      </c>
      <c r="J268" s="35"/>
      <c r="K268" s="36"/>
      <c r="L268" s="34" t="s">
        <v>100</v>
      </c>
      <c r="M268" s="40"/>
      <c r="N268" s="51"/>
      <c r="O268" s="35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49"/>
      <c r="AC268" s="17">
        <v>1</v>
      </c>
      <c r="AD268" s="17">
        <f t="shared" si="13"/>
        <v>0</v>
      </c>
      <c r="AE268" s="28">
        <f t="shared" si="14"/>
        <v>0</v>
      </c>
      <c r="AF268" s="28">
        <v>1</v>
      </c>
    </row>
    <row r="269" spans="1:32" ht="15.75" hidden="1" customHeight="1" x14ac:dyDescent="0.3">
      <c r="A269" s="32" t="s">
        <v>522</v>
      </c>
      <c r="B269" s="33" t="s">
        <v>529</v>
      </c>
      <c r="C269" s="33" t="s">
        <v>527</v>
      </c>
      <c r="D269" s="33" t="s">
        <v>528</v>
      </c>
      <c r="E269" s="33" t="s">
        <v>225</v>
      </c>
      <c r="F269" s="33" t="s">
        <v>672</v>
      </c>
      <c r="G269" s="34" t="s">
        <v>673</v>
      </c>
      <c r="H269" s="24">
        <f t="shared" si="12"/>
        <v>0</v>
      </c>
      <c r="I269" s="35" t="s">
        <v>759</v>
      </c>
      <c r="J269" s="35" t="s">
        <v>786</v>
      </c>
      <c r="K269" s="36"/>
      <c r="L269" s="34" t="s">
        <v>100</v>
      </c>
      <c r="M269" s="40"/>
      <c r="N269" s="51" t="s">
        <v>543</v>
      </c>
      <c r="O269" s="35" t="s">
        <v>786</v>
      </c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17"/>
      <c r="AC269" s="17">
        <v>2</v>
      </c>
      <c r="AD269" s="17">
        <f t="shared" si="13"/>
        <v>0</v>
      </c>
      <c r="AE269" s="28">
        <f t="shared" si="14"/>
        <v>0</v>
      </c>
      <c r="AF269" s="28">
        <v>1</v>
      </c>
    </row>
    <row r="270" spans="1:32" ht="15.75" hidden="1" customHeight="1" x14ac:dyDescent="0.3">
      <c r="A270" s="32" t="s">
        <v>522</v>
      </c>
      <c r="B270" s="33" t="s">
        <v>538</v>
      </c>
      <c r="C270" s="33" t="s">
        <v>527</v>
      </c>
      <c r="D270" s="33" t="s">
        <v>539</v>
      </c>
      <c r="E270" s="33" t="s">
        <v>243</v>
      </c>
      <c r="F270" s="33" t="s">
        <v>132</v>
      </c>
      <c r="G270" s="34" t="s">
        <v>127</v>
      </c>
      <c r="H270" s="24">
        <f t="shared" si="12"/>
        <v>0</v>
      </c>
      <c r="I270" s="35" t="s">
        <v>808</v>
      </c>
      <c r="J270" s="35"/>
      <c r="K270" s="36"/>
      <c r="L270" s="34" t="s">
        <v>100</v>
      </c>
      <c r="M270" s="40"/>
      <c r="N270" s="51"/>
      <c r="O270" s="35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17"/>
      <c r="AC270" s="17">
        <v>1</v>
      </c>
      <c r="AD270" s="17">
        <f t="shared" si="13"/>
        <v>0</v>
      </c>
      <c r="AE270" s="28">
        <f t="shared" si="14"/>
        <v>0</v>
      </c>
      <c r="AF270" s="28">
        <v>1</v>
      </c>
    </row>
    <row r="271" spans="1:32" ht="15.75" hidden="1" customHeight="1" x14ac:dyDescent="0.3">
      <c r="A271" s="32" t="s">
        <v>522</v>
      </c>
      <c r="B271" s="33" t="s">
        <v>532</v>
      </c>
      <c r="C271" s="33" t="s">
        <v>527</v>
      </c>
      <c r="D271" s="33" t="s">
        <v>528</v>
      </c>
      <c r="E271" s="33" t="s">
        <v>785</v>
      </c>
      <c r="F271" s="33" t="s">
        <v>132</v>
      </c>
      <c r="G271" s="34" t="s">
        <v>127</v>
      </c>
      <c r="H271" s="24">
        <f t="shared" si="12"/>
        <v>0</v>
      </c>
      <c r="I271" s="35" t="s">
        <v>808</v>
      </c>
      <c r="J271" s="35"/>
      <c r="K271" s="36"/>
      <c r="L271" s="34" t="s">
        <v>100</v>
      </c>
      <c r="M271" s="40"/>
      <c r="N271" s="51"/>
      <c r="O271" s="35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17"/>
      <c r="AC271" s="17">
        <v>1</v>
      </c>
      <c r="AD271" s="17">
        <f t="shared" si="13"/>
        <v>0</v>
      </c>
      <c r="AE271" s="28">
        <f t="shared" si="14"/>
        <v>0</v>
      </c>
      <c r="AF271" s="28">
        <v>1</v>
      </c>
    </row>
    <row r="272" spans="1:32" ht="15.75" hidden="1" customHeight="1" x14ac:dyDescent="0.3">
      <c r="A272" s="32" t="s">
        <v>522</v>
      </c>
      <c r="B272" s="33" t="s">
        <v>532</v>
      </c>
      <c r="C272" s="33" t="s">
        <v>527</v>
      </c>
      <c r="D272" s="33" t="s">
        <v>528</v>
      </c>
      <c r="E272" s="33" t="s">
        <v>225</v>
      </c>
      <c r="F272" s="33" t="s">
        <v>672</v>
      </c>
      <c r="G272" s="34" t="s">
        <v>673</v>
      </c>
      <c r="H272" s="24">
        <f t="shared" si="12"/>
        <v>0</v>
      </c>
      <c r="I272" s="35" t="s">
        <v>759</v>
      </c>
      <c r="J272" s="35" t="s">
        <v>786</v>
      </c>
      <c r="K272" s="36"/>
      <c r="L272" s="34" t="s">
        <v>100</v>
      </c>
      <c r="M272" s="40"/>
      <c r="N272" s="51" t="s">
        <v>543</v>
      </c>
      <c r="O272" s="35" t="s">
        <v>786</v>
      </c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17"/>
      <c r="AC272" s="17">
        <v>2</v>
      </c>
      <c r="AD272" s="17">
        <f t="shared" si="13"/>
        <v>0</v>
      </c>
      <c r="AE272" s="28">
        <f t="shared" si="14"/>
        <v>0</v>
      </c>
      <c r="AF272" s="28">
        <v>1</v>
      </c>
    </row>
    <row r="273" spans="1:32" ht="15.75" hidden="1" customHeight="1" x14ac:dyDescent="0.3">
      <c r="A273" s="32" t="s">
        <v>546</v>
      </c>
      <c r="B273" s="33" t="s">
        <v>582</v>
      </c>
      <c r="C273" s="33" t="s">
        <v>562</v>
      </c>
      <c r="D273" s="33" t="s">
        <v>583</v>
      </c>
      <c r="E273" s="33" t="s">
        <v>160</v>
      </c>
      <c r="F273" s="33" t="s">
        <v>204</v>
      </c>
      <c r="G273" s="34" t="s">
        <v>127</v>
      </c>
      <c r="H273" s="24">
        <f t="shared" si="12"/>
        <v>0</v>
      </c>
      <c r="I273" s="35" t="s">
        <v>808</v>
      </c>
      <c r="J273" s="35"/>
      <c r="K273" s="36"/>
      <c r="L273" s="34" t="s">
        <v>100</v>
      </c>
      <c r="M273" s="40"/>
      <c r="N273" s="48"/>
      <c r="O273" s="35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17">
        <v>2</v>
      </c>
      <c r="AD273" s="17">
        <f t="shared" si="13"/>
        <v>0</v>
      </c>
      <c r="AE273" s="28">
        <f t="shared" si="14"/>
        <v>0</v>
      </c>
      <c r="AF273" s="28">
        <v>1</v>
      </c>
    </row>
    <row r="274" spans="1:32" ht="14.4" hidden="1" x14ac:dyDescent="0.3">
      <c r="A274" s="32" t="s">
        <v>546</v>
      </c>
      <c r="B274" s="33" t="s">
        <v>561</v>
      </c>
      <c r="C274" s="33" t="s">
        <v>562</v>
      </c>
      <c r="D274" s="33" t="s">
        <v>563</v>
      </c>
      <c r="E274" s="33" t="s">
        <v>225</v>
      </c>
      <c r="F274" s="33" t="s">
        <v>672</v>
      </c>
      <c r="G274" s="34" t="s">
        <v>673</v>
      </c>
      <c r="H274" s="24">
        <f t="shared" si="12"/>
        <v>0</v>
      </c>
      <c r="I274" s="35"/>
      <c r="J274" s="35" t="s">
        <v>234</v>
      </c>
      <c r="K274" s="36"/>
      <c r="L274" s="34" t="s">
        <v>100</v>
      </c>
      <c r="M274" s="40"/>
      <c r="N274" s="51" t="s">
        <v>850</v>
      </c>
      <c r="O274" s="35" t="s">
        <v>234</v>
      </c>
      <c r="P274" s="27"/>
      <c r="Q274" s="27"/>
      <c r="R274" s="54"/>
      <c r="S274" s="27"/>
      <c r="T274" s="27"/>
      <c r="U274" s="27"/>
      <c r="V274" s="54"/>
      <c r="W274" s="27"/>
      <c r="X274" s="27"/>
      <c r="Y274" s="27"/>
      <c r="Z274" s="27"/>
      <c r="AA274" s="54"/>
      <c r="AB274" s="17"/>
      <c r="AC274" s="17">
        <v>3</v>
      </c>
      <c r="AD274" s="17">
        <f t="shared" si="13"/>
        <v>0</v>
      </c>
      <c r="AE274" s="28">
        <f t="shared" si="14"/>
        <v>0</v>
      </c>
      <c r="AF274" s="28">
        <v>1</v>
      </c>
    </row>
    <row r="275" spans="1:32" ht="15.75" hidden="1" customHeight="1" x14ac:dyDescent="0.3">
      <c r="A275" s="32" t="s">
        <v>546</v>
      </c>
      <c r="B275" s="33" t="s">
        <v>561</v>
      </c>
      <c r="C275" s="33" t="s">
        <v>562</v>
      </c>
      <c r="D275" s="33" t="s">
        <v>563</v>
      </c>
      <c r="E275" s="33" t="s">
        <v>581</v>
      </c>
      <c r="F275" s="33" t="s">
        <v>204</v>
      </c>
      <c r="G275" s="34" t="s">
        <v>127</v>
      </c>
      <c r="H275" s="24">
        <f t="shared" si="12"/>
        <v>0</v>
      </c>
      <c r="I275" s="35" t="s">
        <v>808</v>
      </c>
      <c r="J275" s="35"/>
      <c r="K275" s="36"/>
      <c r="L275" s="34" t="s">
        <v>100</v>
      </c>
      <c r="M275" s="40"/>
      <c r="N275" s="48"/>
      <c r="O275" s="35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54"/>
      <c r="AA275" s="27"/>
      <c r="AB275" s="17"/>
      <c r="AC275" s="17">
        <v>2</v>
      </c>
      <c r="AD275" s="17">
        <f t="shared" si="13"/>
        <v>0</v>
      </c>
      <c r="AE275" s="28">
        <f t="shared" si="14"/>
        <v>0</v>
      </c>
      <c r="AF275" s="28">
        <v>1</v>
      </c>
    </row>
    <row r="276" spans="1:32" ht="15.75" hidden="1" customHeight="1" x14ac:dyDescent="0.3">
      <c r="A276" s="32" t="s">
        <v>546</v>
      </c>
      <c r="B276" s="33" t="s">
        <v>561</v>
      </c>
      <c r="C276" s="33" t="s">
        <v>562</v>
      </c>
      <c r="D276" s="33" t="s">
        <v>563</v>
      </c>
      <c r="E276" s="33" t="s">
        <v>173</v>
      </c>
      <c r="F276" s="33" t="s">
        <v>93</v>
      </c>
      <c r="G276" s="34" t="s">
        <v>119</v>
      </c>
      <c r="H276" s="24">
        <f t="shared" si="12"/>
        <v>0</v>
      </c>
      <c r="I276" s="35"/>
      <c r="J276" s="35"/>
      <c r="K276" s="36"/>
      <c r="L276" s="34" t="s">
        <v>105</v>
      </c>
      <c r="M276" s="40"/>
      <c r="N276" s="53"/>
      <c r="O276" s="35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17">
        <v>12</v>
      </c>
      <c r="AD276" s="17">
        <f t="shared" si="13"/>
        <v>0</v>
      </c>
      <c r="AE276" s="28">
        <f t="shared" si="14"/>
        <v>0</v>
      </c>
      <c r="AF276" s="28">
        <v>1</v>
      </c>
    </row>
    <row r="277" spans="1:32" ht="15.75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580</v>
      </c>
      <c r="F277" s="33" t="s">
        <v>93</v>
      </c>
      <c r="G277" s="34" t="s">
        <v>119</v>
      </c>
      <c r="H277" s="24">
        <f t="shared" si="12"/>
        <v>0</v>
      </c>
      <c r="I277" s="35"/>
      <c r="J277" s="35"/>
      <c r="K277" s="36"/>
      <c r="L277" s="34" t="s">
        <v>105</v>
      </c>
      <c r="M277" s="40"/>
      <c r="N277" s="53"/>
      <c r="O277" s="35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17">
        <v>12</v>
      </c>
      <c r="AD277" s="17">
        <f t="shared" si="13"/>
        <v>0</v>
      </c>
      <c r="AE277" s="28">
        <f t="shared" si="14"/>
        <v>0</v>
      </c>
      <c r="AF277" s="28">
        <v>1</v>
      </c>
    </row>
    <row r="278" spans="1:32" ht="15.75" hidden="1" customHeight="1" x14ac:dyDescent="0.3">
      <c r="A278" s="32" t="s">
        <v>546</v>
      </c>
      <c r="B278" s="33" t="s">
        <v>596</v>
      </c>
      <c r="C278" s="33" t="s">
        <v>548</v>
      </c>
      <c r="D278" s="33" t="s">
        <v>597</v>
      </c>
      <c r="E278" s="33" t="s">
        <v>598</v>
      </c>
      <c r="F278" s="33" t="s">
        <v>204</v>
      </c>
      <c r="G278" s="34" t="s">
        <v>127</v>
      </c>
      <c r="H278" s="24">
        <f t="shared" si="12"/>
        <v>0</v>
      </c>
      <c r="I278" s="35" t="s">
        <v>808</v>
      </c>
      <c r="J278" s="35"/>
      <c r="K278" s="36"/>
      <c r="L278" s="34" t="s">
        <v>105</v>
      </c>
      <c r="M278" s="40"/>
      <c r="N278" s="53"/>
      <c r="O278" s="35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17"/>
      <c r="AC278" s="17">
        <v>2</v>
      </c>
      <c r="AD278" s="17">
        <f t="shared" si="13"/>
        <v>0</v>
      </c>
      <c r="AE278" s="28">
        <f t="shared" si="14"/>
        <v>0</v>
      </c>
      <c r="AF278" s="28">
        <v>1</v>
      </c>
    </row>
    <row r="279" spans="1:32" ht="15.75" hidden="1" customHeight="1" x14ac:dyDescent="0.3">
      <c r="A279" s="32" t="s">
        <v>546</v>
      </c>
      <c r="B279" s="33" t="s">
        <v>584</v>
      </c>
      <c r="C279" s="33" t="s">
        <v>551</v>
      </c>
      <c r="D279" s="33" t="s">
        <v>585</v>
      </c>
      <c r="E279" s="33" t="s">
        <v>586</v>
      </c>
      <c r="F279" s="33" t="s">
        <v>132</v>
      </c>
      <c r="G279" s="34" t="s">
        <v>99</v>
      </c>
      <c r="H279" s="24">
        <f t="shared" si="12"/>
        <v>0</v>
      </c>
      <c r="I279" s="35" t="s">
        <v>808</v>
      </c>
      <c r="J279" s="35"/>
      <c r="K279" s="36"/>
      <c r="L279" s="34" t="s">
        <v>105</v>
      </c>
      <c r="M279" s="40"/>
      <c r="N279" s="53"/>
      <c r="O279" s="35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17"/>
      <c r="AC279" s="17">
        <v>1</v>
      </c>
      <c r="AD279" s="17">
        <f t="shared" si="13"/>
        <v>0</v>
      </c>
      <c r="AE279" s="28">
        <f t="shared" si="14"/>
        <v>0</v>
      </c>
      <c r="AF279" s="28">
        <v>1</v>
      </c>
    </row>
    <row r="280" spans="1:32" ht="15.75" hidden="1" customHeight="1" x14ac:dyDescent="0.3">
      <c r="A280" s="32" t="s">
        <v>546</v>
      </c>
      <c r="B280" s="33" t="s">
        <v>584</v>
      </c>
      <c r="C280" s="33" t="s">
        <v>551</v>
      </c>
      <c r="D280" s="33" t="s">
        <v>585</v>
      </c>
      <c r="E280" s="33" t="s">
        <v>788</v>
      </c>
      <c r="F280" s="33" t="s">
        <v>132</v>
      </c>
      <c r="G280" s="34" t="s">
        <v>99</v>
      </c>
      <c r="H280" s="24">
        <f t="shared" si="12"/>
        <v>0</v>
      </c>
      <c r="I280" s="35"/>
      <c r="J280" s="35"/>
      <c r="K280" s="36"/>
      <c r="L280" s="34" t="s">
        <v>105</v>
      </c>
      <c r="M280" s="40"/>
      <c r="N280" s="53"/>
      <c r="O280" s="35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17"/>
      <c r="AC280" s="17">
        <v>1</v>
      </c>
      <c r="AD280" s="17">
        <f t="shared" si="13"/>
        <v>0</v>
      </c>
      <c r="AE280" s="28">
        <f t="shared" si="14"/>
        <v>0</v>
      </c>
      <c r="AF280" s="28">
        <v>1</v>
      </c>
    </row>
    <row r="281" spans="1:32" ht="15.75" hidden="1" customHeight="1" x14ac:dyDescent="0.3">
      <c r="A281" s="32" t="s">
        <v>546</v>
      </c>
      <c r="B281" s="33" t="s">
        <v>584</v>
      </c>
      <c r="C281" s="33" t="s">
        <v>551</v>
      </c>
      <c r="D281" s="33" t="s">
        <v>585</v>
      </c>
      <c r="E281" s="33" t="s">
        <v>588</v>
      </c>
      <c r="F281" s="33" t="s">
        <v>132</v>
      </c>
      <c r="G281" s="34" t="s">
        <v>99</v>
      </c>
      <c r="H281" s="24">
        <f t="shared" si="12"/>
        <v>0</v>
      </c>
      <c r="I281" s="35" t="s">
        <v>808</v>
      </c>
      <c r="J281" s="35"/>
      <c r="K281" s="36"/>
      <c r="L281" s="34" t="s">
        <v>100</v>
      </c>
      <c r="M281" s="40"/>
      <c r="N281" s="53"/>
      <c r="O281" s="35" t="s">
        <v>589</v>
      </c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17"/>
      <c r="AC281" s="17">
        <v>1</v>
      </c>
      <c r="AD281" s="17">
        <f t="shared" si="13"/>
        <v>0</v>
      </c>
      <c r="AE281" s="28">
        <f t="shared" si="14"/>
        <v>0</v>
      </c>
      <c r="AF281" s="28">
        <v>1</v>
      </c>
    </row>
    <row r="282" spans="1:32" ht="15.75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587</v>
      </c>
      <c r="F282" s="33" t="s">
        <v>204</v>
      </c>
      <c r="G282" s="34" t="s">
        <v>127</v>
      </c>
      <c r="H282" s="24">
        <f t="shared" si="12"/>
        <v>0</v>
      </c>
      <c r="I282" s="35" t="s">
        <v>808</v>
      </c>
      <c r="J282" s="35" t="s">
        <v>579</v>
      </c>
      <c r="K282" s="36"/>
      <c r="L282" s="34" t="s">
        <v>100</v>
      </c>
      <c r="M282" s="40"/>
      <c r="N282" s="53"/>
      <c r="O282" s="35" t="s">
        <v>579</v>
      </c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17"/>
      <c r="AC282" s="17">
        <v>2</v>
      </c>
      <c r="AD282" s="17">
        <f t="shared" si="13"/>
        <v>0</v>
      </c>
      <c r="AE282" s="28">
        <f t="shared" si="14"/>
        <v>0</v>
      </c>
      <c r="AF282" s="28">
        <v>1</v>
      </c>
    </row>
    <row r="283" spans="1:32" ht="15.75" hidden="1" customHeight="1" x14ac:dyDescent="0.3">
      <c r="A283" s="32" t="s">
        <v>546</v>
      </c>
      <c r="B283" s="33" t="s">
        <v>550</v>
      </c>
      <c r="C283" s="33" t="s">
        <v>551</v>
      </c>
      <c r="D283" s="33" t="s">
        <v>552</v>
      </c>
      <c r="E283" s="33" t="s">
        <v>225</v>
      </c>
      <c r="F283" s="33" t="s">
        <v>672</v>
      </c>
      <c r="G283" s="34" t="s">
        <v>673</v>
      </c>
      <c r="H283" s="24">
        <f t="shared" si="12"/>
        <v>0</v>
      </c>
      <c r="I283" s="35"/>
      <c r="J283" s="35" t="s">
        <v>234</v>
      </c>
      <c r="K283" s="36"/>
      <c r="L283" s="34" t="s">
        <v>100</v>
      </c>
      <c r="M283" s="40"/>
      <c r="N283" s="51" t="s">
        <v>850</v>
      </c>
      <c r="O283" s="35" t="s">
        <v>234</v>
      </c>
      <c r="P283" s="27"/>
      <c r="Q283" s="27"/>
      <c r="R283" s="54"/>
      <c r="S283" s="27"/>
      <c r="T283" s="27"/>
      <c r="U283" s="27"/>
      <c r="V283" s="54"/>
      <c r="W283" s="27"/>
      <c r="X283" s="27"/>
      <c r="Y283" s="27"/>
      <c r="Z283" s="27"/>
      <c r="AA283" s="54"/>
      <c r="AB283" s="17"/>
      <c r="AC283" s="17">
        <v>3</v>
      </c>
      <c r="AD283" s="17">
        <f t="shared" si="13"/>
        <v>0</v>
      </c>
      <c r="AE283" s="28">
        <f t="shared" si="14"/>
        <v>0</v>
      </c>
      <c r="AF283" s="28">
        <v>1</v>
      </c>
    </row>
    <row r="284" spans="1:32" ht="15" hidden="1" customHeight="1" x14ac:dyDescent="0.3">
      <c r="A284" s="32" t="s">
        <v>546</v>
      </c>
      <c r="B284" s="33" t="s">
        <v>550</v>
      </c>
      <c r="C284" s="33" t="s">
        <v>551</v>
      </c>
      <c r="D284" s="33" t="s">
        <v>552</v>
      </c>
      <c r="E284" s="33" t="s">
        <v>577</v>
      </c>
      <c r="F284" s="33" t="s">
        <v>196</v>
      </c>
      <c r="G284" s="34" t="s">
        <v>167</v>
      </c>
      <c r="H284" s="24">
        <f t="shared" si="12"/>
        <v>0</v>
      </c>
      <c r="I284" s="35"/>
      <c r="J284" s="35"/>
      <c r="K284" s="36"/>
      <c r="L284" s="34" t="s">
        <v>100</v>
      </c>
      <c r="M284" s="40"/>
      <c r="N284" s="48"/>
      <c r="O284" s="35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17"/>
      <c r="AC284" s="17">
        <v>3</v>
      </c>
      <c r="AD284" s="17">
        <f t="shared" si="13"/>
        <v>0</v>
      </c>
      <c r="AE284" s="28">
        <f t="shared" si="14"/>
        <v>0</v>
      </c>
      <c r="AF284" s="28">
        <v>1</v>
      </c>
    </row>
    <row r="285" spans="1:32" ht="16.5" hidden="1" customHeight="1" x14ac:dyDescent="0.3">
      <c r="A285" s="32" t="s">
        <v>546</v>
      </c>
      <c r="B285" s="33" t="s">
        <v>550</v>
      </c>
      <c r="C285" s="33" t="s">
        <v>551</v>
      </c>
      <c r="D285" s="33" t="s">
        <v>552</v>
      </c>
      <c r="E285" s="33" t="s">
        <v>578</v>
      </c>
      <c r="F285" s="33" t="s">
        <v>204</v>
      </c>
      <c r="G285" s="34" t="s">
        <v>127</v>
      </c>
      <c r="H285" s="24">
        <f t="shared" si="12"/>
        <v>0</v>
      </c>
      <c r="I285" s="35"/>
      <c r="J285" s="35" t="s">
        <v>579</v>
      </c>
      <c r="K285" s="36"/>
      <c r="L285" s="34" t="s">
        <v>100</v>
      </c>
      <c r="M285" s="40"/>
      <c r="N285" s="48"/>
      <c r="O285" s="35" t="s">
        <v>579</v>
      </c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17"/>
      <c r="AC285" s="17">
        <v>2</v>
      </c>
      <c r="AD285" s="17">
        <f t="shared" si="13"/>
        <v>0</v>
      </c>
      <c r="AE285" s="28">
        <f t="shared" si="14"/>
        <v>0</v>
      </c>
      <c r="AF285" s="28">
        <v>1</v>
      </c>
    </row>
    <row r="286" spans="1:32" ht="13.5" hidden="1" customHeight="1" x14ac:dyDescent="0.3">
      <c r="A286" s="32" t="s">
        <v>546</v>
      </c>
      <c r="B286" s="33" t="s">
        <v>591</v>
      </c>
      <c r="C286" s="33" t="s">
        <v>554</v>
      </c>
      <c r="D286" s="33" t="s">
        <v>585</v>
      </c>
      <c r="E286" s="33" t="s">
        <v>586</v>
      </c>
      <c r="F286" s="33" t="s">
        <v>132</v>
      </c>
      <c r="G286" s="34" t="s">
        <v>99</v>
      </c>
      <c r="H286" s="24">
        <f t="shared" si="12"/>
        <v>0</v>
      </c>
      <c r="I286" s="35" t="s">
        <v>808</v>
      </c>
      <c r="J286" s="35"/>
      <c r="K286" s="36"/>
      <c r="L286" s="34" t="s">
        <v>105</v>
      </c>
      <c r="M286" s="40"/>
      <c r="N286" s="48"/>
      <c r="O286" s="35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17"/>
      <c r="AC286" s="17">
        <v>1</v>
      </c>
      <c r="AD286" s="17">
        <f t="shared" si="13"/>
        <v>0</v>
      </c>
      <c r="AE286" s="28">
        <f t="shared" si="14"/>
        <v>0</v>
      </c>
      <c r="AF286" s="28">
        <v>1</v>
      </c>
    </row>
    <row r="287" spans="1:32" ht="17.25" hidden="1" customHeight="1" x14ac:dyDescent="0.3">
      <c r="A287" s="32" t="s">
        <v>546</v>
      </c>
      <c r="B287" s="33" t="s">
        <v>591</v>
      </c>
      <c r="C287" s="33" t="s">
        <v>554</v>
      </c>
      <c r="D287" s="33" t="s">
        <v>585</v>
      </c>
      <c r="E287" s="33" t="s">
        <v>788</v>
      </c>
      <c r="F287" s="33" t="s">
        <v>132</v>
      </c>
      <c r="G287" s="34" t="s">
        <v>99</v>
      </c>
      <c r="H287" s="24">
        <f t="shared" si="12"/>
        <v>0</v>
      </c>
      <c r="I287" s="35" t="s">
        <v>808</v>
      </c>
      <c r="J287" s="35"/>
      <c r="K287" s="36"/>
      <c r="L287" s="34" t="s">
        <v>105</v>
      </c>
      <c r="M287" s="40"/>
      <c r="N287" s="48"/>
      <c r="O287" s="35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17"/>
      <c r="AC287" s="17">
        <v>1</v>
      </c>
      <c r="AD287" s="17">
        <f t="shared" si="13"/>
        <v>0</v>
      </c>
      <c r="AE287" s="28">
        <f t="shared" si="14"/>
        <v>0</v>
      </c>
      <c r="AF287" s="28">
        <v>1</v>
      </c>
    </row>
    <row r="288" spans="1:32" ht="15.75" hidden="1" customHeight="1" x14ac:dyDescent="0.3">
      <c r="A288" s="32" t="s">
        <v>546</v>
      </c>
      <c r="B288" s="33" t="s">
        <v>591</v>
      </c>
      <c r="C288" s="33" t="s">
        <v>554</v>
      </c>
      <c r="D288" s="33" t="s">
        <v>585</v>
      </c>
      <c r="E288" s="33" t="s">
        <v>588</v>
      </c>
      <c r="F288" s="33" t="s">
        <v>132</v>
      </c>
      <c r="G288" s="34" t="s">
        <v>99</v>
      </c>
      <c r="H288" s="24">
        <f t="shared" si="12"/>
        <v>0</v>
      </c>
      <c r="I288" s="35" t="s">
        <v>808</v>
      </c>
      <c r="J288" s="35"/>
      <c r="K288" s="36"/>
      <c r="L288" s="34" t="s">
        <v>100</v>
      </c>
      <c r="M288" s="40"/>
      <c r="N288" s="48"/>
      <c r="O288" s="35" t="s">
        <v>589</v>
      </c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17"/>
      <c r="AC288" s="17">
        <v>1</v>
      </c>
      <c r="AD288" s="17">
        <f t="shared" si="13"/>
        <v>0</v>
      </c>
      <c r="AE288" s="28">
        <f t="shared" si="14"/>
        <v>0</v>
      </c>
      <c r="AF288" s="28">
        <v>1</v>
      </c>
    </row>
    <row r="289" spans="1:32" ht="15" hidden="1" customHeight="1" x14ac:dyDescent="0.3">
      <c r="A289" s="32" t="s">
        <v>546</v>
      </c>
      <c r="B289" s="33" t="s">
        <v>591</v>
      </c>
      <c r="C289" s="33" t="s">
        <v>554</v>
      </c>
      <c r="D289" s="33" t="s">
        <v>585</v>
      </c>
      <c r="E289" s="33" t="s">
        <v>587</v>
      </c>
      <c r="F289" s="33" t="s">
        <v>204</v>
      </c>
      <c r="G289" s="34" t="s">
        <v>127</v>
      </c>
      <c r="H289" s="24">
        <f t="shared" si="12"/>
        <v>0</v>
      </c>
      <c r="I289" s="35" t="s">
        <v>808</v>
      </c>
      <c r="J289" s="35" t="s">
        <v>579</v>
      </c>
      <c r="K289" s="36"/>
      <c r="L289" s="34" t="s">
        <v>100</v>
      </c>
      <c r="M289" s="40"/>
      <c r="N289" s="48"/>
      <c r="O289" s="35" t="s">
        <v>579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17"/>
      <c r="AC289" s="17">
        <v>2</v>
      </c>
      <c r="AD289" s="17">
        <f t="shared" si="13"/>
        <v>0</v>
      </c>
      <c r="AE289" s="28">
        <f t="shared" si="14"/>
        <v>0</v>
      </c>
      <c r="AF289" s="28">
        <v>1</v>
      </c>
    </row>
    <row r="290" spans="1:32" ht="15.75" hidden="1" customHeight="1" x14ac:dyDescent="0.3">
      <c r="A290" s="32" t="s">
        <v>546</v>
      </c>
      <c r="B290" s="33" t="s">
        <v>553</v>
      </c>
      <c r="C290" s="33" t="s">
        <v>554</v>
      </c>
      <c r="D290" s="33" t="s">
        <v>552</v>
      </c>
      <c r="E290" s="33" t="s">
        <v>225</v>
      </c>
      <c r="F290" s="33" t="s">
        <v>672</v>
      </c>
      <c r="G290" s="34" t="s">
        <v>673</v>
      </c>
      <c r="H290" s="24">
        <f t="shared" si="12"/>
        <v>0</v>
      </c>
      <c r="I290" s="35"/>
      <c r="J290" s="35" t="s">
        <v>234</v>
      </c>
      <c r="K290" s="36"/>
      <c r="L290" s="34" t="s">
        <v>100</v>
      </c>
      <c r="M290" s="40"/>
      <c r="N290" s="51" t="s">
        <v>850</v>
      </c>
      <c r="O290" s="35" t="s">
        <v>234</v>
      </c>
      <c r="P290" s="27"/>
      <c r="Q290" s="27"/>
      <c r="R290" s="54"/>
      <c r="S290" s="27"/>
      <c r="T290" s="27"/>
      <c r="U290" s="27"/>
      <c r="V290" s="54"/>
      <c r="W290" s="27"/>
      <c r="X290" s="27"/>
      <c r="Y290" s="27"/>
      <c r="Z290" s="27"/>
      <c r="AA290" s="54"/>
      <c r="AB290" s="17"/>
      <c r="AC290" s="17">
        <v>3</v>
      </c>
      <c r="AD290" s="17">
        <f t="shared" si="13"/>
        <v>0</v>
      </c>
      <c r="AE290" s="28">
        <f t="shared" si="14"/>
        <v>0</v>
      </c>
      <c r="AF290" s="28">
        <v>1</v>
      </c>
    </row>
    <row r="291" spans="1:32" ht="15.75" hidden="1" customHeight="1" x14ac:dyDescent="0.3">
      <c r="A291" s="32" t="s">
        <v>546</v>
      </c>
      <c r="B291" s="33" t="s">
        <v>553</v>
      </c>
      <c r="C291" s="33" t="s">
        <v>554</v>
      </c>
      <c r="D291" s="33" t="s">
        <v>552</v>
      </c>
      <c r="E291" s="33" t="s">
        <v>577</v>
      </c>
      <c r="F291" s="33" t="s">
        <v>196</v>
      </c>
      <c r="G291" s="34" t="s">
        <v>167</v>
      </c>
      <c r="H291" s="24">
        <f t="shared" si="12"/>
        <v>0</v>
      </c>
      <c r="I291" s="35"/>
      <c r="J291" s="35"/>
      <c r="K291" s="36"/>
      <c r="L291" s="34" t="s">
        <v>100</v>
      </c>
      <c r="M291" s="40"/>
      <c r="N291" s="53"/>
      <c r="O291" s="35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17">
        <v>3</v>
      </c>
      <c r="AD291" s="17">
        <f t="shared" si="13"/>
        <v>0</v>
      </c>
      <c r="AE291" s="28">
        <f t="shared" si="14"/>
        <v>0</v>
      </c>
      <c r="AF291" s="28">
        <v>1</v>
      </c>
    </row>
    <row r="292" spans="1:32" ht="15.75" hidden="1" customHeight="1" x14ac:dyDescent="0.3">
      <c r="A292" s="32" t="s">
        <v>546</v>
      </c>
      <c r="B292" s="33" t="s">
        <v>553</v>
      </c>
      <c r="C292" s="33" t="s">
        <v>554</v>
      </c>
      <c r="D292" s="33" t="s">
        <v>552</v>
      </c>
      <c r="E292" s="33" t="s">
        <v>578</v>
      </c>
      <c r="F292" s="33" t="s">
        <v>204</v>
      </c>
      <c r="G292" s="34" t="s">
        <v>127</v>
      </c>
      <c r="H292" s="24">
        <f t="shared" si="12"/>
        <v>0</v>
      </c>
      <c r="I292" s="35"/>
      <c r="J292" s="35" t="s">
        <v>579</v>
      </c>
      <c r="K292" s="36"/>
      <c r="L292" s="34" t="s">
        <v>100</v>
      </c>
      <c r="M292" s="40"/>
      <c r="N292" s="48"/>
      <c r="O292" s="35" t="s">
        <v>579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17">
        <v>2</v>
      </c>
      <c r="AD292" s="17">
        <f t="shared" si="13"/>
        <v>0</v>
      </c>
      <c r="AE292" s="28">
        <f t="shared" si="14"/>
        <v>0</v>
      </c>
      <c r="AF292" s="28">
        <v>1</v>
      </c>
    </row>
    <row r="293" spans="1:32" ht="15.75" hidden="1" customHeight="1" x14ac:dyDescent="0.3">
      <c r="A293" s="32" t="s">
        <v>546</v>
      </c>
      <c r="B293" s="33" t="s">
        <v>592</v>
      </c>
      <c r="C293" s="33" t="s">
        <v>556</v>
      </c>
      <c r="D293" s="33" t="s">
        <v>585</v>
      </c>
      <c r="E293" s="33" t="s">
        <v>586</v>
      </c>
      <c r="F293" s="33" t="s">
        <v>132</v>
      </c>
      <c r="G293" s="34" t="s">
        <v>99</v>
      </c>
      <c r="H293" s="24">
        <f t="shared" si="12"/>
        <v>0</v>
      </c>
      <c r="I293" s="35" t="s">
        <v>808</v>
      </c>
      <c r="J293" s="35"/>
      <c r="K293" s="36"/>
      <c r="L293" s="34" t="s">
        <v>105</v>
      </c>
      <c r="M293" s="40"/>
      <c r="N293" s="48"/>
      <c r="O293" s="35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17"/>
      <c r="AC293" s="17">
        <v>1</v>
      </c>
      <c r="AD293" s="17">
        <f t="shared" si="13"/>
        <v>0</v>
      </c>
      <c r="AE293" s="28">
        <f t="shared" si="14"/>
        <v>0</v>
      </c>
      <c r="AF293" s="28">
        <v>1</v>
      </c>
    </row>
    <row r="294" spans="1:32" ht="15.75" hidden="1" customHeight="1" x14ac:dyDescent="0.3">
      <c r="A294" s="32" t="s">
        <v>546</v>
      </c>
      <c r="B294" s="33" t="s">
        <v>592</v>
      </c>
      <c r="C294" s="33" t="s">
        <v>556</v>
      </c>
      <c r="D294" s="33" t="s">
        <v>585</v>
      </c>
      <c r="E294" s="33" t="s">
        <v>788</v>
      </c>
      <c r="F294" s="33" t="s">
        <v>132</v>
      </c>
      <c r="G294" s="34" t="s">
        <v>99</v>
      </c>
      <c r="H294" s="24">
        <f t="shared" si="12"/>
        <v>0</v>
      </c>
      <c r="I294" s="35" t="s">
        <v>808</v>
      </c>
      <c r="J294" s="35"/>
      <c r="K294" s="36"/>
      <c r="L294" s="34" t="s">
        <v>105</v>
      </c>
      <c r="M294" s="40"/>
      <c r="N294" s="48"/>
      <c r="O294" s="35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17"/>
      <c r="AC294" s="17">
        <v>1</v>
      </c>
      <c r="AD294" s="17">
        <f t="shared" si="13"/>
        <v>0</v>
      </c>
      <c r="AE294" s="28">
        <f t="shared" si="14"/>
        <v>0</v>
      </c>
      <c r="AF294" s="28">
        <v>1</v>
      </c>
    </row>
    <row r="295" spans="1:32" ht="15.75" hidden="1" customHeight="1" x14ac:dyDescent="0.3">
      <c r="A295" s="32" t="s">
        <v>546</v>
      </c>
      <c r="B295" s="33" t="s">
        <v>592</v>
      </c>
      <c r="C295" s="33" t="s">
        <v>556</v>
      </c>
      <c r="D295" s="33" t="s">
        <v>585</v>
      </c>
      <c r="E295" s="33" t="s">
        <v>588</v>
      </c>
      <c r="F295" s="33" t="s">
        <v>132</v>
      </c>
      <c r="G295" s="34" t="s">
        <v>99</v>
      </c>
      <c r="H295" s="24">
        <f t="shared" si="12"/>
        <v>0</v>
      </c>
      <c r="I295" s="35" t="s">
        <v>808</v>
      </c>
      <c r="J295" s="35"/>
      <c r="K295" s="36"/>
      <c r="L295" s="34" t="s">
        <v>100</v>
      </c>
      <c r="M295" s="40"/>
      <c r="N295" s="53"/>
      <c r="O295" s="35" t="s">
        <v>589</v>
      </c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17"/>
      <c r="AC295" s="17">
        <v>1</v>
      </c>
      <c r="AD295" s="17">
        <f t="shared" si="13"/>
        <v>0</v>
      </c>
      <c r="AE295" s="28">
        <f t="shared" si="14"/>
        <v>0</v>
      </c>
      <c r="AF295" s="28">
        <v>1</v>
      </c>
    </row>
    <row r="296" spans="1:32" ht="15.75" hidden="1" customHeight="1" x14ac:dyDescent="0.3">
      <c r="A296" s="32" t="s">
        <v>546</v>
      </c>
      <c r="B296" s="33" t="s">
        <v>592</v>
      </c>
      <c r="C296" s="33" t="s">
        <v>556</v>
      </c>
      <c r="D296" s="33" t="s">
        <v>585</v>
      </c>
      <c r="E296" s="33" t="s">
        <v>587</v>
      </c>
      <c r="F296" s="33" t="s">
        <v>204</v>
      </c>
      <c r="G296" s="34" t="s">
        <v>127</v>
      </c>
      <c r="H296" s="24">
        <f t="shared" si="12"/>
        <v>0</v>
      </c>
      <c r="I296" s="35" t="s">
        <v>808</v>
      </c>
      <c r="J296" s="35" t="s">
        <v>579</v>
      </c>
      <c r="K296" s="36"/>
      <c r="L296" s="34" t="s">
        <v>100</v>
      </c>
      <c r="M296" s="40"/>
      <c r="N296" s="53"/>
      <c r="O296" s="35" t="s">
        <v>579</v>
      </c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17"/>
      <c r="AC296" s="17">
        <v>2</v>
      </c>
      <c r="AD296" s="17">
        <f t="shared" si="13"/>
        <v>0</v>
      </c>
      <c r="AE296" s="28">
        <f t="shared" si="14"/>
        <v>0</v>
      </c>
      <c r="AF296" s="28">
        <v>1</v>
      </c>
    </row>
    <row r="297" spans="1:32" ht="15.75" hidden="1" customHeight="1" x14ac:dyDescent="0.3">
      <c r="A297" s="32" t="s">
        <v>546</v>
      </c>
      <c r="B297" s="33" t="s">
        <v>592</v>
      </c>
      <c r="C297" s="33" t="s">
        <v>556</v>
      </c>
      <c r="D297" s="33" t="s">
        <v>585</v>
      </c>
      <c r="E297" s="33" t="s">
        <v>590</v>
      </c>
      <c r="F297" s="33" t="s">
        <v>204</v>
      </c>
      <c r="G297" s="34" t="s">
        <v>127</v>
      </c>
      <c r="H297" s="24">
        <f t="shared" si="12"/>
        <v>0</v>
      </c>
      <c r="I297" s="35" t="s">
        <v>808</v>
      </c>
      <c r="J297" s="35" t="s">
        <v>579</v>
      </c>
      <c r="K297" s="36"/>
      <c r="L297" s="34" t="s">
        <v>100</v>
      </c>
      <c r="M297" s="40"/>
      <c r="N297" s="48"/>
      <c r="O297" s="35" t="s">
        <v>579</v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17"/>
      <c r="AC297" s="17">
        <v>2</v>
      </c>
      <c r="AD297" s="17">
        <f t="shared" si="13"/>
        <v>0</v>
      </c>
      <c r="AE297" s="28">
        <f t="shared" si="14"/>
        <v>0</v>
      </c>
      <c r="AF297" s="28">
        <v>1</v>
      </c>
    </row>
    <row r="298" spans="1:32" ht="15.75" hidden="1" customHeight="1" x14ac:dyDescent="0.3">
      <c r="A298" s="32" t="s">
        <v>546</v>
      </c>
      <c r="B298" s="33" t="s">
        <v>555</v>
      </c>
      <c r="C298" s="33" t="s">
        <v>556</v>
      </c>
      <c r="D298" s="33" t="s">
        <v>552</v>
      </c>
      <c r="E298" s="33" t="s">
        <v>225</v>
      </c>
      <c r="F298" s="33" t="s">
        <v>672</v>
      </c>
      <c r="G298" s="34" t="s">
        <v>673</v>
      </c>
      <c r="H298" s="24">
        <f t="shared" si="12"/>
        <v>0</v>
      </c>
      <c r="I298" s="35"/>
      <c r="J298" s="35" t="s">
        <v>234</v>
      </c>
      <c r="K298" s="36"/>
      <c r="L298" s="34" t="s">
        <v>100</v>
      </c>
      <c r="M298" s="40"/>
      <c r="N298" s="51" t="s">
        <v>850</v>
      </c>
      <c r="O298" s="35" t="s">
        <v>234</v>
      </c>
      <c r="P298" s="27"/>
      <c r="Q298" s="27"/>
      <c r="R298" s="54"/>
      <c r="S298" s="27"/>
      <c r="T298" s="27"/>
      <c r="U298" s="27"/>
      <c r="V298" s="54"/>
      <c r="W298" s="27"/>
      <c r="X298" s="27"/>
      <c r="Y298" s="27"/>
      <c r="Z298" s="27"/>
      <c r="AA298" s="54"/>
      <c r="AB298" s="17"/>
      <c r="AC298" s="17">
        <v>3</v>
      </c>
      <c r="AD298" s="17">
        <f t="shared" si="13"/>
        <v>0</v>
      </c>
      <c r="AE298" s="28">
        <f t="shared" si="14"/>
        <v>0</v>
      </c>
      <c r="AF298" s="28">
        <v>1</v>
      </c>
    </row>
    <row r="299" spans="1:32" ht="15.75" hidden="1" customHeight="1" x14ac:dyDescent="0.3">
      <c r="A299" s="32" t="s">
        <v>546</v>
      </c>
      <c r="B299" s="33" t="s">
        <v>555</v>
      </c>
      <c r="C299" s="33" t="s">
        <v>556</v>
      </c>
      <c r="D299" s="33" t="s">
        <v>552</v>
      </c>
      <c r="E299" s="33" t="s">
        <v>577</v>
      </c>
      <c r="F299" s="33" t="s">
        <v>196</v>
      </c>
      <c r="G299" s="34" t="s">
        <v>167</v>
      </c>
      <c r="H299" s="24">
        <f t="shared" si="12"/>
        <v>0</v>
      </c>
      <c r="I299" s="35"/>
      <c r="J299" s="35"/>
      <c r="K299" s="36"/>
      <c r="L299" s="34" t="s">
        <v>100</v>
      </c>
      <c r="M299" s="40"/>
      <c r="N299" s="53"/>
      <c r="O299" s="35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17">
        <v>3</v>
      </c>
      <c r="AD299" s="17">
        <f t="shared" si="13"/>
        <v>0</v>
      </c>
      <c r="AE299" s="28">
        <f t="shared" si="14"/>
        <v>0</v>
      </c>
      <c r="AF299" s="28">
        <v>1</v>
      </c>
    </row>
    <row r="300" spans="1:32" ht="15.75" hidden="1" customHeight="1" x14ac:dyDescent="0.3">
      <c r="A300" s="32" t="s">
        <v>546</v>
      </c>
      <c r="B300" s="33" t="s">
        <v>555</v>
      </c>
      <c r="C300" s="33" t="s">
        <v>556</v>
      </c>
      <c r="D300" s="33" t="s">
        <v>552</v>
      </c>
      <c r="E300" s="33" t="s">
        <v>578</v>
      </c>
      <c r="F300" s="33" t="s">
        <v>204</v>
      </c>
      <c r="G300" s="34" t="s">
        <v>127</v>
      </c>
      <c r="H300" s="24">
        <f t="shared" si="12"/>
        <v>0</v>
      </c>
      <c r="I300" s="35"/>
      <c r="J300" s="35" t="s">
        <v>579</v>
      </c>
      <c r="K300" s="36"/>
      <c r="L300" s="34" t="s">
        <v>100</v>
      </c>
      <c r="M300" s="40"/>
      <c r="N300" s="53"/>
      <c r="O300" s="35" t="s">
        <v>579</v>
      </c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17">
        <v>2</v>
      </c>
      <c r="AD300" s="17">
        <f t="shared" si="13"/>
        <v>0</v>
      </c>
      <c r="AE300" s="28">
        <f t="shared" si="14"/>
        <v>0</v>
      </c>
      <c r="AF300" s="28">
        <v>1</v>
      </c>
    </row>
    <row r="301" spans="1:32" ht="15.75" hidden="1" customHeight="1" x14ac:dyDescent="0.3">
      <c r="A301" s="32" t="s">
        <v>546</v>
      </c>
      <c r="B301" s="33" t="s">
        <v>567</v>
      </c>
      <c r="C301" s="33" t="s">
        <v>556</v>
      </c>
      <c r="D301" s="33" t="s">
        <v>568</v>
      </c>
      <c r="E301" s="33" t="s">
        <v>764</v>
      </c>
      <c r="F301" s="33" t="s">
        <v>96</v>
      </c>
      <c r="G301" s="34" t="s">
        <v>167</v>
      </c>
      <c r="H301" s="24">
        <f t="shared" si="12"/>
        <v>0</v>
      </c>
      <c r="I301" s="35"/>
      <c r="J301" s="35"/>
      <c r="K301" s="36"/>
      <c r="L301" s="34" t="s">
        <v>100</v>
      </c>
      <c r="M301" s="40"/>
      <c r="N301" s="48"/>
      <c r="O301" s="35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17">
        <v>3</v>
      </c>
      <c r="AD301" s="17">
        <f t="shared" si="13"/>
        <v>0</v>
      </c>
      <c r="AE301" s="28">
        <f t="shared" si="14"/>
        <v>0</v>
      </c>
      <c r="AF301" s="28">
        <v>1</v>
      </c>
    </row>
    <row r="302" spans="1:32" ht="15.75" hidden="1" customHeight="1" x14ac:dyDescent="0.3">
      <c r="A302" s="32" t="s">
        <v>546</v>
      </c>
      <c r="B302" s="33" t="s">
        <v>567</v>
      </c>
      <c r="C302" s="33" t="s">
        <v>556</v>
      </c>
      <c r="D302" s="33" t="s">
        <v>568</v>
      </c>
      <c r="E302" s="33" t="s">
        <v>787</v>
      </c>
      <c r="F302" s="33" t="s">
        <v>89</v>
      </c>
      <c r="G302" s="34" t="s">
        <v>99</v>
      </c>
      <c r="H302" s="24">
        <f t="shared" si="12"/>
        <v>0</v>
      </c>
      <c r="I302" s="35"/>
      <c r="J302" s="35"/>
      <c r="K302" s="36"/>
      <c r="L302" s="34" t="s">
        <v>100</v>
      </c>
      <c r="M302" s="40"/>
      <c r="N302" s="51" t="s">
        <v>543</v>
      </c>
      <c r="O302" s="35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17"/>
      <c r="AC302" s="17">
        <v>1</v>
      </c>
      <c r="AD302" s="17">
        <f t="shared" si="13"/>
        <v>0</v>
      </c>
      <c r="AE302" s="28">
        <f t="shared" si="14"/>
        <v>0</v>
      </c>
      <c r="AF302" s="28">
        <v>1</v>
      </c>
    </row>
    <row r="303" spans="1:32" ht="15.75" hidden="1" customHeight="1" x14ac:dyDescent="0.3">
      <c r="A303" s="32" t="s">
        <v>546</v>
      </c>
      <c r="B303" s="33" t="s">
        <v>567</v>
      </c>
      <c r="C303" s="33" t="s">
        <v>556</v>
      </c>
      <c r="D303" s="33" t="s">
        <v>568</v>
      </c>
      <c r="E303" s="33" t="s">
        <v>566</v>
      </c>
      <c r="F303" s="33" t="s">
        <v>88</v>
      </c>
      <c r="G303" s="34" t="s">
        <v>127</v>
      </c>
      <c r="H303" s="24">
        <f t="shared" si="12"/>
        <v>0</v>
      </c>
      <c r="I303" s="35"/>
      <c r="J303" s="35"/>
      <c r="K303" s="36"/>
      <c r="L303" s="34" t="s">
        <v>100</v>
      </c>
      <c r="M303" s="40"/>
      <c r="N303" s="48"/>
      <c r="O303" s="35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17">
        <v>2</v>
      </c>
      <c r="AD303" s="17">
        <f t="shared" si="13"/>
        <v>0</v>
      </c>
      <c r="AE303" s="28">
        <f t="shared" si="14"/>
        <v>0</v>
      </c>
      <c r="AF303" s="28">
        <v>1</v>
      </c>
    </row>
    <row r="304" spans="1:32" ht="15.75" hidden="1" customHeight="1" x14ac:dyDescent="0.3">
      <c r="A304" s="32" t="s">
        <v>546</v>
      </c>
      <c r="B304" s="33" t="s">
        <v>567</v>
      </c>
      <c r="C304" s="33" t="s">
        <v>556</v>
      </c>
      <c r="D304" s="33" t="s">
        <v>568</v>
      </c>
      <c r="E304" s="33" t="s">
        <v>225</v>
      </c>
      <c r="F304" s="33" t="s">
        <v>672</v>
      </c>
      <c r="G304" s="34" t="s">
        <v>673</v>
      </c>
      <c r="H304" s="24">
        <f t="shared" si="12"/>
        <v>0</v>
      </c>
      <c r="I304" s="35"/>
      <c r="J304" s="35" t="s">
        <v>226</v>
      </c>
      <c r="K304" s="36"/>
      <c r="L304" s="34" t="s">
        <v>100</v>
      </c>
      <c r="M304" s="40"/>
      <c r="N304" s="40" t="s">
        <v>227</v>
      </c>
      <c r="O304" s="35" t="s">
        <v>226</v>
      </c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17"/>
      <c r="AC304" s="17">
        <v>2</v>
      </c>
      <c r="AD304" s="17">
        <f t="shared" si="13"/>
        <v>0</v>
      </c>
      <c r="AE304" s="28">
        <f t="shared" si="14"/>
        <v>0</v>
      </c>
      <c r="AF304" s="28">
        <v>1</v>
      </c>
    </row>
    <row r="305" spans="1:32" ht="15.75" hidden="1" customHeight="1" x14ac:dyDescent="0.3">
      <c r="A305" s="32" t="s">
        <v>546</v>
      </c>
      <c r="B305" s="33" t="s">
        <v>573</v>
      </c>
      <c r="C305" s="33" t="s">
        <v>556</v>
      </c>
      <c r="D305" s="33" t="s">
        <v>574</v>
      </c>
      <c r="E305" s="33" t="s">
        <v>764</v>
      </c>
      <c r="F305" s="33" t="s">
        <v>96</v>
      </c>
      <c r="G305" s="34" t="s">
        <v>167</v>
      </c>
      <c r="H305" s="24">
        <f t="shared" si="12"/>
        <v>0</v>
      </c>
      <c r="I305" s="35"/>
      <c r="J305" s="35"/>
      <c r="K305" s="36"/>
      <c r="L305" s="34" t="s">
        <v>100</v>
      </c>
      <c r="M305" s="40"/>
      <c r="N305" s="53"/>
      <c r="O305" s="35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17">
        <v>3</v>
      </c>
      <c r="AD305" s="17">
        <f t="shared" si="13"/>
        <v>0</v>
      </c>
      <c r="AE305" s="28">
        <f t="shared" si="14"/>
        <v>0</v>
      </c>
      <c r="AF305" s="28">
        <v>1</v>
      </c>
    </row>
    <row r="306" spans="1:32" ht="15.75" hidden="1" customHeight="1" x14ac:dyDescent="0.3">
      <c r="A306" s="32" t="s">
        <v>546</v>
      </c>
      <c r="B306" s="33" t="s">
        <v>573</v>
      </c>
      <c r="C306" s="33" t="s">
        <v>556</v>
      </c>
      <c r="D306" s="33" t="s">
        <v>574</v>
      </c>
      <c r="E306" s="33" t="s">
        <v>787</v>
      </c>
      <c r="F306" s="33" t="s">
        <v>89</v>
      </c>
      <c r="G306" s="34" t="s">
        <v>99</v>
      </c>
      <c r="H306" s="24">
        <f t="shared" si="12"/>
        <v>0</v>
      </c>
      <c r="I306" s="35"/>
      <c r="J306" s="35"/>
      <c r="K306" s="36"/>
      <c r="L306" s="34" t="s">
        <v>100</v>
      </c>
      <c r="M306" s="40"/>
      <c r="N306" s="51" t="s">
        <v>543</v>
      </c>
      <c r="O306" s="35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17"/>
      <c r="AC306" s="17">
        <v>1</v>
      </c>
      <c r="AD306" s="17">
        <f t="shared" si="13"/>
        <v>0</v>
      </c>
      <c r="AE306" s="28">
        <f t="shared" si="14"/>
        <v>0</v>
      </c>
      <c r="AF306" s="28">
        <v>1</v>
      </c>
    </row>
    <row r="307" spans="1:32" ht="15.75" hidden="1" customHeight="1" x14ac:dyDescent="0.3">
      <c r="A307" s="32" t="s">
        <v>546</v>
      </c>
      <c r="B307" s="33" t="s">
        <v>573</v>
      </c>
      <c r="C307" s="33" t="s">
        <v>556</v>
      </c>
      <c r="D307" s="33" t="s">
        <v>574</v>
      </c>
      <c r="E307" s="33" t="s">
        <v>566</v>
      </c>
      <c r="F307" s="33" t="s">
        <v>88</v>
      </c>
      <c r="G307" s="34" t="s">
        <v>127</v>
      </c>
      <c r="H307" s="24">
        <f t="shared" si="12"/>
        <v>0</v>
      </c>
      <c r="I307" s="35"/>
      <c r="J307" s="35"/>
      <c r="K307" s="36"/>
      <c r="L307" s="34" t="s">
        <v>100</v>
      </c>
      <c r="M307" s="40"/>
      <c r="N307" s="48"/>
      <c r="O307" s="35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17">
        <v>2</v>
      </c>
      <c r="AD307" s="17">
        <f t="shared" si="13"/>
        <v>0</v>
      </c>
      <c r="AE307" s="28">
        <f t="shared" si="14"/>
        <v>0</v>
      </c>
      <c r="AF307" s="28">
        <v>1</v>
      </c>
    </row>
    <row r="308" spans="1:32" ht="15.75" hidden="1" customHeight="1" x14ac:dyDescent="0.3">
      <c r="A308" s="32" t="s">
        <v>546</v>
      </c>
      <c r="B308" s="33" t="s">
        <v>573</v>
      </c>
      <c r="C308" s="33" t="s">
        <v>556</v>
      </c>
      <c r="D308" s="33" t="s">
        <v>574</v>
      </c>
      <c r="E308" s="33" t="s">
        <v>225</v>
      </c>
      <c r="F308" s="33" t="s">
        <v>672</v>
      </c>
      <c r="G308" s="34" t="s">
        <v>673</v>
      </c>
      <c r="H308" s="24">
        <f t="shared" si="12"/>
        <v>0</v>
      </c>
      <c r="I308" s="35"/>
      <c r="J308" s="35" t="s">
        <v>226</v>
      </c>
      <c r="K308" s="36"/>
      <c r="L308" s="34" t="s">
        <v>100</v>
      </c>
      <c r="M308" s="40"/>
      <c r="N308" s="51" t="s">
        <v>227</v>
      </c>
      <c r="O308" s="35" t="s">
        <v>226</v>
      </c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49"/>
      <c r="AC308" s="17">
        <v>2</v>
      </c>
      <c r="AD308" s="17">
        <f t="shared" si="13"/>
        <v>0</v>
      </c>
      <c r="AE308" s="28">
        <f t="shared" si="14"/>
        <v>0</v>
      </c>
      <c r="AF308" s="28">
        <v>1</v>
      </c>
    </row>
    <row r="309" spans="1:32" ht="15.75" hidden="1" customHeight="1" x14ac:dyDescent="0.3">
      <c r="A309" s="32" t="s">
        <v>546</v>
      </c>
      <c r="B309" s="33" t="s">
        <v>593</v>
      </c>
      <c r="C309" s="33" t="s">
        <v>558</v>
      </c>
      <c r="D309" s="33" t="s">
        <v>585</v>
      </c>
      <c r="E309" s="33" t="s">
        <v>586</v>
      </c>
      <c r="F309" s="33" t="s">
        <v>132</v>
      </c>
      <c r="G309" s="34" t="s">
        <v>99</v>
      </c>
      <c r="H309" s="24">
        <f t="shared" si="12"/>
        <v>0</v>
      </c>
      <c r="I309" s="35" t="s">
        <v>808</v>
      </c>
      <c r="J309" s="35"/>
      <c r="K309" s="36"/>
      <c r="L309" s="34" t="s">
        <v>105</v>
      </c>
      <c r="M309" s="40"/>
      <c r="N309" s="53"/>
      <c r="O309" s="35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17"/>
      <c r="AC309" s="17">
        <v>1</v>
      </c>
      <c r="AD309" s="17">
        <f t="shared" si="13"/>
        <v>0</v>
      </c>
      <c r="AE309" s="28">
        <f t="shared" si="14"/>
        <v>0</v>
      </c>
      <c r="AF309" s="28">
        <v>1</v>
      </c>
    </row>
    <row r="310" spans="1:32" ht="15.75" hidden="1" customHeight="1" x14ac:dyDescent="0.3">
      <c r="A310" s="32" t="s">
        <v>546</v>
      </c>
      <c r="B310" s="33" t="s">
        <v>593</v>
      </c>
      <c r="C310" s="33" t="s">
        <v>558</v>
      </c>
      <c r="D310" s="33" t="s">
        <v>585</v>
      </c>
      <c r="E310" s="33" t="s">
        <v>788</v>
      </c>
      <c r="F310" s="33" t="s">
        <v>132</v>
      </c>
      <c r="G310" s="34" t="s">
        <v>99</v>
      </c>
      <c r="H310" s="24">
        <f t="shared" si="12"/>
        <v>0</v>
      </c>
      <c r="I310" s="35" t="s">
        <v>808</v>
      </c>
      <c r="J310" s="35"/>
      <c r="K310" s="36"/>
      <c r="L310" s="34" t="s">
        <v>105</v>
      </c>
      <c r="M310" s="40"/>
      <c r="N310" s="53"/>
      <c r="O310" s="35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17"/>
      <c r="AC310" s="17">
        <v>1</v>
      </c>
      <c r="AD310" s="17">
        <f t="shared" si="13"/>
        <v>0</v>
      </c>
      <c r="AE310" s="28">
        <f t="shared" si="14"/>
        <v>0</v>
      </c>
      <c r="AF310" s="28">
        <v>1</v>
      </c>
    </row>
    <row r="311" spans="1:32" ht="15.75" hidden="1" customHeight="1" x14ac:dyDescent="0.3">
      <c r="A311" s="32" t="s">
        <v>546</v>
      </c>
      <c r="B311" s="33" t="s">
        <v>593</v>
      </c>
      <c r="C311" s="33" t="s">
        <v>558</v>
      </c>
      <c r="D311" s="33" t="s">
        <v>585</v>
      </c>
      <c r="E311" s="33" t="s">
        <v>588</v>
      </c>
      <c r="F311" s="33" t="s">
        <v>132</v>
      </c>
      <c r="G311" s="34" t="s">
        <v>99</v>
      </c>
      <c r="H311" s="24">
        <f t="shared" si="12"/>
        <v>0</v>
      </c>
      <c r="I311" s="35" t="s">
        <v>808</v>
      </c>
      <c r="J311" s="35"/>
      <c r="K311" s="36"/>
      <c r="L311" s="34" t="s">
        <v>100</v>
      </c>
      <c r="M311" s="40"/>
      <c r="N311" s="48"/>
      <c r="O311" s="35" t="s">
        <v>589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17"/>
      <c r="AC311" s="17">
        <v>1</v>
      </c>
      <c r="AD311" s="17">
        <f t="shared" si="13"/>
        <v>0</v>
      </c>
      <c r="AE311" s="28">
        <f t="shared" si="14"/>
        <v>0</v>
      </c>
      <c r="AF311" s="28">
        <v>1</v>
      </c>
    </row>
    <row r="312" spans="1:32" ht="15.75" hidden="1" customHeight="1" x14ac:dyDescent="0.3">
      <c r="A312" s="32" t="s">
        <v>546</v>
      </c>
      <c r="B312" s="33" t="s">
        <v>593</v>
      </c>
      <c r="C312" s="33" t="s">
        <v>558</v>
      </c>
      <c r="D312" s="33" t="s">
        <v>585</v>
      </c>
      <c r="E312" s="33" t="s">
        <v>587</v>
      </c>
      <c r="F312" s="33" t="s">
        <v>204</v>
      </c>
      <c r="G312" s="34" t="s">
        <v>127</v>
      </c>
      <c r="H312" s="24">
        <f t="shared" si="12"/>
        <v>0</v>
      </c>
      <c r="I312" s="35" t="s">
        <v>808</v>
      </c>
      <c r="J312" s="35" t="s">
        <v>579</v>
      </c>
      <c r="K312" s="36"/>
      <c r="L312" s="34" t="s">
        <v>100</v>
      </c>
      <c r="M312" s="40"/>
      <c r="N312" s="48"/>
      <c r="O312" s="35" t="s">
        <v>579</v>
      </c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17"/>
      <c r="AC312" s="17">
        <v>2</v>
      </c>
      <c r="AD312" s="17">
        <f t="shared" si="13"/>
        <v>0</v>
      </c>
      <c r="AE312" s="28">
        <f t="shared" si="14"/>
        <v>0</v>
      </c>
      <c r="AF312" s="28">
        <v>1</v>
      </c>
    </row>
    <row r="313" spans="1:32" ht="15.75" hidden="1" customHeight="1" x14ac:dyDescent="0.3">
      <c r="A313" s="32" t="s">
        <v>546</v>
      </c>
      <c r="B313" s="33" t="s">
        <v>593</v>
      </c>
      <c r="C313" s="33" t="s">
        <v>558</v>
      </c>
      <c r="D313" s="33" t="s">
        <v>585</v>
      </c>
      <c r="E313" s="33" t="s">
        <v>590</v>
      </c>
      <c r="F313" s="33" t="s">
        <v>204</v>
      </c>
      <c r="G313" s="34" t="s">
        <v>127</v>
      </c>
      <c r="H313" s="24">
        <f t="shared" si="12"/>
        <v>0</v>
      </c>
      <c r="I313" s="35" t="s">
        <v>808</v>
      </c>
      <c r="J313" s="35" t="s">
        <v>579</v>
      </c>
      <c r="K313" s="36"/>
      <c r="L313" s="34" t="s">
        <v>100</v>
      </c>
      <c r="M313" s="40"/>
      <c r="N313" s="48"/>
      <c r="O313" s="35" t="s">
        <v>579</v>
      </c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17"/>
      <c r="AC313" s="17">
        <v>2</v>
      </c>
      <c r="AD313" s="17">
        <f t="shared" si="13"/>
        <v>0</v>
      </c>
      <c r="AE313" s="28">
        <f t="shared" si="14"/>
        <v>0</v>
      </c>
      <c r="AF313" s="28">
        <v>1</v>
      </c>
    </row>
    <row r="314" spans="1:32" ht="15.75" hidden="1" customHeight="1" x14ac:dyDescent="0.3">
      <c r="A314" s="32" t="s">
        <v>546</v>
      </c>
      <c r="B314" s="33" t="s">
        <v>557</v>
      </c>
      <c r="C314" s="33" t="s">
        <v>558</v>
      </c>
      <c r="D314" s="33" t="s">
        <v>552</v>
      </c>
      <c r="E314" s="33" t="s">
        <v>225</v>
      </c>
      <c r="F314" s="33" t="s">
        <v>672</v>
      </c>
      <c r="G314" s="34" t="s">
        <v>673</v>
      </c>
      <c r="H314" s="24">
        <f t="shared" si="12"/>
        <v>0</v>
      </c>
      <c r="I314" s="35"/>
      <c r="J314" s="35" t="s">
        <v>234</v>
      </c>
      <c r="K314" s="36"/>
      <c r="L314" s="34" t="s">
        <v>100</v>
      </c>
      <c r="M314" s="40"/>
      <c r="N314" s="51" t="s">
        <v>850</v>
      </c>
      <c r="O314" s="35" t="s">
        <v>234</v>
      </c>
      <c r="P314" s="27"/>
      <c r="Q314" s="27"/>
      <c r="R314" s="54"/>
      <c r="S314" s="27"/>
      <c r="T314" s="27"/>
      <c r="U314" s="27"/>
      <c r="V314" s="54"/>
      <c r="W314" s="27"/>
      <c r="X314" s="27"/>
      <c r="Y314" s="27"/>
      <c r="Z314" s="27"/>
      <c r="AA314" s="54"/>
      <c r="AB314" s="17"/>
      <c r="AC314" s="17">
        <v>3</v>
      </c>
      <c r="AD314" s="17">
        <f t="shared" si="13"/>
        <v>0</v>
      </c>
      <c r="AE314" s="28">
        <f t="shared" si="14"/>
        <v>0</v>
      </c>
      <c r="AF314" s="28">
        <v>1</v>
      </c>
    </row>
    <row r="315" spans="1:32" ht="15.75" hidden="1" customHeight="1" x14ac:dyDescent="0.3">
      <c r="A315" s="32" t="s">
        <v>546</v>
      </c>
      <c r="B315" s="33" t="s">
        <v>557</v>
      </c>
      <c r="C315" s="33" t="s">
        <v>558</v>
      </c>
      <c r="D315" s="33" t="s">
        <v>552</v>
      </c>
      <c r="E315" s="33" t="s">
        <v>577</v>
      </c>
      <c r="F315" s="33" t="s">
        <v>196</v>
      </c>
      <c r="G315" s="34" t="s">
        <v>167</v>
      </c>
      <c r="H315" s="24">
        <f t="shared" si="12"/>
        <v>0</v>
      </c>
      <c r="I315" s="35"/>
      <c r="J315" s="35"/>
      <c r="K315" s="36"/>
      <c r="L315" s="34" t="s">
        <v>100</v>
      </c>
      <c r="M315" s="40"/>
      <c r="N315" s="53"/>
      <c r="O315" s="35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17">
        <v>3</v>
      </c>
      <c r="AD315" s="17">
        <f t="shared" si="13"/>
        <v>0</v>
      </c>
      <c r="AE315" s="28">
        <f t="shared" si="14"/>
        <v>0</v>
      </c>
      <c r="AF315" s="28">
        <v>1</v>
      </c>
    </row>
    <row r="316" spans="1:32" ht="15.75" hidden="1" customHeight="1" x14ac:dyDescent="0.3">
      <c r="A316" s="32" t="s">
        <v>546</v>
      </c>
      <c r="B316" s="33" t="s">
        <v>557</v>
      </c>
      <c r="C316" s="33" t="s">
        <v>558</v>
      </c>
      <c r="D316" s="33" t="s">
        <v>552</v>
      </c>
      <c r="E316" s="33" t="s">
        <v>578</v>
      </c>
      <c r="F316" s="33" t="s">
        <v>204</v>
      </c>
      <c r="G316" s="34" t="s">
        <v>127</v>
      </c>
      <c r="H316" s="24">
        <f t="shared" si="12"/>
        <v>0</v>
      </c>
      <c r="I316" s="35"/>
      <c r="J316" s="35" t="s">
        <v>579</v>
      </c>
      <c r="K316" s="36"/>
      <c r="L316" s="34" t="s">
        <v>100</v>
      </c>
      <c r="M316" s="40"/>
      <c r="N316" s="48"/>
      <c r="O316" s="35" t="s">
        <v>579</v>
      </c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17">
        <v>2</v>
      </c>
      <c r="AD316" s="17">
        <f t="shared" si="13"/>
        <v>0</v>
      </c>
      <c r="AE316" s="28">
        <f t="shared" si="14"/>
        <v>0</v>
      </c>
      <c r="AF316" s="28">
        <v>1</v>
      </c>
    </row>
    <row r="317" spans="1:32" ht="15.75" hidden="1" customHeight="1" x14ac:dyDescent="0.3">
      <c r="A317" s="32" t="s">
        <v>546</v>
      </c>
      <c r="B317" s="33" t="s">
        <v>569</v>
      </c>
      <c r="C317" s="33" t="s">
        <v>558</v>
      </c>
      <c r="D317" s="33" t="s">
        <v>568</v>
      </c>
      <c r="E317" s="33" t="s">
        <v>764</v>
      </c>
      <c r="F317" s="33" t="s">
        <v>96</v>
      </c>
      <c r="G317" s="34" t="s">
        <v>167</v>
      </c>
      <c r="H317" s="24">
        <f t="shared" si="12"/>
        <v>0</v>
      </c>
      <c r="I317" s="35"/>
      <c r="J317" s="35"/>
      <c r="K317" s="36"/>
      <c r="L317" s="34" t="s">
        <v>100</v>
      </c>
      <c r="M317" s="40"/>
      <c r="N317" s="48"/>
      <c r="O317" s="35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17">
        <v>3</v>
      </c>
      <c r="AD317" s="17">
        <f t="shared" si="13"/>
        <v>0</v>
      </c>
      <c r="AE317" s="28">
        <f t="shared" si="14"/>
        <v>0</v>
      </c>
      <c r="AF317" s="28">
        <v>1</v>
      </c>
    </row>
    <row r="318" spans="1:32" ht="15.75" hidden="1" customHeight="1" x14ac:dyDescent="0.3">
      <c r="A318" s="32" t="s">
        <v>546</v>
      </c>
      <c r="B318" s="33" t="s">
        <v>569</v>
      </c>
      <c r="C318" s="33" t="s">
        <v>558</v>
      </c>
      <c r="D318" s="33" t="s">
        <v>568</v>
      </c>
      <c r="E318" s="33" t="s">
        <v>787</v>
      </c>
      <c r="F318" s="33" t="s">
        <v>89</v>
      </c>
      <c r="G318" s="34" t="s">
        <v>99</v>
      </c>
      <c r="H318" s="24">
        <f t="shared" si="12"/>
        <v>0</v>
      </c>
      <c r="I318" s="35"/>
      <c r="J318" s="35"/>
      <c r="K318" s="36"/>
      <c r="L318" s="34" t="s">
        <v>100</v>
      </c>
      <c r="M318" s="40"/>
      <c r="N318" s="51" t="s">
        <v>543</v>
      </c>
      <c r="O318" s="35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17"/>
      <c r="AC318" s="17">
        <v>1</v>
      </c>
      <c r="AD318" s="17">
        <f t="shared" si="13"/>
        <v>0</v>
      </c>
      <c r="AE318" s="28">
        <f t="shared" si="14"/>
        <v>0</v>
      </c>
      <c r="AF318" s="28">
        <v>1</v>
      </c>
    </row>
    <row r="319" spans="1:32" ht="15.75" hidden="1" customHeight="1" x14ac:dyDescent="0.3">
      <c r="A319" s="32" t="s">
        <v>546</v>
      </c>
      <c r="B319" s="33" t="s">
        <v>569</v>
      </c>
      <c r="C319" s="33" t="s">
        <v>558</v>
      </c>
      <c r="D319" s="33" t="s">
        <v>568</v>
      </c>
      <c r="E319" s="33" t="s">
        <v>566</v>
      </c>
      <c r="F319" s="33" t="s">
        <v>88</v>
      </c>
      <c r="G319" s="34" t="s">
        <v>127</v>
      </c>
      <c r="H319" s="24">
        <f t="shared" si="12"/>
        <v>0</v>
      </c>
      <c r="I319" s="35"/>
      <c r="J319" s="35"/>
      <c r="K319" s="36"/>
      <c r="L319" s="34" t="s">
        <v>100</v>
      </c>
      <c r="M319" s="40"/>
      <c r="N319" s="48"/>
      <c r="O319" s="35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41"/>
      <c r="AC319" s="17">
        <v>2</v>
      </c>
      <c r="AD319" s="17">
        <f t="shared" si="13"/>
        <v>0</v>
      </c>
      <c r="AE319" s="28">
        <f t="shared" si="14"/>
        <v>0</v>
      </c>
      <c r="AF319" s="28">
        <v>1</v>
      </c>
    </row>
    <row r="320" spans="1:32" ht="15.75" hidden="1" customHeight="1" x14ac:dyDescent="0.3">
      <c r="A320" s="32" t="s">
        <v>546</v>
      </c>
      <c r="B320" s="33" t="s">
        <v>569</v>
      </c>
      <c r="C320" s="33" t="s">
        <v>558</v>
      </c>
      <c r="D320" s="33" t="s">
        <v>568</v>
      </c>
      <c r="E320" s="33" t="s">
        <v>225</v>
      </c>
      <c r="F320" s="33" t="s">
        <v>672</v>
      </c>
      <c r="G320" s="34" t="s">
        <v>673</v>
      </c>
      <c r="H320" s="24">
        <f t="shared" si="12"/>
        <v>0</v>
      </c>
      <c r="I320" s="35"/>
      <c r="J320" s="35" t="s">
        <v>226</v>
      </c>
      <c r="K320" s="36"/>
      <c r="L320" s="34" t="s">
        <v>100</v>
      </c>
      <c r="M320" s="40"/>
      <c r="N320" s="51" t="s">
        <v>227</v>
      </c>
      <c r="O320" s="35" t="s">
        <v>226</v>
      </c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17"/>
      <c r="AC320" s="17">
        <v>2</v>
      </c>
      <c r="AD320" s="17">
        <f t="shared" si="13"/>
        <v>0</v>
      </c>
      <c r="AE320" s="28">
        <f t="shared" si="14"/>
        <v>0</v>
      </c>
      <c r="AF320" s="28">
        <v>1</v>
      </c>
    </row>
    <row r="321" spans="1:32" ht="15.75" hidden="1" customHeight="1" x14ac:dyDescent="0.3">
      <c r="A321" s="32" t="s">
        <v>546</v>
      </c>
      <c r="B321" s="33" t="s">
        <v>575</v>
      </c>
      <c r="C321" s="33" t="s">
        <v>558</v>
      </c>
      <c r="D321" s="33" t="s">
        <v>574</v>
      </c>
      <c r="E321" s="33" t="s">
        <v>764</v>
      </c>
      <c r="F321" s="33" t="s">
        <v>96</v>
      </c>
      <c r="G321" s="34" t="s">
        <v>167</v>
      </c>
      <c r="H321" s="24">
        <f t="shared" si="12"/>
        <v>0</v>
      </c>
      <c r="I321" s="35"/>
      <c r="J321" s="35"/>
      <c r="K321" s="36"/>
      <c r="L321" s="34" t="s">
        <v>100</v>
      </c>
      <c r="M321" s="40"/>
      <c r="N321" s="48"/>
      <c r="O321" s="35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17">
        <v>3</v>
      </c>
      <c r="AD321" s="17">
        <f t="shared" si="13"/>
        <v>0</v>
      </c>
      <c r="AE321" s="28">
        <f t="shared" si="14"/>
        <v>0</v>
      </c>
      <c r="AF321" s="28">
        <v>1</v>
      </c>
    </row>
    <row r="322" spans="1:32" ht="15.75" hidden="1" customHeight="1" x14ac:dyDescent="0.3">
      <c r="A322" s="32" t="s">
        <v>546</v>
      </c>
      <c r="B322" s="33" t="s">
        <v>575</v>
      </c>
      <c r="C322" s="33" t="s">
        <v>558</v>
      </c>
      <c r="D322" s="33" t="s">
        <v>574</v>
      </c>
      <c r="E322" s="33" t="s">
        <v>787</v>
      </c>
      <c r="F322" s="33" t="s">
        <v>89</v>
      </c>
      <c r="G322" s="34" t="s">
        <v>99</v>
      </c>
      <c r="H322" s="24">
        <f t="shared" si="12"/>
        <v>0</v>
      </c>
      <c r="I322" s="35"/>
      <c r="J322" s="35"/>
      <c r="K322" s="36"/>
      <c r="L322" s="34" t="s">
        <v>100</v>
      </c>
      <c r="M322" s="40"/>
      <c r="N322" s="51" t="s">
        <v>543</v>
      </c>
      <c r="O322" s="35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49"/>
      <c r="AC322" s="17">
        <v>1</v>
      </c>
      <c r="AD322" s="17">
        <f t="shared" si="13"/>
        <v>0</v>
      </c>
      <c r="AE322" s="28">
        <f t="shared" si="14"/>
        <v>0</v>
      </c>
      <c r="AF322" s="28">
        <v>1</v>
      </c>
    </row>
    <row r="323" spans="1:32" ht="15.75" hidden="1" customHeight="1" x14ac:dyDescent="0.3">
      <c r="A323" s="32" t="s">
        <v>546</v>
      </c>
      <c r="B323" s="33" t="s">
        <v>575</v>
      </c>
      <c r="C323" s="33" t="s">
        <v>558</v>
      </c>
      <c r="D323" s="33" t="s">
        <v>574</v>
      </c>
      <c r="E323" s="33" t="s">
        <v>566</v>
      </c>
      <c r="F323" s="33" t="s">
        <v>88</v>
      </c>
      <c r="G323" s="34" t="s">
        <v>127</v>
      </c>
      <c r="H323" s="24">
        <f t="shared" si="12"/>
        <v>0</v>
      </c>
      <c r="I323" s="35"/>
      <c r="J323" s="35"/>
      <c r="K323" s="36"/>
      <c r="L323" s="34" t="s">
        <v>100</v>
      </c>
      <c r="M323" s="40"/>
      <c r="N323" s="48"/>
      <c r="O323" s="35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17">
        <v>2</v>
      </c>
      <c r="AD323" s="17">
        <f t="shared" si="13"/>
        <v>0</v>
      </c>
      <c r="AE323" s="28">
        <f t="shared" si="14"/>
        <v>0</v>
      </c>
      <c r="AF323" s="28">
        <v>1</v>
      </c>
    </row>
    <row r="324" spans="1:32" ht="15.75" hidden="1" customHeight="1" x14ac:dyDescent="0.3">
      <c r="A324" s="32" t="s">
        <v>546</v>
      </c>
      <c r="B324" s="33" t="s">
        <v>575</v>
      </c>
      <c r="C324" s="33" t="s">
        <v>558</v>
      </c>
      <c r="D324" s="33" t="s">
        <v>574</v>
      </c>
      <c r="E324" s="33" t="s">
        <v>225</v>
      </c>
      <c r="F324" s="33" t="s">
        <v>672</v>
      </c>
      <c r="G324" s="34" t="s">
        <v>673</v>
      </c>
      <c r="H324" s="24">
        <f t="shared" ref="H324:H387" si="15">IF(AC324=0," ",(AD324/AC324))</f>
        <v>0</v>
      </c>
      <c r="I324" s="35"/>
      <c r="J324" s="35" t="s">
        <v>226</v>
      </c>
      <c r="K324" s="36"/>
      <c r="L324" s="34" t="s">
        <v>100</v>
      </c>
      <c r="M324" s="40"/>
      <c r="N324" s="51" t="s">
        <v>227</v>
      </c>
      <c r="O324" s="35" t="s">
        <v>226</v>
      </c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17"/>
      <c r="AC324" s="17">
        <v>2</v>
      </c>
      <c r="AD324" s="17">
        <f t="shared" ref="AD324:AD387" si="16">IF(COUNTA(P324:AB324)&gt;AC324,AC324,COUNTA(P324:AB324))</f>
        <v>0</v>
      </c>
      <c r="AE324" s="28">
        <f t="shared" ref="AE324:AE387" si="17">IF(H324=1,1,0)</f>
        <v>0</v>
      </c>
      <c r="AF324" s="28">
        <v>1</v>
      </c>
    </row>
    <row r="325" spans="1:32" ht="15.75" hidden="1" customHeight="1" x14ac:dyDescent="0.3">
      <c r="A325" s="32" t="s">
        <v>546</v>
      </c>
      <c r="B325" s="33" t="s">
        <v>594</v>
      </c>
      <c r="C325" s="33" t="s">
        <v>560</v>
      </c>
      <c r="D325" s="33" t="s">
        <v>585</v>
      </c>
      <c r="E325" s="33" t="s">
        <v>586</v>
      </c>
      <c r="F325" s="33" t="s">
        <v>132</v>
      </c>
      <c r="G325" s="34" t="s">
        <v>99</v>
      </c>
      <c r="H325" s="24">
        <f t="shared" si="15"/>
        <v>0</v>
      </c>
      <c r="I325" s="35" t="s">
        <v>808</v>
      </c>
      <c r="J325" s="35"/>
      <c r="K325" s="36"/>
      <c r="L325" s="34" t="s">
        <v>105</v>
      </c>
      <c r="M325" s="40"/>
      <c r="N325" s="48"/>
      <c r="O325" s="35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17"/>
      <c r="AC325" s="17">
        <v>1</v>
      </c>
      <c r="AD325" s="17">
        <f t="shared" si="16"/>
        <v>0</v>
      </c>
      <c r="AE325" s="28">
        <f t="shared" si="17"/>
        <v>0</v>
      </c>
      <c r="AF325" s="28">
        <v>1</v>
      </c>
    </row>
    <row r="326" spans="1:32" ht="15.75" hidden="1" customHeight="1" x14ac:dyDescent="0.3">
      <c r="A326" s="32" t="s">
        <v>546</v>
      </c>
      <c r="B326" s="33" t="s">
        <v>594</v>
      </c>
      <c r="C326" s="33" t="s">
        <v>560</v>
      </c>
      <c r="D326" s="33" t="s">
        <v>585</v>
      </c>
      <c r="E326" s="33" t="s">
        <v>788</v>
      </c>
      <c r="F326" s="33" t="s">
        <v>132</v>
      </c>
      <c r="G326" s="34" t="s">
        <v>99</v>
      </c>
      <c r="H326" s="24">
        <f t="shared" si="15"/>
        <v>0</v>
      </c>
      <c r="I326" s="35" t="s">
        <v>808</v>
      </c>
      <c r="J326" s="35"/>
      <c r="K326" s="36"/>
      <c r="L326" s="34" t="s">
        <v>105</v>
      </c>
      <c r="M326" s="40"/>
      <c r="N326" s="48"/>
      <c r="O326" s="35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17"/>
      <c r="AC326" s="17">
        <v>1</v>
      </c>
      <c r="AD326" s="17">
        <f t="shared" si="16"/>
        <v>0</v>
      </c>
      <c r="AE326" s="28">
        <f t="shared" si="17"/>
        <v>0</v>
      </c>
      <c r="AF326" s="28">
        <v>1</v>
      </c>
    </row>
    <row r="327" spans="1:32" ht="15.75" hidden="1" customHeight="1" x14ac:dyDescent="0.3">
      <c r="A327" s="32" t="s">
        <v>546</v>
      </c>
      <c r="B327" s="33" t="s">
        <v>594</v>
      </c>
      <c r="C327" s="33" t="s">
        <v>560</v>
      </c>
      <c r="D327" s="33" t="s">
        <v>585</v>
      </c>
      <c r="E327" s="33" t="s">
        <v>588</v>
      </c>
      <c r="F327" s="33" t="s">
        <v>132</v>
      </c>
      <c r="G327" s="34" t="s">
        <v>99</v>
      </c>
      <c r="H327" s="24">
        <f t="shared" si="15"/>
        <v>0</v>
      </c>
      <c r="I327" s="35" t="s">
        <v>808</v>
      </c>
      <c r="J327" s="35"/>
      <c r="K327" s="36"/>
      <c r="L327" s="34" t="s">
        <v>100</v>
      </c>
      <c r="M327" s="40"/>
      <c r="N327" s="48"/>
      <c r="O327" s="35" t="s">
        <v>589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49"/>
      <c r="AC327" s="17">
        <v>1</v>
      </c>
      <c r="AD327" s="17">
        <f t="shared" si="16"/>
        <v>0</v>
      </c>
      <c r="AE327" s="28">
        <f t="shared" si="17"/>
        <v>0</v>
      </c>
      <c r="AF327" s="28">
        <v>1</v>
      </c>
    </row>
    <row r="328" spans="1:32" ht="15.75" hidden="1" customHeight="1" x14ac:dyDescent="0.3">
      <c r="A328" s="32" t="s">
        <v>546</v>
      </c>
      <c r="B328" s="33" t="s">
        <v>594</v>
      </c>
      <c r="C328" s="33" t="s">
        <v>560</v>
      </c>
      <c r="D328" s="33" t="s">
        <v>585</v>
      </c>
      <c r="E328" s="33" t="s">
        <v>587</v>
      </c>
      <c r="F328" s="33" t="s">
        <v>204</v>
      </c>
      <c r="G328" s="34" t="s">
        <v>127</v>
      </c>
      <c r="H328" s="24">
        <f t="shared" si="15"/>
        <v>0</v>
      </c>
      <c r="I328" s="35" t="s">
        <v>808</v>
      </c>
      <c r="J328" s="35" t="s">
        <v>579</v>
      </c>
      <c r="K328" s="36"/>
      <c r="L328" s="34" t="s">
        <v>100</v>
      </c>
      <c r="M328" s="40"/>
      <c r="N328" s="48"/>
      <c r="O328" s="35" t="s">
        <v>579</v>
      </c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49"/>
      <c r="AC328" s="17">
        <v>2</v>
      </c>
      <c r="AD328" s="17">
        <f t="shared" si="16"/>
        <v>0</v>
      </c>
      <c r="AE328" s="28">
        <f t="shared" si="17"/>
        <v>0</v>
      </c>
      <c r="AF328" s="28">
        <v>1</v>
      </c>
    </row>
    <row r="329" spans="1:32" ht="15.75" hidden="1" customHeight="1" x14ac:dyDescent="0.3">
      <c r="A329" s="32" t="s">
        <v>546</v>
      </c>
      <c r="B329" s="33" t="s">
        <v>594</v>
      </c>
      <c r="C329" s="33" t="s">
        <v>560</v>
      </c>
      <c r="D329" s="33" t="s">
        <v>585</v>
      </c>
      <c r="E329" s="33" t="s">
        <v>590</v>
      </c>
      <c r="F329" s="33" t="s">
        <v>204</v>
      </c>
      <c r="G329" s="34" t="s">
        <v>127</v>
      </c>
      <c r="H329" s="24">
        <f t="shared" si="15"/>
        <v>0</v>
      </c>
      <c r="I329" s="35" t="s">
        <v>808</v>
      </c>
      <c r="J329" s="35" t="s">
        <v>579</v>
      </c>
      <c r="K329" s="36"/>
      <c r="L329" s="34" t="s">
        <v>100</v>
      </c>
      <c r="M329" s="40"/>
      <c r="N329" s="48"/>
      <c r="O329" s="35" t="s">
        <v>579</v>
      </c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49"/>
      <c r="AC329" s="17">
        <v>2</v>
      </c>
      <c r="AD329" s="17">
        <f t="shared" si="16"/>
        <v>0</v>
      </c>
      <c r="AE329" s="28">
        <f t="shared" si="17"/>
        <v>0</v>
      </c>
      <c r="AF329" s="28">
        <v>1</v>
      </c>
    </row>
    <row r="330" spans="1:32" ht="15.75" hidden="1" customHeight="1" x14ac:dyDescent="0.3">
      <c r="A330" s="32" t="s">
        <v>546</v>
      </c>
      <c r="B330" s="33" t="s">
        <v>559</v>
      </c>
      <c r="C330" s="33" t="s">
        <v>560</v>
      </c>
      <c r="D330" s="33" t="s">
        <v>552</v>
      </c>
      <c r="E330" s="33" t="s">
        <v>225</v>
      </c>
      <c r="F330" s="33" t="s">
        <v>672</v>
      </c>
      <c r="G330" s="34" t="s">
        <v>673</v>
      </c>
      <c r="H330" s="24">
        <f t="shared" si="15"/>
        <v>0</v>
      </c>
      <c r="I330" s="35"/>
      <c r="J330" s="35" t="s">
        <v>234</v>
      </c>
      <c r="K330" s="36"/>
      <c r="L330" s="34" t="s">
        <v>100</v>
      </c>
      <c r="M330" s="40"/>
      <c r="N330" s="51" t="s">
        <v>850</v>
      </c>
      <c r="O330" s="35" t="s">
        <v>234</v>
      </c>
      <c r="P330" s="27"/>
      <c r="Q330" s="27"/>
      <c r="R330" s="54"/>
      <c r="S330" s="27"/>
      <c r="T330" s="27"/>
      <c r="U330" s="27"/>
      <c r="V330" s="54"/>
      <c r="W330" s="27"/>
      <c r="X330" s="27"/>
      <c r="Y330" s="27"/>
      <c r="Z330" s="27"/>
      <c r="AA330" s="54"/>
      <c r="AB330" s="49"/>
      <c r="AC330" s="17">
        <v>3</v>
      </c>
      <c r="AD330" s="17">
        <f t="shared" si="16"/>
        <v>0</v>
      </c>
      <c r="AE330" s="28">
        <f t="shared" si="17"/>
        <v>0</v>
      </c>
      <c r="AF330" s="28">
        <v>1</v>
      </c>
    </row>
    <row r="331" spans="1:32" ht="15.75" hidden="1" customHeight="1" x14ac:dyDescent="0.3">
      <c r="A331" s="32" t="s">
        <v>546</v>
      </c>
      <c r="B331" s="33" t="s">
        <v>559</v>
      </c>
      <c r="C331" s="33" t="s">
        <v>560</v>
      </c>
      <c r="D331" s="33" t="s">
        <v>552</v>
      </c>
      <c r="E331" s="33" t="s">
        <v>577</v>
      </c>
      <c r="F331" s="33" t="s">
        <v>196</v>
      </c>
      <c r="G331" s="34" t="s">
        <v>167</v>
      </c>
      <c r="H331" s="24">
        <f t="shared" si="15"/>
        <v>0</v>
      </c>
      <c r="I331" s="35"/>
      <c r="J331" s="35"/>
      <c r="K331" s="36"/>
      <c r="L331" s="34" t="s">
        <v>100</v>
      </c>
      <c r="M331" s="40"/>
      <c r="N331" s="48"/>
      <c r="O331" s="35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41"/>
      <c r="AC331" s="17">
        <v>3</v>
      </c>
      <c r="AD331" s="17">
        <f t="shared" si="16"/>
        <v>0</v>
      </c>
      <c r="AE331" s="28">
        <f t="shared" si="17"/>
        <v>0</v>
      </c>
      <c r="AF331" s="28">
        <v>1</v>
      </c>
    </row>
    <row r="332" spans="1:32" ht="15.75" hidden="1" customHeight="1" x14ac:dyDescent="0.3">
      <c r="A332" s="32" t="s">
        <v>546</v>
      </c>
      <c r="B332" s="33" t="s">
        <v>559</v>
      </c>
      <c r="C332" s="33" t="s">
        <v>560</v>
      </c>
      <c r="D332" s="33" t="s">
        <v>552</v>
      </c>
      <c r="E332" s="33" t="s">
        <v>578</v>
      </c>
      <c r="F332" s="33" t="s">
        <v>204</v>
      </c>
      <c r="G332" s="34" t="s">
        <v>127</v>
      </c>
      <c r="H332" s="24">
        <f t="shared" si="15"/>
        <v>0</v>
      </c>
      <c r="I332" s="35"/>
      <c r="J332" s="35" t="s">
        <v>579</v>
      </c>
      <c r="K332" s="36"/>
      <c r="L332" s="34" t="s">
        <v>100</v>
      </c>
      <c r="M332" s="40"/>
      <c r="N332" s="48"/>
      <c r="O332" s="35" t="s">
        <v>579</v>
      </c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41"/>
      <c r="AC332" s="17">
        <v>2</v>
      </c>
      <c r="AD332" s="17">
        <f t="shared" si="16"/>
        <v>0</v>
      </c>
      <c r="AE332" s="28">
        <f t="shared" si="17"/>
        <v>0</v>
      </c>
      <c r="AF332" s="28">
        <v>1</v>
      </c>
    </row>
    <row r="333" spans="1:32" ht="15.75" hidden="1" customHeight="1" x14ac:dyDescent="0.3">
      <c r="A333" s="32" t="s">
        <v>546</v>
      </c>
      <c r="B333" s="33" t="s">
        <v>570</v>
      </c>
      <c r="C333" s="33" t="s">
        <v>560</v>
      </c>
      <c r="D333" s="33" t="s">
        <v>568</v>
      </c>
      <c r="E333" s="33" t="s">
        <v>764</v>
      </c>
      <c r="F333" s="33" t="s">
        <v>96</v>
      </c>
      <c r="G333" s="34" t="s">
        <v>167</v>
      </c>
      <c r="H333" s="24">
        <f t="shared" si="15"/>
        <v>0</v>
      </c>
      <c r="I333" s="35"/>
      <c r="J333" s="35"/>
      <c r="K333" s="36"/>
      <c r="L333" s="34" t="s">
        <v>100</v>
      </c>
      <c r="M333" s="51"/>
      <c r="N333" s="48"/>
      <c r="O333" s="35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77"/>
      <c r="AC333" s="17">
        <v>3</v>
      </c>
      <c r="AD333" s="17">
        <f t="shared" si="16"/>
        <v>0</v>
      </c>
      <c r="AE333" s="28">
        <f t="shared" si="17"/>
        <v>0</v>
      </c>
      <c r="AF333" s="75">
        <v>1</v>
      </c>
    </row>
    <row r="334" spans="1:32" ht="15.75" hidden="1" customHeight="1" x14ac:dyDescent="0.3">
      <c r="A334" s="32" t="s">
        <v>546</v>
      </c>
      <c r="B334" s="33" t="s">
        <v>570</v>
      </c>
      <c r="C334" s="33" t="s">
        <v>560</v>
      </c>
      <c r="D334" s="33" t="s">
        <v>568</v>
      </c>
      <c r="E334" s="33" t="s">
        <v>787</v>
      </c>
      <c r="F334" s="33" t="s">
        <v>89</v>
      </c>
      <c r="G334" s="34" t="s">
        <v>99</v>
      </c>
      <c r="H334" s="24">
        <f t="shared" si="15"/>
        <v>0</v>
      </c>
      <c r="I334" s="35"/>
      <c r="J334" s="35"/>
      <c r="K334" s="36"/>
      <c r="L334" s="34" t="s">
        <v>100</v>
      </c>
      <c r="M334" s="40"/>
      <c r="N334" s="51" t="s">
        <v>543</v>
      </c>
      <c r="O334" s="35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49"/>
      <c r="AC334" s="17">
        <v>1</v>
      </c>
      <c r="AD334" s="17">
        <f t="shared" si="16"/>
        <v>0</v>
      </c>
      <c r="AE334" s="28">
        <f t="shared" si="17"/>
        <v>0</v>
      </c>
      <c r="AF334" s="28">
        <v>1</v>
      </c>
    </row>
    <row r="335" spans="1:32" ht="15.75" hidden="1" customHeight="1" x14ac:dyDescent="0.3">
      <c r="A335" s="32" t="s">
        <v>546</v>
      </c>
      <c r="B335" s="33" t="s">
        <v>570</v>
      </c>
      <c r="C335" s="33" t="s">
        <v>560</v>
      </c>
      <c r="D335" s="33" t="s">
        <v>568</v>
      </c>
      <c r="E335" s="33" t="s">
        <v>566</v>
      </c>
      <c r="F335" s="33" t="s">
        <v>88</v>
      </c>
      <c r="G335" s="34" t="s">
        <v>127</v>
      </c>
      <c r="H335" s="24">
        <f t="shared" si="15"/>
        <v>0</v>
      </c>
      <c r="I335" s="35"/>
      <c r="J335" s="35"/>
      <c r="K335" s="67"/>
      <c r="L335" s="34" t="s">
        <v>100</v>
      </c>
      <c r="M335" s="29"/>
      <c r="N335" s="48"/>
      <c r="O335" s="35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108"/>
      <c r="AC335" s="17">
        <v>2</v>
      </c>
      <c r="AD335" s="17">
        <f t="shared" si="16"/>
        <v>0</v>
      </c>
      <c r="AE335" s="28">
        <f t="shared" si="17"/>
        <v>0</v>
      </c>
      <c r="AF335" s="28">
        <v>1</v>
      </c>
    </row>
    <row r="336" spans="1:32" ht="15.75" hidden="1" customHeight="1" x14ac:dyDescent="0.3">
      <c r="A336" s="32" t="s">
        <v>546</v>
      </c>
      <c r="B336" s="33" t="s">
        <v>570</v>
      </c>
      <c r="C336" s="33" t="s">
        <v>560</v>
      </c>
      <c r="D336" s="33" t="s">
        <v>568</v>
      </c>
      <c r="E336" s="33" t="s">
        <v>225</v>
      </c>
      <c r="F336" s="33" t="s">
        <v>672</v>
      </c>
      <c r="G336" s="34" t="s">
        <v>673</v>
      </c>
      <c r="H336" s="24">
        <f t="shared" si="15"/>
        <v>0</v>
      </c>
      <c r="I336" s="35"/>
      <c r="J336" s="35" t="s">
        <v>226</v>
      </c>
      <c r="K336" s="36"/>
      <c r="L336" s="34" t="s">
        <v>100</v>
      </c>
      <c r="M336" s="51"/>
      <c r="N336" s="51" t="s">
        <v>227</v>
      </c>
      <c r="O336" s="35" t="s">
        <v>226</v>
      </c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79"/>
      <c r="AC336" s="17">
        <v>2</v>
      </c>
      <c r="AD336" s="17">
        <f t="shared" si="16"/>
        <v>0</v>
      </c>
      <c r="AE336" s="28">
        <f t="shared" si="17"/>
        <v>0</v>
      </c>
      <c r="AF336" s="28">
        <v>1</v>
      </c>
    </row>
    <row r="337" spans="1:32" ht="15.75" hidden="1" customHeight="1" x14ac:dyDescent="0.3">
      <c r="A337" s="32" t="s">
        <v>546</v>
      </c>
      <c r="B337" s="33" t="s">
        <v>576</v>
      </c>
      <c r="C337" s="33" t="s">
        <v>560</v>
      </c>
      <c r="D337" s="33" t="s">
        <v>574</v>
      </c>
      <c r="E337" s="33" t="s">
        <v>764</v>
      </c>
      <c r="F337" s="33" t="s">
        <v>96</v>
      </c>
      <c r="G337" s="34" t="s">
        <v>167</v>
      </c>
      <c r="H337" s="24">
        <f t="shared" si="15"/>
        <v>0</v>
      </c>
      <c r="I337" s="35"/>
      <c r="J337" s="35"/>
      <c r="K337" s="36"/>
      <c r="L337" s="34" t="s">
        <v>100</v>
      </c>
      <c r="M337" s="51"/>
      <c r="N337" s="48"/>
      <c r="O337" s="35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77"/>
      <c r="AC337" s="17">
        <v>3</v>
      </c>
      <c r="AD337" s="17">
        <f t="shared" si="16"/>
        <v>0</v>
      </c>
      <c r="AE337" s="28">
        <f t="shared" si="17"/>
        <v>0</v>
      </c>
      <c r="AF337" s="28">
        <v>1</v>
      </c>
    </row>
    <row r="338" spans="1:32" ht="15.75" hidden="1" customHeight="1" x14ac:dyDescent="0.3">
      <c r="A338" s="32" t="s">
        <v>546</v>
      </c>
      <c r="B338" s="33" t="s">
        <v>576</v>
      </c>
      <c r="C338" s="33" t="s">
        <v>560</v>
      </c>
      <c r="D338" s="33" t="s">
        <v>574</v>
      </c>
      <c r="E338" s="33" t="s">
        <v>787</v>
      </c>
      <c r="F338" s="33" t="s">
        <v>89</v>
      </c>
      <c r="G338" s="34" t="s">
        <v>99</v>
      </c>
      <c r="H338" s="24">
        <f t="shared" si="15"/>
        <v>0</v>
      </c>
      <c r="I338" s="35"/>
      <c r="J338" s="35"/>
      <c r="K338" s="36"/>
      <c r="L338" s="34" t="s">
        <v>100</v>
      </c>
      <c r="M338" s="51"/>
      <c r="N338" s="51" t="s">
        <v>543</v>
      </c>
      <c r="O338" s="35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79"/>
      <c r="AC338" s="17">
        <v>1</v>
      </c>
      <c r="AD338" s="17">
        <f t="shared" si="16"/>
        <v>0</v>
      </c>
      <c r="AE338" s="28">
        <f t="shared" si="17"/>
        <v>0</v>
      </c>
      <c r="AF338" s="28">
        <v>1</v>
      </c>
    </row>
    <row r="339" spans="1:32" ht="15.75" hidden="1" customHeight="1" x14ac:dyDescent="0.3">
      <c r="A339" s="32" t="s">
        <v>546</v>
      </c>
      <c r="B339" s="33" t="s">
        <v>576</v>
      </c>
      <c r="C339" s="33" t="s">
        <v>560</v>
      </c>
      <c r="D339" s="33" t="s">
        <v>574</v>
      </c>
      <c r="E339" s="33" t="s">
        <v>566</v>
      </c>
      <c r="F339" s="33" t="s">
        <v>88</v>
      </c>
      <c r="G339" s="34" t="s">
        <v>127</v>
      </c>
      <c r="H339" s="24">
        <f t="shared" si="15"/>
        <v>0</v>
      </c>
      <c r="I339" s="35"/>
      <c r="J339" s="35"/>
      <c r="K339" s="36"/>
      <c r="L339" s="34" t="s">
        <v>100</v>
      </c>
      <c r="M339" s="51"/>
      <c r="N339" s="48"/>
      <c r="O339" s="35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77"/>
      <c r="AC339" s="17">
        <v>2</v>
      </c>
      <c r="AD339" s="17">
        <f t="shared" si="16"/>
        <v>0</v>
      </c>
      <c r="AE339" s="28">
        <f t="shared" si="17"/>
        <v>0</v>
      </c>
      <c r="AF339" s="28">
        <v>1</v>
      </c>
    </row>
    <row r="340" spans="1:32" ht="15.75" hidden="1" customHeight="1" x14ac:dyDescent="0.3">
      <c r="A340" s="32" t="s">
        <v>546</v>
      </c>
      <c r="B340" s="33" t="s">
        <v>576</v>
      </c>
      <c r="C340" s="33" t="s">
        <v>560</v>
      </c>
      <c r="D340" s="33" t="s">
        <v>574</v>
      </c>
      <c r="E340" s="33" t="s">
        <v>225</v>
      </c>
      <c r="F340" s="33" t="s">
        <v>672</v>
      </c>
      <c r="G340" s="34" t="s">
        <v>673</v>
      </c>
      <c r="H340" s="24">
        <f t="shared" si="15"/>
        <v>0</v>
      </c>
      <c r="I340" s="35"/>
      <c r="J340" s="35" t="s">
        <v>226</v>
      </c>
      <c r="K340" s="36"/>
      <c r="L340" s="34" t="s">
        <v>100</v>
      </c>
      <c r="M340" s="51"/>
      <c r="N340" s="51" t="s">
        <v>227</v>
      </c>
      <c r="O340" s="35" t="s">
        <v>226</v>
      </c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79"/>
      <c r="AC340" s="17">
        <v>2</v>
      </c>
      <c r="AD340" s="17">
        <f t="shared" si="16"/>
        <v>0</v>
      </c>
      <c r="AE340" s="28">
        <f t="shared" si="17"/>
        <v>0</v>
      </c>
      <c r="AF340" s="28">
        <v>1</v>
      </c>
    </row>
    <row r="341" spans="1:32" ht="15.75" hidden="1" customHeight="1" x14ac:dyDescent="0.3">
      <c r="A341" s="32" t="s">
        <v>546</v>
      </c>
      <c r="B341" s="33" t="s">
        <v>595</v>
      </c>
      <c r="C341" s="33" t="s">
        <v>548</v>
      </c>
      <c r="D341" s="33" t="s">
        <v>585</v>
      </c>
      <c r="E341" s="33" t="s">
        <v>586</v>
      </c>
      <c r="F341" s="33" t="s">
        <v>132</v>
      </c>
      <c r="G341" s="34" t="s">
        <v>99</v>
      </c>
      <c r="H341" s="24">
        <f t="shared" si="15"/>
        <v>0</v>
      </c>
      <c r="I341" s="35" t="s">
        <v>808</v>
      </c>
      <c r="J341" s="35"/>
      <c r="K341" s="36"/>
      <c r="L341" s="34" t="s">
        <v>105</v>
      </c>
      <c r="M341" s="51"/>
      <c r="N341" s="48"/>
      <c r="O341" s="35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79"/>
      <c r="AC341" s="17">
        <v>1</v>
      </c>
      <c r="AD341" s="17">
        <f t="shared" si="16"/>
        <v>0</v>
      </c>
      <c r="AE341" s="28">
        <f t="shared" si="17"/>
        <v>0</v>
      </c>
      <c r="AF341" s="28">
        <v>1</v>
      </c>
    </row>
    <row r="342" spans="1:32" ht="15.75" hidden="1" customHeight="1" x14ac:dyDescent="0.3">
      <c r="A342" s="32" t="s">
        <v>546</v>
      </c>
      <c r="B342" s="33" t="s">
        <v>595</v>
      </c>
      <c r="C342" s="33" t="s">
        <v>548</v>
      </c>
      <c r="D342" s="33" t="s">
        <v>585</v>
      </c>
      <c r="E342" s="33" t="s">
        <v>788</v>
      </c>
      <c r="F342" s="33" t="s">
        <v>132</v>
      </c>
      <c r="G342" s="34" t="s">
        <v>99</v>
      </c>
      <c r="H342" s="24">
        <f t="shared" si="15"/>
        <v>0</v>
      </c>
      <c r="I342" s="35" t="s">
        <v>808</v>
      </c>
      <c r="J342" s="35"/>
      <c r="K342" s="36"/>
      <c r="L342" s="34" t="s">
        <v>105</v>
      </c>
      <c r="M342" s="51"/>
      <c r="N342" s="48"/>
      <c r="O342" s="35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79"/>
      <c r="AC342" s="17">
        <v>1</v>
      </c>
      <c r="AD342" s="17">
        <f t="shared" si="16"/>
        <v>0</v>
      </c>
      <c r="AE342" s="28">
        <f t="shared" si="17"/>
        <v>0</v>
      </c>
      <c r="AF342" s="28">
        <v>1</v>
      </c>
    </row>
    <row r="343" spans="1:32" ht="15.75" hidden="1" customHeight="1" x14ac:dyDescent="0.3">
      <c r="A343" s="32" t="s">
        <v>546</v>
      </c>
      <c r="B343" s="33" t="s">
        <v>595</v>
      </c>
      <c r="C343" s="33" t="s">
        <v>548</v>
      </c>
      <c r="D343" s="33" t="s">
        <v>585</v>
      </c>
      <c r="E343" s="33" t="s">
        <v>588</v>
      </c>
      <c r="F343" s="33" t="s">
        <v>132</v>
      </c>
      <c r="G343" s="34" t="s">
        <v>99</v>
      </c>
      <c r="H343" s="24">
        <f t="shared" si="15"/>
        <v>0</v>
      </c>
      <c r="I343" s="35" t="s">
        <v>808</v>
      </c>
      <c r="J343" s="35"/>
      <c r="K343" s="36"/>
      <c r="L343" s="34" t="s">
        <v>100</v>
      </c>
      <c r="M343" s="51"/>
      <c r="N343" s="48"/>
      <c r="O343" s="35" t="s">
        <v>589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79"/>
      <c r="AC343" s="17">
        <v>1</v>
      </c>
      <c r="AD343" s="17">
        <f t="shared" si="16"/>
        <v>0</v>
      </c>
      <c r="AE343" s="28">
        <f t="shared" si="17"/>
        <v>0</v>
      </c>
      <c r="AF343" s="28">
        <v>1</v>
      </c>
    </row>
    <row r="344" spans="1:32" ht="15.75" hidden="1" customHeight="1" x14ac:dyDescent="0.3">
      <c r="A344" s="32" t="s">
        <v>546</v>
      </c>
      <c r="B344" s="33" t="s">
        <v>595</v>
      </c>
      <c r="C344" s="33" t="s">
        <v>548</v>
      </c>
      <c r="D344" s="33" t="s">
        <v>585</v>
      </c>
      <c r="E344" s="33" t="s">
        <v>587</v>
      </c>
      <c r="F344" s="33" t="s">
        <v>204</v>
      </c>
      <c r="G344" s="34" t="s">
        <v>127</v>
      </c>
      <c r="H344" s="24">
        <f t="shared" si="15"/>
        <v>0</v>
      </c>
      <c r="I344" s="35" t="s">
        <v>808</v>
      </c>
      <c r="J344" s="35" t="s">
        <v>579</v>
      </c>
      <c r="K344" s="36"/>
      <c r="L344" s="34" t="s">
        <v>100</v>
      </c>
      <c r="M344" s="51"/>
      <c r="N344" s="48"/>
      <c r="O344" s="35" t="s">
        <v>579</v>
      </c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79"/>
      <c r="AC344" s="17">
        <v>2</v>
      </c>
      <c r="AD344" s="17">
        <f t="shared" si="16"/>
        <v>0</v>
      </c>
      <c r="AE344" s="28">
        <f t="shared" si="17"/>
        <v>0</v>
      </c>
      <c r="AF344" s="28">
        <v>1</v>
      </c>
    </row>
    <row r="345" spans="1:32" ht="15.75" hidden="1" customHeight="1" x14ac:dyDescent="0.3">
      <c r="A345" s="32" t="s">
        <v>546</v>
      </c>
      <c r="B345" s="33" t="s">
        <v>595</v>
      </c>
      <c r="C345" s="33" t="s">
        <v>548</v>
      </c>
      <c r="D345" s="33" t="s">
        <v>585</v>
      </c>
      <c r="E345" s="33" t="s">
        <v>590</v>
      </c>
      <c r="F345" s="33" t="s">
        <v>204</v>
      </c>
      <c r="G345" s="34" t="s">
        <v>127</v>
      </c>
      <c r="H345" s="24">
        <f t="shared" si="15"/>
        <v>0</v>
      </c>
      <c r="I345" s="35" t="s">
        <v>808</v>
      </c>
      <c r="J345" s="35" t="s">
        <v>579</v>
      </c>
      <c r="K345" s="36"/>
      <c r="L345" s="34" t="s">
        <v>100</v>
      </c>
      <c r="M345" s="51"/>
      <c r="N345" s="48"/>
      <c r="O345" s="35" t="s">
        <v>579</v>
      </c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79"/>
      <c r="AC345" s="17">
        <v>2</v>
      </c>
      <c r="AD345" s="17">
        <f t="shared" si="16"/>
        <v>0</v>
      </c>
      <c r="AE345" s="28">
        <f t="shared" si="17"/>
        <v>0</v>
      </c>
      <c r="AF345" s="28">
        <v>1</v>
      </c>
    </row>
    <row r="346" spans="1:32" ht="15.75" hidden="1" customHeight="1" x14ac:dyDescent="0.3">
      <c r="A346" s="32" t="s">
        <v>546</v>
      </c>
      <c r="B346" s="33" t="s">
        <v>547</v>
      </c>
      <c r="C346" s="33" t="s">
        <v>548</v>
      </c>
      <c r="D346" s="33" t="s">
        <v>549</v>
      </c>
      <c r="E346" s="33" t="s">
        <v>225</v>
      </c>
      <c r="F346" s="33" t="s">
        <v>672</v>
      </c>
      <c r="G346" s="34" t="s">
        <v>673</v>
      </c>
      <c r="H346" s="24">
        <f t="shared" si="15"/>
        <v>0</v>
      </c>
      <c r="I346" s="35"/>
      <c r="J346" s="35" t="s">
        <v>234</v>
      </c>
      <c r="K346" s="36"/>
      <c r="L346" s="34" t="s">
        <v>100</v>
      </c>
      <c r="M346" s="51"/>
      <c r="N346" s="51" t="s">
        <v>850</v>
      </c>
      <c r="O346" s="35" t="s">
        <v>234</v>
      </c>
      <c r="P346" s="27"/>
      <c r="Q346" s="27"/>
      <c r="R346" s="54"/>
      <c r="S346" s="27"/>
      <c r="T346" s="27"/>
      <c r="U346" s="27"/>
      <c r="V346" s="54"/>
      <c r="W346" s="27"/>
      <c r="X346" s="27"/>
      <c r="Y346" s="27"/>
      <c r="Z346" s="27"/>
      <c r="AA346" s="54"/>
      <c r="AB346" s="79"/>
      <c r="AC346" s="17">
        <v>3</v>
      </c>
      <c r="AD346" s="17">
        <f t="shared" si="16"/>
        <v>0</v>
      </c>
      <c r="AE346" s="28">
        <f t="shared" si="17"/>
        <v>0</v>
      </c>
      <c r="AF346" s="28">
        <v>1</v>
      </c>
    </row>
    <row r="347" spans="1:32" ht="15.75" hidden="1" customHeight="1" x14ac:dyDescent="0.3">
      <c r="A347" s="32" t="s">
        <v>546</v>
      </c>
      <c r="B347" s="33" t="s">
        <v>547</v>
      </c>
      <c r="C347" s="33" t="s">
        <v>548</v>
      </c>
      <c r="D347" s="33" t="s">
        <v>549</v>
      </c>
      <c r="E347" s="33" t="s">
        <v>577</v>
      </c>
      <c r="F347" s="33" t="s">
        <v>196</v>
      </c>
      <c r="G347" s="34" t="s">
        <v>167</v>
      </c>
      <c r="H347" s="24">
        <f t="shared" si="15"/>
        <v>0</v>
      </c>
      <c r="I347" s="35"/>
      <c r="J347" s="35"/>
      <c r="K347" s="36"/>
      <c r="L347" s="34" t="s">
        <v>100</v>
      </c>
      <c r="M347" s="51"/>
      <c r="N347" s="48"/>
      <c r="O347" s="35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77"/>
      <c r="AC347" s="17">
        <v>3</v>
      </c>
      <c r="AD347" s="17">
        <f t="shared" si="16"/>
        <v>0</v>
      </c>
      <c r="AE347" s="28">
        <f t="shared" si="17"/>
        <v>0</v>
      </c>
      <c r="AF347" s="28">
        <v>1</v>
      </c>
    </row>
    <row r="348" spans="1:32" ht="15.75" hidden="1" customHeight="1" x14ac:dyDescent="0.3">
      <c r="A348" s="32" t="s">
        <v>546</v>
      </c>
      <c r="B348" s="33" t="s">
        <v>547</v>
      </c>
      <c r="C348" s="33" t="s">
        <v>548</v>
      </c>
      <c r="D348" s="33" t="s">
        <v>549</v>
      </c>
      <c r="E348" s="33" t="s">
        <v>578</v>
      </c>
      <c r="F348" s="33" t="s">
        <v>204</v>
      </c>
      <c r="G348" s="34" t="s">
        <v>127</v>
      </c>
      <c r="H348" s="24">
        <f t="shared" si="15"/>
        <v>0</v>
      </c>
      <c r="I348" s="35"/>
      <c r="J348" s="35" t="s">
        <v>579</v>
      </c>
      <c r="K348" s="36"/>
      <c r="L348" s="34" t="s">
        <v>100</v>
      </c>
      <c r="M348" s="51"/>
      <c r="N348" s="48"/>
      <c r="O348" s="35" t="s">
        <v>579</v>
      </c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77"/>
      <c r="AC348" s="17">
        <v>2</v>
      </c>
      <c r="AD348" s="17">
        <f t="shared" si="16"/>
        <v>0</v>
      </c>
      <c r="AE348" s="28">
        <f t="shared" si="17"/>
        <v>0</v>
      </c>
      <c r="AF348" s="28">
        <v>1</v>
      </c>
    </row>
    <row r="349" spans="1:32" ht="15.75" hidden="1" customHeight="1" x14ac:dyDescent="0.3">
      <c r="A349" s="32" t="s">
        <v>546</v>
      </c>
      <c r="B349" s="33" t="s">
        <v>564</v>
      </c>
      <c r="C349" s="33" t="s">
        <v>548</v>
      </c>
      <c r="D349" s="33" t="s">
        <v>565</v>
      </c>
      <c r="E349" s="33" t="s">
        <v>764</v>
      </c>
      <c r="F349" s="33" t="s">
        <v>96</v>
      </c>
      <c r="G349" s="34" t="s">
        <v>167</v>
      </c>
      <c r="H349" s="24">
        <f t="shared" si="15"/>
        <v>0</v>
      </c>
      <c r="I349" s="35"/>
      <c r="J349" s="35"/>
      <c r="K349" s="36"/>
      <c r="L349" s="34" t="s">
        <v>100</v>
      </c>
      <c r="M349" s="40"/>
      <c r="N349" s="48"/>
      <c r="O349" s="35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17">
        <v>3</v>
      </c>
      <c r="AD349" s="17">
        <f t="shared" si="16"/>
        <v>0</v>
      </c>
      <c r="AE349" s="28">
        <f t="shared" si="17"/>
        <v>0</v>
      </c>
      <c r="AF349" s="28">
        <v>1</v>
      </c>
    </row>
    <row r="350" spans="1:32" ht="15.75" hidden="1" customHeight="1" x14ac:dyDescent="0.3">
      <c r="A350" s="32" t="s">
        <v>546</v>
      </c>
      <c r="B350" s="33" t="s">
        <v>564</v>
      </c>
      <c r="C350" s="33" t="s">
        <v>548</v>
      </c>
      <c r="D350" s="33" t="s">
        <v>565</v>
      </c>
      <c r="E350" s="33" t="s">
        <v>787</v>
      </c>
      <c r="F350" s="33" t="s">
        <v>89</v>
      </c>
      <c r="G350" s="34" t="s">
        <v>99</v>
      </c>
      <c r="H350" s="24">
        <f t="shared" si="15"/>
        <v>0</v>
      </c>
      <c r="I350" s="35"/>
      <c r="J350" s="35"/>
      <c r="K350" s="36"/>
      <c r="L350" s="34" t="s">
        <v>100</v>
      </c>
      <c r="M350" s="40"/>
      <c r="N350" s="51" t="s">
        <v>543</v>
      </c>
      <c r="O350" s="35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49"/>
      <c r="AC350" s="17">
        <v>1</v>
      </c>
      <c r="AD350" s="17">
        <f t="shared" si="16"/>
        <v>0</v>
      </c>
      <c r="AE350" s="28">
        <f t="shared" si="17"/>
        <v>0</v>
      </c>
      <c r="AF350" s="28">
        <v>1</v>
      </c>
    </row>
    <row r="351" spans="1:32" ht="15.75" hidden="1" customHeight="1" x14ac:dyDescent="0.3">
      <c r="A351" s="32" t="s">
        <v>546</v>
      </c>
      <c r="B351" s="33" t="s">
        <v>564</v>
      </c>
      <c r="C351" s="33" t="s">
        <v>548</v>
      </c>
      <c r="D351" s="33" t="s">
        <v>565</v>
      </c>
      <c r="E351" s="33" t="s">
        <v>566</v>
      </c>
      <c r="F351" s="33" t="s">
        <v>88</v>
      </c>
      <c r="G351" s="34" t="s">
        <v>127</v>
      </c>
      <c r="H351" s="24">
        <f t="shared" si="15"/>
        <v>0</v>
      </c>
      <c r="I351" s="35"/>
      <c r="J351" s="35"/>
      <c r="K351" s="36"/>
      <c r="L351" s="34" t="s">
        <v>100</v>
      </c>
      <c r="M351" s="40"/>
      <c r="N351" s="48"/>
      <c r="O351" s="35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41"/>
      <c r="AC351" s="17">
        <v>2</v>
      </c>
      <c r="AD351" s="17">
        <f t="shared" si="16"/>
        <v>0</v>
      </c>
      <c r="AE351" s="28">
        <f t="shared" si="17"/>
        <v>0</v>
      </c>
      <c r="AF351" s="28">
        <v>1</v>
      </c>
    </row>
    <row r="352" spans="1:32" ht="15.75" hidden="1" customHeight="1" x14ac:dyDescent="0.3">
      <c r="A352" s="32" t="s">
        <v>546</v>
      </c>
      <c r="B352" s="33" t="s">
        <v>564</v>
      </c>
      <c r="C352" s="33" t="s">
        <v>548</v>
      </c>
      <c r="D352" s="33" t="s">
        <v>565</v>
      </c>
      <c r="E352" s="33" t="s">
        <v>225</v>
      </c>
      <c r="F352" s="33" t="s">
        <v>672</v>
      </c>
      <c r="G352" s="34" t="s">
        <v>673</v>
      </c>
      <c r="H352" s="24">
        <f t="shared" si="15"/>
        <v>0</v>
      </c>
      <c r="I352" s="35"/>
      <c r="J352" s="35" t="s">
        <v>226</v>
      </c>
      <c r="K352" s="36"/>
      <c r="L352" s="34" t="s">
        <v>100</v>
      </c>
      <c r="M352" s="40"/>
      <c r="N352" s="51" t="s">
        <v>227</v>
      </c>
      <c r="O352" s="35" t="s">
        <v>226</v>
      </c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49"/>
      <c r="AC352" s="17">
        <v>2</v>
      </c>
      <c r="AD352" s="17">
        <f t="shared" si="16"/>
        <v>0</v>
      </c>
      <c r="AE352" s="28">
        <f t="shared" si="17"/>
        <v>0</v>
      </c>
      <c r="AF352" s="28">
        <v>1</v>
      </c>
    </row>
    <row r="353" spans="1:32" ht="15.75" hidden="1" customHeight="1" x14ac:dyDescent="0.3">
      <c r="A353" s="32" t="s">
        <v>546</v>
      </c>
      <c r="B353" s="33" t="s">
        <v>571</v>
      </c>
      <c r="C353" s="33" t="s">
        <v>548</v>
      </c>
      <c r="D353" s="33" t="s">
        <v>572</v>
      </c>
      <c r="E353" s="33" t="s">
        <v>764</v>
      </c>
      <c r="F353" s="33" t="s">
        <v>96</v>
      </c>
      <c r="G353" s="34" t="s">
        <v>167</v>
      </c>
      <c r="H353" s="24">
        <f t="shared" si="15"/>
        <v>0</v>
      </c>
      <c r="I353" s="35"/>
      <c r="J353" s="35"/>
      <c r="K353" s="36"/>
      <c r="L353" s="34" t="s">
        <v>100</v>
      </c>
      <c r="M353" s="40"/>
      <c r="N353" s="48"/>
      <c r="O353" s="35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41"/>
      <c r="AC353" s="17">
        <v>3</v>
      </c>
      <c r="AD353" s="17">
        <f t="shared" si="16"/>
        <v>0</v>
      </c>
      <c r="AE353" s="28">
        <f t="shared" si="17"/>
        <v>0</v>
      </c>
      <c r="AF353" s="28">
        <v>1</v>
      </c>
    </row>
    <row r="354" spans="1:32" ht="15.75" hidden="1" customHeight="1" x14ac:dyDescent="0.3">
      <c r="A354" s="32" t="s">
        <v>546</v>
      </c>
      <c r="B354" s="33" t="s">
        <v>571</v>
      </c>
      <c r="C354" s="33" t="s">
        <v>548</v>
      </c>
      <c r="D354" s="33" t="s">
        <v>572</v>
      </c>
      <c r="E354" s="33" t="s">
        <v>787</v>
      </c>
      <c r="F354" s="33" t="s">
        <v>89</v>
      </c>
      <c r="G354" s="34" t="s">
        <v>99</v>
      </c>
      <c r="H354" s="24">
        <f t="shared" si="15"/>
        <v>0</v>
      </c>
      <c r="I354" s="35"/>
      <c r="J354" s="35"/>
      <c r="K354" s="36"/>
      <c r="L354" s="34" t="s">
        <v>100</v>
      </c>
      <c r="M354" s="40"/>
      <c r="N354" s="51" t="s">
        <v>543</v>
      </c>
      <c r="O354" s="35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17"/>
      <c r="AC354" s="17">
        <v>1</v>
      </c>
      <c r="AD354" s="17">
        <f t="shared" si="16"/>
        <v>0</v>
      </c>
      <c r="AE354" s="28">
        <f t="shared" si="17"/>
        <v>0</v>
      </c>
      <c r="AF354" s="28">
        <v>1</v>
      </c>
    </row>
    <row r="355" spans="1:32" ht="15.75" hidden="1" customHeight="1" x14ac:dyDescent="0.3">
      <c r="A355" s="32" t="s">
        <v>546</v>
      </c>
      <c r="B355" s="33" t="s">
        <v>571</v>
      </c>
      <c r="C355" s="33" t="s">
        <v>548</v>
      </c>
      <c r="D355" s="33" t="s">
        <v>572</v>
      </c>
      <c r="E355" s="33" t="s">
        <v>566</v>
      </c>
      <c r="F355" s="33" t="s">
        <v>88</v>
      </c>
      <c r="G355" s="34" t="s">
        <v>127</v>
      </c>
      <c r="H355" s="24">
        <f t="shared" si="15"/>
        <v>0</v>
      </c>
      <c r="I355" s="35"/>
      <c r="J355" s="35"/>
      <c r="K355" s="36"/>
      <c r="L355" s="34" t="s">
        <v>100</v>
      </c>
      <c r="M355" s="40"/>
      <c r="N355" s="48"/>
      <c r="O355" s="35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41"/>
      <c r="AC355" s="17">
        <v>2</v>
      </c>
      <c r="AD355" s="17">
        <f t="shared" si="16"/>
        <v>0</v>
      </c>
      <c r="AE355" s="28">
        <f t="shared" si="17"/>
        <v>0</v>
      </c>
      <c r="AF355" s="28">
        <v>1</v>
      </c>
    </row>
    <row r="356" spans="1:32" ht="15.75" hidden="1" customHeight="1" x14ac:dyDescent="0.3">
      <c r="A356" s="32" t="s">
        <v>546</v>
      </c>
      <c r="B356" s="33" t="s">
        <v>571</v>
      </c>
      <c r="C356" s="33" t="s">
        <v>548</v>
      </c>
      <c r="D356" s="33" t="s">
        <v>572</v>
      </c>
      <c r="E356" s="33" t="s">
        <v>225</v>
      </c>
      <c r="F356" s="33" t="s">
        <v>672</v>
      </c>
      <c r="G356" s="34" t="s">
        <v>673</v>
      </c>
      <c r="H356" s="24">
        <f t="shared" si="15"/>
        <v>0</v>
      </c>
      <c r="I356" s="35"/>
      <c r="J356" s="35" t="s">
        <v>226</v>
      </c>
      <c r="K356" s="36"/>
      <c r="L356" s="34" t="s">
        <v>100</v>
      </c>
      <c r="M356" s="40"/>
      <c r="N356" s="51" t="s">
        <v>227</v>
      </c>
      <c r="O356" s="35" t="s">
        <v>226</v>
      </c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17"/>
      <c r="AC356" s="17">
        <v>2</v>
      </c>
      <c r="AD356" s="17">
        <f t="shared" si="16"/>
        <v>0</v>
      </c>
      <c r="AE356" s="28">
        <f t="shared" si="17"/>
        <v>0</v>
      </c>
      <c r="AF356" s="28">
        <v>1</v>
      </c>
    </row>
    <row r="357" spans="1:32" ht="15.75" hidden="1" customHeight="1" x14ac:dyDescent="0.3">
      <c r="A357" s="32" t="s">
        <v>599</v>
      </c>
      <c r="B357" s="33" t="s">
        <v>624</v>
      </c>
      <c r="C357" s="33" t="s">
        <v>551</v>
      </c>
      <c r="D357" s="33" t="s">
        <v>625</v>
      </c>
      <c r="E357" s="33" t="s">
        <v>626</v>
      </c>
      <c r="F357" s="33" t="s">
        <v>132</v>
      </c>
      <c r="G357" s="34" t="s">
        <v>99</v>
      </c>
      <c r="H357" s="24">
        <f t="shared" si="15"/>
        <v>0</v>
      </c>
      <c r="I357" s="35" t="s">
        <v>808</v>
      </c>
      <c r="J357" s="35"/>
      <c r="K357" s="36"/>
      <c r="L357" s="34" t="s">
        <v>105</v>
      </c>
      <c r="M357" s="40"/>
      <c r="N357" s="48"/>
      <c r="O357" s="35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17"/>
      <c r="AC357" s="17">
        <v>1</v>
      </c>
      <c r="AD357" s="17">
        <f t="shared" si="16"/>
        <v>0</v>
      </c>
      <c r="AE357" s="28">
        <f t="shared" si="17"/>
        <v>0</v>
      </c>
      <c r="AF357" s="28">
        <v>1</v>
      </c>
    </row>
    <row r="358" spans="1:32" ht="15.75" hidden="1" customHeight="1" x14ac:dyDescent="0.3">
      <c r="A358" s="32" t="s">
        <v>599</v>
      </c>
      <c r="B358" s="33" t="s">
        <v>624</v>
      </c>
      <c r="C358" s="33" t="s">
        <v>551</v>
      </c>
      <c r="D358" s="33" t="s">
        <v>625</v>
      </c>
      <c r="E358" s="33" t="s">
        <v>790</v>
      </c>
      <c r="F358" s="33" t="s">
        <v>132</v>
      </c>
      <c r="G358" s="34" t="s">
        <v>99</v>
      </c>
      <c r="H358" s="24">
        <f t="shared" si="15"/>
        <v>0</v>
      </c>
      <c r="I358" s="35"/>
      <c r="J358" s="35"/>
      <c r="K358" s="36"/>
      <c r="L358" s="34" t="s">
        <v>100</v>
      </c>
      <c r="M358" s="40"/>
      <c r="N358" s="48"/>
      <c r="O358" s="35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17">
        <v>1</v>
      </c>
      <c r="AD358" s="17">
        <f t="shared" si="16"/>
        <v>0</v>
      </c>
      <c r="AE358" s="28">
        <f t="shared" si="17"/>
        <v>0</v>
      </c>
      <c r="AF358" s="28">
        <v>1</v>
      </c>
    </row>
    <row r="359" spans="1:32" ht="15.75" hidden="1" customHeight="1" x14ac:dyDescent="0.3">
      <c r="A359" s="32" t="s">
        <v>599</v>
      </c>
      <c r="B359" s="33" t="s">
        <v>624</v>
      </c>
      <c r="C359" s="33" t="s">
        <v>551</v>
      </c>
      <c r="D359" s="33" t="s">
        <v>625</v>
      </c>
      <c r="E359" s="33" t="s">
        <v>628</v>
      </c>
      <c r="F359" s="33" t="s">
        <v>132</v>
      </c>
      <c r="G359" s="34" t="s">
        <v>99</v>
      </c>
      <c r="H359" s="24">
        <f t="shared" si="15"/>
        <v>0</v>
      </c>
      <c r="I359" s="35" t="s">
        <v>808</v>
      </c>
      <c r="J359" s="35"/>
      <c r="K359" s="36"/>
      <c r="L359" s="34" t="s">
        <v>100</v>
      </c>
      <c r="M359" s="40"/>
      <c r="N359" s="48"/>
      <c r="O359" s="35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17"/>
      <c r="AC359" s="17">
        <v>1</v>
      </c>
      <c r="AD359" s="17">
        <f t="shared" si="16"/>
        <v>0</v>
      </c>
      <c r="AE359" s="28">
        <f t="shared" si="17"/>
        <v>0</v>
      </c>
      <c r="AF359" s="28">
        <v>1</v>
      </c>
    </row>
    <row r="360" spans="1:32" ht="15.75" hidden="1" customHeight="1" x14ac:dyDescent="0.3">
      <c r="A360" s="32" t="s">
        <v>599</v>
      </c>
      <c r="B360" s="33" t="s">
        <v>624</v>
      </c>
      <c r="C360" s="33" t="s">
        <v>551</v>
      </c>
      <c r="D360" s="33" t="s">
        <v>625</v>
      </c>
      <c r="E360" s="33" t="s">
        <v>632</v>
      </c>
      <c r="F360" s="33" t="s">
        <v>132</v>
      </c>
      <c r="G360" s="34" t="s">
        <v>99</v>
      </c>
      <c r="H360" s="24">
        <f t="shared" si="15"/>
        <v>0</v>
      </c>
      <c r="I360" s="35"/>
      <c r="J360" s="35"/>
      <c r="K360" s="36"/>
      <c r="L360" s="34" t="s">
        <v>100</v>
      </c>
      <c r="M360" s="40"/>
      <c r="N360" s="48"/>
      <c r="O360" s="35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49"/>
      <c r="AC360" s="17">
        <v>1</v>
      </c>
      <c r="AD360" s="17">
        <f t="shared" si="16"/>
        <v>0</v>
      </c>
      <c r="AE360" s="28">
        <f t="shared" si="17"/>
        <v>0</v>
      </c>
      <c r="AF360" s="28">
        <v>1</v>
      </c>
    </row>
    <row r="361" spans="1:32" ht="15.75" hidden="1" customHeight="1" x14ac:dyDescent="0.3">
      <c r="A361" s="32" t="s">
        <v>599</v>
      </c>
      <c r="B361" s="33" t="s">
        <v>624</v>
      </c>
      <c r="C361" s="33" t="s">
        <v>551</v>
      </c>
      <c r="D361" s="33" t="s">
        <v>625</v>
      </c>
      <c r="E361" s="33" t="s">
        <v>792</v>
      </c>
      <c r="F361" s="33" t="s">
        <v>132</v>
      </c>
      <c r="G361" s="34" t="s">
        <v>99</v>
      </c>
      <c r="H361" s="24">
        <f t="shared" si="15"/>
        <v>0</v>
      </c>
      <c r="I361" s="35"/>
      <c r="J361" s="35"/>
      <c r="K361" s="36"/>
      <c r="L361" s="34" t="s">
        <v>105</v>
      </c>
      <c r="M361" s="40"/>
      <c r="N361" s="48"/>
      <c r="O361" s="35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49"/>
      <c r="AC361" s="17">
        <v>1</v>
      </c>
      <c r="AD361" s="17">
        <f t="shared" si="16"/>
        <v>0</v>
      </c>
      <c r="AE361" s="28">
        <f t="shared" si="17"/>
        <v>0</v>
      </c>
      <c r="AF361" s="28">
        <v>1</v>
      </c>
    </row>
    <row r="362" spans="1:32" ht="15.75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588</v>
      </c>
      <c r="F362" s="33" t="s">
        <v>132</v>
      </c>
      <c r="G362" s="34" t="s">
        <v>99</v>
      </c>
      <c r="H362" s="24">
        <f t="shared" si="15"/>
        <v>0</v>
      </c>
      <c r="I362" s="35" t="s">
        <v>808</v>
      </c>
      <c r="J362" s="35"/>
      <c r="K362" s="36"/>
      <c r="L362" s="34" t="s">
        <v>100</v>
      </c>
      <c r="M362" s="40"/>
      <c r="N362" s="48"/>
      <c r="O362" s="35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49"/>
      <c r="AC362" s="17">
        <v>1</v>
      </c>
      <c r="AD362" s="17">
        <f t="shared" si="16"/>
        <v>0</v>
      </c>
      <c r="AE362" s="28">
        <f t="shared" si="17"/>
        <v>0</v>
      </c>
      <c r="AF362" s="28">
        <v>1</v>
      </c>
    </row>
    <row r="363" spans="1:32" ht="15.75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633</v>
      </c>
      <c r="F363" s="33" t="s">
        <v>132</v>
      </c>
      <c r="G363" s="34" t="s">
        <v>99</v>
      </c>
      <c r="H363" s="24">
        <f t="shared" si="15"/>
        <v>0</v>
      </c>
      <c r="I363" s="35" t="s">
        <v>808</v>
      </c>
      <c r="J363" s="35"/>
      <c r="K363" s="36"/>
      <c r="L363" s="34" t="s">
        <v>100</v>
      </c>
      <c r="M363" s="40"/>
      <c r="N363" s="48"/>
      <c r="O363" s="35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49"/>
      <c r="AC363" s="17">
        <v>1</v>
      </c>
      <c r="AD363" s="17">
        <f t="shared" si="16"/>
        <v>0</v>
      </c>
      <c r="AE363" s="28">
        <f t="shared" si="17"/>
        <v>0</v>
      </c>
      <c r="AF363" s="28">
        <v>1</v>
      </c>
    </row>
    <row r="364" spans="1:32" ht="15.75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634</v>
      </c>
      <c r="F364" s="33" t="s">
        <v>132</v>
      </c>
      <c r="G364" s="34" t="s">
        <v>99</v>
      </c>
      <c r="H364" s="24">
        <f t="shared" si="15"/>
        <v>0</v>
      </c>
      <c r="I364" s="35" t="s">
        <v>808</v>
      </c>
      <c r="J364" s="35"/>
      <c r="K364" s="36"/>
      <c r="L364" s="34" t="s">
        <v>105</v>
      </c>
      <c r="M364" s="40"/>
      <c r="N364" s="48"/>
      <c r="O364" s="35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49"/>
      <c r="AC364" s="17">
        <v>1</v>
      </c>
      <c r="AD364" s="17">
        <f t="shared" si="16"/>
        <v>0</v>
      </c>
      <c r="AE364" s="28">
        <f t="shared" si="17"/>
        <v>0</v>
      </c>
      <c r="AF364" s="28">
        <v>1</v>
      </c>
    </row>
    <row r="365" spans="1:32" ht="15.75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627</v>
      </c>
      <c r="F365" s="33" t="s">
        <v>204</v>
      </c>
      <c r="G365" s="34" t="s">
        <v>127</v>
      </c>
      <c r="H365" s="24">
        <f t="shared" si="15"/>
        <v>0</v>
      </c>
      <c r="I365" s="35"/>
      <c r="J365" s="35" t="s">
        <v>579</v>
      </c>
      <c r="K365" s="36"/>
      <c r="L365" s="34" t="s">
        <v>100</v>
      </c>
      <c r="M365" s="40"/>
      <c r="N365" s="48"/>
      <c r="O365" s="35" t="s">
        <v>579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49"/>
      <c r="AC365" s="17">
        <v>2</v>
      </c>
      <c r="AD365" s="17">
        <f t="shared" si="16"/>
        <v>0</v>
      </c>
      <c r="AE365" s="28">
        <f t="shared" si="17"/>
        <v>0</v>
      </c>
      <c r="AF365" s="28">
        <v>1</v>
      </c>
    </row>
    <row r="366" spans="1:32" ht="15.75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629</v>
      </c>
      <c r="F366" s="33" t="s">
        <v>204</v>
      </c>
      <c r="G366" s="34" t="s">
        <v>127</v>
      </c>
      <c r="H366" s="24">
        <f t="shared" si="15"/>
        <v>0</v>
      </c>
      <c r="I366" s="35"/>
      <c r="J366" s="35" t="s">
        <v>579</v>
      </c>
      <c r="K366" s="36"/>
      <c r="L366" s="34" t="s">
        <v>100</v>
      </c>
      <c r="M366" s="40"/>
      <c r="N366" s="48"/>
      <c r="O366" s="35" t="s">
        <v>579</v>
      </c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49"/>
      <c r="AC366" s="17">
        <v>2</v>
      </c>
      <c r="AD366" s="17">
        <f t="shared" si="16"/>
        <v>0</v>
      </c>
      <c r="AE366" s="28">
        <f t="shared" si="17"/>
        <v>0</v>
      </c>
      <c r="AF366" s="28">
        <v>1</v>
      </c>
    </row>
    <row r="367" spans="1:32" ht="15.75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630</v>
      </c>
      <c r="F367" s="33" t="s">
        <v>204</v>
      </c>
      <c r="G367" s="34" t="s">
        <v>127</v>
      </c>
      <c r="H367" s="24">
        <f t="shared" si="15"/>
        <v>0</v>
      </c>
      <c r="I367" s="35" t="s">
        <v>808</v>
      </c>
      <c r="J367" s="35" t="s">
        <v>579</v>
      </c>
      <c r="K367" s="36"/>
      <c r="L367" s="34" t="s">
        <v>100</v>
      </c>
      <c r="M367" s="40"/>
      <c r="N367" s="48"/>
      <c r="O367" s="35" t="s">
        <v>579</v>
      </c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49"/>
      <c r="AC367" s="17">
        <v>2</v>
      </c>
      <c r="AD367" s="17">
        <f t="shared" si="16"/>
        <v>0</v>
      </c>
      <c r="AE367" s="28">
        <f t="shared" si="17"/>
        <v>0</v>
      </c>
      <c r="AF367" s="28">
        <v>1</v>
      </c>
    </row>
    <row r="368" spans="1:32" ht="15.75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631</v>
      </c>
      <c r="F368" s="33" t="s">
        <v>204</v>
      </c>
      <c r="G368" s="34" t="s">
        <v>127</v>
      </c>
      <c r="H368" s="24">
        <f t="shared" si="15"/>
        <v>0</v>
      </c>
      <c r="I368" s="35" t="s">
        <v>808</v>
      </c>
      <c r="J368" s="35" t="s">
        <v>579</v>
      </c>
      <c r="K368" s="36"/>
      <c r="L368" s="34" t="s">
        <v>100</v>
      </c>
      <c r="M368" s="40"/>
      <c r="N368" s="48"/>
      <c r="O368" s="35" t="s">
        <v>579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17"/>
      <c r="AC368" s="17">
        <v>2</v>
      </c>
      <c r="AD368" s="17">
        <f t="shared" si="16"/>
        <v>0</v>
      </c>
      <c r="AE368" s="28">
        <f t="shared" si="17"/>
        <v>0</v>
      </c>
      <c r="AF368" s="28">
        <v>1</v>
      </c>
    </row>
    <row r="369" spans="1:32" ht="15.75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791</v>
      </c>
      <c r="F369" s="33" t="s">
        <v>204</v>
      </c>
      <c r="G369" s="34" t="s">
        <v>127</v>
      </c>
      <c r="H369" s="24">
        <f t="shared" si="15"/>
        <v>0</v>
      </c>
      <c r="I369" s="35" t="s">
        <v>808</v>
      </c>
      <c r="J369" s="35" t="s">
        <v>579</v>
      </c>
      <c r="K369" s="36"/>
      <c r="L369" s="34" t="s">
        <v>100</v>
      </c>
      <c r="M369" s="40"/>
      <c r="N369" s="48"/>
      <c r="O369" s="35" t="s">
        <v>579</v>
      </c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49"/>
      <c r="AC369" s="17">
        <v>2</v>
      </c>
      <c r="AD369" s="17">
        <f t="shared" si="16"/>
        <v>0</v>
      </c>
      <c r="AE369" s="28">
        <f t="shared" si="17"/>
        <v>0</v>
      </c>
      <c r="AF369" s="28">
        <v>1</v>
      </c>
    </row>
    <row r="370" spans="1:32" ht="15.75" hidden="1" customHeight="1" x14ac:dyDescent="0.3">
      <c r="A370" s="32" t="s">
        <v>599</v>
      </c>
      <c r="B370" s="33" t="s">
        <v>640</v>
      </c>
      <c r="C370" s="33" t="s">
        <v>551</v>
      </c>
      <c r="D370" s="33" t="s">
        <v>641</v>
      </c>
      <c r="E370" s="33" t="s">
        <v>642</v>
      </c>
      <c r="F370" s="33" t="s">
        <v>132</v>
      </c>
      <c r="G370" s="34" t="s">
        <v>99</v>
      </c>
      <c r="H370" s="24">
        <f t="shared" si="15"/>
        <v>0</v>
      </c>
      <c r="I370" s="35" t="s">
        <v>808</v>
      </c>
      <c r="J370" s="35"/>
      <c r="K370" s="36"/>
      <c r="L370" s="34" t="s">
        <v>100</v>
      </c>
      <c r="M370" s="40"/>
      <c r="N370" s="48"/>
      <c r="O370" s="35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49"/>
      <c r="AC370" s="17">
        <v>1</v>
      </c>
      <c r="AD370" s="17">
        <f t="shared" si="16"/>
        <v>0</v>
      </c>
      <c r="AE370" s="28">
        <f t="shared" si="17"/>
        <v>0</v>
      </c>
      <c r="AF370" s="28">
        <v>1</v>
      </c>
    </row>
    <row r="371" spans="1:32" ht="15.75" hidden="1" customHeight="1" x14ac:dyDescent="0.3">
      <c r="A371" s="32" t="s">
        <v>599</v>
      </c>
      <c r="B371" s="33" t="s">
        <v>611</v>
      </c>
      <c r="C371" s="33" t="s">
        <v>551</v>
      </c>
      <c r="D371" s="33" t="s">
        <v>601</v>
      </c>
      <c r="E371" s="33" t="s">
        <v>789</v>
      </c>
      <c r="F371" s="33" t="s">
        <v>86</v>
      </c>
      <c r="G371" s="34" t="s">
        <v>99</v>
      </c>
      <c r="H371" s="24">
        <f t="shared" si="15"/>
        <v>0</v>
      </c>
      <c r="I371" s="35" t="s">
        <v>808</v>
      </c>
      <c r="J371" s="35"/>
      <c r="K371" s="36"/>
      <c r="L371" s="34" t="s">
        <v>100</v>
      </c>
      <c r="M371" s="40"/>
      <c r="N371" s="51" t="s">
        <v>612</v>
      </c>
      <c r="O371" s="35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49"/>
      <c r="AC371" s="17">
        <v>1</v>
      </c>
      <c r="AD371" s="17">
        <f t="shared" si="16"/>
        <v>0</v>
      </c>
      <c r="AE371" s="28">
        <f t="shared" si="17"/>
        <v>0</v>
      </c>
      <c r="AF371" s="28">
        <v>1</v>
      </c>
    </row>
    <row r="372" spans="1:32" ht="15.75" hidden="1" customHeight="1" x14ac:dyDescent="0.3">
      <c r="A372" s="32" t="s">
        <v>599</v>
      </c>
      <c r="B372" s="33" t="s">
        <v>611</v>
      </c>
      <c r="C372" s="33" t="s">
        <v>551</v>
      </c>
      <c r="D372" s="33" t="s">
        <v>601</v>
      </c>
      <c r="E372" s="33" t="s">
        <v>617</v>
      </c>
      <c r="F372" s="33" t="s">
        <v>132</v>
      </c>
      <c r="G372" s="34" t="s">
        <v>99</v>
      </c>
      <c r="H372" s="24">
        <f t="shared" si="15"/>
        <v>0</v>
      </c>
      <c r="I372" s="35" t="s">
        <v>808</v>
      </c>
      <c r="J372" s="35"/>
      <c r="K372" s="36"/>
      <c r="L372" s="34" t="s">
        <v>100</v>
      </c>
      <c r="M372" s="40"/>
      <c r="N372" s="48"/>
      <c r="O372" s="35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49"/>
      <c r="AC372" s="17">
        <v>1</v>
      </c>
      <c r="AD372" s="17">
        <f t="shared" si="16"/>
        <v>0</v>
      </c>
      <c r="AE372" s="28">
        <f t="shared" si="17"/>
        <v>0</v>
      </c>
      <c r="AF372" s="28">
        <v>1</v>
      </c>
    </row>
    <row r="373" spans="1:32" ht="15.75" hidden="1" customHeight="1" x14ac:dyDescent="0.3">
      <c r="A373" s="32" t="s">
        <v>599</v>
      </c>
      <c r="B373" s="33" t="s">
        <v>611</v>
      </c>
      <c r="C373" s="33" t="s">
        <v>551</v>
      </c>
      <c r="D373" s="33" t="s">
        <v>601</v>
      </c>
      <c r="E373" s="33" t="s">
        <v>618</v>
      </c>
      <c r="F373" s="33" t="s">
        <v>132</v>
      </c>
      <c r="G373" s="34" t="s">
        <v>99</v>
      </c>
      <c r="H373" s="24">
        <f t="shared" si="15"/>
        <v>0</v>
      </c>
      <c r="I373" s="35" t="s">
        <v>808</v>
      </c>
      <c r="J373" s="35"/>
      <c r="K373" s="36"/>
      <c r="L373" s="34" t="s">
        <v>100</v>
      </c>
      <c r="M373" s="40"/>
      <c r="N373" s="48"/>
      <c r="O373" s="35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17"/>
      <c r="AC373" s="17">
        <v>1</v>
      </c>
      <c r="AD373" s="17">
        <f t="shared" si="16"/>
        <v>0</v>
      </c>
      <c r="AE373" s="28">
        <f t="shared" si="17"/>
        <v>0</v>
      </c>
      <c r="AF373" s="28">
        <v>1</v>
      </c>
    </row>
    <row r="374" spans="1:32" ht="15.75" hidden="1" customHeight="1" x14ac:dyDescent="0.3">
      <c r="A374" s="32" t="s">
        <v>599</v>
      </c>
      <c r="B374" s="33" t="s">
        <v>611</v>
      </c>
      <c r="C374" s="33" t="s">
        <v>551</v>
      </c>
      <c r="D374" s="33" t="s">
        <v>601</v>
      </c>
      <c r="E374" s="33" t="s">
        <v>619</v>
      </c>
      <c r="F374" s="33" t="s">
        <v>132</v>
      </c>
      <c r="G374" s="34" t="s">
        <v>99</v>
      </c>
      <c r="H374" s="24">
        <f t="shared" si="15"/>
        <v>0</v>
      </c>
      <c r="I374" s="35" t="s">
        <v>808</v>
      </c>
      <c r="J374" s="35"/>
      <c r="K374" s="36"/>
      <c r="L374" s="34" t="s">
        <v>105</v>
      </c>
      <c r="M374" s="40"/>
      <c r="N374" s="48"/>
      <c r="O374" s="35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49"/>
      <c r="AC374" s="17">
        <v>1</v>
      </c>
      <c r="AD374" s="17">
        <f t="shared" si="16"/>
        <v>0</v>
      </c>
      <c r="AE374" s="28">
        <f t="shared" si="17"/>
        <v>0</v>
      </c>
      <c r="AF374" s="28">
        <v>1</v>
      </c>
    </row>
    <row r="375" spans="1:32" ht="15.75" hidden="1" customHeight="1" x14ac:dyDescent="0.3">
      <c r="A375" s="32" t="s">
        <v>599</v>
      </c>
      <c r="B375" s="33" t="s">
        <v>611</v>
      </c>
      <c r="C375" s="33" t="s">
        <v>551</v>
      </c>
      <c r="D375" s="33" t="s">
        <v>601</v>
      </c>
      <c r="E375" s="33" t="s">
        <v>602</v>
      </c>
      <c r="F375" s="33" t="s">
        <v>672</v>
      </c>
      <c r="G375" s="34" t="s">
        <v>673</v>
      </c>
      <c r="H375" s="24">
        <f t="shared" si="15"/>
        <v>0</v>
      </c>
      <c r="I375" s="35"/>
      <c r="J375" s="35"/>
      <c r="K375" s="36"/>
      <c r="L375" s="34" t="s">
        <v>100</v>
      </c>
      <c r="M375" s="40"/>
      <c r="N375" s="51" t="s">
        <v>603</v>
      </c>
      <c r="O375" s="35" t="s">
        <v>604</v>
      </c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17"/>
      <c r="AC375" s="17">
        <v>2</v>
      </c>
      <c r="AD375" s="17">
        <f t="shared" si="16"/>
        <v>0</v>
      </c>
      <c r="AE375" s="28">
        <f t="shared" si="17"/>
        <v>0</v>
      </c>
      <c r="AF375" s="28">
        <v>1</v>
      </c>
    </row>
    <row r="376" spans="1:32" ht="15.75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793</v>
      </c>
      <c r="F376" s="33" t="s">
        <v>672</v>
      </c>
      <c r="G376" s="34" t="s">
        <v>673</v>
      </c>
      <c r="H376" s="24">
        <f t="shared" si="15"/>
        <v>0</v>
      </c>
      <c r="I376" s="35"/>
      <c r="J376" s="35" t="s">
        <v>648</v>
      </c>
      <c r="K376" s="36"/>
      <c r="L376" s="34" t="s">
        <v>100</v>
      </c>
      <c r="M376" s="40"/>
      <c r="N376" s="51" t="s">
        <v>227</v>
      </c>
      <c r="O376" s="35" t="s">
        <v>649</v>
      </c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17"/>
      <c r="AC376" s="17">
        <v>2</v>
      </c>
      <c r="AD376" s="17">
        <f t="shared" si="16"/>
        <v>0</v>
      </c>
      <c r="AE376" s="28">
        <f t="shared" si="17"/>
        <v>0</v>
      </c>
      <c r="AF376" s="28">
        <v>1</v>
      </c>
    </row>
    <row r="377" spans="1:32" ht="15.75" hidden="1" customHeight="1" x14ac:dyDescent="0.3">
      <c r="A377" s="32" t="s">
        <v>599</v>
      </c>
      <c r="B377" s="33" t="s">
        <v>635</v>
      </c>
      <c r="C377" s="33" t="s">
        <v>554</v>
      </c>
      <c r="D377" s="33" t="s">
        <v>625</v>
      </c>
      <c r="E377" s="33" t="s">
        <v>626</v>
      </c>
      <c r="F377" s="33" t="s">
        <v>132</v>
      </c>
      <c r="G377" s="34" t="s">
        <v>99</v>
      </c>
      <c r="H377" s="24">
        <f t="shared" si="15"/>
        <v>0</v>
      </c>
      <c r="I377" s="35" t="s">
        <v>808</v>
      </c>
      <c r="J377" s="35"/>
      <c r="K377" s="36"/>
      <c r="L377" s="34" t="s">
        <v>105</v>
      </c>
      <c r="M377" s="40"/>
      <c r="N377" s="48"/>
      <c r="O377" s="35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17"/>
      <c r="AC377" s="17">
        <v>1</v>
      </c>
      <c r="AD377" s="17">
        <f t="shared" si="16"/>
        <v>0</v>
      </c>
      <c r="AE377" s="28">
        <f t="shared" si="17"/>
        <v>0</v>
      </c>
      <c r="AF377" s="28">
        <v>1</v>
      </c>
    </row>
    <row r="378" spans="1:32" ht="15.75" hidden="1" customHeight="1" x14ac:dyDescent="0.3">
      <c r="A378" s="32" t="s">
        <v>599</v>
      </c>
      <c r="B378" s="33" t="s">
        <v>635</v>
      </c>
      <c r="C378" s="33" t="s">
        <v>554</v>
      </c>
      <c r="D378" s="33" t="s">
        <v>625</v>
      </c>
      <c r="E378" s="33" t="s">
        <v>790</v>
      </c>
      <c r="F378" s="33" t="s">
        <v>132</v>
      </c>
      <c r="G378" s="34" t="s">
        <v>99</v>
      </c>
      <c r="H378" s="24">
        <f t="shared" si="15"/>
        <v>0</v>
      </c>
      <c r="I378" s="35"/>
      <c r="J378" s="35"/>
      <c r="K378" s="36"/>
      <c r="L378" s="34" t="s">
        <v>100</v>
      </c>
      <c r="M378" s="40"/>
      <c r="N378" s="48"/>
      <c r="O378" s="35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17"/>
      <c r="AC378" s="17">
        <v>1</v>
      </c>
      <c r="AD378" s="17">
        <f t="shared" si="16"/>
        <v>0</v>
      </c>
      <c r="AE378" s="28">
        <f t="shared" si="17"/>
        <v>0</v>
      </c>
      <c r="AF378" s="28">
        <v>1</v>
      </c>
    </row>
    <row r="379" spans="1:32" ht="15.75" hidden="1" customHeight="1" x14ac:dyDescent="0.3">
      <c r="A379" s="32" t="s">
        <v>599</v>
      </c>
      <c r="B379" s="33" t="s">
        <v>635</v>
      </c>
      <c r="C379" s="33" t="s">
        <v>554</v>
      </c>
      <c r="D379" s="33" t="s">
        <v>625</v>
      </c>
      <c r="E379" s="33" t="s">
        <v>628</v>
      </c>
      <c r="F379" s="33" t="s">
        <v>132</v>
      </c>
      <c r="G379" s="34" t="s">
        <v>99</v>
      </c>
      <c r="H379" s="24">
        <f t="shared" si="15"/>
        <v>0</v>
      </c>
      <c r="I379" s="35" t="s">
        <v>808</v>
      </c>
      <c r="J379" s="35"/>
      <c r="K379" s="36"/>
      <c r="L379" s="34" t="s">
        <v>105</v>
      </c>
      <c r="M379" s="40"/>
      <c r="N379" s="48"/>
      <c r="O379" s="35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17"/>
      <c r="AC379" s="17">
        <v>1</v>
      </c>
      <c r="AD379" s="17">
        <f t="shared" si="16"/>
        <v>0</v>
      </c>
      <c r="AE379" s="28">
        <f t="shared" si="17"/>
        <v>0</v>
      </c>
      <c r="AF379" s="28">
        <v>1</v>
      </c>
    </row>
    <row r="380" spans="1:32" ht="15.75" hidden="1" customHeight="1" x14ac:dyDescent="0.3">
      <c r="A380" s="32" t="s">
        <v>599</v>
      </c>
      <c r="B380" s="33" t="s">
        <v>635</v>
      </c>
      <c r="C380" s="33" t="s">
        <v>554</v>
      </c>
      <c r="D380" s="33" t="s">
        <v>625</v>
      </c>
      <c r="E380" s="33" t="s">
        <v>632</v>
      </c>
      <c r="F380" s="33" t="s">
        <v>132</v>
      </c>
      <c r="G380" s="34" t="s">
        <v>99</v>
      </c>
      <c r="H380" s="24">
        <f t="shared" si="15"/>
        <v>0</v>
      </c>
      <c r="I380" s="35"/>
      <c r="J380" s="35"/>
      <c r="K380" s="36"/>
      <c r="L380" s="34" t="s">
        <v>100</v>
      </c>
      <c r="M380" s="40"/>
      <c r="N380" s="48"/>
      <c r="O380" s="35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49"/>
      <c r="AC380" s="17">
        <v>1</v>
      </c>
      <c r="AD380" s="17">
        <f t="shared" si="16"/>
        <v>0</v>
      </c>
      <c r="AE380" s="28">
        <f t="shared" si="17"/>
        <v>0</v>
      </c>
      <c r="AF380" s="28">
        <v>1</v>
      </c>
    </row>
    <row r="381" spans="1:32" ht="15.75" hidden="1" customHeight="1" x14ac:dyDescent="0.3">
      <c r="A381" s="32" t="s">
        <v>599</v>
      </c>
      <c r="B381" s="33" t="s">
        <v>635</v>
      </c>
      <c r="C381" s="33" t="s">
        <v>554</v>
      </c>
      <c r="D381" s="33" t="s">
        <v>625</v>
      </c>
      <c r="E381" s="33" t="s">
        <v>792</v>
      </c>
      <c r="F381" s="33" t="s">
        <v>132</v>
      </c>
      <c r="G381" s="34" t="s">
        <v>99</v>
      </c>
      <c r="H381" s="24">
        <f t="shared" si="15"/>
        <v>0</v>
      </c>
      <c r="I381" s="35"/>
      <c r="J381" s="35"/>
      <c r="K381" s="36"/>
      <c r="L381" s="34" t="s">
        <v>105</v>
      </c>
      <c r="M381" s="40"/>
      <c r="N381" s="48"/>
      <c r="O381" s="35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49"/>
      <c r="AC381" s="17">
        <v>1</v>
      </c>
      <c r="AD381" s="17">
        <f t="shared" si="16"/>
        <v>0</v>
      </c>
      <c r="AE381" s="28">
        <f t="shared" si="17"/>
        <v>0</v>
      </c>
      <c r="AF381" s="28">
        <v>1</v>
      </c>
    </row>
    <row r="382" spans="1:32" ht="15.75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588</v>
      </c>
      <c r="F382" s="33" t="s">
        <v>132</v>
      </c>
      <c r="G382" s="34" t="s">
        <v>99</v>
      </c>
      <c r="H382" s="24">
        <f t="shared" si="15"/>
        <v>0</v>
      </c>
      <c r="I382" s="35" t="s">
        <v>808</v>
      </c>
      <c r="J382" s="35"/>
      <c r="K382" s="36"/>
      <c r="L382" s="34" t="s">
        <v>100</v>
      </c>
      <c r="M382" s="40"/>
      <c r="N382" s="48"/>
      <c r="O382" s="35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49"/>
      <c r="AC382" s="17">
        <v>1</v>
      </c>
      <c r="AD382" s="17">
        <f t="shared" si="16"/>
        <v>0</v>
      </c>
      <c r="AE382" s="28">
        <f t="shared" si="17"/>
        <v>0</v>
      </c>
      <c r="AF382" s="28">
        <v>1</v>
      </c>
    </row>
    <row r="383" spans="1:32" ht="15.75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633</v>
      </c>
      <c r="F383" s="33" t="s">
        <v>132</v>
      </c>
      <c r="G383" s="34" t="s">
        <v>99</v>
      </c>
      <c r="H383" s="24">
        <f t="shared" si="15"/>
        <v>0</v>
      </c>
      <c r="I383" s="35" t="s">
        <v>808</v>
      </c>
      <c r="J383" s="35"/>
      <c r="K383" s="36"/>
      <c r="L383" s="34" t="s">
        <v>100</v>
      </c>
      <c r="M383" s="40"/>
      <c r="N383" s="48"/>
      <c r="O383" s="35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49"/>
      <c r="AC383" s="17">
        <v>1</v>
      </c>
      <c r="AD383" s="17">
        <f t="shared" si="16"/>
        <v>0</v>
      </c>
      <c r="AE383" s="28">
        <f t="shared" si="17"/>
        <v>0</v>
      </c>
      <c r="AF383" s="28">
        <v>1</v>
      </c>
    </row>
    <row r="384" spans="1:32" ht="15.75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634</v>
      </c>
      <c r="F384" s="33" t="s">
        <v>132</v>
      </c>
      <c r="G384" s="34" t="s">
        <v>99</v>
      </c>
      <c r="H384" s="24">
        <f t="shared" si="15"/>
        <v>0</v>
      </c>
      <c r="I384" s="35" t="s">
        <v>808</v>
      </c>
      <c r="J384" s="35"/>
      <c r="K384" s="36"/>
      <c r="L384" s="34" t="s">
        <v>105</v>
      </c>
      <c r="M384" s="40"/>
      <c r="N384" s="48"/>
      <c r="O384" s="35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49"/>
      <c r="AC384" s="17">
        <v>1</v>
      </c>
      <c r="AD384" s="17">
        <f t="shared" si="16"/>
        <v>0</v>
      </c>
      <c r="AE384" s="28">
        <f t="shared" si="17"/>
        <v>0</v>
      </c>
      <c r="AF384" s="28">
        <v>1</v>
      </c>
    </row>
    <row r="385" spans="1:32" ht="15.75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627</v>
      </c>
      <c r="F385" s="33" t="s">
        <v>204</v>
      </c>
      <c r="G385" s="34" t="s">
        <v>127</v>
      </c>
      <c r="H385" s="24">
        <f t="shared" si="15"/>
        <v>0</v>
      </c>
      <c r="I385" s="35"/>
      <c r="J385" s="35" t="s">
        <v>579</v>
      </c>
      <c r="K385" s="36"/>
      <c r="L385" s="34" t="s">
        <v>100</v>
      </c>
      <c r="M385" s="40"/>
      <c r="N385" s="48"/>
      <c r="O385" s="35" t="s">
        <v>579</v>
      </c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49"/>
      <c r="AC385" s="17">
        <v>2</v>
      </c>
      <c r="AD385" s="17">
        <f t="shared" si="16"/>
        <v>0</v>
      </c>
      <c r="AE385" s="28">
        <f t="shared" si="17"/>
        <v>0</v>
      </c>
      <c r="AF385" s="28">
        <v>1</v>
      </c>
    </row>
    <row r="386" spans="1:32" ht="15.75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629</v>
      </c>
      <c r="F386" s="33" t="s">
        <v>204</v>
      </c>
      <c r="G386" s="34" t="s">
        <v>127</v>
      </c>
      <c r="H386" s="24">
        <f t="shared" si="15"/>
        <v>0</v>
      </c>
      <c r="I386" s="35" t="s">
        <v>808</v>
      </c>
      <c r="J386" s="35" t="s">
        <v>579</v>
      </c>
      <c r="K386" s="36"/>
      <c r="L386" s="34" t="s">
        <v>100</v>
      </c>
      <c r="M386" s="40"/>
      <c r="N386" s="48"/>
      <c r="O386" s="35" t="s">
        <v>579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49"/>
      <c r="AC386" s="17">
        <v>2</v>
      </c>
      <c r="AD386" s="17">
        <f t="shared" si="16"/>
        <v>0</v>
      </c>
      <c r="AE386" s="28">
        <f t="shared" si="17"/>
        <v>0</v>
      </c>
      <c r="AF386" s="28">
        <v>1</v>
      </c>
    </row>
    <row r="387" spans="1:32" ht="15.75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630</v>
      </c>
      <c r="F387" s="33" t="s">
        <v>204</v>
      </c>
      <c r="G387" s="34" t="s">
        <v>127</v>
      </c>
      <c r="H387" s="24">
        <f t="shared" si="15"/>
        <v>0</v>
      </c>
      <c r="I387" s="35" t="s">
        <v>808</v>
      </c>
      <c r="J387" s="35" t="s">
        <v>579</v>
      </c>
      <c r="K387" s="36"/>
      <c r="L387" s="34" t="s">
        <v>100</v>
      </c>
      <c r="M387" s="40"/>
      <c r="N387" s="53"/>
      <c r="O387" s="35" t="s">
        <v>579</v>
      </c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49"/>
      <c r="AC387" s="17">
        <v>2</v>
      </c>
      <c r="AD387" s="17">
        <f t="shared" si="16"/>
        <v>0</v>
      </c>
      <c r="AE387" s="28">
        <f t="shared" si="17"/>
        <v>0</v>
      </c>
      <c r="AF387" s="28">
        <v>1</v>
      </c>
    </row>
    <row r="388" spans="1:32" ht="15.75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631</v>
      </c>
      <c r="F388" s="33" t="s">
        <v>204</v>
      </c>
      <c r="G388" s="34" t="s">
        <v>127</v>
      </c>
      <c r="H388" s="24">
        <f t="shared" ref="H388:H451" si="18">IF(AC388=0," ",(AD388/AC388))</f>
        <v>0</v>
      </c>
      <c r="I388" s="35" t="s">
        <v>808</v>
      </c>
      <c r="J388" s="35" t="s">
        <v>579</v>
      </c>
      <c r="K388" s="36"/>
      <c r="L388" s="34" t="s">
        <v>100</v>
      </c>
      <c r="M388" s="40"/>
      <c r="N388" s="53"/>
      <c r="O388" s="35" t="s">
        <v>579</v>
      </c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17"/>
      <c r="AC388" s="17">
        <v>2</v>
      </c>
      <c r="AD388" s="17">
        <f t="shared" ref="AD388:AD451" si="19">IF(COUNTA(P388:AB388)&gt;AC388,AC388,COUNTA(P388:AB388))</f>
        <v>0</v>
      </c>
      <c r="AE388" s="28">
        <f t="shared" ref="AE388:AE451" si="20">IF(H388=1,1,0)</f>
        <v>0</v>
      </c>
      <c r="AF388" s="28">
        <v>1</v>
      </c>
    </row>
    <row r="389" spans="1:32" ht="15.75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791</v>
      </c>
      <c r="F389" s="33" t="s">
        <v>204</v>
      </c>
      <c r="G389" s="34" t="s">
        <v>127</v>
      </c>
      <c r="H389" s="24">
        <f t="shared" si="18"/>
        <v>0</v>
      </c>
      <c r="I389" s="35" t="s">
        <v>808</v>
      </c>
      <c r="J389" s="35" t="s">
        <v>579</v>
      </c>
      <c r="K389" s="36"/>
      <c r="L389" s="34" t="s">
        <v>100</v>
      </c>
      <c r="M389" s="40"/>
      <c r="N389" s="53"/>
      <c r="O389" s="35" t="s">
        <v>579</v>
      </c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49"/>
      <c r="AC389" s="17">
        <v>2</v>
      </c>
      <c r="AD389" s="17">
        <f t="shared" si="19"/>
        <v>0</v>
      </c>
      <c r="AE389" s="28">
        <f t="shared" si="20"/>
        <v>0</v>
      </c>
      <c r="AF389" s="28">
        <v>1</v>
      </c>
    </row>
    <row r="390" spans="1:32" ht="15.75" hidden="1" customHeight="1" x14ac:dyDescent="0.3">
      <c r="A390" s="32" t="s">
        <v>599</v>
      </c>
      <c r="B390" s="33" t="s">
        <v>643</v>
      </c>
      <c r="C390" s="33" t="s">
        <v>554</v>
      </c>
      <c r="D390" s="33" t="s">
        <v>641</v>
      </c>
      <c r="E390" s="33" t="s">
        <v>642</v>
      </c>
      <c r="F390" s="33" t="s">
        <v>132</v>
      </c>
      <c r="G390" s="34" t="s">
        <v>99</v>
      </c>
      <c r="H390" s="24">
        <f t="shared" si="18"/>
        <v>0</v>
      </c>
      <c r="I390" s="35" t="s">
        <v>808</v>
      </c>
      <c r="J390" s="35"/>
      <c r="K390" s="36"/>
      <c r="L390" s="34" t="s">
        <v>100</v>
      </c>
      <c r="M390" s="40"/>
      <c r="N390" s="53"/>
      <c r="O390" s="35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49"/>
      <c r="AC390" s="17">
        <v>1</v>
      </c>
      <c r="AD390" s="17">
        <f t="shared" si="19"/>
        <v>0</v>
      </c>
      <c r="AE390" s="28">
        <f t="shared" si="20"/>
        <v>0</v>
      </c>
      <c r="AF390" s="28">
        <v>1</v>
      </c>
    </row>
    <row r="391" spans="1:32" ht="15.75" hidden="1" customHeight="1" x14ac:dyDescent="0.3">
      <c r="A391" s="32" t="s">
        <v>599</v>
      </c>
      <c r="B391" s="33" t="s">
        <v>613</v>
      </c>
      <c r="C391" s="33" t="s">
        <v>554</v>
      </c>
      <c r="D391" s="33" t="s">
        <v>601</v>
      </c>
      <c r="E391" s="33" t="s">
        <v>789</v>
      </c>
      <c r="F391" s="33" t="s">
        <v>86</v>
      </c>
      <c r="G391" s="34" t="s">
        <v>99</v>
      </c>
      <c r="H391" s="24">
        <f t="shared" si="18"/>
        <v>0</v>
      </c>
      <c r="I391" s="35" t="s">
        <v>808</v>
      </c>
      <c r="J391" s="35"/>
      <c r="K391" s="36"/>
      <c r="L391" s="34" t="s">
        <v>100</v>
      </c>
      <c r="M391" s="40"/>
      <c r="N391" s="40" t="s">
        <v>612</v>
      </c>
      <c r="O391" s="35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17"/>
      <c r="AC391" s="17">
        <v>1</v>
      </c>
      <c r="AD391" s="17">
        <f t="shared" si="19"/>
        <v>0</v>
      </c>
      <c r="AE391" s="28">
        <f t="shared" si="20"/>
        <v>0</v>
      </c>
      <c r="AF391" s="28">
        <v>1</v>
      </c>
    </row>
    <row r="392" spans="1:32" ht="15.75" hidden="1" customHeight="1" x14ac:dyDescent="0.3">
      <c r="A392" s="32" t="s">
        <v>599</v>
      </c>
      <c r="B392" s="33" t="s">
        <v>613</v>
      </c>
      <c r="C392" s="33" t="s">
        <v>554</v>
      </c>
      <c r="D392" s="33" t="s">
        <v>601</v>
      </c>
      <c r="E392" s="33" t="s">
        <v>617</v>
      </c>
      <c r="F392" s="33" t="s">
        <v>132</v>
      </c>
      <c r="G392" s="34" t="s">
        <v>99</v>
      </c>
      <c r="H392" s="24">
        <f t="shared" si="18"/>
        <v>0</v>
      </c>
      <c r="I392" s="35" t="s">
        <v>808</v>
      </c>
      <c r="J392" s="35"/>
      <c r="K392" s="36"/>
      <c r="L392" s="34" t="s">
        <v>100</v>
      </c>
      <c r="M392" s="40"/>
      <c r="N392" s="48"/>
      <c r="O392" s="35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49"/>
      <c r="AC392" s="17">
        <v>1</v>
      </c>
      <c r="AD392" s="17">
        <f t="shared" si="19"/>
        <v>0</v>
      </c>
      <c r="AE392" s="28">
        <f t="shared" si="20"/>
        <v>0</v>
      </c>
      <c r="AF392" s="28">
        <v>1</v>
      </c>
    </row>
    <row r="393" spans="1:32" ht="15.75" hidden="1" customHeight="1" x14ac:dyDescent="0.3">
      <c r="A393" s="32" t="s">
        <v>599</v>
      </c>
      <c r="B393" s="33" t="s">
        <v>613</v>
      </c>
      <c r="C393" s="33" t="s">
        <v>554</v>
      </c>
      <c r="D393" s="33" t="s">
        <v>601</v>
      </c>
      <c r="E393" s="33" t="s">
        <v>618</v>
      </c>
      <c r="F393" s="33" t="s">
        <v>132</v>
      </c>
      <c r="G393" s="34" t="s">
        <v>99</v>
      </c>
      <c r="H393" s="24">
        <f t="shared" si="18"/>
        <v>0</v>
      </c>
      <c r="I393" s="35" t="s">
        <v>808</v>
      </c>
      <c r="J393" s="35"/>
      <c r="K393" s="36"/>
      <c r="L393" s="34" t="s">
        <v>100</v>
      </c>
      <c r="M393" s="40"/>
      <c r="N393" s="48"/>
      <c r="O393" s="35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17"/>
      <c r="AC393" s="17">
        <v>1</v>
      </c>
      <c r="AD393" s="17">
        <f t="shared" si="19"/>
        <v>0</v>
      </c>
      <c r="AE393" s="28">
        <f t="shared" si="20"/>
        <v>0</v>
      </c>
      <c r="AF393" s="28">
        <v>1</v>
      </c>
    </row>
    <row r="394" spans="1:32" ht="15.75" hidden="1" customHeight="1" x14ac:dyDescent="0.3">
      <c r="A394" s="32" t="s">
        <v>599</v>
      </c>
      <c r="B394" s="33" t="s">
        <v>613</v>
      </c>
      <c r="C394" s="33" t="s">
        <v>554</v>
      </c>
      <c r="D394" s="33" t="s">
        <v>601</v>
      </c>
      <c r="E394" s="33" t="s">
        <v>619</v>
      </c>
      <c r="F394" s="33" t="s">
        <v>132</v>
      </c>
      <c r="G394" s="34" t="s">
        <v>99</v>
      </c>
      <c r="H394" s="24">
        <f t="shared" si="18"/>
        <v>0</v>
      </c>
      <c r="I394" s="35" t="s">
        <v>808</v>
      </c>
      <c r="J394" s="35"/>
      <c r="K394" s="36"/>
      <c r="L394" s="34" t="s">
        <v>105</v>
      </c>
      <c r="M394" s="40"/>
      <c r="N394" s="48"/>
      <c r="O394" s="35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49"/>
      <c r="AC394" s="17">
        <v>1</v>
      </c>
      <c r="AD394" s="17">
        <f t="shared" si="19"/>
        <v>0</v>
      </c>
      <c r="AE394" s="28">
        <f t="shared" si="20"/>
        <v>0</v>
      </c>
      <c r="AF394" s="28">
        <v>1</v>
      </c>
    </row>
    <row r="395" spans="1:32" ht="15.75" hidden="1" customHeight="1" x14ac:dyDescent="0.3">
      <c r="A395" s="32" t="s">
        <v>599</v>
      </c>
      <c r="B395" s="33" t="s">
        <v>613</v>
      </c>
      <c r="C395" s="33" t="s">
        <v>554</v>
      </c>
      <c r="D395" s="33" t="s">
        <v>601</v>
      </c>
      <c r="E395" s="33" t="s">
        <v>602</v>
      </c>
      <c r="F395" s="33" t="s">
        <v>672</v>
      </c>
      <c r="G395" s="34" t="s">
        <v>673</v>
      </c>
      <c r="H395" s="24">
        <f t="shared" si="18"/>
        <v>0</v>
      </c>
      <c r="I395" s="35"/>
      <c r="J395" s="35"/>
      <c r="K395" s="36"/>
      <c r="L395" s="34" t="s">
        <v>100</v>
      </c>
      <c r="M395" s="40"/>
      <c r="N395" s="51" t="s">
        <v>603</v>
      </c>
      <c r="O395" s="35" t="s">
        <v>604</v>
      </c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17"/>
      <c r="AC395" s="17">
        <v>2</v>
      </c>
      <c r="AD395" s="17">
        <f t="shared" si="19"/>
        <v>0</v>
      </c>
      <c r="AE395" s="28">
        <f t="shared" si="20"/>
        <v>0</v>
      </c>
      <c r="AF395" s="28">
        <v>1</v>
      </c>
    </row>
    <row r="396" spans="1:32" ht="15.75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793</v>
      </c>
      <c r="F396" s="33" t="s">
        <v>672</v>
      </c>
      <c r="G396" s="34" t="s">
        <v>673</v>
      </c>
      <c r="H396" s="24">
        <f t="shared" si="18"/>
        <v>0</v>
      </c>
      <c r="I396" s="35"/>
      <c r="J396" s="35" t="s">
        <v>648</v>
      </c>
      <c r="K396" s="36"/>
      <c r="L396" s="34" t="s">
        <v>100</v>
      </c>
      <c r="M396" s="40"/>
      <c r="N396" s="51" t="s">
        <v>227</v>
      </c>
      <c r="O396" s="35" t="s">
        <v>649</v>
      </c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17"/>
      <c r="AC396" s="17">
        <v>2</v>
      </c>
      <c r="AD396" s="17">
        <f t="shared" si="19"/>
        <v>0</v>
      </c>
      <c r="AE396" s="28">
        <f t="shared" si="20"/>
        <v>0</v>
      </c>
      <c r="AF396" s="28">
        <v>1</v>
      </c>
    </row>
    <row r="397" spans="1:32" ht="15.75" hidden="1" customHeight="1" x14ac:dyDescent="0.3">
      <c r="A397" s="32" t="s">
        <v>599</v>
      </c>
      <c r="B397" s="33" t="s">
        <v>636</v>
      </c>
      <c r="C397" s="33" t="s">
        <v>556</v>
      </c>
      <c r="D397" s="33" t="s">
        <v>625</v>
      </c>
      <c r="E397" s="33" t="s">
        <v>626</v>
      </c>
      <c r="F397" s="33" t="s">
        <v>132</v>
      </c>
      <c r="G397" s="34" t="s">
        <v>99</v>
      </c>
      <c r="H397" s="24">
        <f t="shared" si="18"/>
        <v>0</v>
      </c>
      <c r="I397" s="35" t="s">
        <v>808</v>
      </c>
      <c r="J397" s="35"/>
      <c r="K397" s="36"/>
      <c r="L397" s="34" t="s">
        <v>105</v>
      </c>
      <c r="M397" s="40"/>
      <c r="N397" s="48"/>
      <c r="O397" s="35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17"/>
      <c r="AC397" s="17">
        <v>1</v>
      </c>
      <c r="AD397" s="17">
        <f t="shared" si="19"/>
        <v>0</v>
      </c>
      <c r="AE397" s="28">
        <f t="shared" si="20"/>
        <v>0</v>
      </c>
      <c r="AF397" s="28">
        <v>1</v>
      </c>
    </row>
    <row r="398" spans="1:32" ht="15.75" hidden="1" customHeight="1" x14ac:dyDescent="0.3">
      <c r="A398" s="32" t="s">
        <v>599</v>
      </c>
      <c r="B398" s="33" t="s">
        <v>636</v>
      </c>
      <c r="C398" s="33" t="s">
        <v>556</v>
      </c>
      <c r="D398" s="33" t="s">
        <v>625</v>
      </c>
      <c r="E398" s="33" t="s">
        <v>790</v>
      </c>
      <c r="F398" s="33" t="s">
        <v>132</v>
      </c>
      <c r="G398" s="34" t="s">
        <v>99</v>
      </c>
      <c r="H398" s="24">
        <f t="shared" si="18"/>
        <v>0</v>
      </c>
      <c r="I398" s="35"/>
      <c r="J398" s="35"/>
      <c r="K398" s="36"/>
      <c r="L398" s="34" t="s">
        <v>100</v>
      </c>
      <c r="M398" s="40"/>
      <c r="N398" s="48"/>
      <c r="O398" s="35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17"/>
      <c r="AC398" s="17">
        <v>1</v>
      </c>
      <c r="AD398" s="17">
        <f t="shared" si="19"/>
        <v>0</v>
      </c>
      <c r="AE398" s="28">
        <f t="shared" si="20"/>
        <v>0</v>
      </c>
      <c r="AF398" s="28">
        <v>1</v>
      </c>
    </row>
    <row r="399" spans="1:32" ht="15.75" hidden="1" customHeight="1" x14ac:dyDescent="0.3">
      <c r="A399" s="32" t="s">
        <v>599</v>
      </c>
      <c r="B399" s="33" t="s">
        <v>636</v>
      </c>
      <c r="C399" s="33" t="s">
        <v>556</v>
      </c>
      <c r="D399" s="33" t="s">
        <v>625</v>
      </c>
      <c r="E399" s="33" t="s">
        <v>628</v>
      </c>
      <c r="F399" s="33" t="s">
        <v>132</v>
      </c>
      <c r="G399" s="34" t="s">
        <v>99</v>
      </c>
      <c r="H399" s="24">
        <f t="shared" si="18"/>
        <v>0</v>
      </c>
      <c r="I399" s="35" t="s">
        <v>808</v>
      </c>
      <c r="J399" s="35"/>
      <c r="K399" s="36"/>
      <c r="L399" s="34" t="s">
        <v>105</v>
      </c>
      <c r="M399" s="40"/>
      <c r="N399" s="53"/>
      <c r="O399" s="35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49"/>
      <c r="AC399" s="17">
        <v>1</v>
      </c>
      <c r="AD399" s="17">
        <f t="shared" si="19"/>
        <v>0</v>
      </c>
      <c r="AE399" s="28">
        <f t="shared" si="20"/>
        <v>0</v>
      </c>
      <c r="AF399" s="28">
        <v>1</v>
      </c>
    </row>
    <row r="400" spans="1:32" ht="15.75" hidden="1" customHeight="1" x14ac:dyDescent="0.3">
      <c r="A400" s="32" t="s">
        <v>599</v>
      </c>
      <c r="B400" s="33" t="s">
        <v>636</v>
      </c>
      <c r="C400" s="33" t="s">
        <v>556</v>
      </c>
      <c r="D400" s="33" t="s">
        <v>625</v>
      </c>
      <c r="E400" s="33" t="s">
        <v>632</v>
      </c>
      <c r="F400" s="33" t="s">
        <v>132</v>
      </c>
      <c r="G400" s="34" t="s">
        <v>99</v>
      </c>
      <c r="H400" s="24">
        <f t="shared" si="18"/>
        <v>0</v>
      </c>
      <c r="I400" s="35"/>
      <c r="J400" s="35"/>
      <c r="K400" s="36"/>
      <c r="L400" s="34" t="s">
        <v>100</v>
      </c>
      <c r="M400" s="40"/>
      <c r="N400" s="48"/>
      <c r="O400" s="35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49"/>
      <c r="AC400" s="17">
        <v>1</v>
      </c>
      <c r="AD400" s="17">
        <f t="shared" si="19"/>
        <v>0</v>
      </c>
      <c r="AE400" s="28">
        <f t="shared" si="20"/>
        <v>0</v>
      </c>
      <c r="AF400" s="28">
        <v>1</v>
      </c>
    </row>
    <row r="401" spans="1:32" ht="15.75" hidden="1" customHeight="1" x14ac:dyDescent="0.3">
      <c r="A401" s="32" t="s">
        <v>599</v>
      </c>
      <c r="B401" s="33" t="s">
        <v>636</v>
      </c>
      <c r="C401" s="33" t="s">
        <v>556</v>
      </c>
      <c r="D401" s="33" t="s">
        <v>625</v>
      </c>
      <c r="E401" s="33" t="s">
        <v>792</v>
      </c>
      <c r="F401" s="33" t="s">
        <v>132</v>
      </c>
      <c r="G401" s="34" t="s">
        <v>99</v>
      </c>
      <c r="H401" s="24">
        <f t="shared" si="18"/>
        <v>0</v>
      </c>
      <c r="I401" s="35"/>
      <c r="J401" s="35"/>
      <c r="K401" s="36"/>
      <c r="L401" s="34" t="s">
        <v>105</v>
      </c>
      <c r="M401" s="40"/>
      <c r="N401" s="53"/>
      <c r="O401" s="35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49"/>
      <c r="AC401" s="17">
        <v>1</v>
      </c>
      <c r="AD401" s="17">
        <f t="shared" si="19"/>
        <v>0</v>
      </c>
      <c r="AE401" s="28">
        <f t="shared" si="20"/>
        <v>0</v>
      </c>
      <c r="AF401" s="28">
        <v>1</v>
      </c>
    </row>
    <row r="402" spans="1:32" ht="15.75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588</v>
      </c>
      <c r="F402" s="33" t="s">
        <v>132</v>
      </c>
      <c r="G402" s="34" t="s">
        <v>99</v>
      </c>
      <c r="H402" s="24">
        <f t="shared" si="18"/>
        <v>0</v>
      </c>
      <c r="I402" s="35" t="s">
        <v>808</v>
      </c>
      <c r="J402" s="35"/>
      <c r="K402" s="36"/>
      <c r="L402" s="34" t="s">
        <v>100</v>
      </c>
      <c r="M402" s="40"/>
      <c r="N402" s="53"/>
      <c r="O402" s="35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49"/>
      <c r="AC402" s="17">
        <v>1</v>
      </c>
      <c r="AD402" s="17">
        <f t="shared" si="19"/>
        <v>0</v>
      </c>
      <c r="AE402" s="28">
        <f t="shared" si="20"/>
        <v>0</v>
      </c>
      <c r="AF402" s="28">
        <v>1</v>
      </c>
    </row>
    <row r="403" spans="1:32" ht="15.75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633</v>
      </c>
      <c r="F403" s="33" t="s">
        <v>132</v>
      </c>
      <c r="G403" s="34" t="s">
        <v>99</v>
      </c>
      <c r="H403" s="24">
        <f t="shared" si="18"/>
        <v>0</v>
      </c>
      <c r="I403" s="35" t="s">
        <v>808</v>
      </c>
      <c r="J403" s="35"/>
      <c r="K403" s="36"/>
      <c r="L403" s="34" t="s">
        <v>100</v>
      </c>
      <c r="M403" s="40"/>
      <c r="N403" s="53"/>
      <c r="O403" s="35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49"/>
      <c r="AC403" s="17">
        <v>1</v>
      </c>
      <c r="AD403" s="17">
        <f t="shared" si="19"/>
        <v>0</v>
      </c>
      <c r="AE403" s="28">
        <f t="shared" si="20"/>
        <v>0</v>
      </c>
      <c r="AF403" s="28">
        <v>1</v>
      </c>
    </row>
    <row r="404" spans="1:32" ht="15.75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634</v>
      </c>
      <c r="F404" s="33" t="s">
        <v>132</v>
      </c>
      <c r="G404" s="34" t="s">
        <v>99</v>
      </c>
      <c r="H404" s="24">
        <f t="shared" si="18"/>
        <v>0</v>
      </c>
      <c r="I404" s="35" t="s">
        <v>808</v>
      </c>
      <c r="J404" s="35"/>
      <c r="K404" s="36"/>
      <c r="L404" s="34" t="s">
        <v>105</v>
      </c>
      <c r="M404" s="40"/>
      <c r="N404" s="53"/>
      <c r="O404" s="35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49"/>
      <c r="AC404" s="17">
        <v>1</v>
      </c>
      <c r="AD404" s="17">
        <f t="shared" si="19"/>
        <v>0</v>
      </c>
      <c r="AE404" s="28">
        <f t="shared" si="20"/>
        <v>0</v>
      </c>
      <c r="AF404" s="28">
        <v>1</v>
      </c>
    </row>
    <row r="405" spans="1:32" ht="15.75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627</v>
      </c>
      <c r="F405" s="33" t="s">
        <v>204</v>
      </c>
      <c r="G405" s="34" t="s">
        <v>127</v>
      </c>
      <c r="H405" s="24">
        <f t="shared" si="18"/>
        <v>0</v>
      </c>
      <c r="I405" s="35"/>
      <c r="J405" s="35" t="s">
        <v>579</v>
      </c>
      <c r="K405" s="36"/>
      <c r="L405" s="34" t="s">
        <v>100</v>
      </c>
      <c r="M405" s="40"/>
      <c r="N405" s="53"/>
      <c r="O405" s="35" t="s">
        <v>579</v>
      </c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49"/>
      <c r="AC405" s="17">
        <v>2</v>
      </c>
      <c r="AD405" s="17">
        <f t="shared" si="19"/>
        <v>0</v>
      </c>
      <c r="AE405" s="28">
        <f t="shared" si="20"/>
        <v>0</v>
      </c>
      <c r="AF405" s="28">
        <v>1</v>
      </c>
    </row>
    <row r="406" spans="1:32" ht="15.75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629</v>
      </c>
      <c r="F406" s="33" t="s">
        <v>204</v>
      </c>
      <c r="G406" s="34" t="s">
        <v>127</v>
      </c>
      <c r="H406" s="24">
        <f t="shared" si="18"/>
        <v>0</v>
      </c>
      <c r="I406" s="35"/>
      <c r="J406" s="35" t="s">
        <v>579</v>
      </c>
      <c r="K406" s="36"/>
      <c r="L406" s="34" t="s">
        <v>100</v>
      </c>
      <c r="M406" s="40"/>
      <c r="N406" s="53"/>
      <c r="O406" s="35" t="s">
        <v>579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49"/>
      <c r="AC406" s="17">
        <v>2</v>
      </c>
      <c r="AD406" s="17">
        <f t="shared" si="19"/>
        <v>0</v>
      </c>
      <c r="AE406" s="28">
        <f t="shared" si="20"/>
        <v>0</v>
      </c>
      <c r="AF406" s="28">
        <v>1</v>
      </c>
    </row>
    <row r="407" spans="1:32" ht="15.75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630</v>
      </c>
      <c r="F407" s="33" t="s">
        <v>204</v>
      </c>
      <c r="G407" s="34" t="s">
        <v>127</v>
      </c>
      <c r="H407" s="24">
        <f t="shared" si="18"/>
        <v>0</v>
      </c>
      <c r="I407" s="35" t="s">
        <v>808</v>
      </c>
      <c r="J407" s="35" t="s">
        <v>579</v>
      </c>
      <c r="K407" s="36"/>
      <c r="L407" s="34" t="s">
        <v>100</v>
      </c>
      <c r="M407" s="40"/>
      <c r="N407" s="48"/>
      <c r="O407" s="35" t="s">
        <v>579</v>
      </c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17"/>
      <c r="AC407" s="17">
        <v>2</v>
      </c>
      <c r="AD407" s="17">
        <f t="shared" si="19"/>
        <v>0</v>
      </c>
      <c r="AE407" s="28">
        <f t="shared" si="20"/>
        <v>0</v>
      </c>
      <c r="AF407" s="28">
        <v>1</v>
      </c>
    </row>
    <row r="408" spans="1:32" ht="15.75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631</v>
      </c>
      <c r="F408" s="33" t="s">
        <v>204</v>
      </c>
      <c r="G408" s="34" t="s">
        <v>127</v>
      </c>
      <c r="H408" s="24">
        <f t="shared" si="18"/>
        <v>0</v>
      </c>
      <c r="I408" s="35" t="s">
        <v>808</v>
      </c>
      <c r="J408" s="35" t="s">
        <v>579</v>
      </c>
      <c r="K408" s="36"/>
      <c r="L408" s="34" t="s">
        <v>100</v>
      </c>
      <c r="M408" s="40"/>
      <c r="N408" s="48"/>
      <c r="O408" s="35" t="s">
        <v>579</v>
      </c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49"/>
      <c r="AC408" s="17">
        <v>2</v>
      </c>
      <c r="AD408" s="17">
        <f t="shared" si="19"/>
        <v>0</v>
      </c>
      <c r="AE408" s="28">
        <f t="shared" si="20"/>
        <v>0</v>
      </c>
      <c r="AF408" s="28">
        <v>1</v>
      </c>
    </row>
    <row r="409" spans="1:32" ht="15.75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791</v>
      </c>
      <c r="F409" s="33" t="s">
        <v>204</v>
      </c>
      <c r="G409" s="34" t="s">
        <v>127</v>
      </c>
      <c r="H409" s="24">
        <f t="shared" si="18"/>
        <v>0</v>
      </c>
      <c r="I409" s="35" t="s">
        <v>808</v>
      </c>
      <c r="J409" s="35" t="s">
        <v>579</v>
      </c>
      <c r="K409" s="36"/>
      <c r="L409" s="34" t="s">
        <v>100</v>
      </c>
      <c r="M409" s="40"/>
      <c r="N409" s="48"/>
      <c r="O409" s="35" t="s">
        <v>579</v>
      </c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17"/>
      <c r="AC409" s="17">
        <v>2</v>
      </c>
      <c r="AD409" s="17">
        <f t="shared" si="19"/>
        <v>0</v>
      </c>
      <c r="AE409" s="28">
        <f t="shared" si="20"/>
        <v>0</v>
      </c>
      <c r="AF409" s="28">
        <v>1</v>
      </c>
    </row>
    <row r="410" spans="1:32" ht="15.75" hidden="1" customHeight="1" x14ac:dyDescent="0.3">
      <c r="A410" s="32" t="s">
        <v>599</v>
      </c>
      <c r="B410" s="33" t="s">
        <v>644</v>
      </c>
      <c r="C410" s="33" t="s">
        <v>556</v>
      </c>
      <c r="D410" s="33" t="s">
        <v>641</v>
      </c>
      <c r="E410" s="33" t="s">
        <v>642</v>
      </c>
      <c r="F410" s="33" t="s">
        <v>132</v>
      </c>
      <c r="G410" s="34" t="s">
        <v>99</v>
      </c>
      <c r="H410" s="24">
        <f t="shared" si="18"/>
        <v>0</v>
      </c>
      <c r="I410" s="35" t="s">
        <v>808</v>
      </c>
      <c r="J410" s="35"/>
      <c r="K410" s="36"/>
      <c r="L410" s="34" t="s">
        <v>100</v>
      </c>
      <c r="M410" s="40"/>
      <c r="N410" s="48"/>
      <c r="O410" s="35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17"/>
      <c r="AC410" s="17">
        <v>1</v>
      </c>
      <c r="AD410" s="17">
        <f t="shared" si="19"/>
        <v>0</v>
      </c>
      <c r="AE410" s="28">
        <f t="shared" si="20"/>
        <v>0</v>
      </c>
      <c r="AF410" s="28">
        <v>1</v>
      </c>
    </row>
    <row r="411" spans="1:32" ht="15.75" hidden="1" customHeight="1" x14ac:dyDescent="0.3">
      <c r="A411" s="32" t="s">
        <v>599</v>
      </c>
      <c r="B411" s="33" t="s">
        <v>600</v>
      </c>
      <c r="C411" s="33" t="s">
        <v>556</v>
      </c>
      <c r="D411" s="33" t="s">
        <v>601</v>
      </c>
      <c r="E411" s="33" t="s">
        <v>789</v>
      </c>
      <c r="F411" s="33" t="s">
        <v>86</v>
      </c>
      <c r="G411" s="34" t="s">
        <v>99</v>
      </c>
      <c r="H411" s="24">
        <f t="shared" si="18"/>
        <v>0</v>
      </c>
      <c r="I411" s="35"/>
      <c r="J411" s="35"/>
      <c r="K411" s="36"/>
      <c r="L411" s="34" t="s">
        <v>100</v>
      </c>
      <c r="M411" s="40"/>
      <c r="N411" s="51" t="s">
        <v>543</v>
      </c>
      <c r="O411" s="35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17"/>
      <c r="AC411" s="17">
        <v>1</v>
      </c>
      <c r="AD411" s="17">
        <f t="shared" si="19"/>
        <v>0</v>
      </c>
      <c r="AE411" s="28">
        <f t="shared" si="20"/>
        <v>0</v>
      </c>
      <c r="AF411" s="28">
        <v>1</v>
      </c>
    </row>
    <row r="412" spans="1:32" ht="15.75" hidden="1" customHeight="1" x14ac:dyDescent="0.3">
      <c r="A412" s="32" t="s">
        <v>599</v>
      </c>
      <c r="B412" s="33" t="s">
        <v>600</v>
      </c>
      <c r="C412" s="33" t="s">
        <v>556</v>
      </c>
      <c r="D412" s="33" t="s">
        <v>601</v>
      </c>
      <c r="E412" s="33" t="s">
        <v>617</v>
      </c>
      <c r="F412" s="33" t="s">
        <v>132</v>
      </c>
      <c r="G412" s="34" t="s">
        <v>99</v>
      </c>
      <c r="H412" s="24">
        <f t="shared" si="18"/>
        <v>0</v>
      </c>
      <c r="I412" s="35" t="s">
        <v>808</v>
      </c>
      <c r="J412" s="35"/>
      <c r="K412" s="36"/>
      <c r="L412" s="34" t="s">
        <v>100</v>
      </c>
      <c r="M412" s="40"/>
      <c r="N412" s="53"/>
      <c r="O412" s="35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17"/>
      <c r="AC412" s="17">
        <v>1</v>
      </c>
      <c r="AD412" s="17">
        <f t="shared" si="19"/>
        <v>0</v>
      </c>
      <c r="AE412" s="28">
        <f t="shared" si="20"/>
        <v>0</v>
      </c>
      <c r="AF412" s="28">
        <v>1</v>
      </c>
    </row>
    <row r="413" spans="1:32" ht="15.75" hidden="1" customHeight="1" x14ac:dyDescent="0.3">
      <c r="A413" s="32" t="s">
        <v>599</v>
      </c>
      <c r="B413" s="33" t="s">
        <v>600</v>
      </c>
      <c r="C413" s="33" t="s">
        <v>556</v>
      </c>
      <c r="D413" s="33" t="s">
        <v>601</v>
      </c>
      <c r="E413" s="33" t="s">
        <v>619</v>
      </c>
      <c r="F413" s="33" t="s">
        <v>132</v>
      </c>
      <c r="G413" s="34" t="s">
        <v>99</v>
      </c>
      <c r="H413" s="24">
        <f t="shared" si="18"/>
        <v>0</v>
      </c>
      <c r="I413" s="35" t="s">
        <v>808</v>
      </c>
      <c r="J413" s="35"/>
      <c r="K413" s="36"/>
      <c r="L413" s="34" t="s">
        <v>105</v>
      </c>
      <c r="M413" s="40"/>
      <c r="N413" s="48"/>
      <c r="O413" s="35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17">
        <v>1</v>
      </c>
      <c r="AD413" s="17">
        <f t="shared" si="19"/>
        <v>0</v>
      </c>
      <c r="AE413" s="28">
        <f t="shared" si="20"/>
        <v>0</v>
      </c>
      <c r="AF413" s="28">
        <v>1</v>
      </c>
    </row>
    <row r="414" spans="1:32" ht="15.75" hidden="1" customHeight="1" x14ac:dyDescent="0.3">
      <c r="A414" s="32" t="s">
        <v>599</v>
      </c>
      <c r="B414" s="33" t="s">
        <v>600</v>
      </c>
      <c r="C414" s="33" t="s">
        <v>556</v>
      </c>
      <c r="D414" s="33" t="s">
        <v>601</v>
      </c>
      <c r="E414" s="33" t="s">
        <v>602</v>
      </c>
      <c r="F414" s="33" t="s">
        <v>672</v>
      </c>
      <c r="G414" s="34" t="s">
        <v>673</v>
      </c>
      <c r="H414" s="24">
        <f t="shared" si="18"/>
        <v>0</v>
      </c>
      <c r="I414" s="35"/>
      <c r="J414" s="35"/>
      <c r="K414" s="36"/>
      <c r="L414" s="34" t="s">
        <v>100</v>
      </c>
      <c r="M414" s="40"/>
      <c r="N414" s="51" t="s">
        <v>603</v>
      </c>
      <c r="O414" s="35" t="s">
        <v>604</v>
      </c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17"/>
      <c r="AC414" s="17">
        <v>2</v>
      </c>
      <c r="AD414" s="17">
        <f t="shared" si="19"/>
        <v>0</v>
      </c>
      <c r="AE414" s="28">
        <f t="shared" si="20"/>
        <v>0</v>
      </c>
      <c r="AF414" s="28">
        <v>1</v>
      </c>
    </row>
    <row r="415" spans="1:32" ht="15.75" hidden="1" customHeight="1" x14ac:dyDescent="0.3">
      <c r="A415" s="32" t="s">
        <v>599</v>
      </c>
      <c r="B415" s="33" t="s">
        <v>600</v>
      </c>
      <c r="C415" s="33" t="s">
        <v>556</v>
      </c>
      <c r="D415" s="33" t="s">
        <v>601</v>
      </c>
      <c r="E415" s="33" t="s">
        <v>605</v>
      </c>
      <c r="F415" s="43" t="s">
        <v>672</v>
      </c>
      <c r="G415" s="34" t="s">
        <v>673</v>
      </c>
      <c r="H415" s="24" t="str">
        <f t="shared" si="18"/>
        <v xml:space="preserve"> </v>
      </c>
      <c r="I415" s="35"/>
      <c r="J415" s="35"/>
      <c r="K415" s="36"/>
      <c r="L415" s="34" t="s">
        <v>100</v>
      </c>
      <c r="M415" s="40"/>
      <c r="N415" s="51" t="s">
        <v>300</v>
      </c>
      <c r="O415" s="35" t="s">
        <v>606</v>
      </c>
      <c r="P415" s="27"/>
      <c r="Q415" s="27"/>
      <c r="R415" s="27"/>
      <c r="S415" s="27"/>
      <c r="T415" s="27"/>
      <c r="U415" s="27"/>
      <c r="V415" s="54"/>
      <c r="W415" s="27"/>
      <c r="X415" s="27"/>
      <c r="Y415" s="27"/>
      <c r="Z415" s="27"/>
      <c r="AA415" s="54"/>
      <c r="AB415" s="17"/>
      <c r="AC415" s="109">
        <v>0</v>
      </c>
      <c r="AD415" s="17">
        <f t="shared" si="19"/>
        <v>0</v>
      </c>
      <c r="AE415" s="28">
        <f t="shared" si="20"/>
        <v>0</v>
      </c>
      <c r="AF415" s="28">
        <v>1</v>
      </c>
    </row>
    <row r="416" spans="1:32" ht="15.75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793</v>
      </c>
      <c r="F416" s="33" t="s">
        <v>672</v>
      </c>
      <c r="G416" s="34" t="s">
        <v>673</v>
      </c>
      <c r="H416" s="24">
        <f t="shared" si="18"/>
        <v>0</v>
      </c>
      <c r="I416" s="35"/>
      <c r="J416" s="35" t="s">
        <v>648</v>
      </c>
      <c r="K416" s="36"/>
      <c r="L416" s="34" t="s">
        <v>100</v>
      </c>
      <c r="M416" s="40"/>
      <c r="N416" s="51" t="s">
        <v>227</v>
      </c>
      <c r="O416" s="35" t="s">
        <v>649</v>
      </c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17">
        <v>2</v>
      </c>
      <c r="AD416" s="17">
        <f t="shared" si="19"/>
        <v>0</v>
      </c>
      <c r="AE416" s="28">
        <f t="shared" si="20"/>
        <v>0</v>
      </c>
      <c r="AF416" s="28">
        <v>1</v>
      </c>
    </row>
    <row r="417" spans="1:32" ht="15.75" hidden="1" customHeight="1" x14ac:dyDescent="0.3">
      <c r="A417" s="32" t="s">
        <v>599</v>
      </c>
      <c r="B417" s="33" t="s">
        <v>637</v>
      </c>
      <c r="C417" s="33" t="s">
        <v>558</v>
      </c>
      <c r="D417" s="33" t="s">
        <v>625</v>
      </c>
      <c r="E417" s="33" t="s">
        <v>626</v>
      </c>
      <c r="F417" s="33" t="s">
        <v>132</v>
      </c>
      <c r="G417" s="34" t="s">
        <v>99</v>
      </c>
      <c r="H417" s="24">
        <f t="shared" si="18"/>
        <v>0</v>
      </c>
      <c r="I417" s="35" t="s">
        <v>808</v>
      </c>
      <c r="J417" s="35"/>
      <c r="K417" s="36"/>
      <c r="L417" s="34" t="s">
        <v>105</v>
      </c>
      <c r="M417" s="40"/>
      <c r="N417" s="48"/>
      <c r="O417" s="35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17"/>
      <c r="AC417" s="17">
        <v>1</v>
      </c>
      <c r="AD417" s="17">
        <f t="shared" si="19"/>
        <v>0</v>
      </c>
      <c r="AE417" s="28">
        <f t="shared" si="20"/>
        <v>0</v>
      </c>
      <c r="AF417" s="28">
        <v>1</v>
      </c>
    </row>
    <row r="418" spans="1:32" ht="15.75" hidden="1" customHeight="1" x14ac:dyDescent="0.3">
      <c r="A418" s="32" t="s">
        <v>599</v>
      </c>
      <c r="B418" s="33" t="s">
        <v>637</v>
      </c>
      <c r="C418" s="33" t="s">
        <v>558</v>
      </c>
      <c r="D418" s="33" t="s">
        <v>625</v>
      </c>
      <c r="E418" s="33" t="s">
        <v>790</v>
      </c>
      <c r="F418" s="33" t="s">
        <v>132</v>
      </c>
      <c r="G418" s="34" t="s">
        <v>99</v>
      </c>
      <c r="H418" s="24">
        <f t="shared" si="18"/>
        <v>0</v>
      </c>
      <c r="I418" s="35"/>
      <c r="J418" s="35"/>
      <c r="K418" s="36"/>
      <c r="L418" s="34" t="s">
        <v>100</v>
      </c>
      <c r="M418" s="40"/>
      <c r="N418" s="48"/>
      <c r="O418" s="35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17"/>
      <c r="AC418" s="17">
        <v>1</v>
      </c>
      <c r="AD418" s="17">
        <f t="shared" si="19"/>
        <v>0</v>
      </c>
      <c r="AE418" s="28">
        <f t="shared" si="20"/>
        <v>0</v>
      </c>
      <c r="AF418" s="28">
        <v>1</v>
      </c>
    </row>
    <row r="419" spans="1:32" ht="15.75" hidden="1" customHeight="1" x14ac:dyDescent="0.3">
      <c r="A419" s="32" t="s">
        <v>599</v>
      </c>
      <c r="B419" s="33" t="s">
        <v>637</v>
      </c>
      <c r="C419" s="33" t="s">
        <v>558</v>
      </c>
      <c r="D419" s="33" t="s">
        <v>625</v>
      </c>
      <c r="E419" s="33" t="s">
        <v>628</v>
      </c>
      <c r="F419" s="33" t="s">
        <v>132</v>
      </c>
      <c r="G419" s="34" t="s">
        <v>99</v>
      </c>
      <c r="H419" s="24">
        <f t="shared" si="18"/>
        <v>0</v>
      </c>
      <c r="I419" s="35" t="s">
        <v>808</v>
      </c>
      <c r="J419" s="35"/>
      <c r="K419" s="36"/>
      <c r="L419" s="34" t="s">
        <v>105</v>
      </c>
      <c r="M419" s="40"/>
      <c r="N419" s="53"/>
      <c r="O419" s="35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17"/>
      <c r="AC419" s="17">
        <v>1</v>
      </c>
      <c r="AD419" s="17">
        <f t="shared" si="19"/>
        <v>0</v>
      </c>
      <c r="AE419" s="28">
        <f t="shared" si="20"/>
        <v>0</v>
      </c>
      <c r="AF419" s="28">
        <v>1</v>
      </c>
    </row>
    <row r="420" spans="1:32" ht="15.75" hidden="1" customHeight="1" x14ac:dyDescent="0.3">
      <c r="A420" s="32" t="s">
        <v>599</v>
      </c>
      <c r="B420" s="33" t="s">
        <v>637</v>
      </c>
      <c r="C420" s="33" t="s">
        <v>558</v>
      </c>
      <c r="D420" s="33" t="s">
        <v>625</v>
      </c>
      <c r="E420" s="33" t="s">
        <v>632</v>
      </c>
      <c r="F420" s="33" t="s">
        <v>132</v>
      </c>
      <c r="G420" s="34" t="s">
        <v>99</v>
      </c>
      <c r="H420" s="24">
        <f t="shared" si="18"/>
        <v>0</v>
      </c>
      <c r="I420" s="35"/>
      <c r="J420" s="35"/>
      <c r="K420" s="36"/>
      <c r="L420" s="34" t="s">
        <v>100</v>
      </c>
      <c r="M420" s="40"/>
      <c r="N420" s="53"/>
      <c r="O420" s="35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17"/>
      <c r="AC420" s="17">
        <v>1</v>
      </c>
      <c r="AD420" s="17">
        <f t="shared" si="19"/>
        <v>0</v>
      </c>
      <c r="AE420" s="28">
        <f t="shared" si="20"/>
        <v>0</v>
      </c>
      <c r="AF420" s="28">
        <v>1</v>
      </c>
    </row>
    <row r="421" spans="1:32" ht="15.75" hidden="1" customHeight="1" x14ac:dyDescent="0.3">
      <c r="A421" s="32" t="s">
        <v>599</v>
      </c>
      <c r="B421" s="33" t="s">
        <v>637</v>
      </c>
      <c r="C421" s="33" t="s">
        <v>558</v>
      </c>
      <c r="D421" s="33" t="s">
        <v>625</v>
      </c>
      <c r="E421" s="33" t="s">
        <v>792</v>
      </c>
      <c r="F421" s="33" t="s">
        <v>132</v>
      </c>
      <c r="G421" s="34" t="s">
        <v>99</v>
      </c>
      <c r="H421" s="24">
        <f t="shared" si="18"/>
        <v>0</v>
      </c>
      <c r="I421" s="35"/>
      <c r="J421" s="35"/>
      <c r="K421" s="36"/>
      <c r="L421" s="34" t="s">
        <v>105</v>
      </c>
      <c r="M421" s="40"/>
      <c r="N421" s="53"/>
      <c r="O421" s="35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17"/>
      <c r="AC421" s="17">
        <v>1</v>
      </c>
      <c r="AD421" s="17">
        <f t="shared" si="19"/>
        <v>0</v>
      </c>
      <c r="AE421" s="28">
        <f t="shared" si="20"/>
        <v>0</v>
      </c>
      <c r="AF421" s="28">
        <v>1</v>
      </c>
    </row>
    <row r="422" spans="1:32" ht="15.75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588</v>
      </c>
      <c r="F422" s="33" t="s">
        <v>132</v>
      </c>
      <c r="G422" s="34" t="s">
        <v>99</v>
      </c>
      <c r="H422" s="24">
        <f t="shared" si="18"/>
        <v>0</v>
      </c>
      <c r="I422" s="35" t="s">
        <v>808</v>
      </c>
      <c r="J422" s="35"/>
      <c r="K422" s="36"/>
      <c r="L422" s="34" t="s">
        <v>100</v>
      </c>
      <c r="M422" s="40"/>
      <c r="N422" s="53"/>
      <c r="O422" s="35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17"/>
      <c r="AC422" s="17">
        <v>1</v>
      </c>
      <c r="AD422" s="17">
        <f t="shared" si="19"/>
        <v>0</v>
      </c>
      <c r="AE422" s="28">
        <f t="shared" si="20"/>
        <v>0</v>
      </c>
      <c r="AF422" s="28">
        <v>1</v>
      </c>
    </row>
    <row r="423" spans="1:32" ht="15.75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633</v>
      </c>
      <c r="F423" s="33" t="s">
        <v>132</v>
      </c>
      <c r="G423" s="34" t="s">
        <v>99</v>
      </c>
      <c r="H423" s="24">
        <f t="shared" si="18"/>
        <v>0</v>
      </c>
      <c r="I423" s="35" t="s">
        <v>808</v>
      </c>
      <c r="J423" s="35"/>
      <c r="K423" s="36"/>
      <c r="L423" s="34" t="s">
        <v>100</v>
      </c>
      <c r="M423" s="40"/>
      <c r="N423" s="53"/>
      <c r="O423" s="35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17"/>
      <c r="AC423" s="17">
        <v>1</v>
      </c>
      <c r="AD423" s="17">
        <f t="shared" si="19"/>
        <v>0</v>
      </c>
      <c r="AE423" s="28">
        <f t="shared" si="20"/>
        <v>0</v>
      </c>
      <c r="AF423" s="28">
        <v>1</v>
      </c>
    </row>
    <row r="424" spans="1:32" ht="15.75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634</v>
      </c>
      <c r="F424" s="33" t="s">
        <v>132</v>
      </c>
      <c r="G424" s="34" t="s">
        <v>99</v>
      </c>
      <c r="H424" s="24">
        <f t="shared" si="18"/>
        <v>0</v>
      </c>
      <c r="I424" s="35" t="s">
        <v>808</v>
      </c>
      <c r="J424" s="35"/>
      <c r="K424" s="36"/>
      <c r="L424" s="34" t="s">
        <v>105</v>
      </c>
      <c r="M424" s="40"/>
      <c r="N424" s="53"/>
      <c r="O424" s="35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17"/>
      <c r="AC424" s="17">
        <v>1</v>
      </c>
      <c r="AD424" s="17">
        <f t="shared" si="19"/>
        <v>0</v>
      </c>
      <c r="AE424" s="28">
        <f t="shared" si="20"/>
        <v>0</v>
      </c>
      <c r="AF424" s="28">
        <v>1</v>
      </c>
    </row>
    <row r="425" spans="1:32" ht="15.75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627</v>
      </c>
      <c r="F425" s="33" t="s">
        <v>204</v>
      </c>
      <c r="G425" s="34" t="s">
        <v>127</v>
      </c>
      <c r="H425" s="24">
        <f t="shared" si="18"/>
        <v>0</v>
      </c>
      <c r="I425" s="35"/>
      <c r="J425" s="35" t="s">
        <v>579</v>
      </c>
      <c r="K425" s="36"/>
      <c r="L425" s="34" t="s">
        <v>100</v>
      </c>
      <c r="M425" s="40"/>
      <c r="N425" s="53"/>
      <c r="O425" s="35" t="s">
        <v>579</v>
      </c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17"/>
      <c r="AC425" s="17">
        <v>2</v>
      </c>
      <c r="AD425" s="17">
        <f t="shared" si="19"/>
        <v>0</v>
      </c>
      <c r="AE425" s="28">
        <f t="shared" si="20"/>
        <v>0</v>
      </c>
      <c r="AF425" s="28">
        <v>1</v>
      </c>
    </row>
    <row r="426" spans="1:32" ht="15.75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629</v>
      </c>
      <c r="F426" s="33" t="s">
        <v>204</v>
      </c>
      <c r="G426" s="34" t="s">
        <v>127</v>
      </c>
      <c r="H426" s="24">
        <f t="shared" si="18"/>
        <v>0</v>
      </c>
      <c r="I426" s="35"/>
      <c r="J426" s="35" t="s">
        <v>579</v>
      </c>
      <c r="K426" s="36"/>
      <c r="L426" s="34" t="s">
        <v>100</v>
      </c>
      <c r="M426" s="40"/>
      <c r="N426" s="53"/>
      <c r="O426" s="35" t="s">
        <v>579</v>
      </c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17"/>
      <c r="AC426" s="17">
        <v>2</v>
      </c>
      <c r="AD426" s="17">
        <f t="shared" si="19"/>
        <v>0</v>
      </c>
      <c r="AE426" s="28">
        <f t="shared" si="20"/>
        <v>0</v>
      </c>
      <c r="AF426" s="28">
        <v>1</v>
      </c>
    </row>
    <row r="427" spans="1:32" ht="15.75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630</v>
      </c>
      <c r="F427" s="33" t="s">
        <v>204</v>
      </c>
      <c r="G427" s="34" t="s">
        <v>127</v>
      </c>
      <c r="H427" s="24">
        <f t="shared" si="18"/>
        <v>0</v>
      </c>
      <c r="I427" s="35" t="s">
        <v>808</v>
      </c>
      <c r="J427" s="35" t="s">
        <v>579</v>
      </c>
      <c r="K427" s="36"/>
      <c r="L427" s="34" t="s">
        <v>100</v>
      </c>
      <c r="M427" s="40"/>
      <c r="N427" s="53"/>
      <c r="O427" s="35" t="s">
        <v>579</v>
      </c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17"/>
      <c r="AC427" s="17">
        <v>2</v>
      </c>
      <c r="AD427" s="17">
        <f t="shared" si="19"/>
        <v>0</v>
      </c>
      <c r="AE427" s="28">
        <f t="shared" si="20"/>
        <v>0</v>
      </c>
      <c r="AF427" s="28">
        <v>1</v>
      </c>
    </row>
    <row r="428" spans="1:32" ht="15.75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631</v>
      </c>
      <c r="F428" s="33" t="s">
        <v>204</v>
      </c>
      <c r="G428" s="34" t="s">
        <v>127</v>
      </c>
      <c r="H428" s="24">
        <f t="shared" si="18"/>
        <v>0</v>
      </c>
      <c r="I428" s="35" t="s">
        <v>808</v>
      </c>
      <c r="J428" s="35" t="s">
        <v>579</v>
      </c>
      <c r="K428" s="36"/>
      <c r="L428" s="34" t="s">
        <v>100</v>
      </c>
      <c r="M428" s="40"/>
      <c r="N428" s="53"/>
      <c r="O428" s="35" t="s">
        <v>579</v>
      </c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17"/>
      <c r="AC428" s="17">
        <v>2</v>
      </c>
      <c r="AD428" s="17">
        <f t="shared" si="19"/>
        <v>0</v>
      </c>
      <c r="AE428" s="28">
        <f t="shared" si="20"/>
        <v>0</v>
      </c>
      <c r="AF428" s="28">
        <v>1</v>
      </c>
    </row>
    <row r="429" spans="1:32" ht="15.75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791</v>
      </c>
      <c r="F429" s="33" t="s">
        <v>204</v>
      </c>
      <c r="G429" s="34" t="s">
        <v>127</v>
      </c>
      <c r="H429" s="24">
        <f t="shared" si="18"/>
        <v>0</v>
      </c>
      <c r="I429" s="35" t="s">
        <v>808</v>
      </c>
      <c r="J429" s="35" t="s">
        <v>579</v>
      </c>
      <c r="K429" s="36"/>
      <c r="L429" s="34" t="s">
        <v>100</v>
      </c>
      <c r="M429" s="40"/>
      <c r="N429" s="53"/>
      <c r="O429" s="35" t="s">
        <v>579</v>
      </c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17"/>
      <c r="AC429" s="17">
        <v>2</v>
      </c>
      <c r="AD429" s="17">
        <f t="shared" si="19"/>
        <v>0</v>
      </c>
      <c r="AE429" s="28">
        <f t="shared" si="20"/>
        <v>0</v>
      </c>
      <c r="AF429" s="28">
        <v>1</v>
      </c>
    </row>
    <row r="430" spans="1:32" ht="15.75" hidden="1" customHeight="1" x14ac:dyDescent="0.3">
      <c r="A430" s="32" t="s">
        <v>599</v>
      </c>
      <c r="B430" s="33" t="s">
        <v>645</v>
      </c>
      <c r="C430" s="33" t="s">
        <v>558</v>
      </c>
      <c r="D430" s="33" t="s">
        <v>641</v>
      </c>
      <c r="E430" s="33" t="s">
        <v>642</v>
      </c>
      <c r="F430" s="33" t="s">
        <v>132</v>
      </c>
      <c r="G430" s="34" t="s">
        <v>99</v>
      </c>
      <c r="H430" s="24">
        <f t="shared" si="18"/>
        <v>0</v>
      </c>
      <c r="I430" s="35" t="s">
        <v>808</v>
      </c>
      <c r="J430" s="35"/>
      <c r="K430" s="36"/>
      <c r="L430" s="34" t="s">
        <v>100</v>
      </c>
      <c r="M430" s="40"/>
      <c r="N430" s="53"/>
      <c r="O430" s="35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17"/>
      <c r="AC430" s="17">
        <v>1</v>
      </c>
      <c r="AD430" s="17">
        <f t="shared" si="19"/>
        <v>0</v>
      </c>
      <c r="AE430" s="28">
        <f t="shared" si="20"/>
        <v>0</v>
      </c>
      <c r="AF430" s="28">
        <v>1</v>
      </c>
    </row>
    <row r="431" spans="1:32" ht="15.75" hidden="1" customHeight="1" x14ac:dyDescent="0.3">
      <c r="A431" s="32" t="s">
        <v>599</v>
      </c>
      <c r="B431" s="33" t="s">
        <v>607</v>
      </c>
      <c r="C431" s="33" t="s">
        <v>558</v>
      </c>
      <c r="D431" s="33" t="s">
        <v>601</v>
      </c>
      <c r="E431" s="33" t="s">
        <v>789</v>
      </c>
      <c r="F431" s="33" t="s">
        <v>86</v>
      </c>
      <c r="G431" s="34" t="s">
        <v>99</v>
      </c>
      <c r="H431" s="24">
        <f t="shared" si="18"/>
        <v>0</v>
      </c>
      <c r="I431" s="35" t="s">
        <v>808</v>
      </c>
      <c r="J431" s="35"/>
      <c r="K431" s="36"/>
      <c r="L431" s="34" t="s">
        <v>100</v>
      </c>
      <c r="M431" s="40"/>
      <c r="N431" s="40" t="s">
        <v>543</v>
      </c>
      <c r="O431" s="35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17"/>
      <c r="AC431" s="17">
        <v>1</v>
      </c>
      <c r="AD431" s="17">
        <f t="shared" si="19"/>
        <v>0</v>
      </c>
      <c r="AE431" s="28">
        <f t="shared" si="20"/>
        <v>0</v>
      </c>
      <c r="AF431" s="28">
        <v>1</v>
      </c>
    </row>
    <row r="432" spans="1:32" ht="15.75" hidden="1" customHeight="1" x14ac:dyDescent="0.3">
      <c r="A432" s="32" t="s">
        <v>599</v>
      </c>
      <c r="B432" s="33" t="s">
        <v>607</v>
      </c>
      <c r="C432" s="33" t="s">
        <v>558</v>
      </c>
      <c r="D432" s="33" t="s">
        <v>601</v>
      </c>
      <c r="E432" s="33" t="s">
        <v>617</v>
      </c>
      <c r="F432" s="33" t="s">
        <v>132</v>
      </c>
      <c r="G432" s="34" t="s">
        <v>99</v>
      </c>
      <c r="H432" s="24">
        <f t="shared" si="18"/>
        <v>0</v>
      </c>
      <c r="I432" s="35" t="s">
        <v>808</v>
      </c>
      <c r="J432" s="35"/>
      <c r="K432" s="36"/>
      <c r="L432" s="34" t="s">
        <v>100</v>
      </c>
      <c r="M432" s="40"/>
      <c r="N432" s="53"/>
      <c r="O432" s="35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17"/>
      <c r="AC432" s="17">
        <v>1</v>
      </c>
      <c r="AD432" s="17">
        <f t="shared" si="19"/>
        <v>0</v>
      </c>
      <c r="AE432" s="28">
        <f t="shared" si="20"/>
        <v>0</v>
      </c>
      <c r="AF432" s="28">
        <v>1</v>
      </c>
    </row>
    <row r="433" spans="1:32" ht="15.75" hidden="1" customHeight="1" x14ac:dyDescent="0.3">
      <c r="A433" s="32" t="s">
        <v>599</v>
      </c>
      <c r="B433" s="33" t="s">
        <v>607</v>
      </c>
      <c r="C433" s="33" t="s">
        <v>558</v>
      </c>
      <c r="D433" s="33" t="s">
        <v>601</v>
      </c>
      <c r="E433" s="33" t="s">
        <v>618</v>
      </c>
      <c r="F433" s="33" t="s">
        <v>132</v>
      </c>
      <c r="G433" s="34" t="s">
        <v>99</v>
      </c>
      <c r="H433" s="24">
        <f t="shared" si="18"/>
        <v>0</v>
      </c>
      <c r="I433" s="35" t="s">
        <v>808</v>
      </c>
      <c r="J433" s="35"/>
      <c r="K433" s="36"/>
      <c r="L433" s="34" t="s">
        <v>100</v>
      </c>
      <c r="M433" s="40"/>
      <c r="N433" s="53"/>
      <c r="O433" s="35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17"/>
      <c r="AC433" s="17">
        <v>1</v>
      </c>
      <c r="AD433" s="17">
        <f t="shared" si="19"/>
        <v>0</v>
      </c>
      <c r="AE433" s="28">
        <f t="shared" si="20"/>
        <v>0</v>
      </c>
      <c r="AF433" s="28">
        <v>1</v>
      </c>
    </row>
    <row r="434" spans="1:32" ht="15.75" hidden="1" customHeight="1" x14ac:dyDescent="0.3">
      <c r="A434" s="32" t="s">
        <v>599</v>
      </c>
      <c r="B434" s="33" t="s">
        <v>607</v>
      </c>
      <c r="C434" s="33" t="s">
        <v>558</v>
      </c>
      <c r="D434" s="33" t="s">
        <v>601</v>
      </c>
      <c r="E434" s="33" t="s">
        <v>619</v>
      </c>
      <c r="F434" s="33" t="s">
        <v>132</v>
      </c>
      <c r="G434" s="34" t="s">
        <v>99</v>
      </c>
      <c r="H434" s="24">
        <f t="shared" si="18"/>
        <v>0</v>
      </c>
      <c r="I434" s="35" t="s">
        <v>808</v>
      </c>
      <c r="J434" s="35"/>
      <c r="K434" s="36"/>
      <c r="L434" s="34" t="s">
        <v>105</v>
      </c>
      <c r="M434" s="40"/>
      <c r="N434" s="53"/>
      <c r="O434" s="35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17"/>
      <c r="AC434" s="17">
        <v>1</v>
      </c>
      <c r="AD434" s="17">
        <f t="shared" si="19"/>
        <v>0</v>
      </c>
      <c r="AE434" s="28">
        <f t="shared" si="20"/>
        <v>0</v>
      </c>
      <c r="AF434" s="28">
        <v>1</v>
      </c>
    </row>
    <row r="435" spans="1:32" ht="15.75" hidden="1" customHeight="1" x14ac:dyDescent="0.3">
      <c r="A435" s="32" t="s">
        <v>599</v>
      </c>
      <c r="B435" s="33" t="s">
        <v>607</v>
      </c>
      <c r="C435" s="33" t="s">
        <v>558</v>
      </c>
      <c r="D435" s="33" t="s">
        <v>601</v>
      </c>
      <c r="E435" s="33" t="s">
        <v>602</v>
      </c>
      <c r="F435" s="33" t="s">
        <v>672</v>
      </c>
      <c r="G435" s="34" t="s">
        <v>673</v>
      </c>
      <c r="H435" s="24">
        <f t="shared" si="18"/>
        <v>0</v>
      </c>
      <c r="I435" s="35"/>
      <c r="J435" s="35"/>
      <c r="K435" s="36"/>
      <c r="L435" s="34" t="s">
        <v>100</v>
      </c>
      <c r="M435" s="40"/>
      <c r="N435" s="40" t="s">
        <v>603</v>
      </c>
      <c r="O435" s="35" t="s">
        <v>604</v>
      </c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17"/>
      <c r="AC435" s="17">
        <v>2</v>
      </c>
      <c r="AD435" s="17">
        <f t="shared" si="19"/>
        <v>0</v>
      </c>
      <c r="AE435" s="28">
        <f t="shared" si="20"/>
        <v>0</v>
      </c>
      <c r="AF435" s="28">
        <v>1</v>
      </c>
    </row>
    <row r="436" spans="1:32" ht="15.75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605</v>
      </c>
      <c r="F436" s="33" t="s">
        <v>672</v>
      </c>
      <c r="G436" s="34" t="s">
        <v>673</v>
      </c>
      <c r="H436" s="24">
        <f t="shared" si="18"/>
        <v>0</v>
      </c>
      <c r="I436" s="35"/>
      <c r="J436" s="35"/>
      <c r="K436" s="36"/>
      <c r="L436" s="34" t="s">
        <v>100</v>
      </c>
      <c r="M436" s="40"/>
      <c r="N436" s="40" t="s">
        <v>300</v>
      </c>
      <c r="O436" s="35" t="s">
        <v>606</v>
      </c>
      <c r="P436" s="27"/>
      <c r="Q436" s="27"/>
      <c r="R436" s="54"/>
      <c r="S436" s="27"/>
      <c r="T436" s="27"/>
      <c r="U436" s="27"/>
      <c r="V436" s="54"/>
      <c r="W436" s="27"/>
      <c r="X436" s="27"/>
      <c r="Y436" s="27"/>
      <c r="Z436" s="27"/>
      <c r="AA436" s="54"/>
      <c r="AB436" s="17"/>
      <c r="AC436" s="17">
        <v>2</v>
      </c>
      <c r="AD436" s="17">
        <f t="shared" si="19"/>
        <v>0</v>
      </c>
      <c r="AE436" s="28">
        <f t="shared" si="20"/>
        <v>0</v>
      </c>
      <c r="AF436" s="28">
        <v>1</v>
      </c>
    </row>
    <row r="437" spans="1:32" ht="15.75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793</v>
      </c>
      <c r="F437" s="33" t="s">
        <v>672</v>
      </c>
      <c r="G437" s="34" t="s">
        <v>673</v>
      </c>
      <c r="H437" s="24">
        <f t="shared" si="18"/>
        <v>0</v>
      </c>
      <c r="I437" s="35"/>
      <c r="J437" s="35" t="s">
        <v>648</v>
      </c>
      <c r="K437" s="36"/>
      <c r="L437" s="34" t="s">
        <v>100</v>
      </c>
      <c r="M437" s="40"/>
      <c r="N437" s="40" t="s">
        <v>227</v>
      </c>
      <c r="O437" s="35" t="s">
        <v>649</v>
      </c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17">
        <v>2</v>
      </c>
      <c r="AD437" s="17">
        <f t="shared" si="19"/>
        <v>0</v>
      </c>
      <c r="AE437" s="28">
        <f t="shared" si="20"/>
        <v>0</v>
      </c>
      <c r="AF437" s="28">
        <v>1</v>
      </c>
    </row>
    <row r="438" spans="1:32" ht="15.75" hidden="1" customHeight="1" x14ac:dyDescent="0.3">
      <c r="A438" s="32" t="s">
        <v>599</v>
      </c>
      <c r="B438" s="33" t="s">
        <v>638</v>
      </c>
      <c r="C438" s="33" t="s">
        <v>560</v>
      </c>
      <c r="D438" s="33" t="s">
        <v>625</v>
      </c>
      <c r="E438" s="33" t="s">
        <v>626</v>
      </c>
      <c r="F438" s="33" t="s">
        <v>132</v>
      </c>
      <c r="G438" s="34" t="s">
        <v>99</v>
      </c>
      <c r="H438" s="24">
        <f t="shared" si="18"/>
        <v>0</v>
      </c>
      <c r="I438" s="35" t="s">
        <v>808</v>
      </c>
      <c r="J438" s="35"/>
      <c r="K438" s="36"/>
      <c r="L438" s="34" t="s">
        <v>105</v>
      </c>
      <c r="M438" s="40"/>
      <c r="N438" s="53"/>
      <c r="O438" s="35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17"/>
      <c r="AC438" s="17">
        <v>1</v>
      </c>
      <c r="AD438" s="17">
        <f t="shared" si="19"/>
        <v>0</v>
      </c>
      <c r="AE438" s="28">
        <f t="shared" si="20"/>
        <v>0</v>
      </c>
      <c r="AF438" s="28">
        <v>1</v>
      </c>
    </row>
    <row r="439" spans="1:32" ht="15.75" hidden="1" customHeight="1" x14ac:dyDescent="0.3">
      <c r="A439" s="32" t="s">
        <v>599</v>
      </c>
      <c r="B439" s="33" t="s">
        <v>638</v>
      </c>
      <c r="C439" s="33" t="s">
        <v>560</v>
      </c>
      <c r="D439" s="33" t="s">
        <v>625</v>
      </c>
      <c r="E439" s="33" t="s">
        <v>790</v>
      </c>
      <c r="F439" s="33" t="s">
        <v>132</v>
      </c>
      <c r="G439" s="34" t="s">
        <v>99</v>
      </c>
      <c r="H439" s="24">
        <f t="shared" si="18"/>
        <v>0</v>
      </c>
      <c r="I439" s="35"/>
      <c r="J439" s="35"/>
      <c r="K439" s="36"/>
      <c r="L439" s="34" t="s">
        <v>100</v>
      </c>
      <c r="M439" s="40"/>
      <c r="N439" s="40"/>
      <c r="O439" s="35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17"/>
      <c r="AC439" s="17">
        <v>1</v>
      </c>
      <c r="AD439" s="17">
        <f t="shared" si="19"/>
        <v>0</v>
      </c>
      <c r="AE439" s="28">
        <f t="shared" si="20"/>
        <v>0</v>
      </c>
      <c r="AF439" s="28">
        <v>1</v>
      </c>
    </row>
    <row r="440" spans="1:32" ht="15.75" hidden="1" customHeight="1" x14ac:dyDescent="0.3">
      <c r="A440" s="32" t="s">
        <v>599</v>
      </c>
      <c r="B440" s="33" t="s">
        <v>638</v>
      </c>
      <c r="C440" s="33" t="s">
        <v>560</v>
      </c>
      <c r="D440" s="33" t="s">
        <v>625</v>
      </c>
      <c r="E440" s="33" t="s">
        <v>628</v>
      </c>
      <c r="F440" s="33" t="s">
        <v>132</v>
      </c>
      <c r="G440" s="34" t="s">
        <v>99</v>
      </c>
      <c r="H440" s="24">
        <f t="shared" si="18"/>
        <v>0</v>
      </c>
      <c r="I440" s="35" t="s">
        <v>808</v>
      </c>
      <c r="J440" s="35"/>
      <c r="K440" s="36"/>
      <c r="L440" s="34" t="s">
        <v>105</v>
      </c>
      <c r="M440" s="40"/>
      <c r="N440" s="40"/>
      <c r="O440" s="35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17"/>
      <c r="AC440" s="17">
        <v>1</v>
      </c>
      <c r="AD440" s="17">
        <f t="shared" si="19"/>
        <v>0</v>
      </c>
      <c r="AE440" s="28">
        <f t="shared" si="20"/>
        <v>0</v>
      </c>
      <c r="AF440" s="28">
        <v>1</v>
      </c>
    </row>
    <row r="441" spans="1:32" ht="15.75" hidden="1" customHeight="1" x14ac:dyDescent="0.3">
      <c r="A441" s="32" t="s">
        <v>599</v>
      </c>
      <c r="B441" s="33" t="s">
        <v>638</v>
      </c>
      <c r="C441" s="33" t="s">
        <v>560</v>
      </c>
      <c r="D441" s="33" t="s">
        <v>625</v>
      </c>
      <c r="E441" s="33" t="s">
        <v>632</v>
      </c>
      <c r="F441" s="33" t="s">
        <v>132</v>
      </c>
      <c r="G441" s="34" t="s">
        <v>99</v>
      </c>
      <c r="H441" s="24">
        <f t="shared" si="18"/>
        <v>0</v>
      </c>
      <c r="I441" s="35"/>
      <c r="J441" s="35"/>
      <c r="K441" s="36"/>
      <c r="L441" s="34" t="s">
        <v>100</v>
      </c>
      <c r="M441" s="40"/>
      <c r="N441" s="53"/>
      <c r="O441" s="35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17"/>
      <c r="AC441" s="17">
        <v>1</v>
      </c>
      <c r="AD441" s="17">
        <f t="shared" si="19"/>
        <v>0</v>
      </c>
      <c r="AE441" s="28">
        <f t="shared" si="20"/>
        <v>0</v>
      </c>
      <c r="AF441" s="28">
        <v>1</v>
      </c>
    </row>
    <row r="442" spans="1:32" ht="15.75" hidden="1" customHeight="1" x14ac:dyDescent="0.3">
      <c r="A442" s="32" t="s">
        <v>599</v>
      </c>
      <c r="B442" s="33" t="s">
        <v>638</v>
      </c>
      <c r="C442" s="33" t="s">
        <v>560</v>
      </c>
      <c r="D442" s="33" t="s">
        <v>625</v>
      </c>
      <c r="E442" s="33" t="s">
        <v>792</v>
      </c>
      <c r="F442" s="33" t="s">
        <v>132</v>
      </c>
      <c r="G442" s="34" t="s">
        <v>99</v>
      </c>
      <c r="H442" s="24">
        <f t="shared" si="18"/>
        <v>0</v>
      </c>
      <c r="I442" s="35"/>
      <c r="J442" s="35"/>
      <c r="K442" s="36"/>
      <c r="L442" s="34" t="s">
        <v>105</v>
      </c>
      <c r="M442" s="40"/>
      <c r="N442" s="53"/>
      <c r="O442" s="35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17"/>
      <c r="AC442" s="17">
        <v>1</v>
      </c>
      <c r="AD442" s="17">
        <f t="shared" si="19"/>
        <v>0</v>
      </c>
      <c r="AE442" s="28">
        <f t="shared" si="20"/>
        <v>0</v>
      </c>
      <c r="AF442" s="28">
        <v>1</v>
      </c>
    </row>
    <row r="443" spans="1:32" ht="15.75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588</v>
      </c>
      <c r="F443" s="33" t="s">
        <v>132</v>
      </c>
      <c r="G443" s="34" t="s">
        <v>99</v>
      </c>
      <c r="H443" s="24">
        <f t="shared" si="18"/>
        <v>0</v>
      </c>
      <c r="I443" s="35" t="s">
        <v>808</v>
      </c>
      <c r="J443" s="35"/>
      <c r="K443" s="36"/>
      <c r="L443" s="34" t="s">
        <v>100</v>
      </c>
      <c r="M443" s="40"/>
      <c r="N443" s="53"/>
      <c r="O443" s="35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17"/>
      <c r="AC443" s="17">
        <v>1</v>
      </c>
      <c r="AD443" s="17">
        <f t="shared" si="19"/>
        <v>0</v>
      </c>
      <c r="AE443" s="28">
        <f t="shared" si="20"/>
        <v>0</v>
      </c>
      <c r="AF443" s="28">
        <v>1</v>
      </c>
    </row>
    <row r="444" spans="1:32" ht="15.75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633</v>
      </c>
      <c r="F444" s="33" t="s">
        <v>132</v>
      </c>
      <c r="G444" s="34" t="s">
        <v>99</v>
      </c>
      <c r="H444" s="24">
        <f t="shared" si="18"/>
        <v>0</v>
      </c>
      <c r="I444" s="35" t="s">
        <v>808</v>
      </c>
      <c r="J444" s="35"/>
      <c r="K444" s="36"/>
      <c r="L444" s="34" t="s">
        <v>100</v>
      </c>
      <c r="M444" s="40"/>
      <c r="N444" s="53"/>
      <c r="O444" s="35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17"/>
      <c r="AC444" s="17">
        <v>1</v>
      </c>
      <c r="AD444" s="17">
        <f t="shared" si="19"/>
        <v>0</v>
      </c>
      <c r="AE444" s="28">
        <f t="shared" si="20"/>
        <v>0</v>
      </c>
      <c r="AF444" s="28">
        <v>1</v>
      </c>
    </row>
    <row r="445" spans="1:32" ht="15.75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634</v>
      </c>
      <c r="F445" s="33" t="s">
        <v>132</v>
      </c>
      <c r="G445" s="34" t="s">
        <v>99</v>
      </c>
      <c r="H445" s="24">
        <f t="shared" si="18"/>
        <v>0</v>
      </c>
      <c r="I445" s="35" t="s">
        <v>808</v>
      </c>
      <c r="J445" s="35"/>
      <c r="K445" s="36"/>
      <c r="L445" s="34" t="s">
        <v>105</v>
      </c>
      <c r="M445" s="40"/>
      <c r="N445" s="40"/>
      <c r="O445" s="35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17"/>
      <c r="AC445" s="17">
        <v>1</v>
      </c>
      <c r="AD445" s="17">
        <f t="shared" si="19"/>
        <v>0</v>
      </c>
      <c r="AE445" s="28">
        <f t="shared" si="20"/>
        <v>0</v>
      </c>
      <c r="AF445" s="28">
        <v>1</v>
      </c>
    </row>
    <row r="446" spans="1:32" ht="15.75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627</v>
      </c>
      <c r="F446" s="33" t="s">
        <v>204</v>
      </c>
      <c r="G446" s="34" t="s">
        <v>127</v>
      </c>
      <c r="H446" s="24">
        <f t="shared" si="18"/>
        <v>0</v>
      </c>
      <c r="I446" s="35"/>
      <c r="J446" s="35" t="s">
        <v>579</v>
      </c>
      <c r="K446" s="36"/>
      <c r="L446" s="34" t="s">
        <v>100</v>
      </c>
      <c r="M446" s="40"/>
      <c r="N446" s="40"/>
      <c r="O446" s="35" t="s">
        <v>579</v>
      </c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17"/>
      <c r="AC446" s="17">
        <v>2</v>
      </c>
      <c r="AD446" s="17">
        <f t="shared" si="19"/>
        <v>0</v>
      </c>
      <c r="AE446" s="28">
        <f t="shared" si="20"/>
        <v>0</v>
      </c>
      <c r="AF446" s="28">
        <v>1</v>
      </c>
    </row>
    <row r="447" spans="1:32" ht="15.75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629</v>
      </c>
      <c r="F447" s="33" t="s">
        <v>204</v>
      </c>
      <c r="G447" s="34" t="s">
        <v>127</v>
      </c>
      <c r="H447" s="24">
        <f t="shared" si="18"/>
        <v>0</v>
      </c>
      <c r="I447" s="35"/>
      <c r="J447" s="35" t="s">
        <v>579</v>
      </c>
      <c r="K447" s="36"/>
      <c r="L447" s="34" t="s">
        <v>100</v>
      </c>
      <c r="M447" s="40"/>
      <c r="N447" s="40"/>
      <c r="O447" s="35" t="s">
        <v>579</v>
      </c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17"/>
      <c r="AC447" s="17">
        <v>2</v>
      </c>
      <c r="AD447" s="17">
        <f t="shared" si="19"/>
        <v>0</v>
      </c>
      <c r="AE447" s="28">
        <f t="shared" si="20"/>
        <v>0</v>
      </c>
      <c r="AF447" s="28">
        <v>1</v>
      </c>
    </row>
    <row r="448" spans="1:32" ht="15.75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617</v>
      </c>
      <c r="F448" s="33" t="s">
        <v>204</v>
      </c>
      <c r="G448" s="34" t="s">
        <v>127</v>
      </c>
      <c r="H448" s="24">
        <f t="shared" si="18"/>
        <v>0</v>
      </c>
      <c r="I448" s="35" t="s">
        <v>808</v>
      </c>
      <c r="J448" s="35" t="s">
        <v>579</v>
      </c>
      <c r="K448" s="36"/>
      <c r="L448" s="34" t="s">
        <v>100</v>
      </c>
      <c r="M448" s="40"/>
      <c r="N448" s="40"/>
      <c r="O448" s="35" t="s">
        <v>579</v>
      </c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17"/>
      <c r="AC448" s="17">
        <v>2</v>
      </c>
      <c r="AD448" s="17">
        <f t="shared" si="19"/>
        <v>0</v>
      </c>
      <c r="AE448" s="28">
        <f t="shared" si="20"/>
        <v>0</v>
      </c>
      <c r="AF448" s="28">
        <v>1</v>
      </c>
    </row>
    <row r="449" spans="1:32" ht="15.75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630</v>
      </c>
      <c r="F449" s="33" t="s">
        <v>204</v>
      </c>
      <c r="G449" s="34" t="s">
        <v>127</v>
      </c>
      <c r="H449" s="24">
        <f t="shared" si="18"/>
        <v>0</v>
      </c>
      <c r="I449" s="35" t="s">
        <v>808</v>
      </c>
      <c r="J449" s="35" t="s">
        <v>579</v>
      </c>
      <c r="K449" s="36"/>
      <c r="L449" s="34" t="s">
        <v>100</v>
      </c>
      <c r="M449" s="40"/>
      <c r="N449" s="53"/>
      <c r="O449" s="35" t="s">
        <v>579</v>
      </c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17"/>
      <c r="AC449" s="17">
        <v>2</v>
      </c>
      <c r="AD449" s="17">
        <f t="shared" si="19"/>
        <v>0</v>
      </c>
      <c r="AE449" s="28">
        <f t="shared" si="20"/>
        <v>0</v>
      </c>
      <c r="AF449" s="28">
        <v>1</v>
      </c>
    </row>
    <row r="450" spans="1:32" ht="15.75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631</v>
      </c>
      <c r="F450" s="33" t="s">
        <v>204</v>
      </c>
      <c r="G450" s="34" t="s">
        <v>127</v>
      </c>
      <c r="H450" s="24">
        <f t="shared" si="18"/>
        <v>0</v>
      </c>
      <c r="I450" s="35" t="s">
        <v>808</v>
      </c>
      <c r="J450" s="35" t="s">
        <v>579</v>
      </c>
      <c r="K450" s="36"/>
      <c r="L450" s="34" t="s">
        <v>100</v>
      </c>
      <c r="M450" s="40"/>
      <c r="N450" s="53"/>
      <c r="O450" s="35" t="s">
        <v>579</v>
      </c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17"/>
      <c r="AC450" s="17">
        <v>2</v>
      </c>
      <c r="AD450" s="17">
        <f t="shared" si="19"/>
        <v>0</v>
      </c>
      <c r="AE450" s="28">
        <f t="shared" si="20"/>
        <v>0</v>
      </c>
      <c r="AF450" s="28">
        <v>1</v>
      </c>
    </row>
    <row r="451" spans="1:32" ht="15.75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791</v>
      </c>
      <c r="F451" s="33" t="s">
        <v>204</v>
      </c>
      <c r="G451" s="34" t="s">
        <v>127</v>
      </c>
      <c r="H451" s="24">
        <f t="shared" si="18"/>
        <v>0</v>
      </c>
      <c r="I451" s="35" t="s">
        <v>808</v>
      </c>
      <c r="J451" s="35" t="s">
        <v>579</v>
      </c>
      <c r="K451" s="36"/>
      <c r="L451" s="34" t="s">
        <v>100</v>
      </c>
      <c r="M451" s="40"/>
      <c r="N451" s="53"/>
      <c r="O451" s="35" t="s">
        <v>579</v>
      </c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17"/>
      <c r="AC451" s="17">
        <v>2</v>
      </c>
      <c r="AD451" s="17">
        <f t="shared" si="19"/>
        <v>0</v>
      </c>
      <c r="AE451" s="28">
        <f t="shared" si="20"/>
        <v>0</v>
      </c>
      <c r="AF451" s="28">
        <v>1</v>
      </c>
    </row>
    <row r="452" spans="1:32" ht="15.75" hidden="1" customHeight="1" x14ac:dyDescent="0.3">
      <c r="A452" s="32" t="s">
        <v>599</v>
      </c>
      <c r="B452" s="33" t="s">
        <v>646</v>
      </c>
      <c r="C452" s="33" t="s">
        <v>560</v>
      </c>
      <c r="D452" s="33" t="s">
        <v>641</v>
      </c>
      <c r="E452" s="33" t="s">
        <v>642</v>
      </c>
      <c r="F452" s="33" t="s">
        <v>132</v>
      </c>
      <c r="G452" s="34" t="s">
        <v>99</v>
      </c>
      <c r="H452" s="24">
        <f t="shared" ref="H452:H515" si="21">IF(AC452=0," ",(AD452/AC452))</f>
        <v>0</v>
      </c>
      <c r="I452" s="35" t="s">
        <v>808</v>
      </c>
      <c r="J452" s="35"/>
      <c r="K452" s="36"/>
      <c r="L452" s="34" t="s">
        <v>100</v>
      </c>
      <c r="M452" s="40"/>
      <c r="N452" s="53"/>
      <c r="O452" s="35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17"/>
      <c r="AC452" s="17">
        <v>1</v>
      </c>
      <c r="AD452" s="17">
        <f t="shared" ref="AD452:AD515" si="22">IF(COUNTA(P452:AB452)&gt;AC452,AC452,COUNTA(P452:AB452))</f>
        <v>0</v>
      </c>
      <c r="AE452" s="28">
        <f t="shared" ref="AE452:AE515" si="23">IF(H452=1,1,0)</f>
        <v>0</v>
      </c>
      <c r="AF452" s="28">
        <v>1</v>
      </c>
    </row>
    <row r="453" spans="1:32" ht="15.75" hidden="1" customHeight="1" x14ac:dyDescent="0.3">
      <c r="A453" s="32" t="s">
        <v>599</v>
      </c>
      <c r="B453" s="33" t="s">
        <v>608</v>
      </c>
      <c r="C453" s="33" t="s">
        <v>560</v>
      </c>
      <c r="D453" s="33" t="s">
        <v>601</v>
      </c>
      <c r="E453" s="33" t="s">
        <v>789</v>
      </c>
      <c r="F453" s="33" t="s">
        <v>86</v>
      </c>
      <c r="G453" s="34" t="s">
        <v>99</v>
      </c>
      <c r="H453" s="24">
        <f t="shared" si="21"/>
        <v>0</v>
      </c>
      <c r="I453" s="35" t="s">
        <v>808</v>
      </c>
      <c r="J453" s="35"/>
      <c r="K453" s="36"/>
      <c r="L453" s="34" t="s">
        <v>100</v>
      </c>
      <c r="M453" s="40"/>
      <c r="N453" s="40" t="s">
        <v>543</v>
      </c>
      <c r="O453" s="35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17"/>
      <c r="AC453" s="17">
        <v>1</v>
      </c>
      <c r="AD453" s="17">
        <f t="shared" si="22"/>
        <v>0</v>
      </c>
      <c r="AE453" s="28">
        <f t="shared" si="23"/>
        <v>0</v>
      </c>
      <c r="AF453" s="28">
        <v>1</v>
      </c>
    </row>
    <row r="454" spans="1:32" ht="15.75" hidden="1" customHeight="1" x14ac:dyDescent="0.3">
      <c r="A454" s="32" t="s">
        <v>599</v>
      </c>
      <c r="B454" s="33" t="s">
        <v>608</v>
      </c>
      <c r="C454" s="33" t="s">
        <v>560</v>
      </c>
      <c r="D454" s="33" t="s">
        <v>601</v>
      </c>
      <c r="E454" s="33" t="s">
        <v>617</v>
      </c>
      <c r="F454" s="33" t="s">
        <v>132</v>
      </c>
      <c r="G454" s="34" t="s">
        <v>99</v>
      </c>
      <c r="H454" s="24">
        <f t="shared" si="21"/>
        <v>0</v>
      </c>
      <c r="I454" s="35" t="s">
        <v>808</v>
      </c>
      <c r="J454" s="35"/>
      <c r="K454" s="36"/>
      <c r="L454" s="34" t="s">
        <v>100</v>
      </c>
      <c r="M454" s="40"/>
      <c r="N454" s="53"/>
      <c r="O454" s="35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17"/>
      <c r="AC454" s="17">
        <v>1</v>
      </c>
      <c r="AD454" s="17">
        <f t="shared" si="22"/>
        <v>0</v>
      </c>
      <c r="AE454" s="28">
        <f t="shared" si="23"/>
        <v>0</v>
      </c>
      <c r="AF454" s="28">
        <v>1</v>
      </c>
    </row>
    <row r="455" spans="1:32" ht="15.75" hidden="1" customHeight="1" x14ac:dyDescent="0.3">
      <c r="A455" s="32" t="s">
        <v>599</v>
      </c>
      <c r="B455" s="33" t="s">
        <v>608</v>
      </c>
      <c r="C455" s="33" t="s">
        <v>560</v>
      </c>
      <c r="D455" s="33" t="s">
        <v>601</v>
      </c>
      <c r="E455" s="33" t="s">
        <v>618</v>
      </c>
      <c r="F455" s="33" t="s">
        <v>132</v>
      </c>
      <c r="G455" s="34" t="s">
        <v>99</v>
      </c>
      <c r="H455" s="24">
        <f t="shared" si="21"/>
        <v>0</v>
      </c>
      <c r="I455" s="35" t="s">
        <v>808</v>
      </c>
      <c r="J455" s="35"/>
      <c r="K455" s="36"/>
      <c r="L455" s="34" t="s">
        <v>100</v>
      </c>
      <c r="M455" s="40"/>
      <c r="N455" s="53"/>
      <c r="O455" s="35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17"/>
      <c r="AC455" s="17">
        <v>1</v>
      </c>
      <c r="AD455" s="17">
        <f t="shared" si="22"/>
        <v>0</v>
      </c>
      <c r="AE455" s="28">
        <f t="shared" si="23"/>
        <v>0</v>
      </c>
      <c r="AF455" s="28">
        <v>1</v>
      </c>
    </row>
    <row r="456" spans="1:32" ht="15.75" hidden="1" customHeight="1" x14ac:dyDescent="0.3">
      <c r="A456" s="32" t="s">
        <v>599</v>
      </c>
      <c r="B456" s="33" t="s">
        <v>608</v>
      </c>
      <c r="C456" s="33" t="s">
        <v>560</v>
      </c>
      <c r="D456" s="33" t="s">
        <v>601</v>
      </c>
      <c r="E456" s="33" t="s">
        <v>619</v>
      </c>
      <c r="F456" s="33" t="s">
        <v>132</v>
      </c>
      <c r="G456" s="34" t="s">
        <v>99</v>
      </c>
      <c r="H456" s="24">
        <f t="shared" si="21"/>
        <v>0</v>
      </c>
      <c r="I456" s="35" t="s">
        <v>808</v>
      </c>
      <c r="J456" s="35"/>
      <c r="K456" s="36"/>
      <c r="L456" s="34" t="s">
        <v>105</v>
      </c>
      <c r="M456" s="40"/>
      <c r="N456" s="53"/>
      <c r="O456" s="35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17"/>
      <c r="AC456" s="17">
        <v>1</v>
      </c>
      <c r="AD456" s="17">
        <f t="shared" si="22"/>
        <v>0</v>
      </c>
      <c r="AE456" s="28">
        <f t="shared" si="23"/>
        <v>0</v>
      </c>
      <c r="AF456" s="28">
        <v>1</v>
      </c>
    </row>
    <row r="457" spans="1:32" ht="15.75" hidden="1" customHeight="1" x14ac:dyDescent="0.3">
      <c r="A457" s="32" t="s">
        <v>599</v>
      </c>
      <c r="B457" s="33" t="s">
        <v>608</v>
      </c>
      <c r="C457" s="33" t="s">
        <v>560</v>
      </c>
      <c r="D457" s="33" t="s">
        <v>601</v>
      </c>
      <c r="E457" s="33" t="s">
        <v>602</v>
      </c>
      <c r="F457" s="33" t="s">
        <v>672</v>
      </c>
      <c r="G457" s="34" t="s">
        <v>673</v>
      </c>
      <c r="H457" s="24">
        <f t="shared" si="21"/>
        <v>0</v>
      </c>
      <c r="I457" s="35"/>
      <c r="J457" s="35"/>
      <c r="K457" s="36"/>
      <c r="L457" s="34" t="s">
        <v>100</v>
      </c>
      <c r="M457" s="40"/>
      <c r="N457" s="40" t="s">
        <v>603</v>
      </c>
      <c r="O457" s="35" t="s">
        <v>604</v>
      </c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17"/>
      <c r="AC457" s="17">
        <v>2</v>
      </c>
      <c r="AD457" s="17">
        <f t="shared" si="22"/>
        <v>0</v>
      </c>
      <c r="AE457" s="28">
        <f t="shared" si="23"/>
        <v>0</v>
      </c>
      <c r="AF457" s="28">
        <v>1</v>
      </c>
    </row>
    <row r="458" spans="1:32" ht="15.75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605</v>
      </c>
      <c r="F458" s="33" t="s">
        <v>672</v>
      </c>
      <c r="G458" s="34" t="s">
        <v>673</v>
      </c>
      <c r="H458" s="24">
        <f t="shared" si="21"/>
        <v>0</v>
      </c>
      <c r="I458" s="35"/>
      <c r="J458" s="35"/>
      <c r="K458" s="36"/>
      <c r="L458" s="34" t="s">
        <v>100</v>
      </c>
      <c r="M458" s="40"/>
      <c r="N458" s="40" t="s">
        <v>300</v>
      </c>
      <c r="O458" s="35" t="s">
        <v>606</v>
      </c>
      <c r="P458" s="27"/>
      <c r="Q458" s="27"/>
      <c r="R458" s="54"/>
      <c r="S458" s="27"/>
      <c r="T458" s="27"/>
      <c r="U458" s="27"/>
      <c r="V458" s="54"/>
      <c r="W458" s="27"/>
      <c r="X458" s="27"/>
      <c r="Y458" s="27"/>
      <c r="Z458" s="27"/>
      <c r="AA458" s="54"/>
      <c r="AB458" s="17"/>
      <c r="AC458" s="17">
        <v>2</v>
      </c>
      <c r="AD458" s="17">
        <f t="shared" si="22"/>
        <v>0</v>
      </c>
      <c r="AE458" s="28">
        <f t="shared" si="23"/>
        <v>0</v>
      </c>
      <c r="AF458" s="28">
        <v>1</v>
      </c>
    </row>
    <row r="459" spans="1:32" ht="15.75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793</v>
      </c>
      <c r="F459" s="33" t="s">
        <v>672</v>
      </c>
      <c r="G459" s="34" t="s">
        <v>673</v>
      </c>
      <c r="H459" s="24">
        <f t="shared" si="21"/>
        <v>0</v>
      </c>
      <c r="I459" s="35"/>
      <c r="J459" s="35" t="s">
        <v>648</v>
      </c>
      <c r="K459" s="36"/>
      <c r="L459" s="34" t="s">
        <v>100</v>
      </c>
      <c r="M459" s="40"/>
      <c r="N459" s="40" t="s">
        <v>227</v>
      </c>
      <c r="O459" s="35" t="s">
        <v>649</v>
      </c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17">
        <v>2</v>
      </c>
      <c r="AD459" s="17">
        <f t="shared" si="22"/>
        <v>0</v>
      </c>
      <c r="AE459" s="28">
        <f t="shared" si="23"/>
        <v>0</v>
      </c>
      <c r="AF459" s="28">
        <v>1</v>
      </c>
    </row>
    <row r="460" spans="1:32" ht="15.75" hidden="1" customHeight="1" x14ac:dyDescent="0.3">
      <c r="A460" s="32" t="s">
        <v>599</v>
      </c>
      <c r="B460" s="33" t="s">
        <v>639</v>
      </c>
      <c r="C460" s="33" t="s">
        <v>548</v>
      </c>
      <c r="D460" s="33" t="s">
        <v>625</v>
      </c>
      <c r="E460" s="33" t="s">
        <v>626</v>
      </c>
      <c r="F460" s="33" t="s">
        <v>132</v>
      </c>
      <c r="G460" s="34" t="s">
        <v>99</v>
      </c>
      <c r="H460" s="24">
        <f t="shared" si="21"/>
        <v>0</v>
      </c>
      <c r="I460" s="35"/>
      <c r="J460" s="35"/>
      <c r="K460" s="36"/>
      <c r="L460" s="34" t="s">
        <v>105</v>
      </c>
      <c r="M460" s="40"/>
      <c r="N460" s="53"/>
      <c r="O460" s="35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17"/>
      <c r="AC460" s="17">
        <v>1</v>
      </c>
      <c r="AD460" s="17">
        <f t="shared" si="22"/>
        <v>0</v>
      </c>
      <c r="AE460" s="28">
        <f t="shared" si="23"/>
        <v>0</v>
      </c>
      <c r="AF460" s="28">
        <v>1</v>
      </c>
    </row>
    <row r="461" spans="1:32" ht="15.75" hidden="1" customHeight="1" x14ac:dyDescent="0.3">
      <c r="A461" s="32" t="s">
        <v>599</v>
      </c>
      <c r="B461" s="33" t="s">
        <v>639</v>
      </c>
      <c r="C461" s="33" t="s">
        <v>548</v>
      </c>
      <c r="D461" s="33" t="s">
        <v>625</v>
      </c>
      <c r="E461" s="33" t="s">
        <v>790</v>
      </c>
      <c r="F461" s="33" t="s">
        <v>132</v>
      </c>
      <c r="G461" s="34" t="s">
        <v>99</v>
      </c>
      <c r="H461" s="24">
        <f t="shared" si="21"/>
        <v>0</v>
      </c>
      <c r="I461" s="35"/>
      <c r="J461" s="35"/>
      <c r="K461" s="36"/>
      <c r="L461" s="34" t="s">
        <v>100</v>
      </c>
      <c r="M461" s="40"/>
      <c r="N461" s="40"/>
      <c r="O461" s="35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17"/>
      <c r="AC461" s="17">
        <v>1</v>
      </c>
      <c r="AD461" s="17">
        <f t="shared" si="22"/>
        <v>0</v>
      </c>
      <c r="AE461" s="28">
        <f t="shared" si="23"/>
        <v>0</v>
      </c>
      <c r="AF461" s="28">
        <v>1</v>
      </c>
    </row>
    <row r="462" spans="1:32" ht="15.75" hidden="1" customHeight="1" x14ac:dyDescent="0.3">
      <c r="A462" s="32" t="s">
        <v>599</v>
      </c>
      <c r="B462" s="33" t="s">
        <v>639</v>
      </c>
      <c r="C462" s="33" t="s">
        <v>548</v>
      </c>
      <c r="D462" s="33" t="s">
        <v>625</v>
      </c>
      <c r="E462" s="33" t="s">
        <v>628</v>
      </c>
      <c r="F462" s="33" t="s">
        <v>132</v>
      </c>
      <c r="G462" s="34" t="s">
        <v>99</v>
      </c>
      <c r="H462" s="24">
        <f t="shared" si="21"/>
        <v>0</v>
      </c>
      <c r="I462" s="35" t="s">
        <v>808</v>
      </c>
      <c r="J462" s="35"/>
      <c r="K462" s="36"/>
      <c r="L462" s="34" t="s">
        <v>105</v>
      </c>
      <c r="M462" s="40"/>
      <c r="N462" s="40"/>
      <c r="O462" s="35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17"/>
      <c r="AC462" s="17">
        <v>1</v>
      </c>
      <c r="AD462" s="17">
        <f t="shared" si="22"/>
        <v>0</v>
      </c>
      <c r="AE462" s="28">
        <f t="shared" si="23"/>
        <v>0</v>
      </c>
      <c r="AF462" s="28">
        <v>1</v>
      </c>
    </row>
    <row r="463" spans="1:32" ht="15.75" hidden="1" customHeight="1" x14ac:dyDescent="0.3">
      <c r="A463" s="32" t="s">
        <v>599</v>
      </c>
      <c r="B463" s="33" t="s">
        <v>639</v>
      </c>
      <c r="C463" s="33" t="s">
        <v>548</v>
      </c>
      <c r="D463" s="33" t="s">
        <v>625</v>
      </c>
      <c r="E463" s="33" t="s">
        <v>632</v>
      </c>
      <c r="F463" s="33" t="s">
        <v>132</v>
      </c>
      <c r="G463" s="34" t="s">
        <v>99</v>
      </c>
      <c r="H463" s="24">
        <f t="shared" si="21"/>
        <v>0</v>
      </c>
      <c r="I463" s="35"/>
      <c r="J463" s="35"/>
      <c r="K463" s="36"/>
      <c r="L463" s="34" t="s">
        <v>100</v>
      </c>
      <c r="M463" s="40"/>
      <c r="N463" s="53"/>
      <c r="O463" s="35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17"/>
      <c r="AC463" s="17">
        <v>1</v>
      </c>
      <c r="AD463" s="17">
        <f t="shared" si="22"/>
        <v>0</v>
      </c>
      <c r="AE463" s="28">
        <f t="shared" si="23"/>
        <v>0</v>
      </c>
      <c r="AF463" s="28">
        <v>1</v>
      </c>
    </row>
    <row r="464" spans="1:32" ht="15.75" hidden="1" customHeight="1" x14ac:dyDescent="0.3">
      <c r="A464" s="32" t="s">
        <v>599</v>
      </c>
      <c r="B464" s="33" t="s">
        <v>639</v>
      </c>
      <c r="C464" s="33" t="s">
        <v>548</v>
      </c>
      <c r="D464" s="33" t="s">
        <v>625</v>
      </c>
      <c r="E464" s="33" t="s">
        <v>792</v>
      </c>
      <c r="F464" s="33" t="s">
        <v>132</v>
      </c>
      <c r="G464" s="34" t="s">
        <v>99</v>
      </c>
      <c r="H464" s="24">
        <f t="shared" si="21"/>
        <v>0</v>
      </c>
      <c r="I464" s="55"/>
      <c r="J464" s="55"/>
      <c r="K464" s="36"/>
      <c r="L464" s="34" t="s">
        <v>105</v>
      </c>
      <c r="M464" s="40"/>
      <c r="N464" s="53"/>
      <c r="O464" s="55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17"/>
      <c r="AC464" s="17">
        <v>1</v>
      </c>
      <c r="AD464" s="17">
        <f t="shared" si="22"/>
        <v>0</v>
      </c>
      <c r="AE464" s="28">
        <f t="shared" si="23"/>
        <v>0</v>
      </c>
      <c r="AF464" s="28">
        <v>1</v>
      </c>
    </row>
    <row r="465" spans="1:32" ht="15.75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588</v>
      </c>
      <c r="F465" s="33" t="s">
        <v>132</v>
      </c>
      <c r="G465" s="34" t="s">
        <v>99</v>
      </c>
      <c r="H465" s="24">
        <f t="shared" si="21"/>
        <v>0</v>
      </c>
      <c r="I465" s="35" t="s">
        <v>808</v>
      </c>
      <c r="J465" s="35"/>
      <c r="K465" s="36"/>
      <c r="L465" s="34" t="s">
        <v>100</v>
      </c>
      <c r="M465" s="40"/>
      <c r="N465" s="53"/>
      <c r="O465" s="35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49"/>
      <c r="AC465" s="17">
        <v>1</v>
      </c>
      <c r="AD465" s="17">
        <f t="shared" si="22"/>
        <v>0</v>
      </c>
      <c r="AE465" s="28">
        <f t="shared" si="23"/>
        <v>0</v>
      </c>
      <c r="AF465" s="28">
        <v>1</v>
      </c>
    </row>
    <row r="466" spans="1:32" ht="15.75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633</v>
      </c>
      <c r="F466" s="33" t="s">
        <v>132</v>
      </c>
      <c r="G466" s="34" t="s">
        <v>99</v>
      </c>
      <c r="H466" s="24">
        <f t="shared" si="21"/>
        <v>0</v>
      </c>
      <c r="I466" s="35" t="s">
        <v>808</v>
      </c>
      <c r="J466" s="35"/>
      <c r="K466" s="36"/>
      <c r="L466" s="34" t="s">
        <v>100</v>
      </c>
      <c r="M466" s="40"/>
      <c r="N466" s="53"/>
      <c r="O466" s="35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49"/>
      <c r="AC466" s="17">
        <v>1</v>
      </c>
      <c r="AD466" s="17">
        <f t="shared" si="22"/>
        <v>0</v>
      </c>
      <c r="AE466" s="28">
        <f t="shared" si="23"/>
        <v>0</v>
      </c>
      <c r="AF466" s="28">
        <v>1</v>
      </c>
    </row>
    <row r="467" spans="1:32" ht="15.75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634</v>
      </c>
      <c r="F467" s="33" t="s">
        <v>132</v>
      </c>
      <c r="G467" s="34" t="s">
        <v>99</v>
      </c>
      <c r="H467" s="24">
        <f t="shared" si="21"/>
        <v>0</v>
      </c>
      <c r="I467" s="35" t="s">
        <v>808</v>
      </c>
      <c r="J467" s="35"/>
      <c r="K467" s="36"/>
      <c r="L467" s="34" t="s">
        <v>105</v>
      </c>
      <c r="M467" s="40"/>
      <c r="N467" s="40"/>
      <c r="O467" s="35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49"/>
      <c r="AC467" s="17">
        <v>1</v>
      </c>
      <c r="AD467" s="17">
        <f t="shared" si="22"/>
        <v>0</v>
      </c>
      <c r="AE467" s="28">
        <f t="shared" si="23"/>
        <v>0</v>
      </c>
      <c r="AF467" s="28">
        <v>1</v>
      </c>
    </row>
    <row r="468" spans="1:32" ht="15.75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627</v>
      </c>
      <c r="F468" s="33" t="s">
        <v>204</v>
      </c>
      <c r="G468" s="34" t="s">
        <v>127</v>
      </c>
      <c r="H468" s="24">
        <f t="shared" si="21"/>
        <v>0</v>
      </c>
      <c r="I468" s="35"/>
      <c r="J468" s="35" t="s">
        <v>579</v>
      </c>
      <c r="K468" s="36"/>
      <c r="L468" s="34" t="s">
        <v>100</v>
      </c>
      <c r="M468" s="40"/>
      <c r="N468" s="40"/>
      <c r="O468" s="35" t="s">
        <v>579</v>
      </c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17"/>
      <c r="AC468" s="17">
        <v>2</v>
      </c>
      <c r="AD468" s="17">
        <f t="shared" si="22"/>
        <v>0</v>
      </c>
      <c r="AE468" s="28">
        <f t="shared" si="23"/>
        <v>0</v>
      </c>
      <c r="AF468" s="28">
        <v>1</v>
      </c>
    </row>
    <row r="469" spans="1:32" ht="15.75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629</v>
      </c>
      <c r="F469" s="33" t="s">
        <v>204</v>
      </c>
      <c r="G469" s="34" t="s">
        <v>127</v>
      </c>
      <c r="H469" s="24">
        <f t="shared" si="21"/>
        <v>0</v>
      </c>
      <c r="I469" s="35"/>
      <c r="J469" s="35" t="s">
        <v>579</v>
      </c>
      <c r="K469" s="36"/>
      <c r="L469" s="34" t="s">
        <v>100</v>
      </c>
      <c r="M469" s="40"/>
      <c r="N469" s="40"/>
      <c r="O469" s="35" t="s">
        <v>579</v>
      </c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17"/>
      <c r="AC469" s="17">
        <v>2</v>
      </c>
      <c r="AD469" s="17">
        <f t="shared" si="22"/>
        <v>0</v>
      </c>
      <c r="AE469" s="28">
        <f t="shared" si="23"/>
        <v>0</v>
      </c>
      <c r="AF469" s="28">
        <v>1</v>
      </c>
    </row>
    <row r="470" spans="1:32" ht="15.75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630</v>
      </c>
      <c r="F470" s="33" t="s">
        <v>204</v>
      </c>
      <c r="G470" s="34" t="s">
        <v>127</v>
      </c>
      <c r="H470" s="24">
        <f t="shared" si="21"/>
        <v>0</v>
      </c>
      <c r="I470" s="35" t="s">
        <v>808</v>
      </c>
      <c r="J470" s="35" t="s">
        <v>579</v>
      </c>
      <c r="K470" s="36"/>
      <c r="L470" s="34" t="s">
        <v>100</v>
      </c>
      <c r="M470" s="40"/>
      <c r="N470" s="40"/>
      <c r="O470" s="35" t="s">
        <v>579</v>
      </c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17"/>
      <c r="AC470" s="17">
        <v>2</v>
      </c>
      <c r="AD470" s="17">
        <f t="shared" si="22"/>
        <v>0</v>
      </c>
      <c r="AE470" s="28">
        <f t="shared" si="23"/>
        <v>0</v>
      </c>
      <c r="AF470" s="28">
        <v>1</v>
      </c>
    </row>
    <row r="471" spans="1:32" ht="15.75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631</v>
      </c>
      <c r="F471" s="33" t="s">
        <v>204</v>
      </c>
      <c r="G471" s="34" t="s">
        <v>127</v>
      </c>
      <c r="H471" s="24">
        <f t="shared" si="21"/>
        <v>0</v>
      </c>
      <c r="I471" s="35" t="s">
        <v>808</v>
      </c>
      <c r="J471" s="35" t="s">
        <v>579</v>
      </c>
      <c r="K471" s="36"/>
      <c r="L471" s="34" t="s">
        <v>100</v>
      </c>
      <c r="M471" s="40"/>
      <c r="N471" s="40"/>
      <c r="O471" s="35" t="s">
        <v>579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17"/>
      <c r="AC471" s="17">
        <v>2</v>
      </c>
      <c r="AD471" s="17">
        <f t="shared" si="22"/>
        <v>0</v>
      </c>
      <c r="AE471" s="28">
        <f t="shared" si="23"/>
        <v>0</v>
      </c>
      <c r="AF471" s="28">
        <v>1</v>
      </c>
    </row>
    <row r="472" spans="1:32" ht="15.75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791</v>
      </c>
      <c r="F472" s="33" t="s">
        <v>204</v>
      </c>
      <c r="G472" s="34" t="s">
        <v>127</v>
      </c>
      <c r="H472" s="24">
        <f t="shared" si="21"/>
        <v>0</v>
      </c>
      <c r="I472" s="35" t="s">
        <v>808</v>
      </c>
      <c r="J472" s="35" t="s">
        <v>579</v>
      </c>
      <c r="K472" s="36"/>
      <c r="L472" s="34" t="s">
        <v>100</v>
      </c>
      <c r="M472" s="40"/>
      <c r="N472" s="53"/>
      <c r="O472" s="35" t="s">
        <v>579</v>
      </c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17"/>
      <c r="AC472" s="17">
        <v>2</v>
      </c>
      <c r="AD472" s="17">
        <f t="shared" si="22"/>
        <v>0</v>
      </c>
      <c r="AE472" s="28">
        <f t="shared" si="23"/>
        <v>0</v>
      </c>
      <c r="AF472" s="28">
        <v>1</v>
      </c>
    </row>
    <row r="473" spans="1:32" ht="15.75" hidden="1" customHeight="1" x14ac:dyDescent="0.3">
      <c r="A473" s="32" t="s">
        <v>599</v>
      </c>
      <c r="B473" s="33" t="s">
        <v>647</v>
      </c>
      <c r="C473" s="33" t="s">
        <v>548</v>
      </c>
      <c r="D473" s="33" t="s">
        <v>641</v>
      </c>
      <c r="E473" s="33" t="s">
        <v>642</v>
      </c>
      <c r="F473" s="33" t="s">
        <v>132</v>
      </c>
      <c r="G473" s="34" t="s">
        <v>99</v>
      </c>
      <c r="H473" s="24">
        <f t="shared" si="21"/>
        <v>0</v>
      </c>
      <c r="I473" s="35" t="s">
        <v>808</v>
      </c>
      <c r="J473" s="35"/>
      <c r="K473" s="36"/>
      <c r="L473" s="34" t="s">
        <v>100</v>
      </c>
      <c r="M473" s="40"/>
      <c r="N473" s="53"/>
      <c r="O473" s="35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17"/>
      <c r="AC473" s="17">
        <v>1</v>
      </c>
      <c r="AD473" s="17">
        <f t="shared" si="22"/>
        <v>0</v>
      </c>
      <c r="AE473" s="28">
        <f t="shared" si="23"/>
        <v>0</v>
      </c>
      <c r="AF473" s="28">
        <v>1</v>
      </c>
    </row>
    <row r="474" spans="1:32" ht="15.75" hidden="1" customHeight="1" x14ac:dyDescent="0.3">
      <c r="A474" s="32" t="s">
        <v>599</v>
      </c>
      <c r="B474" s="33" t="s">
        <v>609</v>
      </c>
      <c r="C474" s="33" t="s">
        <v>548</v>
      </c>
      <c r="D474" s="33" t="s">
        <v>610</v>
      </c>
      <c r="E474" s="33" t="s">
        <v>789</v>
      </c>
      <c r="F474" s="33" t="s">
        <v>86</v>
      </c>
      <c r="G474" s="34" t="s">
        <v>99</v>
      </c>
      <c r="H474" s="24">
        <f t="shared" si="21"/>
        <v>0</v>
      </c>
      <c r="I474" s="35" t="s">
        <v>808</v>
      </c>
      <c r="J474" s="35"/>
      <c r="K474" s="36"/>
      <c r="L474" s="34" t="s">
        <v>100</v>
      </c>
      <c r="M474" s="40"/>
      <c r="N474" s="40" t="s">
        <v>543</v>
      </c>
      <c r="O474" s="35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17"/>
      <c r="AC474" s="17">
        <v>1</v>
      </c>
      <c r="AD474" s="17">
        <f t="shared" si="22"/>
        <v>0</v>
      </c>
      <c r="AE474" s="28">
        <f t="shared" si="23"/>
        <v>0</v>
      </c>
      <c r="AF474" s="28">
        <v>1</v>
      </c>
    </row>
    <row r="475" spans="1:32" ht="15.75" hidden="1" customHeight="1" x14ac:dyDescent="0.3">
      <c r="A475" s="32" t="s">
        <v>599</v>
      </c>
      <c r="B475" s="33" t="s">
        <v>609</v>
      </c>
      <c r="C475" s="33" t="s">
        <v>548</v>
      </c>
      <c r="D475" s="33" t="s">
        <v>601</v>
      </c>
      <c r="E475" s="33" t="s">
        <v>617</v>
      </c>
      <c r="F475" s="33" t="s">
        <v>132</v>
      </c>
      <c r="G475" s="34" t="s">
        <v>99</v>
      </c>
      <c r="H475" s="24">
        <f t="shared" si="21"/>
        <v>0</v>
      </c>
      <c r="I475" s="35" t="s">
        <v>808</v>
      </c>
      <c r="J475" s="35"/>
      <c r="K475" s="36"/>
      <c r="L475" s="34" t="s">
        <v>100</v>
      </c>
      <c r="M475" s="40"/>
      <c r="N475" s="53"/>
      <c r="O475" s="35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17"/>
      <c r="AC475" s="17">
        <v>1</v>
      </c>
      <c r="AD475" s="17">
        <f t="shared" si="22"/>
        <v>0</v>
      </c>
      <c r="AE475" s="28">
        <f t="shared" si="23"/>
        <v>0</v>
      </c>
      <c r="AF475" s="28">
        <v>1</v>
      </c>
    </row>
    <row r="476" spans="1:32" ht="15.75" hidden="1" customHeight="1" x14ac:dyDescent="0.3">
      <c r="A476" s="32" t="s">
        <v>599</v>
      </c>
      <c r="B476" s="33" t="s">
        <v>609</v>
      </c>
      <c r="C476" s="33" t="s">
        <v>548</v>
      </c>
      <c r="D476" s="33" t="s">
        <v>610</v>
      </c>
      <c r="E476" s="33" t="s">
        <v>618</v>
      </c>
      <c r="F476" s="33" t="s">
        <v>132</v>
      </c>
      <c r="G476" s="34" t="s">
        <v>99</v>
      </c>
      <c r="H476" s="24">
        <f t="shared" si="21"/>
        <v>0</v>
      </c>
      <c r="I476" s="35" t="s">
        <v>808</v>
      </c>
      <c r="J476" s="35"/>
      <c r="K476" s="36"/>
      <c r="L476" s="34" t="s">
        <v>100</v>
      </c>
      <c r="M476" s="40"/>
      <c r="N476" s="53"/>
      <c r="O476" s="35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17"/>
      <c r="AC476" s="17">
        <v>1</v>
      </c>
      <c r="AD476" s="17">
        <f t="shared" si="22"/>
        <v>0</v>
      </c>
      <c r="AE476" s="28">
        <f t="shared" si="23"/>
        <v>0</v>
      </c>
      <c r="AF476" s="28">
        <v>1</v>
      </c>
    </row>
    <row r="477" spans="1:32" ht="15.75" hidden="1" customHeight="1" x14ac:dyDescent="0.3">
      <c r="A477" s="32" t="s">
        <v>599</v>
      </c>
      <c r="B477" s="33" t="s">
        <v>609</v>
      </c>
      <c r="C477" s="33" t="s">
        <v>548</v>
      </c>
      <c r="D477" s="33" t="s">
        <v>610</v>
      </c>
      <c r="E477" s="33" t="s">
        <v>619</v>
      </c>
      <c r="F477" s="33" t="s">
        <v>132</v>
      </c>
      <c r="G477" s="34" t="s">
        <v>99</v>
      </c>
      <c r="H477" s="24">
        <f t="shared" si="21"/>
        <v>0</v>
      </c>
      <c r="I477" s="35" t="s">
        <v>808</v>
      </c>
      <c r="J477" s="35"/>
      <c r="K477" s="36"/>
      <c r="L477" s="34" t="s">
        <v>105</v>
      </c>
      <c r="M477" s="40"/>
      <c r="N477" s="53"/>
      <c r="O477" s="35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17"/>
      <c r="AC477" s="17">
        <v>1</v>
      </c>
      <c r="AD477" s="17">
        <f t="shared" si="22"/>
        <v>0</v>
      </c>
      <c r="AE477" s="28">
        <f t="shared" si="23"/>
        <v>0</v>
      </c>
      <c r="AF477" s="28">
        <v>1</v>
      </c>
    </row>
    <row r="478" spans="1:32" ht="15.75" hidden="1" customHeight="1" x14ac:dyDescent="0.3">
      <c r="A478" s="32" t="s">
        <v>599</v>
      </c>
      <c r="B478" s="33" t="s">
        <v>609</v>
      </c>
      <c r="C478" s="33" t="s">
        <v>548</v>
      </c>
      <c r="D478" s="33" t="s">
        <v>610</v>
      </c>
      <c r="E478" s="33" t="s">
        <v>602</v>
      </c>
      <c r="F478" s="33" t="s">
        <v>672</v>
      </c>
      <c r="G478" s="34" t="s">
        <v>673</v>
      </c>
      <c r="H478" s="24">
        <f t="shared" si="21"/>
        <v>0</v>
      </c>
      <c r="I478" s="35"/>
      <c r="J478" s="35"/>
      <c r="K478" s="36"/>
      <c r="L478" s="34" t="s">
        <v>100</v>
      </c>
      <c r="M478" s="40"/>
      <c r="N478" s="40" t="s">
        <v>603</v>
      </c>
      <c r="O478" s="35" t="s">
        <v>604</v>
      </c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17"/>
      <c r="AC478" s="17">
        <v>2</v>
      </c>
      <c r="AD478" s="17">
        <f t="shared" si="22"/>
        <v>0</v>
      </c>
      <c r="AE478" s="28">
        <f t="shared" si="23"/>
        <v>0</v>
      </c>
      <c r="AF478" s="28">
        <v>1</v>
      </c>
    </row>
    <row r="479" spans="1:32" ht="15.75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605</v>
      </c>
      <c r="F479" s="33" t="s">
        <v>672</v>
      </c>
      <c r="G479" s="34" t="s">
        <v>673</v>
      </c>
      <c r="H479" s="24">
        <f t="shared" si="21"/>
        <v>0</v>
      </c>
      <c r="I479" s="35"/>
      <c r="J479" s="35"/>
      <c r="K479" s="36"/>
      <c r="L479" s="34" t="s">
        <v>100</v>
      </c>
      <c r="M479" s="40"/>
      <c r="N479" s="40" t="s">
        <v>300</v>
      </c>
      <c r="O479" s="35" t="s">
        <v>606</v>
      </c>
      <c r="P479" s="27"/>
      <c r="Q479" s="27"/>
      <c r="R479" s="54"/>
      <c r="S479" s="27"/>
      <c r="T479" s="27"/>
      <c r="U479" s="27"/>
      <c r="V479" s="54"/>
      <c r="W479" s="27"/>
      <c r="X479" s="27"/>
      <c r="Y479" s="27"/>
      <c r="Z479" s="27"/>
      <c r="AA479" s="54"/>
      <c r="AB479" s="17"/>
      <c r="AC479" s="17">
        <v>2</v>
      </c>
      <c r="AD479" s="17">
        <f t="shared" si="22"/>
        <v>0</v>
      </c>
      <c r="AE479" s="28">
        <f t="shared" si="23"/>
        <v>0</v>
      </c>
      <c r="AF479" s="28">
        <v>1</v>
      </c>
    </row>
    <row r="480" spans="1:32" ht="15.75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610</v>
      </c>
      <c r="E480" s="33" t="s">
        <v>793</v>
      </c>
      <c r="F480" s="33" t="s">
        <v>672</v>
      </c>
      <c r="G480" s="34" t="s">
        <v>673</v>
      </c>
      <c r="H480" s="24">
        <f t="shared" si="21"/>
        <v>0</v>
      </c>
      <c r="I480" s="35"/>
      <c r="J480" s="35" t="s">
        <v>648</v>
      </c>
      <c r="K480" s="36"/>
      <c r="L480" s="34" t="s">
        <v>100</v>
      </c>
      <c r="M480" s="40"/>
      <c r="N480" s="40" t="s">
        <v>227</v>
      </c>
      <c r="O480" s="35" t="s">
        <v>649</v>
      </c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17">
        <v>2</v>
      </c>
      <c r="AD480" s="17">
        <f t="shared" si="22"/>
        <v>0</v>
      </c>
      <c r="AE480" s="28">
        <f t="shared" si="23"/>
        <v>0</v>
      </c>
      <c r="AF480" s="28">
        <v>1</v>
      </c>
    </row>
    <row r="481" spans="1:32" ht="15.75" hidden="1" customHeight="1" x14ac:dyDescent="0.3">
      <c r="A481" s="32" t="s">
        <v>599</v>
      </c>
      <c r="B481" s="33" t="s">
        <v>614</v>
      </c>
      <c r="C481" s="33" t="s">
        <v>615</v>
      </c>
      <c r="D481" s="33" t="s">
        <v>848</v>
      </c>
      <c r="E481" s="33" t="s">
        <v>243</v>
      </c>
      <c r="F481" s="33" t="s">
        <v>204</v>
      </c>
      <c r="G481" s="34" t="s">
        <v>127</v>
      </c>
      <c r="H481" s="24">
        <f t="shared" si="21"/>
        <v>0</v>
      </c>
      <c r="I481" s="35" t="s">
        <v>808</v>
      </c>
      <c r="J481" s="35" t="s">
        <v>205</v>
      </c>
      <c r="K481" s="36"/>
      <c r="L481" s="34" t="s">
        <v>100</v>
      </c>
      <c r="M481" s="40"/>
      <c r="N481" s="53"/>
      <c r="O481" s="35" t="s">
        <v>205</v>
      </c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17">
        <v>2</v>
      </c>
      <c r="AD481" s="17">
        <f t="shared" si="22"/>
        <v>0</v>
      </c>
      <c r="AE481" s="28">
        <f t="shared" si="23"/>
        <v>0</v>
      </c>
      <c r="AF481" s="28">
        <v>1</v>
      </c>
    </row>
    <row r="482" spans="1:32" ht="15.75" hidden="1" customHeight="1" x14ac:dyDescent="0.3">
      <c r="A482" s="32" t="s">
        <v>599</v>
      </c>
      <c r="B482" s="33" t="s">
        <v>620</v>
      </c>
      <c r="C482" s="33" t="s">
        <v>615</v>
      </c>
      <c r="D482" s="33" t="s">
        <v>849</v>
      </c>
      <c r="E482" s="33" t="s">
        <v>622</v>
      </c>
      <c r="F482" s="33" t="s">
        <v>204</v>
      </c>
      <c r="G482" s="34" t="s">
        <v>127</v>
      </c>
      <c r="H482" s="24">
        <f t="shared" si="21"/>
        <v>0</v>
      </c>
      <c r="I482" s="35" t="s">
        <v>808</v>
      </c>
      <c r="J482" s="35"/>
      <c r="K482" s="36"/>
      <c r="L482" s="34" t="s">
        <v>105</v>
      </c>
      <c r="M482" s="40"/>
      <c r="N482" s="53"/>
      <c r="O482" s="35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17">
        <v>2</v>
      </c>
      <c r="AD482" s="17">
        <f t="shared" si="22"/>
        <v>0</v>
      </c>
      <c r="AE482" s="28">
        <f t="shared" si="23"/>
        <v>0</v>
      </c>
      <c r="AF482" s="28">
        <v>1</v>
      </c>
    </row>
    <row r="483" spans="1:32" ht="15.75" hidden="1" customHeight="1" x14ac:dyDescent="0.3">
      <c r="A483" s="32" t="s">
        <v>599</v>
      </c>
      <c r="B483" s="33" t="s">
        <v>620</v>
      </c>
      <c r="C483" s="33" t="s">
        <v>615</v>
      </c>
      <c r="D483" s="33" t="s">
        <v>849</v>
      </c>
      <c r="E483" s="33" t="s">
        <v>623</v>
      </c>
      <c r="F483" s="33" t="s">
        <v>204</v>
      </c>
      <c r="G483" s="34" t="s">
        <v>127</v>
      </c>
      <c r="H483" s="24">
        <f t="shared" si="21"/>
        <v>0</v>
      </c>
      <c r="I483" s="35" t="s">
        <v>808</v>
      </c>
      <c r="J483" s="35"/>
      <c r="K483" s="36"/>
      <c r="L483" s="34" t="s">
        <v>105</v>
      </c>
      <c r="M483" s="40"/>
      <c r="N483" s="53"/>
      <c r="O483" s="35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41"/>
      <c r="AC483" s="17">
        <v>2</v>
      </c>
      <c r="AD483" s="17">
        <f t="shared" si="22"/>
        <v>0</v>
      </c>
      <c r="AE483" s="28">
        <f t="shared" si="23"/>
        <v>0</v>
      </c>
      <c r="AF483" s="28">
        <v>1</v>
      </c>
    </row>
    <row r="484" spans="1:32" ht="15.75" hidden="1" customHeight="1" x14ac:dyDescent="0.3">
      <c r="A484" s="32" t="s">
        <v>599</v>
      </c>
      <c r="B484" s="33" t="s">
        <v>847</v>
      </c>
      <c r="C484" s="33" t="s">
        <v>615</v>
      </c>
      <c r="D484" s="33" t="s">
        <v>616</v>
      </c>
      <c r="E484" s="33" t="s">
        <v>243</v>
      </c>
      <c r="F484" s="33" t="s">
        <v>204</v>
      </c>
      <c r="G484" s="34" t="s">
        <v>127</v>
      </c>
      <c r="H484" s="24">
        <f t="shared" si="21"/>
        <v>0</v>
      </c>
      <c r="I484" s="35" t="s">
        <v>808</v>
      </c>
      <c r="J484" s="35" t="s">
        <v>205</v>
      </c>
      <c r="K484" s="36"/>
      <c r="L484" s="34" t="s">
        <v>100</v>
      </c>
      <c r="M484" s="40"/>
      <c r="N484" s="53"/>
      <c r="O484" s="35" t="s">
        <v>205</v>
      </c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17">
        <v>2</v>
      </c>
      <c r="AD484" s="17">
        <f t="shared" si="22"/>
        <v>0</v>
      </c>
      <c r="AE484" s="28">
        <f t="shared" si="23"/>
        <v>0</v>
      </c>
      <c r="AF484" s="28">
        <v>1</v>
      </c>
    </row>
    <row r="485" spans="1:32" ht="15.75" hidden="1" customHeight="1" x14ac:dyDescent="0.3">
      <c r="A485" s="32" t="s">
        <v>599</v>
      </c>
      <c r="B485" s="33" t="s">
        <v>620</v>
      </c>
      <c r="C485" s="33" t="s">
        <v>615</v>
      </c>
      <c r="D485" s="33" t="s">
        <v>621</v>
      </c>
      <c r="E485" s="33" t="s">
        <v>622</v>
      </c>
      <c r="F485" s="33" t="s">
        <v>204</v>
      </c>
      <c r="G485" s="34" t="s">
        <v>127</v>
      </c>
      <c r="H485" s="24">
        <f t="shared" si="21"/>
        <v>0</v>
      </c>
      <c r="I485" s="35" t="s">
        <v>808</v>
      </c>
      <c r="J485" s="35"/>
      <c r="K485" s="36"/>
      <c r="L485" s="34" t="s">
        <v>105</v>
      </c>
      <c r="M485" s="40"/>
      <c r="N485" s="53"/>
      <c r="O485" s="35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17">
        <v>2</v>
      </c>
      <c r="AD485" s="17">
        <f t="shared" si="22"/>
        <v>0</v>
      </c>
      <c r="AE485" s="28">
        <f t="shared" si="23"/>
        <v>0</v>
      </c>
      <c r="AF485" s="28">
        <v>1</v>
      </c>
    </row>
    <row r="486" spans="1:32" ht="15.75" hidden="1" customHeight="1" x14ac:dyDescent="0.3">
      <c r="A486" s="32" t="s">
        <v>599</v>
      </c>
      <c r="B486" s="33" t="s">
        <v>620</v>
      </c>
      <c r="C486" s="33" t="s">
        <v>615</v>
      </c>
      <c r="D486" s="33" t="s">
        <v>621</v>
      </c>
      <c r="E486" s="33" t="s">
        <v>623</v>
      </c>
      <c r="F486" s="33" t="s">
        <v>204</v>
      </c>
      <c r="G486" s="34" t="s">
        <v>127</v>
      </c>
      <c r="H486" s="24">
        <f t="shared" si="21"/>
        <v>0</v>
      </c>
      <c r="I486" s="35" t="s">
        <v>808</v>
      </c>
      <c r="J486" s="35"/>
      <c r="K486" s="36"/>
      <c r="L486" s="34" t="s">
        <v>105</v>
      </c>
      <c r="M486" s="40"/>
      <c r="N486" s="53"/>
      <c r="O486" s="35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17">
        <v>2</v>
      </c>
      <c r="AD486" s="17">
        <f t="shared" si="22"/>
        <v>0</v>
      </c>
      <c r="AE486" s="28">
        <f t="shared" si="23"/>
        <v>0</v>
      </c>
      <c r="AF486" s="28">
        <v>1</v>
      </c>
    </row>
    <row r="487" spans="1:32" ht="15.75" hidden="1" customHeight="1" x14ac:dyDescent="0.3">
      <c r="A487" s="32" t="s">
        <v>650</v>
      </c>
      <c r="B487" s="33" t="s">
        <v>651</v>
      </c>
      <c r="C487" s="33" t="s">
        <v>652</v>
      </c>
      <c r="D487" s="33" t="s">
        <v>653</v>
      </c>
      <c r="E487" s="33" t="s">
        <v>173</v>
      </c>
      <c r="F487" s="33" t="s">
        <v>204</v>
      </c>
      <c r="G487" s="34" t="s">
        <v>127</v>
      </c>
      <c r="H487" s="24">
        <f t="shared" si="21"/>
        <v>0</v>
      </c>
      <c r="I487" s="35"/>
      <c r="J487" s="35"/>
      <c r="K487" s="36"/>
      <c r="L487" s="34" t="s">
        <v>100</v>
      </c>
      <c r="M487" s="40"/>
      <c r="N487" s="40"/>
      <c r="O487" s="35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17">
        <v>2</v>
      </c>
      <c r="AD487" s="17">
        <f t="shared" si="22"/>
        <v>0</v>
      </c>
      <c r="AE487" s="28">
        <f t="shared" si="23"/>
        <v>0</v>
      </c>
      <c r="AF487" s="28">
        <v>1</v>
      </c>
    </row>
    <row r="488" spans="1:32" ht="15.75" hidden="1" customHeight="1" x14ac:dyDescent="0.3">
      <c r="A488" s="32" t="s">
        <v>650</v>
      </c>
      <c r="B488" s="33" t="s">
        <v>651</v>
      </c>
      <c r="C488" s="33" t="s">
        <v>652</v>
      </c>
      <c r="D488" s="33" t="s">
        <v>653</v>
      </c>
      <c r="E488" s="33" t="s">
        <v>794</v>
      </c>
      <c r="F488" s="33" t="s">
        <v>204</v>
      </c>
      <c r="G488" s="34" t="s">
        <v>127</v>
      </c>
      <c r="H488" s="24">
        <f t="shared" si="21"/>
        <v>0</v>
      </c>
      <c r="I488" s="35"/>
      <c r="J488" s="35"/>
      <c r="K488" s="36"/>
      <c r="L488" s="34" t="s">
        <v>100</v>
      </c>
      <c r="M488" s="40"/>
      <c r="N488" s="40"/>
      <c r="O488" s="35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17">
        <v>2</v>
      </c>
      <c r="AD488" s="17">
        <f t="shared" si="22"/>
        <v>0</v>
      </c>
      <c r="AE488" s="28">
        <f t="shared" si="23"/>
        <v>0</v>
      </c>
      <c r="AF488" s="28">
        <v>1</v>
      </c>
    </row>
    <row r="489" spans="1:32" ht="15.75" hidden="1" customHeight="1" x14ac:dyDescent="0.3">
      <c r="A489" s="32" t="s">
        <v>650</v>
      </c>
      <c r="B489" s="33" t="s">
        <v>651</v>
      </c>
      <c r="C489" s="33" t="s">
        <v>652</v>
      </c>
      <c r="D489" s="33" t="s">
        <v>653</v>
      </c>
      <c r="E489" s="33" t="s">
        <v>183</v>
      </c>
      <c r="F489" s="33" t="s">
        <v>204</v>
      </c>
      <c r="G489" s="34" t="s">
        <v>127</v>
      </c>
      <c r="H489" s="24">
        <f t="shared" si="21"/>
        <v>0</v>
      </c>
      <c r="I489" s="35"/>
      <c r="J489" s="35"/>
      <c r="K489" s="36"/>
      <c r="L489" s="34" t="s">
        <v>100</v>
      </c>
      <c r="M489" s="40"/>
      <c r="N489" s="40"/>
      <c r="O489" s="35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17">
        <v>2</v>
      </c>
      <c r="AD489" s="17">
        <f t="shared" si="22"/>
        <v>0</v>
      </c>
      <c r="AE489" s="28">
        <f t="shared" si="23"/>
        <v>0</v>
      </c>
      <c r="AF489" s="28">
        <v>1</v>
      </c>
    </row>
    <row r="490" spans="1:32" ht="15.75" hidden="1" customHeight="1" x14ac:dyDescent="0.3">
      <c r="A490" s="32" t="s">
        <v>650</v>
      </c>
      <c r="B490" s="33" t="s">
        <v>654</v>
      </c>
      <c r="C490" s="33" t="s">
        <v>652</v>
      </c>
      <c r="D490" s="33" t="s">
        <v>655</v>
      </c>
      <c r="E490" s="33" t="s">
        <v>173</v>
      </c>
      <c r="F490" s="33" t="s">
        <v>204</v>
      </c>
      <c r="G490" s="34" t="s">
        <v>127</v>
      </c>
      <c r="H490" s="24">
        <f t="shared" si="21"/>
        <v>0</v>
      </c>
      <c r="I490" s="35"/>
      <c r="J490" s="35"/>
      <c r="K490" s="36"/>
      <c r="L490" s="34" t="s">
        <v>100</v>
      </c>
      <c r="M490" s="40"/>
      <c r="N490" s="40"/>
      <c r="O490" s="35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17">
        <v>2</v>
      </c>
      <c r="AD490" s="17">
        <f t="shared" si="22"/>
        <v>0</v>
      </c>
      <c r="AE490" s="28">
        <f t="shared" si="23"/>
        <v>0</v>
      </c>
      <c r="AF490" s="28">
        <v>1</v>
      </c>
    </row>
    <row r="491" spans="1:32" ht="15.75" hidden="1" customHeight="1" x14ac:dyDescent="0.3">
      <c r="A491" s="32" t="s">
        <v>650</v>
      </c>
      <c r="B491" s="33" t="s">
        <v>654</v>
      </c>
      <c r="C491" s="33" t="s">
        <v>652</v>
      </c>
      <c r="D491" s="33" t="s">
        <v>655</v>
      </c>
      <c r="E491" s="33" t="s">
        <v>794</v>
      </c>
      <c r="F491" s="33" t="s">
        <v>204</v>
      </c>
      <c r="G491" s="34" t="s">
        <v>127</v>
      </c>
      <c r="H491" s="24">
        <f t="shared" si="21"/>
        <v>0</v>
      </c>
      <c r="I491" s="35"/>
      <c r="J491" s="35"/>
      <c r="K491" s="36"/>
      <c r="L491" s="34" t="s">
        <v>100</v>
      </c>
      <c r="M491" s="40"/>
      <c r="N491" s="40"/>
      <c r="O491" s="35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17">
        <v>2</v>
      </c>
      <c r="AD491" s="17">
        <f t="shared" si="22"/>
        <v>0</v>
      </c>
      <c r="AE491" s="28">
        <f t="shared" si="23"/>
        <v>0</v>
      </c>
      <c r="AF491" s="28">
        <v>1</v>
      </c>
    </row>
    <row r="492" spans="1:32" ht="15.75" hidden="1" customHeight="1" x14ac:dyDescent="0.3">
      <c r="A492" s="32" t="s">
        <v>650</v>
      </c>
      <c r="B492" s="33" t="s">
        <v>654</v>
      </c>
      <c r="C492" s="33" t="s">
        <v>652</v>
      </c>
      <c r="D492" s="33" t="s">
        <v>655</v>
      </c>
      <c r="E492" s="33" t="s">
        <v>183</v>
      </c>
      <c r="F492" s="33" t="s">
        <v>204</v>
      </c>
      <c r="G492" s="34" t="s">
        <v>127</v>
      </c>
      <c r="H492" s="24">
        <f t="shared" si="21"/>
        <v>0</v>
      </c>
      <c r="I492" s="35"/>
      <c r="J492" s="35"/>
      <c r="K492" s="36"/>
      <c r="L492" s="34" t="s">
        <v>100</v>
      </c>
      <c r="M492" s="40"/>
      <c r="N492" s="40"/>
      <c r="O492" s="35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17">
        <v>2</v>
      </c>
      <c r="AD492" s="17">
        <f t="shared" si="22"/>
        <v>0</v>
      </c>
      <c r="AE492" s="28">
        <f t="shared" si="23"/>
        <v>0</v>
      </c>
      <c r="AF492" s="28">
        <v>1</v>
      </c>
    </row>
    <row r="493" spans="1:32" ht="15.75" hidden="1" customHeight="1" x14ac:dyDescent="0.3">
      <c r="A493" s="32" t="s">
        <v>650</v>
      </c>
      <c r="B493" s="33" t="s">
        <v>656</v>
      </c>
      <c r="C493" s="33" t="s">
        <v>652</v>
      </c>
      <c r="D493" s="33" t="s">
        <v>657</v>
      </c>
      <c r="E493" s="33" t="s">
        <v>173</v>
      </c>
      <c r="F493" s="33" t="s">
        <v>88</v>
      </c>
      <c r="G493" s="34" t="s">
        <v>127</v>
      </c>
      <c r="H493" s="24">
        <f t="shared" si="21"/>
        <v>0</v>
      </c>
      <c r="I493" s="35"/>
      <c r="J493" s="35"/>
      <c r="K493" s="36"/>
      <c r="L493" s="34" t="s">
        <v>100</v>
      </c>
      <c r="M493" s="40"/>
      <c r="N493" s="40"/>
      <c r="O493" s="35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17">
        <v>2</v>
      </c>
      <c r="AD493" s="17">
        <f t="shared" si="22"/>
        <v>0</v>
      </c>
      <c r="AE493" s="28">
        <f t="shared" si="23"/>
        <v>0</v>
      </c>
      <c r="AF493" s="28">
        <v>1</v>
      </c>
    </row>
    <row r="494" spans="1:32" ht="15.75" hidden="1" customHeight="1" x14ac:dyDescent="0.3">
      <c r="A494" s="32" t="s">
        <v>650</v>
      </c>
      <c r="B494" s="33" t="s">
        <v>656</v>
      </c>
      <c r="C494" s="33" t="s">
        <v>652</v>
      </c>
      <c r="D494" s="33" t="s">
        <v>657</v>
      </c>
      <c r="E494" s="33" t="s">
        <v>794</v>
      </c>
      <c r="F494" s="33" t="s">
        <v>88</v>
      </c>
      <c r="G494" s="34" t="s">
        <v>127</v>
      </c>
      <c r="H494" s="24">
        <f t="shared" si="21"/>
        <v>0</v>
      </c>
      <c r="I494" s="35"/>
      <c r="J494" s="35"/>
      <c r="K494" s="36"/>
      <c r="L494" s="34" t="s">
        <v>100</v>
      </c>
      <c r="M494" s="40"/>
      <c r="N494" s="40"/>
      <c r="O494" s="35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17">
        <v>2</v>
      </c>
      <c r="AD494" s="17">
        <f t="shared" si="22"/>
        <v>0</v>
      </c>
      <c r="AE494" s="28">
        <f t="shared" si="23"/>
        <v>0</v>
      </c>
      <c r="AF494" s="28">
        <v>1</v>
      </c>
    </row>
    <row r="495" spans="1:32" ht="15.75" hidden="1" customHeight="1" x14ac:dyDescent="0.3">
      <c r="A495" s="32" t="s">
        <v>650</v>
      </c>
      <c r="B495" s="33" t="s">
        <v>656</v>
      </c>
      <c r="C495" s="33" t="s">
        <v>652</v>
      </c>
      <c r="D495" s="33" t="s">
        <v>657</v>
      </c>
      <c r="E495" s="33" t="s">
        <v>183</v>
      </c>
      <c r="F495" s="33" t="s">
        <v>88</v>
      </c>
      <c r="G495" s="34" t="s">
        <v>127</v>
      </c>
      <c r="H495" s="24">
        <f t="shared" si="21"/>
        <v>0</v>
      </c>
      <c r="I495" s="35"/>
      <c r="J495" s="35"/>
      <c r="K495" s="36"/>
      <c r="L495" s="34" t="s">
        <v>100</v>
      </c>
      <c r="M495" s="40"/>
      <c r="N495" s="40"/>
      <c r="O495" s="35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17">
        <v>2</v>
      </c>
      <c r="AD495" s="17">
        <f t="shared" si="22"/>
        <v>0</v>
      </c>
      <c r="AE495" s="28">
        <f t="shared" si="23"/>
        <v>0</v>
      </c>
      <c r="AF495" s="28">
        <v>1</v>
      </c>
    </row>
    <row r="496" spans="1:32" ht="15.75" hidden="1" customHeight="1" x14ac:dyDescent="0.3">
      <c r="A496" s="32" t="s">
        <v>650</v>
      </c>
      <c r="B496" s="33" t="s">
        <v>659</v>
      </c>
      <c r="C496" s="33" t="s">
        <v>652</v>
      </c>
      <c r="D496" s="33" t="s">
        <v>185</v>
      </c>
      <c r="E496" s="33" t="s">
        <v>160</v>
      </c>
      <c r="F496" s="33" t="s">
        <v>204</v>
      </c>
      <c r="G496" s="34" t="s">
        <v>127</v>
      </c>
      <c r="H496" s="24">
        <f t="shared" si="21"/>
        <v>0</v>
      </c>
      <c r="I496" s="35"/>
      <c r="J496" s="35"/>
      <c r="K496" s="36"/>
      <c r="L496" s="34" t="s">
        <v>100</v>
      </c>
      <c r="M496" s="40"/>
      <c r="N496" s="51"/>
      <c r="O496" s="35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17">
        <v>2</v>
      </c>
      <c r="AD496" s="17">
        <f t="shared" si="22"/>
        <v>0</v>
      </c>
      <c r="AE496" s="28">
        <f t="shared" si="23"/>
        <v>0</v>
      </c>
      <c r="AF496" s="28">
        <v>1</v>
      </c>
    </row>
    <row r="497" spans="1:32" ht="15.75" hidden="1" customHeight="1" x14ac:dyDescent="0.3">
      <c r="A497" s="32" t="s">
        <v>650</v>
      </c>
      <c r="B497" s="33" t="s">
        <v>659</v>
      </c>
      <c r="C497" s="33" t="s">
        <v>652</v>
      </c>
      <c r="D497" s="33" t="s">
        <v>185</v>
      </c>
      <c r="E497" s="33" t="s">
        <v>183</v>
      </c>
      <c r="F497" s="33" t="s">
        <v>204</v>
      </c>
      <c r="G497" s="34" t="s">
        <v>127</v>
      </c>
      <c r="H497" s="24">
        <f t="shared" si="21"/>
        <v>0</v>
      </c>
      <c r="I497" s="35"/>
      <c r="J497" s="35"/>
      <c r="K497" s="36"/>
      <c r="L497" s="34" t="s">
        <v>100</v>
      </c>
      <c r="M497" s="40"/>
      <c r="N497" s="51"/>
      <c r="O497" s="35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17">
        <v>2</v>
      </c>
      <c r="AD497" s="17">
        <f t="shared" si="22"/>
        <v>0</v>
      </c>
      <c r="AE497" s="28">
        <f t="shared" si="23"/>
        <v>0</v>
      </c>
      <c r="AF497" s="28">
        <v>1</v>
      </c>
    </row>
    <row r="498" spans="1:32" ht="15.75" hidden="1" customHeight="1" x14ac:dyDescent="0.3">
      <c r="A498" s="32" t="s">
        <v>650</v>
      </c>
      <c r="B498" s="33" t="s">
        <v>658</v>
      </c>
      <c r="C498" s="33" t="s">
        <v>652</v>
      </c>
      <c r="D498" s="33" t="s">
        <v>189</v>
      </c>
      <c r="E498" s="33" t="s">
        <v>160</v>
      </c>
      <c r="F498" s="33" t="s">
        <v>204</v>
      </c>
      <c r="G498" s="34" t="s">
        <v>127</v>
      </c>
      <c r="H498" s="24">
        <f t="shared" si="21"/>
        <v>0</v>
      </c>
      <c r="I498" s="35"/>
      <c r="J498" s="35"/>
      <c r="K498" s="36"/>
      <c r="L498" s="34" t="s">
        <v>100</v>
      </c>
      <c r="M498" s="40"/>
      <c r="N498" s="51"/>
      <c r="O498" s="35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17">
        <v>2</v>
      </c>
      <c r="AD498" s="17">
        <f t="shared" si="22"/>
        <v>0</v>
      </c>
      <c r="AE498" s="28">
        <f t="shared" si="23"/>
        <v>0</v>
      </c>
      <c r="AF498" s="28">
        <v>1</v>
      </c>
    </row>
    <row r="499" spans="1:32" ht="15.75" hidden="1" customHeight="1" x14ac:dyDescent="0.3">
      <c r="A499" s="32" t="s">
        <v>650</v>
      </c>
      <c r="B499" s="33" t="s">
        <v>658</v>
      </c>
      <c r="C499" s="33" t="s">
        <v>652</v>
      </c>
      <c r="D499" s="33" t="s">
        <v>189</v>
      </c>
      <c r="E499" s="33" t="s">
        <v>183</v>
      </c>
      <c r="F499" s="33" t="s">
        <v>204</v>
      </c>
      <c r="G499" s="34" t="s">
        <v>127</v>
      </c>
      <c r="H499" s="24">
        <f t="shared" si="21"/>
        <v>0</v>
      </c>
      <c r="I499" s="35"/>
      <c r="J499" s="35"/>
      <c r="K499" s="36"/>
      <c r="L499" s="34" t="s">
        <v>100</v>
      </c>
      <c r="M499" s="40"/>
      <c r="N499" s="51"/>
      <c r="O499" s="35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17">
        <v>2</v>
      </c>
      <c r="AD499" s="17">
        <f t="shared" si="22"/>
        <v>0</v>
      </c>
      <c r="AE499" s="28">
        <f t="shared" si="23"/>
        <v>0</v>
      </c>
      <c r="AF499" s="28">
        <v>1</v>
      </c>
    </row>
    <row r="500" spans="1:32" ht="15.75" hidden="1" customHeight="1" x14ac:dyDescent="0.3">
      <c r="A500" s="32" t="s">
        <v>650</v>
      </c>
      <c r="B500" s="33" t="s">
        <v>660</v>
      </c>
      <c r="C500" s="33" t="s">
        <v>652</v>
      </c>
      <c r="D500" s="33" t="s">
        <v>187</v>
      </c>
      <c r="E500" s="33" t="s">
        <v>160</v>
      </c>
      <c r="F500" s="33" t="s">
        <v>204</v>
      </c>
      <c r="G500" s="34" t="s">
        <v>127</v>
      </c>
      <c r="H500" s="24">
        <f t="shared" si="21"/>
        <v>0</v>
      </c>
      <c r="I500" s="35"/>
      <c r="J500" s="35"/>
      <c r="K500" s="36"/>
      <c r="L500" s="34" t="s">
        <v>100</v>
      </c>
      <c r="M500" s="40"/>
      <c r="N500" s="51"/>
      <c r="O500" s="35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17">
        <v>2</v>
      </c>
      <c r="AD500" s="17">
        <f t="shared" si="22"/>
        <v>0</v>
      </c>
      <c r="AE500" s="28">
        <f t="shared" si="23"/>
        <v>0</v>
      </c>
      <c r="AF500" s="28">
        <v>1</v>
      </c>
    </row>
    <row r="501" spans="1:32" ht="15.75" hidden="1" customHeight="1" x14ac:dyDescent="0.3">
      <c r="A501" s="32" t="s">
        <v>650</v>
      </c>
      <c r="B501" s="33" t="s">
        <v>660</v>
      </c>
      <c r="C501" s="33" t="s">
        <v>652</v>
      </c>
      <c r="D501" s="33" t="s">
        <v>187</v>
      </c>
      <c r="E501" s="33" t="s">
        <v>183</v>
      </c>
      <c r="F501" s="33" t="s">
        <v>204</v>
      </c>
      <c r="G501" s="34" t="s">
        <v>127</v>
      </c>
      <c r="H501" s="24">
        <f t="shared" si="21"/>
        <v>0</v>
      </c>
      <c r="I501" s="35"/>
      <c r="J501" s="35"/>
      <c r="K501" s="36"/>
      <c r="L501" s="34" t="s">
        <v>100</v>
      </c>
      <c r="M501" s="40"/>
      <c r="N501" s="51"/>
      <c r="O501" s="35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17">
        <v>2</v>
      </c>
      <c r="AD501" s="17">
        <f t="shared" si="22"/>
        <v>0</v>
      </c>
      <c r="AE501" s="28">
        <f t="shared" si="23"/>
        <v>0</v>
      </c>
      <c r="AF501" s="28">
        <v>1</v>
      </c>
    </row>
    <row r="502" spans="1:32" ht="15.75" hidden="1" customHeight="1" x14ac:dyDescent="0.3">
      <c r="A502" s="32" t="s">
        <v>661</v>
      </c>
      <c r="B502" s="33" t="s">
        <v>662</v>
      </c>
      <c r="C502" s="33" t="s">
        <v>370</v>
      </c>
      <c r="D502" s="33" t="s">
        <v>663</v>
      </c>
      <c r="E502" s="33" t="s">
        <v>780</v>
      </c>
      <c r="F502" s="33" t="s">
        <v>88</v>
      </c>
      <c r="G502" s="34" t="s">
        <v>127</v>
      </c>
      <c r="H502" s="24">
        <f t="shared" si="21"/>
        <v>0</v>
      </c>
      <c r="I502" s="35" t="s">
        <v>808</v>
      </c>
      <c r="J502" s="35"/>
      <c r="K502" s="36"/>
      <c r="L502" s="34" t="s">
        <v>100</v>
      </c>
      <c r="M502" s="40"/>
      <c r="N502" s="40"/>
      <c r="O502" s="35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17">
        <v>2</v>
      </c>
      <c r="AD502" s="17">
        <f t="shared" si="22"/>
        <v>0</v>
      </c>
      <c r="AE502" s="28">
        <f t="shared" si="23"/>
        <v>0</v>
      </c>
      <c r="AF502" s="28">
        <v>1</v>
      </c>
    </row>
    <row r="503" spans="1:32" ht="15.75" hidden="1" customHeight="1" x14ac:dyDescent="0.3">
      <c r="A503" s="32" t="s">
        <v>661</v>
      </c>
      <c r="B503" s="33" t="s">
        <v>664</v>
      </c>
      <c r="C503" s="33" t="s">
        <v>665</v>
      </c>
      <c r="D503" s="33" t="s">
        <v>804</v>
      </c>
      <c r="E503" s="33" t="s">
        <v>666</v>
      </c>
      <c r="F503" s="33" t="s">
        <v>667</v>
      </c>
      <c r="G503" s="34" t="s">
        <v>99</v>
      </c>
      <c r="H503" s="24">
        <f t="shared" si="21"/>
        <v>0</v>
      </c>
      <c r="I503" s="35"/>
      <c r="J503" s="35"/>
      <c r="K503" s="36"/>
      <c r="L503" s="34" t="s">
        <v>105</v>
      </c>
      <c r="M503" s="40"/>
      <c r="N503" s="40"/>
      <c r="O503" s="35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17">
        <v>1</v>
      </c>
      <c r="AD503" s="17">
        <f t="shared" si="22"/>
        <v>0</v>
      </c>
      <c r="AE503" s="28">
        <f t="shared" si="23"/>
        <v>0</v>
      </c>
      <c r="AF503" s="28">
        <v>1</v>
      </c>
    </row>
    <row r="504" spans="1:32" ht="15.75" hidden="1" customHeight="1" x14ac:dyDescent="0.3">
      <c r="A504" s="32" t="s">
        <v>661</v>
      </c>
      <c r="B504" s="33" t="s">
        <v>664</v>
      </c>
      <c r="C504" s="33" t="s">
        <v>665</v>
      </c>
      <c r="D504" s="33" t="s">
        <v>804</v>
      </c>
      <c r="E504" s="33" t="s">
        <v>795</v>
      </c>
      <c r="F504" s="33" t="s">
        <v>88</v>
      </c>
      <c r="G504" s="34" t="s">
        <v>127</v>
      </c>
      <c r="H504" s="24">
        <f t="shared" si="21"/>
        <v>0</v>
      </c>
      <c r="I504" s="35"/>
      <c r="J504" s="35"/>
      <c r="K504" s="36"/>
      <c r="L504" s="34" t="s">
        <v>105</v>
      </c>
      <c r="M504" s="40"/>
      <c r="N504" s="40"/>
      <c r="O504" s="35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17"/>
      <c r="AC504" s="17">
        <v>2</v>
      </c>
      <c r="AD504" s="17">
        <f t="shared" si="22"/>
        <v>0</v>
      </c>
      <c r="AE504" s="28">
        <f t="shared" si="23"/>
        <v>0</v>
      </c>
      <c r="AF504" s="28">
        <v>1</v>
      </c>
    </row>
    <row r="505" spans="1:32" ht="15.75" hidden="1" customHeight="1" x14ac:dyDescent="0.3">
      <c r="A505" s="32" t="s">
        <v>661</v>
      </c>
      <c r="B505" s="33" t="s">
        <v>668</v>
      </c>
      <c r="C505" s="33" t="s">
        <v>665</v>
      </c>
      <c r="D505" s="33" t="s">
        <v>805</v>
      </c>
      <c r="E505" s="33" t="s">
        <v>666</v>
      </c>
      <c r="F505" s="33" t="s">
        <v>667</v>
      </c>
      <c r="G505" s="34" t="s">
        <v>99</v>
      </c>
      <c r="H505" s="24">
        <f t="shared" si="21"/>
        <v>0</v>
      </c>
      <c r="I505" s="35"/>
      <c r="J505" s="35"/>
      <c r="K505" s="36"/>
      <c r="L505" s="34" t="s">
        <v>105</v>
      </c>
      <c r="M505" s="40"/>
      <c r="N505" s="40"/>
      <c r="O505" s="35" t="s">
        <v>579</v>
      </c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17">
        <v>1</v>
      </c>
      <c r="AD505" s="17">
        <f t="shared" si="22"/>
        <v>0</v>
      </c>
      <c r="AE505" s="28">
        <f t="shared" si="23"/>
        <v>0</v>
      </c>
      <c r="AF505" s="28">
        <v>1</v>
      </c>
    </row>
    <row r="506" spans="1:32" ht="15.75" hidden="1" customHeight="1" x14ac:dyDescent="0.3">
      <c r="A506" s="32" t="s">
        <v>661</v>
      </c>
      <c r="B506" s="33" t="s">
        <v>668</v>
      </c>
      <c r="C506" s="33" t="s">
        <v>665</v>
      </c>
      <c r="D506" s="33" t="s">
        <v>805</v>
      </c>
      <c r="E506" s="33" t="s">
        <v>795</v>
      </c>
      <c r="F506" s="33" t="s">
        <v>88</v>
      </c>
      <c r="G506" s="34" t="s">
        <v>127</v>
      </c>
      <c r="H506" s="24">
        <f t="shared" si="21"/>
        <v>0</v>
      </c>
      <c r="I506" s="35"/>
      <c r="J506" s="35"/>
      <c r="K506" s="36"/>
      <c r="L506" s="34" t="s">
        <v>105</v>
      </c>
      <c r="M506" s="40"/>
      <c r="N506" s="40"/>
      <c r="O506" s="35" t="s">
        <v>579</v>
      </c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17"/>
      <c r="AC506" s="17">
        <v>2</v>
      </c>
      <c r="AD506" s="17">
        <f t="shared" si="22"/>
        <v>0</v>
      </c>
      <c r="AE506" s="28">
        <f t="shared" si="23"/>
        <v>0</v>
      </c>
      <c r="AF506" s="28">
        <v>1</v>
      </c>
    </row>
    <row r="507" spans="1:32" ht="15.75" customHeight="1" x14ac:dyDescent="0.3">
      <c r="A507" s="32" t="s">
        <v>661</v>
      </c>
      <c r="B507" s="33" t="s">
        <v>669</v>
      </c>
      <c r="C507" s="33" t="s">
        <v>551</v>
      </c>
      <c r="D507" s="33" t="s">
        <v>670</v>
      </c>
      <c r="E507" s="33" t="s">
        <v>671</v>
      </c>
      <c r="F507" s="33" t="s">
        <v>88</v>
      </c>
      <c r="G507" s="34" t="s">
        <v>127</v>
      </c>
      <c r="H507" s="24">
        <f t="shared" si="21"/>
        <v>0</v>
      </c>
      <c r="I507" s="35"/>
      <c r="J507" s="35" t="s">
        <v>579</v>
      </c>
      <c r="K507" s="36"/>
      <c r="L507" s="34" t="s">
        <v>100</v>
      </c>
      <c r="M507" s="40"/>
      <c r="N507" s="40"/>
      <c r="O507" s="35" t="s">
        <v>579</v>
      </c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17"/>
      <c r="AC507" s="17">
        <v>2</v>
      </c>
      <c r="AD507" s="17">
        <f t="shared" si="22"/>
        <v>0</v>
      </c>
      <c r="AE507" s="28">
        <f t="shared" si="23"/>
        <v>0</v>
      </c>
      <c r="AF507" s="28">
        <v>1</v>
      </c>
    </row>
    <row r="508" spans="1:32" ht="15.75" customHeight="1" x14ac:dyDescent="0.3">
      <c r="A508" s="32" t="s">
        <v>661</v>
      </c>
      <c r="B508" s="33" t="s">
        <v>669</v>
      </c>
      <c r="C508" s="33" t="s">
        <v>551</v>
      </c>
      <c r="D508" s="33" t="s">
        <v>670</v>
      </c>
      <c r="E508" s="33" t="s">
        <v>796</v>
      </c>
      <c r="F508" s="33" t="s">
        <v>88</v>
      </c>
      <c r="G508" s="34" t="s">
        <v>127</v>
      </c>
      <c r="H508" s="24">
        <f t="shared" si="21"/>
        <v>0</v>
      </c>
      <c r="I508" s="35"/>
      <c r="J508" s="35" t="s">
        <v>579</v>
      </c>
      <c r="K508" s="36"/>
      <c r="L508" s="34" t="s">
        <v>100</v>
      </c>
      <c r="M508" s="40"/>
      <c r="N508" s="40"/>
      <c r="O508" s="35" t="s">
        <v>579</v>
      </c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17"/>
      <c r="AC508" s="17">
        <v>2</v>
      </c>
      <c r="AD508" s="17">
        <f t="shared" si="22"/>
        <v>0</v>
      </c>
      <c r="AE508" s="28">
        <f t="shared" si="23"/>
        <v>0</v>
      </c>
      <c r="AF508" s="28">
        <v>1</v>
      </c>
    </row>
    <row r="509" spans="1:32" ht="15.75" customHeight="1" x14ac:dyDescent="0.3">
      <c r="A509" s="32" t="s">
        <v>661</v>
      </c>
      <c r="B509" s="33" t="s">
        <v>669</v>
      </c>
      <c r="C509" s="33" t="s">
        <v>551</v>
      </c>
      <c r="D509" s="33" t="s">
        <v>670</v>
      </c>
      <c r="E509" s="33" t="s">
        <v>674</v>
      </c>
      <c r="F509" s="33" t="s">
        <v>88</v>
      </c>
      <c r="G509" s="34" t="s">
        <v>127</v>
      </c>
      <c r="H509" s="24">
        <f t="shared" si="21"/>
        <v>0</v>
      </c>
      <c r="I509" s="35"/>
      <c r="J509" s="35" t="s">
        <v>579</v>
      </c>
      <c r="K509" s="36"/>
      <c r="L509" s="34" t="s">
        <v>100</v>
      </c>
      <c r="M509" s="40"/>
      <c r="N509" s="40"/>
      <c r="O509" s="35" t="s">
        <v>579</v>
      </c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17"/>
      <c r="AC509" s="17">
        <v>2</v>
      </c>
      <c r="AD509" s="17">
        <f t="shared" si="22"/>
        <v>0</v>
      </c>
      <c r="AE509" s="28">
        <f t="shared" si="23"/>
        <v>0</v>
      </c>
      <c r="AF509" s="28">
        <v>1</v>
      </c>
    </row>
    <row r="510" spans="1:32" ht="15.75" customHeight="1" x14ac:dyDescent="0.3">
      <c r="A510" s="32" t="s">
        <v>661</v>
      </c>
      <c r="B510" s="33" t="s">
        <v>675</v>
      </c>
      <c r="C510" s="33" t="s">
        <v>554</v>
      </c>
      <c r="D510" s="33" t="s">
        <v>670</v>
      </c>
      <c r="E510" s="33" t="s">
        <v>671</v>
      </c>
      <c r="F510" s="33" t="s">
        <v>88</v>
      </c>
      <c r="G510" s="34" t="s">
        <v>127</v>
      </c>
      <c r="H510" s="24">
        <f t="shared" si="21"/>
        <v>0.5</v>
      </c>
      <c r="I510" s="35"/>
      <c r="J510" s="35" t="s">
        <v>579</v>
      </c>
      <c r="K510" s="36"/>
      <c r="L510" s="34" t="s">
        <v>100</v>
      </c>
      <c r="M510" s="40"/>
      <c r="N510" s="40"/>
      <c r="O510" s="35" t="s">
        <v>579</v>
      </c>
      <c r="P510" s="27"/>
      <c r="Q510" s="27" t="s">
        <v>856</v>
      </c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17"/>
      <c r="AC510" s="17">
        <v>2</v>
      </c>
      <c r="AD510" s="17">
        <f t="shared" si="22"/>
        <v>1</v>
      </c>
      <c r="AE510" s="28">
        <f t="shared" si="23"/>
        <v>0</v>
      </c>
      <c r="AF510" s="28">
        <v>1</v>
      </c>
    </row>
    <row r="511" spans="1:32" ht="15.75" customHeight="1" x14ac:dyDescent="0.3">
      <c r="A511" s="32" t="s">
        <v>661</v>
      </c>
      <c r="B511" s="33" t="s">
        <v>675</v>
      </c>
      <c r="C511" s="33" t="s">
        <v>554</v>
      </c>
      <c r="D511" s="33" t="s">
        <v>670</v>
      </c>
      <c r="E511" s="33" t="s">
        <v>796</v>
      </c>
      <c r="F511" s="33" t="s">
        <v>88</v>
      </c>
      <c r="G511" s="34" t="s">
        <v>127</v>
      </c>
      <c r="H511" s="24">
        <f t="shared" si="21"/>
        <v>0.5</v>
      </c>
      <c r="I511" s="35"/>
      <c r="J511" s="35" t="s">
        <v>579</v>
      </c>
      <c r="K511" s="36"/>
      <c r="L511" s="34" t="s">
        <v>100</v>
      </c>
      <c r="M511" s="40"/>
      <c r="N511" s="40"/>
      <c r="O511" s="35" t="s">
        <v>579</v>
      </c>
      <c r="P511" s="27"/>
      <c r="Q511" s="27" t="s">
        <v>856</v>
      </c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17"/>
      <c r="AC511" s="17">
        <v>2</v>
      </c>
      <c r="AD511" s="17">
        <f t="shared" si="22"/>
        <v>1</v>
      </c>
      <c r="AE511" s="28">
        <f t="shared" si="23"/>
        <v>0</v>
      </c>
      <c r="AF511" s="28">
        <v>1</v>
      </c>
    </row>
    <row r="512" spans="1:32" ht="15.75" customHeight="1" x14ac:dyDescent="0.3">
      <c r="A512" s="32" t="s">
        <v>661</v>
      </c>
      <c r="B512" s="33" t="s">
        <v>675</v>
      </c>
      <c r="C512" s="33" t="s">
        <v>554</v>
      </c>
      <c r="D512" s="33" t="s">
        <v>670</v>
      </c>
      <c r="E512" s="33" t="s">
        <v>674</v>
      </c>
      <c r="F512" s="33" t="s">
        <v>88</v>
      </c>
      <c r="G512" s="34" t="s">
        <v>127</v>
      </c>
      <c r="H512" s="24">
        <f t="shared" si="21"/>
        <v>0.5</v>
      </c>
      <c r="I512" s="35"/>
      <c r="J512" s="35" t="s">
        <v>579</v>
      </c>
      <c r="K512" s="36"/>
      <c r="L512" s="34" t="s">
        <v>100</v>
      </c>
      <c r="M512" s="40"/>
      <c r="N512" s="40"/>
      <c r="O512" s="35" t="s">
        <v>579</v>
      </c>
      <c r="P512" s="27"/>
      <c r="Q512" s="27" t="s">
        <v>856</v>
      </c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17"/>
      <c r="AC512" s="17">
        <v>2</v>
      </c>
      <c r="AD512" s="17">
        <f t="shared" si="22"/>
        <v>1</v>
      </c>
      <c r="AE512" s="28">
        <f t="shared" si="23"/>
        <v>0</v>
      </c>
      <c r="AF512" s="28">
        <v>1</v>
      </c>
    </row>
    <row r="513" spans="1:32" ht="15.75" customHeight="1" x14ac:dyDescent="0.3">
      <c r="A513" s="32" t="s">
        <v>661</v>
      </c>
      <c r="B513" s="33" t="s">
        <v>676</v>
      </c>
      <c r="C513" s="33" t="s">
        <v>556</v>
      </c>
      <c r="D513" s="33" t="s">
        <v>670</v>
      </c>
      <c r="E513" s="33" t="s">
        <v>671</v>
      </c>
      <c r="F513" s="33" t="s">
        <v>88</v>
      </c>
      <c r="G513" s="34" t="s">
        <v>127</v>
      </c>
      <c r="H513" s="24">
        <f t="shared" si="21"/>
        <v>0</v>
      </c>
      <c r="I513" s="35"/>
      <c r="J513" s="35" t="s">
        <v>579</v>
      </c>
      <c r="K513" s="36"/>
      <c r="L513" s="34" t="s">
        <v>100</v>
      </c>
      <c r="M513" s="40"/>
      <c r="N513" s="40"/>
      <c r="O513" s="35" t="s">
        <v>579</v>
      </c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17"/>
      <c r="AC513" s="17">
        <v>2</v>
      </c>
      <c r="AD513" s="17">
        <f t="shared" si="22"/>
        <v>0</v>
      </c>
      <c r="AE513" s="28">
        <f t="shared" si="23"/>
        <v>0</v>
      </c>
      <c r="AF513" s="28">
        <v>1</v>
      </c>
    </row>
    <row r="514" spans="1:32" ht="15.75" customHeight="1" x14ac:dyDescent="0.3">
      <c r="A514" s="32" t="s">
        <v>661</v>
      </c>
      <c r="B514" s="33" t="s">
        <v>676</v>
      </c>
      <c r="C514" s="33" t="s">
        <v>556</v>
      </c>
      <c r="D514" s="33" t="s">
        <v>670</v>
      </c>
      <c r="E514" s="33" t="s">
        <v>796</v>
      </c>
      <c r="F514" s="33" t="s">
        <v>88</v>
      </c>
      <c r="G514" s="34" t="s">
        <v>127</v>
      </c>
      <c r="H514" s="24">
        <f t="shared" si="21"/>
        <v>0</v>
      </c>
      <c r="I514" s="35"/>
      <c r="J514" s="35" t="s">
        <v>579</v>
      </c>
      <c r="K514" s="36"/>
      <c r="L514" s="34" t="s">
        <v>100</v>
      </c>
      <c r="M514" s="40"/>
      <c r="N514" s="40"/>
      <c r="O514" s="35" t="s">
        <v>579</v>
      </c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17"/>
      <c r="AC514" s="17">
        <v>2</v>
      </c>
      <c r="AD514" s="17">
        <f t="shared" si="22"/>
        <v>0</v>
      </c>
      <c r="AE514" s="28">
        <f t="shared" si="23"/>
        <v>0</v>
      </c>
      <c r="AF514" s="28">
        <v>1</v>
      </c>
    </row>
    <row r="515" spans="1:32" ht="15.75" customHeight="1" x14ac:dyDescent="0.3">
      <c r="A515" s="32" t="s">
        <v>661</v>
      </c>
      <c r="B515" s="33" t="s">
        <v>676</v>
      </c>
      <c r="C515" s="33" t="s">
        <v>556</v>
      </c>
      <c r="D515" s="33" t="s">
        <v>670</v>
      </c>
      <c r="E515" s="33" t="s">
        <v>674</v>
      </c>
      <c r="F515" s="33" t="s">
        <v>88</v>
      </c>
      <c r="G515" s="34" t="s">
        <v>127</v>
      </c>
      <c r="H515" s="24">
        <f t="shared" si="21"/>
        <v>0</v>
      </c>
      <c r="I515" s="35"/>
      <c r="J515" s="35" t="s">
        <v>579</v>
      </c>
      <c r="K515" s="36"/>
      <c r="L515" s="34" t="s">
        <v>100</v>
      </c>
      <c r="M515" s="40"/>
      <c r="N515" s="40"/>
      <c r="O515" s="35" t="s">
        <v>579</v>
      </c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17"/>
      <c r="AC515" s="17">
        <v>2</v>
      </c>
      <c r="AD515" s="17">
        <f t="shared" si="22"/>
        <v>0</v>
      </c>
      <c r="AE515" s="28">
        <f t="shared" si="23"/>
        <v>0</v>
      </c>
      <c r="AF515" s="28">
        <v>1</v>
      </c>
    </row>
    <row r="516" spans="1:32" ht="15.75" customHeight="1" x14ac:dyDescent="0.3">
      <c r="A516" s="32" t="s">
        <v>661</v>
      </c>
      <c r="B516" s="33" t="s">
        <v>677</v>
      </c>
      <c r="C516" s="33" t="s">
        <v>558</v>
      </c>
      <c r="D516" s="33" t="s">
        <v>670</v>
      </c>
      <c r="E516" s="33" t="s">
        <v>671</v>
      </c>
      <c r="F516" s="33" t="s">
        <v>88</v>
      </c>
      <c r="G516" s="34" t="s">
        <v>127</v>
      </c>
      <c r="H516" s="24">
        <f t="shared" ref="H516:H579" si="24">IF(AC516=0," ",(AD516/AC516))</f>
        <v>0</v>
      </c>
      <c r="I516" s="35"/>
      <c r="J516" s="35" t="s">
        <v>579</v>
      </c>
      <c r="K516" s="36"/>
      <c r="L516" s="34" t="s">
        <v>100</v>
      </c>
      <c r="M516" s="40"/>
      <c r="N516" s="40"/>
      <c r="O516" s="35" t="s">
        <v>579</v>
      </c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17"/>
      <c r="AC516" s="17">
        <v>2</v>
      </c>
      <c r="AD516" s="17">
        <f t="shared" ref="AD516:AD579" si="25">IF(COUNTA(P516:AB516)&gt;AC516,AC516,COUNTA(P516:AB516))</f>
        <v>0</v>
      </c>
      <c r="AE516" s="28">
        <f t="shared" ref="AE516:AE579" si="26">IF(H516=1,1,0)</f>
        <v>0</v>
      </c>
      <c r="AF516" s="28">
        <v>1</v>
      </c>
    </row>
    <row r="517" spans="1:32" ht="15.75" customHeight="1" x14ac:dyDescent="0.3">
      <c r="A517" s="32" t="s">
        <v>661</v>
      </c>
      <c r="B517" s="33" t="s">
        <v>677</v>
      </c>
      <c r="C517" s="33" t="s">
        <v>558</v>
      </c>
      <c r="D517" s="33" t="s">
        <v>670</v>
      </c>
      <c r="E517" s="33" t="s">
        <v>796</v>
      </c>
      <c r="F517" s="33" t="s">
        <v>88</v>
      </c>
      <c r="G517" s="34" t="s">
        <v>127</v>
      </c>
      <c r="H517" s="24">
        <f t="shared" si="24"/>
        <v>0</v>
      </c>
      <c r="I517" s="35"/>
      <c r="J517" s="35" t="s">
        <v>579</v>
      </c>
      <c r="K517" s="36"/>
      <c r="L517" s="34" t="s">
        <v>100</v>
      </c>
      <c r="M517" s="40"/>
      <c r="N517" s="40"/>
      <c r="O517" s="35" t="s">
        <v>579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17"/>
      <c r="AC517" s="17">
        <v>2</v>
      </c>
      <c r="AD517" s="17">
        <f t="shared" si="25"/>
        <v>0</v>
      </c>
      <c r="AE517" s="28">
        <f t="shared" si="26"/>
        <v>0</v>
      </c>
      <c r="AF517" s="28">
        <v>1</v>
      </c>
    </row>
    <row r="518" spans="1:32" ht="15.75" customHeight="1" x14ac:dyDescent="0.3">
      <c r="A518" s="32" t="s">
        <v>661</v>
      </c>
      <c r="B518" s="33" t="s">
        <v>677</v>
      </c>
      <c r="C518" s="33" t="s">
        <v>558</v>
      </c>
      <c r="D518" s="33" t="s">
        <v>670</v>
      </c>
      <c r="E518" s="33" t="s">
        <v>674</v>
      </c>
      <c r="F518" s="33" t="s">
        <v>88</v>
      </c>
      <c r="G518" s="34" t="s">
        <v>127</v>
      </c>
      <c r="H518" s="24">
        <f t="shared" si="24"/>
        <v>0</v>
      </c>
      <c r="I518" s="35"/>
      <c r="J518" s="35" t="s">
        <v>579</v>
      </c>
      <c r="K518" s="36"/>
      <c r="L518" s="34" t="s">
        <v>100</v>
      </c>
      <c r="M518" s="40"/>
      <c r="N518" s="40"/>
      <c r="O518" s="35" t="s">
        <v>579</v>
      </c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17"/>
      <c r="AC518" s="17">
        <v>2</v>
      </c>
      <c r="AD518" s="17">
        <f t="shared" si="25"/>
        <v>0</v>
      </c>
      <c r="AE518" s="28">
        <f t="shared" si="26"/>
        <v>0</v>
      </c>
      <c r="AF518" s="28">
        <v>1</v>
      </c>
    </row>
    <row r="519" spans="1:32" ht="15.75" customHeight="1" x14ac:dyDescent="0.3">
      <c r="A519" s="32" t="s">
        <v>661</v>
      </c>
      <c r="B519" s="33" t="s">
        <v>678</v>
      </c>
      <c r="C519" s="33" t="s">
        <v>560</v>
      </c>
      <c r="D519" s="33" t="s">
        <v>670</v>
      </c>
      <c r="E519" s="33" t="s">
        <v>671</v>
      </c>
      <c r="F519" s="33" t="s">
        <v>88</v>
      </c>
      <c r="G519" s="34" t="s">
        <v>127</v>
      </c>
      <c r="H519" s="24">
        <f t="shared" si="24"/>
        <v>0</v>
      </c>
      <c r="I519" s="35"/>
      <c r="J519" s="35" t="s">
        <v>579</v>
      </c>
      <c r="K519" s="36"/>
      <c r="L519" s="34" t="s">
        <v>100</v>
      </c>
      <c r="M519" s="40"/>
      <c r="N519" s="40"/>
      <c r="O519" s="35" t="s">
        <v>579</v>
      </c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17"/>
      <c r="AC519" s="17">
        <v>2</v>
      </c>
      <c r="AD519" s="17">
        <f t="shared" si="25"/>
        <v>0</v>
      </c>
      <c r="AE519" s="28">
        <f t="shared" si="26"/>
        <v>0</v>
      </c>
      <c r="AF519" s="28">
        <v>1</v>
      </c>
    </row>
    <row r="520" spans="1:32" ht="15.75" customHeight="1" x14ac:dyDescent="0.3">
      <c r="A520" s="32" t="s">
        <v>661</v>
      </c>
      <c r="B520" s="33" t="s">
        <v>678</v>
      </c>
      <c r="C520" s="33" t="s">
        <v>560</v>
      </c>
      <c r="D520" s="33" t="s">
        <v>670</v>
      </c>
      <c r="E520" s="33" t="s">
        <v>796</v>
      </c>
      <c r="F520" s="33" t="s">
        <v>88</v>
      </c>
      <c r="G520" s="34" t="s">
        <v>127</v>
      </c>
      <c r="H520" s="24">
        <f t="shared" si="24"/>
        <v>0</v>
      </c>
      <c r="I520" s="35"/>
      <c r="J520" s="35" t="s">
        <v>579</v>
      </c>
      <c r="K520" s="36"/>
      <c r="L520" s="34" t="s">
        <v>100</v>
      </c>
      <c r="M520" s="40"/>
      <c r="N520" s="40"/>
      <c r="O520" s="35" t="s">
        <v>579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17"/>
      <c r="AC520" s="17">
        <v>2</v>
      </c>
      <c r="AD520" s="17">
        <f t="shared" si="25"/>
        <v>0</v>
      </c>
      <c r="AE520" s="28">
        <f t="shared" si="26"/>
        <v>0</v>
      </c>
      <c r="AF520" s="28">
        <v>1</v>
      </c>
    </row>
    <row r="521" spans="1:32" ht="15.75" customHeight="1" x14ac:dyDescent="0.3">
      <c r="A521" s="32" t="s">
        <v>661</v>
      </c>
      <c r="B521" s="33" t="s">
        <v>678</v>
      </c>
      <c r="C521" s="33" t="s">
        <v>560</v>
      </c>
      <c r="D521" s="33" t="s">
        <v>670</v>
      </c>
      <c r="E521" s="33" t="s">
        <v>674</v>
      </c>
      <c r="F521" s="33" t="s">
        <v>88</v>
      </c>
      <c r="G521" s="34" t="s">
        <v>127</v>
      </c>
      <c r="H521" s="24">
        <f t="shared" si="24"/>
        <v>0</v>
      </c>
      <c r="I521" s="35"/>
      <c r="J521" s="35" t="s">
        <v>579</v>
      </c>
      <c r="K521" s="36"/>
      <c r="L521" s="34" t="s">
        <v>100</v>
      </c>
      <c r="M521" s="40"/>
      <c r="N521" s="40"/>
      <c r="O521" s="35" t="s">
        <v>579</v>
      </c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17"/>
      <c r="AC521" s="17">
        <v>2</v>
      </c>
      <c r="AD521" s="17">
        <f t="shared" si="25"/>
        <v>0</v>
      </c>
      <c r="AE521" s="28">
        <f t="shared" si="26"/>
        <v>0</v>
      </c>
      <c r="AF521" s="28">
        <v>1</v>
      </c>
    </row>
    <row r="522" spans="1:32" ht="15.75" customHeight="1" x14ac:dyDescent="0.3">
      <c r="A522" s="32" t="s">
        <v>661</v>
      </c>
      <c r="B522" s="33" t="s">
        <v>679</v>
      </c>
      <c r="C522" s="33" t="s">
        <v>548</v>
      </c>
      <c r="D522" s="33" t="s">
        <v>670</v>
      </c>
      <c r="E522" s="33" t="s">
        <v>671</v>
      </c>
      <c r="F522" s="33" t="s">
        <v>88</v>
      </c>
      <c r="G522" s="34" t="s">
        <v>127</v>
      </c>
      <c r="H522" s="24">
        <f t="shared" si="24"/>
        <v>0</v>
      </c>
      <c r="I522" s="35"/>
      <c r="J522" s="35" t="s">
        <v>579</v>
      </c>
      <c r="K522" s="36"/>
      <c r="L522" s="34" t="s">
        <v>100</v>
      </c>
      <c r="M522" s="40"/>
      <c r="N522" s="40"/>
      <c r="O522" s="35" t="s">
        <v>579</v>
      </c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17">
        <v>2</v>
      </c>
      <c r="AD522" s="17">
        <f t="shared" si="25"/>
        <v>0</v>
      </c>
      <c r="AE522" s="28">
        <f t="shared" si="26"/>
        <v>0</v>
      </c>
      <c r="AF522" s="28">
        <v>1</v>
      </c>
    </row>
    <row r="523" spans="1:32" ht="15.75" customHeight="1" x14ac:dyDescent="0.3">
      <c r="A523" s="32" t="s">
        <v>661</v>
      </c>
      <c r="B523" s="33" t="s">
        <v>679</v>
      </c>
      <c r="C523" s="33" t="s">
        <v>548</v>
      </c>
      <c r="D523" s="33" t="s">
        <v>670</v>
      </c>
      <c r="E523" s="33" t="s">
        <v>796</v>
      </c>
      <c r="F523" s="33" t="s">
        <v>88</v>
      </c>
      <c r="G523" s="34" t="s">
        <v>127</v>
      </c>
      <c r="H523" s="24">
        <f t="shared" si="24"/>
        <v>0</v>
      </c>
      <c r="I523" s="35"/>
      <c r="J523" s="35" t="s">
        <v>579</v>
      </c>
      <c r="K523" s="36"/>
      <c r="L523" s="34" t="s">
        <v>100</v>
      </c>
      <c r="M523" s="40"/>
      <c r="N523" s="40"/>
      <c r="O523" s="35" t="s">
        <v>579</v>
      </c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17">
        <v>2</v>
      </c>
      <c r="AD523" s="17">
        <f t="shared" si="25"/>
        <v>0</v>
      </c>
      <c r="AE523" s="28">
        <f t="shared" si="26"/>
        <v>0</v>
      </c>
      <c r="AF523" s="28">
        <v>1</v>
      </c>
    </row>
    <row r="524" spans="1:32" ht="15.75" customHeight="1" x14ac:dyDescent="0.3">
      <c r="A524" s="32" t="s">
        <v>661</v>
      </c>
      <c r="B524" s="33" t="s">
        <v>679</v>
      </c>
      <c r="C524" s="33" t="s">
        <v>548</v>
      </c>
      <c r="D524" s="33" t="s">
        <v>670</v>
      </c>
      <c r="E524" s="33" t="s">
        <v>674</v>
      </c>
      <c r="F524" s="33" t="s">
        <v>88</v>
      </c>
      <c r="G524" s="34" t="s">
        <v>127</v>
      </c>
      <c r="H524" s="24">
        <f t="shared" si="24"/>
        <v>0</v>
      </c>
      <c r="I524" s="35"/>
      <c r="J524" s="35" t="s">
        <v>579</v>
      </c>
      <c r="K524" s="36"/>
      <c r="L524" s="34" t="s">
        <v>100</v>
      </c>
      <c r="M524" s="40"/>
      <c r="N524" s="40"/>
      <c r="O524" s="35" t="s">
        <v>579</v>
      </c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17">
        <v>2</v>
      </c>
      <c r="AD524" s="17">
        <f t="shared" si="25"/>
        <v>0</v>
      </c>
      <c r="AE524" s="28">
        <f t="shared" si="26"/>
        <v>0</v>
      </c>
      <c r="AF524" s="28">
        <v>1</v>
      </c>
    </row>
    <row r="525" spans="1:32" ht="15.75" hidden="1" customHeight="1" x14ac:dyDescent="0.3">
      <c r="A525" s="32" t="s">
        <v>680</v>
      </c>
      <c r="B525" s="33" t="s">
        <v>702</v>
      </c>
      <c r="C525" s="33" t="s">
        <v>703</v>
      </c>
      <c r="D525" s="33" t="s">
        <v>704</v>
      </c>
      <c r="E525" s="33" t="s">
        <v>765</v>
      </c>
      <c r="F525" s="33" t="s">
        <v>89</v>
      </c>
      <c r="G525" s="34" t="s">
        <v>99</v>
      </c>
      <c r="H525" s="24">
        <f t="shared" si="24"/>
        <v>0</v>
      </c>
      <c r="I525" s="35"/>
      <c r="J525" s="35"/>
      <c r="K525" s="36"/>
      <c r="L525" s="34" t="s">
        <v>100</v>
      </c>
      <c r="M525" s="40"/>
      <c r="N525" s="40" t="s">
        <v>543</v>
      </c>
      <c r="O525" s="35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17"/>
      <c r="AC525" s="17">
        <v>1</v>
      </c>
      <c r="AD525" s="17">
        <f t="shared" si="25"/>
        <v>0</v>
      </c>
      <c r="AE525" s="28">
        <f t="shared" si="26"/>
        <v>0</v>
      </c>
      <c r="AF525" s="28">
        <v>1</v>
      </c>
    </row>
    <row r="526" spans="1:32" ht="15.75" hidden="1" customHeight="1" x14ac:dyDescent="0.3">
      <c r="A526" s="32" t="s">
        <v>680</v>
      </c>
      <c r="B526" s="33" t="s">
        <v>702</v>
      </c>
      <c r="C526" s="33" t="s">
        <v>703</v>
      </c>
      <c r="D526" s="33" t="s">
        <v>704</v>
      </c>
      <c r="E526" s="33" t="s">
        <v>225</v>
      </c>
      <c r="F526" s="33" t="s">
        <v>672</v>
      </c>
      <c r="G526" s="34" t="s">
        <v>673</v>
      </c>
      <c r="H526" s="24">
        <f t="shared" si="24"/>
        <v>0</v>
      </c>
      <c r="I526" s="35"/>
      <c r="J526" s="35" t="s">
        <v>226</v>
      </c>
      <c r="K526" s="36"/>
      <c r="L526" s="34" t="s">
        <v>100</v>
      </c>
      <c r="M526" s="40"/>
      <c r="N526" s="40" t="s">
        <v>227</v>
      </c>
      <c r="O526" s="35" t="s">
        <v>226</v>
      </c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17"/>
      <c r="AC526" s="17">
        <v>2</v>
      </c>
      <c r="AD526" s="17">
        <f t="shared" si="25"/>
        <v>0</v>
      </c>
      <c r="AE526" s="28">
        <f t="shared" si="26"/>
        <v>0</v>
      </c>
      <c r="AF526" s="28">
        <v>3</v>
      </c>
    </row>
    <row r="527" spans="1:32" ht="15.75" hidden="1" customHeight="1" x14ac:dyDescent="0.3">
      <c r="A527" s="32" t="s">
        <v>680</v>
      </c>
      <c r="B527" s="33" t="s">
        <v>702</v>
      </c>
      <c r="C527" s="33" t="s">
        <v>703</v>
      </c>
      <c r="D527" s="33" t="s">
        <v>704</v>
      </c>
      <c r="E527" s="33" t="s">
        <v>764</v>
      </c>
      <c r="F527" s="33" t="s">
        <v>96</v>
      </c>
      <c r="G527" s="34" t="s">
        <v>167</v>
      </c>
      <c r="H527" s="24">
        <f t="shared" si="24"/>
        <v>0</v>
      </c>
      <c r="I527" s="35"/>
      <c r="J527" s="35"/>
      <c r="K527" s="36"/>
      <c r="L527" s="34" t="s">
        <v>105</v>
      </c>
      <c r="M527" s="40"/>
      <c r="N527" s="40"/>
      <c r="O527" s="35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17">
        <v>3</v>
      </c>
      <c r="AD527" s="17">
        <f t="shared" si="25"/>
        <v>0</v>
      </c>
      <c r="AE527" s="28">
        <f t="shared" si="26"/>
        <v>0</v>
      </c>
      <c r="AF527" s="28">
        <v>1</v>
      </c>
    </row>
    <row r="528" spans="1:32" ht="15.75" hidden="1" customHeight="1" x14ac:dyDescent="0.3">
      <c r="A528" s="32" t="s">
        <v>680</v>
      </c>
      <c r="B528" s="33" t="s">
        <v>702</v>
      </c>
      <c r="C528" s="33" t="s">
        <v>703</v>
      </c>
      <c r="D528" s="33" t="s">
        <v>704</v>
      </c>
      <c r="E528" s="33" t="s">
        <v>195</v>
      </c>
      <c r="F528" s="33" t="s">
        <v>196</v>
      </c>
      <c r="G528" s="34" t="s">
        <v>167</v>
      </c>
      <c r="H528" s="24">
        <f t="shared" si="24"/>
        <v>0</v>
      </c>
      <c r="I528" s="35"/>
      <c r="J528" s="35"/>
      <c r="K528" s="36"/>
      <c r="L528" s="34" t="s">
        <v>105</v>
      </c>
      <c r="M528" s="40"/>
      <c r="N528" s="51"/>
      <c r="O528" s="35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17">
        <v>3</v>
      </c>
      <c r="AD528" s="17">
        <f t="shared" si="25"/>
        <v>0</v>
      </c>
      <c r="AE528" s="28">
        <f t="shared" si="26"/>
        <v>0</v>
      </c>
      <c r="AF528" s="28">
        <v>1</v>
      </c>
    </row>
    <row r="529" spans="1:32" ht="15.75" hidden="1" customHeight="1" x14ac:dyDescent="0.3">
      <c r="A529" s="32" t="s">
        <v>680</v>
      </c>
      <c r="B529" s="33" t="s">
        <v>689</v>
      </c>
      <c r="C529" s="33" t="s">
        <v>690</v>
      </c>
      <c r="D529" s="33" t="s">
        <v>691</v>
      </c>
      <c r="E529" s="33" t="s">
        <v>692</v>
      </c>
      <c r="F529" s="33" t="s">
        <v>672</v>
      </c>
      <c r="G529" s="34" t="s">
        <v>673</v>
      </c>
      <c r="H529" s="24">
        <f t="shared" si="24"/>
        <v>0</v>
      </c>
      <c r="I529" s="35"/>
      <c r="J529" s="35" t="s">
        <v>693</v>
      </c>
      <c r="K529" s="36"/>
      <c r="L529" s="34" t="s">
        <v>100</v>
      </c>
      <c r="M529" s="40"/>
      <c r="N529" s="40" t="s">
        <v>837</v>
      </c>
      <c r="O529" s="35" t="s">
        <v>693</v>
      </c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17"/>
      <c r="AC529" s="17">
        <v>2</v>
      </c>
      <c r="AD529" s="17">
        <f t="shared" si="25"/>
        <v>0</v>
      </c>
      <c r="AE529" s="28">
        <f t="shared" si="26"/>
        <v>0</v>
      </c>
      <c r="AF529" s="28">
        <v>1</v>
      </c>
    </row>
    <row r="530" spans="1:32" ht="15.75" hidden="1" customHeight="1" x14ac:dyDescent="0.3">
      <c r="A530" s="32" t="s">
        <v>680</v>
      </c>
      <c r="B530" s="33" t="s">
        <v>689</v>
      </c>
      <c r="C530" s="33" t="s">
        <v>690</v>
      </c>
      <c r="D530" s="33" t="s">
        <v>691</v>
      </c>
      <c r="E530" s="33" t="s">
        <v>694</v>
      </c>
      <c r="F530" s="33" t="s">
        <v>672</v>
      </c>
      <c r="G530" s="34" t="s">
        <v>673</v>
      </c>
      <c r="H530" s="24">
        <f t="shared" si="24"/>
        <v>0</v>
      </c>
      <c r="I530" s="35"/>
      <c r="J530" s="35" t="s">
        <v>695</v>
      </c>
      <c r="K530" s="36"/>
      <c r="L530" s="34" t="s">
        <v>100</v>
      </c>
      <c r="M530" s="40"/>
      <c r="N530" s="40" t="s">
        <v>837</v>
      </c>
      <c r="O530" s="35" t="s">
        <v>695</v>
      </c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17"/>
      <c r="AC530" s="17">
        <v>2</v>
      </c>
      <c r="AD530" s="17">
        <f t="shared" si="25"/>
        <v>0</v>
      </c>
      <c r="AE530" s="28">
        <f t="shared" si="26"/>
        <v>0</v>
      </c>
      <c r="AF530" s="28">
        <v>1</v>
      </c>
    </row>
    <row r="531" spans="1:32" ht="15.75" hidden="1" customHeight="1" x14ac:dyDescent="0.3">
      <c r="A531" s="32" t="s">
        <v>680</v>
      </c>
      <c r="B531" s="33" t="s">
        <v>689</v>
      </c>
      <c r="C531" s="33" t="s">
        <v>690</v>
      </c>
      <c r="D531" s="33" t="s">
        <v>691</v>
      </c>
      <c r="E531" s="33" t="s">
        <v>714</v>
      </c>
      <c r="F531" s="33" t="s">
        <v>88</v>
      </c>
      <c r="G531" s="34" t="s">
        <v>127</v>
      </c>
      <c r="H531" s="24">
        <f t="shared" si="24"/>
        <v>0</v>
      </c>
      <c r="I531" s="35"/>
      <c r="J531" s="35"/>
      <c r="K531" s="36"/>
      <c r="L531" s="34" t="s">
        <v>100</v>
      </c>
      <c r="M531" s="40"/>
      <c r="N531" s="40"/>
      <c r="O531" s="35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17">
        <v>2</v>
      </c>
      <c r="AD531" s="17">
        <f t="shared" si="25"/>
        <v>0</v>
      </c>
      <c r="AE531" s="28">
        <f t="shared" si="26"/>
        <v>0</v>
      </c>
      <c r="AF531" s="28">
        <v>1</v>
      </c>
    </row>
    <row r="532" spans="1:32" ht="15.75" hidden="1" customHeight="1" x14ac:dyDescent="0.3">
      <c r="A532" s="32" t="s">
        <v>680</v>
      </c>
      <c r="B532" s="33" t="s">
        <v>689</v>
      </c>
      <c r="C532" s="33" t="s">
        <v>690</v>
      </c>
      <c r="D532" s="33" t="s">
        <v>691</v>
      </c>
      <c r="E532" s="33" t="s">
        <v>715</v>
      </c>
      <c r="F532" s="33" t="s">
        <v>88</v>
      </c>
      <c r="G532" s="34" t="s">
        <v>127</v>
      </c>
      <c r="H532" s="24">
        <f t="shared" si="24"/>
        <v>0</v>
      </c>
      <c r="I532" s="35"/>
      <c r="J532" s="35"/>
      <c r="K532" s="36"/>
      <c r="L532" s="34" t="s">
        <v>100</v>
      </c>
      <c r="M532" s="40"/>
      <c r="N532" s="40"/>
      <c r="O532" s="35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17"/>
      <c r="AC532" s="17">
        <v>2</v>
      </c>
      <c r="AD532" s="17">
        <f t="shared" si="25"/>
        <v>0</v>
      </c>
      <c r="AE532" s="28">
        <f t="shared" si="26"/>
        <v>0</v>
      </c>
      <c r="AF532" s="28">
        <v>1</v>
      </c>
    </row>
    <row r="533" spans="1:32" ht="15.75" hidden="1" customHeight="1" x14ac:dyDescent="0.3">
      <c r="A533" s="32" t="s">
        <v>680</v>
      </c>
      <c r="B533" s="33" t="s">
        <v>689</v>
      </c>
      <c r="C533" s="33" t="s">
        <v>690</v>
      </c>
      <c r="D533" s="33" t="s">
        <v>691</v>
      </c>
      <c r="E533" s="33" t="s">
        <v>716</v>
      </c>
      <c r="F533" s="33" t="s">
        <v>88</v>
      </c>
      <c r="G533" s="34" t="s">
        <v>127</v>
      </c>
      <c r="H533" s="24">
        <f t="shared" si="24"/>
        <v>0</v>
      </c>
      <c r="I533" s="35"/>
      <c r="J533" s="35"/>
      <c r="K533" s="36"/>
      <c r="L533" s="34" t="s">
        <v>100</v>
      </c>
      <c r="M533" s="40"/>
      <c r="N533" s="40"/>
      <c r="O533" s="35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17"/>
      <c r="AC533" s="17">
        <v>2</v>
      </c>
      <c r="AD533" s="17">
        <f t="shared" si="25"/>
        <v>0</v>
      </c>
      <c r="AE533" s="28">
        <f t="shared" si="26"/>
        <v>0</v>
      </c>
      <c r="AF533" s="28">
        <v>1</v>
      </c>
    </row>
    <row r="534" spans="1:32" ht="15.75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699</v>
      </c>
      <c r="E534" s="33" t="s">
        <v>700</v>
      </c>
      <c r="F534" s="33" t="s">
        <v>95</v>
      </c>
      <c r="G534" s="34" t="s">
        <v>95</v>
      </c>
      <c r="H534" s="24">
        <f t="shared" si="24"/>
        <v>0</v>
      </c>
      <c r="I534" s="35"/>
      <c r="J534" s="35"/>
      <c r="K534" s="36"/>
      <c r="L534" s="34" t="s">
        <v>100</v>
      </c>
      <c r="M534" s="40"/>
      <c r="N534" s="40"/>
      <c r="O534" s="35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17"/>
      <c r="AC534" s="17">
        <v>12</v>
      </c>
      <c r="AD534" s="17">
        <f t="shared" si="25"/>
        <v>0</v>
      </c>
      <c r="AE534" s="28">
        <f t="shared" si="26"/>
        <v>0</v>
      </c>
      <c r="AF534" s="28">
        <v>1</v>
      </c>
    </row>
    <row r="535" spans="1:32" ht="15.75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699</v>
      </c>
      <c r="E535" s="33" t="s">
        <v>701</v>
      </c>
      <c r="F535" s="33" t="s">
        <v>95</v>
      </c>
      <c r="G535" s="34" t="s">
        <v>95</v>
      </c>
      <c r="H535" s="24">
        <f t="shared" si="24"/>
        <v>0</v>
      </c>
      <c r="I535" s="35"/>
      <c r="J535" s="35"/>
      <c r="K535" s="36"/>
      <c r="L535" s="34" t="s">
        <v>105</v>
      </c>
      <c r="M535" s="40"/>
      <c r="N535" s="40"/>
      <c r="O535" s="35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17"/>
      <c r="AC535" s="17">
        <v>12</v>
      </c>
      <c r="AD535" s="17">
        <f t="shared" si="25"/>
        <v>0</v>
      </c>
      <c r="AE535" s="28">
        <f t="shared" si="26"/>
        <v>0</v>
      </c>
      <c r="AF535" s="28">
        <v>1</v>
      </c>
    </row>
    <row r="536" spans="1:32" ht="15.75" hidden="1" customHeight="1" x14ac:dyDescent="0.3">
      <c r="A536" s="32" t="s">
        <v>680</v>
      </c>
      <c r="B536" s="33" t="s">
        <v>681</v>
      </c>
      <c r="C536" s="33" t="s">
        <v>682</v>
      </c>
      <c r="D536" s="33" t="s">
        <v>683</v>
      </c>
      <c r="E536" s="33" t="s">
        <v>229</v>
      </c>
      <c r="F536" s="33" t="s">
        <v>672</v>
      </c>
      <c r="G536" s="34" t="s">
        <v>673</v>
      </c>
      <c r="H536" s="24">
        <f t="shared" si="24"/>
        <v>0</v>
      </c>
      <c r="I536" s="35"/>
      <c r="J536" s="35"/>
      <c r="K536" s="36"/>
      <c r="L536" s="34" t="s">
        <v>100</v>
      </c>
      <c r="M536" s="40"/>
      <c r="N536" s="40" t="s">
        <v>837</v>
      </c>
      <c r="O536" s="35" t="s">
        <v>684</v>
      </c>
      <c r="P536" s="42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17">
        <v>2</v>
      </c>
      <c r="AD536" s="17">
        <f t="shared" si="25"/>
        <v>0</v>
      </c>
      <c r="AE536" s="28">
        <f t="shared" si="26"/>
        <v>0</v>
      </c>
      <c r="AF536" s="28">
        <v>1</v>
      </c>
    </row>
    <row r="537" spans="1:32" ht="15.75" hidden="1" customHeight="1" x14ac:dyDescent="0.3">
      <c r="A537" s="32" t="s">
        <v>680</v>
      </c>
      <c r="B537" s="33" t="s">
        <v>681</v>
      </c>
      <c r="C537" s="33" t="s">
        <v>682</v>
      </c>
      <c r="D537" s="33" t="s">
        <v>683</v>
      </c>
      <c r="E537" s="33" t="s">
        <v>713</v>
      </c>
      <c r="F537" s="33" t="s">
        <v>88</v>
      </c>
      <c r="G537" s="34" t="s">
        <v>127</v>
      </c>
      <c r="H537" s="24">
        <f t="shared" si="24"/>
        <v>0</v>
      </c>
      <c r="I537" s="35"/>
      <c r="J537" s="35"/>
      <c r="K537" s="36"/>
      <c r="L537" s="34" t="s">
        <v>100</v>
      </c>
      <c r="M537" s="40"/>
      <c r="N537" s="40"/>
      <c r="O537" s="35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17">
        <v>2</v>
      </c>
      <c r="AD537" s="17">
        <f t="shared" si="25"/>
        <v>0</v>
      </c>
      <c r="AE537" s="28">
        <f t="shared" si="26"/>
        <v>0</v>
      </c>
      <c r="AF537" s="28">
        <v>1</v>
      </c>
    </row>
    <row r="538" spans="1:32" ht="15.75" hidden="1" customHeight="1" x14ac:dyDescent="0.3">
      <c r="A538" s="32" t="s">
        <v>680</v>
      </c>
      <c r="B538" s="33" t="s">
        <v>681</v>
      </c>
      <c r="C538" s="33" t="s">
        <v>682</v>
      </c>
      <c r="D538" s="33" t="s">
        <v>683</v>
      </c>
      <c r="E538" s="33" t="s">
        <v>221</v>
      </c>
      <c r="F538" s="33" t="s">
        <v>88</v>
      </c>
      <c r="G538" s="34" t="s">
        <v>127</v>
      </c>
      <c r="H538" s="24">
        <f t="shared" si="24"/>
        <v>0</v>
      </c>
      <c r="I538" s="35" t="s">
        <v>808</v>
      </c>
      <c r="J538" s="35"/>
      <c r="K538" s="36"/>
      <c r="L538" s="34" t="s">
        <v>100</v>
      </c>
      <c r="M538" s="40"/>
      <c r="N538" s="40"/>
      <c r="O538" s="35"/>
      <c r="P538" s="42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17">
        <v>2</v>
      </c>
      <c r="AD538" s="17">
        <f t="shared" si="25"/>
        <v>0</v>
      </c>
      <c r="AE538" s="28">
        <f t="shared" si="26"/>
        <v>0</v>
      </c>
      <c r="AF538" s="28">
        <v>1</v>
      </c>
    </row>
    <row r="539" spans="1:32" ht="15.75" hidden="1" customHeight="1" x14ac:dyDescent="0.3">
      <c r="A539" s="32" t="s">
        <v>680</v>
      </c>
      <c r="B539" s="33" t="s">
        <v>705</v>
      </c>
      <c r="C539" s="33" t="s">
        <v>703</v>
      </c>
      <c r="D539" s="33" t="s">
        <v>706</v>
      </c>
      <c r="E539" s="33" t="s">
        <v>213</v>
      </c>
      <c r="F539" s="33" t="s">
        <v>86</v>
      </c>
      <c r="G539" s="34" t="s">
        <v>99</v>
      </c>
      <c r="H539" s="24">
        <f t="shared" si="24"/>
        <v>0</v>
      </c>
      <c r="I539" s="35" t="s">
        <v>808</v>
      </c>
      <c r="J539" s="35"/>
      <c r="K539" s="36"/>
      <c r="L539" s="34" t="s">
        <v>100</v>
      </c>
      <c r="M539" s="40"/>
      <c r="N539" s="51"/>
      <c r="O539" s="35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17"/>
      <c r="AC539" s="17">
        <v>1</v>
      </c>
      <c r="AD539" s="17">
        <f t="shared" si="25"/>
        <v>0</v>
      </c>
      <c r="AE539" s="28">
        <f t="shared" si="26"/>
        <v>0</v>
      </c>
      <c r="AF539" s="28">
        <v>1</v>
      </c>
    </row>
    <row r="540" spans="1:32" ht="15.75" hidden="1" customHeight="1" x14ac:dyDescent="0.3">
      <c r="A540" s="32" t="s">
        <v>680</v>
      </c>
      <c r="B540" s="33" t="s">
        <v>705</v>
      </c>
      <c r="C540" s="33" t="s">
        <v>703</v>
      </c>
      <c r="D540" s="33" t="s">
        <v>706</v>
      </c>
      <c r="E540" s="33" t="s">
        <v>707</v>
      </c>
      <c r="F540" s="33" t="s">
        <v>86</v>
      </c>
      <c r="G540" s="34" t="s">
        <v>99</v>
      </c>
      <c r="H540" s="24">
        <f t="shared" si="24"/>
        <v>0</v>
      </c>
      <c r="I540" s="35" t="s">
        <v>808</v>
      </c>
      <c r="J540" s="35"/>
      <c r="K540" s="36"/>
      <c r="L540" s="34" t="s">
        <v>100</v>
      </c>
      <c r="M540" s="40"/>
      <c r="N540" s="40"/>
      <c r="O540" s="35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17"/>
      <c r="AC540" s="17">
        <v>1</v>
      </c>
      <c r="AD540" s="17">
        <f t="shared" si="25"/>
        <v>0</v>
      </c>
      <c r="AE540" s="28">
        <f t="shared" si="26"/>
        <v>0</v>
      </c>
      <c r="AF540" s="28">
        <v>2</v>
      </c>
    </row>
    <row r="541" spans="1:32" ht="15.75" hidden="1" customHeight="1" x14ac:dyDescent="0.3">
      <c r="A541" s="32" t="s">
        <v>680</v>
      </c>
      <c r="B541" s="33" t="s">
        <v>705</v>
      </c>
      <c r="C541" s="33" t="s">
        <v>703</v>
      </c>
      <c r="D541" s="33" t="s">
        <v>708</v>
      </c>
      <c r="E541" s="33" t="s">
        <v>160</v>
      </c>
      <c r="F541" s="33" t="s">
        <v>86</v>
      </c>
      <c r="G541" s="34" t="s">
        <v>99</v>
      </c>
      <c r="H541" s="24">
        <f t="shared" si="24"/>
        <v>0</v>
      </c>
      <c r="I541" s="35" t="s">
        <v>808</v>
      </c>
      <c r="J541" s="35"/>
      <c r="K541" s="36"/>
      <c r="L541" s="34" t="s">
        <v>100</v>
      </c>
      <c r="M541" s="40"/>
      <c r="N541" s="40"/>
      <c r="O541" s="35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17"/>
      <c r="AC541" s="17">
        <v>1</v>
      </c>
      <c r="AD541" s="17">
        <f t="shared" si="25"/>
        <v>0</v>
      </c>
      <c r="AE541" s="28">
        <f t="shared" si="26"/>
        <v>0</v>
      </c>
      <c r="AF541" s="28">
        <v>1</v>
      </c>
    </row>
    <row r="542" spans="1:32" ht="15.75" hidden="1" customHeight="1" x14ac:dyDescent="0.3">
      <c r="A542" s="32" t="s">
        <v>680</v>
      </c>
      <c r="B542" s="33" t="s">
        <v>705</v>
      </c>
      <c r="C542" s="33" t="s">
        <v>703</v>
      </c>
      <c r="D542" s="33" t="s">
        <v>708</v>
      </c>
      <c r="E542" s="33" t="s">
        <v>797</v>
      </c>
      <c r="F542" s="33" t="s">
        <v>88</v>
      </c>
      <c r="G542" s="34" t="s">
        <v>127</v>
      </c>
      <c r="H542" s="24">
        <f t="shared" si="24"/>
        <v>0</v>
      </c>
      <c r="I542" s="35" t="s">
        <v>808</v>
      </c>
      <c r="J542" s="35"/>
      <c r="K542" s="36"/>
      <c r="L542" s="34" t="s">
        <v>100</v>
      </c>
      <c r="M542" s="40"/>
      <c r="N542" s="40"/>
      <c r="O542" s="35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17">
        <v>2</v>
      </c>
      <c r="AD542" s="17">
        <f t="shared" si="25"/>
        <v>0</v>
      </c>
      <c r="AE542" s="28">
        <f t="shared" si="26"/>
        <v>0</v>
      </c>
      <c r="AF542" s="28">
        <v>1</v>
      </c>
    </row>
    <row r="543" spans="1:32" ht="15.75" hidden="1" customHeight="1" x14ac:dyDescent="0.3">
      <c r="A543" s="32" t="s">
        <v>680</v>
      </c>
      <c r="B543" s="33" t="s">
        <v>705</v>
      </c>
      <c r="C543" s="33" t="s">
        <v>703</v>
      </c>
      <c r="D543" s="33" t="s">
        <v>708</v>
      </c>
      <c r="E543" s="33" t="s">
        <v>217</v>
      </c>
      <c r="F543" s="33" t="s">
        <v>118</v>
      </c>
      <c r="G543" s="34"/>
      <c r="H543" s="24">
        <f t="shared" si="24"/>
        <v>0</v>
      </c>
      <c r="I543" s="25"/>
      <c r="J543" s="25"/>
      <c r="K543" s="26"/>
      <c r="L543" s="27" t="s">
        <v>100</v>
      </c>
      <c r="M543" s="29"/>
      <c r="N543" s="29"/>
      <c r="O543" s="25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17"/>
      <c r="AC543" s="17">
        <v>1</v>
      </c>
      <c r="AD543" s="17">
        <f t="shared" si="25"/>
        <v>0</v>
      </c>
      <c r="AE543" s="28">
        <f t="shared" si="26"/>
        <v>0</v>
      </c>
      <c r="AF543" s="28">
        <v>1</v>
      </c>
    </row>
    <row r="544" spans="1:32" ht="15.75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846</v>
      </c>
      <c r="E544" s="33" t="s">
        <v>823</v>
      </c>
      <c r="F544" s="33" t="s">
        <v>672</v>
      </c>
      <c r="G544" s="34" t="s">
        <v>673</v>
      </c>
      <c r="H544" s="24">
        <f t="shared" si="24"/>
        <v>0</v>
      </c>
      <c r="I544" s="35"/>
      <c r="J544" s="35"/>
      <c r="K544" s="36"/>
      <c r="L544" s="34"/>
      <c r="M544" s="40"/>
      <c r="N544" s="40"/>
      <c r="O544" s="35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17"/>
      <c r="AC544" s="17">
        <v>2</v>
      </c>
      <c r="AD544" s="17">
        <f t="shared" si="25"/>
        <v>0</v>
      </c>
      <c r="AE544" s="28">
        <f t="shared" si="26"/>
        <v>0</v>
      </c>
      <c r="AF544" s="28"/>
    </row>
    <row r="545" spans="1:32" ht="15.75" hidden="1" customHeight="1" x14ac:dyDescent="0.3">
      <c r="A545" s="32" t="s">
        <v>680</v>
      </c>
      <c r="B545" s="33" t="s">
        <v>709</v>
      </c>
      <c r="C545" s="33" t="s">
        <v>686</v>
      </c>
      <c r="D545" s="33" t="s">
        <v>710</v>
      </c>
      <c r="E545" s="33" t="s">
        <v>712</v>
      </c>
      <c r="F545" s="33" t="s">
        <v>88</v>
      </c>
      <c r="G545" s="34" t="s">
        <v>127</v>
      </c>
      <c r="H545" s="24">
        <f t="shared" si="24"/>
        <v>0</v>
      </c>
      <c r="I545" s="35"/>
      <c r="J545" s="35"/>
      <c r="K545" s="36"/>
      <c r="L545" s="34" t="s">
        <v>100</v>
      </c>
      <c r="M545" s="40"/>
      <c r="N545" s="40"/>
      <c r="O545" s="35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17">
        <v>2</v>
      </c>
      <c r="AD545" s="17">
        <f t="shared" si="25"/>
        <v>0</v>
      </c>
      <c r="AE545" s="28">
        <f t="shared" si="26"/>
        <v>0</v>
      </c>
      <c r="AF545" s="28">
        <v>1</v>
      </c>
    </row>
    <row r="546" spans="1:32" ht="15.75" hidden="1" customHeight="1" x14ac:dyDescent="0.3">
      <c r="A546" s="32" t="s">
        <v>680</v>
      </c>
      <c r="B546" s="33" t="s">
        <v>813</v>
      </c>
      <c r="C546" s="33" t="s">
        <v>686</v>
      </c>
      <c r="D546" s="33" t="s">
        <v>822</v>
      </c>
      <c r="E546" s="33" t="s">
        <v>737</v>
      </c>
      <c r="F546" s="33" t="s">
        <v>672</v>
      </c>
      <c r="G546" s="34" t="s">
        <v>673</v>
      </c>
      <c r="H546" s="24">
        <f t="shared" si="24"/>
        <v>0</v>
      </c>
      <c r="I546" s="35"/>
      <c r="J546" s="34"/>
      <c r="K546" s="97"/>
      <c r="L546" s="34" t="s">
        <v>100</v>
      </c>
      <c r="M546" s="50"/>
      <c r="N546" s="40" t="s">
        <v>837</v>
      </c>
      <c r="O546" s="35" t="s">
        <v>838</v>
      </c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17"/>
      <c r="AC546" s="17">
        <v>2</v>
      </c>
      <c r="AD546" s="17">
        <f t="shared" si="25"/>
        <v>0</v>
      </c>
      <c r="AE546" s="28">
        <f t="shared" si="26"/>
        <v>0</v>
      </c>
      <c r="AF546" s="28">
        <v>1</v>
      </c>
    </row>
    <row r="547" spans="1:32" ht="15.75" hidden="1" customHeight="1" x14ac:dyDescent="0.3">
      <c r="A547" s="32" t="s">
        <v>680</v>
      </c>
      <c r="B547" s="33" t="s">
        <v>814</v>
      </c>
      <c r="C547" s="33" t="s">
        <v>686</v>
      </c>
      <c r="D547" s="33" t="s">
        <v>825</v>
      </c>
      <c r="E547" s="33" t="s">
        <v>823</v>
      </c>
      <c r="F547" s="33" t="s">
        <v>672</v>
      </c>
      <c r="G547" s="34" t="s">
        <v>673</v>
      </c>
      <c r="H547" s="24">
        <f t="shared" si="24"/>
        <v>0</v>
      </c>
      <c r="I547" s="35"/>
      <c r="J547" s="35"/>
      <c r="K547" s="36"/>
      <c r="L547" s="34" t="s">
        <v>100</v>
      </c>
      <c r="M547" s="40"/>
      <c r="N547" s="40" t="s">
        <v>837</v>
      </c>
      <c r="O547" s="35" t="s">
        <v>839</v>
      </c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17">
        <v>2</v>
      </c>
      <c r="AD547" s="17">
        <f t="shared" si="25"/>
        <v>0</v>
      </c>
      <c r="AE547" s="28">
        <f t="shared" si="26"/>
        <v>0</v>
      </c>
      <c r="AF547" s="28">
        <v>1</v>
      </c>
    </row>
    <row r="548" spans="1:32" ht="15.75" hidden="1" customHeight="1" x14ac:dyDescent="0.3">
      <c r="A548" s="32" t="s">
        <v>680</v>
      </c>
      <c r="B548" s="33" t="s">
        <v>815</v>
      </c>
      <c r="C548" s="33" t="s">
        <v>686</v>
      </c>
      <c r="D548" s="33" t="s">
        <v>826</v>
      </c>
      <c r="E548" s="33" t="s">
        <v>823</v>
      </c>
      <c r="F548" s="33" t="s">
        <v>672</v>
      </c>
      <c r="G548" s="34" t="s">
        <v>673</v>
      </c>
      <c r="H548" s="24">
        <f t="shared" si="24"/>
        <v>0</v>
      </c>
      <c r="I548" s="35"/>
      <c r="J548" s="35"/>
      <c r="K548" s="36"/>
      <c r="L548" s="34" t="s">
        <v>100</v>
      </c>
      <c r="M548" s="40"/>
      <c r="N548" s="40" t="s">
        <v>837</v>
      </c>
      <c r="O548" s="35" t="s">
        <v>840</v>
      </c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17">
        <v>2</v>
      </c>
      <c r="AD548" s="17">
        <f t="shared" si="25"/>
        <v>0</v>
      </c>
      <c r="AE548" s="28">
        <f t="shared" si="26"/>
        <v>0</v>
      </c>
      <c r="AF548" s="28">
        <v>1</v>
      </c>
    </row>
    <row r="549" spans="1:32" ht="15.75" hidden="1" customHeight="1" x14ac:dyDescent="0.3">
      <c r="A549" s="32" t="s">
        <v>680</v>
      </c>
      <c r="B549" s="33" t="s">
        <v>816</v>
      </c>
      <c r="C549" s="33" t="s">
        <v>686</v>
      </c>
      <c r="D549" s="33" t="s">
        <v>827</v>
      </c>
      <c r="E549" s="33" t="s">
        <v>823</v>
      </c>
      <c r="F549" s="33" t="s">
        <v>672</v>
      </c>
      <c r="G549" s="34" t="s">
        <v>673</v>
      </c>
      <c r="H549" s="24">
        <f t="shared" si="24"/>
        <v>0</v>
      </c>
      <c r="I549" s="35"/>
      <c r="J549" s="35"/>
      <c r="K549" s="36"/>
      <c r="L549" s="34" t="s">
        <v>100</v>
      </c>
      <c r="M549" s="40"/>
      <c r="N549" s="40" t="s">
        <v>837</v>
      </c>
      <c r="O549" s="35" t="s">
        <v>841</v>
      </c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17">
        <v>2</v>
      </c>
      <c r="AD549" s="17">
        <f t="shared" si="25"/>
        <v>0</v>
      </c>
      <c r="AE549" s="28">
        <f t="shared" si="26"/>
        <v>0</v>
      </c>
      <c r="AF549" s="28">
        <v>1</v>
      </c>
    </row>
    <row r="550" spans="1:32" ht="15.75" hidden="1" customHeight="1" x14ac:dyDescent="0.3">
      <c r="A550" s="32" t="s">
        <v>680</v>
      </c>
      <c r="B550" s="33" t="s">
        <v>817</v>
      </c>
      <c r="C550" s="33" t="s">
        <v>686</v>
      </c>
      <c r="D550" s="33" t="s">
        <v>828</v>
      </c>
      <c r="E550" s="33" t="s">
        <v>823</v>
      </c>
      <c r="F550" s="33" t="s">
        <v>672</v>
      </c>
      <c r="G550" s="34" t="s">
        <v>673</v>
      </c>
      <c r="H550" s="24">
        <f t="shared" si="24"/>
        <v>0</v>
      </c>
      <c r="I550" s="35"/>
      <c r="J550" s="35"/>
      <c r="K550" s="36"/>
      <c r="L550" s="34" t="s">
        <v>100</v>
      </c>
      <c r="M550" s="40"/>
      <c r="N550" s="40" t="s">
        <v>837</v>
      </c>
      <c r="O550" s="35" t="s">
        <v>840</v>
      </c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17">
        <v>2</v>
      </c>
      <c r="AD550" s="17">
        <f t="shared" si="25"/>
        <v>0</v>
      </c>
      <c r="AE550" s="28">
        <f t="shared" si="26"/>
        <v>0</v>
      </c>
      <c r="AF550" s="28">
        <v>1</v>
      </c>
    </row>
    <row r="551" spans="1:32" ht="15.75" hidden="1" customHeight="1" x14ac:dyDescent="0.3">
      <c r="A551" s="32" t="s">
        <v>680</v>
      </c>
      <c r="B551" s="33" t="s">
        <v>817</v>
      </c>
      <c r="C551" s="33" t="s">
        <v>686</v>
      </c>
      <c r="D551" s="33" t="s">
        <v>829</v>
      </c>
      <c r="E551" s="33" t="s">
        <v>823</v>
      </c>
      <c r="F551" s="33" t="s">
        <v>672</v>
      </c>
      <c r="G551" s="34" t="s">
        <v>673</v>
      </c>
      <c r="H551" s="24">
        <f t="shared" si="24"/>
        <v>0</v>
      </c>
      <c r="I551" s="35"/>
      <c r="J551" s="35"/>
      <c r="K551" s="36"/>
      <c r="L551" s="34" t="s">
        <v>100</v>
      </c>
      <c r="M551" s="40"/>
      <c r="N551" s="40" t="s">
        <v>837</v>
      </c>
      <c r="O551" s="35" t="s">
        <v>840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17">
        <v>2</v>
      </c>
      <c r="AD551" s="17">
        <f t="shared" si="25"/>
        <v>0</v>
      </c>
      <c r="AE551" s="28">
        <f t="shared" si="26"/>
        <v>0</v>
      </c>
      <c r="AF551" s="28">
        <v>1</v>
      </c>
    </row>
    <row r="552" spans="1:32" ht="15.75" hidden="1" customHeight="1" x14ac:dyDescent="0.3">
      <c r="A552" s="32" t="s">
        <v>680</v>
      </c>
      <c r="B552" s="33" t="s">
        <v>818</v>
      </c>
      <c r="C552" s="33" t="s">
        <v>686</v>
      </c>
      <c r="D552" s="33" t="s">
        <v>830</v>
      </c>
      <c r="E552" s="33" t="s">
        <v>823</v>
      </c>
      <c r="F552" s="33" t="s">
        <v>672</v>
      </c>
      <c r="G552" s="34" t="s">
        <v>673</v>
      </c>
      <c r="H552" s="24">
        <f t="shared" si="24"/>
        <v>0</v>
      </c>
      <c r="I552" s="35"/>
      <c r="J552" s="35"/>
      <c r="K552" s="36"/>
      <c r="L552" s="34" t="s">
        <v>100</v>
      </c>
      <c r="M552" s="40"/>
      <c r="N552" s="40" t="s">
        <v>837</v>
      </c>
      <c r="O552" s="35" t="s">
        <v>840</v>
      </c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17">
        <v>2</v>
      </c>
      <c r="AD552" s="17">
        <f t="shared" si="25"/>
        <v>0</v>
      </c>
      <c r="AE552" s="28">
        <f t="shared" si="26"/>
        <v>0</v>
      </c>
      <c r="AF552" s="28">
        <v>1</v>
      </c>
    </row>
    <row r="553" spans="1:32" ht="15.75" hidden="1" customHeight="1" x14ac:dyDescent="0.3">
      <c r="A553" s="32" t="s">
        <v>680</v>
      </c>
      <c r="B553" s="33" t="s">
        <v>819</v>
      </c>
      <c r="C553" s="33" t="s">
        <v>686</v>
      </c>
      <c r="D553" s="33" t="s">
        <v>831</v>
      </c>
      <c r="E553" s="33" t="s">
        <v>823</v>
      </c>
      <c r="F553" s="33" t="s">
        <v>672</v>
      </c>
      <c r="G553" s="34" t="s">
        <v>673</v>
      </c>
      <c r="H553" s="24">
        <f t="shared" si="24"/>
        <v>0</v>
      </c>
      <c r="I553" s="35"/>
      <c r="J553" s="35"/>
      <c r="K553" s="36"/>
      <c r="L553" s="34" t="s">
        <v>100</v>
      </c>
      <c r="M553" s="40"/>
      <c r="N553" s="40" t="s">
        <v>837</v>
      </c>
      <c r="O553" s="35" t="s">
        <v>841</v>
      </c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17">
        <v>2</v>
      </c>
      <c r="AD553" s="17">
        <f t="shared" si="25"/>
        <v>0</v>
      </c>
      <c r="AE553" s="28">
        <f t="shared" si="26"/>
        <v>0</v>
      </c>
      <c r="AF553" s="28">
        <v>1</v>
      </c>
    </row>
    <row r="554" spans="1:32" ht="15.75" hidden="1" customHeight="1" x14ac:dyDescent="0.3">
      <c r="A554" s="32" t="s">
        <v>680</v>
      </c>
      <c r="B554" s="33" t="s">
        <v>820</v>
      </c>
      <c r="C554" s="33" t="s">
        <v>686</v>
      </c>
      <c r="D554" s="33" t="s">
        <v>832</v>
      </c>
      <c r="E554" s="33" t="s">
        <v>823</v>
      </c>
      <c r="F554" s="33" t="s">
        <v>672</v>
      </c>
      <c r="G554" s="34" t="s">
        <v>673</v>
      </c>
      <c r="H554" s="24">
        <f t="shared" si="24"/>
        <v>0</v>
      </c>
      <c r="I554" s="35"/>
      <c r="J554" s="35"/>
      <c r="K554" s="36"/>
      <c r="L554" s="34" t="s">
        <v>100</v>
      </c>
      <c r="M554" s="40"/>
      <c r="N554" s="40" t="s">
        <v>837</v>
      </c>
      <c r="O554" s="35" t="s">
        <v>840</v>
      </c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17">
        <v>2</v>
      </c>
      <c r="AD554" s="17">
        <f t="shared" si="25"/>
        <v>0</v>
      </c>
      <c r="AE554" s="28">
        <f t="shared" si="26"/>
        <v>0</v>
      </c>
      <c r="AF554" s="28">
        <v>1</v>
      </c>
    </row>
    <row r="555" spans="1:32" ht="15.75" hidden="1" customHeight="1" x14ac:dyDescent="0.3">
      <c r="A555" s="32" t="s">
        <v>680</v>
      </c>
      <c r="B555" s="33" t="s">
        <v>820</v>
      </c>
      <c r="C555" s="90" t="s">
        <v>686</v>
      </c>
      <c r="D555" s="33" t="s">
        <v>832</v>
      </c>
      <c r="E555" s="33" t="s">
        <v>824</v>
      </c>
      <c r="F555" s="33" t="s">
        <v>672</v>
      </c>
      <c r="G555" s="34" t="s">
        <v>673</v>
      </c>
      <c r="H555" s="24">
        <f t="shared" si="24"/>
        <v>0</v>
      </c>
      <c r="I555" s="35"/>
      <c r="J555" s="35"/>
      <c r="K555" s="36"/>
      <c r="L555" s="34" t="s">
        <v>100</v>
      </c>
      <c r="M555" s="40"/>
      <c r="N555" s="40" t="s">
        <v>837</v>
      </c>
      <c r="O555" s="35" t="s">
        <v>842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17">
        <v>2</v>
      </c>
      <c r="AD555" s="17">
        <f t="shared" si="25"/>
        <v>0</v>
      </c>
      <c r="AE555" s="28">
        <f t="shared" si="26"/>
        <v>0</v>
      </c>
      <c r="AF555" s="28">
        <v>1</v>
      </c>
    </row>
    <row r="556" spans="1:32" ht="15.75" hidden="1" customHeight="1" x14ac:dyDescent="0.3">
      <c r="A556" s="32" t="s">
        <v>680</v>
      </c>
      <c r="B556" s="33" t="s">
        <v>821</v>
      </c>
      <c r="C556" s="90" t="s">
        <v>686</v>
      </c>
      <c r="D556" s="33" t="s">
        <v>833</v>
      </c>
      <c r="E556" s="33" t="s">
        <v>823</v>
      </c>
      <c r="F556" s="33" t="s">
        <v>672</v>
      </c>
      <c r="G556" s="34" t="s">
        <v>673</v>
      </c>
      <c r="H556" s="24">
        <f t="shared" si="24"/>
        <v>0</v>
      </c>
      <c r="I556" s="35"/>
      <c r="J556" s="35"/>
      <c r="K556" s="36"/>
      <c r="L556" s="34" t="s">
        <v>100</v>
      </c>
      <c r="M556" s="40"/>
      <c r="N556" s="40" t="s">
        <v>837</v>
      </c>
      <c r="O556" s="35" t="s">
        <v>840</v>
      </c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17">
        <v>2</v>
      </c>
      <c r="AD556" s="17">
        <f t="shared" si="25"/>
        <v>0</v>
      </c>
      <c r="AE556" s="28">
        <f t="shared" si="26"/>
        <v>0</v>
      </c>
      <c r="AF556" s="28">
        <v>1</v>
      </c>
    </row>
    <row r="557" spans="1:32" ht="15.75" hidden="1" customHeight="1" x14ac:dyDescent="0.3">
      <c r="A557" s="32" t="s">
        <v>680</v>
      </c>
      <c r="B557" s="33" t="s">
        <v>821</v>
      </c>
      <c r="C557" s="90" t="s">
        <v>686</v>
      </c>
      <c r="D557" s="33" t="s">
        <v>834</v>
      </c>
      <c r="E557" s="33" t="s">
        <v>824</v>
      </c>
      <c r="F557" s="33" t="s">
        <v>672</v>
      </c>
      <c r="G557" s="34" t="s">
        <v>673</v>
      </c>
      <c r="H557" s="24">
        <f t="shared" si="24"/>
        <v>0</v>
      </c>
      <c r="I557" s="35"/>
      <c r="J557" s="35"/>
      <c r="K557" s="36"/>
      <c r="L557" s="34" t="s">
        <v>100</v>
      </c>
      <c r="M557" s="40"/>
      <c r="N557" s="40" t="s">
        <v>837</v>
      </c>
      <c r="O557" s="35" t="s">
        <v>842</v>
      </c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17">
        <v>2</v>
      </c>
      <c r="AD557" s="17">
        <f t="shared" si="25"/>
        <v>0</v>
      </c>
      <c r="AE557" s="28">
        <f t="shared" si="26"/>
        <v>0</v>
      </c>
      <c r="AF557" s="28">
        <v>1</v>
      </c>
    </row>
    <row r="558" spans="1:32" ht="15.75" hidden="1" customHeight="1" x14ac:dyDescent="0.3">
      <c r="A558" s="32" t="s">
        <v>680</v>
      </c>
      <c r="B558" s="33" t="s">
        <v>821</v>
      </c>
      <c r="C558" s="90" t="s">
        <v>686</v>
      </c>
      <c r="D558" s="33" t="s">
        <v>835</v>
      </c>
      <c r="E558" s="33" t="s">
        <v>824</v>
      </c>
      <c r="F558" s="33" t="s">
        <v>672</v>
      </c>
      <c r="G558" s="34" t="s">
        <v>673</v>
      </c>
      <c r="H558" s="24">
        <f t="shared" si="24"/>
        <v>0</v>
      </c>
      <c r="I558" s="35"/>
      <c r="J558" s="35"/>
      <c r="K558" s="36"/>
      <c r="L558" s="34" t="s">
        <v>100</v>
      </c>
      <c r="M558" s="40"/>
      <c r="N558" s="40" t="s">
        <v>837</v>
      </c>
      <c r="O558" s="35" t="s">
        <v>842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17">
        <v>2</v>
      </c>
      <c r="AD558" s="17">
        <f t="shared" si="25"/>
        <v>0</v>
      </c>
      <c r="AE558" s="28">
        <f t="shared" si="26"/>
        <v>0</v>
      </c>
      <c r="AF558" s="28">
        <v>1</v>
      </c>
    </row>
    <row r="559" spans="1:32" ht="15.75" hidden="1" customHeight="1" x14ac:dyDescent="0.3">
      <c r="A559" s="32" t="s">
        <v>680</v>
      </c>
      <c r="B559" s="33" t="s">
        <v>821</v>
      </c>
      <c r="C559" s="90" t="s">
        <v>686</v>
      </c>
      <c r="D559" s="33" t="s">
        <v>836</v>
      </c>
      <c r="E559" s="33" t="s">
        <v>823</v>
      </c>
      <c r="F559" s="33" t="s">
        <v>672</v>
      </c>
      <c r="G559" s="34" t="s">
        <v>673</v>
      </c>
      <c r="H559" s="24">
        <f t="shared" si="24"/>
        <v>0</v>
      </c>
      <c r="I559" s="35"/>
      <c r="J559" s="35"/>
      <c r="K559" s="36"/>
      <c r="L559" s="34" t="s">
        <v>100</v>
      </c>
      <c r="M559" s="40"/>
      <c r="N559" s="40" t="s">
        <v>837</v>
      </c>
      <c r="O559" s="35" t="s">
        <v>842</v>
      </c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17">
        <v>2</v>
      </c>
      <c r="AD559" s="17">
        <f t="shared" si="25"/>
        <v>0</v>
      </c>
      <c r="AE559" s="28">
        <f t="shared" si="26"/>
        <v>0</v>
      </c>
      <c r="AF559" s="28">
        <v>1</v>
      </c>
    </row>
    <row r="560" spans="1:32" ht="15.75" hidden="1" customHeight="1" x14ac:dyDescent="0.3">
      <c r="A560" s="32" t="s">
        <v>680</v>
      </c>
      <c r="B560" s="33" t="s">
        <v>709</v>
      </c>
      <c r="C560" s="90" t="s">
        <v>686</v>
      </c>
      <c r="D560" s="33" t="s">
        <v>710</v>
      </c>
      <c r="E560" s="33" t="s">
        <v>711</v>
      </c>
      <c r="F560" s="33" t="s">
        <v>96</v>
      </c>
      <c r="G560" s="34" t="s">
        <v>167</v>
      </c>
      <c r="H560" s="24">
        <f t="shared" si="24"/>
        <v>0</v>
      </c>
      <c r="I560" s="35"/>
      <c r="J560" s="35"/>
      <c r="K560" s="36"/>
      <c r="L560" s="34" t="s">
        <v>100</v>
      </c>
      <c r="M560" s="40"/>
      <c r="N560" s="40"/>
      <c r="O560" s="35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17"/>
      <c r="AC560" s="17">
        <v>3</v>
      </c>
      <c r="AD560" s="17">
        <f t="shared" si="25"/>
        <v>0</v>
      </c>
      <c r="AE560" s="28">
        <f t="shared" si="26"/>
        <v>0</v>
      </c>
      <c r="AF560" s="28">
        <v>1</v>
      </c>
    </row>
    <row r="561" spans="1:32" ht="15.75" hidden="1" customHeight="1" x14ac:dyDescent="0.3">
      <c r="A561" s="32" t="s">
        <v>680</v>
      </c>
      <c r="B561" s="33" t="s">
        <v>685</v>
      </c>
      <c r="C561" s="33" t="s">
        <v>686</v>
      </c>
      <c r="D561" s="33" t="s">
        <v>687</v>
      </c>
      <c r="E561" s="33" t="s">
        <v>712</v>
      </c>
      <c r="F561" s="33" t="s">
        <v>88</v>
      </c>
      <c r="G561" s="34" t="s">
        <v>127</v>
      </c>
      <c r="H561" s="24">
        <f t="shared" si="24"/>
        <v>0</v>
      </c>
      <c r="I561" s="35"/>
      <c r="J561" s="35"/>
      <c r="K561" s="36"/>
      <c r="L561" s="34" t="s">
        <v>100</v>
      </c>
      <c r="M561" s="40"/>
      <c r="N561" s="40"/>
      <c r="O561" s="35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17">
        <v>2</v>
      </c>
      <c r="AD561" s="17">
        <f t="shared" si="25"/>
        <v>0</v>
      </c>
      <c r="AE561" s="28">
        <f t="shared" si="26"/>
        <v>0</v>
      </c>
      <c r="AF561" s="28">
        <v>1</v>
      </c>
    </row>
    <row r="562" spans="1:32" ht="15.75" hidden="1" customHeight="1" x14ac:dyDescent="0.3">
      <c r="A562" s="32" t="s">
        <v>680</v>
      </c>
      <c r="B562" s="33" t="s">
        <v>685</v>
      </c>
      <c r="C562" s="33" t="s">
        <v>686</v>
      </c>
      <c r="D562" s="33" t="s">
        <v>687</v>
      </c>
      <c r="E562" s="33" t="s">
        <v>711</v>
      </c>
      <c r="F562" s="33" t="s">
        <v>96</v>
      </c>
      <c r="G562" s="34" t="s">
        <v>167</v>
      </c>
      <c r="H562" s="24">
        <f t="shared" si="24"/>
        <v>0</v>
      </c>
      <c r="I562" s="35"/>
      <c r="J562" s="35"/>
      <c r="K562" s="36"/>
      <c r="L562" s="34" t="s">
        <v>100</v>
      </c>
      <c r="M562" s="40"/>
      <c r="N562" s="40"/>
      <c r="O562" s="35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17"/>
      <c r="AC562" s="17">
        <v>3</v>
      </c>
      <c r="AD562" s="17">
        <f t="shared" si="25"/>
        <v>0</v>
      </c>
      <c r="AE562" s="28">
        <f t="shared" si="26"/>
        <v>0</v>
      </c>
      <c r="AF562" s="28">
        <v>1</v>
      </c>
    </row>
    <row r="563" spans="1:32" ht="15.75" hidden="1" customHeight="1" x14ac:dyDescent="0.3">
      <c r="A563" s="32" t="s">
        <v>680</v>
      </c>
      <c r="B563" s="33" t="s">
        <v>696</v>
      </c>
      <c r="C563" s="33" t="s">
        <v>686</v>
      </c>
      <c r="D563" s="33" t="s">
        <v>697</v>
      </c>
      <c r="E563" s="33" t="s">
        <v>717</v>
      </c>
      <c r="F563" s="33" t="s">
        <v>88</v>
      </c>
      <c r="G563" s="34" t="s">
        <v>127</v>
      </c>
      <c r="H563" s="24">
        <f t="shared" si="24"/>
        <v>0</v>
      </c>
      <c r="I563" s="35"/>
      <c r="J563" s="35"/>
      <c r="K563" s="36"/>
      <c r="L563" s="34" t="s">
        <v>100</v>
      </c>
      <c r="M563" s="40"/>
      <c r="N563" s="40"/>
      <c r="O563" s="35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17"/>
      <c r="AC563" s="17">
        <v>2</v>
      </c>
      <c r="AD563" s="17">
        <f t="shared" si="25"/>
        <v>0</v>
      </c>
      <c r="AE563" s="28">
        <f t="shared" si="26"/>
        <v>0</v>
      </c>
      <c r="AF563" s="28">
        <v>2</v>
      </c>
    </row>
    <row r="564" spans="1:32" ht="15.75" hidden="1" customHeight="1" x14ac:dyDescent="0.3">
      <c r="A564" s="32" t="s">
        <v>718</v>
      </c>
      <c r="B564" s="33" t="s">
        <v>724</v>
      </c>
      <c r="C564" s="33" t="s">
        <v>725</v>
      </c>
      <c r="D564" s="33" t="s">
        <v>726</v>
      </c>
      <c r="E564" s="33" t="s">
        <v>130</v>
      </c>
      <c r="F564" s="33" t="s">
        <v>86</v>
      </c>
      <c r="G564" s="34" t="s">
        <v>99</v>
      </c>
      <c r="H564" s="24">
        <f t="shared" si="24"/>
        <v>0</v>
      </c>
      <c r="I564" s="35" t="s">
        <v>808</v>
      </c>
      <c r="J564" s="35"/>
      <c r="K564" s="36"/>
      <c r="L564" s="34" t="s">
        <v>105</v>
      </c>
      <c r="M564" s="40"/>
      <c r="N564" s="40"/>
      <c r="O564" s="35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17"/>
      <c r="AC564" s="17">
        <v>1</v>
      </c>
      <c r="AD564" s="17">
        <f t="shared" si="25"/>
        <v>0</v>
      </c>
      <c r="AE564" s="28">
        <f t="shared" si="26"/>
        <v>0</v>
      </c>
      <c r="AF564" s="28">
        <v>1</v>
      </c>
    </row>
    <row r="565" spans="1:32" ht="15.75" hidden="1" customHeight="1" x14ac:dyDescent="0.3">
      <c r="A565" s="32" t="s">
        <v>718</v>
      </c>
      <c r="B565" s="33" t="s">
        <v>724</v>
      </c>
      <c r="C565" s="33" t="s">
        <v>725</v>
      </c>
      <c r="D565" s="33" t="s">
        <v>726</v>
      </c>
      <c r="E565" s="33" t="s">
        <v>748</v>
      </c>
      <c r="F565" s="33" t="s">
        <v>90</v>
      </c>
      <c r="G565" s="34" t="s">
        <v>99</v>
      </c>
      <c r="H565" s="24">
        <f t="shared" si="24"/>
        <v>0</v>
      </c>
      <c r="I565" s="35" t="s">
        <v>808</v>
      </c>
      <c r="J565" s="35"/>
      <c r="K565" s="36"/>
      <c r="L565" s="34" t="s">
        <v>105</v>
      </c>
      <c r="M565" s="40"/>
      <c r="N565" s="40"/>
      <c r="O565" s="35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17"/>
      <c r="AC565" s="17">
        <v>1</v>
      </c>
      <c r="AD565" s="17">
        <f t="shared" si="25"/>
        <v>0</v>
      </c>
      <c r="AE565" s="28">
        <f t="shared" si="26"/>
        <v>0</v>
      </c>
      <c r="AF565" s="28">
        <v>1</v>
      </c>
    </row>
    <row r="566" spans="1:32" ht="15.75" hidden="1" customHeight="1" x14ac:dyDescent="0.3">
      <c r="A566" s="32" t="s">
        <v>718</v>
      </c>
      <c r="B566" s="33" t="s">
        <v>724</v>
      </c>
      <c r="C566" s="33" t="s">
        <v>725</v>
      </c>
      <c r="D566" s="33" t="s">
        <v>726</v>
      </c>
      <c r="E566" s="33" t="s">
        <v>727</v>
      </c>
      <c r="F566" s="33" t="s">
        <v>672</v>
      </c>
      <c r="G566" s="34" t="s">
        <v>673</v>
      </c>
      <c r="H566" s="24">
        <f t="shared" si="24"/>
        <v>0</v>
      </c>
      <c r="I566" s="35"/>
      <c r="J566" s="35"/>
      <c r="K566" s="36"/>
      <c r="L566" s="34" t="s">
        <v>100</v>
      </c>
      <c r="M566" s="40"/>
      <c r="N566" s="40" t="s">
        <v>168</v>
      </c>
      <c r="O566" s="35" t="s">
        <v>169</v>
      </c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17"/>
      <c r="AC566" s="17">
        <v>2</v>
      </c>
      <c r="AD566" s="17">
        <f t="shared" si="25"/>
        <v>0</v>
      </c>
      <c r="AE566" s="28">
        <f t="shared" si="26"/>
        <v>0</v>
      </c>
      <c r="AF566" s="28">
        <v>1</v>
      </c>
    </row>
    <row r="567" spans="1:32" ht="15.75" hidden="1" customHeight="1" x14ac:dyDescent="0.3">
      <c r="A567" s="32" t="s">
        <v>718</v>
      </c>
      <c r="B567" s="33" t="s">
        <v>719</v>
      </c>
      <c r="C567" s="33" t="s">
        <v>720</v>
      </c>
      <c r="D567" s="33" t="s">
        <v>721</v>
      </c>
      <c r="E567" s="33" t="s">
        <v>694</v>
      </c>
      <c r="F567" s="33" t="s">
        <v>672</v>
      </c>
      <c r="G567" s="34" t="s">
        <v>673</v>
      </c>
      <c r="H567" s="24">
        <f t="shared" si="24"/>
        <v>0</v>
      </c>
      <c r="I567" s="35" t="s">
        <v>808</v>
      </c>
      <c r="J567" s="35" t="s">
        <v>695</v>
      </c>
      <c r="K567" s="36"/>
      <c r="L567" s="34" t="s">
        <v>100</v>
      </c>
      <c r="M567" s="40"/>
      <c r="N567" s="40" t="s">
        <v>168</v>
      </c>
      <c r="O567" s="35" t="s">
        <v>695</v>
      </c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17"/>
      <c r="AC567" s="17">
        <v>2</v>
      </c>
      <c r="AD567" s="17">
        <f t="shared" si="25"/>
        <v>0</v>
      </c>
      <c r="AE567" s="28">
        <f t="shared" si="26"/>
        <v>0</v>
      </c>
      <c r="AF567" s="28">
        <v>1</v>
      </c>
    </row>
    <row r="568" spans="1:32" ht="15.75" hidden="1" customHeight="1" x14ac:dyDescent="0.3">
      <c r="A568" s="32" t="s">
        <v>718</v>
      </c>
      <c r="B568" s="33" t="s">
        <v>719</v>
      </c>
      <c r="C568" s="33" t="s">
        <v>720</v>
      </c>
      <c r="D568" s="33" t="s">
        <v>721</v>
      </c>
      <c r="E568" s="33" t="s">
        <v>692</v>
      </c>
      <c r="F568" s="33" t="s">
        <v>672</v>
      </c>
      <c r="G568" s="34" t="s">
        <v>673</v>
      </c>
      <c r="H568" s="24">
        <f t="shared" si="24"/>
        <v>0</v>
      </c>
      <c r="I568" s="35"/>
      <c r="J568" s="35" t="s">
        <v>693</v>
      </c>
      <c r="K568" s="36"/>
      <c r="L568" s="34" t="s">
        <v>100</v>
      </c>
      <c r="M568" s="40"/>
      <c r="N568" s="40" t="s">
        <v>378</v>
      </c>
      <c r="O568" s="35" t="s">
        <v>693</v>
      </c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17">
        <v>2</v>
      </c>
      <c r="AD568" s="17">
        <f t="shared" si="25"/>
        <v>0</v>
      </c>
      <c r="AE568" s="28">
        <f t="shared" si="26"/>
        <v>0</v>
      </c>
      <c r="AF568" s="28">
        <v>1</v>
      </c>
    </row>
    <row r="569" spans="1:32" ht="15.75" hidden="1" customHeight="1" x14ac:dyDescent="0.3">
      <c r="A569" s="32" t="s">
        <v>718</v>
      </c>
      <c r="B569" s="33" t="s">
        <v>719</v>
      </c>
      <c r="C569" s="33" t="s">
        <v>720</v>
      </c>
      <c r="D569" s="33" t="s">
        <v>721</v>
      </c>
      <c r="E569" s="33" t="s">
        <v>714</v>
      </c>
      <c r="F569" s="33" t="s">
        <v>88</v>
      </c>
      <c r="G569" s="34" t="s">
        <v>127</v>
      </c>
      <c r="H569" s="24">
        <f t="shared" si="24"/>
        <v>0</v>
      </c>
      <c r="I569" s="35"/>
      <c r="J569" s="35"/>
      <c r="K569" s="36"/>
      <c r="L569" s="34" t="s">
        <v>100</v>
      </c>
      <c r="M569" s="40"/>
      <c r="N569" s="40"/>
      <c r="O569" s="35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17">
        <v>2</v>
      </c>
      <c r="AD569" s="17">
        <f t="shared" si="25"/>
        <v>0</v>
      </c>
      <c r="AE569" s="28">
        <f t="shared" si="26"/>
        <v>0</v>
      </c>
      <c r="AF569" s="28">
        <v>1</v>
      </c>
    </row>
    <row r="570" spans="1:32" ht="15.75" hidden="1" customHeight="1" x14ac:dyDescent="0.3">
      <c r="A570" s="32" t="s">
        <v>718</v>
      </c>
      <c r="B570" s="33" t="s">
        <v>719</v>
      </c>
      <c r="C570" s="33" t="s">
        <v>720</v>
      </c>
      <c r="D570" s="33" t="s">
        <v>721</v>
      </c>
      <c r="E570" s="33" t="s">
        <v>747</v>
      </c>
      <c r="F570" s="33" t="s">
        <v>88</v>
      </c>
      <c r="G570" s="34" t="s">
        <v>127</v>
      </c>
      <c r="H570" s="24">
        <f t="shared" si="24"/>
        <v>0</v>
      </c>
      <c r="I570" s="35"/>
      <c r="J570" s="35"/>
      <c r="K570" s="36"/>
      <c r="L570" s="34" t="s">
        <v>100</v>
      </c>
      <c r="M570" s="40"/>
      <c r="N570" s="40"/>
      <c r="O570" s="35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17">
        <v>2</v>
      </c>
      <c r="AD570" s="17">
        <f t="shared" si="25"/>
        <v>0</v>
      </c>
      <c r="AE570" s="28">
        <f t="shared" si="26"/>
        <v>0</v>
      </c>
      <c r="AF570" s="28">
        <v>1</v>
      </c>
    </row>
    <row r="571" spans="1:32" ht="15.75" hidden="1" customHeight="1" x14ac:dyDescent="0.3">
      <c r="A571" s="32" t="s">
        <v>718</v>
      </c>
      <c r="B571" s="33" t="s">
        <v>719</v>
      </c>
      <c r="C571" s="33" t="s">
        <v>720</v>
      </c>
      <c r="D571" s="33" t="s">
        <v>721</v>
      </c>
      <c r="E571" s="33" t="s">
        <v>700</v>
      </c>
      <c r="F571" s="33" t="s">
        <v>95</v>
      </c>
      <c r="G571" s="34" t="s">
        <v>95</v>
      </c>
      <c r="H571" s="24">
        <f t="shared" si="24"/>
        <v>0</v>
      </c>
      <c r="I571" s="35"/>
      <c r="J571" s="35"/>
      <c r="K571" s="36"/>
      <c r="L571" s="34" t="s">
        <v>100</v>
      </c>
      <c r="M571" s="40"/>
      <c r="N571" s="40"/>
      <c r="O571" s="35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17"/>
      <c r="AC571" s="17">
        <v>12</v>
      </c>
      <c r="AD571" s="17">
        <f t="shared" si="25"/>
        <v>0</v>
      </c>
      <c r="AE571" s="28">
        <f t="shared" si="26"/>
        <v>0</v>
      </c>
      <c r="AF571" s="28">
        <v>1</v>
      </c>
    </row>
    <row r="572" spans="1:32" ht="15.75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701</v>
      </c>
      <c r="F572" s="33" t="s">
        <v>95</v>
      </c>
      <c r="G572" s="34" t="s">
        <v>95</v>
      </c>
      <c r="H572" s="24">
        <f t="shared" si="24"/>
        <v>0</v>
      </c>
      <c r="I572" s="35"/>
      <c r="J572" s="35"/>
      <c r="K572" s="36"/>
      <c r="L572" s="34" t="s">
        <v>105</v>
      </c>
      <c r="M572" s="40"/>
      <c r="N572" s="40"/>
      <c r="O572" s="35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17"/>
      <c r="AC572" s="17">
        <v>12</v>
      </c>
      <c r="AD572" s="17">
        <f t="shared" si="25"/>
        <v>0</v>
      </c>
      <c r="AE572" s="28">
        <f t="shared" si="26"/>
        <v>0</v>
      </c>
      <c r="AF572" s="28">
        <v>1</v>
      </c>
    </row>
    <row r="573" spans="1:32" ht="15.75" hidden="1" customHeight="1" x14ac:dyDescent="0.3">
      <c r="A573" s="32" t="s">
        <v>718</v>
      </c>
      <c r="B573" s="33" t="s">
        <v>735</v>
      </c>
      <c r="C573" s="33" t="s">
        <v>720</v>
      </c>
      <c r="D573" s="33" t="s">
        <v>736</v>
      </c>
      <c r="E573" s="33" t="s">
        <v>130</v>
      </c>
      <c r="F573" s="33" t="s">
        <v>88</v>
      </c>
      <c r="G573" s="34" t="s">
        <v>127</v>
      </c>
      <c r="H573" s="24">
        <f t="shared" si="24"/>
        <v>0</v>
      </c>
      <c r="I573" s="35"/>
      <c r="J573" s="35"/>
      <c r="K573" s="36"/>
      <c r="L573" s="34" t="s">
        <v>100</v>
      </c>
      <c r="M573" s="40"/>
      <c r="N573" s="40"/>
      <c r="O573" s="35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17">
        <v>2</v>
      </c>
      <c r="AD573" s="17">
        <f t="shared" si="25"/>
        <v>0</v>
      </c>
      <c r="AE573" s="28">
        <f t="shared" si="26"/>
        <v>0</v>
      </c>
      <c r="AF573" s="28">
        <v>1</v>
      </c>
    </row>
    <row r="574" spans="1:32" ht="15.75" hidden="1" customHeight="1" x14ac:dyDescent="0.3">
      <c r="A574" s="32" t="s">
        <v>718</v>
      </c>
      <c r="B574" s="33" t="s">
        <v>735</v>
      </c>
      <c r="C574" s="33" t="s">
        <v>720</v>
      </c>
      <c r="D574" s="33" t="s">
        <v>736</v>
      </c>
      <c r="E574" s="33" t="s">
        <v>799</v>
      </c>
      <c r="F574" s="33" t="s">
        <v>88</v>
      </c>
      <c r="G574" s="34" t="s">
        <v>127</v>
      </c>
      <c r="H574" s="24">
        <f t="shared" si="24"/>
        <v>0</v>
      </c>
      <c r="I574" s="35"/>
      <c r="J574" s="35"/>
      <c r="K574" s="36"/>
      <c r="L574" s="34" t="s">
        <v>100</v>
      </c>
      <c r="M574" s="40"/>
      <c r="N574" s="40"/>
      <c r="O574" s="35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17">
        <v>2</v>
      </c>
      <c r="AD574" s="17">
        <f t="shared" si="25"/>
        <v>0</v>
      </c>
      <c r="AE574" s="28">
        <f t="shared" si="26"/>
        <v>0</v>
      </c>
      <c r="AF574" s="28">
        <v>1</v>
      </c>
    </row>
    <row r="575" spans="1:32" ht="15.75" hidden="1" customHeight="1" x14ac:dyDescent="0.3">
      <c r="A575" s="32" t="s">
        <v>718</v>
      </c>
      <c r="B575" s="33" t="s">
        <v>735</v>
      </c>
      <c r="C575" s="33" t="s">
        <v>720</v>
      </c>
      <c r="D575" s="33" t="s">
        <v>736</v>
      </c>
      <c r="E575" s="33" t="s">
        <v>737</v>
      </c>
      <c r="F575" s="33" t="s">
        <v>672</v>
      </c>
      <c r="G575" s="34" t="s">
        <v>673</v>
      </c>
      <c r="H575" s="24">
        <f t="shared" si="24"/>
        <v>0</v>
      </c>
      <c r="I575" s="35"/>
      <c r="J575" s="35" t="s">
        <v>738</v>
      </c>
      <c r="K575" s="36"/>
      <c r="L575" s="34" t="s">
        <v>100</v>
      </c>
      <c r="M575" s="40"/>
      <c r="N575" s="40" t="s">
        <v>378</v>
      </c>
      <c r="O575" s="35" t="s">
        <v>738</v>
      </c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17"/>
      <c r="AC575" s="17">
        <v>3</v>
      </c>
      <c r="AD575" s="17">
        <f t="shared" si="25"/>
        <v>0</v>
      </c>
      <c r="AE575" s="28">
        <f t="shared" si="26"/>
        <v>0</v>
      </c>
      <c r="AF575" s="28">
        <v>1</v>
      </c>
    </row>
    <row r="576" spans="1:32" ht="15.75" hidden="1" customHeight="1" x14ac:dyDescent="0.3">
      <c r="A576" s="32" t="s">
        <v>718</v>
      </c>
      <c r="B576" s="33" t="s">
        <v>722</v>
      </c>
      <c r="C576" s="33" t="s">
        <v>720</v>
      </c>
      <c r="D576" s="33" t="s">
        <v>723</v>
      </c>
      <c r="E576" s="33" t="s">
        <v>694</v>
      </c>
      <c r="F576" s="33" t="s">
        <v>672</v>
      </c>
      <c r="G576" s="34" t="s">
        <v>673</v>
      </c>
      <c r="H576" s="24">
        <f t="shared" si="24"/>
        <v>0</v>
      </c>
      <c r="I576" s="35"/>
      <c r="J576" s="35" t="s">
        <v>695</v>
      </c>
      <c r="K576" s="36"/>
      <c r="L576" s="34" t="s">
        <v>100</v>
      </c>
      <c r="M576" s="40"/>
      <c r="N576" s="40" t="s">
        <v>168</v>
      </c>
      <c r="O576" s="35" t="s">
        <v>695</v>
      </c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17"/>
      <c r="AC576" s="17">
        <v>2</v>
      </c>
      <c r="AD576" s="17">
        <f t="shared" si="25"/>
        <v>0</v>
      </c>
      <c r="AE576" s="28">
        <f t="shared" si="26"/>
        <v>0</v>
      </c>
      <c r="AF576" s="28">
        <v>1</v>
      </c>
    </row>
    <row r="577" spans="1:32" ht="15.75" hidden="1" customHeight="1" x14ac:dyDescent="0.3">
      <c r="A577" s="32" t="s">
        <v>718</v>
      </c>
      <c r="B577" s="33" t="s">
        <v>722</v>
      </c>
      <c r="C577" s="33" t="s">
        <v>720</v>
      </c>
      <c r="D577" s="33" t="s">
        <v>723</v>
      </c>
      <c r="E577" s="33" t="s">
        <v>692</v>
      </c>
      <c r="F577" s="33" t="s">
        <v>672</v>
      </c>
      <c r="G577" s="34" t="s">
        <v>673</v>
      </c>
      <c r="H577" s="24">
        <f t="shared" si="24"/>
        <v>0</v>
      </c>
      <c r="I577" s="35"/>
      <c r="J577" s="35" t="s">
        <v>693</v>
      </c>
      <c r="K577" s="36"/>
      <c r="L577" s="34" t="s">
        <v>100</v>
      </c>
      <c r="M577" s="40"/>
      <c r="N577" s="40" t="s">
        <v>378</v>
      </c>
      <c r="O577" s="35" t="s">
        <v>693</v>
      </c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17"/>
      <c r="AC577" s="17">
        <v>2</v>
      </c>
      <c r="AD577" s="17">
        <f t="shared" si="25"/>
        <v>0</v>
      </c>
      <c r="AE577" s="28">
        <f t="shared" si="26"/>
        <v>0</v>
      </c>
      <c r="AF577" s="28">
        <v>1</v>
      </c>
    </row>
    <row r="578" spans="1:32" ht="15.75" hidden="1" customHeight="1" x14ac:dyDescent="0.3">
      <c r="A578" s="32" t="s">
        <v>718</v>
      </c>
      <c r="B578" s="33" t="s">
        <v>722</v>
      </c>
      <c r="C578" s="33" t="s">
        <v>720</v>
      </c>
      <c r="D578" s="33" t="s">
        <v>723</v>
      </c>
      <c r="E578" s="33" t="s">
        <v>714</v>
      </c>
      <c r="F578" s="33" t="s">
        <v>88</v>
      </c>
      <c r="G578" s="34" t="s">
        <v>127</v>
      </c>
      <c r="H578" s="24">
        <f t="shared" si="24"/>
        <v>0</v>
      </c>
      <c r="I578" s="35"/>
      <c r="J578" s="35"/>
      <c r="K578" s="36"/>
      <c r="L578" s="34" t="s">
        <v>100</v>
      </c>
      <c r="M578" s="40"/>
      <c r="N578" s="40"/>
      <c r="O578" s="35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17">
        <v>2</v>
      </c>
      <c r="AD578" s="17">
        <f t="shared" si="25"/>
        <v>0</v>
      </c>
      <c r="AE578" s="28">
        <f t="shared" si="26"/>
        <v>0</v>
      </c>
      <c r="AF578" s="28">
        <v>1</v>
      </c>
    </row>
    <row r="579" spans="1:32" ht="15.75" hidden="1" customHeight="1" x14ac:dyDescent="0.3">
      <c r="A579" s="32" t="s">
        <v>718</v>
      </c>
      <c r="B579" s="33" t="s">
        <v>722</v>
      </c>
      <c r="C579" s="33" t="s">
        <v>720</v>
      </c>
      <c r="D579" s="33" t="s">
        <v>723</v>
      </c>
      <c r="E579" s="33" t="s">
        <v>747</v>
      </c>
      <c r="F579" s="33" t="s">
        <v>88</v>
      </c>
      <c r="G579" s="34" t="s">
        <v>127</v>
      </c>
      <c r="H579" s="24">
        <f t="shared" si="24"/>
        <v>0</v>
      </c>
      <c r="I579" s="35"/>
      <c r="J579" s="35"/>
      <c r="K579" s="36"/>
      <c r="L579" s="34" t="s">
        <v>100</v>
      </c>
      <c r="M579" s="40"/>
      <c r="N579" s="40"/>
      <c r="O579" s="35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17">
        <v>2</v>
      </c>
      <c r="AD579" s="17">
        <f t="shared" si="25"/>
        <v>0</v>
      </c>
      <c r="AE579" s="28">
        <f t="shared" si="26"/>
        <v>0</v>
      </c>
      <c r="AF579" s="28">
        <v>1</v>
      </c>
    </row>
    <row r="580" spans="1:32" ht="15.75" hidden="1" customHeight="1" x14ac:dyDescent="0.3">
      <c r="A580" s="32" t="s">
        <v>718</v>
      </c>
      <c r="B580" s="33" t="s">
        <v>722</v>
      </c>
      <c r="C580" s="33" t="s">
        <v>720</v>
      </c>
      <c r="D580" s="33" t="s">
        <v>723</v>
      </c>
      <c r="E580" s="33" t="s">
        <v>700</v>
      </c>
      <c r="F580" s="33" t="s">
        <v>95</v>
      </c>
      <c r="G580" s="34" t="s">
        <v>95</v>
      </c>
      <c r="H580" s="24">
        <f t="shared" ref="H580:H605" si="27">IF(AC580=0," ",(AD580/AC580))</f>
        <v>0</v>
      </c>
      <c r="I580" s="35"/>
      <c r="J580" s="35"/>
      <c r="K580" s="36"/>
      <c r="L580" s="34" t="s">
        <v>100</v>
      </c>
      <c r="M580" s="40"/>
      <c r="N580" s="40"/>
      <c r="O580" s="35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17"/>
      <c r="AC580" s="17">
        <v>12</v>
      </c>
      <c r="AD580" s="17">
        <f t="shared" ref="AD580:AD605" si="28">IF(COUNTA(P580:AB580)&gt;AC580,AC580,COUNTA(P580:AB580))</f>
        <v>0</v>
      </c>
      <c r="AE580" s="28">
        <f t="shared" ref="AE580:AE605" si="29">IF(H580=1,1,0)</f>
        <v>0</v>
      </c>
      <c r="AF580" s="28">
        <v>1</v>
      </c>
    </row>
    <row r="581" spans="1:32" ht="15.75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701</v>
      </c>
      <c r="F581" s="33" t="s">
        <v>95</v>
      </c>
      <c r="G581" s="34" t="s">
        <v>95</v>
      </c>
      <c r="H581" s="24">
        <f t="shared" si="27"/>
        <v>0</v>
      </c>
      <c r="I581" s="35"/>
      <c r="J581" s="35"/>
      <c r="K581" s="36"/>
      <c r="L581" s="34" t="s">
        <v>105</v>
      </c>
      <c r="M581" s="40"/>
      <c r="N581" s="40"/>
      <c r="O581" s="35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17"/>
      <c r="AC581" s="17">
        <v>12</v>
      </c>
      <c r="AD581" s="17">
        <f t="shared" si="28"/>
        <v>0</v>
      </c>
      <c r="AE581" s="28">
        <f t="shared" si="29"/>
        <v>0</v>
      </c>
      <c r="AF581" s="28">
        <v>1</v>
      </c>
    </row>
    <row r="582" spans="1:32" ht="15.75" hidden="1" customHeight="1" x14ac:dyDescent="0.3">
      <c r="A582" s="32" t="s">
        <v>718</v>
      </c>
      <c r="B582" s="33" t="s">
        <v>739</v>
      </c>
      <c r="C582" s="33" t="s">
        <v>720</v>
      </c>
      <c r="D582" s="33" t="s">
        <v>740</v>
      </c>
      <c r="E582" s="33" t="s">
        <v>130</v>
      </c>
      <c r="F582" s="33" t="s">
        <v>88</v>
      </c>
      <c r="G582" s="34" t="s">
        <v>127</v>
      </c>
      <c r="H582" s="24">
        <f t="shared" si="27"/>
        <v>0</v>
      </c>
      <c r="I582" s="35"/>
      <c r="J582" s="35"/>
      <c r="K582" s="36"/>
      <c r="L582" s="34" t="s">
        <v>100</v>
      </c>
      <c r="M582" s="40"/>
      <c r="N582" s="40"/>
      <c r="O582" s="35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17">
        <v>2</v>
      </c>
      <c r="AD582" s="17">
        <f t="shared" si="28"/>
        <v>0</v>
      </c>
      <c r="AE582" s="28">
        <f t="shared" si="29"/>
        <v>0</v>
      </c>
      <c r="AF582" s="28">
        <v>1</v>
      </c>
    </row>
    <row r="583" spans="1:32" ht="15.75" hidden="1" customHeight="1" x14ac:dyDescent="0.3">
      <c r="A583" s="32" t="s">
        <v>718</v>
      </c>
      <c r="B583" s="33" t="s">
        <v>739</v>
      </c>
      <c r="C583" s="33" t="s">
        <v>720</v>
      </c>
      <c r="D583" s="33" t="s">
        <v>740</v>
      </c>
      <c r="E583" s="33" t="s">
        <v>799</v>
      </c>
      <c r="F583" s="33" t="s">
        <v>88</v>
      </c>
      <c r="G583" s="34" t="s">
        <v>127</v>
      </c>
      <c r="H583" s="24">
        <f t="shared" si="27"/>
        <v>0</v>
      </c>
      <c r="I583" s="35"/>
      <c r="J583" s="35"/>
      <c r="K583" s="36"/>
      <c r="L583" s="34" t="s">
        <v>100</v>
      </c>
      <c r="M583" s="40"/>
      <c r="N583" s="40"/>
      <c r="O583" s="35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17">
        <v>2</v>
      </c>
      <c r="AD583" s="17">
        <f t="shared" si="28"/>
        <v>0</v>
      </c>
      <c r="AE583" s="28">
        <f t="shared" si="29"/>
        <v>0</v>
      </c>
      <c r="AF583" s="28">
        <v>1</v>
      </c>
    </row>
    <row r="584" spans="1:32" ht="15.75" hidden="1" customHeight="1" x14ac:dyDescent="0.3">
      <c r="A584" s="32" t="s">
        <v>718</v>
      </c>
      <c r="B584" s="33" t="s">
        <v>739</v>
      </c>
      <c r="C584" s="33" t="s">
        <v>720</v>
      </c>
      <c r="D584" s="33" t="s">
        <v>740</v>
      </c>
      <c r="E584" s="33" t="s">
        <v>737</v>
      </c>
      <c r="F584" s="33" t="s">
        <v>672</v>
      </c>
      <c r="G584" s="34" t="s">
        <v>673</v>
      </c>
      <c r="H584" s="24">
        <f t="shared" si="27"/>
        <v>0</v>
      </c>
      <c r="I584" s="35"/>
      <c r="J584" s="35" t="s">
        <v>738</v>
      </c>
      <c r="K584" s="36"/>
      <c r="L584" s="34" t="s">
        <v>100</v>
      </c>
      <c r="M584" s="40"/>
      <c r="N584" s="40" t="s">
        <v>378</v>
      </c>
      <c r="O584" s="35" t="s">
        <v>738</v>
      </c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17"/>
      <c r="AC584" s="17">
        <v>3</v>
      </c>
      <c r="AD584" s="17">
        <f t="shared" si="28"/>
        <v>0</v>
      </c>
      <c r="AE584" s="28">
        <f t="shared" si="29"/>
        <v>0</v>
      </c>
      <c r="AF584" s="28">
        <v>1</v>
      </c>
    </row>
    <row r="585" spans="1:32" ht="15.75" hidden="1" customHeight="1" x14ac:dyDescent="0.3">
      <c r="A585" s="32" t="s">
        <v>718</v>
      </c>
      <c r="B585" s="33" t="s">
        <v>757</v>
      </c>
      <c r="C585" s="33" t="s">
        <v>725</v>
      </c>
      <c r="D585" s="33" t="s">
        <v>754</v>
      </c>
      <c r="E585" s="33" t="s">
        <v>775</v>
      </c>
      <c r="F585" s="33" t="s">
        <v>96</v>
      </c>
      <c r="G585" s="34" t="s">
        <v>167</v>
      </c>
      <c r="H585" s="24">
        <f t="shared" si="27"/>
        <v>0</v>
      </c>
      <c r="I585" s="35"/>
      <c r="J585" s="35"/>
      <c r="K585" s="36"/>
      <c r="L585" s="34" t="s">
        <v>100</v>
      </c>
      <c r="M585" s="40"/>
      <c r="N585" s="40"/>
      <c r="O585" s="35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17">
        <v>3</v>
      </c>
      <c r="AD585" s="17">
        <f t="shared" si="28"/>
        <v>0</v>
      </c>
      <c r="AE585" s="28">
        <f t="shared" si="29"/>
        <v>0</v>
      </c>
      <c r="AF585" s="28">
        <v>1</v>
      </c>
    </row>
    <row r="586" spans="1:32" ht="15.75" hidden="1" customHeight="1" x14ac:dyDescent="0.3">
      <c r="A586" s="32" t="s">
        <v>718</v>
      </c>
      <c r="B586" s="33" t="s">
        <v>728</v>
      </c>
      <c r="C586" s="33" t="s">
        <v>729</v>
      </c>
      <c r="D586" s="33" t="s">
        <v>730</v>
      </c>
      <c r="E586" s="33" t="s">
        <v>731</v>
      </c>
      <c r="F586" s="33" t="s">
        <v>672</v>
      </c>
      <c r="G586" s="34" t="s">
        <v>673</v>
      </c>
      <c r="H586" s="24">
        <f t="shared" si="27"/>
        <v>0</v>
      </c>
      <c r="I586" s="35"/>
      <c r="J586" s="35" t="s">
        <v>732</v>
      </c>
      <c r="K586" s="36"/>
      <c r="L586" s="34" t="s">
        <v>105</v>
      </c>
      <c r="M586" s="40"/>
      <c r="N586" s="40" t="s">
        <v>378</v>
      </c>
      <c r="O586" s="35" t="s">
        <v>732</v>
      </c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17">
        <v>2</v>
      </c>
      <c r="AD586" s="17">
        <f t="shared" si="28"/>
        <v>0</v>
      </c>
      <c r="AE586" s="28">
        <f t="shared" si="29"/>
        <v>0</v>
      </c>
      <c r="AF586" s="28">
        <v>1</v>
      </c>
    </row>
    <row r="587" spans="1:32" ht="15.75" hidden="1" customHeight="1" x14ac:dyDescent="0.3">
      <c r="A587" s="32" t="s">
        <v>718</v>
      </c>
      <c r="B587" s="33" t="s">
        <v>728</v>
      </c>
      <c r="C587" s="33" t="s">
        <v>729</v>
      </c>
      <c r="D587" s="33" t="s">
        <v>730</v>
      </c>
      <c r="E587" s="33" t="s">
        <v>711</v>
      </c>
      <c r="F587" s="33" t="s">
        <v>88</v>
      </c>
      <c r="G587" s="34" t="s">
        <v>127</v>
      </c>
      <c r="H587" s="24">
        <f t="shared" si="27"/>
        <v>0</v>
      </c>
      <c r="I587" s="35"/>
      <c r="J587" s="35"/>
      <c r="K587" s="36"/>
      <c r="L587" s="34" t="s">
        <v>100</v>
      </c>
      <c r="M587" s="40"/>
      <c r="N587" s="40"/>
      <c r="O587" s="35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17"/>
      <c r="AC587" s="17">
        <v>2</v>
      </c>
      <c r="AD587" s="17">
        <f t="shared" si="28"/>
        <v>0</v>
      </c>
      <c r="AE587" s="28">
        <f t="shared" si="29"/>
        <v>0</v>
      </c>
      <c r="AF587" s="28">
        <v>1</v>
      </c>
    </row>
    <row r="588" spans="1:32" ht="15.75" hidden="1" customHeight="1" x14ac:dyDescent="0.3">
      <c r="A588" s="32" t="s">
        <v>718</v>
      </c>
      <c r="B588" s="33" t="s">
        <v>728</v>
      </c>
      <c r="C588" s="33" t="s">
        <v>729</v>
      </c>
      <c r="D588" s="33" t="s">
        <v>730</v>
      </c>
      <c r="E588" s="33" t="s">
        <v>130</v>
      </c>
      <c r="F588" s="33" t="s">
        <v>96</v>
      </c>
      <c r="G588" s="34" t="s">
        <v>167</v>
      </c>
      <c r="H588" s="24">
        <f t="shared" si="27"/>
        <v>0</v>
      </c>
      <c r="I588" s="35"/>
      <c r="J588" s="35"/>
      <c r="K588" s="36"/>
      <c r="L588" s="34" t="s">
        <v>105</v>
      </c>
      <c r="M588" s="40"/>
      <c r="N588" s="40"/>
      <c r="O588" s="35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17"/>
      <c r="AC588" s="17">
        <v>3</v>
      </c>
      <c r="AD588" s="17">
        <f t="shared" si="28"/>
        <v>0</v>
      </c>
      <c r="AE588" s="28">
        <f t="shared" si="29"/>
        <v>0</v>
      </c>
      <c r="AF588" s="28">
        <v>1</v>
      </c>
    </row>
    <row r="589" spans="1:32" ht="15.75" hidden="1" customHeight="1" x14ac:dyDescent="0.3">
      <c r="A589" s="32" t="s">
        <v>718</v>
      </c>
      <c r="B589" s="33" t="s">
        <v>728</v>
      </c>
      <c r="C589" s="33" t="s">
        <v>729</v>
      </c>
      <c r="D589" s="33" t="s">
        <v>730</v>
      </c>
      <c r="E589" s="33" t="s">
        <v>746</v>
      </c>
      <c r="F589" s="33" t="s">
        <v>96</v>
      </c>
      <c r="G589" s="34" t="s">
        <v>167</v>
      </c>
      <c r="H589" s="24">
        <f t="shared" si="27"/>
        <v>0</v>
      </c>
      <c r="I589" s="35"/>
      <c r="J589" s="35"/>
      <c r="K589" s="36"/>
      <c r="L589" s="34" t="s">
        <v>100</v>
      </c>
      <c r="M589" s="40"/>
      <c r="N589" s="40"/>
      <c r="O589" s="35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17"/>
      <c r="AC589" s="17">
        <v>3</v>
      </c>
      <c r="AD589" s="17">
        <f t="shared" si="28"/>
        <v>0</v>
      </c>
      <c r="AE589" s="28">
        <f t="shared" si="29"/>
        <v>0</v>
      </c>
      <c r="AF589" s="28">
        <v>1</v>
      </c>
    </row>
    <row r="590" spans="1:32" ht="15.75" hidden="1" customHeight="1" x14ac:dyDescent="0.3">
      <c r="A590" s="32" t="s">
        <v>718</v>
      </c>
      <c r="B590" s="33" t="s">
        <v>728</v>
      </c>
      <c r="C590" s="33" t="s">
        <v>729</v>
      </c>
      <c r="D590" s="33" t="s">
        <v>730</v>
      </c>
      <c r="E590" s="33" t="s">
        <v>798</v>
      </c>
      <c r="F590" s="33" t="s">
        <v>96</v>
      </c>
      <c r="G590" s="34" t="s">
        <v>167</v>
      </c>
      <c r="H590" s="24">
        <f t="shared" si="27"/>
        <v>0</v>
      </c>
      <c r="I590" s="35"/>
      <c r="J590" s="35"/>
      <c r="K590" s="36"/>
      <c r="L590" s="34" t="s">
        <v>105</v>
      </c>
      <c r="M590" s="40"/>
      <c r="N590" s="40"/>
      <c r="O590" s="35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17"/>
      <c r="AC590" s="17">
        <v>3</v>
      </c>
      <c r="AD590" s="17">
        <f t="shared" si="28"/>
        <v>0</v>
      </c>
      <c r="AE590" s="28">
        <f t="shared" si="29"/>
        <v>0</v>
      </c>
      <c r="AF590" s="28">
        <v>1</v>
      </c>
    </row>
    <row r="591" spans="1:32" ht="15.75" hidden="1" customHeight="1" x14ac:dyDescent="0.3">
      <c r="A591" s="32" t="s">
        <v>718</v>
      </c>
      <c r="B591" s="33" t="s">
        <v>741</v>
      </c>
      <c r="C591" s="33" t="s">
        <v>720</v>
      </c>
      <c r="D591" s="33" t="s">
        <v>742</v>
      </c>
      <c r="E591" s="33" t="s">
        <v>130</v>
      </c>
      <c r="F591" s="33" t="s">
        <v>88</v>
      </c>
      <c r="G591" s="34" t="s">
        <v>127</v>
      </c>
      <c r="H591" s="24">
        <f t="shared" si="27"/>
        <v>0</v>
      </c>
      <c r="I591" s="35"/>
      <c r="J591" s="35"/>
      <c r="K591" s="36"/>
      <c r="L591" s="34" t="s">
        <v>100</v>
      </c>
      <c r="M591" s="40"/>
      <c r="N591" s="40"/>
      <c r="O591" s="35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17">
        <v>2</v>
      </c>
      <c r="AD591" s="17">
        <f t="shared" si="28"/>
        <v>0</v>
      </c>
      <c r="AE591" s="28">
        <f t="shared" si="29"/>
        <v>0</v>
      </c>
      <c r="AF591" s="28">
        <v>1</v>
      </c>
    </row>
    <row r="592" spans="1:32" ht="15.75" hidden="1" customHeight="1" x14ac:dyDescent="0.3">
      <c r="A592" s="32" t="s">
        <v>718</v>
      </c>
      <c r="B592" s="33" t="s">
        <v>741</v>
      </c>
      <c r="C592" s="33" t="s">
        <v>720</v>
      </c>
      <c r="D592" s="33" t="s">
        <v>742</v>
      </c>
      <c r="E592" s="33" t="s">
        <v>711</v>
      </c>
      <c r="F592" s="33" t="s">
        <v>88</v>
      </c>
      <c r="G592" s="34" t="s">
        <v>127</v>
      </c>
      <c r="H592" s="24">
        <f t="shared" si="27"/>
        <v>0</v>
      </c>
      <c r="I592" s="35"/>
      <c r="J592" s="35"/>
      <c r="K592" s="36"/>
      <c r="L592" s="34" t="s">
        <v>100</v>
      </c>
      <c r="M592" s="40"/>
      <c r="N592" s="40"/>
      <c r="O592" s="35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17">
        <v>2</v>
      </c>
      <c r="AD592" s="17">
        <f t="shared" si="28"/>
        <v>0</v>
      </c>
      <c r="AE592" s="28">
        <f t="shared" si="29"/>
        <v>0</v>
      </c>
      <c r="AF592" s="28">
        <v>1</v>
      </c>
    </row>
    <row r="593" spans="1:32" ht="15.75" hidden="1" customHeight="1" x14ac:dyDescent="0.3">
      <c r="A593" s="32" t="s">
        <v>718</v>
      </c>
      <c r="B593" s="33" t="s">
        <v>741</v>
      </c>
      <c r="C593" s="33" t="s">
        <v>720</v>
      </c>
      <c r="D593" s="33" t="s">
        <v>742</v>
      </c>
      <c r="E593" s="33" t="s">
        <v>737</v>
      </c>
      <c r="F593" s="33" t="s">
        <v>672</v>
      </c>
      <c r="G593" s="34" t="s">
        <v>673</v>
      </c>
      <c r="H593" s="24">
        <f t="shared" si="27"/>
        <v>0</v>
      </c>
      <c r="I593" s="35"/>
      <c r="J593" s="35" t="s">
        <v>743</v>
      </c>
      <c r="K593" s="36"/>
      <c r="L593" s="34" t="s">
        <v>100</v>
      </c>
      <c r="M593" s="40"/>
      <c r="N593" s="40" t="s">
        <v>378</v>
      </c>
      <c r="O593" s="35" t="s">
        <v>743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17"/>
      <c r="AC593" s="17">
        <v>3</v>
      </c>
      <c r="AD593" s="17">
        <f t="shared" si="28"/>
        <v>0</v>
      </c>
      <c r="AE593" s="28">
        <f t="shared" si="29"/>
        <v>0</v>
      </c>
      <c r="AF593" s="28">
        <v>1</v>
      </c>
    </row>
    <row r="594" spans="1:32" ht="15.75" hidden="1" customHeight="1" x14ac:dyDescent="0.3">
      <c r="A594" s="32" t="s">
        <v>718</v>
      </c>
      <c r="B594" s="33" t="s">
        <v>733</v>
      </c>
      <c r="C594" s="33" t="s">
        <v>729</v>
      </c>
      <c r="D594" s="33" t="s">
        <v>734</v>
      </c>
      <c r="E594" s="33" t="s">
        <v>731</v>
      </c>
      <c r="F594" s="33" t="s">
        <v>672</v>
      </c>
      <c r="G594" s="34" t="s">
        <v>673</v>
      </c>
      <c r="H594" s="24">
        <f t="shared" si="27"/>
        <v>0</v>
      </c>
      <c r="I594" s="35"/>
      <c r="J594" s="35" t="s">
        <v>732</v>
      </c>
      <c r="K594" s="36"/>
      <c r="L594" s="34" t="s">
        <v>105</v>
      </c>
      <c r="M594" s="40"/>
      <c r="N594" s="40" t="s">
        <v>378</v>
      </c>
      <c r="O594" s="35" t="s">
        <v>732</v>
      </c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17"/>
      <c r="AC594" s="17">
        <v>2</v>
      </c>
      <c r="AD594" s="17">
        <f t="shared" si="28"/>
        <v>0</v>
      </c>
      <c r="AE594" s="28">
        <f t="shared" si="29"/>
        <v>0</v>
      </c>
      <c r="AF594" s="28">
        <v>1</v>
      </c>
    </row>
    <row r="595" spans="1:32" ht="15.75" hidden="1" customHeight="1" x14ac:dyDescent="0.3">
      <c r="A595" s="32" t="s">
        <v>718</v>
      </c>
      <c r="B595" s="33" t="s">
        <v>733</v>
      </c>
      <c r="C595" s="33" t="s">
        <v>729</v>
      </c>
      <c r="D595" s="33" t="s">
        <v>734</v>
      </c>
      <c r="E595" s="33" t="s">
        <v>711</v>
      </c>
      <c r="F595" s="33" t="s">
        <v>88</v>
      </c>
      <c r="G595" s="34" t="s">
        <v>127</v>
      </c>
      <c r="H595" s="24">
        <f t="shared" si="27"/>
        <v>0</v>
      </c>
      <c r="I595" s="35"/>
      <c r="J595" s="35"/>
      <c r="K595" s="36"/>
      <c r="L595" s="34" t="s">
        <v>100</v>
      </c>
      <c r="M595" s="40"/>
      <c r="N595" s="40"/>
      <c r="O595" s="35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17"/>
      <c r="AC595" s="17">
        <v>2</v>
      </c>
      <c r="AD595" s="17">
        <f t="shared" si="28"/>
        <v>0</v>
      </c>
      <c r="AE595" s="28">
        <f t="shared" si="29"/>
        <v>0</v>
      </c>
      <c r="AF595" s="28">
        <v>1</v>
      </c>
    </row>
    <row r="596" spans="1:32" ht="15.75" hidden="1" customHeight="1" x14ac:dyDescent="0.3">
      <c r="A596" s="32" t="s">
        <v>718</v>
      </c>
      <c r="B596" s="33" t="s">
        <v>733</v>
      </c>
      <c r="C596" s="33" t="s">
        <v>729</v>
      </c>
      <c r="D596" s="33" t="s">
        <v>734</v>
      </c>
      <c r="E596" s="33" t="s">
        <v>746</v>
      </c>
      <c r="F596" s="33" t="s">
        <v>88</v>
      </c>
      <c r="G596" s="34" t="s">
        <v>127</v>
      </c>
      <c r="H596" s="24">
        <f t="shared" si="27"/>
        <v>0</v>
      </c>
      <c r="I596" s="35"/>
      <c r="J596" s="35"/>
      <c r="K596" s="36"/>
      <c r="L596" s="34" t="s">
        <v>100</v>
      </c>
      <c r="M596" s="40"/>
      <c r="N596" s="40"/>
      <c r="O596" s="35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17"/>
      <c r="AC596" s="17">
        <v>2</v>
      </c>
      <c r="AD596" s="17">
        <f t="shared" si="28"/>
        <v>0</v>
      </c>
      <c r="AE596" s="28">
        <f t="shared" si="29"/>
        <v>0</v>
      </c>
      <c r="AF596" s="28">
        <v>1</v>
      </c>
    </row>
    <row r="597" spans="1:32" ht="15.75" hidden="1" customHeight="1" x14ac:dyDescent="0.3">
      <c r="A597" s="32" t="s">
        <v>718</v>
      </c>
      <c r="B597" s="33" t="s">
        <v>733</v>
      </c>
      <c r="C597" s="33" t="s">
        <v>729</v>
      </c>
      <c r="D597" s="33" t="s">
        <v>734</v>
      </c>
      <c r="E597" s="33" t="s">
        <v>130</v>
      </c>
      <c r="F597" s="33" t="s">
        <v>96</v>
      </c>
      <c r="G597" s="34" t="s">
        <v>167</v>
      </c>
      <c r="H597" s="24">
        <f t="shared" si="27"/>
        <v>0</v>
      </c>
      <c r="I597" s="35"/>
      <c r="J597" s="35"/>
      <c r="K597" s="36"/>
      <c r="L597" s="34" t="s">
        <v>105</v>
      </c>
      <c r="M597" s="40"/>
      <c r="N597" s="40"/>
      <c r="O597" s="35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17">
        <v>3</v>
      </c>
      <c r="AD597" s="17">
        <f t="shared" si="28"/>
        <v>0</v>
      </c>
      <c r="AE597" s="28">
        <f t="shared" si="29"/>
        <v>0</v>
      </c>
      <c r="AF597" s="28">
        <v>1</v>
      </c>
    </row>
    <row r="598" spans="1:32" ht="15.75" hidden="1" customHeight="1" x14ac:dyDescent="0.3">
      <c r="A598" s="32" t="s">
        <v>718</v>
      </c>
      <c r="B598" s="33" t="s">
        <v>733</v>
      </c>
      <c r="C598" s="33" t="s">
        <v>729</v>
      </c>
      <c r="D598" s="33" t="s">
        <v>734</v>
      </c>
      <c r="E598" s="33" t="s">
        <v>798</v>
      </c>
      <c r="F598" s="33" t="s">
        <v>96</v>
      </c>
      <c r="G598" s="34" t="s">
        <v>167</v>
      </c>
      <c r="H598" s="24">
        <f t="shared" si="27"/>
        <v>0</v>
      </c>
      <c r="I598" s="35"/>
      <c r="J598" s="35"/>
      <c r="K598" s="36"/>
      <c r="L598" s="34" t="s">
        <v>105</v>
      </c>
      <c r="M598" s="40"/>
      <c r="N598" s="40"/>
      <c r="O598" s="35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17"/>
      <c r="AC598" s="17">
        <v>3</v>
      </c>
      <c r="AD598" s="17">
        <f t="shared" si="28"/>
        <v>0</v>
      </c>
      <c r="AE598" s="28">
        <f t="shared" si="29"/>
        <v>0</v>
      </c>
      <c r="AF598" s="28">
        <v>1</v>
      </c>
    </row>
    <row r="599" spans="1:32" ht="15.75" hidden="1" customHeight="1" x14ac:dyDescent="0.3">
      <c r="A599" s="32" t="s">
        <v>718</v>
      </c>
      <c r="B599" s="33" t="s">
        <v>744</v>
      </c>
      <c r="C599" s="33" t="s">
        <v>720</v>
      </c>
      <c r="D599" s="33" t="s">
        <v>745</v>
      </c>
      <c r="E599" s="33" t="s">
        <v>130</v>
      </c>
      <c r="F599" s="33" t="s">
        <v>88</v>
      </c>
      <c r="G599" s="34" t="s">
        <v>127</v>
      </c>
      <c r="H599" s="24">
        <f t="shared" si="27"/>
        <v>0</v>
      </c>
      <c r="I599" s="35"/>
      <c r="J599" s="35"/>
      <c r="K599" s="36"/>
      <c r="L599" s="34" t="s">
        <v>100</v>
      </c>
      <c r="M599" s="40"/>
      <c r="N599" s="40"/>
      <c r="O599" s="35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17">
        <v>2</v>
      </c>
      <c r="AD599" s="17">
        <f t="shared" si="28"/>
        <v>0</v>
      </c>
      <c r="AE599" s="28">
        <f t="shared" si="29"/>
        <v>0</v>
      </c>
      <c r="AF599" s="28">
        <v>1</v>
      </c>
    </row>
    <row r="600" spans="1:32" ht="15.75" hidden="1" customHeight="1" x14ac:dyDescent="0.3">
      <c r="A600" s="32" t="s">
        <v>718</v>
      </c>
      <c r="B600" s="33" t="s">
        <v>744</v>
      </c>
      <c r="C600" s="33" t="s">
        <v>720</v>
      </c>
      <c r="D600" s="33" t="s">
        <v>745</v>
      </c>
      <c r="E600" s="33" t="s">
        <v>711</v>
      </c>
      <c r="F600" s="33" t="s">
        <v>88</v>
      </c>
      <c r="G600" s="34" t="s">
        <v>127</v>
      </c>
      <c r="H600" s="24">
        <f t="shared" si="27"/>
        <v>0</v>
      </c>
      <c r="I600" s="35"/>
      <c r="J600" s="35"/>
      <c r="K600" s="36"/>
      <c r="L600" s="34" t="s">
        <v>100</v>
      </c>
      <c r="M600" s="40"/>
      <c r="N600" s="40"/>
      <c r="O600" s="35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17">
        <v>2</v>
      </c>
      <c r="AD600" s="17">
        <f t="shared" si="28"/>
        <v>0</v>
      </c>
      <c r="AE600" s="28">
        <f t="shared" si="29"/>
        <v>0</v>
      </c>
      <c r="AF600" s="28">
        <v>1</v>
      </c>
    </row>
    <row r="601" spans="1:32" ht="15.75" hidden="1" customHeight="1" x14ac:dyDescent="0.3">
      <c r="A601" s="32" t="s">
        <v>718</v>
      </c>
      <c r="B601" s="33" t="s">
        <v>744</v>
      </c>
      <c r="C601" s="33" t="s">
        <v>720</v>
      </c>
      <c r="D601" s="33" t="s">
        <v>745</v>
      </c>
      <c r="E601" s="33" t="s">
        <v>737</v>
      </c>
      <c r="F601" s="33" t="s">
        <v>672</v>
      </c>
      <c r="G601" s="34" t="s">
        <v>673</v>
      </c>
      <c r="H601" s="24">
        <f t="shared" si="27"/>
        <v>0</v>
      </c>
      <c r="I601" s="35"/>
      <c r="J601" s="35" t="s">
        <v>743</v>
      </c>
      <c r="K601" s="36"/>
      <c r="L601" s="34" t="s">
        <v>100</v>
      </c>
      <c r="M601" s="40"/>
      <c r="N601" s="40" t="s">
        <v>378</v>
      </c>
      <c r="O601" s="35" t="s">
        <v>743</v>
      </c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17"/>
      <c r="AC601" s="17">
        <v>3</v>
      </c>
      <c r="AD601" s="17">
        <f t="shared" si="28"/>
        <v>0</v>
      </c>
      <c r="AE601" s="28">
        <f t="shared" si="29"/>
        <v>0</v>
      </c>
      <c r="AF601" s="28">
        <v>1</v>
      </c>
    </row>
    <row r="602" spans="1:32" ht="15.75" hidden="1" customHeight="1" x14ac:dyDescent="0.3">
      <c r="A602" s="32" t="s">
        <v>718</v>
      </c>
      <c r="B602" s="33" t="s">
        <v>749</v>
      </c>
      <c r="C602" s="33" t="s">
        <v>720</v>
      </c>
      <c r="D602" s="33" t="s">
        <v>750</v>
      </c>
      <c r="E602" s="33" t="s">
        <v>751</v>
      </c>
      <c r="F602" s="33" t="s">
        <v>88</v>
      </c>
      <c r="G602" s="34" t="s">
        <v>127</v>
      </c>
      <c r="H602" s="24">
        <f t="shared" si="27"/>
        <v>0</v>
      </c>
      <c r="I602" s="35" t="s">
        <v>808</v>
      </c>
      <c r="J602" s="35"/>
      <c r="K602" s="36"/>
      <c r="L602" s="34" t="s">
        <v>105</v>
      </c>
      <c r="M602" s="40"/>
      <c r="N602" s="40"/>
      <c r="O602" s="35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17">
        <v>2</v>
      </c>
      <c r="AD602" s="17">
        <f t="shared" si="28"/>
        <v>0</v>
      </c>
      <c r="AE602" s="28">
        <f t="shared" si="29"/>
        <v>0</v>
      </c>
      <c r="AF602" s="28">
        <v>1</v>
      </c>
    </row>
    <row r="603" spans="1:32" ht="15.75" hidden="1" customHeight="1" x14ac:dyDescent="0.3">
      <c r="A603" s="32" t="s">
        <v>718</v>
      </c>
      <c r="B603" s="33" t="s">
        <v>749</v>
      </c>
      <c r="C603" s="33" t="s">
        <v>720</v>
      </c>
      <c r="D603" s="33" t="s">
        <v>750</v>
      </c>
      <c r="E603" s="33" t="s">
        <v>752</v>
      </c>
      <c r="F603" s="33" t="s">
        <v>88</v>
      </c>
      <c r="G603" s="34" t="s">
        <v>127</v>
      </c>
      <c r="H603" s="24">
        <f t="shared" si="27"/>
        <v>0</v>
      </c>
      <c r="I603" s="35"/>
      <c r="J603" s="35"/>
      <c r="K603" s="36"/>
      <c r="L603" s="34" t="s">
        <v>105</v>
      </c>
      <c r="M603" s="40"/>
      <c r="N603" s="40"/>
      <c r="O603" s="35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17">
        <v>2</v>
      </c>
      <c r="AD603" s="17">
        <f t="shared" si="28"/>
        <v>0</v>
      </c>
      <c r="AE603" s="28">
        <f t="shared" si="29"/>
        <v>0</v>
      </c>
      <c r="AF603" s="28">
        <v>1</v>
      </c>
    </row>
    <row r="604" spans="1:32" ht="15.75" hidden="1" customHeight="1" x14ac:dyDescent="0.3">
      <c r="A604" s="32" t="s">
        <v>718</v>
      </c>
      <c r="B604" s="33" t="s">
        <v>753</v>
      </c>
      <c r="C604" s="33" t="s">
        <v>725</v>
      </c>
      <c r="D604" s="33" t="s">
        <v>754</v>
      </c>
      <c r="E604" s="33" t="s">
        <v>756</v>
      </c>
      <c r="F604" s="33" t="s">
        <v>88</v>
      </c>
      <c r="G604" s="34" t="s">
        <v>127</v>
      </c>
      <c r="H604" s="24">
        <f t="shared" si="27"/>
        <v>0</v>
      </c>
      <c r="I604" s="35"/>
      <c r="J604" s="35"/>
      <c r="K604" s="36"/>
      <c r="L604" s="34" t="s">
        <v>105</v>
      </c>
      <c r="M604" s="40"/>
      <c r="N604" s="40"/>
      <c r="O604" s="35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17">
        <v>2</v>
      </c>
      <c r="AD604" s="17">
        <f t="shared" si="28"/>
        <v>0</v>
      </c>
      <c r="AE604" s="28">
        <f t="shared" si="29"/>
        <v>0</v>
      </c>
      <c r="AF604" s="28">
        <v>1</v>
      </c>
    </row>
    <row r="605" spans="1:32" ht="15.75" hidden="1" customHeight="1" x14ac:dyDescent="0.3">
      <c r="A605" s="32" t="s">
        <v>718</v>
      </c>
      <c r="B605" s="33" t="s">
        <v>753</v>
      </c>
      <c r="C605" s="33" t="s">
        <v>725</v>
      </c>
      <c r="D605" s="33" t="s">
        <v>754</v>
      </c>
      <c r="E605" s="33" t="s">
        <v>755</v>
      </c>
      <c r="F605" s="33" t="s">
        <v>96</v>
      </c>
      <c r="G605" s="34" t="s">
        <v>167</v>
      </c>
      <c r="H605" s="24">
        <f t="shared" si="27"/>
        <v>0</v>
      </c>
      <c r="I605" s="35"/>
      <c r="J605" s="35"/>
      <c r="K605" s="36"/>
      <c r="L605" s="34" t="s">
        <v>105</v>
      </c>
      <c r="M605" s="40"/>
      <c r="N605" s="40"/>
      <c r="O605" s="35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17">
        <v>3</v>
      </c>
      <c r="AD605" s="17">
        <f t="shared" si="28"/>
        <v>0</v>
      </c>
      <c r="AE605" s="28">
        <f t="shared" si="29"/>
        <v>0</v>
      </c>
      <c r="AF605" s="28">
        <v>1</v>
      </c>
    </row>
  </sheetData>
  <autoFilter ref="A3:HB605" xr:uid="{00000000-0001-0000-0000-000000000000}">
    <filterColumn colId="3">
      <filters>
        <filter val="SILO REACTOR"/>
      </filters>
    </filterColumn>
    <sortState xmlns:xlrd2="http://schemas.microsoft.com/office/spreadsheetml/2017/richdata2" ref="A4:HB605">
      <sortCondition ref="A3:A605"/>
    </sortState>
  </autoFilter>
  <mergeCells count="2">
    <mergeCell ref="K1:K2"/>
    <mergeCell ref="N1:N2"/>
  </mergeCells>
  <conditionalFormatting sqref="H4:H605">
    <cfRule type="cellIs" dxfId="5" priority="4" operator="between">
      <formula>0.5</formula>
      <formula>0.74</formula>
    </cfRule>
    <cfRule type="cellIs" dxfId="4" priority="5" operator="lessThanOrEqual">
      <formula>0.49</formula>
    </cfRule>
    <cfRule type="cellIs" dxfId="3" priority="6" operator="greaterThanOrEqual">
      <formula>0.75</formula>
    </cfRule>
  </conditionalFormatting>
  <conditionalFormatting sqref="I115:I118">
    <cfRule type="cellIs" dxfId="2" priority="1" operator="between">
      <formula>0.5</formula>
      <formula>0.74</formula>
    </cfRule>
    <cfRule type="cellIs" dxfId="1" priority="2" operator="lessThanOrEqual">
      <formula>0.49</formula>
    </cfRule>
    <cfRule type="cellIs" dxfId="0" priority="3" operator="greaterThanOrEqual">
      <formula>0.75</formula>
    </cfRule>
  </conditionalFormatting>
  <pageMargins left="0.15748031496062992" right="0.15748031496062992" top="0.17" bottom="0.17" header="0" footer="0"/>
  <pageSetup paperSize="9" scale="7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C286-539A-47AD-993E-8C84934D3E31}">
  <sheetPr filterMode="1">
    <pageSetUpPr fitToPage="1"/>
  </sheetPr>
  <dimension ref="A1:GD1048079"/>
  <sheetViews>
    <sheetView showGridLines="0" zoomScale="90" zoomScaleNormal="90" workbookViewId="0">
      <pane xSplit="6" ySplit="4" topLeftCell="G5" activePane="bottomRight" state="frozen"/>
      <selection pane="topRight" activeCell="I1" sqref="I1"/>
      <selection pane="bottomLeft" activeCell="A4" sqref="A4"/>
      <selection pane="bottomRight" activeCell="A4" sqref="A4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15.6640625" customWidth="1"/>
  </cols>
  <sheetData>
    <row r="1" spans="1:12" ht="24.9" customHeight="1" x14ac:dyDescent="0.3">
      <c r="H1" s="150" t="s">
        <v>95</v>
      </c>
      <c r="I1" s="150"/>
      <c r="J1" s="150"/>
      <c r="K1" s="150"/>
      <c r="L1" s="150"/>
    </row>
    <row r="2" spans="1:12" ht="24.9" customHeight="1" x14ac:dyDescent="0.3">
      <c r="A2" s="1"/>
      <c r="B2" s="2"/>
      <c r="C2" s="2"/>
      <c r="D2" s="2"/>
      <c r="E2" s="2"/>
      <c r="F2" s="3"/>
      <c r="G2" s="6"/>
      <c r="H2" s="150"/>
      <c r="I2" s="150"/>
      <c r="J2" s="150"/>
      <c r="K2" s="150"/>
      <c r="L2" s="150"/>
    </row>
    <row r="3" spans="1:12" ht="24.9" customHeight="1" x14ac:dyDescent="0.3">
      <c r="A3" s="6"/>
      <c r="B3" s="10"/>
      <c r="C3" s="10"/>
      <c r="D3" s="10"/>
      <c r="E3" s="10"/>
      <c r="F3" s="2"/>
      <c r="G3" s="6"/>
      <c r="H3" s="150"/>
      <c r="I3" s="150"/>
      <c r="J3" s="150"/>
      <c r="K3" s="150"/>
      <c r="L3" s="150"/>
    </row>
    <row r="4" spans="1:12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22" t="s">
        <v>76</v>
      </c>
      <c r="I4" s="122" t="s">
        <v>76</v>
      </c>
      <c r="J4" s="122" t="s">
        <v>76</v>
      </c>
      <c r="K4" s="122" t="s">
        <v>76</v>
      </c>
      <c r="L4" s="122" t="s">
        <v>76</v>
      </c>
    </row>
    <row r="5" spans="1:12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27"/>
      <c r="I5" s="27"/>
    </row>
    <row r="6" spans="1:12" ht="24.9" hidden="1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8"/>
      <c r="I6" s="27"/>
    </row>
    <row r="7" spans="1:12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27"/>
      <c r="I7" s="27"/>
    </row>
    <row r="8" spans="1:12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27"/>
      <c r="I8" s="27"/>
    </row>
    <row r="9" spans="1:12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27"/>
      <c r="I9" s="27"/>
    </row>
    <row r="10" spans="1:12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27"/>
      <c r="I10" s="27"/>
    </row>
    <row r="11" spans="1:12" ht="24.9" hidden="1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27"/>
      <c r="I11" s="27"/>
    </row>
    <row r="12" spans="1:12" ht="24.9" hidden="1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27"/>
      <c r="I12" s="27"/>
    </row>
    <row r="13" spans="1:12" ht="24.9" hidden="1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27"/>
      <c r="I13" s="27"/>
    </row>
    <row r="14" spans="1:12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27"/>
      <c r="I14" s="27"/>
    </row>
    <row r="15" spans="1:12" ht="24.9" hidden="1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27"/>
      <c r="I15" s="27"/>
    </row>
    <row r="16" spans="1:12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27"/>
      <c r="I16" s="27"/>
    </row>
    <row r="17" spans="1:9" ht="24.9" hidden="1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27"/>
      <c r="I17" s="27"/>
    </row>
    <row r="18" spans="1:9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27"/>
      <c r="I18" s="27"/>
    </row>
    <row r="19" spans="1:9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27"/>
      <c r="I19" s="27"/>
    </row>
    <row r="20" spans="1:9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27"/>
      <c r="I20" s="27"/>
    </row>
    <row r="21" spans="1:9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27"/>
      <c r="I21" s="27"/>
    </row>
    <row r="22" spans="1:9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27"/>
      <c r="I22" s="27"/>
    </row>
    <row r="23" spans="1:9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27"/>
      <c r="I23" s="27"/>
    </row>
    <row r="24" spans="1:9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27"/>
      <c r="I24" s="27"/>
    </row>
    <row r="25" spans="1:9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27"/>
      <c r="I25" s="27"/>
    </row>
    <row r="26" spans="1:9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27"/>
      <c r="I26" s="27"/>
    </row>
    <row r="27" spans="1:9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27"/>
      <c r="I27" s="27"/>
    </row>
    <row r="28" spans="1:9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127</v>
      </c>
      <c r="G28" s="40"/>
      <c r="H28" s="27"/>
      <c r="I28" s="27"/>
    </row>
    <row r="29" spans="1:9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27"/>
      <c r="I29" s="27"/>
    </row>
    <row r="30" spans="1:9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27"/>
      <c r="I30" s="27"/>
    </row>
    <row r="31" spans="1:9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27"/>
      <c r="I31" s="27"/>
    </row>
    <row r="32" spans="1:9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27"/>
      <c r="I32" s="27"/>
    </row>
    <row r="33" spans="1:9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27"/>
      <c r="I33" s="27"/>
    </row>
    <row r="34" spans="1:9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27"/>
      <c r="I34" s="27"/>
    </row>
    <row r="35" spans="1:9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27"/>
      <c r="I35" s="27"/>
    </row>
    <row r="36" spans="1:9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27"/>
      <c r="I36" s="27"/>
    </row>
    <row r="37" spans="1:9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27"/>
      <c r="I37" s="27"/>
    </row>
    <row r="38" spans="1:9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27"/>
      <c r="I38" s="27"/>
    </row>
    <row r="39" spans="1:9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27"/>
      <c r="I39" s="27"/>
    </row>
    <row r="40" spans="1:9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27"/>
      <c r="I40" s="27"/>
    </row>
    <row r="41" spans="1:9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27"/>
      <c r="I41" s="27"/>
    </row>
    <row r="42" spans="1:9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27"/>
      <c r="I42" s="27"/>
    </row>
    <row r="43" spans="1:9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27"/>
      <c r="I43" s="27"/>
    </row>
    <row r="44" spans="1:9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27"/>
      <c r="I44" s="27"/>
    </row>
    <row r="45" spans="1:9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27"/>
      <c r="I45" s="27"/>
    </row>
    <row r="46" spans="1:9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27"/>
      <c r="I46" s="27"/>
    </row>
    <row r="47" spans="1:9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27"/>
      <c r="I47" s="27"/>
    </row>
    <row r="48" spans="1:9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27"/>
      <c r="I48" s="27"/>
    </row>
    <row r="49" spans="1:9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127</v>
      </c>
      <c r="G49" s="40"/>
      <c r="H49" s="27"/>
      <c r="I49" s="27"/>
    </row>
    <row r="50" spans="1:9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27"/>
      <c r="I50" s="27"/>
    </row>
    <row r="51" spans="1:9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222</v>
      </c>
      <c r="F51" s="44" t="s">
        <v>167</v>
      </c>
      <c r="G51" s="40"/>
      <c r="H51" s="27"/>
      <c r="I51" s="27"/>
    </row>
    <row r="52" spans="1:9" ht="24.9" hidden="1" customHeight="1" x14ac:dyDescent="0.3">
      <c r="A52" s="32">
        <v>80</v>
      </c>
      <c r="B52" s="33" t="s">
        <v>208</v>
      </c>
      <c r="C52" s="33" t="s">
        <v>193</v>
      </c>
      <c r="D52" s="33" t="s">
        <v>209</v>
      </c>
      <c r="E52" s="33" t="s">
        <v>210</v>
      </c>
      <c r="F52" s="34" t="s">
        <v>127</v>
      </c>
      <c r="G52" s="40"/>
      <c r="H52" s="27"/>
      <c r="I52" s="27"/>
    </row>
    <row r="53" spans="1:9" ht="24.9" hidden="1" customHeight="1" x14ac:dyDescent="0.3">
      <c r="A53" s="32">
        <v>80</v>
      </c>
      <c r="B53" s="33" t="s">
        <v>215</v>
      </c>
      <c r="C53" s="33" t="s">
        <v>198</v>
      </c>
      <c r="D53" s="33" t="s">
        <v>216</v>
      </c>
      <c r="E53" s="33" t="s">
        <v>217</v>
      </c>
      <c r="F53" s="34"/>
      <c r="G53" s="40"/>
      <c r="H53" s="27"/>
      <c r="I53" s="27"/>
    </row>
    <row r="54" spans="1:9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213</v>
      </c>
      <c r="F54" s="34" t="s">
        <v>127</v>
      </c>
      <c r="G54" s="40"/>
      <c r="H54" s="27"/>
      <c r="I54" s="27"/>
    </row>
    <row r="55" spans="1:9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214</v>
      </c>
      <c r="F55" s="34" t="s">
        <v>127</v>
      </c>
      <c r="G55" s="40"/>
      <c r="H55" s="27"/>
      <c r="I55" s="27"/>
    </row>
    <row r="56" spans="1:9" ht="24.9" hidden="1" customHeight="1" x14ac:dyDescent="0.3">
      <c r="A56" s="32">
        <v>80</v>
      </c>
      <c r="B56" s="33" t="s">
        <v>211</v>
      </c>
      <c r="C56" s="33" t="s">
        <v>193</v>
      </c>
      <c r="D56" s="33" t="s">
        <v>212</v>
      </c>
      <c r="E56" s="33" t="s">
        <v>160</v>
      </c>
      <c r="F56" s="34" t="s">
        <v>127</v>
      </c>
      <c r="G56" s="40"/>
      <c r="H56" s="27"/>
      <c r="I56" s="27"/>
    </row>
    <row r="57" spans="1:9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764</v>
      </c>
      <c r="F57" s="34" t="s">
        <v>167</v>
      </c>
      <c r="G57" s="40"/>
      <c r="H57" s="27"/>
      <c r="I57" s="27"/>
    </row>
    <row r="58" spans="1:9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195</v>
      </c>
      <c r="F58" s="34" t="s">
        <v>167</v>
      </c>
      <c r="G58" s="40"/>
      <c r="H58" s="27"/>
      <c r="I58" s="27"/>
    </row>
    <row r="59" spans="1:9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765</v>
      </c>
      <c r="F59" s="34" t="s">
        <v>99</v>
      </c>
      <c r="G59" s="40"/>
      <c r="H59" s="27"/>
      <c r="I59" s="27"/>
    </row>
    <row r="60" spans="1:9" ht="24.9" hidden="1" customHeight="1" x14ac:dyDescent="0.3">
      <c r="A60" s="32">
        <v>80</v>
      </c>
      <c r="B60" s="33" t="s">
        <v>192</v>
      </c>
      <c r="C60" s="33" t="s">
        <v>193</v>
      </c>
      <c r="D60" s="33" t="s">
        <v>194</v>
      </c>
      <c r="E60" s="33" t="s">
        <v>225</v>
      </c>
      <c r="F60" s="34" t="s">
        <v>127</v>
      </c>
      <c r="G60" s="40"/>
      <c r="H60" s="27"/>
    </row>
    <row r="61" spans="1:9" ht="24.9" hidden="1" customHeight="1" x14ac:dyDescent="0.3">
      <c r="A61" s="32">
        <v>80</v>
      </c>
      <c r="B61" s="33" t="s">
        <v>206</v>
      </c>
      <c r="C61" s="33" t="s">
        <v>193</v>
      </c>
      <c r="D61" s="33" t="s">
        <v>207</v>
      </c>
      <c r="E61" s="33" t="s">
        <v>768</v>
      </c>
      <c r="F61" s="34" t="s">
        <v>127</v>
      </c>
      <c r="G61" s="40"/>
      <c r="H61" s="27"/>
    </row>
    <row r="62" spans="1:9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767</v>
      </c>
      <c r="F62" s="34" t="s">
        <v>99</v>
      </c>
      <c r="G62" s="40"/>
      <c r="H62" s="27"/>
    </row>
    <row r="63" spans="1:9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173</v>
      </c>
      <c r="F63" s="34" t="s">
        <v>127</v>
      </c>
      <c r="G63" s="40"/>
      <c r="H63" s="27"/>
    </row>
    <row r="64" spans="1:9" ht="24.9" hidden="1" customHeight="1" x14ac:dyDescent="0.3">
      <c r="A64" s="32">
        <v>80</v>
      </c>
      <c r="B64" s="33" t="s">
        <v>200</v>
      </c>
      <c r="C64" s="33" t="s">
        <v>193</v>
      </c>
      <c r="D64" s="33" t="s">
        <v>201</v>
      </c>
      <c r="E64" s="33" t="s">
        <v>766</v>
      </c>
      <c r="F64" s="34" t="s">
        <v>127</v>
      </c>
      <c r="G64" s="40"/>
      <c r="H64" s="27"/>
    </row>
    <row r="65" spans="1:8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220</v>
      </c>
      <c r="E65" s="33" t="s">
        <v>221</v>
      </c>
      <c r="F65" s="34" t="s">
        <v>127</v>
      </c>
      <c r="G65" s="40"/>
      <c r="H65" s="27"/>
    </row>
    <row r="66" spans="1:8" ht="24.9" hidden="1" customHeight="1" x14ac:dyDescent="0.3">
      <c r="A66" s="32">
        <v>80</v>
      </c>
      <c r="B66" s="33" t="s">
        <v>218</v>
      </c>
      <c r="C66" s="33" t="s">
        <v>219</v>
      </c>
      <c r="D66" s="33" t="s">
        <v>228</v>
      </c>
      <c r="E66" s="33" t="s">
        <v>229</v>
      </c>
      <c r="F66" s="34" t="s">
        <v>167</v>
      </c>
      <c r="G66" s="40"/>
      <c r="H66" s="27"/>
    </row>
    <row r="67" spans="1:8" ht="24.9" hidden="1" customHeight="1" x14ac:dyDescent="0.3">
      <c r="A67" s="32">
        <v>92</v>
      </c>
      <c r="B67" s="33" t="s">
        <v>264</v>
      </c>
      <c r="C67" s="33" t="s">
        <v>265</v>
      </c>
      <c r="D67" s="33" t="s">
        <v>758</v>
      </c>
      <c r="E67" s="33" t="s">
        <v>130</v>
      </c>
      <c r="F67" s="34" t="s">
        <v>119</v>
      </c>
      <c r="G67" s="40"/>
      <c r="H67" s="27"/>
    </row>
    <row r="68" spans="1:8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243</v>
      </c>
      <c r="F68" s="34" t="s">
        <v>99</v>
      </c>
      <c r="G68" s="40"/>
      <c r="H68" s="27"/>
    </row>
    <row r="69" spans="1:8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245</v>
      </c>
      <c r="F69" s="34" t="s">
        <v>99</v>
      </c>
      <c r="G69" s="40"/>
      <c r="H69" s="27"/>
    </row>
    <row r="70" spans="1:8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769</v>
      </c>
      <c r="F70" s="34" t="s">
        <v>99</v>
      </c>
      <c r="G70" s="40"/>
      <c r="H70" s="27"/>
    </row>
    <row r="71" spans="1:8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770</v>
      </c>
      <c r="F71" s="34" t="s">
        <v>99</v>
      </c>
      <c r="G71" s="40"/>
      <c r="H71" s="27"/>
    </row>
    <row r="72" spans="1:8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771</v>
      </c>
      <c r="F72" s="34" t="s">
        <v>99</v>
      </c>
      <c r="G72" s="40"/>
      <c r="H72" s="27"/>
    </row>
    <row r="73" spans="1:8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772</v>
      </c>
      <c r="F73" s="34" t="s">
        <v>99</v>
      </c>
      <c r="G73" s="40"/>
      <c r="H73" s="27"/>
    </row>
    <row r="74" spans="1:8" ht="24.9" hidden="1" customHeight="1" x14ac:dyDescent="0.3">
      <c r="A74" s="32">
        <v>90</v>
      </c>
      <c r="B74" s="33" t="s">
        <v>246</v>
      </c>
      <c r="C74" s="33" t="s">
        <v>236</v>
      </c>
      <c r="D74" s="33" t="s">
        <v>247</v>
      </c>
      <c r="E74" s="33" t="s">
        <v>773</v>
      </c>
      <c r="F74" s="34" t="s">
        <v>99</v>
      </c>
      <c r="G74" s="40"/>
      <c r="H74" s="27"/>
    </row>
    <row r="75" spans="1:8" ht="24.9" hidden="1" customHeight="1" x14ac:dyDescent="0.3">
      <c r="A75" s="32">
        <v>92</v>
      </c>
      <c r="B75" s="33" t="s">
        <v>267</v>
      </c>
      <c r="C75" s="33" t="s">
        <v>265</v>
      </c>
      <c r="D75" s="33" t="s">
        <v>268</v>
      </c>
      <c r="E75" s="33" t="s">
        <v>130</v>
      </c>
      <c r="F75" s="34" t="s">
        <v>119</v>
      </c>
      <c r="G75" s="40"/>
      <c r="H75" s="27"/>
    </row>
    <row r="76" spans="1:8" ht="24.9" hidden="1" customHeight="1" x14ac:dyDescent="0.3">
      <c r="A76" s="32">
        <v>92</v>
      </c>
      <c r="B76" s="33" t="s">
        <v>269</v>
      </c>
      <c r="C76" s="33" t="s">
        <v>265</v>
      </c>
      <c r="D76" s="33" t="s">
        <v>270</v>
      </c>
      <c r="E76" s="33" t="s">
        <v>271</v>
      </c>
      <c r="F76" s="34" t="s">
        <v>119</v>
      </c>
      <c r="G76" s="40"/>
      <c r="H76" s="27"/>
    </row>
    <row r="77" spans="1:8" ht="24.9" hidden="1" customHeight="1" x14ac:dyDescent="0.3">
      <c r="A77" s="32">
        <v>110</v>
      </c>
      <c r="B77" s="33" t="s">
        <v>349</v>
      </c>
      <c r="C77" s="33" t="s">
        <v>317</v>
      </c>
      <c r="D77" s="33" t="s">
        <v>116</v>
      </c>
      <c r="E77" s="33" t="s">
        <v>117</v>
      </c>
      <c r="F77" s="34" t="s">
        <v>119</v>
      </c>
      <c r="G77" s="40"/>
      <c r="H77" s="27"/>
    </row>
    <row r="78" spans="1:8" ht="24.9" hidden="1" customHeight="1" x14ac:dyDescent="0.3">
      <c r="A78" s="32">
        <v>110</v>
      </c>
      <c r="B78" s="33" t="s">
        <v>350</v>
      </c>
      <c r="C78" s="33" t="s">
        <v>317</v>
      </c>
      <c r="D78" s="33" t="s">
        <v>351</v>
      </c>
      <c r="E78" s="33" t="s">
        <v>117</v>
      </c>
      <c r="F78" s="34" t="s">
        <v>119</v>
      </c>
      <c r="G78" s="40"/>
      <c r="H78" s="27"/>
    </row>
    <row r="79" spans="1:8" ht="24.9" hidden="1" customHeight="1" x14ac:dyDescent="0.3">
      <c r="A79" s="32">
        <v>120</v>
      </c>
      <c r="B79" s="33" t="s">
        <v>361</v>
      </c>
      <c r="C79" s="33" t="s">
        <v>362</v>
      </c>
      <c r="D79" s="33" t="s">
        <v>362</v>
      </c>
      <c r="E79" s="33" t="s">
        <v>363</v>
      </c>
      <c r="F79" s="34" t="s">
        <v>119</v>
      </c>
      <c r="G79" s="40"/>
      <c r="H79" s="27"/>
    </row>
    <row r="80" spans="1:8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774</v>
      </c>
      <c r="F80" s="34" t="s">
        <v>167</v>
      </c>
      <c r="G80" s="40"/>
      <c r="H80" s="27"/>
    </row>
    <row r="81" spans="1:8" ht="24.9" hidden="1" customHeight="1" x14ac:dyDescent="0.3">
      <c r="A81" s="32">
        <v>90</v>
      </c>
      <c r="B81" s="33" t="s">
        <v>249</v>
      </c>
      <c r="C81" s="33" t="s">
        <v>236</v>
      </c>
      <c r="D81" s="33" t="s">
        <v>250</v>
      </c>
      <c r="E81" s="33" t="s">
        <v>251</v>
      </c>
      <c r="F81" s="34" t="s">
        <v>99</v>
      </c>
      <c r="G81" s="40"/>
      <c r="H81" s="27"/>
    </row>
    <row r="82" spans="1:8" ht="24.9" hidden="1" customHeight="1" x14ac:dyDescent="0.3">
      <c r="A82" s="32">
        <v>140</v>
      </c>
      <c r="B82" s="33" t="s">
        <v>475</v>
      </c>
      <c r="C82" s="33" t="s">
        <v>473</v>
      </c>
      <c r="D82" s="33" t="s">
        <v>476</v>
      </c>
      <c r="E82" s="33" t="s">
        <v>240</v>
      </c>
      <c r="F82" s="34" t="s">
        <v>119</v>
      </c>
      <c r="G82" s="40"/>
      <c r="H82" s="27"/>
    </row>
    <row r="83" spans="1:8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243</v>
      </c>
      <c r="F83" s="34" t="s">
        <v>99</v>
      </c>
      <c r="G83" s="40"/>
      <c r="H83" s="27"/>
    </row>
    <row r="84" spans="1:8" ht="24.9" hidden="1" customHeight="1" x14ac:dyDescent="0.3">
      <c r="A84" s="32">
        <v>90</v>
      </c>
      <c r="B84" s="33" t="s">
        <v>253</v>
      </c>
      <c r="C84" s="33" t="s">
        <v>236</v>
      </c>
      <c r="D84" s="33" t="s">
        <v>254</v>
      </c>
      <c r="E84" s="33" t="s">
        <v>772</v>
      </c>
      <c r="F84" s="34" t="s">
        <v>99</v>
      </c>
      <c r="G84" s="40"/>
      <c r="H84" s="27"/>
    </row>
    <row r="85" spans="1:8" ht="24.9" hidden="1" customHeight="1" x14ac:dyDescent="0.3">
      <c r="A85" s="32">
        <v>140</v>
      </c>
      <c r="B85" s="33" t="s">
        <v>475</v>
      </c>
      <c r="C85" s="33" t="s">
        <v>473</v>
      </c>
      <c r="D85" s="33" t="s">
        <v>476</v>
      </c>
      <c r="E85" s="33" t="s">
        <v>477</v>
      </c>
      <c r="F85" s="34" t="s">
        <v>119</v>
      </c>
      <c r="G85" s="40"/>
      <c r="H85" s="27"/>
    </row>
    <row r="86" spans="1:8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243</v>
      </c>
      <c r="F86" s="34" t="s">
        <v>99</v>
      </c>
      <c r="G86" s="40"/>
      <c r="H86" s="27"/>
    </row>
    <row r="87" spans="1:8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160</v>
      </c>
      <c r="F87" s="34" t="s">
        <v>99</v>
      </c>
      <c r="G87" s="40"/>
      <c r="H87" s="27"/>
    </row>
    <row r="88" spans="1:8" ht="24.9" hidden="1" customHeight="1" x14ac:dyDescent="0.3">
      <c r="A88" s="32">
        <v>90</v>
      </c>
      <c r="B88" s="33" t="s">
        <v>241</v>
      </c>
      <c r="C88" s="33" t="s">
        <v>232</v>
      </c>
      <c r="D88" s="33" t="s">
        <v>242</v>
      </c>
      <c r="E88" s="33" t="s">
        <v>245</v>
      </c>
      <c r="F88" s="34" t="s">
        <v>99</v>
      </c>
      <c r="G88" s="40"/>
      <c r="H88" s="27"/>
    </row>
    <row r="89" spans="1:8" ht="24.9" hidden="1" customHeight="1" x14ac:dyDescent="0.3">
      <c r="A89" s="32">
        <v>90</v>
      </c>
      <c r="B89" s="33" t="s">
        <v>231</v>
      </c>
      <c r="C89" s="33" t="s">
        <v>232</v>
      </c>
      <c r="D89" s="33" t="s">
        <v>233</v>
      </c>
      <c r="E89" s="33" t="s">
        <v>225</v>
      </c>
      <c r="F89" s="34" t="s">
        <v>167</v>
      </c>
      <c r="G89" s="40"/>
      <c r="H89" s="27"/>
    </row>
    <row r="90" spans="1:8" ht="24.9" hidden="1" customHeight="1" x14ac:dyDescent="0.3">
      <c r="A90" s="32">
        <v>90</v>
      </c>
      <c r="B90" s="33" t="s">
        <v>231</v>
      </c>
      <c r="C90" s="33" t="s">
        <v>232</v>
      </c>
      <c r="D90" s="33" t="s">
        <v>233</v>
      </c>
      <c r="E90" s="33" t="s">
        <v>262</v>
      </c>
      <c r="F90" s="44" t="s">
        <v>167</v>
      </c>
      <c r="G90" s="40"/>
      <c r="H90" s="27"/>
    </row>
    <row r="91" spans="1:8" ht="24.9" hidden="1" customHeight="1" x14ac:dyDescent="0.3">
      <c r="A91" s="32">
        <v>140</v>
      </c>
      <c r="B91" s="33" t="s">
        <v>480</v>
      </c>
      <c r="C91" s="33" t="s">
        <v>473</v>
      </c>
      <c r="D91" s="33" t="s">
        <v>481</v>
      </c>
      <c r="E91" s="33" t="s">
        <v>240</v>
      </c>
      <c r="F91" s="34" t="s">
        <v>119</v>
      </c>
      <c r="G91" s="40"/>
      <c r="H91" s="27"/>
    </row>
    <row r="92" spans="1:8" ht="24.9" hidden="1" customHeight="1" x14ac:dyDescent="0.3">
      <c r="A92" s="32">
        <v>140</v>
      </c>
      <c r="B92" s="33" t="s">
        <v>480</v>
      </c>
      <c r="C92" s="33" t="s">
        <v>473</v>
      </c>
      <c r="D92" s="33" t="s">
        <v>481</v>
      </c>
      <c r="E92" s="33" t="s">
        <v>477</v>
      </c>
      <c r="F92" s="34" t="s">
        <v>119</v>
      </c>
      <c r="G92" s="40"/>
      <c r="H92" s="27"/>
    </row>
    <row r="93" spans="1:8" ht="24.9" hidden="1" customHeight="1" x14ac:dyDescent="0.3">
      <c r="A93" s="32">
        <v>90</v>
      </c>
      <c r="B93" s="33" t="s">
        <v>252</v>
      </c>
      <c r="C93" s="33" t="s">
        <v>232</v>
      </c>
      <c r="D93" s="33" t="s">
        <v>250</v>
      </c>
      <c r="E93" s="33" t="s">
        <v>251</v>
      </c>
      <c r="F93" s="34" t="s">
        <v>99</v>
      </c>
      <c r="G93" s="40"/>
      <c r="H93" s="27"/>
    </row>
    <row r="94" spans="1:8" ht="24.9" hidden="1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173</v>
      </c>
      <c r="F94" s="34" t="s">
        <v>119</v>
      </c>
      <c r="G94" s="40"/>
      <c r="H94" s="27"/>
    </row>
    <row r="95" spans="1:8" ht="24.9" hidden="1" customHeight="1" x14ac:dyDescent="0.3">
      <c r="A95" s="32">
        <v>90</v>
      </c>
      <c r="B95" s="33" t="s">
        <v>845</v>
      </c>
      <c r="C95" s="33" t="s">
        <v>232</v>
      </c>
      <c r="D95" s="33" t="s">
        <v>254</v>
      </c>
      <c r="E95" s="33" t="s">
        <v>243</v>
      </c>
      <c r="F95" s="34" t="s">
        <v>99</v>
      </c>
      <c r="G95" s="40"/>
      <c r="H95" s="27"/>
    </row>
    <row r="96" spans="1:8" ht="24.9" hidden="1" customHeight="1" x14ac:dyDescent="0.3">
      <c r="A96" s="32" t="s">
        <v>546</v>
      </c>
      <c r="B96" s="33" t="s">
        <v>561</v>
      </c>
      <c r="C96" s="33" t="s">
        <v>562</v>
      </c>
      <c r="D96" s="33" t="s">
        <v>563</v>
      </c>
      <c r="E96" s="33" t="s">
        <v>580</v>
      </c>
      <c r="F96" s="34" t="s">
        <v>119</v>
      </c>
      <c r="G96" s="40"/>
      <c r="H96" s="27"/>
    </row>
    <row r="97" spans="1:12" ht="24.9" hidden="1" customHeight="1" x14ac:dyDescent="0.3">
      <c r="A97" s="32">
        <v>92</v>
      </c>
      <c r="B97" s="33" t="s">
        <v>264</v>
      </c>
      <c r="C97" s="33" t="s">
        <v>265</v>
      </c>
      <c r="D97" s="33" t="s">
        <v>278</v>
      </c>
      <c r="E97" s="33" t="s">
        <v>279</v>
      </c>
      <c r="F97" s="34"/>
      <c r="G97" s="40"/>
      <c r="H97" s="27"/>
    </row>
    <row r="98" spans="1:12" ht="24.9" customHeight="1" x14ac:dyDescent="0.3">
      <c r="A98" s="32">
        <v>90</v>
      </c>
      <c r="B98" s="33" t="s">
        <v>255</v>
      </c>
      <c r="C98" s="33" t="s">
        <v>232</v>
      </c>
      <c r="D98" s="33" t="s">
        <v>256</v>
      </c>
      <c r="E98" s="33" t="s">
        <v>173</v>
      </c>
      <c r="F98" s="34" t="s">
        <v>95</v>
      </c>
      <c r="G98" s="40"/>
      <c r="H98" s="77"/>
      <c r="I98" s="120"/>
      <c r="J98" s="120"/>
      <c r="K98" s="120"/>
      <c r="L98" s="120"/>
    </row>
    <row r="99" spans="1:12" ht="24.9" hidden="1" customHeight="1" x14ac:dyDescent="0.3">
      <c r="A99" s="32">
        <v>92</v>
      </c>
      <c r="B99" s="33" t="s">
        <v>267</v>
      </c>
      <c r="C99" s="33" t="s">
        <v>265</v>
      </c>
      <c r="D99" s="33" t="s">
        <v>280</v>
      </c>
      <c r="E99" s="33" t="s">
        <v>279</v>
      </c>
      <c r="F99" s="34"/>
      <c r="G99" s="40"/>
      <c r="H99" s="27"/>
    </row>
    <row r="100" spans="1:12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160</v>
      </c>
      <c r="F100" s="34" t="s">
        <v>99</v>
      </c>
      <c r="G100" s="40"/>
      <c r="H100" s="27"/>
    </row>
    <row r="101" spans="1:12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130</v>
      </c>
      <c r="F101" s="34" t="s">
        <v>127</v>
      </c>
      <c r="G101" s="40"/>
      <c r="H101" s="27"/>
    </row>
    <row r="102" spans="1:12" ht="24.9" hidden="1" customHeight="1" x14ac:dyDescent="0.3">
      <c r="A102" s="32">
        <v>92</v>
      </c>
      <c r="B102" s="33" t="s">
        <v>272</v>
      </c>
      <c r="C102" s="33" t="s">
        <v>265</v>
      </c>
      <c r="D102" s="33" t="s">
        <v>273</v>
      </c>
      <c r="E102" s="33" t="s">
        <v>772</v>
      </c>
      <c r="F102" s="34" t="s">
        <v>283</v>
      </c>
      <c r="G102" s="40"/>
      <c r="H102" s="27"/>
    </row>
    <row r="103" spans="1:12" ht="24.9" hidden="1" customHeight="1" x14ac:dyDescent="0.3">
      <c r="A103" s="32">
        <v>92</v>
      </c>
      <c r="B103" s="33" t="s">
        <v>272</v>
      </c>
      <c r="C103" s="33" t="s">
        <v>265</v>
      </c>
      <c r="D103" s="33" t="s">
        <v>273</v>
      </c>
      <c r="E103" s="33" t="s">
        <v>771</v>
      </c>
      <c r="F103" s="34" t="s">
        <v>283</v>
      </c>
      <c r="G103" s="40"/>
      <c r="H103" s="27"/>
    </row>
    <row r="104" spans="1:12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160</v>
      </c>
      <c r="F104" s="34" t="s">
        <v>99</v>
      </c>
      <c r="G104" s="40"/>
      <c r="H104" s="27"/>
    </row>
    <row r="105" spans="1:12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130</v>
      </c>
      <c r="F105" s="34" t="s">
        <v>127</v>
      </c>
      <c r="G105" s="40"/>
      <c r="H105" s="27"/>
    </row>
    <row r="106" spans="1:12" ht="24.9" hidden="1" customHeight="1" x14ac:dyDescent="0.3">
      <c r="A106" s="32">
        <v>92</v>
      </c>
      <c r="B106" s="33" t="s">
        <v>274</v>
      </c>
      <c r="C106" s="33" t="s">
        <v>265</v>
      </c>
      <c r="D106" s="33" t="s">
        <v>275</v>
      </c>
      <c r="E106" s="33" t="s">
        <v>772</v>
      </c>
      <c r="F106" s="34" t="s">
        <v>283</v>
      </c>
      <c r="G106" s="40"/>
      <c r="H106" s="27"/>
    </row>
    <row r="107" spans="1:12" ht="24.9" hidden="1" customHeight="1" x14ac:dyDescent="0.3">
      <c r="A107" s="32">
        <v>92</v>
      </c>
      <c r="B107" s="33" t="s">
        <v>274</v>
      </c>
      <c r="C107" s="33" t="s">
        <v>265</v>
      </c>
      <c r="D107" s="33" t="s">
        <v>275</v>
      </c>
      <c r="E107" s="33" t="s">
        <v>771</v>
      </c>
      <c r="F107" s="34" t="s">
        <v>283</v>
      </c>
      <c r="G107" s="40"/>
      <c r="H107" s="27"/>
    </row>
    <row r="108" spans="1:12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160</v>
      </c>
      <c r="F108" s="34" t="s">
        <v>99</v>
      </c>
      <c r="G108" s="40"/>
      <c r="H108" s="27"/>
    </row>
    <row r="109" spans="1:12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130</v>
      </c>
      <c r="F109" s="34" t="s">
        <v>127</v>
      </c>
      <c r="G109" s="40"/>
      <c r="H109" s="27"/>
    </row>
    <row r="110" spans="1:12" ht="24.9" hidden="1" customHeight="1" x14ac:dyDescent="0.3">
      <c r="A110" s="32">
        <v>92</v>
      </c>
      <c r="B110" s="33" t="s">
        <v>276</v>
      </c>
      <c r="C110" s="33" t="s">
        <v>265</v>
      </c>
      <c r="D110" s="33" t="s">
        <v>277</v>
      </c>
      <c r="E110" s="33" t="s">
        <v>772</v>
      </c>
      <c r="F110" s="34" t="s">
        <v>283</v>
      </c>
      <c r="G110" s="40"/>
      <c r="H110" s="27"/>
    </row>
    <row r="111" spans="1:12" ht="24.9" hidden="1" customHeight="1" x14ac:dyDescent="0.3">
      <c r="A111" s="32">
        <v>92</v>
      </c>
      <c r="B111" s="33" t="s">
        <v>276</v>
      </c>
      <c r="C111" s="33" t="s">
        <v>265</v>
      </c>
      <c r="D111" s="33" t="s">
        <v>277</v>
      </c>
      <c r="E111" s="33" t="s">
        <v>771</v>
      </c>
      <c r="F111" s="34" t="s">
        <v>283</v>
      </c>
      <c r="G111" s="40"/>
      <c r="H111" s="27"/>
    </row>
    <row r="112" spans="1:12" ht="24.9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257</v>
      </c>
      <c r="F112" s="34" t="s">
        <v>95</v>
      </c>
      <c r="G112" s="40"/>
      <c r="H112" s="77"/>
      <c r="I112" s="120"/>
      <c r="J112" s="120"/>
      <c r="K112" s="120"/>
      <c r="L112" s="120"/>
    </row>
    <row r="113" spans="1:186" ht="24.9" hidden="1" customHeight="1" x14ac:dyDescent="0.3">
      <c r="A113" s="32">
        <v>92</v>
      </c>
      <c r="B113" s="33" t="s">
        <v>281</v>
      </c>
      <c r="C113" s="33" t="s">
        <v>265</v>
      </c>
      <c r="D113" s="43" t="s">
        <v>282</v>
      </c>
      <c r="E113" s="33" t="s">
        <v>279</v>
      </c>
      <c r="F113" s="34"/>
      <c r="G113" s="40"/>
      <c r="H113" s="27"/>
    </row>
    <row r="114" spans="1:186" ht="24.9" customHeight="1" x14ac:dyDescent="0.3">
      <c r="A114" s="32">
        <v>90</v>
      </c>
      <c r="B114" s="33" t="s">
        <v>246</v>
      </c>
      <c r="C114" s="33" t="s">
        <v>236</v>
      </c>
      <c r="D114" s="33" t="s">
        <v>247</v>
      </c>
      <c r="E114" s="33" t="s">
        <v>258</v>
      </c>
      <c r="F114" s="34" t="s">
        <v>95</v>
      </c>
      <c r="G114" s="40"/>
      <c r="H114" s="77"/>
      <c r="I114" s="120"/>
      <c r="J114" s="120"/>
      <c r="K114" s="120"/>
      <c r="L114" s="120"/>
    </row>
    <row r="115" spans="1:186" ht="24.9" customHeight="1" x14ac:dyDescent="0.3">
      <c r="A115" s="32">
        <v>90</v>
      </c>
      <c r="B115" s="33" t="s">
        <v>246</v>
      </c>
      <c r="C115" s="33" t="s">
        <v>236</v>
      </c>
      <c r="D115" s="33" t="s">
        <v>247</v>
      </c>
      <c r="E115" s="33" t="s">
        <v>259</v>
      </c>
      <c r="F115" s="34" t="s">
        <v>95</v>
      </c>
      <c r="G115" s="40"/>
      <c r="H115" s="77"/>
      <c r="I115" s="120"/>
      <c r="J115" s="120"/>
      <c r="K115" s="120"/>
      <c r="L115" s="120"/>
    </row>
    <row r="116" spans="1:186" ht="24.9" hidden="1" customHeight="1" x14ac:dyDescent="0.3">
      <c r="A116" s="32">
        <v>100</v>
      </c>
      <c r="B116" s="33" t="s">
        <v>287</v>
      </c>
      <c r="C116" s="33" t="s">
        <v>285</v>
      </c>
      <c r="D116" s="33" t="s">
        <v>288</v>
      </c>
      <c r="E116" s="33" t="s">
        <v>289</v>
      </c>
      <c r="F116" s="91" t="s">
        <v>99</v>
      </c>
      <c r="G116" s="50"/>
      <c r="H116" s="27"/>
    </row>
    <row r="117" spans="1:186" ht="24.9" hidden="1" customHeight="1" x14ac:dyDescent="0.3">
      <c r="A117" s="86">
        <v>100</v>
      </c>
      <c r="B117" s="88" t="s">
        <v>800</v>
      </c>
      <c r="C117" s="88" t="s">
        <v>285</v>
      </c>
      <c r="D117" s="33" t="s">
        <v>801</v>
      </c>
      <c r="E117" s="88" t="s">
        <v>806</v>
      </c>
      <c r="F117" s="91" t="s">
        <v>99</v>
      </c>
      <c r="G117" s="101"/>
      <c r="H117" s="72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</row>
    <row r="118" spans="1:186" ht="24.9" hidden="1" customHeight="1" x14ac:dyDescent="0.3">
      <c r="A118" s="86">
        <v>100</v>
      </c>
      <c r="B118" s="88" t="s">
        <v>800</v>
      </c>
      <c r="C118" s="88" t="s">
        <v>285</v>
      </c>
      <c r="D118" s="33" t="s">
        <v>801</v>
      </c>
      <c r="E118" s="88" t="s">
        <v>807</v>
      </c>
      <c r="F118" s="92" t="s">
        <v>99</v>
      </c>
      <c r="G118" s="72"/>
      <c r="H118" s="72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</row>
    <row r="119" spans="1:186" ht="24.9" hidden="1" customHeight="1" x14ac:dyDescent="0.3">
      <c r="A119" s="87">
        <v>100</v>
      </c>
      <c r="B119" s="89" t="s">
        <v>802</v>
      </c>
      <c r="C119" s="89" t="s">
        <v>285</v>
      </c>
      <c r="D119" s="33" t="s">
        <v>803</v>
      </c>
      <c r="E119" s="89" t="s">
        <v>806</v>
      </c>
      <c r="F119" s="92" t="s">
        <v>99</v>
      </c>
      <c r="G119" s="99"/>
      <c r="H119" s="99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</row>
    <row r="120" spans="1:186" ht="24.9" hidden="1" customHeight="1" x14ac:dyDescent="0.3">
      <c r="A120" s="87">
        <v>100</v>
      </c>
      <c r="B120" s="89" t="s">
        <v>802</v>
      </c>
      <c r="C120" s="89" t="s">
        <v>285</v>
      </c>
      <c r="D120" s="33" t="s">
        <v>803</v>
      </c>
      <c r="E120" s="89" t="s">
        <v>807</v>
      </c>
      <c r="F120" s="92" t="s">
        <v>99</v>
      </c>
      <c r="G120" s="99"/>
      <c r="H120" s="99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</row>
    <row r="121" spans="1:186" ht="24.9" hidden="1" customHeight="1" x14ac:dyDescent="0.3">
      <c r="A121" s="58">
        <v>100</v>
      </c>
      <c r="B121" s="60" t="s">
        <v>844</v>
      </c>
      <c r="C121" s="60" t="s">
        <v>285</v>
      </c>
      <c r="D121" s="33" t="s">
        <v>843</v>
      </c>
      <c r="E121" s="60" t="s">
        <v>298</v>
      </c>
      <c r="F121" s="62" t="s">
        <v>127</v>
      </c>
      <c r="G121" s="69"/>
      <c r="H121" s="68"/>
    </row>
    <row r="122" spans="1:186" ht="24.9" hidden="1" customHeight="1" x14ac:dyDescent="0.3">
      <c r="A122" s="58">
        <v>100</v>
      </c>
      <c r="B122" s="60" t="s">
        <v>284</v>
      </c>
      <c r="C122" s="60" t="s">
        <v>285</v>
      </c>
      <c r="D122" s="33" t="s">
        <v>286</v>
      </c>
      <c r="E122" s="60" t="s">
        <v>775</v>
      </c>
      <c r="F122" s="62" t="s">
        <v>167</v>
      </c>
      <c r="G122" s="69"/>
      <c r="H122" s="68"/>
    </row>
    <row r="123" spans="1:186" ht="24.9" customHeight="1" x14ac:dyDescent="0.3">
      <c r="A123" s="32">
        <v>90</v>
      </c>
      <c r="B123" s="33" t="s">
        <v>235</v>
      </c>
      <c r="C123" s="33" t="s">
        <v>236</v>
      </c>
      <c r="D123" s="33" t="s">
        <v>237</v>
      </c>
      <c r="E123" s="33" t="s">
        <v>130</v>
      </c>
      <c r="F123" s="34" t="s">
        <v>95</v>
      </c>
      <c r="G123" s="40"/>
      <c r="H123" s="77"/>
      <c r="I123" s="120"/>
      <c r="J123" s="120"/>
      <c r="K123" s="120"/>
      <c r="L123" s="120"/>
    </row>
    <row r="124" spans="1:186" ht="24.9" hidden="1" customHeight="1" x14ac:dyDescent="0.3">
      <c r="A124" s="32">
        <v>101</v>
      </c>
      <c r="B124" s="33" t="s">
        <v>294</v>
      </c>
      <c r="C124" s="33" t="s">
        <v>285</v>
      </c>
      <c r="D124" s="33" t="s">
        <v>295</v>
      </c>
      <c r="E124" s="33" t="s">
        <v>296</v>
      </c>
      <c r="F124" s="34" t="s">
        <v>127</v>
      </c>
      <c r="G124" s="40"/>
      <c r="H124" s="27"/>
    </row>
    <row r="125" spans="1:186" ht="24.9" hidden="1" customHeight="1" x14ac:dyDescent="0.3">
      <c r="A125" s="32">
        <v>101</v>
      </c>
      <c r="B125" s="33" t="s">
        <v>297</v>
      </c>
      <c r="C125" s="33" t="s">
        <v>285</v>
      </c>
      <c r="D125" s="33" t="s">
        <v>295</v>
      </c>
      <c r="E125" s="33" t="s">
        <v>298</v>
      </c>
      <c r="F125" s="34" t="s">
        <v>127</v>
      </c>
      <c r="G125" s="40"/>
      <c r="H125" s="27"/>
    </row>
    <row r="126" spans="1:186" ht="24.9" hidden="1" customHeight="1" x14ac:dyDescent="0.3">
      <c r="A126" s="32">
        <v>101</v>
      </c>
      <c r="B126" s="33" t="s">
        <v>309</v>
      </c>
      <c r="C126" s="33" t="s">
        <v>285</v>
      </c>
      <c r="D126" s="33" t="s">
        <v>295</v>
      </c>
      <c r="E126" s="33" t="s">
        <v>298</v>
      </c>
      <c r="F126" s="34" t="s">
        <v>127</v>
      </c>
      <c r="G126" s="40"/>
      <c r="H126" s="27"/>
    </row>
    <row r="127" spans="1:186" ht="24.9" hidden="1" customHeight="1" x14ac:dyDescent="0.3">
      <c r="A127" s="32">
        <v>101</v>
      </c>
      <c r="B127" s="33" t="s">
        <v>302</v>
      </c>
      <c r="C127" s="33" t="s">
        <v>285</v>
      </c>
      <c r="D127" s="33" t="s">
        <v>295</v>
      </c>
      <c r="E127" s="33" t="s">
        <v>777</v>
      </c>
      <c r="F127" s="34" t="s">
        <v>127</v>
      </c>
      <c r="G127" s="40"/>
      <c r="H127" s="27"/>
    </row>
    <row r="128" spans="1:186" ht="24.9" customHeight="1" x14ac:dyDescent="0.3">
      <c r="A128" s="32">
        <v>90</v>
      </c>
      <c r="B128" s="33" t="s">
        <v>238</v>
      </c>
      <c r="C128" s="33" t="s">
        <v>236</v>
      </c>
      <c r="D128" s="33" t="s">
        <v>239</v>
      </c>
      <c r="E128" s="33" t="s">
        <v>130</v>
      </c>
      <c r="F128" s="34" t="s">
        <v>95</v>
      </c>
      <c r="G128" s="40"/>
      <c r="H128" s="77"/>
      <c r="I128" s="120"/>
      <c r="J128" s="120"/>
      <c r="K128" s="120"/>
      <c r="L128" s="120"/>
    </row>
    <row r="129" spans="1:12" ht="24.9" hidden="1" customHeight="1" x14ac:dyDescent="0.3">
      <c r="A129" s="32">
        <v>101</v>
      </c>
      <c r="B129" s="33" t="s">
        <v>303</v>
      </c>
      <c r="C129" s="33" t="s">
        <v>285</v>
      </c>
      <c r="D129" s="33" t="s">
        <v>304</v>
      </c>
      <c r="E129" s="33" t="s">
        <v>305</v>
      </c>
      <c r="F129" s="34" t="s">
        <v>127</v>
      </c>
      <c r="G129" s="40"/>
      <c r="H129" s="27"/>
    </row>
    <row r="130" spans="1:12" ht="24.9" hidden="1" customHeight="1" x14ac:dyDescent="0.3">
      <c r="A130" s="32">
        <v>102</v>
      </c>
      <c r="B130" s="33" t="s">
        <v>310</v>
      </c>
      <c r="C130" s="33" t="s">
        <v>285</v>
      </c>
      <c r="D130" s="33" t="s">
        <v>311</v>
      </c>
      <c r="E130" s="33" t="s">
        <v>779</v>
      </c>
      <c r="F130" s="34" t="s">
        <v>127</v>
      </c>
      <c r="G130" s="40"/>
      <c r="H130" s="27"/>
    </row>
    <row r="131" spans="1:12" ht="24.9" customHeight="1" x14ac:dyDescent="0.3">
      <c r="A131" s="32">
        <v>90</v>
      </c>
      <c r="B131" s="33" t="s">
        <v>249</v>
      </c>
      <c r="C131" s="33" t="s">
        <v>236</v>
      </c>
      <c r="D131" s="33" t="s">
        <v>250</v>
      </c>
      <c r="E131" s="33" t="s">
        <v>130</v>
      </c>
      <c r="F131" s="34" t="s">
        <v>95</v>
      </c>
      <c r="G131" s="40"/>
      <c r="H131" s="77"/>
      <c r="I131" s="120"/>
      <c r="J131" s="120"/>
      <c r="K131" s="120"/>
      <c r="L131" s="120"/>
    </row>
    <row r="132" spans="1:12" ht="24.9" hidden="1" customHeight="1" x14ac:dyDescent="0.3">
      <c r="A132" s="32">
        <v>110</v>
      </c>
      <c r="B132" s="33" t="s">
        <v>328</v>
      </c>
      <c r="C132" s="33" t="s">
        <v>317</v>
      </c>
      <c r="D132" s="33" t="s">
        <v>329</v>
      </c>
      <c r="E132" s="33" t="s">
        <v>319</v>
      </c>
      <c r="F132" s="34" t="s">
        <v>99</v>
      </c>
      <c r="G132" s="40"/>
      <c r="H132" s="27"/>
    </row>
    <row r="133" spans="1:12" ht="24.9" hidden="1" customHeight="1" x14ac:dyDescent="0.3">
      <c r="A133" s="32">
        <v>110</v>
      </c>
      <c r="B133" s="33" t="s">
        <v>326</v>
      </c>
      <c r="C133" s="33" t="s">
        <v>317</v>
      </c>
      <c r="D133" s="33" t="s">
        <v>327</v>
      </c>
      <c r="E133" s="33" t="s">
        <v>319</v>
      </c>
      <c r="F133" s="34" t="s">
        <v>99</v>
      </c>
      <c r="G133" s="40"/>
      <c r="H133" s="27"/>
    </row>
    <row r="134" spans="1:12" ht="24.9" customHeight="1" x14ac:dyDescent="0.3">
      <c r="A134" s="32">
        <v>90</v>
      </c>
      <c r="B134" s="33" t="s">
        <v>253</v>
      </c>
      <c r="C134" s="33" t="s">
        <v>236</v>
      </c>
      <c r="D134" s="33" t="s">
        <v>254</v>
      </c>
      <c r="E134" s="33" t="s">
        <v>130</v>
      </c>
      <c r="F134" s="34" t="s">
        <v>95</v>
      </c>
      <c r="G134" s="40"/>
      <c r="H134" s="77"/>
      <c r="I134" s="120"/>
      <c r="J134" s="120"/>
      <c r="K134" s="120"/>
      <c r="L134" s="120"/>
    </row>
    <row r="135" spans="1:12" ht="24.9" customHeight="1" x14ac:dyDescent="0.3">
      <c r="A135" s="32">
        <v>90</v>
      </c>
      <c r="B135" s="33" t="s">
        <v>231</v>
      </c>
      <c r="C135" s="33" t="s">
        <v>232</v>
      </c>
      <c r="D135" s="33" t="s">
        <v>233</v>
      </c>
      <c r="E135" s="33" t="s">
        <v>240</v>
      </c>
      <c r="F135" s="34" t="s">
        <v>95</v>
      </c>
      <c r="G135" s="40"/>
      <c r="H135" s="77"/>
      <c r="I135" s="120"/>
      <c r="J135" s="120"/>
      <c r="K135" s="120"/>
      <c r="L135" s="120"/>
    </row>
    <row r="136" spans="1:12" ht="24.9" hidden="1" customHeight="1" x14ac:dyDescent="0.3">
      <c r="A136" s="32">
        <v>110</v>
      </c>
      <c r="B136" s="33" t="s">
        <v>316</v>
      </c>
      <c r="C136" s="33" t="s">
        <v>317</v>
      </c>
      <c r="D136" s="33" t="s">
        <v>318</v>
      </c>
      <c r="E136" s="33" t="s">
        <v>319</v>
      </c>
      <c r="F136" s="34" t="s">
        <v>99</v>
      </c>
      <c r="G136" s="40"/>
      <c r="H136" s="27"/>
    </row>
    <row r="137" spans="1:12" ht="24.9" hidden="1" customHeight="1" x14ac:dyDescent="0.3">
      <c r="A137" s="32">
        <v>110</v>
      </c>
      <c r="B137" s="33" t="s">
        <v>320</v>
      </c>
      <c r="C137" s="33" t="s">
        <v>317</v>
      </c>
      <c r="D137" s="33" t="s">
        <v>321</v>
      </c>
      <c r="E137" s="33" t="s">
        <v>319</v>
      </c>
      <c r="F137" s="34" t="s">
        <v>99</v>
      </c>
      <c r="G137" s="40"/>
      <c r="H137" s="27"/>
    </row>
    <row r="138" spans="1:12" ht="24.9" hidden="1" customHeight="1" x14ac:dyDescent="0.3">
      <c r="A138" s="32">
        <v>110</v>
      </c>
      <c r="B138" s="33" t="s">
        <v>322</v>
      </c>
      <c r="C138" s="33" t="s">
        <v>317</v>
      </c>
      <c r="D138" s="33" t="s">
        <v>323</v>
      </c>
      <c r="E138" s="33" t="s">
        <v>319</v>
      </c>
      <c r="F138" s="34" t="s">
        <v>99</v>
      </c>
      <c r="G138" s="40"/>
      <c r="H138" s="27"/>
    </row>
    <row r="139" spans="1:12" ht="24.9" hidden="1" customHeight="1" x14ac:dyDescent="0.3">
      <c r="A139" s="32">
        <v>110</v>
      </c>
      <c r="B139" s="33" t="s">
        <v>324</v>
      </c>
      <c r="C139" s="33" t="s">
        <v>317</v>
      </c>
      <c r="D139" s="33" t="s">
        <v>325</v>
      </c>
      <c r="E139" s="33" t="s">
        <v>319</v>
      </c>
      <c r="F139" s="34" t="s">
        <v>99</v>
      </c>
      <c r="G139" s="40"/>
      <c r="H139" s="27"/>
    </row>
    <row r="140" spans="1:12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775</v>
      </c>
      <c r="F140" s="34" t="s">
        <v>167</v>
      </c>
      <c r="G140" s="40"/>
      <c r="H140" s="27"/>
    </row>
    <row r="141" spans="1:12" ht="24.9" hidden="1" customHeight="1" x14ac:dyDescent="0.3">
      <c r="A141" s="32">
        <v>110</v>
      </c>
      <c r="B141" s="33" t="s">
        <v>333</v>
      </c>
      <c r="C141" s="33" t="s">
        <v>317</v>
      </c>
      <c r="D141" s="33" t="s">
        <v>334</v>
      </c>
      <c r="E141" s="33" t="s">
        <v>332</v>
      </c>
      <c r="F141" s="34" t="s">
        <v>99</v>
      </c>
      <c r="G141" s="40"/>
      <c r="H141" s="27"/>
    </row>
    <row r="142" spans="1:12" ht="24.9" hidden="1" customHeight="1" x14ac:dyDescent="0.3">
      <c r="A142" s="32">
        <v>110</v>
      </c>
      <c r="B142" s="33" t="s">
        <v>333</v>
      </c>
      <c r="C142" s="33" t="s">
        <v>317</v>
      </c>
      <c r="D142" s="33" t="s">
        <v>334</v>
      </c>
      <c r="E142" s="33" t="s">
        <v>165</v>
      </c>
      <c r="F142" s="34" t="s">
        <v>99</v>
      </c>
      <c r="G142" s="40"/>
      <c r="H142" s="27"/>
    </row>
    <row r="143" spans="1:12" ht="24.9" hidden="1" customHeight="1" x14ac:dyDescent="0.3">
      <c r="A143" s="32">
        <v>110</v>
      </c>
      <c r="B143" s="33" t="s">
        <v>335</v>
      </c>
      <c r="C143" s="33" t="s">
        <v>317</v>
      </c>
      <c r="D143" s="33" t="s">
        <v>336</v>
      </c>
      <c r="E143" s="33" t="s">
        <v>775</v>
      </c>
      <c r="F143" s="34" t="s">
        <v>167</v>
      </c>
      <c r="G143" s="40"/>
      <c r="H143" s="27"/>
    </row>
    <row r="144" spans="1:12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775</v>
      </c>
      <c r="F144" s="34" t="s">
        <v>167</v>
      </c>
      <c r="G144" s="40"/>
      <c r="H144" s="27"/>
    </row>
    <row r="145" spans="1:8" ht="24.9" hidden="1" customHeight="1" x14ac:dyDescent="0.3">
      <c r="A145" s="32">
        <v>110</v>
      </c>
      <c r="B145" s="33" t="s">
        <v>343</v>
      </c>
      <c r="C145" s="33" t="s">
        <v>317</v>
      </c>
      <c r="D145" s="33" t="s">
        <v>344</v>
      </c>
      <c r="E145" s="33" t="s">
        <v>332</v>
      </c>
      <c r="F145" s="34" t="s">
        <v>99</v>
      </c>
      <c r="G145" s="40"/>
      <c r="H145" s="27"/>
    </row>
    <row r="146" spans="1:8" ht="24.9" hidden="1" customHeight="1" x14ac:dyDescent="0.3">
      <c r="A146" s="32">
        <v>110</v>
      </c>
      <c r="B146" s="33" t="s">
        <v>343</v>
      </c>
      <c r="C146" s="33" t="s">
        <v>317</v>
      </c>
      <c r="D146" s="33" t="s">
        <v>344</v>
      </c>
      <c r="E146" s="33" t="s">
        <v>165</v>
      </c>
      <c r="F146" s="34" t="s">
        <v>99</v>
      </c>
      <c r="G146" s="40"/>
      <c r="H146" s="27"/>
    </row>
    <row r="147" spans="1:8" ht="24.9" hidden="1" customHeight="1" x14ac:dyDescent="0.3">
      <c r="A147" s="32">
        <v>110</v>
      </c>
      <c r="B147" s="33" t="s">
        <v>337</v>
      </c>
      <c r="C147" s="33" t="s">
        <v>317</v>
      </c>
      <c r="D147" s="33" t="s">
        <v>338</v>
      </c>
      <c r="E147" s="33" t="s">
        <v>775</v>
      </c>
      <c r="F147" s="34" t="s">
        <v>167</v>
      </c>
      <c r="G147" s="40"/>
      <c r="H147" s="27"/>
    </row>
    <row r="148" spans="1:8" ht="24.9" hidden="1" customHeight="1" x14ac:dyDescent="0.3">
      <c r="A148" s="32">
        <v>110</v>
      </c>
      <c r="B148" s="33" t="s">
        <v>339</v>
      </c>
      <c r="C148" s="33" t="s">
        <v>317</v>
      </c>
      <c r="D148" s="33" t="s">
        <v>340</v>
      </c>
      <c r="E148" s="33" t="s">
        <v>775</v>
      </c>
      <c r="F148" s="34" t="s">
        <v>167</v>
      </c>
      <c r="G148" s="40"/>
      <c r="H148" s="27"/>
    </row>
    <row r="149" spans="1:8" ht="24.9" hidden="1" customHeight="1" x14ac:dyDescent="0.3">
      <c r="A149" s="32">
        <v>110</v>
      </c>
      <c r="B149" s="33" t="s">
        <v>341</v>
      </c>
      <c r="C149" s="33" t="s">
        <v>317</v>
      </c>
      <c r="D149" s="33" t="s">
        <v>342</v>
      </c>
      <c r="E149" s="33" t="s">
        <v>775</v>
      </c>
      <c r="F149" s="34" t="s">
        <v>167</v>
      </c>
      <c r="G149" s="40"/>
      <c r="H149" s="27"/>
    </row>
    <row r="150" spans="1:8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775</v>
      </c>
      <c r="F150" s="34" t="s">
        <v>167</v>
      </c>
      <c r="G150" s="40"/>
      <c r="H150" s="27"/>
    </row>
    <row r="151" spans="1:8" ht="24.9" hidden="1" customHeight="1" x14ac:dyDescent="0.3">
      <c r="A151" s="32">
        <v>110</v>
      </c>
      <c r="B151" s="33" t="s">
        <v>345</v>
      </c>
      <c r="C151" s="33" t="s">
        <v>317</v>
      </c>
      <c r="D151" s="33" t="s">
        <v>346</v>
      </c>
      <c r="E151" s="33" t="s">
        <v>332</v>
      </c>
      <c r="F151" s="34" t="s">
        <v>99</v>
      </c>
      <c r="G151" s="40"/>
      <c r="H151" s="27"/>
    </row>
    <row r="152" spans="1:8" ht="24.9" hidden="1" customHeight="1" x14ac:dyDescent="0.3">
      <c r="A152" s="32">
        <v>110</v>
      </c>
      <c r="B152" s="33" t="s">
        <v>345</v>
      </c>
      <c r="C152" s="33" t="s">
        <v>317</v>
      </c>
      <c r="D152" s="33" t="s">
        <v>346</v>
      </c>
      <c r="E152" s="33" t="s">
        <v>165</v>
      </c>
      <c r="F152" s="34" t="s">
        <v>99</v>
      </c>
      <c r="G152" s="40"/>
      <c r="H152" s="27"/>
    </row>
    <row r="153" spans="1:8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775</v>
      </c>
      <c r="F153" s="34" t="s">
        <v>167</v>
      </c>
      <c r="G153" s="40"/>
      <c r="H153" s="27"/>
    </row>
    <row r="154" spans="1:8" ht="24.9" hidden="1" customHeight="1" x14ac:dyDescent="0.3">
      <c r="A154" s="32">
        <v>110</v>
      </c>
      <c r="B154" s="33" t="s">
        <v>347</v>
      </c>
      <c r="C154" s="33" t="s">
        <v>317</v>
      </c>
      <c r="D154" s="33" t="s">
        <v>348</v>
      </c>
      <c r="E154" s="33" t="s">
        <v>332</v>
      </c>
      <c r="F154" s="34" t="s">
        <v>99</v>
      </c>
      <c r="G154" s="40"/>
      <c r="H154" s="27"/>
    </row>
    <row r="155" spans="1:8" ht="24.9" hidden="1" customHeight="1" x14ac:dyDescent="0.3">
      <c r="A155" s="32">
        <v>110</v>
      </c>
      <c r="B155" s="33" t="s">
        <v>347</v>
      </c>
      <c r="C155" s="33" t="s">
        <v>317</v>
      </c>
      <c r="D155" s="33" t="s">
        <v>348</v>
      </c>
      <c r="E155" s="33" t="s">
        <v>165</v>
      </c>
      <c r="F155" s="34" t="s">
        <v>99</v>
      </c>
      <c r="G155" s="40"/>
      <c r="H155" s="27"/>
    </row>
    <row r="156" spans="1:8" ht="24.9" hidden="1" customHeight="1" x14ac:dyDescent="0.3">
      <c r="A156" s="32">
        <v>110</v>
      </c>
      <c r="B156" s="33" t="s">
        <v>330</v>
      </c>
      <c r="C156" s="33" t="s">
        <v>317</v>
      </c>
      <c r="D156" s="33" t="s">
        <v>331</v>
      </c>
      <c r="E156" s="33" t="s">
        <v>332</v>
      </c>
      <c r="F156" s="34" t="s">
        <v>99</v>
      </c>
      <c r="G156" s="40"/>
      <c r="H156" s="27"/>
    </row>
    <row r="157" spans="1:8" ht="24.9" hidden="1" customHeight="1" x14ac:dyDescent="0.3">
      <c r="A157" s="32">
        <v>110</v>
      </c>
      <c r="B157" s="33" t="s">
        <v>330</v>
      </c>
      <c r="C157" s="33" t="s">
        <v>317</v>
      </c>
      <c r="D157" s="33" t="s">
        <v>331</v>
      </c>
      <c r="E157" s="33" t="s">
        <v>165</v>
      </c>
      <c r="F157" s="34" t="s">
        <v>99</v>
      </c>
      <c r="G157" s="40"/>
      <c r="H157" s="27"/>
    </row>
    <row r="158" spans="1:8" ht="24.9" hidden="1" customHeight="1" x14ac:dyDescent="0.3">
      <c r="A158" s="32">
        <v>110</v>
      </c>
      <c r="B158" s="33" t="s">
        <v>315</v>
      </c>
      <c r="C158" s="33" t="s">
        <v>107</v>
      </c>
      <c r="D158" s="33" t="s">
        <v>108</v>
      </c>
      <c r="E158" s="33" t="s">
        <v>130</v>
      </c>
      <c r="F158" s="34" t="s">
        <v>99</v>
      </c>
      <c r="G158" s="40"/>
      <c r="H158" s="27"/>
    </row>
    <row r="159" spans="1:8" ht="24.9" hidden="1" customHeight="1" x14ac:dyDescent="0.3">
      <c r="A159" s="32">
        <v>120</v>
      </c>
      <c r="B159" s="33" t="s">
        <v>359</v>
      </c>
      <c r="C159" s="33" t="s">
        <v>353</v>
      </c>
      <c r="D159" s="33" t="s">
        <v>256</v>
      </c>
      <c r="E159" s="33" t="s">
        <v>160</v>
      </c>
      <c r="F159" s="34" t="s">
        <v>127</v>
      </c>
      <c r="G159" s="40"/>
      <c r="H159" s="27"/>
    </row>
    <row r="160" spans="1:8" ht="24.9" hidden="1" customHeight="1" x14ac:dyDescent="0.3">
      <c r="A160" s="32">
        <v>120</v>
      </c>
      <c r="B160" s="33" t="s">
        <v>360</v>
      </c>
      <c r="C160" s="33" t="s">
        <v>353</v>
      </c>
      <c r="D160" s="33" t="s">
        <v>180</v>
      </c>
      <c r="E160" s="33" t="s">
        <v>160</v>
      </c>
      <c r="F160" s="34" t="s">
        <v>127</v>
      </c>
      <c r="G160" s="40"/>
      <c r="H160" s="27"/>
    </row>
    <row r="161" spans="1:12" ht="24.9" hidden="1" customHeight="1" x14ac:dyDescent="0.3">
      <c r="A161" s="32">
        <v>120</v>
      </c>
      <c r="B161" s="33" t="s">
        <v>352</v>
      </c>
      <c r="C161" s="33" t="s">
        <v>353</v>
      </c>
      <c r="D161" s="33" t="s">
        <v>354</v>
      </c>
      <c r="E161" s="33" t="s">
        <v>160</v>
      </c>
      <c r="F161" s="34" t="s">
        <v>127</v>
      </c>
      <c r="G161" s="40"/>
      <c r="H161" s="27"/>
    </row>
    <row r="162" spans="1:12" ht="24.9" hidden="1" customHeight="1" x14ac:dyDescent="0.3">
      <c r="A162" s="32">
        <v>120</v>
      </c>
      <c r="B162" s="33" t="s">
        <v>355</v>
      </c>
      <c r="C162" s="33" t="s">
        <v>353</v>
      </c>
      <c r="D162" s="33" t="s">
        <v>356</v>
      </c>
      <c r="E162" s="33" t="s">
        <v>160</v>
      </c>
      <c r="F162" s="34" t="s">
        <v>127</v>
      </c>
      <c r="G162" s="40"/>
      <c r="H162" s="27"/>
    </row>
    <row r="163" spans="1:12" ht="24.9" hidden="1" customHeight="1" x14ac:dyDescent="0.3">
      <c r="A163" s="32">
        <v>120</v>
      </c>
      <c r="B163" s="33" t="s">
        <v>357</v>
      </c>
      <c r="C163" s="33" t="s">
        <v>353</v>
      </c>
      <c r="D163" s="33" t="s">
        <v>358</v>
      </c>
      <c r="E163" s="33" t="s">
        <v>160</v>
      </c>
      <c r="F163" s="34" t="s">
        <v>127</v>
      </c>
      <c r="G163" s="40"/>
      <c r="H163" s="27"/>
    </row>
    <row r="164" spans="1:12" ht="24.9" customHeight="1" x14ac:dyDescent="0.3">
      <c r="A164" s="32">
        <v>90</v>
      </c>
      <c r="B164" s="33" t="s">
        <v>260</v>
      </c>
      <c r="C164" s="33" t="s">
        <v>232</v>
      </c>
      <c r="D164" s="33" t="s">
        <v>261</v>
      </c>
      <c r="E164" s="33" t="s">
        <v>130</v>
      </c>
      <c r="F164" s="34" t="s">
        <v>95</v>
      </c>
      <c r="G164" s="40"/>
      <c r="H164" s="77"/>
      <c r="I164" s="120"/>
      <c r="J164" s="120"/>
      <c r="K164" s="120"/>
      <c r="L164" s="120"/>
    </row>
    <row r="165" spans="1:12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373</v>
      </c>
      <c r="F165" s="34" t="s">
        <v>167</v>
      </c>
      <c r="G165" s="40"/>
      <c r="H165" s="27"/>
    </row>
    <row r="166" spans="1:12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782</v>
      </c>
      <c r="F166" s="34" t="s">
        <v>167</v>
      </c>
      <c r="G166" s="40"/>
      <c r="H166" s="27"/>
    </row>
    <row r="167" spans="1:12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130</v>
      </c>
      <c r="F167" s="34" t="s">
        <v>127</v>
      </c>
      <c r="G167" s="40"/>
      <c r="H167" s="27"/>
    </row>
    <row r="168" spans="1:12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780</v>
      </c>
      <c r="F168" s="34" t="s">
        <v>127</v>
      </c>
      <c r="G168" s="40"/>
      <c r="H168" s="27"/>
    </row>
    <row r="169" spans="1:12" ht="24.9" hidden="1" customHeight="1" x14ac:dyDescent="0.3">
      <c r="A169" s="32">
        <v>130</v>
      </c>
      <c r="B169" s="33" t="s">
        <v>369</v>
      </c>
      <c r="C169" s="33" t="s">
        <v>370</v>
      </c>
      <c r="D169" s="33" t="s">
        <v>371</v>
      </c>
      <c r="E169" s="33" t="s">
        <v>781</v>
      </c>
      <c r="F169" s="34" t="s">
        <v>127</v>
      </c>
      <c r="G169" s="40"/>
      <c r="H169" s="27"/>
    </row>
    <row r="170" spans="1:12" ht="24.9" hidden="1" customHeight="1" x14ac:dyDescent="0.3">
      <c r="A170" s="32">
        <v>130</v>
      </c>
      <c r="B170" s="33" t="s">
        <v>369</v>
      </c>
      <c r="C170" s="33" t="s">
        <v>370</v>
      </c>
      <c r="D170" s="33" t="s">
        <v>371</v>
      </c>
      <c r="E170" s="33" t="s">
        <v>372</v>
      </c>
      <c r="F170" s="34" t="s">
        <v>127</v>
      </c>
      <c r="G170" s="40"/>
      <c r="H170" s="27"/>
    </row>
    <row r="171" spans="1:12" ht="24.9" hidden="1" customHeight="1" x14ac:dyDescent="0.3">
      <c r="A171" s="32">
        <v>130</v>
      </c>
      <c r="B171" s="33" t="s">
        <v>375</v>
      </c>
      <c r="C171" s="33"/>
      <c r="D171" s="33" t="s">
        <v>376</v>
      </c>
      <c r="E171" s="33" t="s">
        <v>775</v>
      </c>
      <c r="F171" s="34" t="s">
        <v>167</v>
      </c>
      <c r="G171" s="40"/>
      <c r="H171" s="27"/>
    </row>
    <row r="172" spans="1:12" ht="24.9" hidden="1" customHeight="1" x14ac:dyDescent="0.3">
      <c r="A172" s="32">
        <v>130</v>
      </c>
      <c r="B172" s="33" t="s">
        <v>365</v>
      </c>
      <c r="C172" s="33" t="s">
        <v>155</v>
      </c>
      <c r="D172" s="33" t="s">
        <v>366</v>
      </c>
      <c r="E172" s="33" t="s">
        <v>763</v>
      </c>
      <c r="F172" s="34" t="s">
        <v>99</v>
      </c>
      <c r="G172" s="40"/>
      <c r="H172" s="27"/>
    </row>
    <row r="173" spans="1:12" ht="24.9" hidden="1" customHeight="1" x14ac:dyDescent="0.3">
      <c r="A173" s="32">
        <v>130</v>
      </c>
      <c r="B173" s="33" t="s">
        <v>367</v>
      </c>
      <c r="C173" s="33" t="s">
        <v>155</v>
      </c>
      <c r="D173" s="33" t="s">
        <v>368</v>
      </c>
      <c r="E173" s="33" t="s">
        <v>763</v>
      </c>
      <c r="F173" s="34" t="s">
        <v>99</v>
      </c>
      <c r="G173" s="40"/>
      <c r="H173" s="27"/>
    </row>
    <row r="174" spans="1:12" ht="24.9" hidden="1" customHeight="1" x14ac:dyDescent="0.3">
      <c r="A174" s="32">
        <v>136</v>
      </c>
      <c r="B174" s="33" t="s">
        <v>382</v>
      </c>
      <c r="C174" s="33" t="s">
        <v>380</v>
      </c>
      <c r="D174" s="33" t="s">
        <v>380</v>
      </c>
      <c r="E174" s="33" t="s">
        <v>383</v>
      </c>
      <c r="F174" s="34" t="s">
        <v>127</v>
      </c>
      <c r="G174" s="40"/>
      <c r="H174" s="27"/>
    </row>
    <row r="175" spans="1:12" ht="24.9" hidden="1" customHeight="1" x14ac:dyDescent="0.3">
      <c r="A175" s="32">
        <v>136</v>
      </c>
      <c r="B175" s="33" t="s">
        <v>382</v>
      </c>
      <c r="C175" s="33" t="s">
        <v>380</v>
      </c>
      <c r="D175" s="33" t="s">
        <v>380</v>
      </c>
      <c r="E175" s="57" t="s">
        <v>217</v>
      </c>
      <c r="F175" s="34"/>
      <c r="G175" s="40"/>
      <c r="H175" s="27"/>
    </row>
    <row r="176" spans="1:12" ht="24.9" hidden="1" customHeight="1" x14ac:dyDescent="0.3">
      <c r="A176" s="32">
        <v>136</v>
      </c>
      <c r="B176" s="33" t="s">
        <v>379</v>
      </c>
      <c r="C176" s="33" t="s">
        <v>380</v>
      </c>
      <c r="D176" s="33" t="s">
        <v>381</v>
      </c>
      <c r="E176" s="33" t="s">
        <v>130</v>
      </c>
      <c r="F176" s="34" t="s">
        <v>127</v>
      </c>
      <c r="G176" s="40"/>
      <c r="H176" s="27"/>
    </row>
    <row r="177" spans="1:12" ht="24.9" hidden="1" customHeight="1" x14ac:dyDescent="0.3">
      <c r="A177" s="32">
        <v>136</v>
      </c>
      <c r="B177" s="33" t="s">
        <v>384</v>
      </c>
      <c r="C177" s="33" t="s">
        <v>380</v>
      </c>
      <c r="D177" s="33" t="s">
        <v>385</v>
      </c>
      <c r="E177" s="33" t="s">
        <v>130</v>
      </c>
      <c r="F177" s="34" t="s">
        <v>127</v>
      </c>
      <c r="G177" s="40"/>
      <c r="H177" s="27"/>
    </row>
    <row r="178" spans="1:12" ht="24.9" hidden="1" customHeight="1" x14ac:dyDescent="0.3">
      <c r="A178" s="32">
        <v>136</v>
      </c>
      <c r="B178" s="33" t="s">
        <v>386</v>
      </c>
      <c r="C178" s="33" t="s">
        <v>380</v>
      </c>
      <c r="D178" s="33" t="s">
        <v>387</v>
      </c>
      <c r="E178" s="33" t="s">
        <v>130</v>
      </c>
      <c r="F178" s="34" t="s">
        <v>127</v>
      </c>
      <c r="G178" s="40"/>
      <c r="H178" s="27"/>
    </row>
    <row r="179" spans="1:12" ht="24.9" hidden="1" customHeight="1" x14ac:dyDescent="0.3">
      <c r="A179" s="32">
        <v>136</v>
      </c>
      <c r="B179" s="33" t="s">
        <v>388</v>
      </c>
      <c r="C179" s="33" t="s">
        <v>380</v>
      </c>
      <c r="D179" s="33" t="s">
        <v>389</v>
      </c>
      <c r="E179" s="33" t="s">
        <v>390</v>
      </c>
      <c r="F179" s="34" t="s">
        <v>127</v>
      </c>
      <c r="G179" s="40"/>
      <c r="H179" s="27"/>
    </row>
    <row r="180" spans="1:12" ht="24.9" hidden="1" customHeight="1" x14ac:dyDescent="0.3">
      <c r="A180" s="32">
        <v>140</v>
      </c>
      <c r="B180" s="33" t="s">
        <v>404</v>
      </c>
      <c r="C180" s="33" t="s">
        <v>398</v>
      </c>
      <c r="D180" s="33" t="s">
        <v>405</v>
      </c>
      <c r="E180" s="33" t="s">
        <v>173</v>
      </c>
      <c r="F180" s="34" t="s">
        <v>127</v>
      </c>
      <c r="G180" s="40"/>
      <c r="H180" s="27"/>
    </row>
    <row r="181" spans="1:12" ht="24.9" hidden="1" customHeight="1" x14ac:dyDescent="0.3">
      <c r="A181" s="32">
        <v>140</v>
      </c>
      <c r="B181" s="33" t="s">
        <v>416</v>
      </c>
      <c r="C181" s="33" t="s">
        <v>392</v>
      </c>
      <c r="D181" s="33" t="s">
        <v>417</v>
      </c>
      <c r="E181" s="33" t="s">
        <v>783</v>
      </c>
      <c r="F181" s="34" t="s">
        <v>127</v>
      </c>
      <c r="G181" s="40"/>
      <c r="H181" s="27"/>
    </row>
    <row r="182" spans="1:12" ht="24.9" hidden="1" customHeight="1" x14ac:dyDescent="0.3">
      <c r="A182" s="32">
        <v>140</v>
      </c>
      <c r="B182" s="33" t="s">
        <v>422</v>
      </c>
      <c r="C182" s="33" t="s">
        <v>392</v>
      </c>
      <c r="D182" s="33" t="s">
        <v>423</v>
      </c>
      <c r="E182" s="33" t="s">
        <v>783</v>
      </c>
      <c r="F182" s="34" t="s">
        <v>127</v>
      </c>
      <c r="G182" s="40"/>
      <c r="H182" s="27"/>
    </row>
    <row r="183" spans="1:12" ht="24.9" hidden="1" customHeight="1" x14ac:dyDescent="0.3">
      <c r="A183" s="32">
        <v>140</v>
      </c>
      <c r="B183" s="33" t="s">
        <v>458</v>
      </c>
      <c r="C183" s="33" t="s">
        <v>448</v>
      </c>
      <c r="D183" s="33" t="s">
        <v>459</v>
      </c>
      <c r="E183" s="33" t="s">
        <v>783</v>
      </c>
      <c r="F183" s="34" t="s">
        <v>127</v>
      </c>
      <c r="G183" s="40"/>
      <c r="H183" s="27"/>
    </row>
    <row r="184" spans="1:12" ht="24.9" hidden="1" customHeight="1" x14ac:dyDescent="0.3">
      <c r="A184" s="32">
        <v>140</v>
      </c>
      <c r="B184" s="33" t="s">
        <v>499</v>
      </c>
      <c r="C184" s="33" t="s">
        <v>495</v>
      </c>
      <c r="D184" s="33" t="s">
        <v>500</v>
      </c>
      <c r="E184" s="33" t="s">
        <v>783</v>
      </c>
      <c r="F184" s="34" t="s">
        <v>127</v>
      </c>
      <c r="G184" s="40"/>
      <c r="H184" s="27"/>
    </row>
    <row r="185" spans="1:12" ht="24.9" hidden="1" customHeight="1" x14ac:dyDescent="0.3">
      <c r="A185" s="32">
        <v>140</v>
      </c>
      <c r="B185" s="33" t="s">
        <v>441</v>
      </c>
      <c r="C185" s="52" t="s">
        <v>437</v>
      </c>
      <c r="D185" s="33" t="s">
        <v>442</v>
      </c>
      <c r="E185" s="33" t="s">
        <v>783</v>
      </c>
      <c r="F185" s="34" t="s">
        <v>127</v>
      </c>
      <c r="G185" s="40"/>
      <c r="H185" s="27"/>
    </row>
    <row r="186" spans="1:12" ht="24.9" customHeight="1" x14ac:dyDescent="0.3">
      <c r="A186" s="32">
        <v>90</v>
      </c>
      <c r="B186" s="33" t="s">
        <v>252</v>
      </c>
      <c r="C186" s="33" t="s">
        <v>232</v>
      </c>
      <c r="D186" s="33" t="s">
        <v>250</v>
      </c>
      <c r="E186" s="33" t="s">
        <v>130</v>
      </c>
      <c r="F186" s="34" t="s">
        <v>95</v>
      </c>
      <c r="G186" s="40"/>
      <c r="H186" s="77"/>
      <c r="I186" s="120"/>
      <c r="J186" s="120"/>
      <c r="K186" s="120"/>
      <c r="L186" s="120"/>
    </row>
    <row r="187" spans="1:12" ht="24.9" customHeight="1" x14ac:dyDescent="0.3">
      <c r="A187" s="32">
        <v>100</v>
      </c>
      <c r="B187" s="33" t="s">
        <v>290</v>
      </c>
      <c r="C187" s="33" t="s">
        <v>285</v>
      </c>
      <c r="D187" s="33" t="s">
        <v>291</v>
      </c>
      <c r="E187" s="33" t="s">
        <v>292</v>
      </c>
      <c r="F187" s="34" t="s">
        <v>95</v>
      </c>
      <c r="G187" s="40"/>
      <c r="H187" s="77"/>
      <c r="I187" s="120"/>
      <c r="J187" s="120"/>
      <c r="K187" s="120"/>
      <c r="L187" s="120"/>
    </row>
    <row r="188" spans="1:12" ht="24.9" customHeight="1" x14ac:dyDescent="0.3">
      <c r="A188" s="32">
        <v>100</v>
      </c>
      <c r="B188" s="33" t="s">
        <v>293</v>
      </c>
      <c r="C188" s="33" t="s">
        <v>285</v>
      </c>
      <c r="D188" s="33" t="s">
        <v>288</v>
      </c>
      <c r="E188" s="33" t="s">
        <v>776</v>
      </c>
      <c r="F188" s="34" t="s">
        <v>95</v>
      </c>
      <c r="G188" s="40"/>
      <c r="H188" s="77"/>
      <c r="I188" s="120"/>
      <c r="J188" s="120"/>
      <c r="K188" s="120"/>
      <c r="L188" s="120"/>
    </row>
    <row r="189" spans="1:12" ht="24.9" customHeight="1" x14ac:dyDescent="0.3">
      <c r="A189" s="32">
        <v>101</v>
      </c>
      <c r="B189" s="33" t="s">
        <v>306</v>
      </c>
      <c r="C189" s="33" t="s">
        <v>285</v>
      </c>
      <c r="D189" s="33" t="s">
        <v>295</v>
      </c>
      <c r="E189" s="33" t="s">
        <v>307</v>
      </c>
      <c r="F189" s="34" t="s">
        <v>95</v>
      </c>
      <c r="G189" s="40"/>
      <c r="H189" s="77"/>
      <c r="I189" s="120"/>
      <c r="J189" s="120"/>
      <c r="K189" s="120"/>
      <c r="L189" s="120"/>
    </row>
    <row r="190" spans="1:12" ht="24.9" customHeight="1" x14ac:dyDescent="0.3">
      <c r="A190" s="32">
        <v>101</v>
      </c>
      <c r="B190" s="33" t="s">
        <v>308</v>
      </c>
      <c r="C190" s="33" t="s">
        <v>285</v>
      </c>
      <c r="D190" s="33" t="s">
        <v>304</v>
      </c>
      <c r="E190" s="33" t="s">
        <v>778</v>
      </c>
      <c r="F190" s="34" t="s">
        <v>95</v>
      </c>
      <c r="G190" s="40"/>
      <c r="H190" s="77"/>
      <c r="I190" s="120"/>
      <c r="J190" s="120"/>
      <c r="K190" s="120"/>
      <c r="L190" s="120"/>
    </row>
    <row r="191" spans="1:12" ht="24.9" customHeight="1" x14ac:dyDescent="0.3">
      <c r="A191" s="32">
        <v>102</v>
      </c>
      <c r="B191" s="33" t="s">
        <v>310</v>
      </c>
      <c r="C191" s="33" t="s">
        <v>285</v>
      </c>
      <c r="D191" s="33" t="s">
        <v>311</v>
      </c>
      <c r="E191" s="33" t="s">
        <v>312</v>
      </c>
      <c r="F191" s="34" t="s">
        <v>95</v>
      </c>
      <c r="G191" s="40"/>
      <c r="H191" s="77"/>
      <c r="I191" s="120"/>
      <c r="J191" s="120"/>
      <c r="K191" s="120"/>
      <c r="L191" s="120"/>
    </row>
    <row r="192" spans="1:12" ht="24.9" customHeight="1" x14ac:dyDescent="0.3">
      <c r="A192" s="32">
        <v>140</v>
      </c>
      <c r="B192" s="33" t="s">
        <v>406</v>
      </c>
      <c r="C192" s="33" t="s">
        <v>398</v>
      </c>
      <c r="D192" s="33" t="s">
        <v>407</v>
      </c>
      <c r="E192" s="33" t="s">
        <v>240</v>
      </c>
      <c r="F192" s="34" t="s">
        <v>95</v>
      </c>
      <c r="G192" s="40"/>
      <c r="H192" s="77"/>
      <c r="I192" s="120"/>
      <c r="J192" s="120"/>
      <c r="K192" s="120"/>
      <c r="L192" s="120"/>
    </row>
    <row r="193" spans="1:12" ht="24.9" customHeight="1" x14ac:dyDescent="0.3">
      <c r="A193" s="32">
        <v>140</v>
      </c>
      <c r="B193" s="33" t="s">
        <v>492</v>
      </c>
      <c r="C193" s="33" t="s">
        <v>473</v>
      </c>
      <c r="D193" s="33" t="s">
        <v>493</v>
      </c>
      <c r="E193" s="33" t="s">
        <v>240</v>
      </c>
      <c r="F193" s="34" t="s">
        <v>95</v>
      </c>
      <c r="G193" s="40"/>
      <c r="H193" s="77"/>
      <c r="I193" s="120"/>
      <c r="J193" s="120"/>
      <c r="K193" s="120"/>
      <c r="L193" s="120"/>
    </row>
    <row r="194" spans="1:12" ht="24.9" customHeight="1" x14ac:dyDescent="0.3">
      <c r="A194" s="32">
        <v>140</v>
      </c>
      <c r="B194" s="33" t="s">
        <v>460</v>
      </c>
      <c r="C194" s="33" t="s">
        <v>448</v>
      </c>
      <c r="D194" s="33" t="s">
        <v>461</v>
      </c>
      <c r="E194" s="33" t="s">
        <v>240</v>
      </c>
      <c r="F194" s="34" t="s">
        <v>95</v>
      </c>
      <c r="G194" s="40"/>
      <c r="H194" s="77"/>
      <c r="I194" s="120"/>
      <c r="J194" s="120"/>
      <c r="K194" s="120"/>
      <c r="L194" s="120"/>
    </row>
    <row r="195" spans="1:12" ht="24.9" customHeight="1" x14ac:dyDescent="0.3">
      <c r="A195" s="32">
        <v>140</v>
      </c>
      <c r="B195" s="33" t="s">
        <v>501</v>
      </c>
      <c r="C195" s="33" t="s">
        <v>495</v>
      </c>
      <c r="D195" s="33" t="s">
        <v>502</v>
      </c>
      <c r="E195" s="33" t="s">
        <v>240</v>
      </c>
      <c r="F195" s="34" t="s">
        <v>95</v>
      </c>
      <c r="G195" s="40"/>
      <c r="H195" s="77"/>
      <c r="I195" s="120"/>
      <c r="J195" s="120"/>
      <c r="K195" s="120"/>
      <c r="L195" s="120"/>
    </row>
    <row r="196" spans="1:12" ht="24.9" customHeight="1" x14ac:dyDescent="0.3">
      <c r="A196" s="32">
        <v>140</v>
      </c>
      <c r="B196" s="33" t="s">
        <v>462</v>
      </c>
      <c r="C196" s="33" t="s">
        <v>448</v>
      </c>
      <c r="D196" s="33" t="s">
        <v>463</v>
      </c>
      <c r="E196" s="33" t="s">
        <v>240</v>
      </c>
      <c r="F196" s="34" t="s">
        <v>95</v>
      </c>
      <c r="G196" s="40"/>
      <c r="H196" s="77"/>
      <c r="I196" s="120"/>
      <c r="J196" s="120"/>
      <c r="K196" s="120"/>
      <c r="L196" s="120"/>
    </row>
    <row r="197" spans="1:12" ht="24.9" customHeight="1" x14ac:dyDescent="0.3">
      <c r="A197" s="32">
        <v>140</v>
      </c>
      <c r="B197" s="33" t="s">
        <v>503</v>
      </c>
      <c r="C197" s="33" t="s">
        <v>495</v>
      </c>
      <c r="D197" s="33" t="s">
        <v>504</v>
      </c>
      <c r="E197" s="33" t="s">
        <v>240</v>
      </c>
      <c r="F197" s="34" t="s">
        <v>95</v>
      </c>
      <c r="G197" s="40"/>
      <c r="H197" s="77"/>
      <c r="I197" s="120"/>
      <c r="J197" s="120"/>
      <c r="K197" s="120"/>
      <c r="L197" s="120"/>
    </row>
    <row r="198" spans="1:12" ht="24.9" customHeight="1" x14ac:dyDescent="0.3">
      <c r="A198" s="32">
        <v>140</v>
      </c>
      <c r="B198" s="33" t="s">
        <v>464</v>
      </c>
      <c r="C198" s="33" t="s">
        <v>448</v>
      </c>
      <c r="D198" s="33" t="s">
        <v>465</v>
      </c>
      <c r="E198" s="33" t="s">
        <v>240</v>
      </c>
      <c r="F198" s="34" t="s">
        <v>95</v>
      </c>
      <c r="G198" s="40"/>
      <c r="H198" s="77"/>
      <c r="I198" s="120"/>
      <c r="J198" s="120"/>
      <c r="K198" s="120"/>
      <c r="L198" s="120"/>
    </row>
    <row r="199" spans="1:12" ht="24.9" customHeight="1" x14ac:dyDescent="0.3">
      <c r="A199" s="32">
        <v>140</v>
      </c>
      <c r="B199" s="33" t="s">
        <v>482</v>
      </c>
      <c r="C199" s="33" t="s">
        <v>473</v>
      </c>
      <c r="D199" s="33" t="s">
        <v>483</v>
      </c>
      <c r="E199" s="33" t="s">
        <v>240</v>
      </c>
      <c r="F199" s="34" t="s">
        <v>95</v>
      </c>
      <c r="G199" s="40"/>
      <c r="H199" s="77"/>
      <c r="I199" s="120"/>
      <c r="J199" s="120"/>
      <c r="K199" s="120"/>
      <c r="L199" s="120"/>
    </row>
    <row r="200" spans="1:12" ht="24.9" customHeight="1" x14ac:dyDescent="0.3">
      <c r="A200" s="32">
        <v>140</v>
      </c>
      <c r="B200" s="33" t="s">
        <v>484</v>
      </c>
      <c r="C200" s="33" t="s">
        <v>473</v>
      </c>
      <c r="D200" s="33" t="s">
        <v>485</v>
      </c>
      <c r="E200" s="33" t="s">
        <v>240</v>
      </c>
      <c r="F200" s="34" t="s">
        <v>95</v>
      </c>
      <c r="G200" s="40"/>
      <c r="H200" s="77"/>
      <c r="I200" s="120"/>
      <c r="J200" s="120"/>
      <c r="K200" s="120"/>
      <c r="L200" s="120"/>
    </row>
    <row r="201" spans="1:12" ht="24.9" customHeight="1" x14ac:dyDescent="0.3">
      <c r="A201" s="32">
        <v>140</v>
      </c>
      <c r="B201" s="33" t="s">
        <v>486</v>
      </c>
      <c r="C201" s="33" t="s">
        <v>473</v>
      </c>
      <c r="D201" s="33" t="s">
        <v>487</v>
      </c>
      <c r="E201" s="33" t="s">
        <v>240</v>
      </c>
      <c r="F201" s="34" t="s">
        <v>95</v>
      </c>
      <c r="G201" s="40"/>
      <c r="H201" s="77"/>
      <c r="I201" s="120"/>
      <c r="J201" s="120"/>
      <c r="K201" s="120"/>
      <c r="L201" s="120"/>
    </row>
    <row r="202" spans="1:12" ht="24.9" customHeight="1" x14ac:dyDescent="0.3">
      <c r="A202" s="32">
        <v>140</v>
      </c>
      <c r="B202" s="33" t="s">
        <v>466</v>
      </c>
      <c r="C202" s="33" t="s">
        <v>448</v>
      </c>
      <c r="D202" s="33" t="s">
        <v>467</v>
      </c>
      <c r="E202" s="33" t="s">
        <v>240</v>
      </c>
      <c r="F202" s="34" t="s">
        <v>95</v>
      </c>
      <c r="G202" s="40"/>
      <c r="H202" s="77"/>
      <c r="I202" s="120"/>
      <c r="J202" s="120"/>
      <c r="K202" s="120"/>
      <c r="L202" s="120"/>
    </row>
    <row r="203" spans="1:12" ht="24.9" customHeight="1" x14ac:dyDescent="0.3">
      <c r="A203" s="32">
        <v>140</v>
      </c>
      <c r="B203" s="33" t="s">
        <v>505</v>
      </c>
      <c r="C203" s="33" t="s">
        <v>495</v>
      </c>
      <c r="D203" s="33" t="s">
        <v>506</v>
      </c>
      <c r="E203" s="33" t="s">
        <v>240</v>
      </c>
      <c r="F203" s="34" t="s">
        <v>95</v>
      </c>
      <c r="G203" s="40"/>
      <c r="H203" s="77"/>
      <c r="I203" s="120"/>
      <c r="J203" s="120"/>
      <c r="K203" s="120"/>
      <c r="L203" s="120"/>
    </row>
    <row r="204" spans="1:12" ht="24.9" hidden="1" customHeight="1" x14ac:dyDescent="0.3">
      <c r="A204" s="32">
        <v>140</v>
      </c>
      <c r="B204" s="33" t="s">
        <v>475</v>
      </c>
      <c r="C204" s="33" t="s">
        <v>473</v>
      </c>
      <c r="D204" s="33" t="s">
        <v>853</v>
      </c>
      <c r="E204" s="33" t="s">
        <v>478</v>
      </c>
      <c r="F204" s="33"/>
      <c r="G204" s="40"/>
      <c r="H204" s="27"/>
    </row>
    <row r="205" spans="1:12" ht="24.9" customHeight="1" x14ac:dyDescent="0.3">
      <c r="A205" s="32">
        <v>140</v>
      </c>
      <c r="B205" s="33" t="s">
        <v>445</v>
      </c>
      <c r="C205" s="52" t="s">
        <v>437</v>
      </c>
      <c r="D205" s="33" t="s">
        <v>446</v>
      </c>
      <c r="E205" s="33" t="s">
        <v>240</v>
      </c>
      <c r="F205" s="34" t="s">
        <v>95</v>
      </c>
      <c r="G205" s="40"/>
      <c r="H205" s="77"/>
      <c r="I205" s="120"/>
      <c r="J205" s="120"/>
      <c r="K205" s="120"/>
      <c r="L205" s="120"/>
    </row>
    <row r="206" spans="1:12" ht="24.9" customHeight="1" x14ac:dyDescent="0.3">
      <c r="A206" s="32">
        <v>140</v>
      </c>
      <c r="B206" s="33" t="s">
        <v>488</v>
      </c>
      <c r="C206" s="33" t="s">
        <v>473</v>
      </c>
      <c r="D206" s="33" t="s">
        <v>489</v>
      </c>
      <c r="E206" s="33" t="s">
        <v>240</v>
      </c>
      <c r="F206" s="34" t="s">
        <v>95</v>
      </c>
      <c r="G206" s="40"/>
      <c r="H206" s="77"/>
      <c r="I206" s="120"/>
      <c r="J206" s="120"/>
      <c r="K206" s="120"/>
      <c r="L206" s="120"/>
    </row>
    <row r="207" spans="1:12" ht="24.9" hidden="1" customHeight="1" x14ac:dyDescent="0.3">
      <c r="A207" s="32">
        <v>140</v>
      </c>
      <c r="B207" s="33" t="s">
        <v>480</v>
      </c>
      <c r="C207" s="33" t="s">
        <v>473</v>
      </c>
      <c r="D207" s="33" t="s">
        <v>854</v>
      </c>
      <c r="E207" s="33" t="s">
        <v>478</v>
      </c>
      <c r="F207" s="33"/>
      <c r="G207" s="40"/>
      <c r="H207" s="27"/>
    </row>
    <row r="208" spans="1:12" ht="24.9" customHeight="1" x14ac:dyDescent="0.3">
      <c r="A208" s="32">
        <v>140</v>
      </c>
      <c r="B208" s="33" t="s">
        <v>490</v>
      </c>
      <c r="C208" s="33" t="s">
        <v>473</v>
      </c>
      <c r="D208" s="33" t="s">
        <v>491</v>
      </c>
      <c r="E208" s="33" t="s">
        <v>240</v>
      </c>
      <c r="F208" s="34" t="s">
        <v>95</v>
      </c>
      <c r="G208" s="40"/>
      <c r="H208" s="77"/>
      <c r="I208" s="120"/>
      <c r="J208" s="120"/>
      <c r="K208" s="120"/>
      <c r="L208" s="120"/>
    </row>
    <row r="209" spans="1:12" ht="24.9" customHeight="1" x14ac:dyDescent="0.3">
      <c r="A209" s="32">
        <v>140</v>
      </c>
      <c r="B209" s="33" t="s">
        <v>430</v>
      </c>
      <c r="C209" s="33" t="s">
        <v>425</v>
      </c>
      <c r="D209" s="33" t="s">
        <v>431</v>
      </c>
      <c r="E209" s="33" t="s">
        <v>240</v>
      </c>
      <c r="F209" s="34" t="s">
        <v>95</v>
      </c>
      <c r="G209" s="40"/>
      <c r="H209" s="77"/>
      <c r="I209" s="120"/>
      <c r="J209" s="120"/>
      <c r="K209" s="120"/>
      <c r="L209" s="120"/>
    </row>
    <row r="210" spans="1:12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767</v>
      </c>
      <c r="F210" s="34" t="s">
        <v>99</v>
      </c>
      <c r="G210" s="40"/>
      <c r="H210" s="27"/>
    </row>
    <row r="211" spans="1:12" ht="24.9" hidden="1" customHeight="1" x14ac:dyDescent="0.3">
      <c r="A211" s="32">
        <v>140</v>
      </c>
      <c r="B211" s="33" t="s">
        <v>515</v>
      </c>
      <c r="C211" s="33" t="s">
        <v>516</v>
      </c>
      <c r="D211" s="33" t="s">
        <v>518</v>
      </c>
      <c r="E211" s="33" t="s">
        <v>173</v>
      </c>
      <c r="F211" s="34" t="s">
        <v>127</v>
      </c>
      <c r="G211" s="40"/>
      <c r="H211" s="27"/>
    </row>
    <row r="212" spans="1:12" ht="24.9" hidden="1" customHeight="1" x14ac:dyDescent="0.3">
      <c r="A212" s="32">
        <v>140</v>
      </c>
      <c r="B212" s="33" t="s">
        <v>515</v>
      </c>
      <c r="C212" s="33" t="s">
        <v>516</v>
      </c>
      <c r="D212" s="33" t="s">
        <v>518</v>
      </c>
      <c r="E212" s="33" t="s">
        <v>766</v>
      </c>
      <c r="F212" s="34" t="s">
        <v>127</v>
      </c>
      <c r="G212" s="40"/>
      <c r="H212" s="27"/>
    </row>
    <row r="213" spans="1:12" ht="24.9" customHeight="1" x14ac:dyDescent="0.3">
      <c r="A213" s="32">
        <v>140</v>
      </c>
      <c r="B213" s="33" t="s">
        <v>427</v>
      </c>
      <c r="C213" s="33" t="s">
        <v>425</v>
      </c>
      <c r="D213" s="33" t="s">
        <v>428</v>
      </c>
      <c r="E213" s="33" t="s">
        <v>240</v>
      </c>
      <c r="F213" s="34" t="s">
        <v>95</v>
      </c>
      <c r="G213" s="40"/>
      <c r="H213" s="77"/>
      <c r="I213" s="120"/>
      <c r="J213" s="120"/>
      <c r="K213" s="120"/>
      <c r="L213" s="120"/>
    </row>
    <row r="214" spans="1:12" ht="24.9" hidden="1" customHeight="1" x14ac:dyDescent="0.3">
      <c r="A214" s="32">
        <v>140</v>
      </c>
      <c r="B214" s="33" t="s">
        <v>452</v>
      </c>
      <c r="C214" s="33" t="s">
        <v>448</v>
      </c>
      <c r="D214" s="33" t="s">
        <v>453</v>
      </c>
      <c r="E214" s="33" t="s">
        <v>783</v>
      </c>
      <c r="F214" s="34" t="s">
        <v>127</v>
      </c>
      <c r="G214" s="40"/>
      <c r="H214" s="27"/>
    </row>
    <row r="215" spans="1:12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775</v>
      </c>
      <c r="F215" s="34" t="s">
        <v>167</v>
      </c>
      <c r="G215" s="40"/>
      <c r="H215" s="27"/>
    </row>
    <row r="216" spans="1:12" ht="24.9" hidden="1" customHeight="1" x14ac:dyDescent="0.3">
      <c r="A216" s="32">
        <v>140</v>
      </c>
      <c r="B216" s="33" t="s">
        <v>394</v>
      </c>
      <c r="C216" s="33" t="s">
        <v>395</v>
      </c>
      <c r="D216" s="33" t="s">
        <v>396</v>
      </c>
      <c r="E216" s="33" t="s">
        <v>332</v>
      </c>
      <c r="F216" s="34" t="s">
        <v>99</v>
      </c>
      <c r="G216" s="40"/>
      <c r="H216" s="27"/>
    </row>
    <row r="217" spans="1:12" ht="24.9" hidden="1" customHeight="1" x14ac:dyDescent="0.3">
      <c r="A217" s="32">
        <v>140</v>
      </c>
      <c r="B217" s="33" t="s">
        <v>394</v>
      </c>
      <c r="C217" s="33" t="s">
        <v>395</v>
      </c>
      <c r="D217" s="33" t="s">
        <v>396</v>
      </c>
      <c r="E217" s="33" t="s">
        <v>165</v>
      </c>
      <c r="F217" s="34" t="s">
        <v>99</v>
      </c>
      <c r="G217" s="40"/>
      <c r="H217" s="27"/>
    </row>
    <row r="218" spans="1:12" ht="24.9" customHeight="1" x14ac:dyDescent="0.3">
      <c r="A218" s="32">
        <v>140</v>
      </c>
      <c r="B218" s="33" t="s">
        <v>427</v>
      </c>
      <c r="C218" s="33" t="s">
        <v>425</v>
      </c>
      <c r="D218" s="33" t="s">
        <v>429</v>
      </c>
      <c r="E218" s="33" t="s">
        <v>240</v>
      </c>
      <c r="F218" s="34" t="s">
        <v>95</v>
      </c>
      <c r="G218" s="40"/>
      <c r="H218" s="77"/>
      <c r="I218" s="120"/>
      <c r="J218" s="120"/>
      <c r="K218" s="120"/>
      <c r="L218" s="120"/>
    </row>
    <row r="219" spans="1:12" ht="24.9" customHeight="1" x14ac:dyDescent="0.3">
      <c r="A219" s="32">
        <v>140</v>
      </c>
      <c r="B219" s="33" t="s">
        <v>515</v>
      </c>
      <c r="C219" s="33" t="s">
        <v>516</v>
      </c>
      <c r="D219" s="33" t="s">
        <v>517</v>
      </c>
      <c r="E219" s="33" t="s">
        <v>240</v>
      </c>
      <c r="F219" s="34" t="s">
        <v>95</v>
      </c>
      <c r="G219" s="40"/>
      <c r="H219" s="77"/>
      <c r="I219" s="120"/>
      <c r="J219" s="120"/>
      <c r="K219" s="120"/>
      <c r="L219" s="120"/>
    </row>
    <row r="220" spans="1:12" ht="24.9" customHeight="1" x14ac:dyDescent="0.3">
      <c r="A220" s="32">
        <v>140</v>
      </c>
      <c r="B220" s="33" t="s">
        <v>424</v>
      </c>
      <c r="C220" s="33" t="s">
        <v>425</v>
      </c>
      <c r="D220" s="33" t="s">
        <v>426</v>
      </c>
      <c r="E220" s="33" t="s">
        <v>240</v>
      </c>
      <c r="F220" s="34" t="s">
        <v>95</v>
      </c>
      <c r="G220" s="40"/>
      <c r="H220" s="77"/>
      <c r="I220" s="120"/>
      <c r="J220" s="120"/>
      <c r="K220" s="120"/>
      <c r="L220" s="120"/>
    </row>
    <row r="221" spans="1:12" ht="24.9" customHeight="1" x14ac:dyDescent="0.3">
      <c r="A221" s="32">
        <v>140</v>
      </c>
      <c r="B221" s="33" t="s">
        <v>410</v>
      </c>
      <c r="C221" s="33" t="s">
        <v>392</v>
      </c>
      <c r="D221" s="33" t="s">
        <v>411</v>
      </c>
      <c r="E221" s="33" t="s">
        <v>240</v>
      </c>
      <c r="F221" s="34" t="s">
        <v>95</v>
      </c>
      <c r="G221" s="40"/>
      <c r="H221" s="77"/>
      <c r="I221" s="120"/>
      <c r="J221" s="120"/>
      <c r="K221" s="120"/>
      <c r="L221" s="120"/>
    </row>
    <row r="222" spans="1:12" ht="24.9" customHeight="1" x14ac:dyDescent="0.3">
      <c r="A222" s="32">
        <v>140</v>
      </c>
      <c r="B222" s="33" t="s">
        <v>412</v>
      </c>
      <c r="C222" s="33" t="s">
        <v>392</v>
      </c>
      <c r="D222" s="33" t="s">
        <v>413</v>
      </c>
      <c r="E222" s="33" t="s">
        <v>240</v>
      </c>
      <c r="F222" s="34" t="s">
        <v>95</v>
      </c>
      <c r="G222" s="40"/>
      <c r="H222" s="77"/>
      <c r="I222" s="120"/>
      <c r="J222" s="120"/>
      <c r="K222" s="120"/>
      <c r="L222" s="120"/>
    </row>
    <row r="223" spans="1:12" ht="24.9" customHeight="1" x14ac:dyDescent="0.3">
      <c r="A223" s="32">
        <v>140</v>
      </c>
      <c r="B223" s="33" t="s">
        <v>391</v>
      </c>
      <c r="C223" s="33" t="s">
        <v>392</v>
      </c>
      <c r="D223" s="33" t="s">
        <v>393</v>
      </c>
      <c r="E223" s="33" t="s">
        <v>240</v>
      </c>
      <c r="F223" s="34" t="s">
        <v>95</v>
      </c>
      <c r="G223" s="50"/>
      <c r="H223" s="77"/>
      <c r="I223" s="120"/>
      <c r="J223" s="120"/>
      <c r="K223" s="120"/>
      <c r="L223" s="120"/>
    </row>
    <row r="224" spans="1:12" ht="24.9" customHeight="1" x14ac:dyDescent="0.3">
      <c r="A224" s="32">
        <v>140</v>
      </c>
      <c r="B224" s="33" t="s">
        <v>418</v>
      </c>
      <c r="C224" s="33" t="s">
        <v>392</v>
      </c>
      <c r="D224" s="33" t="s">
        <v>419</v>
      </c>
      <c r="E224" s="33" t="s">
        <v>240</v>
      </c>
      <c r="F224" s="34" t="s">
        <v>95</v>
      </c>
      <c r="G224" s="40"/>
      <c r="H224" s="77"/>
      <c r="I224" s="120"/>
      <c r="J224" s="120"/>
      <c r="K224" s="120"/>
      <c r="L224" s="120"/>
    </row>
    <row r="225" spans="1:12" ht="24.9" customHeight="1" x14ac:dyDescent="0.3">
      <c r="A225" s="32">
        <v>140</v>
      </c>
      <c r="B225" s="33" t="s">
        <v>450</v>
      </c>
      <c r="C225" s="33" t="s">
        <v>448</v>
      </c>
      <c r="D225" s="33" t="s">
        <v>451</v>
      </c>
      <c r="E225" s="33" t="s">
        <v>240</v>
      </c>
      <c r="F225" s="34" t="s">
        <v>95</v>
      </c>
      <c r="G225" s="40"/>
      <c r="H225" s="77"/>
      <c r="I225" s="120"/>
      <c r="J225" s="120"/>
      <c r="K225" s="120"/>
      <c r="L225" s="120"/>
    </row>
    <row r="226" spans="1:12" ht="24.9" customHeight="1" x14ac:dyDescent="0.3">
      <c r="A226" s="32">
        <v>140</v>
      </c>
      <c r="B226" s="33" t="s">
        <v>470</v>
      </c>
      <c r="C226" s="33" t="s">
        <v>448</v>
      </c>
      <c r="D226" s="33" t="s">
        <v>471</v>
      </c>
      <c r="E226" s="33" t="s">
        <v>240</v>
      </c>
      <c r="F226" s="34" t="s">
        <v>95</v>
      </c>
      <c r="G226" s="40"/>
      <c r="H226" s="77"/>
      <c r="I226" s="120"/>
      <c r="J226" s="120"/>
      <c r="K226" s="120"/>
      <c r="L226" s="120"/>
    </row>
    <row r="227" spans="1:12" ht="24.9" customHeight="1" x14ac:dyDescent="0.3">
      <c r="A227" s="32">
        <v>140</v>
      </c>
      <c r="B227" s="33" t="s">
        <v>454</v>
      </c>
      <c r="C227" s="33" t="s">
        <v>448</v>
      </c>
      <c r="D227" s="33" t="s">
        <v>455</v>
      </c>
      <c r="E227" s="33" t="s">
        <v>240</v>
      </c>
      <c r="F227" s="34" t="s">
        <v>95</v>
      </c>
      <c r="G227" s="40"/>
      <c r="H227" s="77"/>
      <c r="I227" s="120"/>
      <c r="J227" s="120"/>
      <c r="K227" s="120"/>
      <c r="L227" s="120"/>
    </row>
    <row r="228" spans="1:12" ht="24.9" customHeight="1" x14ac:dyDescent="0.3">
      <c r="A228" s="32">
        <v>140</v>
      </c>
      <c r="B228" s="33" t="s">
        <v>494</v>
      </c>
      <c r="C228" s="33" t="s">
        <v>495</v>
      </c>
      <c r="D228" s="33" t="s">
        <v>496</v>
      </c>
      <c r="E228" s="33" t="s">
        <v>240</v>
      </c>
      <c r="F228" s="34" t="s">
        <v>95</v>
      </c>
      <c r="G228" s="40"/>
      <c r="H228" s="77"/>
      <c r="I228" s="120"/>
      <c r="J228" s="120"/>
      <c r="K228" s="120"/>
      <c r="L228" s="120"/>
    </row>
    <row r="229" spans="1:12" ht="24.9" customHeight="1" x14ac:dyDescent="0.3">
      <c r="A229" s="32">
        <v>140</v>
      </c>
      <c r="B229" s="33" t="s">
        <v>513</v>
      </c>
      <c r="C229" s="33" t="s">
        <v>495</v>
      </c>
      <c r="D229" s="33" t="s">
        <v>514</v>
      </c>
      <c r="E229" s="33" t="s">
        <v>240</v>
      </c>
      <c r="F229" s="34" t="s">
        <v>95</v>
      </c>
      <c r="G229" s="40"/>
      <c r="H229" s="77"/>
      <c r="I229" s="120"/>
      <c r="J229" s="120"/>
      <c r="K229" s="120"/>
      <c r="L229" s="120"/>
    </row>
    <row r="230" spans="1:12" ht="24.9" customHeight="1" x14ac:dyDescent="0.3">
      <c r="A230" s="32">
        <v>140</v>
      </c>
      <c r="B230" s="33" t="s">
        <v>436</v>
      </c>
      <c r="C230" s="52" t="s">
        <v>437</v>
      </c>
      <c r="D230" s="33" t="s">
        <v>438</v>
      </c>
      <c r="E230" s="33" t="s">
        <v>240</v>
      </c>
      <c r="F230" s="34" t="s">
        <v>95</v>
      </c>
      <c r="G230" s="40"/>
      <c r="H230" s="77"/>
      <c r="I230" s="120"/>
      <c r="J230" s="120"/>
      <c r="K230" s="120"/>
      <c r="L230" s="120"/>
    </row>
    <row r="231" spans="1:12" ht="24.9" hidden="1" customHeight="1" x14ac:dyDescent="0.3">
      <c r="A231" s="32">
        <v>140</v>
      </c>
      <c r="B231" s="33" t="s">
        <v>432</v>
      </c>
      <c r="C231" s="33" t="s">
        <v>425</v>
      </c>
      <c r="D231" s="33" t="s">
        <v>433</v>
      </c>
      <c r="E231" s="33" t="s">
        <v>783</v>
      </c>
      <c r="F231" s="34" t="s">
        <v>127</v>
      </c>
      <c r="G231" s="40"/>
      <c r="H231" s="27"/>
    </row>
    <row r="232" spans="1:12" ht="24.9" hidden="1" customHeight="1" x14ac:dyDescent="0.3">
      <c r="A232" s="32">
        <v>140</v>
      </c>
      <c r="B232" s="33" t="s">
        <v>456</v>
      </c>
      <c r="C232" s="33" t="s">
        <v>448</v>
      </c>
      <c r="D232" s="33" t="s">
        <v>457</v>
      </c>
      <c r="E232" s="33" t="s">
        <v>783</v>
      </c>
      <c r="F232" s="34" t="s">
        <v>127</v>
      </c>
      <c r="G232" s="40"/>
      <c r="H232" s="27"/>
    </row>
    <row r="233" spans="1:12" ht="24.9" hidden="1" customHeight="1" x14ac:dyDescent="0.3">
      <c r="A233" s="32">
        <v>140</v>
      </c>
      <c r="B233" s="33" t="s">
        <v>497</v>
      </c>
      <c r="C233" s="33" t="s">
        <v>495</v>
      </c>
      <c r="D233" s="33" t="s">
        <v>498</v>
      </c>
      <c r="E233" s="33" t="s">
        <v>783</v>
      </c>
      <c r="F233" s="34" t="s">
        <v>127</v>
      </c>
      <c r="G233" s="40"/>
      <c r="H233" s="27"/>
    </row>
    <row r="234" spans="1:12" ht="24.9" hidden="1" customHeight="1" x14ac:dyDescent="0.3">
      <c r="A234" s="32">
        <v>140</v>
      </c>
      <c r="B234" s="33" t="s">
        <v>397</v>
      </c>
      <c r="C234" s="33" t="s">
        <v>398</v>
      </c>
      <c r="D234" s="33" t="s">
        <v>399</v>
      </c>
      <c r="E234" s="33" t="s">
        <v>173</v>
      </c>
      <c r="F234" s="34" t="s">
        <v>127</v>
      </c>
      <c r="G234" s="40"/>
      <c r="H234" s="27"/>
    </row>
    <row r="235" spans="1:12" ht="24.9" hidden="1" customHeight="1" x14ac:dyDescent="0.3">
      <c r="A235" s="32">
        <v>140</v>
      </c>
      <c r="B235" s="33" t="s">
        <v>397</v>
      </c>
      <c r="C235" s="33" t="s">
        <v>398</v>
      </c>
      <c r="D235" s="33" t="s">
        <v>399</v>
      </c>
      <c r="E235" s="33" t="s">
        <v>183</v>
      </c>
      <c r="F235" s="34" t="s">
        <v>127</v>
      </c>
      <c r="G235" s="40"/>
      <c r="H235" s="27"/>
    </row>
    <row r="236" spans="1:12" ht="24.9" hidden="1" customHeight="1" x14ac:dyDescent="0.3">
      <c r="A236" s="32">
        <v>140</v>
      </c>
      <c r="B236" s="33" t="s">
        <v>408</v>
      </c>
      <c r="C236" s="33" t="s">
        <v>392</v>
      </c>
      <c r="D236" s="33" t="s">
        <v>409</v>
      </c>
      <c r="E236" s="33" t="s">
        <v>173</v>
      </c>
      <c r="F236" s="34" t="s">
        <v>127</v>
      </c>
      <c r="G236" s="40"/>
      <c r="H236" s="27"/>
    </row>
    <row r="237" spans="1:12" ht="24.9" hidden="1" customHeight="1" x14ac:dyDescent="0.3">
      <c r="A237" s="32">
        <v>140</v>
      </c>
      <c r="B237" s="33" t="s">
        <v>408</v>
      </c>
      <c r="C237" s="33" t="s">
        <v>392</v>
      </c>
      <c r="D237" s="33" t="s">
        <v>409</v>
      </c>
      <c r="E237" s="33" t="s">
        <v>183</v>
      </c>
      <c r="F237" s="34" t="s">
        <v>127</v>
      </c>
      <c r="G237" s="40"/>
      <c r="H237" s="27"/>
    </row>
    <row r="238" spans="1:12" ht="24.9" hidden="1" customHeight="1" x14ac:dyDescent="0.3">
      <c r="A238" s="32">
        <v>140</v>
      </c>
      <c r="B238" s="33" t="s">
        <v>414</v>
      </c>
      <c r="C238" s="33" t="s">
        <v>392</v>
      </c>
      <c r="D238" s="33" t="s">
        <v>415</v>
      </c>
      <c r="E238" s="33" t="s">
        <v>173</v>
      </c>
      <c r="F238" s="34" t="s">
        <v>127</v>
      </c>
      <c r="G238" s="40"/>
      <c r="H238" s="27"/>
    </row>
    <row r="239" spans="1:12" ht="24.9" hidden="1" customHeight="1" x14ac:dyDescent="0.3">
      <c r="A239" s="32">
        <v>140</v>
      </c>
      <c r="B239" s="33" t="s">
        <v>414</v>
      </c>
      <c r="C239" s="33" t="s">
        <v>392</v>
      </c>
      <c r="D239" s="33" t="s">
        <v>415</v>
      </c>
      <c r="E239" s="33" t="s">
        <v>183</v>
      </c>
      <c r="F239" s="34" t="s">
        <v>127</v>
      </c>
      <c r="G239" s="40"/>
      <c r="H239" s="27"/>
    </row>
    <row r="240" spans="1:12" ht="24.9" hidden="1" customHeight="1" x14ac:dyDescent="0.3">
      <c r="A240" s="32">
        <v>140</v>
      </c>
      <c r="B240" s="33" t="s">
        <v>420</v>
      </c>
      <c r="C240" s="33" t="s">
        <v>392</v>
      </c>
      <c r="D240" s="33" t="s">
        <v>421</v>
      </c>
      <c r="E240" s="33" t="s">
        <v>173</v>
      </c>
      <c r="F240" s="34" t="s">
        <v>127</v>
      </c>
      <c r="G240" s="40"/>
      <c r="H240" s="27"/>
    </row>
    <row r="241" spans="1:8" ht="24.9" hidden="1" customHeight="1" x14ac:dyDescent="0.3">
      <c r="A241" s="32">
        <v>140</v>
      </c>
      <c r="B241" s="33" t="s">
        <v>420</v>
      </c>
      <c r="C241" s="33" t="s">
        <v>392</v>
      </c>
      <c r="D241" s="33" t="s">
        <v>421</v>
      </c>
      <c r="E241" s="33" t="s">
        <v>183</v>
      </c>
      <c r="F241" s="34" t="s">
        <v>127</v>
      </c>
      <c r="G241" s="40"/>
      <c r="H241" s="27"/>
    </row>
    <row r="242" spans="1:8" ht="24.9" hidden="1" customHeight="1" x14ac:dyDescent="0.3">
      <c r="A242" s="32">
        <v>140</v>
      </c>
      <c r="B242" s="33" t="s">
        <v>400</v>
      </c>
      <c r="C242" s="33" t="s">
        <v>398</v>
      </c>
      <c r="D242" s="33" t="s">
        <v>401</v>
      </c>
      <c r="E242" s="33" t="s">
        <v>173</v>
      </c>
      <c r="F242" s="34" t="s">
        <v>127</v>
      </c>
      <c r="G242" s="40"/>
      <c r="H242" s="27"/>
    </row>
    <row r="243" spans="1:8" ht="24.9" hidden="1" customHeight="1" x14ac:dyDescent="0.3">
      <c r="A243" s="32">
        <v>140</v>
      </c>
      <c r="B243" s="33" t="s">
        <v>400</v>
      </c>
      <c r="C243" s="33" t="s">
        <v>398</v>
      </c>
      <c r="D243" s="33" t="s">
        <v>401</v>
      </c>
      <c r="E243" s="33" t="s">
        <v>183</v>
      </c>
      <c r="F243" s="34" t="s">
        <v>127</v>
      </c>
      <c r="G243" s="40"/>
      <c r="H243" s="27"/>
    </row>
    <row r="244" spans="1:8" ht="24.9" hidden="1" customHeight="1" x14ac:dyDescent="0.3">
      <c r="A244" s="32">
        <v>140</v>
      </c>
      <c r="B244" s="33" t="s">
        <v>434</v>
      </c>
      <c r="C244" s="33" t="s">
        <v>425</v>
      </c>
      <c r="D244" s="33" t="s">
        <v>435</v>
      </c>
      <c r="E244" s="33" t="s">
        <v>173</v>
      </c>
      <c r="F244" s="34" t="s">
        <v>127</v>
      </c>
      <c r="G244" s="40"/>
      <c r="H244" s="27"/>
    </row>
    <row r="245" spans="1:8" ht="24.9" hidden="1" customHeight="1" x14ac:dyDescent="0.3">
      <c r="A245" s="32">
        <v>140</v>
      </c>
      <c r="B245" s="33" t="s">
        <v>434</v>
      </c>
      <c r="C245" s="33" t="s">
        <v>425</v>
      </c>
      <c r="D245" s="33" t="s">
        <v>435</v>
      </c>
      <c r="E245" s="33" t="s">
        <v>183</v>
      </c>
      <c r="F245" s="34" t="s">
        <v>127</v>
      </c>
      <c r="G245" s="40"/>
      <c r="H245" s="27"/>
    </row>
    <row r="246" spans="1:8" ht="24.9" hidden="1" customHeight="1" x14ac:dyDescent="0.3">
      <c r="A246" s="32">
        <v>140</v>
      </c>
      <c r="B246" s="33" t="s">
        <v>468</v>
      </c>
      <c r="C246" s="33" t="s">
        <v>448</v>
      </c>
      <c r="D246" s="33" t="s">
        <v>469</v>
      </c>
      <c r="E246" s="33" t="s">
        <v>173</v>
      </c>
      <c r="F246" s="34" t="s">
        <v>127</v>
      </c>
      <c r="G246" s="40"/>
      <c r="H246" s="27"/>
    </row>
    <row r="247" spans="1:8" ht="24.9" hidden="1" customHeight="1" x14ac:dyDescent="0.3">
      <c r="A247" s="32">
        <v>140</v>
      </c>
      <c r="B247" s="33" t="s">
        <v>468</v>
      </c>
      <c r="C247" s="33" t="s">
        <v>448</v>
      </c>
      <c r="D247" s="33" t="s">
        <v>469</v>
      </c>
      <c r="E247" s="33" t="s">
        <v>183</v>
      </c>
      <c r="F247" s="34" t="s">
        <v>127</v>
      </c>
      <c r="G247" s="40"/>
      <c r="H247" s="27"/>
    </row>
    <row r="248" spans="1:8" ht="24.9" hidden="1" customHeight="1" x14ac:dyDescent="0.3">
      <c r="A248" s="32">
        <v>140</v>
      </c>
      <c r="B248" s="33" t="s">
        <v>402</v>
      </c>
      <c r="C248" s="33" t="s">
        <v>398</v>
      </c>
      <c r="D248" s="33" t="s">
        <v>403</v>
      </c>
      <c r="E248" s="33" t="s">
        <v>173</v>
      </c>
      <c r="F248" s="34" t="s">
        <v>127</v>
      </c>
      <c r="G248" s="40"/>
      <c r="H248" s="27"/>
    </row>
    <row r="249" spans="1:8" ht="24.9" hidden="1" customHeight="1" x14ac:dyDescent="0.3">
      <c r="A249" s="32">
        <v>140</v>
      </c>
      <c r="B249" s="33" t="s">
        <v>402</v>
      </c>
      <c r="C249" s="33" t="s">
        <v>398</v>
      </c>
      <c r="D249" s="33" t="s">
        <v>403</v>
      </c>
      <c r="E249" s="33" t="s">
        <v>183</v>
      </c>
      <c r="F249" s="34" t="s">
        <v>127</v>
      </c>
      <c r="G249" s="40"/>
      <c r="H249" s="27"/>
    </row>
    <row r="250" spans="1:8" ht="24.9" hidden="1" customHeight="1" x14ac:dyDescent="0.3">
      <c r="A250" s="32">
        <v>140</v>
      </c>
      <c r="B250" s="33" t="s">
        <v>472</v>
      </c>
      <c r="C250" s="33" t="s">
        <v>473</v>
      </c>
      <c r="D250" s="33" t="s">
        <v>474</v>
      </c>
      <c r="E250" s="33" t="s">
        <v>173</v>
      </c>
      <c r="F250" s="34" t="s">
        <v>127</v>
      </c>
      <c r="G250" s="40"/>
      <c r="H250" s="27"/>
    </row>
    <row r="251" spans="1:8" ht="24.9" hidden="1" customHeight="1" x14ac:dyDescent="0.3">
      <c r="A251" s="32">
        <v>140</v>
      </c>
      <c r="B251" s="33" t="s">
        <v>472</v>
      </c>
      <c r="C251" s="33" t="s">
        <v>473</v>
      </c>
      <c r="D251" s="33" t="s">
        <v>474</v>
      </c>
      <c r="E251" s="33" t="s">
        <v>183</v>
      </c>
      <c r="F251" s="34" t="s">
        <v>127</v>
      </c>
      <c r="G251" s="40"/>
      <c r="H251" s="27"/>
    </row>
    <row r="252" spans="1:8" ht="24.9" hidden="1" customHeight="1" x14ac:dyDescent="0.3">
      <c r="A252" s="32">
        <v>140</v>
      </c>
      <c r="B252" s="33" t="s">
        <v>511</v>
      </c>
      <c r="C252" s="33" t="s">
        <v>495</v>
      </c>
      <c r="D252" s="33" t="s">
        <v>512</v>
      </c>
      <c r="E252" s="33" t="s">
        <v>173</v>
      </c>
      <c r="F252" s="34" t="s">
        <v>127</v>
      </c>
      <c r="G252" s="40"/>
      <c r="H252" s="27"/>
    </row>
    <row r="253" spans="1:8" ht="24.9" hidden="1" customHeight="1" x14ac:dyDescent="0.3">
      <c r="A253" s="32">
        <v>140</v>
      </c>
      <c r="B253" s="33" t="s">
        <v>511</v>
      </c>
      <c r="C253" s="33" t="s">
        <v>495</v>
      </c>
      <c r="D253" s="33" t="s">
        <v>512</v>
      </c>
      <c r="E253" s="33" t="s">
        <v>183</v>
      </c>
      <c r="F253" s="34" t="s">
        <v>127</v>
      </c>
      <c r="G253" s="40"/>
      <c r="H253" s="27"/>
    </row>
    <row r="254" spans="1:8" ht="24.9" hidden="1" customHeight="1" x14ac:dyDescent="0.3">
      <c r="A254" s="32">
        <v>140</v>
      </c>
      <c r="B254" s="33" t="s">
        <v>447</v>
      </c>
      <c r="C254" s="33" t="s">
        <v>448</v>
      </c>
      <c r="D254" s="33" t="s">
        <v>449</v>
      </c>
      <c r="E254" s="33" t="s">
        <v>173</v>
      </c>
      <c r="F254" s="34" t="s">
        <v>127</v>
      </c>
      <c r="G254" s="40"/>
      <c r="H254" s="27"/>
    </row>
    <row r="255" spans="1:8" ht="24.9" hidden="1" customHeight="1" x14ac:dyDescent="0.3">
      <c r="A255" s="32">
        <v>140</v>
      </c>
      <c r="B255" s="33" t="s">
        <v>447</v>
      </c>
      <c r="C255" s="33" t="s">
        <v>448</v>
      </c>
      <c r="D255" s="33" t="s">
        <v>449</v>
      </c>
      <c r="E255" s="33" t="s">
        <v>183</v>
      </c>
      <c r="F255" s="34" t="s">
        <v>127</v>
      </c>
      <c r="G255" s="40"/>
      <c r="H255" s="27"/>
    </row>
    <row r="256" spans="1:8" ht="24.9" hidden="1" customHeight="1" x14ac:dyDescent="0.3">
      <c r="A256" s="32">
        <v>140</v>
      </c>
      <c r="B256" s="33" t="s">
        <v>507</v>
      </c>
      <c r="C256" s="33" t="s">
        <v>495</v>
      </c>
      <c r="D256" s="33" t="s">
        <v>508</v>
      </c>
      <c r="E256" s="33" t="s">
        <v>173</v>
      </c>
      <c r="F256" s="34" t="s">
        <v>127</v>
      </c>
      <c r="G256" s="40"/>
      <c r="H256" s="27"/>
    </row>
    <row r="257" spans="1:12" ht="24.9" hidden="1" customHeight="1" x14ac:dyDescent="0.3">
      <c r="A257" s="32">
        <v>140</v>
      </c>
      <c r="B257" s="33" t="s">
        <v>507</v>
      </c>
      <c r="C257" s="33" t="s">
        <v>495</v>
      </c>
      <c r="D257" s="33" t="s">
        <v>508</v>
      </c>
      <c r="E257" s="33" t="s">
        <v>183</v>
      </c>
      <c r="F257" s="34" t="s">
        <v>127</v>
      </c>
      <c r="G257" s="40"/>
      <c r="H257" s="27"/>
    </row>
    <row r="258" spans="1:12" ht="24.9" hidden="1" customHeight="1" x14ac:dyDescent="0.3">
      <c r="A258" s="32">
        <v>140</v>
      </c>
      <c r="B258" s="33" t="s">
        <v>439</v>
      </c>
      <c r="C258" s="52" t="s">
        <v>437</v>
      </c>
      <c r="D258" s="33" t="s">
        <v>440</v>
      </c>
      <c r="E258" s="33" t="s">
        <v>173</v>
      </c>
      <c r="F258" s="34" t="s">
        <v>127</v>
      </c>
      <c r="G258" s="40"/>
      <c r="H258" s="27"/>
    </row>
    <row r="259" spans="1:12" ht="24.9" hidden="1" customHeight="1" x14ac:dyDescent="0.3">
      <c r="A259" s="32">
        <v>140</v>
      </c>
      <c r="B259" s="33" t="s">
        <v>439</v>
      </c>
      <c r="C259" s="52" t="s">
        <v>437</v>
      </c>
      <c r="D259" s="33" t="s">
        <v>440</v>
      </c>
      <c r="E259" s="33" t="s">
        <v>183</v>
      </c>
      <c r="F259" s="34" t="s">
        <v>127</v>
      </c>
      <c r="G259" s="40"/>
      <c r="H259" s="27"/>
    </row>
    <row r="260" spans="1:12" ht="24.9" customHeight="1" x14ac:dyDescent="0.3">
      <c r="A260" s="32">
        <v>140</v>
      </c>
      <c r="B260" s="33" t="s">
        <v>509</v>
      </c>
      <c r="C260" s="33" t="s">
        <v>495</v>
      </c>
      <c r="D260" s="33" t="s">
        <v>510</v>
      </c>
      <c r="E260" s="33" t="s">
        <v>240</v>
      </c>
      <c r="F260" s="34" t="s">
        <v>95</v>
      </c>
      <c r="G260" s="40"/>
      <c r="H260" s="77"/>
      <c r="I260" s="120"/>
      <c r="J260" s="120"/>
      <c r="K260" s="120"/>
      <c r="L260" s="120"/>
    </row>
    <row r="261" spans="1:12" ht="24.9" hidden="1" customHeight="1" x14ac:dyDescent="0.3">
      <c r="A261" s="32">
        <v>140</v>
      </c>
      <c r="B261" s="33" t="s">
        <v>443</v>
      </c>
      <c r="C261" s="52" t="s">
        <v>437</v>
      </c>
      <c r="D261" s="33" t="s">
        <v>444</v>
      </c>
      <c r="E261" s="33" t="s">
        <v>173</v>
      </c>
      <c r="F261" s="34" t="s">
        <v>127</v>
      </c>
      <c r="G261" s="40"/>
      <c r="H261" s="27"/>
    </row>
    <row r="262" spans="1:12" ht="24.9" hidden="1" customHeight="1" x14ac:dyDescent="0.3">
      <c r="A262" s="32">
        <v>140</v>
      </c>
      <c r="B262" s="33" t="s">
        <v>443</v>
      </c>
      <c r="C262" s="52" t="s">
        <v>437</v>
      </c>
      <c r="D262" s="33" t="s">
        <v>444</v>
      </c>
      <c r="E262" s="33" t="s">
        <v>183</v>
      </c>
      <c r="F262" s="34" t="s">
        <v>127</v>
      </c>
      <c r="G262" s="40"/>
      <c r="H262" s="27"/>
    </row>
    <row r="263" spans="1:12" ht="24.9" hidden="1" customHeight="1" x14ac:dyDescent="0.3">
      <c r="A263" s="32" t="s">
        <v>522</v>
      </c>
      <c r="B263" s="33" t="s">
        <v>534</v>
      </c>
      <c r="C263" s="33" t="s">
        <v>527</v>
      </c>
      <c r="D263" s="33" t="s">
        <v>535</v>
      </c>
      <c r="E263" s="33" t="s">
        <v>243</v>
      </c>
      <c r="F263" s="34" t="s">
        <v>127</v>
      </c>
      <c r="G263" s="40"/>
      <c r="H263" s="27"/>
    </row>
    <row r="264" spans="1:12" ht="24.9" hidden="1" customHeight="1" x14ac:dyDescent="0.3">
      <c r="A264" s="32" t="s">
        <v>522</v>
      </c>
      <c r="B264" s="33" t="s">
        <v>526</v>
      </c>
      <c r="C264" s="33" t="s">
        <v>527</v>
      </c>
      <c r="D264" s="33" t="s">
        <v>528</v>
      </c>
      <c r="E264" s="33" t="s">
        <v>785</v>
      </c>
      <c r="F264" s="34" t="s">
        <v>127</v>
      </c>
      <c r="G264" s="40"/>
      <c r="H264" s="27"/>
    </row>
    <row r="265" spans="1:12" ht="24.9" hidden="1" customHeight="1" x14ac:dyDescent="0.3">
      <c r="A265" s="32" t="s">
        <v>522</v>
      </c>
      <c r="B265" s="33" t="s">
        <v>526</v>
      </c>
      <c r="C265" s="33" t="s">
        <v>527</v>
      </c>
      <c r="D265" s="33" t="s">
        <v>528</v>
      </c>
      <c r="E265" s="33" t="s">
        <v>225</v>
      </c>
      <c r="F265" s="34" t="s">
        <v>127</v>
      </c>
      <c r="G265" s="40"/>
      <c r="H265" s="27"/>
    </row>
    <row r="266" spans="1:12" ht="24.9" hidden="1" customHeight="1" x14ac:dyDescent="0.3">
      <c r="A266" s="32" t="s">
        <v>522</v>
      </c>
      <c r="B266" s="33" t="s">
        <v>530</v>
      </c>
      <c r="C266" s="33" t="s">
        <v>527</v>
      </c>
      <c r="D266" s="33" t="s">
        <v>531</v>
      </c>
      <c r="E266" s="33" t="s">
        <v>785</v>
      </c>
      <c r="F266" s="34" t="s">
        <v>127</v>
      </c>
      <c r="G266" s="40"/>
      <c r="H266" s="27"/>
    </row>
    <row r="267" spans="1:12" ht="24.9" hidden="1" customHeight="1" x14ac:dyDescent="0.3">
      <c r="A267" s="32" t="s">
        <v>522</v>
      </c>
      <c r="B267" s="33" t="s">
        <v>530</v>
      </c>
      <c r="C267" s="33" t="s">
        <v>527</v>
      </c>
      <c r="D267" s="33" t="s">
        <v>531</v>
      </c>
      <c r="E267" s="33" t="s">
        <v>225</v>
      </c>
      <c r="F267" s="34" t="s">
        <v>127</v>
      </c>
      <c r="G267" s="40"/>
      <c r="H267" s="27"/>
    </row>
    <row r="268" spans="1:12" ht="24.9" hidden="1" customHeight="1" x14ac:dyDescent="0.3">
      <c r="A268" s="32" t="s">
        <v>522</v>
      </c>
      <c r="B268" s="33" t="s">
        <v>540</v>
      </c>
      <c r="C268" s="33" t="s">
        <v>524</v>
      </c>
      <c r="D268" s="33" t="s">
        <v>541</v>
      </c>
      <c r="E268" s="33" t="s">
        <v>542</v>
      </c>
      <c r="F268" s="34" t="s">
        <v>127</v>
      </c>
      <c r="G268" s="40"/>
      <c r="H268" s="27"/>
    </row>
    <row r="269" spans="1:12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784</v>
      </c>
      <c r="F269" s="34" t="s">
        <v>127</v>
      </c>
      <c r="G269" s="40"/>
      <c r="H269" s="27"/>
    </row>
    <row r="270" spans="1:12" ht="24.9" hidden="1" customHeight="1" x14ac:dyDescent="0.3">
      <c r="A270" s="32" t="s">
        <v>522</v>
      </c>
      <c r="B270" s="33" t="s">
        <v>523</v>
      </c>
      <c r="C270" s="33" t="s">
        <v>524</v>
      </c>
      <c r="D270" s="33" t="s">
        <v>525</v>
      </c>
      <c r="E270" s="33" t="s">
        <v>533</v>
      </c>
      <c r="F270" s="34" t="s">
        <v>127</v>
      </c>
      <c r="G270" s="40"/>
      <c r="H270" s="27"/>
    </row>
    <row r="271" spans="1:12" ht="24.9" hidden="1" customHeight="1" x14ac:dyDescent="0.3">
      <c r="A271" s="32" t="s">
        <v>522</v>
      </c>
      <c r="B271" s="33" t="s">
        <v>523</v>
      </c>
      <c r="C271" s="33" t="s">
        <v>524</v>
      </c>
      <c r="D271" s="33" t="s">
        <v>525</v>
      </c>
      <c r="E271" s="33" t="s">
        <v>544</v>
      </c>
      <c r="F271" s="34" t="s">
        <v>127</v>
      </c>
      <c r="G271" s="40"/>
      <c r="H271" s="27"/>
    </row>
    <row r="272" spans="1:12" ht="24.9" hidden="1" customHeight="1" x14ac:dyDescent="0.3">
      <c r="A272" s="32" t="s">
        <v>522</v>
      </c>
      <c r="B272" s="33" t="s">
        <v>536</v>
      </c>
      <c r="C272" s="33" t="s">
        <v>527</v>
      </c>
      <c r="D272" s="33" t="s">
        <v>537</v>
      </c>
      <c r="E272" s="33" t="s">
        <v>243</v>
      </c>
      <c r="F272" s="34" t="s">
        <v>127</v>
      </c>
      <c r="G272" s="40"/>
      <c r="H272" s="27"/>
    </row>
    <row r="273" spans="1:12" ht="24.9" hidden="1" customHeight="1" x14ac:dyDescent="0.3">
      <c r="A273" s="32" t="s">
        <v>522</v>
      </c>
      <c r="B273" s="33" t="s">
        <v>529</v>
      </c>
      <c r="C273" s="33" t="s">
        <v>527</v>
      </c>
      <c r="D273" s="33" t="s">
        <v>528</v>
      </c>
      <c r="E273" s="33" t="s">
        <v>785</v>
      </c>
      <c r="F273" s="34" t="s">
        <v>127</v>
      </c>
      <c r="G273" s="40"/>
      <c r="H273" s="27"/>
    </row>
    <row r="274" spans="1:12" ht="24.9" hidden="1" customHeight="1" x14ac:dyDescent="0.3">
      <c r="A274" s="32" t="s">
        <v>522</v>
      </c>
      <c r="B274" s="33" t="s">
        <v>529</v>
      </c>
      <c r="C274" s="33" t="s">
        <v>527</v>
      </c>
      <c r="D274" s="33" t="s">
        <v>528</v>
      </c>
      <c r="E274" s="33" t="s">
        <v>225</v>
      </c>
      <c r="F274" s="34" t="s">
        <v>127</v>
      </c>
      <c r="G274" s="40"/>
      <c r="H274" s="27"/>
    </row>
    <row r="275" spans="1:12" ht="24.9" hidden="1" customHeight="1" x14ac:dyDescent="0.3">
      <c r="A275" s="32" t="s">
        <v>522</v>
      </c>
      <c r="B275" s="33" t="s">
        <v>538</v>
      </c>
      <c r="C275" s="33" t="s">
        <v>527</v>
      </c>
      <c r="D275" s="33" t="s">
        <v>539</v>
      </c>
      <c r="E275" s="33" t="s">
        <v>243</v>
      </c>
      <c r="F275" s="34" t="s">
        <v>127</v>
      </c>
      <c r="G275" s="40"/>
      <c r="H275" s="27"/>
    </row>
    <row r="276" spans="1:12" ht="24.9" hidden="1" customHeight="1" x14ac:dyDescent="0.3">
      <c r="A276" s="32" t="s">
        <v>522</v>
      </c>
      <c r="B276" s="33" t="s">
        <v>532</v>
      </c>
      <c r="C276" s="33" t="s">
        <v>527</v>
      </c>
      <c r="D276" s="33" t="s">
        <v>528</v>
      </c>
      <c r="E276" s="33" t="s">
        <v>785</v>
      </c>
      <c r="F276" s="34" t="s">
        <v>127</v>
      </c>
      <c r="G276" s="40"/>
      <c r="H276" s="27"/>
    </row>
    <row r="277" spans="1:12" ht="24.9" hidden="1" customHeight="1" x14ac:dyDescent="0.3">
      <c r="A277" s="32" t="s">
        <v>522</v>
      </c>
      <c r="B277" s="33" t="s">
        <v>532</v>
      </c>
      <c r="C277" s="33" t="s">
        <v>527</v>
      </c>
      <c r="D277" s="33" t="s">
        <v>528</v>
      </c>
      <c r="E277" s="33" t="s">
        <v>225</v>
      </c>
      <c r="F277" s="34" t="s">
        <v>127</v>
      </c>
      <c r="G277" s="40"/>
      <c r="H277" s="27"/>
    </row>
    <row r="278" spans="1:12" ht="24.9" hidden="1" customHeight="1" x14ac:dyDescent="0.3">
      <c r="A278" s="32" t="s">
        <v>546</v>
      </c>
      <c r="B278" s="33" t="s">
        <v>582</v>
      </c>
      <c r="C278" s="33" t="s">
        <v>562</v>
      </c>
      <c r="D278" s="33" t="s">
        <v>583</v>
      </c>
      <c r="E278" s="33" t="s">
        <v>160</v>
      </c>
      <c r="F278" s="34" t="s">
        <v>127</v>
      </c>
      <c r="G278" s="40"/>
      <c r="H278" s="27"/>
    </row>
    <row r="279" spans="1:12" ht="24.9" hidden="1" customHeight="1" x14ac:dyDescent="0.3">
      <c r="A279" s="32" t="s">
        <v>546</v>
      </c>
      <c r="B279" s="33" t="s">
        <v>561</v>
      </c>
      <c r="C279" s="33" t="s">
        <v>562</v>
      </c>
      <c r="D279" s="33" t="s">
        <v>563</v>
      </c>
      <c r="E279" s="33" t="s">
        <v>225</v>
      </c>
      <c r="F279" s="34" t="s">
        <v>167</v>
      </c>
      <c r="G279" s="40"/>
      <c r="H279" s="27"/>
    </row>
    <row r="280" spans="1:12" ht="24.9" hidden="1" customHeight="1" x14ac:dyDescent="0.3">
      <c r="A280" s="32" t="s">
        <v>546</v>
      </c>
      <c r="B280" s="33" t="s">
        <v>561</v>
      </c>
      <c r="C280" s="33" t="s">
        <v>562</v>
      </c>
      <c r="D280" s="33" t="s">
        <v>563</v>
      </c>
      <c r="E280" s="33" t="s">
        <v>581</v>
      </c>
      <c r="F280" s="34" t="s">
        <v>127</v>
      </c>
      <c r="G280" s="40"/>
      <c r="H280" s="27"/>
    </row>
    <row r="281" spans="1:12" ht="24.9" customHeight="1" x14ac:dyDescent="0.3">
      <c r="A281" s="32">
        <v>140</v>
      </c>
      <c r="B281" s="33" t="s">
        <v>520</v>
      </c>
      <c r="C281" s="33" t="s">
        <v>516</v>
      </c>
      <c r="D281" s="33" t="s">
        <v>521</v>
      </c>
      <c r="E281" s="33" t="s">
        <v>240</v>
      </c>
      <c r="F281" s="34" t="s">
        <v>95</v>
      </c>
      <c r="G281" s="40"/>
      <c r="H281" s="77"/>
      <c r="I281" s="120"/>
      <c r="J281" s="120"/>
      <c r="K281" s="120"/>
      <c r="L281" s="120"/>
    </row>
    <row r="282" spans="1:12" ht="24.9" customHeight="1" x14ac:dyDescent="0.3">
      <c r="A282" s="32">
        <v>140</v>
      </c>
      <c r="B282" s="33" t="s">
        <v>439</v>
      </c>
      <c r="C282" s="33" t="s">
        <v>516</v>
      </c>
      <c r="D282" s="33" t="s">
        <v>519</v>
      </c>
      <c r="E282" s="33" t="s">
        <v>240</v>
      </c>
      <c r="F282" s="34" t="s">
        <v>95</v>
      </c>
      <c r="G282" s="40"/>
      <c r="H282" s="77"/>
      <c r="I282" s="120"/>
      <c r="J282" s="120"/>
      <c r="K282" s="120"/>
      <c r="L282" s="120"/>
    </row>
    <row r="283" spans="1:12" ht="24.9" hidden="1" customHeight="1" x14ac:dyDescent="0.3">
      <c r="A283" s="32" t="s">
        <v>546</v>
      </c>
      <c r="B283" s="33" t="s">
        <v>596</v>
      </c>
      <c r="C283" s="33" t="s">
        <v>548</v>
      </c>
      <c r="D283" s="33" t="s">
        <v>597</v>
      </c>
      <c r="E283" s="33" t="s">
        <v>598</v>
      </c>
      <c r="F283" s="34" t="s">
        <v>127</v>
      </c>
      <c r="G283" s="40"/>
      <c r="H283" s="27"/>
    </row>
    <row r="284" spans="1:12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586</v>
      </c>
      <c r="F284" s="34" t="s">
        <v>99</v>
      </c>
      <c r="G284" s="40"/>
      <c r="H284" s="27"/>
    </row>
    <row r="285" spans="1:12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788</v>
      </c>
      <c r="F285" s="34" t="s">
        <v>99</v>
      </c>
      <c r="G285" s="40"/>
      <c r="H285" s="27"/>
    </row>
    <row r="286" spans="1:12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33" t="s">
        <v>588</v>
      </c>
      <c r="F286" s="34" t="s">
        <v>99</v>
      </c>
      <c r="G286" s="40"/>
      <c r="H286" s="27"/>
    </row>
    <row r="287" spans="1:12" ht="24.9" hidden="1" customHeight="1" x14ac:dyDescent="0.3">
      <c r="A287" s="32" t="s">
        <v>546</v>
      </c>
      <c r="B287" s="33" t="s">
        <v>584</v>
      </c>
      <c r="C287" s="33" t="s">
        <v>551</v>
      </c>
      <c r="D287" s="33" t="s">
        <v>585</v>
      </c>
      <c r="E287" s="33" t="s">
        <v>587</v>
      </c>
      <c r="F287" s="34" t="s">
        <v>127</v>
      </c>
      <c r="G287" s="40"/>
      <c r="H287" s="27"/>
    </row>
    <row r="288" spans="1:12" ht="24.9" hidden="1" customHeight="1" x14ac:dyDescent="0.3">
      <c r="A288" s="32" t="s">
        <v>546</v>
      </c>
      <c r="B288" s="33" t="s">
        <v>584</v>
      </c>
      <c r="C288" s="33" t="s">
        <v>551</v>
      </c>
      <c r="D288" s="33" t="s">
        <v>585</v>
      </c>
      <c r="E288" s="43" t="s">
        <v>590</v>
      </c>
      <c r="F288" s="34" t="s">
        <v>127</v>
      </c>
      <c r="G288" s="40"/>
      <c r="H288" s="27"/>
    </row>
    <row r="289" spans="1:8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225</v>
      </c>
      <c r="F289" s="34" t="s">
        <v>167</v>
      </c>
      <c r="G289" s="40"/>
      <c r="H289" s="27"/>
    </row>
    <row r="290" spans="1:8" ht="24.9" hidden="1" customHeight="1" x14ac:dyDescent="0.3">
      <c r="A290" s="32" t="s">
        <v>546</v>
      </c>
      <c r="B290" s="33" t="s">
        <v>550</v>
      </c>
      <c r="C290" s="33" t="s">
        <v>551</v>
      </c>
      <c r="D290" s="33" t="s">
        <v>552</v>
      </c>
      <c r="E290" s="33" t="s">
        <v>577</v>
      </c>
      <c r="F290" s="34" t="s">
        <v>167</v>
      </c>
      <c r="G290" s="40"/>
      <c r="H290" s="27"/>
    </row>
    <row r="291" spans="1:8" ht="24.9" hidden="1" customHeight="1" x14ac:dyDescent="0.3">
      <c r="A291" s="32" t="s">
        <v>546</v>
      </c>
      <c r="B291" s="33" t="s">
        <v>550</v>
      </c>
      <c r="C291" s="33" t="s">
        <v>551</v>
      </c>
      <c r="D291" s="33" t="s">
        <v>552</v>
      </c>
      <c r="E291" s="33" t="s">
        <v>578</v>
      </c>
      <c r="F291" s="34" t="s">
        <v>127</v>
      </c>
      <c r="G291" s="40"/>
      <c r="H291" s="27"/>
    </row>
    <row r="292" spans="1:8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586</v>
      </c>
      <c r="F292" s="34" t="s">
        <v>99</v>
      </c>
      <c r="G292" s="40"/>
      <c r="H292" s="27"/>
    </row>
    <row r="293" spans="1:8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788</v>
      </c>
      <c r="F293" s="34" t="s">
        <v>99</v>
      </c>
      <c r="G293" s="40"/>
      <c r="H293" s="27"/>
    </row>
    <row r="294" spans="1:8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33" t="s">
        <v>588</v>
      </c>
      <c r="F294" s="34" t="s">
        <v>99</v>
      </c>
      <c r="G294" s="40"/>
      <c r="H294" s="27"/>
    </row>
    <row r="295" spans="1:8" ht="24.9" hidden="1" customHeight="1" x14ac:dyDescent="0.3">
      <c r="A295" s="32" t="s">
        <v>546</v>
      </c>
      <c r="B295" s="33" t="s">
        <v>591</v>
      </c>
      <c r="C295" s="33" t="s">
        <v>554</v>
      </c>
      <c r="D295" s="33" t="s">
        <v>585</v>
      </c>
      <c r="E295" s="33" t="s">
        <v>587</v>
      </c>
      <c r="F295" s="34" t="s">
        <v>127</v>
      </c>
      <c r="G295" s="40"/>
      <c r="H295" s="27"/>
    </row>
    <row r="296" spans="1:8" ht="24.9" hidden="1" customHeight="1" x14ac:dyDescent="0.3">
      <c r="A296" s="32" t="s">
        <v>546</v>
      </c>
      <c r="B296" s="33" t="s">
        <v>591</v>
      </c>
      <c r="C296" s="33" t="s">
        <v>554</v>
      </c>
      <c r="D296" s="33" t="s">
        <v>585</v>
      </c>
      <c r="E296" s="43" t="s">
        <v>590</v>
      </c>
      <c r="F296" s="34" t="s">
        <v>127</v>
      </c>
      <c r="G296" s="40"/>
      <c r="H296" s="27"/>
    </row>
    <row r="297" spans="1:8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225</v>
      </c>
      <c r="F297" s="34" t="s">
        <v>167</v>
      </c>
      <c r="G297" s="40"/>
      <c r="H297" s="27"/>
    </row>
    <row r="298" spans="1:8" ht="24.9" hidden="1" customHeight="1" x14ac:dyDescent="0.3">
      <c r="A298" s="32" t="s">
        <v>546</v>
      </c>
      <c r="B298" s="33" t="s">
        <v>553</v>
      </c>
      <c r="C298" s="33" t="s">
        <v>554</v>
      </c>
      <c r="D298" s="33" t="s">
        <v>552</v>
      </c>
      <c r="E298" s="33" t="s">
        <v>577</v>
      </c>
      <c r="F298" s="34" t="s">
        <v>167</v>
      </c>
      <c r="G298" s="40"/>
      <c r="H298" s="27"/>
    </row>
    <row r="299" spans="1:8" ht="24.9" hidden="1" customHeight="1" x14ac:dyDescent="0.3">
      <c r="A299" s="32" t="s">
        <v>546</v>
      </c>
      <c r="B299" s="33" t="s">
        <v>553</v>
      </c>
      <c r="C299" s="33" t="s">
        <v>554</v>
      </c>
      <c r="D299" s="33" t="s">
        <v>552</v>
      </c>
      <c r="E299" s="33" t="s">
        <v>578</v>
      </c>
      <c r="F299" s="34" t="s">
        <v>127</v>
      </c>
      <c r="G299" s="40"/>
      <c r="H299" s="27"/>
    </row>
    <row r="300" spans="1:8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586</v>
      </c>
      <c r="F300" s="34" t="s">
        <v>99</v>
      </c>
      <c r="G300" s="40"/>
      <c r="H300" s="27"/>
    </row>
    <row r="301" spans="1:8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788</v>
      </c>
      <c r="F301" s="34" t="s">
        <v>99</v>
      </c>
      <c r="G301" s="40"/>
      <c r="H301" s="27"/>
    </row>
    <row r="302" spans="1:8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588</v>
      </c>
      <c r="F302" s="34" t="s">
        <v>99</v>
      </c>
      <c r="G302" s="40"/>
      <c r="H302" s="27"/>
    </row>
    <row r="303" spans="1:8" ht="24.9" hidden="1" customHeight="1" x14ac:dyDescent="0.3">
      <c r="A303" s="32" t="s">
        <v>546</v>
      </c>
      <c r="B303" s="33" t="s">
        <v>592</v>
      </c>
      <c r="C303" s="33" t="s">
        <v>556</v>
      </c>
      <c r="D303" s="33" t="s">
        <v>585</v>
      </c>
      <c r="E303" s="33" t="s">
        <v>587</v>
      </c>
      <c r="F303" s="34" t="s">
        <v>127</v>
      </c>
      <c r="G303" s="40"/>
      <c r="H303" s="27"/>
    </row>
    <row r="304" spans="1:8" ht="24.9" hidden="1" customHeight="1" x14ac:dyDescent="0.3">
      <c r="A304" s="32" t="s">
        <v>546</v>
      </c>
      <c r="B304" s="33" t="s">
        <v>592</v>
      </c>
      <c r="C304" s="33" t="s">
        <v>556</v>
      </c>
      <c r="D304" s="33" t="s">
        <v>585</v>
      </c>
      <c r="E304" s="33" t="s">
        <v>590</v>
      </c>
      <c r="F304" s="34" t="s">
        <v>127</v>
      </c>
      <c r="G304" s="40"/>
      <c r="H304" s="27"/>
    </row>
    <row r="305" spans="1:8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225</v>
      </c>
      <c r="F305" s="34" t="s">
        <v>167</v>
      </c>
      <c r="G305" s="40"/>
      <c r="H305" s="27"/>
    </row>
    <row r="306" spans="1:8" ht="24.9" hidden="1" customHeight="1" x14ac:dyDescent="0.3">
      <c r="A306" s="32" t="s">
        <v>546</v>
      </c>
      <c r="B306" s="33" t="s">
        <v>555</v>
      </c>
      <c r="C306" s="33" t="s">
        <v>556</v>
      </c>
      <c r="D306" s="33" t="s">
        <v>552</v>
      </c>
      <c r="E306" s="33" t="s">
        <v>577</v>
      </c>
      <c r="F306" s="34" t="s">
        <v>167</v>
      </c>
      <c r="G306" s="40"/>
      <c r="H306" s="27"/>
    </row>
    <row r="307" spans="1:8" ht="24.9" hidden="1" customHeight="1" x14ac:dyDescent="0.3">
      <c r="A307" s="32" t="s">
        <v>546</v>
      </c>
      <c r="B307" s="33" t="s">
        <v>555</v>
      </c>
      <c r="C307" s="33" t="s">
        <v>556</v>
      </c>
      <c r="D307" s="33" t="s">
        <v>552</v>
      </c>
      <c r="E307" s="33" t="s">
        <v>578</v>
      </c>
      <c r="F307" s="34" t="s">
        <v>127</v>
      </c>
      <c r="G307" s="40"/>
      <c r="H307" s="27"/>
    </row>
    <row r="308" spans="1:8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764</v>
      </c>
      <c r="F308" s="34" t="s">
        <v>167</v>
      </c>
      <c r="G308" s="40"/>
      <c r="H308" s="27"/>
    </row>
    <row r="309" spans="1:8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787</v>
      </c>
      <c r="F309" s="34" t="s">
        <v>99</v>
      </c>
      <c r="G309" s="40"/>
      <c r="H309" s="27"/>
    </row>
    <row r="310" spans="1:8" ht="24.9" hidden="1" customHeight="1" x14ac:dyDescent="0.3">
      <c r="A310" s="32" t="s">
        <v>546</v>
      </c>
      <c r="B310" s="33" t="s">
        <v>567</v>
      </c>
      <c r="C310" s="33" t="s">
        <v>556</v>
      </c>
      <c r="D310" s="33" t="s">
        <v>568</v>
      </c>
      <c r="E310" s="33" t="s">
        <v>566</v>
      </c>
      <c r="F310" s="34" t="s">
        <v>127</v>
      </c>
      <c r="G310" s="40"/>
      <c r="H310" s="27"/>
    </row>
    <row r="311" spans="1:8" ht="24.9" hidden="1" customHeight="1" x14ac:dyDescent="0.3">
      <c r="A311" s="32" t="s">
        <v>546</v>
      </c>
      <c r="B311" s="33" t="s">
        <v>567</v>
      </c>
      <c r="C311" s="33" t="s">
        <v>556</v>
      </c>
      <c r="D311" s="33" t="s">
        <v>568</v>
      </c>
      <c r="E311" s="33" t="s">
        <v>225</v>
      </c>
      <c r="F311" s="34" t="s">
        <v>127</v>
      </c>
      <c r="G311" s="40"/>
      <c r="H311" s="27"/>
    </row>
    <row r="312" spans="1:8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764</v>
      </c>
      <c r="F312" s="34" t="s">
        <v>167</v>
      </c>
      <c r="G312" s="40"/>
      <c r="H312" s="27"/>
    </row>
    <row r="313" spans="1:8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787</v>
      </c>
      <c r="F313" s="34" t="s">
        <v>99</v>
      </c>
      <c r="G313" s="40"/>
      <c r="H313" s="27"/>
    </row>
    <row r="314" spans="1:8" ht="24.9" hidden="1" customHeight="1" x14ac:dyDescent="0.3">
      <c r="A314" s="32" t="s">
        <v>546</v>
      </c>
      <c r="B314" s="33" t="s">
        <v>573</v>
      </c>
      <c r="C314" s="33" t="s">
        <v>556</v>
      </c>
      <c r="D314" s="33" t="s">
        <v>574</v>
      </c>
      <c r="E314" s="33" t="s">
        <v>566</v>
      </c>
      <c r="F314" s="34" t="s">
        <v>127</v>
      </c>
      <c r="G314" s="40"/>
      <c r="H314" s="27"/>
    </row>
    <row r="315" spans="1:8" ht="24.9" hidden="1" customHeight="1" x14ac:dyDescent="0.3">
      <c r="A315" s="32" t="s">
        <v>546</v>
      </c>
      <c r="B315" s="33" t="s">
        <v>573</v>
      </c>
      <c r="C315" s="33" t="s">
        <v>556</v>
      </c>
      <c r="D315" s="33" t="s">
        <v>574</v>
      </c>
      <c r="E315" s="33" t="s">
        <v>225</v>
      </c>
      <c r="F315" s="34" t="s">
        <v>127</v>
      </c>
      <c r="G315" s="40"/>
      <c r="H315" s="27"/>
    </row>
    <row r="316" spans="1:8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586</v>
      </c>
      <c r="F316" s="34" t="s">
        <v>99</v>
      </c>
      <c r="G316" s="40"/>
      <c r="H316" s="27"/>
    </row>
    <row r="317" spans="1:8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788</v>
      </c>
      <c r="F317" s="34" t="s">
        <v>99</v>
      </c>
      <c r="G317" s="40"/>
      <c r="H317" s="27"/>
    </row>
    <row r="318" spans="1:8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588</v>
      </c>
      <c r="F318" s="34" t="s">
        <v>99</v>
      </c>
      <c r="G318" s="40"/>
      <c r="H318" s="27"/>
    </row>
    <row r="319" spans="1:8" ht="24.9" hidden="1" customHeight="1" x14ac:dyDescent="0.3">
      <c r="A319" s="32" t="s">
        <v>546</v>
      </c>
      <c r="B319" s="33" t="s">
        <v>593</v>
      </c>
      <c r="C319" s="33" t="s">
        <v>558</v>
      </c>
      <c r="D319" s="33" t="s">
        <v>585</v>
      </c>
      <c r="E319" s="33" t="s">
        <v>587</v>
      </c>
      <c r="F319" s="34" t="s">
        <v>127</v>
      </c>
      <c r="G319" s="40"/>
      <c r="H319" s="27"/>
    </row>
    <row r="320" spans="1:8" ht="24.9" hidden="1" customHeight="1" x14ac:dyDescent="0.3">
      <c r="A320" s="32" t="s">
        <v>546</v>
      </c>
      <c r="B320" s="33" t="s">
        <v>593</v>
      </c>
      <c r="C320" s="33" t="s">
        <v>558</v>
      </c>
      <c r="D320" s="33" t="s">
        <v>585</v>
      </c>
      <c r="E320" s="33" t="s">
        <v>590</v>
      </c>
      <c r="F320" s="34" t="s">
        <v>127</v>
      </c>
      <c r="G320" s="40"/>
      <c r="H320" s="27"/>
    </row>
    <row r="321" spans="1:8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225</v>
      </c>
      <c r="F321" s="34" t="s">
        <v>167</v>
      </c>
      <c r="G321" s="40"/>
      <c r="H321" s="27"/>
    </row>
    <row r="322" spans="1:8" ht="24.9" hidden="1" customHeight="1" x14ac:dyDescent="0.3">
      <c r="A322" s="32" t="s">
        <v>546</v>
      </c>
      <c r="B322" s="33" t="s">
        <v>557</v>
      </c>
      <c r="C322" s="33" t="s">
        <v>558</v>
      </c>
      <c r="D322" s="33" t="s">
        <v>552</v>
      </c>
      <c r="E322" s="33" t="s">
        <v>577</v>
      </c>
      <c r="F322" s="34" t="s">
        <v>167</v>
      </c>
      <c r="G322" s="40"/>
      <c r="H322" s="27"/>
    </row>
    <row r="323" spans="1:8" ht="24.9" hidden="1" customHeight="1" x14ac:dyDescent="0.3">
      <c r="A323" s="32" t="s">
        <v>546</v>
      </c>
      <c r="B323" s="33" t="s">
        <v>557</v>
      </c>
      <c r="C323" s="33" t="s">
        <v>558</v>
      </c>
      <c r="D323" s="33" t="s">
        <v>552</v>
      </c>
      <c r="E323" s="33" t="s">
        <v>578</v>
      </c>
      <c r="F323" s="34" t="s">
        <v>127</v>
      </c>
      <c r="G323" s="40"/>
      <c r="H323" s="27"/>
    </row>
    <row r="324" spans="1:8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764</v>
      </c>
      <c r="F324" s="34" t="s">
        <v>167</v>
      </c>
      <c r="G324" s="40"/>
      <c r="H324" s="27"/>
    </row>
    <row r="325" spans="1:8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787</v>
      </c>
      <c r="F325" s="34" t="s">
        <v>99</v>
      </c>
      <c r="G325" s="40"/>
      <c r="H325" s="27"/>
    </row>
    <row r="326" spans="1:8" ht="24.9" hidden="1" customHeight="1" x14ac:dyDescent="0.3">
      <c r="A326" s="32" t="s">
        <v>546</v>
      </c>
      <c r="B326" s="33" t="s">
        <v>569</v>
      </c>
      <c r="C326" s="33" t="s">
        <v>558</v>
      </c>
      <c r="D326" s="33" t="s">
        <v>568</v>
      </c>
      <c r="E326" s="33" t="s">
        <v>566</v>
      </c>
      <c r="F326" s="34" t="s">
        <v>127</v>
      </c>
      <c r="G326" s="40"/>
      <c r="H326" s="27"/>
    </row>
    <row r="327" spans="1:8" ht="24.9" hidden="1" customHeight="1" x14ac:dyDescent="0.3">
      <c r="A327" s="32" t="s">
        <v>546</v>
      </c>
      <c r="B327" s="33" t="s">
        <v>569</v>
      </c>
      <c r="C327" s="33" t="s">
        <v>558</v>
      </c>
      <c r="D327" s="33" t="s">
        <v>568</v>
      </c>
      <c r="E327" s="33" t="s">
        <v>225</v>
      </c>
      <c r="F327" s="34" t="s">
        <v>127</v>
      </c>
      <c r="G327" s="40"/>
      <c r="H327" s="27"/>
    </row>
    <row r="328" spans="1:8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764</v>
      </c>
      <c r="F328" s="34" t="s">
        <v>167</v>
      </c>
      <c r="G328" s="40"/>
      <c r="H328" s="27"/>
    </row>
    <row r="329" spans="1:8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787</v>
      </c>
      <c r="F329" s="34" t="s">
        <v>99</v>
      </c>
      <c r="G329" s="40"/>
      <c r="H329" s="27"/>
    </row>
    <row r="330" spans="1:8" ht="24.9" hidden="1" customHeight="1" x14ac:dyDescent="0.3">
      <c r="A330" s="32" t="s">
        <v>546</v>
      </c>
      <c r="B330" s="33" t="s">
        <v>575</v>
      </c>
      <c r="C330" s="33" t="s">
        <v>558</v>
      </c>
      <c r="D330" s="33" t="s">
        <v>574</v>
      </c>
      <c r="E330" s="33" t="s">
        <v>566</v>
      </c>
      <c r="F330" s="34" t="s">
        <v>127</v>
      </c>
      <c r="G330" s="40"/>
      <c r="H330" s="27"/>
    </row>
    <row r="331" spans="1:8" ht="24.9" hidden="1" customHeight="1" x14ac:dyDescent="0.3">
      <c r="A331" s="32" t="s">
        <v>546</v>
      </c>
      <c r="B331" s="33" t="s">
        <v>575</v>
      </c>
      <c r="C331" s="33" t="s">
        <v>558</v>
      </c>
      <c r="D331" s="33" t="s">
        <v>574</v>
      </c>
      <c r="E331" s="33" t="s">
        <v>225</v>
      </c>
      <c r="F331" s="34" t="s">
        <v>127</v>
      </c>
      <c r="G331" s="40"/>
      <c r="H331" s="27"/>
    </row>
    <row r="332" spans="1:8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586</v>
      </c>
      <c r="F332" s="34" t="s">
        <v>99</v>
      </c>
      <c r="G332" s="40"/>
      <c r="H332" s="27"/>
    </row>
    <row r="333" spans="1:8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788</v>
      </c>
      <c r="F333" s="34" t="s">
        <v>99</v>
      </c>
      <c r="G333" s="40"/>
      <c r="H333" s="27"/>
    </row>
    <row r="334" spans="1:8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588</v>
      </c>
      <c r="F334" s="34" t="s">
        <v>99</v>
      </c>
      <c r="G334" s="40"/>
      <c r="H334" s="27"/>
    </row>
    <row r="335" spans="1:8" ht="24.9" hidden="1" customHeight="1" x14ac:dyDescent="0.3">
      <c r="A335" s="32" t="s">
        <v>546</v>
      </c>
      <c r="B335" s="33" t="s">
        <v>594</v>
      </c>
      <c r="C335" s="33" t="s">
        <v>560</v>
      </c>
      <c r="D335" s="33" t="s">
        <v>585</v>
      </c>
      <c r="E335" s="33" t="s">
        <v>587</v>
      </c>
      <c r="F335" s="34" t="s">
        <v>127</v>
      </c>
      <c r="G335" s="40"/>
      <c r="H335" s="27"/>
    </row>
    <row r="336" spans="1:8" ht="24.9" hidden="1" customHeight="1" x14ac:dyDescent="0.3">
      <c r="A336" s="32" t="s">
        <v>546</v>
      </c>
      <c r="B336" s="33" t="s">
        <v>594</v>
      </c>
      <c r="C336" s="33" t="s">
        <v>560</v>
      </c>
      <c r="D336" s="33" t="s">
        <v>585</v>
      </c>
      <c r="E336" s="33" t="s">
        <v>590</v>
      </c>
      <c r="F336" s="34" t="s">
        <v>127</v>
      </c>
      <c r="G336" s="40"/>
      <c r="H336" s="27"/>
    </row>
    <row r="337" spans="1:8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225</v>
      </c>
      <c r="F337" s="34" t="s">
        <v>167</v>
      </c>
      <c r="G337" s="40"/>
      <c r="H337" s="27"/>
    </row>
    <row r="338" spans="1:8" ht="24.9" hidden="1" customHeight="1" x14ac:dyDescent="0.3">
      <c r="A338" s="32" t="s">
        <v>546</v>
      </c>
      <c r="B338" s="33" t="s">
        <v>559</v>
      </c>
      <c r="C338" s="33" t="s">
        <v>560</v>
      </c>
      <c r="D338" s="33" t="s">
        <v>552</v>
      </c>
      <c r="E338" s="33" t="s">
        <v>577</v>
      </c>
      <c r="F338" s="34" t="s">
        <v>167</v>
      </c>
      <c r="G338" s="40"/>
      <c r="H338" s="27"/>
    </row>
    <row r="339" spans="1:8" ht="24.9" hidden="1" customHeight="1" x14ac:dyDescent="0.3">
      <c r="A339" s="32" t="s">
        <v>546</v>
      </c>
      <c r="B339" s="33" t="s">
        <v>559</v>
      </c>
      <c r="C339" s="33" t="s">
        <v>560</v>
      </c>
      <c r="D339" s="33" t="s">
        <v>552</v>
      </c>
      <c r="E339" s="33" t="s">
        <v>578</v>
      </c>
      <c r="F339" s="34" t="s">
        <v>127</v>
      </c>
      <c r="G339" s="40"/>
      <c r="H339" s="27"/>
    </row>
    <row r="340" spans="1:8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764</v>
      </c>
      <c r="F340" s="34" t="s">
        <v>167</v>
      </c>
      <c r="G340" s="51"/>
      <c r="H340" s="27"/>
    </row>
    <row r="341" spans="1:8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787</v>
      </c>
      <c r="F341" s="34" t="s">
        <v>99</v>
      </c>
      <c r="G341" s="40"/>
      <c r="H341" s="27"/>
    </row>
    <row r="342" spans="1:8" ht="24.9" hidden="1" customHeight="1" x14ac:dyDescent="0.3">
      <c r="A342" s="32" t="s">
        <v>546</v>
      </c>
      <c r="B342" s="33" t="s">
        <v>570</v>
      </c>
      <c r="C342" s="33" t="s">
        <v>560</v>
      </c>
      <c r="D342" s="33" t="s">
        <v>568</v>
      </c>
      <c r="E342" s="33" t="s">
        <v>566</v>
      </c>
      <c r="F342" s="34" t="s">
        <v>127</v>
      </c>
      <c r="G342" s="29"/>
      <c r="H342" s="27"/>
    </row>
    <row r="343" spans="1:8" ht="24.9" hidden="1" customHeight="1" x14ac:dyDescent="0.3">
      <c r="A343" s="32" t="s">
        <v>546</v>
      </c>
      <c r="B343" s="33" t="s">
        <v>570</v>
      </c>
      <c r="C343" s="33" t="s">
        <v>560</v>
      </c>
      <c r="D343" s="33" t="s">
        <v>568</v>
      </c>
      <c r="E343" s="33" t="s">
        <v>225</v>
      </c>
      <c r="F343" s="34" t="s">
        <v>127</v>
      </c>
      <c r="G343" s="51"/>
      <c r="H343" s="27"/>
    </row>
    <row r="344" spans="1:8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764</v>
      </c>
      <c r="F344" s="34" t="s">
        <v>167</v>
      </c>
      <c r="G344" s="51"/>
      <c r="H344" s="27"/>
    </row>
    <row r="345" spans="1:8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787</v>
      </c>
      <c r="F345" s="34" t="s">
        <v>99</v>
      </c>
      <c r="G345" s="51"/>
      <c r="H345" s="27"/>
    </row>
    <row r="346" spans="1:8" ht="24.9" hidden="1" customHeight="1" x14ac:dyDescent="0.3">
      <c r="A346" s="32" t="s">
        <v>546</v>
      </c>
      <c r="B346" s="33" t="s">
        <v>576</v>
      </c>
      <c r="C346" s="33" t="s">
        <v>560</v>
      </c>
      <c r="D346" s="33" t="s">
        <v>574</v>
      </c>
      <c r="E346" s="33" t="s">
        <v>566</v>
      </c>
      <c r="F346" s="34" t="s">
        <v>127</v>
      </c>
      <c r="G346" s="51"/>
      <c r="H346" s="27"/>
    </row>
    <row r="347" spans="1:8" ht="24.9" hidden="1" customHeight="1" x14ac:dyDescent="0.3">
      <c r="A347" s="32" t="s">
        <v>546</v>
      </c>
      <c r="B347" s="33" t="s">
        <v>576</v>
      </c>
      <c r="C347" s="33" t="s">
        <v>560</v>
      </c>
      <c r="D347" s="33" t="s">
        <v>574</v>
      </c>
      <c r="E347" s="33" t="s">
        <v>225</v>
      </c>
      <c r="F347" s="34" t="s">
        <v>127</v>
      </c>
      <c r="G347" s="51"/>
      <c r="H347" s="27"/>
    </row>
    <row r="348" spans="1:8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586</v>
      </c>
      <c r="F348" s="34" t="s">
        <v>99</v>
      </c>
      <c r="G348" s="51"/>
      <c r="H348" s="27"/>
    </row>
    <row r="349" spans="1:8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788</v>
      </c>
      <c r="F349" s="34" t="s">
        <v>99</v>
      </c>
      <c r="G349" s="51"/>
      <c r="H349" s="27"/>
    </row>
    <row r="350" spans="1:8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588</v>
      </c>
      <c r="F350" s="34" t="s">
        <v>99</v>
      </c>
      <c r="G350" s="51"/>
      <c r="H350" s="27"/>
    </row>
    <row r="351" spans="1:8" ht="24.9" hidden="1" customHeight="1" x14ac:dyDescent="0.3">
      <c r="A351" s="32" t="s">
        <v>546</v>
      </c>
      <c r="B351" s="33" t="s">
        <v>595</v>
      </c>
      <c r="C351" s="33" t="s">
        <v>548</v>
      </c>
      <c r="D351" s="33" t="s">
        <v>585</v>
      </c>
      <c r="E351" s="33" t="s">
        <v>587</v>
      </c>
      <c r="F351" s="34" t="s">
        <v>127</v>
      </c>
      <c r="G351" s="51"/>
      <c r="H351" s="27"/>
    </row>
    <row r="352" spans="1:8" ht="24.9" hidden="1" customHeight="1" x14ac:dyDescent="0.3">
      <c r="A352" s="32" t="s">
        <v>546</v>
      </c>
      <c r="B352" s="33" t="s">
        <v>595</v>
      </c>
      <c r="C352" s="33" t="s">
        <v>548</v>
      </c>
      <c r="D352" s="33" t="s">
        <v>585</v>
      </c>
      <c r="E352" s="33" t="s">
        <v>590</v>
      </c>
      <c r="F352" s="34" t="s">
        <v>127</v>
      </c>
      <c r="G352" s="51"/>
      <c r="H352" s="27"/>
    </row>
    <row r="353" spans="1:8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225</v>
      </c>
      <c r="F353" s="34" t="s">
        <v>167</v>
      </c>
      <c r="G353" s="51"/>
      <c r="H353" s="27"/>
    </row>
    <row r="354" spans="1:8" ht="24.9" hidden="1" customHeight="1" x14ac:dyDescent="0.3">
      <c r="A354" s="32" t="s">
        <v>546</v>
      </c>
      <c r="B354" s="33" t="s">
        <v>547</v>
      </c>
      <c r="C354" s="33" t="s">
        <v>548</v>
      </c>
      <c r="D354" s="33" t="s">
        <v>549</v>
      </c>
      <c r="E354" s="33" t="s">
        <v>577</v>
      </c>
      <c r="F354" s="34" t="s">
        <v>167</v>
      </c>
      <c r="G354" s="51"/>
      <c r="H354" s="27"/>
    </row>
    <row r="355" spans="1:8" ht="24.9" hidden="1" customHeight="1" x14ac:dyDescent="0.3">
      <c r="A355" s="32" t="s">
        <v>546</v>
      </c>
      <c r="B355" s="33" t="s">
        <v>547</v>
      </c>
      <c r="C355" s="33" t="s">
        <v>548</v>
      </c>
      <c r="D355" s="33" t="s">
        <v>549</v>
      </c>
      <c r="E355" s="33" t="s">
        <v>578</v>
      </c>
      <c r="F355" s="34" t="s">
        <v>127</v>
      </c>
      <c r="G355" s="51"/>
      <c r="H355" s="27"/>
    </row>
    <row r="356" spans="1:8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764</v>
      </c>
      <c r="F356" s="34" t="s">
        <v>167</v>
      </c>
      <c r="G356" s="40"/>
      <c r="H356" s="27"/>
    </row>
    <row r="357" spans="1:8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787</v>
      </c>
      <c r="F357" s="34" t="s">
        <v>99</v>
      </c>
      <c r="G357" s="40"/>
      <c r="H357" s="27"/>
    </row>
    <row r="358" spans="1:8" ht="24.9" hidden="1" customHeight="1" x14ac:dyDescent="0.3">
      <c r="A358" s="32" t="s">
        <v>546</v>
      </c>
      <c r="B358" s="33" t="s">
        <v>564</v>
      </c>
      <c r="C358" s="33" t="s">
        <v>548</v>
      </c>
      <c r="D358" s="33" t="s">
        <v>565</v>
      </c>
      <c r="E358" s="33" t="s">
        <v>566</v>
      </c>
      <c r="F358" s="34" t="s">
        <v>127</v>
      </c>
      <c r="G358" s="40"/>
      <c r="H358" s="27"/>
    </row>
    <row r="359" spans="1:8" ht="24.9" hidden="1" customHeight="1" x14ac:dyDescent="0.3">
      <c r="A359" s="32" t="s">
        <v>546</v>
      </c>
      <c r="B359" s="33" t="s">
        <v>564</v>
      </c>
      <c r="C359" s="33" t="s">
        <v>548</v>
      </c>
      <c r="D359" s="33" t="s">
        <v>565</v>
      </c>
      <c r="E359" s="33" t="s">
        <v>225</v>
      </c>
      <c r="F359" s="34" t="s">
        <v>127</v>
      </c>
      <c r="G359" s="40"/>
      <c r="H359" s="27"/>
    </row>
    <row r="360" spans="1:8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764</v>
      </c>
      <c r="F360" s="34" t="s">
        <v>167</v>
      </c>
      <c r="G360" s="40"/>
      <c r="H360" s="27"/>
    </row>
    <row r="361" spans="1:8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787</v>
      </c>
      <c r="F361" s="34" t="s">
        <v>99</v>
      </c>
      <c r="G361" s="40"/>
      <c r="H361" s="27"/>
    </row>
    <row r="362" spans="1:8" ht="24.9" hidden="1" customHeight="1" x14ac:dyDescent="0.3">
      <c r="A362" s="32" t="s">
        <v>546</v>
      </c>
      <c r="B362" s="33" t="s">
        <v>571</v>
      </c>
      <c r="C362" s="33" t="s">
        <v>548</v>
      </c>
      <c r="D362" s="33" t="s">
        <v>572</v>
      </c>
      <c r="E362" s="33" t="s">
        <v>566</v>
      </c>
      <c r="F362" s="34" t="s">
        <v>127</v>
      </c>
      <c r="G362" s="40"/>
      <c r="H362" s="27"/>
    </row>
    <row r="363" spans="1:8" ht="24.9" hidden="1" customHeight="1" x14ac:dyDescent="0.3">
      <c r="A363" s="32" t="s">
        <v>546</v>
      </c>
      <c r="B363" s="33" t="s">
        <v>571</v>
      </c>
      <c r="C363" s="33" t="s">
        <v>548</v>
      </c>
      <c r="D363" s="33" t="s">
        <v>572</v>
      </c>
      <c r="E363" s="33" t="s">
        <v>225</v>
      </c>
      <c r="F363" s="34" t="s">
        <v>127</v>
      </c>
      <c r="G363" s="40"/>
      <c r="H363" s="27"/>
    </row>
    <row r="364" spans="1:8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626</v>
      </c>
      <c r="F364" s="34" t="s">
        <v>99</v>
      </c>
      <c r="G364" s="40"/>
      <c r="H364" s="27"/>
    </row>
    <row r="365" spans="1:8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790</v>
      </c>
      <c r="F365" s="34" t="s">
        <v>99</v>
      </c>
      <c r="G365" s="40"/>
      <c r="H365" s="27"/>
    </row>
    <row r="366" spans="1:8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628</v>
      </c>
      <c r="F366" s="34" t="s">
        <v>99</v>
      </c>
      <c r="G366" s="40"/>
      <c r="H366" s="27"/>
    </row>
    <row r="367" spans="1:8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632</v>
      </c>
      <c r="F367" s="34" t="s">
        <v>99</v>
      </c>
      <c r="G367" s="40"/>
      <c r="H367" s="27"/>
    </row>
    <row r="368" spans="1:8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792</v>
      </c>
      <c r="F368" s="34" t="s">
        <v>99</v>
      </c>
      <c r="G368" s="40"/>
      <c r="H368" s="27"/>
    </row>
    <row r="369" spans="1:8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588</v>
      </c>
      <c r="F369" s="34" t="s">
        <v>99</v>
      </c>
      <c r="G369" s="40"/>
      <c r="H369" s="27"/>
    </row>
    <row r="370" spans="1:8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633</v>
      </c>
      <c r="F370" s="34" t="s">
        <v>99</v>
      </c>
      <c r="G370" s="40"/>
      <c r="H370" s="27"/>
    </row>
    <row r="371" spans="1:8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634</v>
      </c>
      <c r="F371" s="34" t="s">
        <v>99</v>
      </c>
      <c r="G371" s="40"/>
      <c r="H371" s="27"/>
    </row>
    <row r="372" spans="1:8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627</v>
      </c>
      <c r="F372" s="34" t="s">
        <v>127</v>
      </c>
      <c r="G372" s="40"/>
      <c r="H372" s="27"/>
    </row>
    <row r="373" spans="1:8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629</v>
      </c>
      <c r="F373" s="34" t="s">
        <v>127</v>
      </c>
      <c r="G373" s="40"/>
      <c r="H373" s="27"/>
    </row>
    <row r="374" spans="1:8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630</v>
      </c>
      <c r="F374" s="34" t="s">
        <v>127</v>
      </c>
      <c r="G374" s="40"/>
      <c r="H374" s="27"/>
    </row>
    <row r="375" spans="1:8" ht="24.9" hidden="1" customHeight="1" x14ac:dyDescent="0.3">
      <c r="A375" s="32" t="s">
        <v>599</v>
      </c>
      <c r="B375" s="33" t="s">
        <v>624</v>
      </c>
      <c r="C375" s="33" t="s">
        <v>551</v>
      </c>
      <c r="D375" s="33" t="s">
        <v>625</v>
      </c>
      <c r="E375" s="33" t="s">
        <v>631</v>
      </c>
      <c r="F375" s="34" t="s">
        <v>127</v>
      </c>
      <c r="G375" s="40"/>
      <c r="H375" s="27"/>
    </row>
    <row r="376" spans="1:8" ht="24.9" hidden="1" customHeight="1" x14ac:dyDescent="0.3">
      <c r="A376" s="32" t="s">
        <v>599</v>
      </c>
      <c r="B376" s="33" t="s">
        <v>624</v>
      </c>
      <c r="C376" s="33" t="s">
        <v>551</v>
      </c>
      <c r="D376" s="33" t="s">
        <v>625</v>
      </c>
      <c r="E376" s="33" t="s">
        <v>791</v>
      </c>
      <c r="F376" s="34" t="s">
        <v>127</v>
      </c>
      <c r="G376" s="40"/>
      <c r="H376" s="27"/>
    </row>
    <row r="377" spans="1:8" ht="24.9" hidden="1" customHeight="1" x14ac:dyDescent="0.3">
      <c r="A377" s="32" t="s">
        <v>599</v>
      </c>
      <c r="B377" s="33" t="s">
        <v>640</v>
      </c>
      <c r="C377" s="33" t="s">
        <v>551</v>
      </c>
      <c r="D377" s="33" t="s">
        <v>641</v>
      </c>
      <c r="E377" s="33" t="s">
        <v>642</v>
      </c>
      <c r="F377" s="34" t="s">
        <v>99</v>
      </c>
      <c r="G377" s="40"/>
      <c r="H377" s="27"/>
    </row>
    <row r="378" spans="1:8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789</v>
      </c>
      <c r="F378" s="34" t="s">
        <v>99</v>
      </c>
      <c r="G378" s="40"/>
      <c r="H378" s="27"/>
    </row>
    <row r="379" spans="1:8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617</v>
      </c>
      <c r="F379" s="34" t="s">
        <v>99</v>
      </c>
      <c r="G379" s="40"/>
      <c r="H379" s="27"/>
    </row>
    <row r="380" spans="1:8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618</v>
      </c>
      <c r="F380" s="34" t="s">
        <v>99</v>
      </c>
      <c r="G380" s="40"/>
      <c r="H380" s="27"/>
    </row>
    <row r="381" spans="1:8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619</v>
      </c>
      <c r="F381" s="34" t="s">
        <v>99</v>
      </c>
      <c r="G381" s="40"/>
      <c r="H381" s="27"/>
    </row>
    <row r="382" spans="1:8" ht="24.9" hidden="1" customHeight="1" x14ac:dyDescent="0.3">
      <c r="A382" s="32" t="s">
        <v>599</v>
      </c>
      <c r="B382" s="33" t="s">
        <v>611</v>
      </c>
      <c r="C382" s="33" t="s">
        <v>551</v>
      </c>
      <c r="D382" s="33" t="s">
        <v>601</v>
      </c>
      <c r="E382" s="33" t="s">
        <v>602</v>
      </c>
      <c r="F382" s="34" t="s">
        <v>127</v>
      </c>
      <c r="G382" s="40"/>
      <c r="H382" s="27"/>
    </row>
    <row r="383" spans="1:8" ht="24.9" hidden="1" customHeight="1" x14ac:dyDescent="0.3">
      <c r="A383" s="32" t="s">
        <v>599</v>
      </c>
      <c r="B383" s="33" t="s">
        <v>611</v>
      </c>
      <c r="C383" s="33" t="s">
        <v>551</v>
      </c>
      <c r="D383" s="33" t="s">
        <v>601</v>
      </c>
      <c r="E383" s="33" t="s">
        <v>793</v>
      </c>
      <c r="F383" s="34" t="s">
        <v>127</v>
      </c>
      <c r="G383" s="40"/>
      <c r="H383" s="27"/>
    </row>
    <row r="384" spans="1:8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626</v>
      </c>
      <c r="F384" s="34" t="s">
        <v>99</v>
      </c>
      <c r="G384" s="40"/>
      <c r="H384" s="27"/>
    </row>
    <row r="385" spans="1:8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790</v>
      </c>
      <c r="F385" s="34" t="s">
        <v>99</v>
      </c>
      <c r="G385" s="40"/>
      <c r="H385" s="27"/>
    </row>
    <row r="386" spans="1:8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628</v>
      </c>
      <c r="F386" s="34" t="s">
        <v>99</v>
      </c>
      <c r="G386" s="40"/>
      <c r="H386" s="27"/>
    </row>
    <row r="387" spans="1:8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632</v>
      </c>
      <c r="F387" s="34" t="s">
        <v>99</v>
      </c>
      <c r="G387" s="40"/>
      <c r="H387" s="27"/>
    </row>
    <row r="388" spans="1:8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792</v>
      </c>
      <c r="F388" s="34" t="s">
        <v>99</v>
      </c>
      <c r="G388" s="40"/>
      <c r="H388" s="27"/>
    </row>
    <row r="389" spans="1:8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588</v>
      </c>
      <c r="F389" s="34" t="s">
        <v>99</v>
      </c>
      <c r="G389" s="40"/>
      <c r="H389" s="27"/>
    </row>
    <row r="390" spans="1:8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633</v>
      </c>
      <c r="F390" s="34" t="s">
        <v>99</v>
      </c>
      <c r="G390" s="40"/>
      <c r="H390" s="27"/>
    </row>
    <row r="391" spans="1:8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634</v>
      </c>
      <c r="F391" s="34" t="s">
        <v>99</v>
      </c>
      <c r="G391" s="40"/>
      <c r="H391" s="27"/>
    </row>
    <row r="392" spans="1:8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627</v>
      </c>
      <c r="F392" s="34" t="s">
        <v>127</v>
      </c>
      <c r="G392" s="40"/>
      <c r="H392" s="27"/>
    </row>
    <row r="393" spans="1:8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629</v>
      </c>
      <c r="F393" s="34" t="s">
        <v>127</v>
      </c>
      <c r="G393" s="40"/>
      <c r="H393" s="27"/>
    </row>
    <row r="394" spans="1:8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630</v>
      </c>
      <c r="F394" s="34" t="s">
        <v>127</v>
      </c>
      <c r="G394" s="40"/>
      <c r="H394" s="27"/>
    </row>
    <row r="395" spans="1:8" ht="24.9" hidden="1" customHeight="1" x14ac:dyDescent="0.3">
      <c r="A395" s="32" t="s">
        <v>599</v>
      </c>
      <c r="B395" s="33" t="s">
        <v>635</v>
      </c>
      <c r="C395" s="33" t="s">
        <v>554</v>
      </c>
      <c r="D395" s="33" t="s">
        <v>625</v>
      </c>
      <c r="E395" s="33" t="s">
        <v>631</v>
      </c>
      <c r="F395" s="34" t="s">
        <v>127</v>
      </c>
      <c r="G395" s="40"/>
      <c r="H395" s="27"/>
    </row>
    <row r="396" spans="1:8" ht="24.9" hidden="1" customHeight="1" x14ac:dyDescent="0.3">
      <c r="A396" s="32" t="s">
        <v>599</v>
      </c>
      <c r="B396" s="33" t="s">
        <v>635</v>
      </c>
      <c r="C396" s="33" t="s">
        <v>554</v>
      </c>
      <c r="D396" s="33" t="s">
        <v>625</v>
      </c>
      <c r="E396" s="33" t="s">
        <v>791</v>
      </c>
      <c r="F396" s="34" t="s">
        <v>127</v>
      </c>
      <c r="G396" s="40"/>
      <c r="H396" s="27"/>
    </row>
    <row r="397" spans="1:8" ht="24.9" hidden="1" customHeight="1" x14ac:dyDescent="0.3">
      <c r="A397" s="32" t="s">
        <v>599</v>
      </c>
      <c r="B397" s="33" t="s">
        <v>643</v>
      </c>
      <c r="C397" s="33" t="s">
        <v>554</v>
      </c>
      <c r="D397" s="33" t="s">
        <v>641</v>
      </c>
      <c r="E397" s="33" t="s">
        <v>642</v>
      </c>
      <c r="F397" s="34" t="s">
        <v>99</v>
      </c>
      <c r="G397" s="40"/>
      <c r="H397" s="27"/>
    </row>
    <row r="398" spans="1:8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789</v>
      </c>
      <c r="F398" s="34" t="s">
        <v>99</v>
      </c>
      <c r="G398" s="40"/>
      <c r="H398" s="27"/>
    </row>
    <row r="399" spans="1:8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617</v>
      </c>
      <c r="F399" s="34" t="s">
        <v>99</v>
      </c>
      <c r="G399" s="40"/>
      <c r="H399" s="27"/>
    </row>
    <row r="400" spans="1:8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618</v>
      </c>
      <c r="F400" s="34" t="s">
        <v>99</v>
      </c>
      <c r="G400" s="40"/>
      <c r="H400" s="27"/>
    </row>
    <row r="401" spans="1:8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619</v>
      </c>
      <c r="F401" s="34" t="s">
        <v>99</v>
      </c>
      <c r="G401" s="40"/>
      <c r="H401" s="27"/>
    </row>
    <row r="402" spans="1:8" ht="24.9" hidden="1" customHeight="1" x14ac:dyDescent="0.3">
      <c r="A402" s="32" t="s">
        <v>599</v>
      </c>
      <c r="B402" s="33" t="s">
        <v>613</v>
      </c>
      <c r="C402" s="33" t="s">
        <v>554</v>
      </c>
      <c r="D402" s="33" t="s">
        <v>601</v>
      </c>
      <c r="E402" s="33" t="s">
        <v>602</v>
      </c>
      <c r="F402" s="34" t="s">
        <v>127</v>
      </c>
      <c r="G402" s="40"/>
      <c r="H402" s="27"/>
    </row>
    <row r="403" spans="1:8" ht="24.9" hidden="1" customHeight="1" x14ac:dyDescent="0.3">
      <c r="A403" s="32" t="s">
        <v>599</v>
      </c>
      <c r="B403" s="33" t="s">
        <v>613</v>
      </c>
      <c r="C403" s="33" t="s">
        <v>554</v>
      </c>
      <c r="D403" s="33" t="s">
        <v>601</v>
      </c>
      <c r="E403" s="33" t="s">
        <v>793</v>
      </c>
      <c r="F403" s="34" t="s">
        <v>127</v>
      </c>
      <c r="G403" s="40"/>
      <c r="H403" s="27"/>
    </row>
    <row r="404" spans="1:8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626</v>
      </c>
      <c r="F404" s="34" t="s">
        <v>99</v>
      </c>
      <c r="G404" s="40"/>
      <c r="H404" s="27"/>
    </row>
    <row r="405" spans="1:8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790</v>
      </c>
      <c r="F405" s="34" t="s">
        <v>99</v>
      </c>
      <c r="G405" s="40"/>
      <c r="H405" s="27"/>
    </row>
    <row r="406" spans="1:8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628</v>
      </c>
      <c r="F406" s="34" t="s">
        <v>99</v>
      </c>
      <c r="G406" s="40"/>
      <c r="H406" s="27"/>
    </row>
    <row r="407" spans="1:8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632</v>
      </c>
      <c r="F407" s="34" t="s">
        <v>99</v>
      </c>
      <c r="G407" s="40"/>
      <c r="H407" s="27"/>
    </row>
    <row r="408" spans="1:8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792</v>
      </c>
      <c r="F408" s="34" t="s">
        <v>99</v>
      </c>
      <c r="G408" s="40"/>
      <c r="H408" s="27"/>
    </row>
    <row r="409" spans="1:8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588</v>
      </c>
      <c r="F409" s="34" t="s">
        <v>99</v>
      </c>
      <c r="G409" s="40"/>
      <c r="H409" s="27"/>
    </row>
    <row r="410" spans="1:8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633</v>
      </c>
      <c r="F410" s="34" t="s">
        <v>99</v>
      </c>
      <c r="G410" s="40"/>
      <c r="H410" s="27"/>
    </row>
    <row r="411" spans="1:8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634</v>
      </c>
      <c r="F411" s="34" t="s">
        <v>99</v>
      </c>
      <c r="G411" s="40"/>
      <c r="H411" s="27"/>
    </row>
    <row r="412" spans="1:8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627</v>
      </c>
      <c r="F412" s="34" t="s">
        <v>127</v>
      </c>
      <c r="G412" s="40"/>
      <c r="H412" s="27"/>
    </row>
    <row r="413" spans="1:8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629</v>
      </c>
      <c r="F413" s="34" t="s">
        <v>127</v>
      </c>
      <c r="G413" s="40"/>
      <c r="H413" s="27"/>
    </row>
    <row r="414" spans="1:8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630</v>
      </c>
      <c r="F414" s="34" t="s">
        <v>127</v>
      </c>
      <c r="G414" s="40"/>
      <c r="H414" s="27"/>
    </row>
    <row r="415" spans="1:8" ht="24.9" hidden="1" customHeight="1" x14ac:dyDescent="0.3">
      <c r="A415" s="32" t="s">
        <v>599</v>
      </c>
      <c r="B415" s="33" t="s">
        <v>636</v>
      </c>
      <c r="C415" s="33" t="s">
        <v>556</v>
      </c>
      <c r="D415" s="33" t="s">
        <v>625</v>
      </c>
      <c r="E415" s="33" t="s">
        <v>631</v>
      </c>
      <c r="F415" s="34" t="s">
        <v>127</v>
      </c>
      <c r="G415" s="40"/>
      <c r="H415" s="27"/>
    </row>
    <row r="416" spans="1:8" ht="24.9" hidden="1" customHeight="1" x14ac:dyDescent="0.3">
      <c r="A416" s="32" t="s">
        <v>599</v>
      </c>
      <c r="B416" s="33" t="s">
        <v>636</v>
      </c>
      <c r="C416" s="33" t="s">
        <v>556</v>
      </c>
      <c r="D416" s="33" t="s">
        <v>625</v>
      </c>
      <c r="E416" s="33" t="s">
        <v>791</v>
      </c>
      <c r="F416" s="34" t="s">
        <v>127</v>
      </c>
      <c r="G416" s="40"/>
      <c r="H416" s="27"/>
    </row>
    <row r="417" spans="1:8" ht="24.9" hidden="1" customHeight="1" x14ac:dyDescent="0.3">
      <c r="A417" s="32" t="s">
        <v>599</v>
      </c>
      <c r="B417" s="33" t="s">
        <v>644</v>
      </c>
      <c r="C417" s="33" t="s">
        <v>556</v>
      </c>
      <c r="D417" s="33" t="s">
        <v>641</v>
      </c>
      <c r="E417" s="33" t="s">
        <v>642</v>
      </c>
      <c r="F417" s="34" t="s">
        <v>99</v>
      </c>
      <c r="G417" s="40"/>
      <c r="H417" s="27"/>
    </row>
    <row r="418" spans="1:8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789</v>
      </c>
      <c r="F418" s="34" t="s">
        <v>99</v>
      </c>
      <c r="G418" s="40"/>
      <c r="H418" s="27"/>
    </row>
    <row r="419" spans="1:8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617</v>
      </c>
      <c r="F419" s="34" t="s">
        <v>99</v>
      </c>
      <c r="G419" s="40"/>
      <c r="H419" s="27"/>
    </row>
    <row r="420" spans="1:8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619</v>
      </c>
      <c r="F420" s="34" t="s">
        <v>99</v>
      </c>
      <c r="G420" s="40"/>
      <c r="H420" s="27"/>
    </row>
    <row r="421" spans="1:8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602</v>
      </c>
      <c r="F421" s="34" t="s">
        <v>127</v>
      </c>
      <c r="G421" s="40"/>
      <c r="H421" s="27"/>
    </row>
    <row r="422" spans="1:8" ht="24.9" hidden="1" customHeight="1" x14ac:dyDescent="0.3">
      <c r="A422" s="32" t="s">
        <v>599</v>
      </c>
      <c r="B422" s="33" t="s">
        <v>600</v>
      </c>
      <c r="C422" s="33" t="s">
        <v>556</v>
      </c>
      <c r="D422" s="33" t="s">
        <v>601</v>
      </c>
      <c r="E422" s="33" t="s">
        <v>605</v>
      </c>
      <c r="F422" s="34" t="s">
        <v>127</v>
      </c>
      <c r="G422" s="40"/>
      <c r="H422" s="27"/>
    </row>
    <row r="423" spans="1:8" ht="24.9" hidden="1" customHeight="1" x14ac:dyDescent="0.3">
      <c r="A423" s="32" t="s">
        <v>599</v>
      </c>
      <c r="B423" s="33" t="s">
        <v>600</v>
      </c>
      <c r="C423" s="33" t="s">
        <v>556</v>
      </c>
      <c r="D423" s="33" t="s">
        <v>601</v>
      </c>
      <c r="E423" s="33" t="s">
        <v>793</v>
      </c>
      <c r="F423" s="34" t="s">
        <v>127</v>
      </c>
      <c r="G423" s="40"/>
      <c r="H423" s="27"/>
    </row>
    <row r="424" spans="1:8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626</v>
      </c>
      <c r="F424" s="34" t="s">
        <v>99</v>
      </c>
      <c r="G424" s="40"/>
      <c r="H424" s="27"/>
    </row>
    <row r="425" spans="1:8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790</v>
      </c>
      <c r="F425" s="34" t="s">
        <v>99</v>
      </c>
      <c r="G425" s="40"/>
      <c r="H425" s="27"/>
    </row>
    <row r="426" spans="1:8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628</v>
      </c>
      <c r="F426" s="34" t="s">
        <v>99</v>
      </c>
      <c r="G426" s="40"/>
      <c r="H426" s="27"/>
    </row>
    <row r="427" spans="1:8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632</v>
      </c>
      <c r="F427" s="34" t="s">
        <v>99</v>
      </c>
      <c r="G427" s="40"/>
      <c r="H427" s="27"/>
    </row>
    <row r="428" spans="1:8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792</v>
      </c>
      <c r="F428" s="34" t="s">
        <v>99</v>
      </c>
      <c r="G428" s="40"/>
      <c r="H428" s="27"/>
    </row>
    <row r="429" spans="1:8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588</v>
      </c>
      <c r="F429" s="34" t="s">
        <v>99</v>
      </c>
      <c r="G429" s="40"/>
      <c r="H429" s="27"/>
    </row>
    <row r="430" spans="1:8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633</v>
      </c>
      <c r="F430" s="34" t="s">
        <v>99</v>
      </c>
      <c r="G430" s="40"/>
      <c r="H430" s="27"/>
    </row>
    <row r="431" spans="1:8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634</v>
      </c>
      <c r="F431" s="34" t="s">
        <v>99</v>
      </c>
      <c r="G431" s="40"/>
      <c r="H431" s="27"/>
    </row>
    <row r="432" spans="1:8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627</v>
      </c>
      <c r="F432" s="34" t="s">
        <v>127</v>
      </c>
      <c r="G432" s="40"/>
      <c r="H432" s="27"/>
    </row>
    <row r="433" spans="1:8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629</v>
      </c>
      <c r="F433" s="34" t="s">
        <v>127</v>
      </c>
      <c r="G433" s="40"/>
      <c r="H433" s="27"/>
    </row>
    <row r="434" spans="1:8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630</v>
      </c>
      <c r="F434" s="34" t="s">
        <v>127</v>
      </c>
      <c r="G434" s="40"/>
      <c r="H434" s="27"/>
    </row>
    <row r="435" spans="1:8" ht="24.9" hidden="1" customHeight="1" x14ac:dyDescent="0.3">
      <c r="A435" s="32" t="s">
        <v>599</v>
      </c>
      <c r="B435" s="33" t="s">
        <v>637</v>
      </c>
      <c r="C435" s="33" t="s">
        <v>558</v>
      </c>
      <c r="D435" s="33" t="s">
        <v>625</v>
      </c>
      <c r="E435" s="33" t="s">
        <v>631</v>
      </c>
      <c r="F435" s="34" t="s">
        <v>127</v>
      </c>
      <c r="G435" s="40"/>
      <c r="H435" s="27"/>
    </row>
    <row r="436" spans="1:8" ht="24.9" hidden="1" customHeight="1" x14ac:dyDescent="0.3">
      <c r="A436" s="32" t="s">
        <v>599</v>
      </c>
      <c r="B436" s="33" t="s">
        <v>637</v>
      </c>
      <c r="C436" s="33" t="s">
        <v>558</v>
      </c>
      <c r="D436" s="33" t="s">
        <v>625</v>
      </c>
      <c r="E436" s="33" t="s">
        <v>791</v>
      </c>
      <c r="F436" s="34" t="s">
        <v>127</v>
      </c>
      <c r="G436" s="40"/>
      <c r="H436" s="27"/>
    </row>
    <row r="437" spans="1:8" ht="24.9" hidden="1" customHeight="1" x14ac:dyDescent="0.3">
      <c r="A437" s="32" t="s">
        <v>599</v>
      </c>
      <c r="B437" s="33" t="s">
        <v>645</v>
      </c>
      <c r="C437" s="33" t="s">
        <v>558</v>
      </c>
      <c r="D437" s="33" t="s">
        <v>641</v>
      </c>
      <c r="E437" s="33" t="s">
        <v>642</v>
      </c>
      <c r="F437" s="34" t="s">
        <v>99</v>
      </c>
      <c r="G437" s="40"/>
      <c r="H437" s="27"/>
    </row>
    <row r="438" spans="1:8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789</v>
      </c>
      <c r="F438" s="34" t="s">
        <v>99</v>
      </c>
      <c r="G438" s="40"/>
      <c r="H438" s="27"/>
    </row>
    <row r="439" spans="1:8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617</v>
      </c>
      <c r="F439" s="34" t="s">
        <v>99</v>
      </c>
      <c r="G439" s="40"/>
      <c r="H439" s="27"/>
    </row>
    <row r="440" spans="1:8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618</v>
      </c>
      <c r="F440" s="34" t="s">
        <v>99</v>
      </c>
      <c r="G440" s="40"/>
      <c r="H440" s="27"/>
    </row>
    <row r="441" spans="1:8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619</v>
      </c>
      <c r="F441" s="34" t="s">
        <v>99</v>
      </c>
      <c r="G441" s="40"/>
      <c r="H441" s="27"/>
    </row>
    <row r="442" spans="1:8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602</v>
      </c>
      <c r="F442" s="34" t="s">
        <v>127</v>
      </c>
      <c r="G442" s="40"/>
      <c r="H442" s="27"/>
    </row>
    <row r="443" spans="1:8" ht="24.9" hidden="1" customHeight="1" x14ac:dyDescent="0.3">
      <c r="A443" s="32" t="s">
        <v>599</v>
      </c>
      <c r="B443" s="33" t="s">
        <v>607</v>
      </c>
      <c r="C443" s="33" t="s">
        <v>558</v>
      </c>
      <c r="D443" s="33" t="s">
        <v>601</v>
      </c>
      <c r="E443" s="33" t="s">
        <v>605</v>
      </c>
      <c r="F443" s="34" t="s">
        <v>127</v>
      </c>
      <c r="G443" s="40"/>
      <c r="H443" s="27"/>
    </row>
    <row r="444" spans="1:8" ht="24.9" hidden="1" customHeight="1" x14ac:dyDescent="0.3">
      <c r="A444" s="32" t="s">
        <v>599</v>
      </c>
      <c r="B444" s="33" t="s">
        <v>607</v>
      </c>
      <c r="C444" s="33" t="s">
        <v>558</v>
      </c>
      <c r="D444" s="33" t="s">
        <v>601</v>
      </c>
      <c r="E444" s="33" t="s">
        <v>793</v>
      </c>
      <c r="F444" s="34" t="s">
        <v>127</v>
      </c>
      <c r="G444" s="40"/>
      <c r="H444" s="27"/>
    </row>
    <row r="445" spans="1:8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626</v>
      </c>
      <c r="F445" s="34" t="s">
        <v>99</v>
      </c>
      <c r="G445" s="40"/>
      <c r="H445" s="27"/>
    </row>
    <row r="446" spans="1:8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790</v>
      </c>
      <c r="F446" s="34" t="s">
        <v>99</v>
      </c>
      <c r="G446" s="40"/>
      <c r="H446" s="27"/>
    </row>
    <row r="447" spans="1:8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628</v>
      </c>
      <c r="F447" s="34" t="s">
        <v>99</v>
      </c>
      <c r="G447" s="40"/>
      <c r="H447" s="27"/>
    </row>
    <row r="448" spans="1:8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632</v>
      </c>
      <c r="F448" s="34" t="s">
        <v>99</v>
      </c>
      <c r="G448" s="40"/>
      <c r="H448" s="27"/>
    </row>
    <row r="449" spans="1:8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792</v>
      </c>
      <c r="F449" s="34" t="s">
        <v>99</v>
      </c>
      <c r="G449" s="40"/>
      <c r="H449" s="27"/>
    </row>
    <row r="450" spans="1:8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588</v>
      </c>
      <c r="F450" s="34" t="s">
        <v>99</v>
      </c>
      <c r="G450" s="40"/>
      <c r="H450" s="27"/>
    </row>
    <row r="451" spans="1:8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633</v>
      </c>
      <c r="F451" s="34" t="s">
        <v>99</v>
      </c>
      <c r="G451" s="40"/>
      <c r="H451" s="27"/>
    </row>
    <row r="452" spans="1:8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634</v>
      </c>
      <c r="F452" s="34" t="s">
        <v>99</v>
      </c>
      <c r="G452" s="40"/>
      <c r="H452" s="27"/>
    </row>
    <row r="453" spans="1:8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627</v>
      </c>
      <c r="F453" s="34" t="s">
        <v>127</v>
      </c>
      <c r="G453" s="40"/>
      <c r="H453" s="27"/>
    </row>
    <row r="454" spans="1:8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629</v>
      </c>
      <c r="F454" s="34" t="s">
        <v>127</v>
      </c>
      <c r="G454" s="40"/>
      <c r="H454" s="27"/>
    </row>
    <row r="455" spans="1:8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617</v>
      </c>
      <c r="F455" s="34" t="s">
        <v>127</v>
      </c>
      <c r="G455" s="40"/>
      <c r="H455" s="27"/>
    </row>
    <row r="456" spans="1:8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630</v>
      </c>
      <c r="F456" s="34" t="s">
        <v>127</v>
      </c>
      <c r="G456" s="40"/>
      <c r="H456" s="27"/>
    </row>
    <row r="457" spans="1:8" ht="24.9" hidden="1" customHeight="1" x14ac:dyDescent="0.3">
      <c r="A457" s="32" t="s">
        <v>599</v>
      </c>
      <c r="B457" s="33" t="s">
        <v>638</v>
      </c>
      <c r="C457" s="33" t="s">
        <v>560</v>
      </c>
      <c r="D457" s="33" t="s">
        <v>625</v>
      </c>
      <c r="E457" s="33" t="s">
        <v>631</v>
      </c>
      <c r="F457" s="34" t="s">
        <v>127</v>
      </c>
      <c r="G457" s="40"/>
      <c r="H457" s="27"/>
    </row>
    <row r="458" spans="1:8" ht="24.9" hidden="1" customHeight="1" x14ac:dyDescent="0.3">
      <c r="A458" s="32" t="s">
        <v>599</v>
      </c>
      <c r="B458" s="33" t="s">
        <v>638</v>
      </c>
      <c r="C458" s="33" t="s">
        <v>560</v>
      </c>
      <c r="D458" s="33" t="s">
        <v>625</v>
      </c>
      <c r="E458" s="33" t="s">
        <v>791</v>
      </c>
      <c r="F458" s="34" t="s">
        <v>127</v>
      </c>
      <c r="G458" s="40"/>
      <c r="H458" s="27"/>
    </row>
    <row r="459" spans="1:8" ht="24.9" hidden="1" customHeight="1" x14ac:dyDescent="0.3">
      <c r="A459" s="32" t="s">
        <v>599</v>
      </c>
      <c r="B459" s="33" t="s">
        <v>646</v>
      </c>
      <c r="C459" s="33" t="s">
        <v>560</v>
      </c>
      <c r="D459" s="33" t="s">
        <v>641</v>
      </c>
      <c r="E459" s="33" t="s">
        <v>642</v>
      </c>
      <c r="F459" s="34" t="s">
        <v>99</v>
      </c>
      <c r="G459" s="40"/>
      <c r="H459" s="27"/>
    </row>
    <row r="460" spans="1:8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789</v>
      </c>
      <c r="F460" s="34" t="s">
        <v>99</v>
      </c>
      <c r="G460" s="40"/>
      <c r="H460" s="27"/>
    </row>
    <row r="461" spans="1:8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617</v>
      </c>
      <c r="F461" s="34" t="s">
        <v>99</v>
      </c>
      <c r="G461" s="40"/>
      <c r="H461" s="27"/>
    </row>
    <row r="462" spans="1:8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618</v>
      </c>
      <c r="F462" s="34" t="s">
        <v>99</v>
      </c>
      <c r="G462" s="40"/>
      <c r="H462" s="27"/>
    </row>
    <row r="463" spans="1:8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619</v>
      </c>
      <c r="F463" s="34" t="s">
        <v>99</v>
      </c>
      <c r="G463" s="40"/>
      <c r="H463" s="27"/>
    </row>
    <row r="464" spans="1:8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602</v>
      </c>
      <c r="F464" s="34" t="s">
        <v>127</v>
      </c>
      <c r="G464" s="40"/>
      <c r="H464" s="27"/>
    </row>
    <row r="465" spans="1:8" ht="24.9" hidden="1" customHeight="1" x14ac:dyDescent="0.3">
      <c r="A465" s="32" t="s">
        <v>599</v>
      </c>
      <c r="B465" s="33" t="s">
        <v>608</v>
      </c>
      <c r="C465" s="33" t="s">
        <v>560</v>
      </c>
      <c r="D465" s="33" t="s">
        <v>601</v>
      </c>
      <c r="E465" s="33" t="s">
        <v>605</v>
      </c>
      <c r="F465" s="34" t="s">
        <v>127</v>
      </c>
      <c r="G465" s="40"/>
      <c r="H465" s="27"/>
    </row>
    <row r="466" spans="1:8" ht="24.9" hidden="1" customHeight="1" x14ac:dyDescent="0.3">
      <c r="A466" s="32" t="s">
        <v>599</v>
      </c>
      <c r="B466" s="33" t="s">
        <v>608</v>
      </c>
      <c r="C466" s="33" t="s">
        <v>560</v>
      </c>
      <c r="D466" s="33" t="s">
        <v>601</v>
      </c>
      <c r="E466" s="33" t="s">
        <v>793</v>
      </c>
      <c r="F466" s="34" t="s">
        <v>127</v>
      </c>
      <c r="G466" s="40"/>
      <c r="H466" s="27"/>
    </row>
    <row r="467" spans="1:8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626</v>
      </c>
      <c r="F467" s="34" t="s">
        <v>99</v>
      </c>
      <c r="G467" s="40"/>
      <c r="H467" s="27"/>
    </row>
    <row r="468" spans="1:8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790</v>
      </c>
      <c r="F468" s="34" t="s">
        <v>99</v>
      </c>
      <c r="G468" s="40"/>
      <c r="H468" s="27"/>
    </row>
    <row r="469" spans="1:8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628</v>
      </c>
      <c r="F469" s="34" t="s">
        <v>99</v>
      </c>
      <c r="G469" s="40"/>
      <c r="H469" s="27"/>
    </row>
    <row r="470" spans="1:8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632</v>
      </c>
      <c r="F470" s="34" t="s">
        <v>99</v>
      </c>
      <c r="G470" s="40"/>
      <c r="H470" s="27"/>
    </row>
    <row r="471" spans="1:8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792</v>
      </c>
      <c r="F471" s="34" t="s">
        <v>99</v>
      </c>
      <c r="G471" s="40"/>
      <c r="H471" s="27"/>
    </row>
    <row r="472" spans="1:8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588</v>
      </c>
      <c r="F472" s="34" t="s">
        <v>99</v>
      </c>
      <c r="G472" s="40"/>
      <c r="H472" s="27"/>
    </row>
    <row r="473" spans="1:8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633</v>
      </c>
      <c r="F473" s="34" t="s">
        <v>99</v>
      </c>
      <c r="G473" s="40"/>
      <c r="H473" s="27"/>
    </row>
    <row r="474" spans="1:8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634</v>
      </c>
      <c r="F474" s="34" t="s">
        <v>99</v>
      </c>
      <c r="G474" s="40"/>
      <c r="H474" s="27"/>
    </row>
    <row r="475" spans="1:8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627</v>
      </c>
      <c r="F475" s="34" t="s">
        <v>127</v>
      </c>
      <c r="G475" s="40"/>
      <c r="H475" s="27"/>
    </row>
    <row r="476" spans="1:8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629</v>
      </c>
      <c r="F476" s="34" t="s">
        <v>127</v>
      </c>
      <c r="G476" s="40"/>
      <c r="H476" s="27"/>
    </row>
    <row r="477" spans="1:8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630</v>
      </c>
      <c r="F477" s="34" t="s">
        <v>127</v>
      </c>
      <c r="G477" s="40"/>
      <c r="H477" s="27"/>
    </row>
    <row r="478" spans="1:8" ht="24.9" hidden="1" customHeight="1" x14ac:dyDescent="0.3">
      <c r="A478" s="32" t="s">
        <v>599</v>
      </c>
      <c r="B478" s="33" t="s">
        <v>639</v>
      </c>
      <c r="C478" s="33" t="s">
        <v>548</v>
      </c>
      <c r="D478" s="33" t="s">
        <v>625</v>
      </c>
      <c r="E478" s="33" t="s">
        <v>631</v>
      </c>
      <c r="F478" s="34" t="s">
        <v>127</v>
      </c>
      <c r="G478" s="40"/>
      <c r="H478" s="27"/>
    </row>
    <row r="479" spans="1:8" ht="24.9" hidden="1" customHeight="1" x14ac:dyDescent="0.3">
      <c r="A479" s="32" t="s">
        <v>599</v>
      </c>
      <c r="B479" s="33" t="s">
        <v>639</v>
      </c>
      <c r="C479" s="33" t="s">
        <v>548</v>
      </c>
      <c r="D479" s="33" t="s">
        <v>625</v>
      </c>
      <c r="E479" s="33" t="s">
        <v>791</v>
      </c>
      <c r="F479" s="34" t="s">
        <v>127</v>
      </c>
      <c r="G479" s="40"/>
      <c r="H479" s="27"/>
    </row>
    <row r="480" spans="1:8" ht="24.9" hidden="1" customHeight="1" x14ac:dyDescent="0.3">
      <c r="A480" s="32" t="s">
        <v>599</v>
      </c>
      <c r="B480" s="33" t="s">
        <v>647</v>
      </c>
      <c r="C480" s="33" t="s">
        <v>548</v>
      </c>
      <c r="D480" s="33" t="s">
        <v>641</v>
      </c>
      <c r="E480" s="33" t="s">
        <v>642</v>
      </c>
      <c r="F480" s="34" t="s">
        <v>99</v>
      </c>
      <c r="G480" s="40"/>
      <c r="H480" s="27"/>
    </row>
    <row r="481" spans="1:8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789</v>
      </c>
      <c r="F481" s="34" t="s">
        <v>99</v>
      </c>
      <c r="G481" s="40"/>
      <c r="H481" s="27"/>
    </row>
    <row r="482" spans="1:8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601</v>
      </c>
      <c r="E482" s="33" t="s">
        <v>617</v>
      </c>
      <c r="F482" s="34" t="s">
        <v>99</v>
      </c>
      <c r="G482" s="40"/>
      <c r="H482" s="27"/>
    </row>
    <row r="483" spans="1:8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618</v>
      </c>
      <c r="F483" s="34" t="s">
        <v>99</v>
      </c>
      <c r="G483" s="40"/>
      <c r="H483" s="27"/>
    </row>
    <row r="484" spans="1:8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619</v>
      </c>
      <c r="F484" s="34" t="s">
        <v>99</v>
      </c>
      <c r="G484" s="40"/>
      <c r="H484" s="27"/>
    </row>
    <row r="485" spans="1:8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602</v>
      </c>
      <c r="F485" s="34" t="s">
        <v>127</v>
      </c>
      <c r="G485" s="40"/>
      <c r="H485" s="27"/>
    </row>
    <row r="486" spans="1:8" ht="24.9" hidden="1" customHeight="1" x14ac:dyDescent="0.3">
      <c r="A486" s="32" t="s">
        <v>599</v>
      </c>
      <c r="B486" s="33" t="s">
        <v>609</v>
      </c>
      <c r="C486" s="33" t="s">
        <v>548</v>
      </c>
      <c r="D486" s="33" t="s">
        <v>610</v>
      </c>
      <c r="E486" s="33" t="s">
        <v>605</v>
      </c>
      <c r="F486" s="34" t="s">
        <v>127</v>
      </c>
      <c r="G486" s="40"/>
      <c r="H486" s="27"/>
    </row>
    <row r="487" spans="1:8" ht="24.9" hidden="1" customHeight="1" x14ac:dyDescent="0.3">
      <c r="A487" s="32" t="s">
        <v>599</v>
      </c>
      <c r="B487" s="33" t="s">
        <v>609</v>
      </c>
      <c r="C487" s="33" t="s">
        <v>548</v>
      </c>
      <c r="D487" s="33" t="s">
        <v>610</v>
      </c>
      <c r="E487" s="33" t="s">
        <v>793</v>
      </c>
      <c r="F487" s="34" t="s">
        <v>127</v>
      </c>
      <c r="G487" s="40"/>
      <c r="H487" s="27"/>
    </row>
    <row r="488" spans="1:8" ht="24.9" hidden="1" customHeight="1" x14ac:dyDescent="0.3">
      <c r="A488" s="32" t="s">
        <v>599</v>
      </c>
      <c r="B488" s="33" t="s">
        <v>614</v>
      </c>
      <c r="C488" s="33" t="s">
        <v>615</v>
      </c>
      <c r="D488" s="33" t="s">
        <v>848</v>
      </c>
      <c r="E488" s="33" t="s">
        <v>243</v>
      </c>
      <c r="F488" s="34" t="s">
        <v>127</v>
      </c>
      <c r="G488" s="40"/>
      <c r="H488" s="27"/>
    </row>
    <row r="489" spans="1:8" ht="24.9" hidden="1" customHeight="1" x14ac:dyDescent="0.3">
      <c r="A489" s="32" t="s">
        <v>599</v>
      </c>
      <c r="B489" s="33" t="s">
        <v>620</v>
      </c>
      <c r="C489" s="33" t="s">
        <v>615</v>
      </c>
      <c r="D489" s="33" t="s">
        <v>849</v>
      </c>
      <c r="E489" s="33" t="s">
        <v>622</v>
      </c>
      <c r="F489" s="34" t="s">
        <v>127</v>
      </c>
      <c r="G489" s="40"/>
      <c r="H489" s="27"/>
    </row>
    <row r="490" spans="1:8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849</v>
      </c>
      <c r="E490" s="33" t="s">
        <v>623</v>
      </c>
      <c r="F490" s="34" t="s">
        <v>127</v>
      </c>
      <c r="G490" s="40"/>
      <c r="H490" s="27"/>
    </row>
    <row r="491" spans="1:8" ht="24.9" hidden="1" customHeight="1" x14ac:dyDescent="0.3">
      <c r="A491" s="32" t="s">
        <v>599</v>
      </c>
      <c r="B491" s="33" t="s">
        <v>847</v>
      </c>
      <c r="C491" s="33" t="s">
        <v>615</v>
      </c>
      <c r="D491" s="33" t="s">
        <v>616</v>
      </c>
      <c r="E491" s="33" t="s">
        <v>243</v>
      </c>
      <c r="F491" s="34" t="s">
        <v>127</v>
      </c>
      <c r="G491" s="40"/>
      <c r="H491" s="27"/>
    </row>
    <row r="492" spans="1:8" ht="24.9" hidden="1" customHeight="1" x14ac:dyDescent="0.3">
      <c r="A492" s="32" t="s">
        <v>599</v>
      </c>
      <c r="B492" s="33" t="s">
        <v>620</v>
      </c>
      <c r="C492" s="33" t="s">
        <v>615</v>
      </c>
      <c r="D492" s="33" t="s">
        <v>621</v>
      </c>
      <c r="E492" s="33" t="s">
        <v>622</v>
      </c>
      <c r="F492" s="34" t="s">
        <v>127</v>
      </c>
      <c r="G492" s="40"/>
      <c r="H492" s="27"/>
    </row>
    <row r="493" spans="1:8" ht="24.9" hidden="1" customHeight="1" x14ac:dyDescent="0.3">
      <c r="A493" s="32" t="s">
        <v>599</v>
      </c>
      <c r="B493" s="33" t="s">
        <v>620</v>
      </c>
      <c r="C493" s="33" t="s">
        <v>615</v>
      </c>
      <c r="D493" s="33" t="s">
        <v>621</v>
      </c>
      <c r="E493" s="33" t="s">
        <v>623</v>
      </c>
      <c r="F493" s="34" t="s">
        <v>127</v>
      </c>
      <c r="G493" s="40"/>
      <c r="H493" s="27"/>
    </row>
    <row r="494" spans="1:8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173</v>
      </c>
      <c r="F494" s="34" t="s">
        <v>127</v>
      </c>
      <c r="G494" s="40"/>
      <c r="H494" s="27"/>
    </row>
    <row r="495" spans="1:8" ht="24.9" hidden="1" customHeight="1" x14ac:dyDescent="0.3">
      <c r="A495" s="32" t="s">
        <v>650</v>
      </c>
      <c r="B495" s="33" t="s">
        <v>651</v>
      </c>
      <c r="C495" s="33" t="s">
        <v>652</v>
      </c>
      <c r="D495" s="33" t="s">
        <v>653</v>
      </c>
      <c r="E495" s="33" t="s">
        <v>794</v>
      </c>
      <c r="F495" s="34" t="s">
        <v>127</v>
      </c>
      <c r="G495" s="40"/>
      <c r="H495" s="27"/>
    </row>
    <row r="496" spans="1:8" ht="24.9" hidden="1" customHeight="1" x14ac:dyDescent="0.3">
      <c r="A496" s="32" t="s">
        <v>650</v>
      </c>
      <c r="B496" s="33" t="s">
        <v>651</v>
      </c>
      <c r="C496" s="33" t="s">
        <v>652</v>
      </c>
      <c r="D496" s="33" t="s">
        <v>653</v>
      </c>
      <c r="E496" s="33" t="s">
        <v>183</v>
      </c>
      <c r="F496" s="34" t="s">
        <v>127</v>
      </c>
      <c r="G496" s="40"/>
      <c r="H496" s="27"/>
    </row>
    <row r="497" spans="1:8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173</v>
      </c>
      <c r="F497" s="34" t="s">
        <v>127</v>
      </c>
      <c r="G497" s="40"/>
      <c r="H497" s="27"/>
    </row>
    <row r="498" spans="1:8" ht="24.9" hidden="1" customHeight="1" x14ac:dyDescent="0.3">
      <c r="A498" s="32" t="s">
        <v>650</v>
      </c>
      <c r="B498" s="33" t="s">
        <v>654</v>
      </c>
      <c r="C498" s="33" t="s">
        <v>652</v>
      </c>
      <c r="D498" s="33" t="s">
        <v>655</v>
      </c>
      <c r="E498" s="33" t="s">
        <v>794</v>
      </c>
      <c r="F498" s="34" t="s">
        <v>127</v>
      </c>
      <c r="G498" s="40"/>
      <c r="H498" s="27"/>
    </row>
    <row r="499" spans="1:8" ht="24.9" hidden="1" customHeight="1" x14ac:dyDescent="0.3">
      <c r="A499" s="32" t="s">
        <v>650</v>
      </c>
      <c r="B499" s="33" t="s">
        <v>654</v>
      </c>
      <c r="C499" s="33" t="s">
        <v>652</v>
      </c>
      <c r="D499" s="33" t="s">
        <v>655</v>
      </c>
      <c r="E499" s="33" t="s">
        <v>183</v>
      </c>
      <c r="F499" s="34" t="s">
        <v>127</v>
      </c>
      <c r="G499" s="40"/>
      <c r="H499" s="27"/>
    </row>
    <row r="500" spans="1:8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173</v>
      </c>
      <c r="F500" s="34" t="s">
        <v>127</v>
      </c>
      <c r="G500" s="40"/>
      <c r="H500" s="27"/>
    </row>
    <row r="501" spans="1:8" ht="24.9" hidden="1" customHeight="1" x14ac:dyDescent="0.3">
      <c r="A501" s="32" t="s">
        <v>650</v>
      </c>
      <c r="B501" s="33" t="s">
        <v>656</v>
      </c>
      <c r="C501" s="33" t="s">
        <v>652</v>
      </c>
      <c r="D501" s="33" t="s">
        <v>657</v>
      </c>
      <c r="E501" s="33" t="s">
        <v>794</v>
      </c>
      <c r="F501" s="34" t="s">
        <v>127</v>
      </c>
      <c r="G501" s="40"/>
      <c r="H501" s="27"/>
    </row>
    <row r="502" spans="1:8" ht="24.9" hidden="1" customHeight="1" x14ac:dyDescent="0.3">
      <c r="A502" s="32" t="s">
        <v>650</v>
      </c>
      <c r="B502" s="33" t="s">
        <v>656</v>
      </c>
      <c r="C502" s="33" t="s">
        <v>652</v>
      </c>
      <c r="D502" s="33" t="s">
        <v>657</v>
      </c>
      <c r="E502" s="33" t="s">
        <v>183</v>
      </c>
      <c r="F502" s="34" t="s">
        <v>127</v>
      </c>
      <c r="G502" s="40"/>
      <c r="H502" s="27"/>
    </row>
    <row r="503" spans="1:8" ht="24.9" hidden="1" customHeight="1" x14ac:dyDescent="0.3">
      <c r="A503" s="32" t="s">
        <v>650</v>
      </c>
      <c r="B503" s="33" t="s">
        <v>659</v>
      </c>
      <c r="C503" s="33" t="s">
        <v>652</v>
      </c>
      <c r="D503" s="33" t="s">
        <v>185</v>
      </c>
      <c r="E503" s="33" t="s">
        <v>160</v>
      </c>
      <c r="F503" s="34" t="s">
        <v>127</v>
      </c>
      <c r="G503" s="40"/>
      <c r="H503" s="27"/>
    </row>
    <row r="504" spans="1:8" ht="24.9" hidden="1" customHeight="1" x14ac:dyDescent="0.3">
      <c r="A504" s="32" t="s">
        <v>650</v>
      </c>
      <c r="B504" s="33" t="s">
        <v>659</v>
      </c>
      <c r="C504" s="33" t="s">
        <v>652</v>
      </c>
      <c r="D504" s="33" t="s">
        <v>185</v>
      </c>
      <c r="E504" s="33" t="s">
        <v>183</v>
      </c>
      <c r="F504" s="34" t="s">
        <v>127</v>
      </c>
      <c r="G504" s="40"/>
      <c r="H504" s="27"/>
    </row>
    <row r="505" spans="1:8" ht="24.9" hidden="1" customHeight="1" x14ac:dyDescent="0.3">
      <c r="A505" s="32" t="s">
        <v>650</v>
      </c>
      <c r="B505" s="33" t="s">
        <v>658</v>
      </c>
      <c r="C505" s="33" t="s">
        <v>652</v>
      </c>
      <c r="D505" s="33" t="s">
        <v>189</v>
      </c>
      <c r="E505" s="33" t="s">
        <v>160</v>
      </c>
      <c r="F505" s="34" t="s">
        <v>127</v>
      </c>
      <c r="G505" s="40"/>
      <c r="H505" s="27"/>
    </row>
    <row r="506" spans="1:8" ht="24.9" hidden="1" customHeight="1" x14ac:dyDescent="0.3">
      <c r="A506" s="32" t="s">
        <v>650</v>
      </c>
      <c r="B506" s="33" t="s">
        <v>658</v>
      </c>
      <c r="C506" s="33" t="s">
        <v>652</v>
      </c>
      <c r="D506" s="33" t="s">
        <v>189</v>
      </c>
      <c r="E506" s="33" t="s">
        <v>183</v>
      </c>
      <c r="F506" s="34" t="s">
        <v>127</v>
      </c>
      <c r="G506" s="40"/>
      <c r="H506" s="27"/>
    </row>
    <row r="507" spans="1:8" ht="24.9" hidden="1" customHeight="1" x14ac:dyDescent="0.3">
      <c r="A507" s="32" t="s">
        <v>650</v>
      </c>
      <c r="B507" s="33" t="s">
        <v>660</v>
      </c>
      <c r="C507" s="33" t="s">
        <v>652</v>
      </c>
      <c r="D507" s="33" t="s">
        <v>187</v>
      </c>
      <c r="E507" s="33" t="s">
        <v>160</v>
      </c>
      <c r="F507" s="34" t="s">
        <v>127</v>
      </c>
      <c r="G507" s="40"/>
      <c r="H507" s="27"/>
    </row>
    <row r="508" spans="1:8" ht="24.9" hidden="1" customHeight="1" x14ac:dyDescent="0.3">
      <c r="A508" s="32" t="s">
        <v>650</v>
      </c>
      <c r="B508" s="33" t="s">
        <v>660</v>
      </c>
      <c r="C508" s="33" t="s">
        <v>652</v>
      </c>
      <c r="D508" s="33" t="s">
        <v>187</v>
      </c>
      <c r="E508" s="33" t="s">
        <v>183</v>
      </c>
      <c r="F508" s="34" t="s">
        <v>127</v>
      </c>
      <c r="G508" s="40"/>
      <c r="H508" s="27"/>
    </row>
    <row r="509" spans="1:8" ht="24.9" hidden="1" customHeight="1" x14ac:dyDescent="0.3">
      <c r="A509" s="32" t="s">
        <v>661</v>
      </c>
      <c r="B509" s="33" t="s">
        <v>662</v>
      </c>
      <c r="C509" s="33" t="s">
        <v>370</v>
      </c>
      <c r="D509" s="33" t="s">
        <v>663</v>
      </c>
      <c r="E509" s="33" t="s">
        <v>780</v>
      </c>
      <c r="F509" s="34" t="s">
        <v>127</v>
      </c>
      <c r="G509" s="40"/>
      <c r="H509" s="27"/>
    </row>
    <row r="510" spans="1:8" ht="24.9" hidden="1" customHeight="1" x14ac:dyDescent="0.3">
      <c r="A510" s="32" t="s">
        <v>661</v>
      </c>
      <c r="B510" s="33" t="s">
        <v>664</v>
      </c>
      <c r="C510" s="33" t="s">
        <v>665</v>
      </c>
      <c r="D510" s="33" t="s">
        <v>804</v>
      </c>
      <c r="E510" s="33" t="s">
        <v>666</v>
      </c>
      <c r="F510" s="34" t="s">
        <v>99</v>
      </c>
      <c r="G510" s="40"/>
      <c r="H510" s="27"/>
    </row>
    <row r="511" spans="1:8" ht="24.9" hidden="1" customHeight="1" x14ac:dyDescent="0.3">
      <c r="A511" s="32" t="s">
        <v>661</v>
      </c>
      <c r="B511" s="33" t="s">
        <v>664</v>
      </c>
      <c r="C511" s="33" t="s">
        <v>665</v>
      </c>
      <c r="D511" s="33" t="s">
        <v>804</v>
      </c>
      <c r="E511" s="33" t="s">
        <v>795</v>
      </c>
      <c r="F511" s="34" t="s">
        <v>127</v>
      </c>
      <c r="G511" s="40"/>
      <c r="H511" s="27"/>
    </row>
    <row r="512" spans="1:8" ht="24.9" hidden="1" customHeight="1" x14ac:dyDescent="0.3">
      <c r="A512" s="32" t="s">
        <v>661</v>
      </c>
      <c r="B512" s="33" t="s">
        <v>668</v>
      </c>
      <c r="C512" s="33" t="s">
        <v>665</v>
      </c>
      <c r="D512" s="33" t="s">
        <v>805</v>
      </c>
      <c r="E512" s="33" t="s">
        <v>666</v>
      </c>
      <c r="F512" s="34" t="s">
        <v>99</v>
      </c>
      <c r="G512" s="40"/>
      <c r="H512" s="27"/>
    </row>
    <row r="513" spans="1:8" ht="24.9" hidden="1" customHeight="1" x14ac:dyDescent="0.3">
      <c r="A513" s="32" t="s">
        <v>661</v>
      </c>
      <c r="B513" s="33" t="s">
        <v>668</v>
      </c>
      <c r="C513" s="33" t="s">
        <v>665</v>
      </c>
      <c r="D513" s="33" t="s">
        <v>805</v>
      </c>
      <c r="E513" s="33" t="s">
        <v>795</v>
      </c>
      <c r="F513" s="34" t="s">
        <v>127</v>
      </c>
      <c r="G513" s="40"/>
      <c r="H513" s="27"/>
    </row>
    <row r="514" spans="1:8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671</v>
      </c>
      <c r="F514" s="34" t="s">
        <v>127</v>
      </c>
      <c r="G514" s="40"/>
      <c r="H514" s="27"/>
    </row>
    <row r="515" spans="1:8" ht="24.9" hidden="1" customHeight="1" x14ac:dyDescent="0.3">
      <c r="A515" s="32" t="s">
        <v>661</v>
      </c>
      <c r="B515" s="33" t="s">
        <v>669</v>
      </c>
      <c r="C515" s="33" t="s">
        <v>551</v>
      </c>
      <c r="D515" s="33" t="s">
        <v>670</v>
      </c>
      <c r="E515" s="33" t="s">
        <v>796</v>
      </c>
      <c r="F515" s="34" t="s">
        <v>127</v>
      </c>
      <c r="G515" s="40"/>
      <c r="H515" s="27"/>
    </row>
    <row r="516" spans="1:8" ht="24.9" hidden="1" customHeight="1" x14ac:dyDescent="0.3">
      <c r="A516" s="32" t="s">
        <v>661</v>
      </c>
      <c r="B516" s="33" t="s">
        <v>669</v>
      </c>
      <c r="C516" s="33" t="s">
        <v>551</v>
      </c>
      <c r="D516" s="33" t="s">
        <v>670</v>
      </c>
      <c r="E516" s="33" t="s">
        <v>674</v>
      </c>
      <c r="F516" s="34" t="s">
        <v>127</v>
      </c>
      <c r="G516" s="40"/>
      <c r="H516" s="27"/>
    </row>
    <row r="517" spans="1:8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671</v>
      </c>
      <c r="F517" s="34" t="s">
        <v>127</v>
      </c>
      <c r="G517" s="40"/>
      <c r="H517" s="27"/>
    </row>
    <row r="518" spans="1:8" ht="24.9" hidden="1" customHeight="1" x14ac:dyDescent="0.3">
      <c r="A518" s="32" t="s">
        <v>661</v>
      </c>
      <c r="B518" s="33" t="s">
        <v>675</v>
      </c>
      <c r="C518" s="33" t="s">
        <v>554</v>
      </c>
      <c r="D518" s="33" t="s">
        <v>670</v>
      </c>
      <c r="E518" s="33" t="s">
        <v>796</v>
      </c>
      <c r="F518" s="34" t="s">
        <v>127</v>
      </c>
      <c r="G518" s="40"/>
      <c r="H518" s="27"/>
    </row>
    <row r="519" spans="1:8" ht="24.9" hidden="1" customHeight="1" x14ac:dyDescent="0.3">
      <c r="A519" s="32" t="s">
        <v>661</v>
      </c>
      <c r="B519" s="33" t="s">
        <v>675</v>
      </c>
      <c r="C519" s="33" t="s">
        <v>554</v>
      </c>
      <c r="D519" s="33" t="s">
        <v>670</v>
      </c>
      <c r="E519" s="33" t="s">
        <v>674</v>
      </c>
      <c r="F519" s="34" t="s">
        <v>127</v>
      </c>
      <c r="G519" s="40"/>
      <c r="H519" s="27"/>
    </row>
    <row r="520" spans="1:8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671</v>
      </c>
      <c r="F520" s="34" t="s">
        <v>673</v>
      </c>
      <c r="G520" s="40"/>
      <c r="H520" s="27"/>
    </row>
    <row r="521" spans="1:8" ht="24.9" hidden="1" customHeight="1" x14ac:dyDescent="0.3">
      <c r="A521" s="32" t="s">
        <v>661</v>
      </c>
      <c r="B521" s="33" t="s">
        <v>676</v>
      </c>
      <c r="C521" s="33" t="s">
        <v>556</v>
      </c>
      <c r="D521" s="33" t="s">
        <v>670</v>
      </c>
      <c r="E521" s="33" t="s">
        <v>796</v>
      </c>
      <c r="F521" s="34" t="s">
        <v>673</v>
      </c>
      <c r="G521" s="40"/>
      <c r="H521" s="27"/>
    </row>
    <row r="522" spans="1:8" ht="24.9" hidden="1" customHeight="1" x14ac:dyDescent="0.3">
      <c r="A522" s="32" t="s">
        <v>661</v>
      </c>
      <c r="B522" s="33" t="s">
        <v>676</v>
      </c>
      <c r="C522" s="33" t="s">
        <v>556</v>
      </c>
      <c r="D522" s="33" t="s">
        <v>670</v>
      </c>
      <c r="E522" s="33" t="s">
        <v>674</v>
      </c>
      <c r="F522" s="34" t="s">
        <v>673</v>
      </c>
      <c r="G522" s="40"/>
      <c r="H522" s="27"/>
    </row>
    <row r="523" spans="1:8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671</v>
      </c>
      <c r="F523" s="34" t="s">
        <v>673</v>
      </c>
      <c r="G523" s="40"/>
      <c r="H523" s="27"/>
    </row>
    <row r="524" spans="1:8" ht="24.9" hidden="1" customHeight="1" x14ac:dyDescent="0.3">
      <c r="A524" s="32" t="s">
        <v>661</v>
      </c>
      <c r="B524" s="33" t="s">
        <v>677</v>
      </c>
      <c r="C524" s="33" t="s">
        <v>558</v>
      </c>
      <c r="D524" s="33" t="s">
        <v>670</v>
      </c>
      <c r="E524" s="33" t="s">
        <v>796</v>
      </c>
      <c r="F524" s="34" t="s">
        <v>673</v>
      </c>
      <c r="G524" s="40"/>
      <c r="H524" s="27"/>
    </row>
    <row r="525" spans="1:8" ht="24.9" hidden="1" customHeight="1" x14ac:dyDescent="0.3">
      <c r="A525" s="32" t="s">
        <v>661</v>
      </c>
      <c r="B525" s="33" t="s">
        <v>677</v>
      </c>
      <c r="C525" s="33" t="s">
        <v>558</v>
      </c>
      <c r="D525" s="33" t="s">
        <v>670</v>
      </c>
      <c r="E525" s="33" t="s">
        <v>674</v>
      </c>
      <c r="F525" s="34" t="s">
        <v>673</v>
      </c>
      <c r="G525" s="40"/>
      <c r="H525" s="27"/>
    </row>
    <row r="526" spans="1:8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671</v>
      </c>
      <c r="F526" s="34" t="s">
        <v>673</v>
      </c>
      <c r="G526" s="40"/>
      <c r="H526" s="27"/>
    </row>
    <row r="527" spans="1:8" ht="24.9" hidden="1" customHeight="1" x14ac:dyDescent="0.3">
      <c r="A527" s="32" t="s">
        <v>661</v>
      </c>
      <c r="B527" s="33" t="s">
        <v>678</v>
      </c>
      <c r="C527" s="33" t="s">
        <v>560</v>
      </c>
      <c r="D527" s="33" t="s">
        <v>670</v>
      </c>
      <c r="E527" s="33" t="s">
        <v>796</v>
      </c>
      <c r="F527" s="34" t="s">
        <v>673</v>
      </c>
      <c r="G527" s="40"/>
      <c r="H527" s="27"/>
    </row>
    <row r="528" spans="1:8" ht="24.9" hidden="1" customHeight="1" x14ac:dyDescent="0.3">
      <c r="A528" s="32" t="s">
        <v>661</v>
      </c>
      <c r="B528" s="33" t="s">
        <v>678</v>
      </c>
      <c r="C528" s="33" t="s">
        <v>560</v>
      </c>
      <c r="D528" s="33" t="s">
        <v>670</v>
      </c>
      <c r="E528" s="33" t="s">
        <v>674</v>
      </c>
      <c r="F528" s="34" t="s">
        <v>673</v>
      </c>
      <c r="G528" s="40"/>
      <c r="H528" s="27"/>
    </row>
    <row r="529" spans="1:12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671</v>
      </c>
      <c r="F529" s="34" t="s">
        <v>673</v>
      </c>
      <c r="G529" s="40"/>
      <c r="H529" s="27"/>
    </row>
    <row r="530" spans="1:12" ht="24.9" hidden="1" customHeight="1" x14ac:dyDescent="0.3">
      <c r="A530" s="32" t="s">
        <v>661</v>
      </c>
      <c r="B530" s="33" t="s">
        <v>679</v>
      </c>
      <c r="C530" s="33" t="s">
        <v>548</v>
      </c>
      <c r="D530" s="33" t="s">
        <v>670</v>
      </c>
      <c r="E530" s="33" t="s">
        <v>796</v>
      </c>
      <c r="F530" s="34" t="s">
        <v>673</v>
      </c>
      <c r="G530" s="40"/>
      <c r="H530" s="27"/>
    </row>
    <row r="531" spans="1:12" ht="24.9" hidden="1" customHeight="1" x14ac:dyDescent="0.3">
      <c r="A531" s="32" t="s">
        <v>661</v>
      </c>
      <c r="B531" s="33" t="s">
        <v>679</v>
      </c>
      <c r="C531" s="33" t="s">
        <v>548</v>
      </c>
      <c r="D531" s="33" t="s">
        <v>670</v>
      </c>
      <c r="E531" s="33" t="s">
        <v>674</v>
      </c>
      <c r="F531" s="34" t="s">
        <v>673</v>
      </c>
      <c r="G531" s="40"/>
      <c r="H531" s="27"/>
    </row>
    <row r="532" spans="1:12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765</v>
      </c>
      <c r="F532" s="34" t="s">
        <v>99</v>
      </c>
      <c r="G532" s="40"/>
      <c r="H532" s="27"/>
    </row>
    <row r="533" spans="1:12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225</v>
      </c>
      <c r="F533" s="34" t="s">
        <v>127</v>
      </c>
      <c r="G533" s="40"/>
      <c r="H533" s="27"/>
    </row>
    <row r="534" spans="1:12" ht="24.9" hidden="1" customHeight="1" x14ac:dyDescent="0.3">
      <c r="A534" s="32" t="s">
        <v>680</v>
      </c>
      <c r="B534" s="33" t="s">
        <v>702</v>
      </c>
      <c r="C534" s="33" t="s">
        <v>703</v>
      </c>
      <c r="D534" s="33" t="s">
        <v>704</v>
      </c>
      <c r="E534" s="33" t="s">
        <v>764</v>
      </c>
      <c r="F534" s="34" t="s">
        <v>167</v>
      </c>
      <c r="G534" s="40"/>
      <c r="H534" s="27"/>
    </row>
    <row r="535" spans="1:12" ht="24.9" hidden="1" customHeight="1" x14ac:dyDescent="0.3">
      <c r="A535" s="32" t="s">
        <v>680</v>
      </c>
      <c r="B535" s="33" t="s">
        <v>702</v>
      </c>
      <c r="C535" s="33" t="s">
        <v>703</v>
      </c>
      <c r="D535" s="33" t="s">
        <v>704</v>
      </c>
      <c r="E535" s="33" t="s">
        <v>195</v>
      </c>
      <c r="F535" s="34" t="s">
        <v>167</v>
      </c>
      <c r="G535" s="40"/>
      <c r="H535" s="27"/>
    </row>
    <row r="536" spans="1:12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692</v>
      </c>
      <c r="F536" s="34" t="s">
        <v>127</v>
      </c>
      <c r="G536" s="40"/>
      <c r="H536" s="27"/>
    </row>
    <row r="537" spans="1:12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694</v>
      </c>
      <c r="F537" s="34" t="s">
        <v>127</v>
      </c>
      <c r="G537" s="40"/>
      <c r="H537" s="27"/>
    </row>
    <row r="538" spans="1:12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714</v>
      </c>
      <c r="F538" s="34" t="s">
        <v>127</v>
      </c>
      <c r="G538" s="40"/>
      <c r="H538" s="27"/>
    </row>
    <row r="539" spans="1:12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691</v>
      </c>
      <c r="E539" s="33" t="s">
        <v>715</v>
      </c>
      <c r="F539" s="34" t="s">
        <v>127</v>
      </c>
      <c r="G539" s="40"/>
      <c r="H539" s="27"/>
    </row>
    <row r="540" spans="1:12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691</v>
      </c>
      <c r="E540" s="33" t="s">
        <v>716</v>
      </c>
      <c r="F540" s="34" t="s">
        <v>127</v>
      </c>
      <c r="G540" s="40"/>
      <c r="H540" s="27"/>
    </row>
    <row r="541" spans="1:12" ht="24.9" customHeight="1" x14ac:dyDescent="0.3">
      <c r="A541" s="32" t="s">
        <v>680</v>
      </c>
      <c r="B541" s="33" t="s">
        <v>689</v>
      </c>
      <c r="C541" s="33" t="s">
        <v>690</v>
      </c>
      <c r="D541" s="33" t="s">
        <v>699</v>
      </c>
      <c r="E541" s="33" t="s">
        <v>700</v>
      </c>
      <c r="F541" s="34" t="s">
        <v>95</v>
      </c>
      <c r="G541" s="40"/>
      <c r="H541" s="77"/>
      <c r="I541" s="120"/>
      <c r="J541" s="120"/>
      <c r="K541" s="120"/>
      <c r="L541" s="120"/>
    </row>
    <row r="542" spans="1:12" ht="24.9" customHeight="1" x14ac:dyDescent="0.3">
      <c r="A542" s="32" t="s">
        <v>680</v>
      </c>
      <c r="B542" s="33" t="s">
        <v>689</v>
      </c>
      <c r="C542" s="33" t="s">
        <v>690</v>
      </c>
      <c r="D542" s="33" t="s">
        <v>699</v>
      </c>
      <c r="E542" s="33" t="s">
        <v>701</v>
      </c>
      <c r="F542" s="34" t="s">
        <v>95</v>
      </c>
      <c r="G542" s="40"/>
      <c r="H542" s="77"/>
      <c r="I542" s="120"/>
      <c r="J542" s="120"/>
      <c r="K542" s="120"/>
      <c r="L542" s="120"/>
    </row>
    <row r="543" spans="1:12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229</v>
      </c>
      <c r="F543" s="34" t="s">
        <v>127</v>
      </c>
      <c r="G543" s="40"/>
      <c r="H543" s="42"/>
    </row>
    <row r="544" spans="1:12" ht="24.9" hidden="1" customHeight="1" x14ac:dyDescent="0.3">
      <c r="A544" s="32" t="s">
        <v>680</v>
      </c>
      <c r="B544" s="33" t="s">
        <v>681</v>
      </c>
      <c r="C544" s="33" t="s">
        <v>682</v>
      </c>
      <c r="D544" s="33" t="s">
        <v>683</v>
      </c>
      <c r="E544" s="33" t="s">
        <v>713</v>
      </c>
      <c r="F544" s="34" t="s">
        <v>127</v>
      </c>
      <c r="G544" s="40"/>
      <c r="H544" s="27"/>
    </row>
    <row r="545" spans="1:8" ht="24.9" hidden="1" customHeight="1" x14ac:dyDescent="0.3">
      <c r="A545" s="32" t="s">
        <v>680</v>
      </c>
      <c r="B545" s="33" t="s">
        <v>681</v>
      </c>
      <c r="C545" s="33" t="s">
        <v>682</v>
      </c>
      <c r="D545" s="33" t="s">
        <v>683</v>
      </c>
      <c r="E545" s="33" t="s">
        <v>221</v>
      </c>
      <c r="F545" s="34" t="s">
        <v>127</v>
      </c>
      <c r="G545" s="40"/>
      <c r="H545" s="42"/>
    </row>
    <row r="546" spans="1:8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706</v>
      </c>
      <c r="E546" s="33" t="s">
        <v>213</v>
      </c>
      <c r="F546" s="34" t="s">
        <v>99</v>
      </c>
      <c r="G546" s="40"/>
      <c r="H546" s="27"/>
    </row>
    <row r="547" spans="1:8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706</v>
      </c>
      <c r="E547" s="33" t="s">
        <v>707</v>
      </c>
      <c r="F547" s="34" t="s">
        <v>99</v>
      </c>
      <c r="G547" s="40"/>
      <c r="H547" s="27"/>
    </row>
    <row r="548" spans="1:8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160</v>
      </c>
      <c r="F548" s="34" t="s">
        <v>99</v>
      </c>
      <c r="G548" s="40"/>
      <c r="H548" s="27"/>
    </row>
    <row r="549" spans="1:8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708</v>
      </c>
      <c r="E549" s="33" t="s">
        <v>797</v>
      </c>
      <c r="F549" s="34" t="s">
        <v>127</v>
      </c>
      <c r="G549" s="40"/>
      <c r="H549" s="27"/>
    </row>
    <row r="550" spans="1:8" ht="24.9" hidden="1" customHeight="1" x14ac:dyDescent="0.3">
      <c r="A550" s="32" t="s">
        <v>680</v>
      </c>
      <c r="B550" s="33" t="s">
        <v>705</v>
      </c>
      <c r="C550" s="33" t="s">
        <v>703</v>
      </c>
      <c r="D550" s="33" t="s">
        <v>708</v>
      </c>
      <c r="E550" s="33" t="s">
        <v>217</v>
      </c>
      <c r="F550" s="34"/>
      <c r="G550" s="29"/>
      <c r="H550" s="27"/>
    </row>
    <row r="551" spans="1:8" ht="24.9" hidden="1" customHeight="1" x14ac:dyDescent="0.3">
      <c r="A551" s="32" t="s">
        <v>680</v>
      </c>
      <c r="B551" s="33" t="s">
        <v>705</v>
      </c>
      <c r="C551" s="33" t="s">
        <v>703</v>
      </c>
      <c r="D551" s="33" t="s">
        <v>846</v>
      </c>
      <c r="E551" s="33" t="s">
        <v>823</v>
      </c>
      <c r="F551" s="34" t="s">
        <v>127</v>
      </c>
      <c r="G551" s="40"/>
      <c r="H551" s="27"/>
    </row>
    <row r="552" spans="1:8" ht="24.9" hidden="1" customHeight="1" x14ac:dyDescent="0.3">
      <c r="A552" s="32" t="s">
        <v>680</v>
      </c>
      <c r="B552" s="33" t="s">
        <v>709</v>
      </c>
      <c r="C552" s="33" t="s">
        <v>686</v>
      </c>
      <c r="D552" s="33" t="s">
        <v>710</v>
      </c>
      <c r="E552" s="33" t="s">
        <v>712</v>
      </c>
      <c r="F552" s="34" t="s">
        <v>127</v>
      </c>
      <c r="G552" s="40"/>
      <c r="H552" s="27"/>
    </row>
    <row r="553" spans="1:8" ht="24.9" hidden="1" customHeight="1" x14ac:dyDescent="0.3">
      <c r="A553" s="32" t="s">
        <v>680</v>
      </c>
      <c r="B553" s="33" t="s">
        <v>813</v>
      </c>
      <c r="C553" s="33" t="s">
        <v>686</v>
      </c>
      <c r="D553" s="33" t="s">
        <v>822</v>
      </c>
      <c r="E553" s="33" t="s">
        <v>737</v>
      </c>
      <c r="F553" s="34" t="s">
        <v>127</v>
      </c>
      <c r="G553" s="50"/>
      <c r="H553" s="27"/>
    </row>
    <row r="554" spans="1:8" ht="24.9" hidden="1" customHeight="1" x14ac:dyDescent="0.3">
      <c r="A554" s="32" t="s">
        <v>680</v>
      </c>
      <c r="B554" s="33" t="s">
        <v>814</v>
      </c>
      <c r="C554" s="33" t="s">
        <v>686</v>
      </c>
      <c r="D554" s="33" t="s">
        <v>825</v>
      </c>
      <c r="E554" s="33" t="s">
        <v>823</v>
      </c>
      <c r="F554" s="34" t="s">
        <v>127</v>
      </c>
      <c r="G554" s="40"/>
      <c r="H554" s="27"/>
    </row>
    <row r="555" spans="1:8" ht="24.9" hidden="1" customHeight="1" x14ac:dyDescent="0.3">
      <c r="A555" s="32" t="s">
        <v>680</v>
      </c>
      <c r="B555" s="33" t="s">
        <v>815</v>
      </c>
      <c r="C555" s="33" t="s">
        <v>686</v>
      </c>
      <c r="D555" s="33" t="s">
        <v>826</v>
      </c>
      <c r="E555" s="33" t="s">
        <v>823</v>
      </c>
      <c r="F555" s="34" t="s">
        <v>127</v>
      </c>
      <c r="G555" s="40"/>
      <c r="H555" s="27"/>
    </row>
    <row r="556" spans="1:8" ht="24.9" hidden="1" customHeight="1" x14ac:dyDescent="0.3">
      <c r="A556" s="32" t="s">
        <v>680</v>
      </c>
      <c r="B556" s="33" t="s">
        <v>816</v>
      </c>
      <c r="C556" s="33" t="s">
        <v>686</v>
      </c>
      <c r="D556" s="33" t="s">
        <v>827</v>
      </c>
      <c r="E556" s="33" t="s">
        <v>823</v>
      </c>
      <c r="F556" s="34" t="s">
        <v>127</v>
      </c>
      <c r="G556" s="40"/>
      <c r="H556" s="27"/>
    </row>
    <row r="557" spans="1:8" ht="24.9" hidden="1" customHeight="1" x14ac:dyDescent="0.3">
      <c r="A557" s="32" t="s">
        <v>680</v>
      </c>
      <c r="B557" s="33" t="s">
        <v>817</v>
      </c>
      <c r="C557" s="33" t="s">
        <v>686</v>
      </c>
      <c r="D557" s="33" t="s">
        <v>828</v>
      </c>
      <c r="E557" s="33" t="s">
        <v>823</v>
      </c>
      <c r="F557" s="34" t="s">
        <v>127</v>
      </c>
      <c r="G557" s="40"/>
      <c r="H557" s="27"/>
    </row>
    <row r="558" spans="1:8" ht="24.9" hidden="1" customHeight="1" x14ac:dyDescent="0.3">
      <c r="A558" s="32" t="s">
        <v>680</v>
      </c>
      <c r="B558" s="33" t="s">
        <v>817</v>
      </c>
      <c r="C558" s="33" t="s">
        <v>686</v>
      </c>
      <c r="D558" s="33" t="s">
        <v>829</v>
      </c>
      <c r="E558" s="33" t="s">
        <v>823</v>
      </c>
      <c r="F558" s="34" t="s">
        <v>127</v>
      </c>
      <c r="G558" s="40"/>
      <c r="H558" s="27"/>
    </row>
    <row r="559" spans="1:8" ht="24.9" hidden="1" customHeight="1" x14ac:dyDescent="0.3">
      <c r="A559" s="32" t="s">
        <v>680</v>
      </c>
      <c r="B559" s="33" t="s">
        <v>818</v>
      </c>
      <c r="C559" s="33" t="s">
        <v>686</v>
      </c>
      <c r="D559" s="33" t="s">
        <v>830</v>
      </c>
      <c r="E559" s="33" t="s">
        <v>823</v>
      </c>
      <c r="F559" s="34" t="s">
        <v>127</v>
      </c>
      <c r="G559" s="40"/>
      <c r="H559" s="27"/>
    </row>
    <row r="560" spans="1:8" ht="24.9" hidden="1" customHeight="1" x14ac:dyDescent="0.3">
      <c r="A560" s="32" t="s">
        <v>680</v>
      </c>
      <c r="B560" s="33" t="s">
        <v>819</v>
      </c>
      <c r="C560" s="33" t="s">
        <v>686</v>
      </c>
      <c r="D560" s="33" t="s">
        <v>831</v>
      </c>
      <c r="E560" s="33" t="s">
        <v>823</v>
      </c>
      <c r="F560" s="34" t="s">
        <v>127</v>
      </c>
      <c r="G560" s="40"/>
      <c r="H560" s="27"/>
    </row>
    <row r="561" spans="1:8" ht="24.9" hidden="1" customHeight="1" x14ac:dyDescent="0.3">
      <c r="A561" s="32" t="s">
        <v>680</v>
      </c>
      <c r="B561" s="33" t="s">
        <v>820</v>
      </c>
      <c r="C561" s="33" t="s">
        <v>686</v>
      </c>
      <c r="D561" s="33" t="s">
        <v>832</v>
      </c>
      <c r="E561" s="33" t="s">
        <v>823</v>
      </c>
      <c r="F561" s="34" t="s">
        <v>127</v>
      </c>
      <c r="G561" s="40"/>
      <c r="H561" s="27"/>
    </row>
    <row r="562" spans="1:8" ht="24.9" hidden="1" customHeight="1" x14ac:dyDescent="0.3">
      <c r="A562" s="32" t="s">
        <v>680</v>
      </c>
      <c r="B562" s="33" t="s">
        <v>820</v>
      </c>
      <c r="C562" s="90" t="s">
        <v>686</v>
      </c>
      <c r="D562" s="33" t="s">
        <v>832</v>
      </c>
      <c r="E562" s="33" t="s">
        <v>824</v>
      </c>
      <c r="F562" s="34" t="s">
        <v>127</v>
      </c>
      <c r="G562" s="40"/>
      <c r="H562" s="27"/>
    </row>
    <row r="563" spans="1:8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833</v>
      </c>
      <c r="E563" s="33" t="s">
        <v>823</v>
      </c>
      <c r="F563" s="34" t="s">
        <v>127</v>
      </c>
      <c r="G563" s="40"/>
      <c r="H563" s="27"/>
    </row>
    <row r="564" spans="1:8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834</v>
      </c>
      <c r="E564" s="33" t="s">
        <v>824</v>
      </c>
      <c r="F564" s="34" t="s">
        <v>127</v>
      </c>
      <c r="G564" s="40"/>
      <c r="H564" s="27"/>
    </row>
    <row r="565" spans="1:8" ht="24.9" hidden="1" customHeight="1" x14ac:dyDescent="0.3">
      <c r="A565" s="32" t="s">
        <v>680</v>
      </c>
      <c r="B565" s="33" t="s">
        <v>821</v>
      </c>
      <c r="C565" s="90" t="s">
        <v>686</v>
      </c>
      <c r="D565" s="33" t="s">
        <v>835</v>
      </c>
      <c r="E565" s="33" t="s">
        <v>824</v>
      </c>
      <c r="F565" s="34" t="s">
        <v>127</v>
      </c>
      <c r="G565" s="40"/>
      <c r="H565" s="27"/>
    </row>
    <row r="566" spans="1:8" ht="24.9" hidden="1" customHeight="1" x14ac:dyDescent="0.3">
      <c r="A566" s="32" t="s">
        <v>680</v>
      </c>
      <c r="B566" s="33" t="s">
        <v>821</v>
      </c>
      <c r="C566" s="90" t="s">
        <v>686</v>
      </c>
      <c r="D566" s="33" t="s">
        <v>836</v>
      </c>
      <c r="E566" s="33" t="s">
        <v>823</v>
      </c>
      <c r="F566" s="34" t="s">
        <v>127</v>
      </c>
      <c r="G566" s="40"/>
      <c r="H566" s="27"/>
    </row>
    <row r="567" spans="1:8" ht="24.9" hidden="1" customHeight="1" x14ac:dyDescent="0.3">
      <c r="A567" s="32" t="s">
        <v>680</v>
      </c>
      <c r="B567" s="33" t="s">
        <v>709</v>
      </c>
      <c r="C567" s="90" t="s">
        <v>686</v>
      </c>
      <c r="D567" s="33" t="s">
        <v>710</v>
      </c>
      <c r="E567" s="33" t="s">
        <v>711</v>
      </c>
      <c r="F567" s="34" t="s">
        <v>167</v>
      </c>
      <c r="G567" s="40"/>
      <c r="H567" s="27"/>
    </row>
    <row r="568" spans="1:8" ht="24.9" hidden="1" customHeight="1" x14ac:dyDescent="0.3">
      <c r="A568" s="32" t="s">
        <v>680</v>
      </c>
      <c r="B568" s="33" t="s">
        <v>685</v>
      </c>
      <c r="C568" s="90" t="s">
        <v>686</v>
      </c>
      <c r="D568" s="33" t="s">
        <v>687</v>
      </c>
      <c r="E568" s="33" t="s">
        <v>229</v>
      </c>
      <c r="F568" s="78" t="s">
        <v>127</v>
      </c>
      <c r="G568" s="40"/>
      <c r="H568" s="27"/>
    </row>
    <row r="569" spans="1:8" ht="24.9" hidden="1" customHeight="1" x14ac:dyDescent="0.3">
      <c r="A569" s="32" t="s">
        <v>680</v>
      </c>
      <c r="B569" s="33" t="s">
        <v>685</v>
      </c>
      <c r="C569" s="33" t="s">
        <v>686</v>
      </c>
      <c r="D569" s="33" t="s">
        <v>687</v>
      </c>
      <c r="E569" s="33" t="s">
        <v>712</v>
      </c>
      <c r="F569" s="34" t="s">
        <v>127</v>
      </c>
      <c r="G569" s="40"/>
      <c r="H569" s="27"/>
    </row>
    <row r="570" spans="1:8" ht="24.9" hidden="1" customHeight="1" x14ac:dyDescent="0.3">
      <c r="A570" s="32" t="s">
        <v>680</v>
      </c>
      <c r="B570" s="33" t="s">
        <v>685</v>
      </c>
      <c r="C570" s="33" t="s">
        <v>686</v>
      </c>
      <c r="D570" s="33" t="s">
        <v>687</v>
      </c>
      <c r="E570" s="33" t="s">
        <v>711</v>
      </c>
      <c r="F570" s="34" t="s">
        <v>167</v>
      </c>
      <c r="G570" s="40"/>
      <c r="H570" s="27"/>
    </row>
    <row r="571" spans="1:8" ht="24.9" hidden="1" customHeight="1" x14ac:dyDescent="0.3">
      <c r="A571" s="32" t="s">
        <v>680</v>
      </c>
      <c r="B571" s="33" t="s">
        <v>696</v>
      </c>
      <c r="C571" s="33" t="s">
        <v>686</v>
      </c>
      <c r="D571" s="33" t="s">
        <v>697</v>
      </c>
      <c r="E571" s="33" t="s">
        <v>698</v>
      </c>
      <c r="F571" s="78" t="s">
        <v>127</v>
      </c>
      <c r="G571" s="40"/>
      <c r="H571" s="27"/>
    </row>
    <row r="572" spans="1:8" ht="24.9" hidden="1" customHeight="1" x14ac:dyDescent="0.3">
      <c r="A572" s="32" t="s">
        <v>680</v>
      </c>
      <c r="B572" s="33" t="s">
        <v>696</v>
      </c>
      <c r="C572" s="33" t="s">
        <v>686</v>
      </c>
      <c r="D572" s="33" t="s">
        <v>697</v>
      </c>
      <c r="E572" s="33" t="s">
        <v>717</v>
      </c>
      <c r="F572" s="34" t="s">
        <v>127</v>
      </c>
      <c r="G572" s="40"/>
      <c r="H572" s="27"/>
    </row>
    <row r="573" spans="1:8" ht="24.9" hidden="1" customHeight="1" x14ac:dyDescent="0.3">
      <c r="A573" s="32" t="s">
        <v>718</v>
      </c>
      <c r="B573" s="33" t="s">
        <v>724</v>
      </c>
      <c r="C573" s="33" t="s">
        <v>725</v>
      </c>
      <c r="D573" s="33" t="s">
        <v>726</v>
      </c>
      <c r="E573" s="33" t="s">
        <v>130</v>
      </c>
      <c r="F573" s="34" t="s">
        <v>99</v>
      </c>
      <c r="G573" s="40"/>
      <c r="H573" s="27"/>
    </row>
    <row r="574" spans="1:8" ht="24.9" hidden="1" customHeight="1" x14ac:dyDescent="0.3">
      <c r="A574" s="32" t="s">
        <v>718</v>
      </c>
      <c r="B574" s="33" t="s">
        <v>724</v>
      </c>
      <c r="C574" s="33" t="s">
        <v>725</v>
      </c>
      <c r="D574" s="33" t="s">
        <v>726</v>
      </c>
      <c r="E574" s="33" t="s">
        <v>748</v>
      </c>
      <c r="F574" s="34" t="s">
        <v>99</v>
      </c>
      <c r="G574" s="40"/>
      <c r="H574" s="27"/>
    </row>
    <row r="575" spans="1:8" ht="24.9" hidden="1" customHeight="1" x14ac:dyDescent="0.3">
      <c r="A575" s="32" t="s">
        <v>718</v>
      </c>
      <c r="B575" s="33" t="s">
        <v>724</v>
      </c>
      <c r="C575" s="33" t="s">
        <v>725</v>
      </c>
      <c r="D575" s="33" t="s">
        <v>726</v>
      </c>
      <c r="E575" s="33" t="s">
        <v>727</v>
      </c>
      <c r="F575" s="34" t="s">
        <v>127</v>
      </c>
      <c r="G575" s="40"/>
      <c r="H575" s="27"/>
    </row>
    <row r="576" spans="1:8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694</v>
      </c>
      <c r="F576" s="34" t="s">
        <v>127</v>
      </c>
      <c r="G576" s="40"/>
      <c r="H576" s="27"/>
    </row>
    <row r="577" spans="1:12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692</v>
      </c>
      <c r="F577" s="34" t="s">
        <v>127</v>
      </c>
      <c r="G577" s="40"/>
      <c r="H577" s="27"/>
    </row>
    <row r="578" spans="1:12" ht="24.9" hidden="1" customHeight="1" x14ac:dyDescent="0.3">
      <c r="A578" s="32" t="s">
        <v>718</v>
      </c>
      <c r="B578" s="33" t="s">
        <v>719</v>
      </c>
      <c r="C578" s="33" t="s">
        <v>720</v>
      </c>
      <c r="D578" s="33" t="s">
        <v>721</v>
      </c>
      <c r="E578" s="33" t="s">
        <v>714</v>
      </c>
      <c r="F578" s="34" t="s">
        <v>127</v>
      </c>
      <c r="G578" s="40"/>
      <c r="H578" s="27"/>
    </row>
    <row r="579" spans="1:12" ht="24.9" hidden="1" customHeight="1" x14ac:dyDescent="0.3">
      <c r="A579" s="32" t="s">
        <v>718</v>
      </c>
      <c r="B579" s="33" t="s">
        <v>719</v>
      </c>
      <c r="C579" s="33" t="s">
        <v>720</v>
      </c>
      <c r="D579" s="33" t="s">
        <v>721</v>
      </c>
      <c r="E579" s="33" t="s">
        <v>747</v>
      </c>
      <c r="F579" s="34" t="s">
        <v>127</v>
      </c>
      <c r="G579" s="40"/>
      <c r="H579" s="27"/>
    </row>
    <row r="580" spans="1:12" ht="24.9" customHeight="1" x14ac:dyDescent="0.3">
      <c r="A580" s="32" t="s">
        <v>718</v>
      </c>
      <c r="B580" s="33" t="s">
        <v>719</v>
      </c>
      <c r="C580" s="33" t="s">
        <v>720</v>
      </c>
      <c r="D580" s="33" t="s">
        <v>721</v>
      </c>
      <c r="E580" s="33" t="s">
        <v>700</v>
      </c>
      <c r="F580" s="34" t="s">
        <v>95</v>
      </c>
      <c r="G580" s="40"/>
      <c r="H580" s="77"/>
      <c r="I580" s="120"/>
      <c r="J580" s="120"/>
      <c r="K580" s="120"/>
      <c r="L580" s="120"/>
    </row>
    <row r="581" spans="1:12" ht="24.9" customHeight="1" x14ac:dyDescent="0.3">
      <c r="A581" s="32" t="s">
        <v>718</v>
      </c>
      <c r="B581" s="33" t="s">
        <v>719</v>
      </c>
      <c r="C581" s="33" t="s">
        <v>720</v>
      </c>
      <c r="D581" s="33" t="s">
        <v>721</v>
      </c>
      <c r="E581" s="33" t="s">
        <v>701</v>
      </c>
      <c r="F581" s="34" t="s">
        <v>95</v>
      </c>
      <c r="G581" s="40"/>
      <c r="H581" s="77"/>
      <c r="I581" s="120"/>
      <c r="J581" s="120"/>
      <c r="K581" s="120"/>
      <c r="L581" s="120"/>
    </row>
    <row r="582" spans="1:12" ht="24.9" hidden="1" customHeight="1" x14ac:dyDescent="0.3">
      <c r="A582" s="32" t="s">
        <v>718</v>
      </c>
      <c r="B582" s="33" t="s">
        <v>735</v>
      </c>
      <c r="C582" s="33" t="s">
        <v>720</v>
      </c>
      <c r="D582" s="33" t="s">
        <v>736</v>
      </c>
      <c r="E582" s="33" t="s">
        <v>130</v>
      </c>
      <c r="F582" s="34" t="s">
        <v>127</v>
      </c>
      <c r="G582" s="40"/>
      <c r="H582" s="27"/>
    </row>
    <row r="583" spans="1:12" ht="24.9" hidden="1" customHeight="1" x14ac:dyDescent="0.3">
      <c r="A583" s="32" t="s">
        <v>718</v>
      </c>
      <c r="B583" s="33" t="s">
        <v>735</v>
      </c>
      <c r="C583" s="33" t="s">
        <v>720</v>
      </c>
      <c r="D583" s="33" t="s">
        <v>736</v>
      </c>
      <c r="E583" s="33" t="s">
        <v>799</v>
      </c>
      <c r="F583" s="34" t="s">
        <v>127</v>
      </c>
      <c r="G583" s="40"/>
      <c r="H583" s="27"/>
    </row>
    <row r="584" spans="1:12" ht="24.9" hidden="1" customHeight="1" x14ac:dyDescent="0.3">
      <c r="A584" s="32" t="s">
        <v>718</v>
      </c>
      <c r="B584" s="33" t="s">
        <v>735</v>
      </c>
      <c r="C584" s="33" t="s">
        <v>720</v>
      </c>
      <c r="D584" s="33" t="s">
        <v>736</v>
      </c>
      <c r="E584" s="33" t="s">
        <v>737</v>
      </c>
      <c r="F584" s="34" t="s">
        <v>167</v>
      </c>
      <c r="G584" s="40"/>
      <c r="H584" s="27"/>
    </row>
    <row r="585" spans="1:12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694</v>
      </c>
      <c r="F585" s="34" t="s">
        <v>127</v>
      </c>
      <c r="G585" s="40"/>
      <c r="H585" s="27"/>
    </row>
    <row r="586" spans="1:12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692</v>
      </c>
      <c r="F586" s="34" t="s">
        <v>127</v>
      </c>
      <c r="G586" s="40"/>
      <c r="H586" s="27"/>
    </row>
    <row r="587" spans="1:12" ht="24.9" hidden="1" customHeight="1" x14ac:dyDescent="0.3">
      <c r="A587" s="32" t="s">
        <v>718</v>
      </c>
      <c r="B587" s="33" t="s">
        <v>722</v>
      </c>
      <c r="C587" s="33" t="s">
        <v>720</v>
      </c>
      <c r="D587" s="33" t="s">
        <v>723</v>
      </c>
      <c r="E587" s="33" t="s">
        <v>714</v>
      </c>
      <c r="F587" s="34" t="s">
        <v>127</v>
      </c>
      <c r="G587" s="40"/>
      <c r="H587" s="27"/>
    </row>
    <row r="588" spans="1:12" ht="24.9" hidden="1" customHeight="1" x14ac:dyDescent="0.3">
      <c r="A588" s="32" t="s">
        <v>718</v>
      </c>
      <c r="B588" s="33" t="s">
        <v>722</v>
      </c>
      <c r="C588" s="33" t="s">
        <v>720</v>
      </c>
      <c r="D588" s="33" t="s">
        <v>723</v>
      </c>
      <c r="E588" s="33" t="s">
        <v>747</v>
      </c>
      <c r="F588" s="34" t="s">
        <v>127</v>
      </c>
      <c r="G588" s="40"/>
      <c r="H588" s="27"/>
    </row>
    <row r="589" spans="1:12" ht="24.9" customHeight="1" x14ac:dyDescent="0.3">
      <c r="A589" s="32" t="s">
        <v>718</v>
      </c>
      <c r="B589" s="33" t="s">
        <v>722</v>
      </c>
      <c r="C589" s="33" t="s">
        <v>720</v>
      </c>
      <c r="D589" s="33" t="s">
        <v>723</v>
      </c>
      <c r="E589" s="33" t="s">
        <v>700</v>
      </c>
      <c r="F589" s="34" t="s">
        <v>95</v>
      </c>
      <c r="G589" s="40"/>
      <c r="H589" s="121"/>
      <c r="I589" s="120"/>
      <c r="J589" s="120"/>
      <c r="K589" s="120"/>
      <c r="L589" s="120"/>
    </row>
    <row r="590" spans="1:12" ht="24.9" customHeight="1" x14ac:dyDescent="0.3">
      <c r="A590" s="32" t="s">
        <v>718</v>
      </c>
      <c r="B590" s="33" t="s">
        <v>722</v>
      </c>
      <c r="C590" s="33" t="s">
        <v>720</v>
      </c>
      <c r="D590" s="33" t="s">
        <v>723</v>
      </c>
      <c r="E590" s="33" t="s">
        <v>701</v>
      </c>
      <c r="F590" s="34" t="s">
        <v>95</v>
      </c>
      <c r="G590" s="40"/>
      <c r="H590" s="68"/>
      <c r="I590" s="120"/>
      <c r="J590" s="120"/>
      <c r="K590" s="120"/>
      <c r="L590" s="120"/>
    </row>
    <row r="591" spans="1:12" ht="24.9" hidden="1" customHeight="1" x14ac:dyDescent="0.3">
      <c r="A591" s="32" t="s">
        <v>718</v>
      </c>
      <c r="B591" s="33" t="s">
        <v>739</v>
      </c>
      <c r="C591" s="33" t="s">
        <v>720</v>
      </c>
      <c r="D591" s="33" t="s">
        <v>740</v>
      </c>
      <c r="E591" s="33" t="s">
        <v>130</v>
      </c>
      <c r="F591" s="34" t="s">
        <v>127</v>
      </c>
      <c r="G591" s="40"/>
      <c r="H591" s="38"/>
    </row>
    <row r="592" spans="1:12" ht="24.9" hidden="1" customHeight="1" x14ac:dyDescent="0.3">
      <c r="A592" s="32" t="s">
        <v>718</v>
      </c>
      <c r="B592" s="33" t="s">
        <v>739</v>
      </c>
      <c r="C592" s="33" t="s">
        <v>720</v>
      </c>
      <c r="D592" s="33" t="s">
        <v>740</v>
      </c>
      <c r="E592" s="33" t="s">
        <v>799</v>
      </c>
      <c r="F592" s="34" t="s">
        <v>127</v>
      </c>
      <c r="G592" s="40"/>
      <c r="H592" s="27"/>
    </row>
    <row r="593" spans="1:8" ht="24.9" hidden="1" customHeight="1" x14ac:dyDescent="0.3">
      <c r="A593" s="32" t="s">
        <v>718</v>
      </c>
      <c r="B593" s="33" t="s">
        <v>739</v>
      </c>
      <c r="C593" s="33" t="s">
        <v>720</v>
      </c>
      <c r="D593" s="33" t="s">
        <v>740</v>
      </c>
      <c r="E593" s="33" t="s">
        <v>737</v>
      </c>
      <c r="F593" s="34" t="s">
        <v>167</v>
      </c>
      <c r="G593" s="40"/>
      <c r="H593" s="27"/>
    </row>
    <row r="594" spans="1:8" ht="24.9" hidden="1" customHeight="1" x14ac:dyDescent="0.3">
      <c r="A594" s="32" t="s">
        <v>718</v>
      </c>
      <c r="B594" s="33" t="s">
        <v>757</v>
      </c>
      <c r="C594" s="33" t="s">
        <v>725</v>
      </c>
      <c r="D594" s="33" t="s">
        <v>754</v>
      </c>
      <c r="E594" s="33" t="s">
        <v>775</v>
      </c>
      <c r="F594" s="34" t="s">
        <v>167</v>
      </c>
      <c r="G594" s="40"/>
      <c r="H594" s="27"/>
    </row>
    <row r="595" spans="1:8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731</v>
      </c>
      <c r="F595" s="34" t="s">
        <v>127</v>
      </c>
      <c r="G595" s="40"/>
      <c r="H595" s="27"/>
    </row>
    <row r="596" spans="1:8" ht="24.9" hidden="1" customHeight="1" x14ac:dyDescent="0.3">
      <c r="A596" s="32" t="s">
        <v>718</v>
      </c>
      <c r="B596" s="33" t="s">
        <v>728</v>
      </c>
      <c r="C596" s="33" t="s">
        <v>729</v>
      </c>
      <c r="D596" s="33" t="s">
        <v>730</v>
      </c>
      <c r="E596" s="33" t="s">
        <v>711</v>
      </c>
      <c r="F596" s="34" t="s">
        <v>127</v>
      </c>
      <c r="G596" s="40"/>
      <c r="H596" s="27"/>
    </row>
    <row r="597" spans="1:8" ht="24.9" hidden="1" customHeight="1" x14ac:dyDescent="0.3">
      <c r="A597" s="32" t="s">
        <v>718</v>
      </c>
      <c r="B597" s="33" t="s">
        <v>728</v>
      </c>
      <c r="C597" s="33" t="s">
        <v>729</v>
      </c>
      <c r="D597" s="33" t="s">
        <v>730</v>
      </c>
      <c r="E597" s="33" t="s">
        <v>130</v>
      </c>
      <c r="F597" s="34" t="s">
        <v>167</v>
      </c>
      <c r="G597" s="40"/>
      <c r="H597" s="27"/>
    </row>
    <row r="598" spans="1:8" ht="24.9" hidden="1" customHeight="1" x14ac:dyDescent="0.3">
      <c r="A598" s="32" t="s">
        <v>718</v>
      </c>
      <c r="B598" s="33" t="s">
        <v>728</v>
      </c>
      <c r="C598" s="33" t="s">
        <v>729</v>
      </c>
      <c r="D598" s="33" t="s">
        <v>730</v>
      </c>
      <c r="E598" s="33" t="s">
        <v>746</v>
      </c>
      <c r="F598" s="34" t="s">
        <v>167</v>
      </c>
      <c r="G598" s="40"/>
      <c r="H598" s="27"/>
    </row>
    <row r="599" spans="1:8" ht="24.9" hidden="1" customHeight="1" x14ac:dyDescent="0.3">
      <c r="A599" s="32" t="s">
        <v>718</v>
      </c>
      <c r="B599" s="33" t="s">
        <v>728</v>
      </c>
      <c r="C599" s="33" t="s">
        <v>729</v>
      </c>
      <c r="D599" s="33" t="s">
        <v>730</v>
      </c>
      <c r="E599" s="33" t="s">
        <v>798</v>
      </c>
      <c r="F599" s="34" t="s">
        <v>167</v>
      </c>
      <c r="G599" s="40"/>
      <c r="H599" s="27"/>
    </row>
    <row r="600" spans="1:8" ht="24.9" hidden="1" customHeight="1" x14ac:dyDescent="0.3">
      <c r="A600" s="32" t="s">
        <v>718</v>
      </c>
      <c r="B600" s="33" t="s">
        <v>741</v>
      </c>
      <c r="C600" s="33" t="s">
        <v>720</v>
      </c>
      <c r="D600" s="33" t="s">
        <v>742</v>
      </c>
      <c r="E600" s="33" t="s">
        <v>130</v>
      </c>
      <c r="F600" s="34" t="s">
        <v>127</v>
      </c>
      <c r="G600" s="40"/>
      <c r="H600" s="27"/>
    </row>
    <row r="601" spans="1:8" ht="24.9" hidden="1" customHeight="1" x14ac:dyDescent="0.3">
      <c r="A601" s="32" t="s">
        <v>718</v>
      </c>
      <c r="B601" s="33" t="s">
        <v>741</v>
      </c>
      <c r="C601" s="33" t="s">
        <v>720</v>
      </c>
      <c r="D601" s="33" t="s">
        <v>742</v>
      </c>
      <c r="E601" s="33" t="s">
        <v>711</v>
      </c>
      <c r="F601" s="34" t="s">
        <v>127</v>
      </c>
      <c r="G601" s="40"/>
      <c r="H601" s="27"/>
    </row>
    <row r="602" spans="1:8" ht="24.9" hidden="1" customHeight="1" x14ac:dyDescent="0.3">
      <c r="A602" s="32" t="s">
        <v>718</v>
      </c>
      <c r="B602" s="33" t="s">
        <v>741</v>
      </c>
      <c r="C602" s="33" t="s">
        <v>720</v>
      </c>
      <c r="D602" s="33" t="s">
        <v>742</v>
      </c>
      <c r="E602" s="33" t="s">
        <v>737</v>
      </c>
      <c r="F602" s="34" t="s">
        <v>167</v>
      </c>
      <c r="G602" s="40"/>
      <c r="H602" s="27"/>
    </row>
    <row r="603" spans="1:8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731</v>
      </c>
      <c r="F603" s="34" t="s">
        <v>127</v>
      </c>
      <c r="G603" s="40"/>
      <c r="H603" s="27"/>
    </row>
    <row r="604" spans="1:8" ht="24.9" hidden="1" customHeight="1" x14ac:dyDescent="0.3">
      <c r="A604" s="32" t="s">
        <v>718</v>
      </c>
      <c r="B604" s="33" t="s">
        <v>733</v>
      </c>
      <c r="C604" s="33" t="s">
        <v>729</v>
      </c>
      <c r="D604" s="33" t="s">
        <v>734</v>
      </c>
      <c r="E604" s="33" t="s">
        <v>711</v>
      </c>
      <c r="F604" s="34" t="s">
        <v>127</v>
      </c>
      <c r="G604" s="40"/>
      <c r="H604" s="27"/>
    </row>
    <row r="605" spans="1:8" ht="24.9" hidden="1" customHeight="1" x14ac:dyDescent="0.3">
      <c r="A605" s="32" t="s">
        <v>718</v>
      </c>
      <c r="B605" s="33" t="s">
        <v>733</v>
      </c>
      <c r="C605" s="33" t="s">
        <v>729</v>
      </c>
      <c r="D605" s="33" t="s">
        <v>734</v>
      </c>
      <c r="E605" s="33" t="s">
        <v>746</v>
      </c>
      <c r="F605" s="34" t="s">
        <v>127</v>
      </c>
      <c r="G605" s="40"/>
      <c r="H605" s="27"/>
    </row>
    <row r="606" spans="1:8" ht="24.9" hidden="1" customHeight="1" x14ac:dyDescent="0.3">
      <c r="A606" s="32" t="s">
        <v>718</v>
      </c>
      <c r="B606" s="33" t="s">
        <v>733</v>
      </c>
      <c r="C606" s="33" t="s">
        <v>729</v>
      </c>
      <c r="D606" s="33" t="s">
        <v>734</v>
      </c>
      <c r="E606" s="33" t="s">
        <v>130</v>
      </c>
      <c r="F606" s="34" t="s">
        <v>167</v>
      </c>
      <c r="G606" s="40"/>
      <c r="H606" s="27"/>
    </row>
    <row r="607" spans="1:8" ht="24.9" hidden="1" customHeight="1" x14ac:dyDescent="0.3">
      <c r="A607" s="32" t="s">
        <v>718</v>
      </c>
      <c r="B607" s="33" t="s">
        <v>733</v>
      </c>
      <c r="C607" s="33" t="s">
        <v>729</v>
      </c>
      <c r="D607" s="33" t="s">
        <v>734</v>
      </c>
      <c r="E607" s="33" t="s">
        <v>798</v>
      </c>
      <c r="F607" s="34" t="s">
        <v>167</v>
      </c>
      <c r="G607" s="40"/>
      <c r="H607" s="27"/>
    </row>
    <row r="608" spans="1:8" ht="24.9" hidden="1" customHeight="1" x14ac:dyDescent="0.3">
      <c r="A608" s="32" t="s">
        <v>718</v>
      </c>
      <c r="B608" s="33" t="s">
        <v>744</v>
      </c>
      <c r="C608" s="33" t="s">
        <v>720</v>
      </c>
      <c r="D608" s="33" t="s">
        <v>745</v>
      </c>
      <c r="E608" s="33" t="s">
        <v>130</v>
      </c>
      <c r="F608" s="34" t="s">
        <v>127</v>
      </c>
      <c r="G608" s="40"/>
      <c r="H608" s="27"/>
    </row>
    <row r="609" spans="1:8" ht="24.9" hidden="1" customHeight="1" x14ac:dyDescent="0.3">
      <c r="A609" s="32" t="s">
        <v>718</v>
      </c>
      <c r="B609" s="33" t="s">
        <v>744</v>
      </c>
      <c r="C609" s="33" t="s">
        <v>720</v>
      </c>
      <c r="D609" s="33" t="s">
        <v>745</v>
      </c>
      <c r="E609" s="33" t="s">
        <v>711</v>
      </c>
      <c r="F609" s="34" t="s">
        <v>127</v>
      </c>
      <c r="G609" s="40"/>
      <c r="H609" s="27"/>
    </row>
    <row r="610" spans="1:8" ht="24.9" hidden="1" customHeight="1" x14ac:dyDescent="0.3">
      <c r="A610" s="32" t="s">
        <v>718</v>
      </c>
      <c r="B610" s="33" t="s">
        <v>744</v>
      </c>
      <c r="C610" s="33" t="s">
        <v>720</v>
      </c>
      <c r="D610" s="33" t="s">
        <v>745</v>
      </c>
      <c r="E610" s="33" t="s">
        <v>737</v>
      </c>
      <c r="F610" s="34" t="s">
        <v>167</v>
      </c>
      <c r="G610" s="40"/>
      <c r="H610" s="27"/>
    </row>
    <row r="611" spans="1:8" ht="24.9" hidden="1" customHeight="1" x14ac:dyDescent="0.3">
      <c r="A611" s="32" t="s">
        <v>718</v>
      </c>
      <c r="B611" s="33" t="s">
        <v>749</v>
      </c>
      <c r="C611" s="33" t="s">
        <v>720</v>
      </c>
      <c r="D611" s="33" t="s">
        <v>750</v>
      </c>
      <c r="E611" s="33" t="s">
        <v>751</v>
      </c>
      <c r="F611" s="34" t="s">
        <v>127</v>
      </c>
      <c r="G611" s="40"/>
      <c r="H611" s="27"/>
    </row>
    <row r="612" spans="1:8" ht="24.9" hidden="1" customHeight="1" x14ac:dyDescent="0.3">
      <c r="A612" s="32" t="s">
        <v>718</v>
      </c>
      <c r="B612" s="33" t="s">
        <v>749</v>
      </c>
      <c r="C612" s="33" t="s">
        <v>720</v>
      </c>
      <c r="D612" s="33" t="s">
        <v>750</v>
      </c>
      <c r="E612" s="33" t="s">
        <v>752</v>
      </c>
      <c r="F612" s="34" t="s">
        <v>127</v>
      </c>
      <c r="G612" s="40"/>
      <c r="H612" s="27"/>
    </row>
    <row r="613" spans="1:8" ht="24.9" hidden="1" customHeight="1" x14ac:dyDescent="0.3">
      <c r="A613" s="32" t="s">
        <v>718</v>
      </c>
      <c r="B613" s="33" t="s">
        <v>753</v>
      </c>
      <c r="C613" s="33" t="s">
        <v>725</v>
      </c>
      <c r="D613" s="33" t="s">
        <v>754</v>
      </c>
      <c r="E613" s="33" t="s">
        <v>756</v>
      </c>
      <c r="F613" s="34" t="s">
        <v>127</v>
      </c>
      <c r="G613" s="40"/>
      <c r="H613" s="27"/>
    </row>
    <row r="614" spans="1:8" ht="24.9" hidden="1" customHeight="1" x14ac:dyDescent="0.3">
      <c r="A614" s="32" t="s">
        <v>718</v>
      </c>
      <c r="B614" s="33" t="s">
        <v>753</v>
      </c>
      <c r="C614" s="33" t="s">
        <v>725</v>
      </c>
      <c r="D614" s="33" t="s">
        <v>754</v>
      </c>
      <c r="E614" s="33" t="s">
        <v>755</v>
      </c>
      <c r="F614" s="34" t="s">
        <v>167</v>
      </c>
      <c r="G614" s="40"/>
      <c r="H614" s="27"/>
    </row>
    <row r="615" spans="1:8" ht="15.75" hidden="1" customHeight="1" x14ac:dyDescent="0.3">
      <c r="A615" s="32"/>
      <c r="B615" s="33"/>
      <c r="C615" s="33"/>
      <c r="D615" s="33"/>
      <c r="E615" s="33"/>
      <c r="F615" s="34"/>
      <c r="G615" s="40"/>
      <c r="H615" s="27"/>
    </row>
    <row r="1048021" spans="9:9" ht="15" customHeight="1" x14ac:dyDescent="0.3">
      <c r="I1048021" s="118"/>
    </row>
    <row r="1048022" spans="9:9" ht="15" customHeight="1" x14ac:dyDescent="0.3">
      <c r="I1048022" s="118"/>
    </row>
    <row r="1048023" spans="9:9" ht="15" customHeight="1" x14ac:dyDescent="0.3">
      <c r="I1048023" s="119"/>
    </row>
    <row r="1048024" spans="9:9" ht="15" customHeight="1" x14ac:dyDescent="0.3">
      <c r="I1048024" s="111"/>
    </row>
    <row r="1048025" spans="9:9" ht="15" customHeight="1" x14ac:dyDescent="0.3">
      <c r="I1048025" s="27"/>
    </row>
    <row r="1048026" spans="9:9" ht="15" customHeight="1" x14ac:dyDescent="0.3">
      <c r="I1048026" s="27"/>
    </row>
    <row r="1048027" spans="9:9" ht="15" customHeight="1" x14ac:dyDescent="0.3">
      <c r="I1048027" s="27"/>
    </row>
    <row r="1048028" spans="9:9" ht="15" customHeight="1" x14ac:dyDescent="0.3">
      <c r="I1048028" s="27"/>
    </row>
    <row r="1048029" spans="9:9" ht="15" customHeight="1" x14ac:dyDescent="0.3">
      <c r="I1048029" s="27"/>
    </row>
    <row r="1048030" spans="9:9" ht="15" customHeight="1" x14ac:dyDescent="0.3">
      <c r="I1048030" s="27"/>
    </row>
    <row r="1048031" spans="9:9" ht="15" customHeight="1" x14ac:dyDescent="0.3">
      <c r="I1048031" s="27"/>
    </row>
    <row r="1048032" spans="9:9" ht="15" customHeight="1" x14ac:dyDescent="0.3">
      <c r="I1048032" s="27"/>
    </row>
    <row r="1048033" spans="9:9" ht="15" customHeight="1" x14ac:dyDescent="0.3">
      <c r="I1048033" s="27"/>
    </row>
    <row r="1048034" spans="9:9" ht="15" customHeight="1" x14ac:dyDescent="0.3">
      <c r="I1048034" s="27"/>
    </row>
    <row r="1048035" spans="9:9" ht="15" customHeight="1" x14ac:dyDescent="0.3">
      <c r="I1048035" s="27"/>
    </row>
    <row r="1048036" spans="9:9" ht="15" customHeight="1" x14ac:dyDescent="0.3">
      <c r="I1048036" s="27"/>
    </row>
    <row r="1048037" spans="9:9" ht="15" customHeight="1" x14ac:dyDescent="0.3">
      <c r="I1048037" s="27"/>
    </row>
    <row r="1048038" spans="9:9" ht="15" customHeight="1" x14ac:dyDescent="0.3">
      <c r="I1048038" s="27"/>
    </row>
    <row r="1048039" spans="9:9" ht="15" customHeight="1" x14ac:dyDescent="0.3">
      <c r="I1048039" s="27"/>
    </row>
    <row r="1048040" spans="9:9" ht="15" customHeight="1" x14ac:dyDescent="0.3">
      <c r="I1048040" s="27"/>
    </row>
    <row r="1048041" spans="9:9" ht="15" customHeight="1" x14ac:dyDescent="0.3">
      <c r="I1048041" s="27"/>
    </row>
    <row r="1048042" spans="9:9" ht="15" customHeight="1" x14ac:dyDescent="0.3">
      <c r="I1048042" s="27"/>
    </row>
    <row r="1048043" spans="9:9" ht="15" customHeight="1" x14ac:dyDescent="0.3">
      <c r="I1048043" s="27"/>
    </row>
    <row r="1048044" spans="9:9" ht="15" customHeight="1" x14ac:dyDescent="0.3">
      <c r="I1048044" s="27"/>
    </row>
    <row r="1048045" spans="9:9" ht="15" customHeight="1" x14ac:dyDescent="0.3">
      <c r="I1048045" s="27"/>
    </row>
    <row r="1048046" spans="9:9" ht="15" customHeight="1" x14ac:dyDescent="0.3">
      <c r="I1048046" s="27"/>
    </row>
    <row r="1048047" spans="9:9" ht="15" customHeight="1" x14ac:dyDescent="0.3">
      <c r="I1048047" s="27"/>
    </row>
    <row r="1048048" spans="9:9" ht="15" customHeight="1" x14ac:dyDescent="0.3">
      <c r="I1048048" s="27"/>
    </row>
    <row r="1048049" spans="9:9" ht="15" customHeight="1" x14ac:dyDescent="0.3">
      <c r="I1048049" s="27"/>
    </row>
    <row r="1048050" spans="9:9" ht="15" customHeight="1" x14ac:dyDescent="0.3">
      <c r="I1048050" s="27"/>
    </row>
    <row r="1048051" spans="9:9" ht="15" customHeight="1" x14ac:dyDescent="0.3">
      <c r="I1048051" s="27"/>
    </row>
    <row r="1048052" spans="9:9" ht="15" customHeight="1" x14ac:dyDescent="0.3">
      <c r="I1048052" s="27"/>
    </row>
    <row r="1048053" spans="9:9" ht="15" customHeight="1" x14ac:dyDescent="0.3">
      <c r="I1048053" s="27"/>
    </row>
    <row r="1048054" spans="9:9" ht="15" customHeight="1" x14ac:dyDescent="0.3">
      <c r="I1048054" s="27"/>
    </row>
    <row r="1048055" spans="9:9" ht="15" customHeight="1" x14ac:dyDescent="0.3">
      <c r="I1048055" s="27"/>
    </row>
    <row r="1048056" spans="9:9" ht="15" customHeight="1" x14ac:dyDescent="0.3">
      <c r="I1048056" s="27"/>
    </row>
    <row r="1048057" spans="9:9" ht="15" customHeight="1" x14ac:dyDescent="0.3">
      <c r="I1048057" s="27"/>
    </row>
    <row r="1048058" spans="9:9" ht="15" customHeight="1" x14ac:dyDescent="0.3">
      <c r="I1048058" s="27"/>
    </row>
    <row r="1048059" spans="9:9" ht="15" customHeight="1" x14ac:dyDescent="0.3">
      <c r="I1048059" s="27"/>
    </row>
    <row r="1048060" spans="9:9" ht="15" customHeight="1" x14ac:dyDescent="0.3">
      <c r="I1048060" s="27"/>
    </row>
    <row r="1048061" spans="9:9" ht="15" customHeight="1" x14ac:dyDescent="0.3">
      <c r="I1048061" s="27"/>
    </row>
    <row r="1048062" spans="9:9" ht="15" customHeight="1" x14ac:dyDescent="0.3">
      <c r="I1048062" s="27"/>
    </row>
    <row r="1048063" spans="9:9" ht="15" customHeight="1" x14ac:dyDescent="0.3">
      <c r="I1048063" s="27"/>
    </row>
    <row r="1048064" spans="9:9" ht="15" customHeight="1" x14ac:dyDescent="0.3">
      <c r="I1048064" s="27"/>
    </row>
    <row r="1048065" spans="9:9" ht="15" customHeight="1" x14ac:dyDescent="0.3">
      <c r="I1048065" s="27"/>
    </row>
    <row r="1048066" spans="9:9" ht="15" customHeight="1" x14ac:dyDescent="0.3">
      <c r="I1048066" s="27"/>
    </row>
    <row r="1048067" spans="9:9" ht="15" customHeight="1" x14ac:dyDescent="0.3">
      <c r="I1048067" s="27"/>
    </row>
    <row r="1048068" spans="9:9" ht="15" customHeight="1" x14ac:dyDescent="0.3">
      <c r="I1048068" s="27"/>
    </row>
    <row r="1048069" spans="9:9" ht="15" customHeight="1" x14ac:dyDescent="0.3">
      <c r="I1048069" s="27"/>
    </row>
    <row r="1048070" spans="9:9" ht="15" customHeight="1" x14ac:dyDescent="0.3">
      <c r="I1048070" s="27"/>
    </row>
    <row r="1048071" spans="9:9" ht="15" customHeight="1" x14ac:dyDescent="0.3">
      <c r="I1048071" s="27"/>
    </row>
    <row r="1048072" spans="9:9" ht="15" customHeight="1" x14ac:dyDescent="0.3">
      <c r="I1048072" s="27"/>
    </row>
    <row r="1048073" spans="9:9" ht="15" customHeight="1" x14ac:dyDescent="0.3">
      <c r="I1048073" s="27"/>
    </row>
    <row r="1048074" spans="9:9" ht="15" customHeight="1" x14ac:dyDescent="0.3">
      <c r="I1048074" s="27"/>
    </row>
    <row r="1048075" spans="9:9" ht="15" customHeight="1" x14ac:dyDescent="0.3">
      <c r="I1048075" s="27"/>
    </row>
    <row r="1048076" spans="9:9" ht="15" customHeight="1" x14ac:dyDescent="0.3">
      <c r="I1048076" s="27"/>
    </row>
    <row r="1048077" spans="9:9" ht="15" customHeight="1" x14ac:dyDescent="0.3">
      <c r="I1048077" s="27"/>
    </row>
    <row r="1048078" spans="9:9" ht="15" customHeight="1" x14ac:dyDescent="0.3">
      <c r="I1048078" s="27"/>
    </row>
    <row r="1048079" spans="9:9" ht="15" customHeight="1" x14ac:dyDescent="0.3">
      <c r="I1048079" s="27"/>
    </row>
  </sheetData>
  <autoFilter ref="A4:GD615" xr:uid="{00000000-0001-0000-0000-000000000000}">
    <filterColumn colId="5">
      <filters>
        <filter val="SEMANAL"/>
      </filters>
    </filterColumn>
    <sortState xmlns:xlrd2="http://schemas.microsoft.com/office/spreadsheetml/2017/richdata2" ref="A98:GD590">
      <sortCondition ref="A4:A615"/>
    </sortState>
  </autoFilter>
  <mergeCells count="1">
    <mergeCell ref="H1:L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ASSINATURA:                                                                  &amp;RPágina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673E-D33E-4EEE-8829-A25E62F3E9E3}">
  <sheetPr filterMode="1">
    <pageSetUpPr fitToPage="1"/>
  </sheetPr>
  <dimension ref="A1:GF615"/>
  <sheetViews>
    <sheetView showGridLines="0" zoomScale="90" zoomScaleNormal="90" workbookViewId="0">
      <pane xSplit="6" ySplit="4" topLeftCell="I5" activePane="bottomRight" state="frozen"/>
      <selection pane="topRight" activeCell="I1" sqref="I1"/>
      <selection pane="bottomLeft" activeCell="A4" sqref="A4"/>
      <selection pane="bottomRight" activeCell="D92" sqref="D92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2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127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127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222</v>
      </c>
      <c r="F51" s="44" t="s">
        <v>167</v>
      </c>
      <c r="G51" s="40"/>
      <c r="H51" s="45" t="s">
        <v>224</v>
      </c>
      <c r="I51" s="35" t="s">
        <v>223</v>
      </c>
      <c r="J51" s="27"/>
    </row>
    <row r="52" spans="1:10" ht="24.9" hidden="1" customHeight="1" x14ac:dyDescent="0.3">
      <c r="A52" s="32">
        <v>80</v>
      </c>
      <c r="B52" s="33" t="s">
        <v>208</v>
      </c>
      <c r="C52" s="33" t="s">
        <v>193</v>
      </c>
      <c r="D52" s="33" t="s">
        <v>209</v>
      </c>
      <c r="E52" s="33" t="s">
        <v>210</v>
      </c>
      <c r="F52" s="34" t="s">
        <v>127</v>
      </c>
      <c r="G52" s="40"/>
      <c r="H52" s="40"/>
      <c r="I52" s="35" t="s">
        <v>205</v>
      </c>
      <c r="J52" s="27"/>
    </row>
    <row r="53" spans="1:10" ht="24.9" hidden="1" customHeight="1" x14ac:dyDescent="0.3">
      <c r="A53" s="32">
        <v>80</v>
      </c>
      <c r="B53" s="33" t="s">
        <v>215</v>
      </c>
      <c r="C53" s="33" t="s">
        <v>198</v>
      </c>
      <c r="D53" s="33" t="s">
        <v>216</v>
      </c>
      <c r="E53" s="33" t="s">
        <v>217</v>
      </c>
      <c r="F53" s="34"/>
      <c r="G53" s="40"/>
      <c r="H53" s="40"/>
      <c r="I53" s="35"/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213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214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211</v>
      </c>
      <c r="C56" s="33" t="s">
        <v>193</v>
      </c>
      <c r="D56" s="33" t="s">
        <v>212</v>
      </c>
      <c r="E56" s="33" t="s">
        <v>160</v>
      </c>
      <c r="F56" s="34" t="s">
        <v>127</v>
      </c>
      <c r="G56" s="40"/>
      <c r="H56" s="40"/>
      <c r="I56" s="35" t="s">
        <v>205</v>
      </c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764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195</v>
      </c>
      <c r="F58" s="34" t="s">
        <v>167</v>
      </c>
      <c r="G58" s="40"/>
      <c r="H58" s="40"/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765</v>
      </c>
      <c r="F59" s="34" t="s">
        <v>99</v>
      </c>
      <c r="G59" s="40"/>
      <c r="H59" s="40" t="s">
        <v>543</v>
      </c>
      <c r="I59" s="35"/>
      <c r="J59" s="27"/>
    </row>
    <row r="60" spans="1:10" ht="24.9" hidden="1" customHeight="1" x14ac:dyDescent="0.3">
      <c r="A60" s="32">
        <v>80</v>
      </c>
      <c r="B60" s="33" t="s">
        <v>192</v>
      </c>
      <c r="C60" s="33" t="s">
        <v>193</v>
      </c>
      <c r="D60" s="33" t="s">
        <v>194</v>
      </c>
      <c r="E60" s="33" t="s">
        <v>225</v>
      </c>
      <c r="F60" s="34" t="s">
        <v>127</v>
      </c>
      <c r="G60" s="40"/>
      <c r="H60" s="40" t="s">
        <v>227</v>
      </c>
      <c r="I60" s="35" t="s">
        <v>226</v>
      </c>
      <c r="J60" s="27"/>
    </row>
    <row r="61" spans="1:10" ht="24.9" hidden="1" customHeight="1" x14ac:dyDescent="0.3">
      <c r="A61" s="32">
        <v>80</v>
      </c>
      <c r="B61" s="33" t="s">
        <v>206</v>
      </c>
      <c r="C61" s="33" t="s">
        <v>193</v>
      </c>
      <c r="D61" s="33" t="s">
        <v>207</v>
      </c>
      <c r="E61" s="33" t="s">
        <v>768</v>
      </c>
      <c r="F61" s="34" t="s">
        <v>127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767</v>
      </c>
      <c r="F62" s="34" t="s">
        <v>99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173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200</v>
      </c>
      <c r="C64" s="33" t="s">
        <v>193</v>
      </c>
      <c r="D64" s="33" t="s">
        <v>201</v>
      </c>
      <c r="E64" s="33" t="s">
        <v>766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220</v>
      </c>
      <c r="E65" s="33" t="s">
        <v>221</v>
      </c>
      <c r="F65" s="34" t="s">
        <v>127</v>
      </c>
      <c r="G65" s="40"/>
      <c r="H65" s="40"/>
      <c r="I65" s="35"/>
      <c r="J65" s="27"/>
    </row>
    <row r="66" spans="1:10" ht="24.9" hidden="1" customHeight="1" x14ac:dyDescent="0.3">
      <c r="A66" s="32">
        <v>80</v>
      </c>
      <c r="B66" s="33" t="s">
        <v>218</v>
      </c>
      <c r="C66" s="33" t="s">
        <v>219</v>
      </c>
      <c r="D66" s="33" t="s">
        <v>228</v>
      </c>
      <c r="E66" s="33" t="s">
        <v>229</v>
      </c>
      <c r="F66" s="34" t="s">
        <v>167</v>
      </c>
      <c r="G66" s="40"/>
      <c r="H66" s="40" t="s">
        <v>227</v>
      </c>
      <c r="I66" s="35" t="s">
        <v>230</v>
      </c>
      <c r="J66" s="27"/>
    </row>
    <row r="67" spans="1:10" ht="24.9" customHeight="1" x14ac:dyDescent="0.3">
      <c r="A67" s="32">
        <v>92</v>
      </c>
      <c r="B67" s="33" t="s">
        <v>264</v>
      </c>
      <c r="C67" s="33" t="s">
        <v>265</v>
      </c>
      <c r="D67" s="33" t="s">
        <v>758</v>
      </c>
      <c r="E67" s="33" t="s">
        <v>130</v>
      </c>
      <c r="F67" s="34" t="s">
        <v>119</v>
      </c>
      <c r="G67" s="40"/>
      <c r="H67" s="40"/>
      <c r="I67" s="114" t="s">
        <v>266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243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245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769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770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771</v>
      </c>
      <c r="F72" s="34" t="s">
        <v>99</v>
      </c>
      <c r="G72" s="40"/>
      <c r="H72" s="40"/>
      <c r="I72" s="35" t="s">
        <v>248</v>
      </c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772</v>
      </c>
      <c r="F73" s="34" t="s">
        <v>99</v>
      </c>
      <c r="G73" s="40"/>
      <c r="H73" s="40"/>
      <c r="I73" s="35"/>
      <c r="J73" s="27"/>
    </row>
    <row r="74" spans="1:10" ht="24.9" hidden="1" customHeight="1" x14ac:dyDescent="0.3">
      <c r="A74" s="32">
        <v>90</v>
      </c>
      <c r="B74" s="33" t="s">
        <v>246</v>
      </c>
      <c r="C74" s="33" t="s">
        <v>236</v>
      </c>
      <c r="D74" s="33" t="s">
        <v>247</v>
      </c>
      <c r="E74" s="33" t="s">
        <v>773</v>
      </c>
      <c r="F74" s="34" t="s">
        <v>99</v>
      </c>
      <c r="G74" s="40"/>
      <c r="H74" s="40"/>
      <c r="I74" s="35" t="s">
        <v>248</v>
      </c>
      <c r="J74" s="27"/>
    </row>
    <row r="75" spans="1:10" ht="24.9" customHeight="1" x14ac:dyDescent="0.3">
      <c r="A75" s="32">
        <v>92</v>
      </c>
      <c r="B75" s="33" t="s">
        <v>267</v>
      </c>
      <c r="C75" s="33" t="s">
        <v>265</v>
      </c>
      <c r="D75" s="33" t="s">
        <v>268</v>
      </c>
      <c r="E75" s="33" t="s">
        <v>130</v>
      </c>
      <c r="F75" s="34" t="s">
        <v>119</v>
      </c>
      <c r="G75" s="40"/>
      <c r="H75" s="40"/>
      <c r="I75" s="114" t="s">
        <v>266</v>
      </c>
      <c r="J75" s="27"/>
    </row>
    <row r="76" spans="1:10" ht="24.9" customHeight="1" x14ac:dyDescent="0.3">
      <c r="A76" s="32">
        <v>92</v>
      </c>
      <c r="B76" s="33" t="s">
        <v>269</v>
      </c>
      <c r="C76" s="33" t="s">
        <v>265</v>
      </c>
      <c r="D76" s="33" t="s">
        <v>270</v>
      </c>
      <c r="E76" s="33" t="s">
        <v>271</v>
      </c>
      <c r="F76" s="34" t="s">
        <v>119</v>
      </c>
      <c r="G76" s="40"/>
      <c r="H76" s="40"/>
      <c r="I76" s="114"/>
      <c r="J76" s="27"/>
    </row>
    <row r="77" spans="1:10" ht="24.9" customHeight="1" x14ac:dyDescent="0.3">
      <c r="A77" s="32">
        <v>110</v>
      </c>
      <c r="B77" s="33" t="s">
        <v>349</v>
      </c>
      <c r="C77" s="33" t="s">
        <v>317</v>
      </c>
      <c r="D77" s="33" t="s">
        <v>116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110</v>
      </c>
      <c r="B78" s="33" t="s">
        <v>350</v>
      </c>
      <c r="C78" s="33" t="s">
        <v>317</v>
      </c>
      <c r="D78" s="33" t="s">
        <v>351</v>
      </c>
      <c r="E78" s="33" t="s">
        <v>117</v>
      </c>
      <c r="F78" s="34" t="s">
        <v>119</v>
      </c>
      <c r="G78" s="40"/>
      <c r="H78" s="40"/>
      <c r="I78" s="114" t="s">
        <v>120</v>
      </c>
      <c r="J78" s="27"/>
    </row>
    <row r="79" spans="1:10" ht="24.9" customHeight="1" x14ac:dyDescent="0.3">
      <c r="A79" s="32">
        <v>120</v>
      </c>
      <c r="B79" s="33" t="s">
        <v>361</v>
      </c>
      <c r="C79" s="33" t="s">
        <v>362</v>
      </c>
      <c r="D79" s="33" t="s">
        <v>362</v>
      </c>
      <c r="E79" s="33" t="s">
        <v>363</v>
      </c>
      <c r="F79" s="34" t="s">
        <v>119</v>
      </c>
      <c r="G79" s="40"/>
      <c r="H79" s="40"/>
      <c r="I79" s="114" t="s">
        <v>364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774</v>
      </c>
      <c r="F80" s="34" t="s">
        <v>167</v>
      </c>
      <c r="G80" s="40"/>
      <c r="H80" s="40"/>
      <c r="I80" s="35" t="s">
        <v>248</v>
      </c>
      <c r="J80" s="27"/>
    </row>
    <row r="81" spans="1:10" ht="24.9" hidden="1" customHeight="1" x14ac:dyDescent="0.3">
      <c r="A81" s="32">
        <v>90</v>
      </c>
      <c r="B81" s="33" t="s">
        <v>249</v>
      </c>
      <c r="C81" s="33" t="s">
        <v>236</v>
      </c>
      <c r="D81" s="33" t="s">
        <v>250</v>
      </c>
      <c r="E81" s="33" t="s">
        <v>251</v>
      </c>
      <c r="F81" s="34" t="s">
        <v>99</v>
      </c>
      <c r="G81" s="40"/>
      <c r="H81" s="40"/>
      <c r="I81" s="35" t="s">
        <v>248</v>
      </c>
      <c r="J81" s="27"/>
    </row>
    <row r="82" spans="1:10" ht="24.9" customHeight="1" x14ac:dyDescent="0.3">
      <c r="A82" s="32">
        <v>140</v>
      </c>
      <c r="B82" s="33" t="s">
        <v>475</v>
      </c>
      <c r="C82" s="33" t="s">
        <v>473</v>
      </c>
      <c r="D82" s="33" t="s">
        <v>476</v>
      </c>
      <c r="E82" s="33" t="s">
        <v>240</v>
      </c>
      <c r="F82" s="34" t="s">
        <v>119</v>
      </c>
      <c r="G82" s="40"/>
      <c r="H82" s="40"/>
      <c r="I82" s="114"/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243</v>
      </c>
      <c r="F83" s="34" t="s">
        <v>99</v>
      </c>
      <c r="G83" s="40"/>
      <c r="H83" s="40"/>
      <c r="I83" s="35" t="s">
        <v>248</v>
      </c>
      <c r="J83" s="27"/>
    </row>
    <row r="84" spans="1:10" ht="24.9" hidden="1" customHeight="1" x14ac:dyDescent="0.3">
      <c r="A84" s="32">
        <v>90</v>
      </c>
      <c r="B84" s="33" t="s">
        <v>253</v>
      </c>
      <c r="C84" s="33" t="s">
        <v>236</v>
      </c>
      <c r="D84" s="33" t="s">
        <v>254</v>
      </c>
      <c r="E84" s="33" t="s">
        <v>772</v>
      </c>
      <c r="F84" s="34" t="s">
        <v>99</v>
      </c>
      <c r="G84" s="40"/>
      <c r="H84" s="40"/>
      <c r="I84" s="35"/>
      <c r="J84" s="27"/>
    </row>
    <row r="85" spans="1:10" ht="24.9" customHeight="1" x14ac:dyDescent="0.3">
      <c r="A85" s="32">
        <v>140</v>
      </c>
      <c r="B85" s="33" t="s">
        <v>475</v>
      </c>
      <c r="C85" s="33" t="s">
        <v>473</v>
      </c>
      <c r="D85" s="33" t="s">
        <v>476</v>
      </c>
      <c r="E85" s="33" t="s">
        <v>477</v>
      </c>
      <c r="F85" s="34" t="s">
        <v>119</v>
      </c>
      <c r="G85" s="40"/>
      <c r="H85" s="40"/>
      <c r="I85" s="114" t="s">
        <v>120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243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160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241</v>
      </c>
      <c r="C88" s="33" t="s">
        <v>232</v>
      </c>
      <c r="D88" s="33" t="s">
        <v>242</v>
      </c>
      <c r="E88" s="33" t="s">
        <v>245</v>
      </c>
      <c r="F88" s="34" t="s">
        <v>99</v>
      </c>
      <c r="G88" s="40"/>
      <c r="H88" s="40"/>
      <c r="I88" s="35" t="s">
        <v>244</v>
      </c>
      <c r="J88" s="27"/>
    </row>
    <row r="89" spans="1:10" ht="24.9" hidden="1" customHeight="1" x14ac:dyDescent="0.3">
      <c r="A89" s="32">
        <v>90</v>
      </c>
      <c r="B89" s="33" t="s">
        <v>231</v>
      </c>
      <c r="C89" s="33" t="s">
        <v>232</v>
      </c>
      <c r="D89" s="33" t="s">
        <v>233</v>
      </c>
      <c r="E89" s="33" t="s">
        <v>225</v>
      </c>
      <c r="F89" s="34" t="s">
        <v>167</v>
      </c>
      <c r="G89" s="40"/>
      <c r="H89" s="51" t="s">
        <v>850</v>
      </c>
      <c r="I89" s="35" t="s">
        <v>234</v>
      </c>
      <c r="J89" s="27"/>
    </row>
    <row r="90" spans="1:10" ht="24.9" hidden="1" customHeight="1" x14ac:dyDescent="0.3">
      <c r="A90" s="32">
        <v>90</v>
      </c>
      <c r="B90" s="33" t="s">
        <v>231</v>
      </c>
      <c r="C90" s="33" t="s">
        <v>232</v>
      </c>
      <c r="D90" s="33" t="s">
        <v>233</v>
      </c>
      <c r="E90" s="33" t="s">
        <v>262</v>
      </c>
      <c r="F90" s="44" t="s">
        <v>167</v>
      </c>
      <c r="G90" s="40"/>
      <c r="H90" s="45" t="s">
        <v>224</v>
      </c>
      <c r="I90" s="35" t="s">
        <v>263</v>
      </c>
      <c r="J90" s="27"/>
    </row>
    <row r="91" spans="1:10" ht="24.9" customHeight="1" x14ac:dyDescent="0.3">
      <c r="A91" s="32">
        <v>140</v>
      </c>
      <c r="B91" s="33" t="s">
        <v>480</v>
      </c>
      <c r="C91" s="33" t="s">
        <v>473</v>
      </c>
      <c r="D91" s="33" t="s">
        <v>481</v>
      </c>
      <c r="E91" s="33" t="s">
        <v>240</v>
      </c>
      <c r="F91" s="34" t="s">
        <v>119</v>
      </c>
      <c r="G91" s="40"/>
      <c r="H91" s="40"/>
      <c r="I91" s="114"/>
      <c r="J91" s="27"/>
    </row>
    <row r="92" spans="1:10" ht="24.9" customHeight="1" x14ac:dyDescent="0.3">
      <c r="A92" s="32">
        <v>140</v>
      </c>
      <c r="B92" s="33" t="s">
        <v>480</v>
      </c>
      <c r="C92" s="33" t="s">
        <v>473</v>
      </c>
      <c r="D92" s="33" t="s">
        <v>481</v>
      </c>
      <c r="E92" s="33" t="s">
        <v>477</v>
      </c>
      <c r="F92" s="34" t="s">
        <v>119</v>
      </c>
      <c r="G92" s="40"/>
      <c r="H92" s="40"/>
      <c r="I92" s="114" t="s">
        <v>120</v>
      </c>
      <c r="J92" s="27"/>
    </row>
    <row r="93" spans="1:10" ht="24.9" hidden="1" customHeight="1" x14ac:dyDescent="0.3">
      <c r="A93" s="32">
        <v>90</v>
      </c>
      <c r="B93" s="33" t="s">
        <v>252</v>
      </c>
      <c r="C93" s="33" t="s">
        <v>232</v>
      </c>
      <c r="D93" s="33" t="s">
        <v>250</v>
      </c>
      <c r="E93" s="33" t="s">
        <v>251</v>
      </c>
      <c r="F93" s="34" t="s">
        <v>99</v>
      </c>
      <c r="G93" s="40"/>
      <c r="H93" s="51"/>
      <c r="I93" s="35" t="s">
        <v>244</v>
      </c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173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90</v>
      </c>
      <c r="B95" s="33" t="s">
        <v>845</v>
      </c>
      <c r="C95" s="33" t="s">
        <v>232</v>
      </c>
      <c r="D95" s="33" t="s">
        <v>254</v>
      </c>
      <c r="E95" s="33" t="s">
        <v>243</v>
      </c>
      <c r="F95" s="34" t="s">
        <v>99</v>
      </c>
      <c r="G95" s="40"/>
      <c r="H95" s="40"/>
      <c r="I95" s="35"/>
      <c r="J95" s="27"/>
    </row>
    <row r="96" spans="1:10" ht="24.9" customHeight="1" x14ac:dyDescent="0.3">
      <c r="A96" s="32" t="s">
        <v>546</v>
      </c>
      <c r="B96" s="33" t="s">
        <v>561</v>
      </c>
      <c r="C96" s="33" t="s">
        <v>562</v>
      </c>
      <c r="D96" s="33" t="s">
        <v>563</v>
      </c>
      <c r="E96" s="33" t="s">
        <v>580</v>
      </c>
      <c r="F96" s="34" t="s">
        <v>119</v>
      </c>
      <c r="G96" s="40"/>
      <c r="H96" s="53"/>
      <c r="I96" s="114"/>
      <c r="J96" s="27"/>
    </row>
    <row r="97" spans="1:10" ht="24.9" hidden="1" customHeight="1" x14ac:dyDescent="0.3">
      <c r="A97" s="32">
        <v>92</v>
      </c>
      <c r="B97" s="33" t="s">
        <v>264</v>
      </c>
      <c r="C97" s="33" t="s">
        <v>265</v>
      </c>
      <c r="D97" s="33" t="s">
        <v>278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90</v>
      </c>
      <c r="B98" s="33" t="s">
        <v>255</v>
      </c>
      <c r="C98" s="33" t="s">
        <v>232</v>
      </c>
      <c r="D98" s="33" t="s">
        <v>256</v>
      </c>
      <c r="E98" s="33" t="s">
        <v>173</v>
      </c>
      <c r="F98" s="34" t="s">
        <v>95</v>
      </c>
      <c r="G98" s="40"/>
      <c r="H98" s="40"/>
      <c r="I98" s="114"/>
      <c r="J98" s="27"/>
    </row>
    <row r="99" spans="1:10" ht="24.9" hidden="1" customHeight="1" x14ac:dyDescent="0.3">
      <c r="A99" s="32">
        <v>92</v>
      </c>
      <c r="B99" s="33" t="s">
        <v>267</v>
      </c>
      <c r="C99" s="33" t="s">
        <v>265</v>
      </c>
      <c r="D99" s="33" t="s">
        <v>280</v>
      </c>
      <c r="E99" s="33" t="s">
        <v>279</v>
      </c>
      <c r="F99" s="34"/>
      <c r="G99" s="40"/>
      <c r="H99" s="40"/>
      <c r="I99" s="35" t="s">
        <v>244</v>
      </c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160</v>
      </c>
      <c r="F100" s="34" t="s">
        <v>99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130</v>
      </c>
      <c r="F101" s="34" t="s">
        <v>127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272</v>
      </c>
      <c r="C102" s="33" t="s">
        <v>265</v>
      </c>
      <c r="D102" s="33" t="s">
        <v>273</v>
      </c>
      <c r="E102" s="33" t="s">
        <v>772</v>
      </c>
      <c r="F102" s="34" t="s">
        <v>283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272</v>
      </c>
      <c r="C103" s="33" t="s">
        <v>265</v>
      </c>
      <c r="D103" s="33" t="s">
        <v>273</v>
      </c>
      <c r="E103" s="33" t="s">
        <v>771</v>
      </c>
      <c r="F103" s="34" t="s">
        <v>283</v>
      </c>
      <c r="G103" s="40"/>
      <c r="H103" s="40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160</v>
      </c>
      <c r="F104" s="34" t="s">
        <v>99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130</v>
      </c>
      <c r="F105" s="34" t="s">
        <v>127</v>
      </c>
      <c r="G105" s="40"/>
      <c r="H105" s="51"/>
      <c r="I105" s="35"/>
      <c r="J105" s="27"/>
    </row>
    <row r="106" spans="1:10" ht="24.9" hidden="1" customHeight="1" x14ac:dyDescent="0.3">
      <c r="A106" s="32">
        <v>92</v>
      </c>
      <c r="B106" s="33" t="s">
        <v>274</v>
      </c>
      <c r="C106" s="33" t="s">
        <v>265</v>
      </c>
      <c r="D106" s="33" t="s">
        <v>275</v>
      </c>
      <c r="E106" s="33" t="s">
        <v>772</v>
      </c>
      <c r="F106" s="34" t="s">
        <v>283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274</v>
      </c>
      <c r="C107" s="33" t="s">
        <v>265</v>
      </c>
      <c r="D107" s="33" t="s">
        <v>275</v>
      </c>
      <c r="E107" s="33" t="s">
        <v>771</v>
      </c>
      <c r="F107" s="34" t="s">
        <v>283</v>
      </c>
      <c r="G107" s="40"/>
      <c r="H107" s="40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160</v>
      </c>
      <c r="F108" s="34" t="s">
        <v>99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130</v>
      </c>
      <c r="F109" s="34" t="s">
        <v>127</v>
      </c>
      <c r="G109" s="40"/>
      <c r="H109" s="51"/>
      <c r="I109" s="35"/>
      <c r="J109" s="27"/>
    </row>
    <row r="110" spans="1:10" ht="24.9" hidden="1" customHeight="1" x14ac:dyDescent="0.3">
      <c r="A110" s="32">
        <v>92</v>
      </c>
      <c r="B110" s="33" t="s">
        <v>276</v>
      </c>
      <c r="C110" s="33" t="s">
        <v>265</v>
      </c>
      <c r="D110" s="33" t="s">
        <v>277</v>
      </c>
      <c r="E110" s="33" t="s">
        <v>772</v>
      </c>
      <c r="F110" s="34" t="s">
        <v>283</v>
      </c>
      <c r="G110" s="40"/>
      <c r="H110" s="40"/>
      <c r="I110" s="35"/>
      <c r="J110" s="27"/>
    </row>
    <row r="111" spans="1:10" ht="24.9" hidden="1" customHeight="1" x14ac:dyDescent="0.3">
      <c r="A111" s="32">
        <v>92</v>
      </c>
      <c r="B111" s="33" t="s">
        <v>276</v>
      </c>
      <c r="C111" s="33" t="s">
        <v>265</v>
      </c>
      <c r="D111" s="33" t="s">
        <v>277</v>
      </c>
      <c r="E111" s="33" t="s">
        <v>771</v>
      </c>
      <c r="F111" s="34" t="s">
        <v>283</v>
      </c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257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92</v>
      </c>
      <c r="B113" s="33" t="s">
        <v>281</v>
      </c>
      <c r="C113" s="33" t="s">
        <v>265</v>
      </c>
      <c r="D113" s="43" t="s">
        <v>282</v>
      </c>
      <c r="E113" s="33" t="s">
        <v>279</v>
      </c>
      <c r="F113" s="34"/>
      <c r="G113" s="40"/>
      <c r="H113" s="40"/>
      <c r="I113" s="35"/>
      <c r="J113" s="27"/>
    </row>
    <row r="114" spans="1:188" ht="24.9" hidden="1" customHeight="1" x14ac:dyDescent="0.3">
      <c r="A114" s="32">
        <v>90</v>
      </c>
      <c r="B114" s="33" t="s">
        <v>246</v>
      </c>
      <c r="C114" s="33" t="s">
        <v>236</v>
      </c>
      <c r="D114" s="33" t="s">
        <v>247</v>
      </c>
      <c r="E114" s="33" t="s">
        <v>258</v>
      </c>
      <c r="F114" s="34" t="s">
        <v>95</v>
      </c>
      <c r="G114" s="40"/>
      <c r="H114" s="40"/>
      <c r="I114" s="114"/>
      <c r="J114" s="27"/>
    </row>
    <row r="115" spans="1:188" ht="24.9" hidden="1" customHeight="1" x14ac:dyDescent="0.3">
      <c r="A115" s="32">
        <v>90</v>
      </c>
      <c r="B115" s="33" t="s">
        <v>246</v>
      </c>
      <c r="C115" s="33" t="s">
        <v>236</v>
      </c>
      <c r="D115" s="33" t="s">
        <v>247</v>
      </c>
      <c r="E115" s="33" t="s">
        <v>259</v>
      </c>
      <c r="F115" s="34" t="s">
        <v>95</v>
      </c>
      <c r="G115" s="40"/>
      <c r="H115" s="40"/>
      <c r="I115" s="114"/>
      <c r="J115" s="27"/>
    </row>
    <row r="116" spans="1:188" ht="24.9" hidden="1" customHeight="1" x14ac:dyDescent="0.3">
      <c r="A116" s="32">
        <v>100</v>
      </c>
      <c r="B116" s="33" t="s">
        <v>287</v>
      </c>
      <c r="C116" s="33" t="s">
        <v>285</v>
      </c>
      <c r="D116" s="33" t="s">
        <v>288</v>
      </c>
      <c r="E116" s="33" t="s">
        <v>289</v>
      </c>
      <c r="F116" s="91" t="s">
        <v>99</v>
      </c>
      <c r="G116" s="50"/>
      <c r="H116" s="50"/>
      <c r="I116" s="34"/>
      <c r="J116" s="27"/>
    </row>
    <row r="117" spans="1:188" ht="24.9" hidden="1" customHeight="1" x14ac:dyDescent="0.3">
      <c r="A117" s="86">
        <v>100</v>
      </c>
      <c r="B117" s="88" t="s">
        <v>800</v>
      </c>
      <c r="C117" s="88" t="s">
        <v>285</v>
      </c>
      <c r="D117" s="33" t="s">
        <v>801</v>
      </c>
      <c r="E117" s="88" t="s">
        <v>806</v>
      </c>
      <c r="F117" s="91" t="s">
        <v>99</v>
      </c>
      <c r="G117" s="101"/>
      <c r="H117" s="101"/>
      <c r="I117" s="91"/>
      <c r="J117" s="72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6">
        <v>100</v>
      </c>
      <c r="B118" s="88" t="s">
        <v>800</v>
      </c>
      <c r="C118" s="88" t="s">
        <v>285</v>
      </c>
      <c r="D118" s="33" t="s">
        <v>801</v>
      </c>
      <c r="E118" s="88" t="s">
        <v>807</v>
      </c>
      <c r="F118" s="92" t="s">
        <v>99</v>
      </c>
      <c r="G118" s="72"/>
      <c r="H118" s="72"/>
      <c r="I118" s="72"/>
      <c r="J118" s="72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87">
        <v>100</v>
      </c>
      <c r="B119" s="89" t="s">
        <v>802</v>
      </c>
      <c r="C119" s="89" t="s">
        <v>285</v>
      </c>
      <c r="D119" s="33" t="s">
        <v>803</v>
      </c>
      <c r="E119" s="89" t="s">
        <v>806</v>
      </c>
      <c r="F119" s="92" t="s">
        <v>99</v>
      </c>
      <c r="G119" s="99"/>
      <c r="H119" s="99"/>
      <c r="I119" s="99"/>
      <c r="J119" s="9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</row>
    <row r="120" spans="1:188" ht="24.9" hidden="1" customHeight="1" x14ac:dyDescent="0.3">
      <c r="A120" s="87">
        <v>100</v>
      </c>
      <c r="B120" s="89" t="s">
        <v>802</v>
      </c>
      <c r="C120" s="89" t="s">
        <v>285</v>
      </c>
      <c r="D120" s="33" t="s">
        <v>803</v>
      </c>
      <c r="E120" s="89" t="s">
        <v>807</v>
      </c>
      <c r="F120" s="92" t="s">
        <v>99</v>
      </c>
      <c r="G120" s="99"/>
      <c r="H120" s="99"/>
      <c r="I120" s="99"/>
      <c r="J120" s="99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</row>
    <row r="121" spans="1:188" ht="24.9" hidden="1" customHeight="1" x14ac:dyDescent="0.3">
      <c r="A121" s="58">
        <v>100</v>
      </c>
      <c r="B121" s="60" t="s">
        <v>844</v>
      </c>
      <c r="C121" s="60" t="s">
        <v>285</v>
      </c>
      <c r="D121" s="33" t="s">
        <v>843</v>
      </c>
      <c r="E121" s="60" t="s">
        <v>298</v>
      </c>
      <c r="F121" s="62" t="s">
        <v>127</v>
      </c>
      <c r="G121" s="69"/>
      <c r="H121" s="51" t="s">
        <v>300</v>
      </c>
      <c r="I121" s="71" t="s">
        <v>301</v>
      </c>
      <c r="J121" s="68"/>
    </row>
    <row r="122" spans="1:188" ht="24.9" hidden="1" customHeight="1" x14ac:dyDescent="0.3">
      <c r="A122" s="58">
        <v>100</v>
      </c>
      <c r="B122" s="60" t="s">
        <v>284</v>
      </c>
      <c r="C122" s="60" t="s">
        <v>285</v>
      </c>
      <c r="D122" s="33" t="s">
        <v>286</v>
      </c>
      <c r="E122" s="60" t="s">
        <v>775</v>
      </c>
      <c r="F122" s="62" t="s">
        <v>167</v>
      </c>
      <c r="G122" s="69"/>
      <c r="H122" s="69"/>
      <c r="I122" s="71"/>
      <c r="J122" s="68"/>
    </row>
    <row r="123" spans="1:188" ht="24.9" hidden="1" customHeight="1" x14ac:dyDescent="0.3">
      <c r="A123" s="32">
        <v>90</v>
      </c>
      <c r="B123" s="33" t="s">
        <v>235</v>
      </c>
      <c r="C123" s="33" t="s">
        <v>236</v>
      </c>
      <c r="D123" s="33" t="s">
        <v>237</v>
      </c>
      <c r="E123" s="33" t="s">
        <v>130</v>
      </c>
      <c r="F123" s="34" t="s">
        <v>95</v>
      </c>
      <c r="G123" s="40"/>
      <c r="H123" s="40"/>
      <c r="I123" s="114"/>
      <c r="J123" s="27"/>
    </row>
    <row r="124" spans="1:188" ht="24.9" hidden="1" customHeight="1" x14ac:dyDescent="0.3">
      <c r="A124" s="32">
        <v>101</v>
      </c>
      <c r="B124" s="33" t="s">
        <v>294</v>
      </c>
      <c r="C124" s="33" t="s">
        <v>285</v>
      </c>
      <c r="D124" s="33" t="s">
        <v>295</v>
      </c>
      <c r="E124" s="33" t="s">
        <v>296</v>
      </c>
      <c r="F124" s="34" t="s">
        <v>127</v>
      </c>
      <c r="G124" s="40"/>
      <c r="H124" s="40"/>
      <c r="I124" s="35"/>
      <c r="J124" s="27"/>
    </row>
    <row r="125" spans="1:188" ht="24.9" hidden="1" customHeight="1" x14ac:dyDescent="0.3">
      <c r="A125" s="32">
        <v>101</v>
      </c>
      <c r="B125" s="33" t="s">
        <v>297</v>
      </c>
      <c r="C125" s="33" t="s">
        <v>285</v>
      </c>
      <c r="D125" s="33" t="s">
        <v>295</v>
      </c>
      <c r="E125" s="33" t="s">
        <v>298</v>
      </c>
      <c r="F125" s="34" t="s">
        <v>127</v>
      </c>
      <c r="G125" s="40"/>
      <c r="H125" s="51" t="s">
        <v>300</v>
      </c>
      <c r="I125" s="35" t="s">
        <v>301</v>
      </c>
      <c r="J125" s="27"/>
    </row>
    <row r="126" spans="1:188" ht="24.9" hidden="1" customHeight="1" x14ac:dyDescent="0.3">
      <c r="A126" s="32">
        <v>101</v>
      </c>
      <c r="B126" s="33" t="s">
        <v>309</v>
      </c>
      <c r="C126" s="33" t="s">
        <v>285</v>
      </c>
      <c r="D126" s="33" t="s">
        <v>295</v>
      </c>
      <c r="E126" s="33" t="s">
        <v>298</v>
      </c>
      <c r="F126" s="34" t="s">
        <v>127</v>
      </c>
      <c r="G126" s="40"/>
      <c r="H126" s="40" t="s">
        <v>300</v>
      </c>
      <c r="I126" s="35" t="s">
        <v>301</v>
      </c>
      <c r="J126" s="27"/>
    </row>
    <row r="127" spans="1:188" ht="24.9" hidden="1" customHeight="1" x14ac:dyDescent="0.3">
      <c r="A127" s="32">
        <v>101</v>
      </c>
      <c r="B127" s="33" t="s">
        <v>302</v>
      </c>
      <c r="C127" s="33" t="s">
        <v>285</v>
      </c>
      <c r="D127" s="33" t="s">
        <v>295</v>
      </c>
      <c r="E127" s="33" t="s">
        <v>777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90</v>
      </c>
      <c r="B128" s="33" t="s">
        <v>238</v>
      </c>
      <c r="C128" s="33" t="s">
        <v>236</v>
      </c>
      <c r="D128" s="33" t="s">
        <v>239</v>
      </c>
      <c r="E128" s="33" t="s">
        <v>130</v>
      </c>
      <c r="F128" s="34" t="s">
        <v>95</v>
      </c>
      <c r="G128" s="40"/>
      <c r="H128" s="40"/>
      <c r="I128" s="114"/>
      <c r="J128" s="27"/>
    </row>
    <row r="129" spans="1:10" ht="24.9" hidden="1" customHeight="1" x14ac:dyDescent="0.3">
      <c r="A129" s="32">
        <v>101</v>
      </c>
      <c r="B129" s="33" t="s">
        <v>303</v>
      </c>
      <c r="C129" s="33" t="s">
        <v>285</v>
      </c>
      <c r="D129" s="33" t="s">
        <v>304</v>
      </c>
      <c r="E129" s="33" t="s">
        <v>305</v>
      </c>
      <c r="F129" s="34" t="s">
        <v>127</v>
      </c>
      <c r="G129" s="40"/>
      <c r="H129" s="40"/>
      <c r="I129" s="35"/>
      <c r="J129" s="27"/>
    </row>
    <row r="130" spans="1:10" ht="24.9" hidden="1" customHeight="1" x14ac:dyDescent="0.3">
      <c r="A130" s="32">
        <v>102</v>
      </c>
      <c r="B130" s="33" t="s">
        <v>310</v>
      </c>
      <c r="C130" s="33" t="s">
        <v>285</v>
      </c>
      <c r="D130" s="33" t="s">
        <v>311</v>
      </c>
      <c r="E130" s="33" t="s">
        <v>779</v>
      </c>
      <c r="F130" s="34" t="s">
        <v>127</v>
      </c>
      <c r="G130" s="40"/>
      <c r="H130" s="40" t="s">
        <v>300</v>
      </c>
      <c r="I130" s="35" t="s">
        <v>314</v>
      </c>
      <c r="J130" s="27"/>
    </row>
    <row r="131" spans="1:10" ht="24.9" hidden="1" customHeight="1" x14ac:dyDescent="0.3">
      <c r="A131" s="32">
        <v>90</v>
      </c>
      <c r="B131" s="33" t="s">
        <v>249</v>
      </c>
      <c r="C131" s="33" t="s">
        <v>236</v>
      </c>
      <c r="D131" s="33" t="s">
        <v>250</v>
      </c>
      <c r="E131" s="33" t="s">
        <v>130</v>
      </c>
      <c r="F131" s="34" t="s">
        <v>95</v>
      </c>
      <c r="G131" s="40"/>
      <c r="H131" s="40"/>
      <c r="I131" s="114" t="s">
        <v>244</v>
      </c>
      <c r="J131" s="27"/>
    </row>
    <row r="132" spans="1:10" ht="24.9" hidden="1" customHeight="1" x14ac:dyDescent="0.3">
      <c r="A132" s="32">
        <v>110</v>
      </c>
      <c r="B132" s="33" t="s">
        <v>328</v>
      </c>
      <c r="C132" s="33" t="s">
        <v>317</v>
      </c>
      <c r="D132" s="33" t="s">
        <v>329</v>
      </c>
      <c r="E132" s="33" t="s">
        <v>319</v>
      </c>
      <c r="F132" s="34" t="s">
        <v>99</v>
      </c>
      <c r="G132" s="40"/>
      <c r="H132" s="40"/>
      <c r="I132" s="35"/>
      <c r="J132" s="27"/>
    </row>
    <row r="133" spans="1:10" ht="24.9" hidden="1" customHeight="1" x14ac:dyDescent="0.3">
      <c r="A133" s="32">
        <v>110</v>
      </c>
      <c r="B133" s="33" t="s">
        <v>326</v>
      </c>
      <c r="C133" s="33" t="s">
        <v>317</v>
      </c>
      <c r="D133" s="33" t="s">
        <v>327</v>
      </c>
      <c r="E133" s="33" t="s">
        <v>319</v>
      </c>
      <c r="F133" s="34" t="s">
        <v>99</v>
      </c>
      <c r="G133" s="40"/>
      <c r="H133" s="40"/>
      <c r="I133" s="35"/>
      <c r="J133" s="27"/>
    </row>
    <row r="134" spans="1:10" ht="24.9" hidden="1" customHeight="1" x14ac:dyDescent="0.3">
      <c r="A134" s="32">
        <v>90</v>
      </c>
      <c r="B134" s="33" t="s">
        <v>253</v>
      </c>
      <c r="C134" s="33" t="s">
        <v>236</v>
      </c>
      <c r="D134" s="33" t="s">
        <v>254</v>
      </c>
      <c r="E134" s="33" t="s">
        <v>130</v>
      </c>
      <c r="F134" s="34" t="s">
        <v>95</v>
      </c>
      <c r="G134" s="40"/>
      <c r="H134" s="40"/>
      <c r="I134" s="114"/>
      <c r="J134" s="27"/>
    </row>
    <row r="135" spans="1:10" ht="24.9" hidden="1" customHeight="1" x14ac:dyDescent="0.3">
      <c r="A135" s="32">
        <v>90</v>
      </c>
      <c r="B135" s="33" t="s">
        <v>231</v>
      </c>
      <c r="C135" s="33" t="s">
        <v>232</v>
      </c>
      <c r="D135" s="33" t="s">
        <v>233</v>
      </c>
      <c r="E135" s="33" t="s">
        <v>240</v>
      </c>
      <c r="F135" s="34" t="s">
        <v>95</v>
      </c>
      <c r="G135" s="40"/>
      <c r="H135" s="40"/>
      <c r="I135" s="114"/>
      <c r="J135" s="27"/>
    </row>
    <row r="136" spans="1:10" ht="24.9" hidden="1" customHeight="1" x14ac:dyDescent="0.3">
      <c r="A136" s="32">
        <v>110</v>
      </c>
      <c r="B136" s="33" t="s">
        <v>316</v>
      </c>
      <c r="C136" s="33" t="s">
        <v>317</v>
      </c>
      <c r="D136" s="33" t="s">
        <v>318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320</v>
      </c>
      <c r="C137" s="33" t="s">
        <v>317</v>
      </c>
      <c r="D137" s="33" t="s">
        <v>321</v>
      </c>
      <c r="E137" s="33" t="s">
        <v>319</v>
      </c>
      <c r="F137" s="34" t="s">
        <v>99</v>
      </c>
      <c r="G137" s="40"/>
      <c r="H137" s="51"/>
      <c r="I137" s="35"/>
      <c r="J137" s="27"/>
    </row>
    <row r="138" spans="1:10" ht="24.9" hidden="1" customHeight="1" x14ac:dyDescent="0.3">
      <c r="A138" s="32">
        <v>110</v>
      </c>
      <c r="B138" s="33" t="s">
        <v>322</v>
      </c>
      <c r="C138" s="33" t="s">
        <v>317</v>
      </c>
      <c r="D138" s="33" t="s">
        <v>323</v>
      </c>
      <c r="E138" s="33" t="s">
        <v>319</v>
      </c>
      <c r="F138" s="34" t="s">
        <v>99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324</v>
      </c>
      <c r="C139" s="33" t="s">
        <v>317</v>
      </c>
      <c r="D139" s="33" t="s">
        <v>325</v>
      </c>
      <c r="E139" s="33" t="s">
        <v>319</v>
      </c>
      <c r="F139" s="34" t="s">
        <v>99</v>
      </c>
      <c r="G139" s="40"/>
      <c r="H139" s="40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775</v>
      </c>
      <c r="F140" s="34" t="s">
        <v>167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333</v>
      </c>
      <c r="C141" s="33" t="s">
        <v>317</v>
      </c>
      <c r="D141" s="33" t="s">
        <v>334</v>
      </c>
      <c r="E141" s="33" t="s">
        <v>332</v>
      </c>
      <c r="F141" s="34" t="s">
        <v>99</v>
      </c>
      <c r="G141" s="40"/>
      <c r="H141" s="51"/>
      <c r="I141" s="35"/>
      <c r="J141" s="27"/>
    </row>
    <row r="142" spans="1:10" ht="24.9" hidden="1" customHeight="1" x14ac:dyDescent="0.3">
      <c r="A142" s="32">
        <v>110</v>
      </c>
      <c r="B142" s="33" t="s">
        <v>333</v>
      </c>
      <c r="C142" s="33" t="s">
        <v>317</v>
      </c>
      <c r="D142" s="33" t="s">
        <v>334</v>
      </c>
      <c r="E142" s="33" t="s">
        <v>165</v>
      </c>
      <c r="F142" s="34" t="s">
        <v>99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335</v>
      </c>
      <c r="C143" s="33" t="s">
        <v>317</v>
      </c>
      <c r="D143" s="33" t="s">
        <v>336</v>
      </c>
      <c r="E143" s="33" t="s">
        <v>775</v>
      </c>
      <c r="F143" s="34" t="s">
        <v>167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775</v>
      </c>
      <c r="F144" s="34" t="s">
        <v>167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343</v>
      </c>
      <c r="C145" s="33" t="s">
        <v>317</v>
      </c>
      <c r="D145" s="33" t="s">
        <v>344</v>
      </c>
      <c r="E145" s="33" t="s">
        <v>332</v>
      </c>
      <c r="F145" s="34" t="s">
        <v>99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343</v>
      </c>
      <c r="C146" s="33" t="s">
        <v>317</v>
      </c>
      <c r="D146" s="33" t="s">
        <v>344</v>
      </c>
      <c r="E146" s="33" t="s">
        <v>165</v>
      </c>
      <c r="F146" s="34" t="s">
        <v>99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337</v>
      </c>
      <c r="C147" s="33" t="s">
        <v>317</v>
      </c>
      <c r="D147" s="33" t="s">
        <v>338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339</v>
      </c>
      <c r="C148" s="33" t="s">
        <v>317</v>
      </c>
      <c r="D148" s="33" t="s">
        <v>340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341</v>
      </c>
      <c r="C149" s="33" t="s">
        <v>317</v>
      </c>
      <c r="D149" s="33" t="s">
        <v>342</v>
      </c>
      <c r="E149" s="33" t="s">
        <v>775</v>
      </c>
      <c r="F149" s="34" t="s">
        <v>167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775</v>
      </c>
      <c r="F150" s="34" t="s">
        <v>167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345</v>
      </c>
      <c r="C151" s="33" t="s">
        <v>317</v>
      </c>
      <c r="D151" s="33" t="s">
        <v>346</v>
      </c>
      <c r="E151" s="33" t="s">
        <v>332</v>
      </c>
      <c r="F151" s="34" t="s">
        <v>99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345</v>
      </c>
      <c r="C152" s="33" t="s">
        <v>317</v>
      </c>
      <c r="D152" s="33" t="s">
        <v>346</v>
      </c>
      <c r="E152" s="33" t="s">
        <v>165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775</v>
      </c>
      <c r="F153" s="34" t="s">
        <v>167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347</v>
      </c>
      <c r="C154" s="33" t="s">
        <v>317</v>
      </c>
      <c r="D154" s="33" t="s">
        <v>348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347</v>
      </c>
      <c r="C155" s="33" t="s">
        <v>317</v>
      </c>
      <c r="D155" s="33" t="s">
        <v>348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330</v>
      </c>
      <c r="C156" s="33" t="s">
        <v>317</v>
      </c>
      <c r="D156" s="33" t="s">
        <v>331</v>
      </c>
      <c r="E156" s="33" t="s">
        <v>332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110</v>
      </c>
      <c r="B157" s="33" t="s">
        <v>330</v>
      </c>
      <c r="C157" s="33" t="s">
        <v>317</v>
      </c>
      <c r="D157" s="33" t="s">
        <v>331</v>
      </c>
      <c r="E157" s="33" t="s">
        <v>165</v>
      </c>
      <c r="F157" s="34" t="s">
        <v>99</v>
      </c>
      <c r="G157" s="40"/>
      <c r="H157" s="40"/>
      <c r="I157" s="35"/>
      <c r="J157" s="27"/>
    </row>
    <row r="158" spans="1:10" ht="24.9" hidden="1" customHeight="1" x14ac:dyDescent="0.3">
      <c r="A158" s="32">
        <v>110</v>
      </c>
      <c r="B158" s="33" t="s">
        <v>315</v>
      </c>
      <c r="C158" s="33" t="s">
        <v>107</v>
      </c>
      <c r="D158" s="33" t="s">
        <v>108</v>
      </c>
      <c r="E158" s="33" t="s">
        <v>130</v>
      </c>
      <c r="F158" s="34" t="s">
        <v>99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359</v>
      </c>
      <c r="C159" s="33" t="s">
        <v>353</v>
      </c>
      <c r="D159" s="33" t="s">
        <v>256</v>
      </c>
      <c r="E159" s="33" t="s">
        <v>160</v>
      </c>
      <c r="F159" s="34" t="s">
        <v>127</v>
      </c>
      <c r="G159" s="40"/>
      <c r="H159" s="40"/>
      <c r="I159" s="35" t="s">
        <v>205</v>
      </c>
      <c r="J159" s="27"/>
    </row>
    <row r="160" spans="1:10" ht="24.9" hidden="1" customHeight="1" x14ac:dyDescent="0.3">
      <c r="A160" s="32">
        <v>120</v>
      </c>
      <c r="B160" s="33" t="s">
        <v>360</v>
      </c>
      <c r="C160" s="33" t="s">
        <v>353</v>
      </c>
      <c r="D160" s="33" t="s">
        <v>180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352</v>
      </c>
      <c r="C161" s="33" t="s">
        <v>353</v>
      </c>
      <c r="D161" s="33" t="s">
        <v>354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120</v>
      </c>
      <c r="B162" s="33" t="s">
        <v>355</v>
      </c>
      <c r="C162" s="33" t="s">
        <v>353</v>
      </c>
      <c r="D162" s="33" t="s">
        <v>356</v>
      </c>
      <c r="E162" s="33" t="s">
        <v>160</v>
      </c>
      <c r="F162" s="34" t="s">
        <v>127</v>
      </c>
      <c r="G162" s="40"/>
      <c r="H162" s="40"/>
      <c r="I162" s="35"/>
      <c r="J162" s="27"/>
    </row>
    <row r="163" spans="1:10" ht="24.9" hidden="1" customHeight="1" x14ac:dyDescent="0.3">
      <c r="A163" s="32">
        <v>120</v>
      </c>
      <c r="B163" s="33" t="s">
        <v>357</v>
      </c>
      <c r="C163" s="33" t="s">
        <v>353</v>
      </c>
      <c r="D163" s="33" t="s">
        <v>358</v>
      </c>
      <c r="E163" s="33" t="s">
        <v>160</v>
      </c>
      <c r="F163" s="34" t="s">
        <v>127</v>
      </c>
      <c r="G163" s="40"/>
      <c r="H163" s="40"/>
      <c r="I163" s="35"/>
      <c r="J163" s="27"/>
    </row>
    <row r="164" spans="1:10" ht="24.9" hidden="1" customHeight="1" x14ac:dyDescent="0.3">
      <c r="A164" s="32">
        <v>90</v>
      </c>
      <c r="B164" s="33" t="s">
        <v>260</v>
      </c>
      <c r="C164" s="33" t="s">
        <v>232</v>
      </c>
      <c r="D164" s="33" t="s">
        <v>261</v>
      </c>
      <c r="E164" s="33" t="s">
        <v>130</v>
      </c>
      <c r="F164" s="34" t="s">
        <v>95</v>
      </c>
      <c r="G164" s="40"/>
      <c r="H164" s="40"/>
      <c r="I164" s="115"/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373</v>
      </c>
      <c r="F165" s="34" t="s">
        <v>167</v>
      </c>
      <c r="G165" s="40"/>
      <c r="H165" s="40" t="s">
        <v>300</v>
      </c>
      <c r="I165" s="35" t="s">
        <v>374</v>
      </c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782</v>
      </c>
      <c r="F166" s="34" t="s">
        <v>167</v>
      </c>
      <c r="G166" s="40"/>
      <c r="H166" s="40" t="s">
        <v>300</v>
      </c>
      <c r="I166" s="35" t="s">
        <v>377</v>
      </c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130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780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369</v>
      </c>
      <c r="C169" s="33" t="s">
        <v>370</v>
      </c>
      <c r="D169" s="33" t="s">
        <v>371</v>
      </c>
      <c r="E169" s="33" t="s">
        <v>781</v>
      </c>
      <c r="F169" s="34" t="s">
        <v>127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369</v>
      </c>
      <c r="C170" s="33" t="s">
        <v>370</v>
      </c>
      <c r="D170" s="33" t="s">
        <v>371</v>
      </c>
      <c r="E170" s="33" t="s">
        <v>372</v>
      </c>
      <c r="F170" s="34" t="s">
        <v>127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375</v>
      </c>
      <c r="C171" s="33"/>
      <c r="D171" s="33" t="s">
        <v>376</v>
      </c>
      <c r="E171" s="33" t="s">
        <v>775</v>
      </c>
      <c r="F171" s="34" t="s">
        <v>167</v>
      </c>
      <c r="G171" s="40"/>
      <c r="H171" s="40"/>
      <c r="I171" s="35"/>
      <c r="J171" s="27"/>
    </row>
    <row r="172" spans="1:10" ht="24.9" hidden="1" customHeight="1" x14ac:dyDescent="0.3">
      <c r="A172" s="32">
        <v>130</v>
      </c>
      <c r="B172" s="33" t="s">
        <v>365</v>
      </c>
      <c r="C172" s="33" t="s">
        <v>155</v>
      </c>
      <c r="D172" s="33" t="s">
        <v>366</v>
      </c>
      <c r="E172" s="33" t="s">
        <v>763</v>
      </c>
      <c r="F172" s="34" t="s">
        <v>99</v>
      </c>
      <c r="G172" s="40"/>
      <c r="H172" s="40"/>
      <c r="I172" s="35"/>
      <c r="J172" s="27"/>
    </row>
    <row r="173" spans="1:10" ht="24.9" hidden="1" customHeight="1" x14ac:dyDescent="0.3">
      <c r="A173" s="32">
        <v>130</v>
      </c>
      <c r="B173" s="33" t="s">
        <v>367</v>
      </c>
      <c r="C173" s="33" t="s">
        <v>155</v>
      </c>
      <c r="D173" s="33" t="s">
        <v>368</v>
      </c>
      <c r="E173" s="33" t="s">
        <v>763</v>
      </c>
      <c r="F173" s="34" t="s">
        <v>99</v>
      </c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382</v>
      </c>
      <c r="C174" s="33" t="s">
        <v>380</v>
      </c>
      <c r="D174" s="33" t="s">
        <v>380</v>
      </c>
      <c r="E174" s="33" t="s">
        <v>383</v>
      </c>
      <c r="F174" s="34" t="s">
        <v>127</v>
      </c>
      <c r="G174" s="40"/>
      <c r="H174" s="40"/>
      <c r="I174" s="35" t="s">
        <v>205</v>
      </c>
      <c r="J174" s="27"/>
    </row>
    <row r="175" spans="1:10" ht="24.9" hidden="1" customHeight="1" x14ac:dyDescent="0.3">
      <c r="A175" s="32">
        <v>136</v>
      </c>
      <c r="B175" s="33" t="s">
        <v>382</v>
      </c>
      <c r="C175" s="33" t="s">
        <v>380</v>
      </c>
      <c r="D175" s="33" t="s">
        <v>380</v>
      </c>
      <c r="E175" s="57" t="s">
        <v>217</v>
      </c>
      <c r="F175" s="34"/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379</v>
      </c>
      <c r="C176" s="33" t="s">
        <v>380</v>
      </c>
      <c r="D176" s="33" t="s">
        <v>381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384</v>
      </c>
      <c r="C177" s="33" t="s">
        <v>380</v>
      </c>
      <c r="D177" s="33" t="s">
        <v>385</v>
      </c>
      <c r="E177" s="33" t="s">
        <v>130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136</v>
      </c>
      <c r="B178" s="33" t="s">
        <v>386</v>
      </c>
      <c r="C178" s="33" t="s">
        <v>380</v>
      </c>
      <c r="D178" s="33" t="s">
        <v>387</v>
      </c>
      <c r="E178" s="33" t="s">
        <v>130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136</v>
      </c>
      <c r="B179" s="33" t="s">
        <v>388</v>
      </c>
      <c r="C179" s="33" t="s">
        <v>380</v>
      </c>
      <c r="D179" s="33" t="s">
        <v>389</v>
      </c>
      <c r="E179" s="33" t="s">
        <v>390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404</v>
      </c>
      <c r="C180" s="33" t="s">
        <v>398</v>
      </c>
      <c r="D180" s="33" t="s">
        <v>405</v>
      </c>
      <c r="E180" s="33" t="s">
        <v>173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416</v>
      </c>
      <c r="C181" s="33" t="s">
        <v>392</v>
      </c>
      <c r="D181" s="33" t="s">
        <v>417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422</v>
      </c>
      <c r="C182" s="33" t="s">
        <v>392</v>
      </c>
      <c r="D182" s="33" t="s">
        <v>423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458</v>
      </c>
      <c r="C183" s="33" t="s">
        <v>448</v>
      </c>
      <c r="D183" s="33" t="s">
        <v>459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140</v>
      </c>
      <c r="B184" s="33" t="s">
        <v>499</v>
      </c>
      <c r="C184" s="33" t="s">
        <v>495</v>
      </c>
      <c r="D184" s="33" t="s">
        <v>500</v>
      </c>
      <c r="E184" s="33" t="s">
        <v>783</v>
      </c>
      <c r="F184" s="34" t="s">
        <v>127</v>
      </c>
      <c r="G184" s="40"/>
      <c r="H184" s="40"/>
      <c r="I184" s="35"/>
      <c r="J184" s="27"/>
    </row>
    <row r="185" spans="1:10" ht="24.9" hidden="1" customHeight="1" x14ac:dyDescent="0.3">
      <c r="A185" s="32">
        <v>140</v>
      </c>
      <c r="B185" s="33" t="s">
        <v>441</v>
      </c>
      <c r="C185" s="52" t="s">
        <v>437</v>
      </c>
      <c r="D185" s="33" t="s">
        <v>442</v>
      </c>
      <c r="E185" s="33" t="s">
        <v>783</v>
      </c>
      <c r="F185" s="34" t="s">
        <v>127</v>
      </c>
      <c r="G185" s="40"/>
      <c r="H185" s="40"/>
      <c r="I185" s="35"/>
      <c r="J185" s="27"/>
    </row>
    <row r="186" spans="1:10" ht="24.9" hidden="1" customHeight="1" x14ac:dyDescent="0.3">
      <c r="A186" s="32">
        <v>90</v>
      </c>
      <c r="B186" s="33" t="s">
        <v>252</v>
      </c>
      <c r="C186" s="33" t="s">
        <v>232</v>
      </c>
      <c r="D186" s="33" t="s">
        <v>250</v>
      </c>
      <c r="E186" s="33" t="s">
        <v>130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100</v>
      </c>
      <c r="B187" s="33" t="s">
        <v>290</v>
      </c>
      <c r="C187" s="33" t="s">
        <v>285</v>
      </c>
      <c r="D187" s="33" t="s">
        <v>291</v>
      </c>
      <c r="E187" s="33" t="s">
        <v>292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100</v>
      </c>
      <c r="B188" s="33" t="s">
        <v>293</v>
      </c>
      <c r="C188" s="33" t="s">
        <v>285</v>
      </c>
      <c r="D188" s="33" t="s">
        <v>288</v>
      </c>
      <c r="E188" s="33" t="s">
        <v>776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101</v>
      </c>
      <c r="B189" s="33" t="s">
        <v>306</v>
      </c>
      <c r="C189" s="33" t="s">
        <v>285</v>
      </c>
      <c r="D189" s="33" t="s">
        <v>295</v>
      </c>
      <c r="E189" s="33" t="s">
        <v>307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101</v>
      </c>
      <c r="B190" s="33" t="s">
        <v>308</v>
      </c>
      <c r="C190" s="33" t="s">
        <v>285</v>
      </c>
      <c r="D190" s="33" t="s">
        <v>304</v>
      </c>
      <c r="E190" s="33" t="s">
        <v>778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102</v>
      </c>
      <c r="B191" s="33" t="s">
        <v>310</v>
      </c>
      <c r="C191" s="33" t="s">
        <v>285</v>
      </c>
      <c r="D191" s="33" t="s">
        <v>311</v>
      </c>
      <c r="E191" s="33" t="s">
        <v>312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406</v>
      </c>
      <c r="C192" s="33" t="s">
        <v>398</v>
      </c>
      <c r="D192" s="33" t="s">
        <v>407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492</v>
      </c>
      <c r="C193" s="33" t="s">
        <v>473</v>
      </c>
      <c r="D193" s="33" t="s">
        <v>493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460</v>
      </c>
      <c r="C194" s="33" t="s">
        <v>448</v>
      </c>
      <c r="D194" s="33" t="s">
        <v>461</v>
      </c>
      <c r="E194" s="33" t="s">
        <v>240</v>
      </c>
      <c r="F194" s="34" t="s">
        <v>95</v>
      </c>
      <c r="G194" s="40"/>
      <c r="H194" s="40"/>
      <c r="I194" s="114"/>
      <c r="J194" s="27"/>
    </row>
    <row r="195" spans="1:10" ht="24.9" hidden="1" customHeight="1" x14ac:dyDescent="0.3">
      <c r="A195" s="32">
        <v>140</v>
      </c>
      <c r="B195" s="33" t="s">
        <v>501</v>
      </c>
      <c r="C195" s="33" t="s">
        <v>495</v>
      </c>
      <c r="D195" s="33" t="s">
        <v>502</v>
      </c>
      <c r="E195" s="33" t="s">
        <v>240</v>
      </c>
      <c r="F195" s="34" t="s">
        <v>95</v>
      </c>
      <c r="G195" s="40"/>
      <c r="H195" s="40"/>
      <c r="I195" s="114"/>
      <c r="J195" s="27"/>
    </row>
    <row r="196" spans="1:10" ht="24.9" hidden="1" customHeight="1" x14ac:dyDescent="0.3">
      <c r="A196" s="32">
        <v>140</v>
      </c>
      <c r="B196" s="33" t="s">
        <v>462</v>
      </c>
      <c r="C196" s="33" t="s">
        <v>448</v>
      </c>
      <c r="D196" s="33" t="s">
        <v>463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503</v>
      </c>
      <c r="C197" s="33" t="s">
        <v>495</v>
      </c>
      <c r="D197" s="33" t="s">
        <v>504</v>
      </c>
      <c r="E197" s="33" t="s">
        <v>240</v>
      </c>
      <c r="F197" s="34" t="s">
        <v>95</v>
      </c>
      <c r="G197" s="40"/>
      <c r="H197" s="51"/>
      <c r="I197" s="114"/>
      <c r="J197" s="27"/>
    </row>
    <row r="198" spans="1:10" ht="24.9" hidden="1" customHeight="1" x14ac:dyDescent="0.3">
      <c r="A198" s="32">
        <v>140</v>
      </c>
      <c r="B198" s="33" t="s">
        <v>464</v>
      </c>
      <c r="C198" s="33" t="s">
        <v>448</v>
      </c>
      <c r="D198" s="33" t="s">
        <v>465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482</v>
      </c>
      <c r="C199" s="33" t="s">
        <v>473</v>
      </c>
      <c r="D199" s="33" t="s">
        <v>483</v>
      </c>
      <c r="E199" s="33" t="s">
        <v>240</v>
      </c>
      <c r="F199" s="34" t="s">
        <v>95</v>
      </c>
      <c r="G199" s="40"/>
      <c r="H199" s="40"/>
      <c r="I199" s="114"/>
      <c r="J199" s="27"/>
    </row>
    <row r="200" spans="1:10" ht="24.9" hidden="1" customHeight="1" x14ac:dyDescent="0.3">
      <c r="A200" s="32">
        <v>140</v>
      </c>
      <c r="B200" s="33" t="s">
        <v>484</v>
      </c>
      <c r="C200" s="33" t="s">
        <v>473</v>
      </c>
      <c r="D200" s="33" t="s">
        <v>485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486</v>
      </c>
      <c r="C201" s="33" t="s">
        <v>473</v>
      </c>
      <c r="D201" s="33" t="s">
        <v>487</v>
      </c>
      <c r="E201" s="33" t="s">
        <v>240</v>
      </c>
      <c r="F201" s="34" t="s">
        <v>95</v>
      </c>
      <c r="G201" s="40"/>
      <c r="H201" s="51"/>
      <c r="I201" s="114"/>
      <c r="J201" s="27"/>
    </row>
    <row r="202" spans="1:10" ht="24.9" hidden="1" customHeight="1" x14ac:dyDescent="0.3">
      <c r="A202" s="32">
        <v>140</v>
      </c>
      <c r="B202" s="33" t="s">
        <v>466</v>
      </c>
      <c r="C202" s="33" t="s">
        <v>448</v>
      </c>
      <c r="D202" s="33" t="s">
        <v>467</v>
      </c>
      <c r="E202" s="33" t="s">
        <v>240</v>
      </c>
      <c r="F202" s="34" t="s">
        <v>95</v>
      </c>
      <c r="G202" s="40"/>
      <c r="H202" s="51"/>
      <c r="I202" s="114"/>
      <c r="J202" s="27"/>
    </row>
    <row r="203" spans="1:10" ht="24.9" hidden="1" customHeight="1" x14ac:dyDescent="0.3">
      <c r="A203" s="32">
        <v>140</v>
      </c>
      <c r="B203" s="33" t="s">
        <v>505</v>
      </c>
      <c r="C203" s="33" t="s">
        <v>495</v>
      </c>
      <c r="D203" s="33" t="s">
        <v>506</v>
      </c>
      <c r="E203" s="33" t="s">
        <v>240</v>
      </c>
      <c r="F203" s="34" t="s">
        <v>95</v>
      </c>
      <c r="G203" s="40"/>
      <c r="H203" s="40"/>
      <c r="I203" s="114"/>
      <c r="J203" s="27"/>
    </row>
    <row r="204" spans="1:10" ht="24.9" hidden="1" customHeight="1" x14ac:dyDescent="0.3">
      <c r="A204" s="32">
        <v>140</v>
      </c>
      <c r="B204" s="33" t="s">
        <v>475</v>
      </c>
      <c r="C204" s="33" t="s">
        <v>473</v>
      </c>
      <c r="D204" s="33" t="s">
        <v>853</v>
      </c>
      <c r="E204" s="33" t="s">
        <v>478</v>
      </c>
      <c r="F204" s="33"/>
      <c r="G204" s="40"/>
      <c r="H204" s="51"/>
      <c r="I204" s="35"/>
      <c r="J204" s="27"/>
    </row>
    <row r="205" spans="1:10" ht="24.9" hidden="1" customHeight="1" x14ac:dyDescent="0.3">
      <c r="A205" s="32">
        <v>140</v>
      </c>
      <c r="B205" s="33" t="s">
        <v>445</v>
      </c>
      <c r="C205" s="52" t="s">
        <v>437</v>
      </c>
      <c r="D205" s="33" t="s">
        <v>446</v>
      </c>
      <c r="E205" s="33" t="s">
        <v>240</v>
      </c>
      <c r="F205" s="34" t="s">
        <v>95</v>
      </c>
      <c r="G205" s="40"/>
      <c r="H205" s="51"/>
      <c r="I205" s="114"/>
      <c r="J205" s="27"/>
    </row>
    <row r="206" spans="1:10" ht="24.9" hidden="1" customHeight="1" x14ac:dyDescent="0.3">
      <c r="A206" s="32">
        <v>140</v>
      </c>
      <c r="B206" s="33" t="s">
        <v>488</v>
      </c>
      <c r="C206" s="33" t="s">
        <v>473</v>
      </c>
      <c r="D206" s="33" t="s">
        <v>489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480</v>
      </c>
      <c r="C207" s="33" t="s">
        <v>473</v>
      </c>
      <c r="D207" s="33" t="s">
        <v>854</v>
      </c>
      <c r="E207" s="33" t="s">
        <v>478</v>
      </c>
      <c r="F207" s="33"/>
      <c r="G207" s="40"/>
      <c r="H207" s="40"/>
      <c r="I207" s="35"/>
      <c r="J207" s="27"/>
    </row>
    <row r="208" spans="1:10" ht="24.9" hidden="1" customHeight="1" x14ac:dyDescent="0.3">
      <c r="A208" s="32">
        <v>140</v>
      </c>
      <c r="B208" s="33" t="s">
        <v>490</v>
      </c>
      <c r="C208" s="33" t="s">
        <v>473</v>
      </c>
      <c r="D208" s="33" t="s">
        <v>491</v>
      </c>
      <c r="E208" s="33" t="s">
        <v>240</v>
      </c>
      <c r="F208" s="34" t="s">
        <v>95</v>
      </c>
      <c r="G208" s="40"/>
      <c r="H208" s="51"/>
      <c r="I208" s="114"/>
      <c r="J208" s="27"/>
    </row>
    <row r="209" spans="1:10" ht="24.9" hidden="1" customHeight="1" x14ac:dyDescent="0.3">
      <c r="A209" s="32">
        <v>140</v>
      </c>
      <c r="B209" s="33" t="s">
        <v>430</v>
      </c>
      <c r="C209" s="33" t="s">
        <v>425</v>
      </c>
      <c r="D209" s="33" t="s">
        <v>431</v>
      </c>
      <c r="E209" s="33" t="s">
        <v>240</v>
      </c>
      <c r="F209" s="34" t="s">
        <v>95</v>
      </c>
      <c r="G209" s="40"/>
      <c r="H209" s="51"/>
      <c r="I209" s="114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767</v>
      </c>
      <c r="F210" s="34" t="s">
        <v>99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515</v>
      </c>
      <c r="C211" s="33" t="s">
        <v>516</v>
      </c>
      <c r="D211" s="33" t="s">
        <v>518</v>
      </c>
      <c r="E211" s="33" t="s">
        <v>173</v>
      </c>
      <c r="F211" s="34" t="s">
        <v>127</v>
      </c>
      <c r="G211" s="40"/>
      <c r="H211" s="40"/>
      <c r="I211" s="35"/>
      <c r="J211" s="27"/>
    </row>
    <row r="212" spans="1:10" ht="24.9" hidden="1" customHeight="1" x14ac:dyDescent="0.3">
      <c r="A212" s="32">
        <v>140</v>
      </c>
      <c r="B212" s="33" t="s">
        <v>515</v>
      </c>
      <c r="C212" s="33" t="s">
        <v>516</v>
      </c>
      <c r="D212" s="33" t="s">
        <v>518</v>
      </c>
      <c r="E212" s="33" t="s">
        <v>766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427</v>
      </c>
      <c r="C213" s="33" t="s">
        <v>425</v>
      </c>
      <c r="D213" s="33" t="s">
        <v>428</v>
      </c>
      <c r="E213" s="33" t="s">
        <v>240</v>
      </c>
      <c r="F213" s="34" t="s">
        <v>95</v>
      </c>
      <c r="G213" s="40"/>
      <c r="H213" s="51"/>
      <c r="I213" s="114"/>
      <c r="J213" s="27"/>
    </row>
    <row r="214" spans="1:10" ht="24.9" hidden="1" customHeight="1" x14ac:dyDescent="0.3">
      <c r="A214" s="32">
        <v>140</v>
      </c>
      <c r="B214" s="33" t="s">
        <v>452</v>
      </c>
      <c r="C214" s="33" t="s">
        <v>448</v>
      </c>
      <c r="D214" s="33" t="s">
        <v>453</v>
      </c>
      <c r="E214" s="33" t="s">
        <v>783</v>
      </c>
      <c r="F214" s="34" t="s">
        <v>127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775</v>
      </c>
      <c r="F215" s="34" t="s">
        <v>167</v>
      </c>
      <c r="G215" s="40"/>
      <c r="H215" s="40"/>
      <c r="I215" s="35"/>
      <c r="J215" s="27"/>
    </row>
    <row r="216" spans="1:10" ht="24.9" hidden="1" customHeight="1" x14ac:dyDescent="0.3">
      <c r="A216" s="32">
        <v>140</v>
      </c>
      <c r="B216" s="33" t="s">
        <v>394</v>
      </c>
      <c r="C216" s="33" t="s">
        <v>395</v>
      </c>
      <c r="D216" s="33" t="s">
        <v>396</v>
      </c>
      <c r="E216" s="33" t="s">
        <v>332</v>
      </c>
      <c r="F216" s="34" t="s">
        <v>99</v>
      </c>
      <c r="G216" s="40"/>
      <c r="H216" s="51"/>
      <c r="I216" s="35"/>
      <c r="J216" s="27"/>
    </row>
    <row r="217" spans="1:10" ht="24.9" hidden="1" customHeight="1" x14ac:dyDescent="0.3">
      <c r="A217" s="32">
        <v>140</v>
      </c>
      <c r="B217" s="33" t="s">
        <v>394</v>
      </c>
      <c r="C217" s="33" t="s">
        <v>395</v>
      </c>
      <c r="D217" s="33" t="s">
        <v>396</v>
      </c>
      <c r="E217" s="33" t="s">
        <v>165</v>
      </c>
      <c r="F217" s="34" t="s">
        <v>99</v>
      </c>
      <c r="G217" s="40"/>
      <c r="H217" s="51"/>
      <c r="I217" s="35"/>
      <c r="J217" s="27"/>
    </row>
    <row r="218" spans="1:10" ht="24.9" hidden="1" customHeight="1" x14ac:dyDescent="0.3">
      <c r="A218" s="32">
        <v>140</v>
      </c>
      <c r="B218" s="33" t="s">
        <v>427</v>
      </c>
      <c r="C218" s="33" t="s">
        <v>425</v>
      </c>
      <c r="D218" s="33" t="s">
        <v>429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515</v>
      </c>
      <c r="C219" s="33" t="s">
        <v>516</v>
      </c>
      <c r="D219" s="33" t="s">
        <v>517</v>
      </c>
      <c r="E219" s="33" t="s">
        <v>240</v>
      </c>
      <c r="F219" s="34" t="s">
        <v>95</v>
      </c>
      <c r="G219" s="40"/>
      <c r="H219" s="40"/>
      <c r="I219" s="114"/>
      <c r="J219" s="27"/>
    </row>
    <row r="220" spans="1:10" ht="24.9" hidden="1" customHeight="1" x14ac:dyDescent="0.3">
      <c r="A220" s="32">
        <v>140</v>
      </c>
      <c r="B220" s="33" t="s">
        <v>424</v>
      </c>
      <c r="C220" s="33" t="s">
        <v>425</v>
      </c>
      <c r="D220" s="33" t="s">
        <v>426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410</v>
      </c>
      <c r="C221" s="33" t="s">
        <v>392</v>
      </c>
      <c r="D221" s="33" t="s">
        <v>411</v>
      </c>
      <c r="E221" s="33" t="s">
        <v>240</v>
      </c>
      <c r="F221" s="34" t="s">
        <v>95</v>
      </c>
      <c r="G221" s="40"/>
      <c r="H221" s="51"/>
      <c r="I221" s="114"/>
      <c r="J221" s="27"/>
    </row>
    <row r="222" spans="1:10" ht="24.9" hidden="1" customHeight="1" x14ac:dyDescent="0.3">
      <c r="A222" s="32">
        <v>140</v>
      </c>
      <c r="B222" s="33" t="s">
        <v>412</v>
      </c>
      <c r="C222" s="33" t="s">
        <v>392</v>
      </c>
      <c r="D222" s="33" t="s">
        <v>413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391</v>
      </c>
      <c r="C223" s="33" t="s">
        <v>392</v>
      </c>
      <c r="D223" s="33" t="s">
        <v>393</v>
      </c>
      <c r="E223" s="33" t="s">
        <v>240</v>
      </c>
      <c r="F223" s="34" t="s">
        <v>95</v>
      </c>
      <c r="G223" s="50"/>
      <c r="H223" s="50"/>
      <c r="I223" s="116"/>
      <c r="J223" s="27"/>
    </row>
    <row r="224" spans="1:10" ht="24.9" hidden="1" customHeight="1" x14ac:dyDescent="0.3">
      <c r="A224" s="32">
        <v>140</v>
      </c>
      <c r="B224" s="33" t="s">
        <v>418</v>
      </c>
      <c r="C224" s="33" t="s">
        <v>392</v>
      </c>
      <c r="D224" s="33" t="s">
        <v>419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450</v>
      </c>
      <c r="C225" s="33" t="s">
        <v>448</v>
      </c>
      <c r="D225" s="33" t="s">
        <v>451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470</v>
      </c>
      <c r="C226" s="33" t="s">
        <v>448</v>
      </c>
      <c r="D226" s="33" t="s">
        <v>471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454</v>
      </c>
      <c r="C227" s="33" t="s">
        <v>448</v>
      </c>
      <c r="D227" s="33" t="s">
        <v>455</v>
      </c>
      <c r="E227" s="33" t="s">
        <v>240</v>
      </c>
      <c r="F227" s="34" t="s">
        <v>95</v>
      </c>
      <c r="G227" s="40"/>
      <c r="H227" s="51"/>
      <c r="I227" s="114"/>
      <c r="J227" s="27"/>
    </row>
    <row r="228" spans="1:10" ht="24.9" hidden="1" customHeight="1" x14ac:dyDescent="0.3">
      <c r="A228" s="32">
        <v>140</v>
      </c>
      <c r="B228" s="33" t="s">
        <v>494</v>
      </c>
      <c r="C228" s="33" t="s">
        <v>495</v>
      </c>
      <c r="D228" s="33" t="s">
        <v>496</v>
      </c>
      <c r="E228" s="33" t="s">
        <v>240</v>
      </c>
      <c r="F228" s="34" t="s">
        <v>95</v>
      </c>
      <c r="G228" s="40"/>
      <c r="H228" s="51"/>
      <c r="I228" s="114"/>
      <c r="J228" s="27"/>
    </row>
    <row r="229" spans="1:10" ht="24.9" hidden="1" customHeight="1" x14ac:dyDescent="0.3">
      <c r="A229" s="32">
        <v>140</v>
      </c>
      <c r="B229" s="33" t="s">
        <v>513</v>
      </c>
      <c r="C229" s="33" t="s">
        <v>495</v>
      </c>
      <c r="D229" s="33" t="s">
        <v>514</v>
      </c>
      <c r="E229" s="33" t="s">
        <v>240</v>
      </c>
      <c r="F229" s="34" t="s">
        <v>95</v>
      </c>
      <c r="G229" s="40"/>
      <c r="H229" s="40"/>
      <c r="I229" s="114"/>
      <c r="J229" s="27"/>
    </row>
    <row r="230" spans="1:10" ht="24.9" hidden="1" customHeight="1" x14ac:dyDescent="0.3">
      <c r="A230" s="32">
        <v>140</v>
      </c>
      <c r="B230" s="33" t="s">
        <v>436</v>
      </c>
      <c r="C230" s="52" t="s">
        <v>437</v>
      </c>
      <c r="D230" s="33" t="s">
        <v>438</v>
      </c>
      <c r="E230" s="33" t="s">
        <v>240</v>
      </c>
      <c r="F230" s="34" t="s">
        <v>95</v>
      </c>
      <c r="G230" s="40"/>
      <c r="H230" s="40"/>
      <c r="I230" s="114"/>
      <c r="J230" s="27"/>
    </row>
    <row r="231" spans="1:10" ht="24.9" hidden="1" customHeight="1" x14ac:dyDescent="0.3">
      <c r="A231" s="32">
        <v>140</v>
      </c>
      <c r="B231" s="33" t="s">
        <v>432</v>
      </c>
      <c r="C231" s="33" t="s">
        <v>425</v>
      </c>
      <c r="D231" s="33" t="s">
        <v>433</v>
      </c>
      <c r="E231" s="33" t="s">
        <v>783</v>
      </c>
      <c r="F231" s="34" t="s">
        <v>127</v>
      </c>
      <c r="G231" s="40"/>
      <c r="H231" s="40"/>
      <c r="I231" s="35"/>
      <c r="J231" s="27"/>
    </row>
    <row r="232" spans="1:10" ht="24.9" hidden="1" customHeight="1" x14ac:dyDescent="0.3">
      <c r="A232" s="32">
        <v>140</v>
      </c>
      <c r="B232" s="33" t="s">
        <v>456</v>
      </c>
      <c r="C232" s="33" t="s">
        <v>448</v>
      </c>
      <c r="D232" s="33" t="s">
        <v>457</v>
      </c>
      <c r="E232" s="33" t="s">
        <v>783</v>
      </c>
      <c r="F232" s="34" t="s">
        <v>127</v>
      </c>
      <c r="G232" s="40"/>
      <c r="H232" s="51"/>
      <c r="I232" s="35"/>
      <c r="J232" s="27"/>
    </row>
    <row r="233" spans="1:10" ht="24.9" hidden="1" customHeight="1" x14ac:dyDescent="0.3">
      <c r="A233" s="32">
        <v>140</v>
      </c>
      <c r="B233" s="33" t="s">
        <v>497</v>
      </c>
      <c r="C233" s="33" t="s">
        <v>495</v>
      </c>
      <c r="D233" s="33" t="s">
        <v>498</v>
      </c>
      <c r="E233" s="33" t="s">
        <v>783</v>
      </c>
      <c r="F233" s="34" t="s">
        <v>127</v>
      </c>
      <c r="G233" s="40"/>
      <c r="H233" s="51"/>
      <c r="I233" s="35"/>
      <c r="J233" s="27"/>
    </row>
    <row r="234" spans="1:10" ht="24.9" hidden="1" customHeight="1" x14ac:dyDescent="0.3">
      <c r="A234" s="32">
        <v>140</v>
      </c>
      <c r="B234" s="33" t="s">
        <v>397</v>
      </c>
      <c r="C234" s="33" t="s">
        <v>398</v>
      </c>
      <c r="D234" s="33" t="s">
        <v>399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397</v>
      </c>
      <c r="C235" s="33" t="s">
        <v>398</v>
      </c>
      <c r="D235" s="33" t="s">
        <v>399</v>
      </c>
      <c r="E235" s="33" t="s">
        <v>183</v>
      </c>
      <c r="F235" s="34" t="s">
        <v>127</v>
      </c>
      <c r="G235" s="40"/>
      <c r="H235" s="40"/>
      <c r="I235" s="35"/>
      <c r="J235" s="27"/>
    </row>
    <row r="236" spans="1:10" ht="24.9" hidden="1" customHeight="1" x14ac:dyDescent="0.3">
      <c r="A236" s="32">
        <v>140</v>
      </c>
      <c r="B236" s="33" t="s">
        <v>408</v>
      </c>
      <c r="C236" s="33" t="s">
        <v>392</v>
      </c>
      <c r="D236" s="33" t="s">
        <v>409</v>
      </c>
      <c r="E236" s="33" t="s">
        <v>173</v>
      </c>
      <c r="F236" s="34" t="s">
        <v>127</v>
      </c>
      <c r="G236" s="40"/>
      <c r="H236" s="40"/>
      <c r="I236" s="35"/>
      <c r="J236" s="27"/>
    </row>
    <row r="237" spans="1:10" ht="24.9" hidden="1" customHeight="1" x14ac:dyDescent="0.3">
      <c r="A237" s="32">
        <v>140</v>
      </c>
      <c r="B237" s="33" t="s">
        <v>408</v>
      </c>
      <c r="C237" s="33" t="s">
        <v>392</v>
      </c>
      <c r="D237" s="33" t="s">
        <v>409</v>
      </c>
      <c r="E237" s="33" t="s">
        <v>183</v>
      </c>
      <c r="F237" s="34" t="s">
        <v>127</v>
      </c>
      <c r="G237" s="40"/>
      <c r="H237" s="51"/>
      <c r="I237" s="35"/>
      <c r="J237" s="27"/>
    </row>
    <row r="238" spans="1:10" ht="24.9" hidden="1" customHeight="1" x14ac:dyDescent="0.3">
      <c r="A238" s="32">
        <v>140</v>
      </c>
      <c r="B238" s="33" t="s">
        <v>414</v>
      </c>
      <c r="C238" s="33" t="s">
        <v>392</v>
      </c>
      <c r="D238" s="33" t="s">
        <v>415</v>
      </c>
      <c r="E238" s="33" t="s">
        <v>173</v>
      </c>
      <c r="F238" s="34" t="s">
        <v>127</v>
      </c>
      <c r="G238" s="40"/>
      <c r="H238" s="51"/>
      <c r="I238" s="35"/>
      <c r="J238" s="27"/>
    </row>
    <row r="239" spans="1:10" ht="24.9" hidden="1" customHeight="1" x14ac:dyDescent="0.3">
      <c r="A239" s="32">
        <v>140</v>
      </c>
      <c r="B239" s="33" t="s">
        <v>414</v>
      </c>
      <c r="C239" s="33" t="s">
        <v>392</v>
      </c>
      <c r="D239" s="33" t="s">
        <v>415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420</v>
      </c>
      <c r="C240" s="33" t="s">
        <v>392</v>
      </c>
      <c r="D240" s="33" t="s">
        <v>421</v>
      </c>
      <c r="E240" s="33" t="s">
        <v>173</v>
      </c>
      <c r="F240" s="34" t="s">
        <v>127</v>
      </c>
      <c r="G240" s="40"/>
      <c r="H240" s="40"/>
      <c r="I240" s="35"/>
      <c r="J240" s="27"/>
    </row>
    <row r="241" spans="1:10" ht="24.9" hidden="1" customHeight="1" x14ac:dyDescent="0.3">
      <c r="A241" s="32">
        <v>140</v>
      </c>
      <c r="B241" s="33" t="s">
        <v>420</v>
      </c>
      <c r="C241" s="33" t="s">
        <v>392</v>
      </c>
      <c r="D241" s="33" t="s">
        <v>421</v>
      </c>
      <c r="E241" s="33" t="s">
        <v>183</v>
      </c>
      <c r="F241" s="34" t="s">
        <v>127</v>
      </c>
      <c r="G241" s="40"/>
      <c r="H241" s="40"/>
      <c r="I241" s="35"/>
      <c r="J241" s="27"/>
    </row>
    <row r="242" spans="1:10" ht="24.9" hidden="1" customHeight="1" x14ac:dyDescent="0.3">
      <c r="A242" s="32">
        <v>140</v>
      </c>
      <c r="B242" s="33" t="s">
        <v>400</v>
      </c>
      <c r="C242" s="33" t="s">
        <v>398</v>
      </c>
      <c r="D242" s="33" t="s">
        <v>401</v>
      </c>
      <c r="E242" s="33" t="s">
        <v>173</v>
      </c>
      <c r="F242" s="34" t="s">
        <v>127</v>
      </c>
      <c r="G242" s="40"/>
      <c r="H242" s="51"/>
      <c r="I242" s="35"/>
      <c r="J242" s="27"/>
    </row>
    <row r="243" spans="1:10" ht="24.9" hidden="1" customHeight="1" x14ac:dyDescent="0.3">
      <c r="A243" s="32">
        <v>140</v>
      </c>
      <c r="B243" s="33" t="s">
        <v>400</v>
      </c>
      <c r="C243" s="33" t="s">
        <v>398</v>
      </c>
      <c r="D243" s="33" t="s">
        <v>401</v>
      </c>
      <c r="E243" s="33" t="s">
        <v>183</v>
      </c>
      <c r="F243" s="34" t="s">
        <v>127</v>
      </c>
      <c r="G243" s="40"/>
      <c r="H243" s="51"/>
      <c r="I243" s="35"/>
      <c r="J243" s="27"/>
    </row>
    <row r="244" spans="1:10" ht="24.9" hidden="1" customHeight="1" x14ac:dyDescent="0.3">
      <c r="A244" s="32">
        <v>140</v>
      </c>
      <c r="B244" s="33" t="s">
        <v>434</v>
      </c>
      <c r="C244" s="33" t="s">
        <v>425</v>
      </c>
      <c r="D244" s="33" t="s">
        <v>435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434</v>
      </c>
      <c r="C245" s="33" t="s">
        <v>425</v>
      </c>
      <c r="D245" s="33" t="s">
        <v>435</v>
      </c>
      <c r="E245" s="33" t="s">
        <v>183</v>
      </c>
      <c r="F245" s="34" t="s">
        <v>127</v>
      </c>
      <c r="G245" s="40"/>
      <c r="H245" s="40"/>
      <c r="I245" s="35"/>
      <c r="J245" s="27"/>
    </row>
    <row r="246" spans="1:10" ht="24.9" hidden="1" customHeight="1" x14ac:dyDescent="0.3">
      <c r="A246" s="32">
        <v>140</v>
      </c>
      <c r="B246" s="33" t="s">
        <v>468</v>
      </c>
      <c r="C246" s="33" t="s">
        <v>448</v>
      </c>
      <c r="D246" s="33" t="s">
        <v>469</v>
      </c>
      <c r="E246" s="33" t="s">
        <v>173</v>
      </c>
      <c r="F246" s="34" t="s">
        <v>127</v>
      </c>
      <c r="G246" s="40"/>
      <c r="H246" s="40"/>
      <c r="I246" s="35"/>
      <c r="J246" s="27"/>
    </row>
    <row r="247" spans="1:10" ht="24.9" hidden="1" customHeight="1" x14ac:dyDescent="0.3">
      <c r="A247" s="32">
        <v>140</v>
      </c>
      <c r="B247" s="33" t="s">
        <v>468</v>
      </c>
      <c r="C247" s="33" t="s">
        <v>448</v>
      </c>
      <c r="D247" s="33" t="s">
        <v>469</v>
      </c>
      <c r="E247" s="33" t="s">
        <v>183</v>
      </c>
      <c r="F247" s="34" t="s">
        <v>127</v>
      </c>
      <c r="G247" s="40"/>
      <c r="H247" s="51"/>
      <c r="I247" s="35"/>
      <c r="J247" s="27"/>
    </row>
    <row r="248" spans="1:10" ht="24.9" hidden="1" customHeight="1" x14ac:dyDescent="0.3">
      <c r="A248" s="32">
        <v>140</v>
      </c>
      <c r="B248" s="33" t="s">
        <v>402</v>
      </c>
      <c r="C248" s="33" t="s">
        <v>398</v>
      </c>
      <c r="D248" s="33" t="s">
        <v>403</v>
      </c>
      <c r="E248" s="33" t="s">
        <v>173</v>
      </c>
      <c r="F248" s="34" t="s">
        <v>127</v>
      </c>
      <c r="G248" s="40"/>
      <c r="H248" s="51"/>
      <c r="I248" s="35"/>
      <c r="J248" s="27"/>
    </row>
    <row r="249" spans="1:10" ht="24.9" hidden="1" customHeight="1" x14ac:dyDescent="0.3">
      <c r="A249" s="32">
        <v>140</v>
      </c>
      <c r="B249" s="33" t="s">
        <v>402</v>
      </c>
      <c r="C249" s="33" t="s">
        <v>398</v>
      </c>
      <c r="D249" s="33" t="s">
        <v>403</v>
      </c>
      <c r="E249" s="33" t="s">
        <v>183</v>
      </c>
      <c r="F249" s="34" t="s">
        <v>127</v>
      </c>
      <c r="G249" s="40"/>
      <c r="H249" s="40"/>
      <c r="I249" s="35"/>
      <c r="J249" s="27"/>
    </row>
    <row r="250" spans="1:10" ht="24.9" hidden="1" customHeight="1" x14ac:dyDescent="0.3">
      <c r="A250" s="32">
        <v>140</v>
      </c>
      <c r="B250" s="33" t="s">
        <v>472</v>
      </c>
      <c r="C250" s="33" t="s">
        <v>473</v>
      </c>
      <c r="D250" s="33" t="s">
        <v>474</v>
      </c>
      <c r="E250" s="33" t="s">
        <v>173</v>
      </c>
      <c r="F250" s="34" t="s">
        <v>127</v>
      </c>
      <c r="G250" s="40"/>
      <c r="H250" s="40"/>
      <c r="I250" s="35"/>
      <c r="J250" s="27"/>
    </row>
    <row r="251" spans="1:10" ht="24.9" hidden="1" customHeight="1" x14ac:dyDescent="0.3">
      <c r="A251" s="32">
        <v>140</v>
      </c>
      <c r="B251" s="33" t="s">
        <v>472</v>
      </c>
      <c r="C251" s="33" t="s">
        <v>473</v>
      </c>
      <c r="D251" s="33" t="s">
        <v>474</v>
      </c>
      <c r="E251" s="33" t="s">
        <v>183</v>
      </c>
      <c r="F251" s="34" t="s">
        <v>127</v>
      </c>
      <c r="G251" s="40"/>
      <c r="H251" s="51"/>
      <c r="I251" s="35"/>
      <c r="J251" s="27"/>
    </row>
    <row r="252" spans="1:10" ht="24.9" hidden="1" customHeight="1" x14ac:dyDescent="0.3">
      <c r="A252" s="32">
        <v>140</v>
      </c>
      <c r="B252" s="33" t="s">
        <v>511</v>
      </c>
      <c r="C252" s="33" t="s">
        <v>495</v>
      </c>
      <c r="D252" s="33" t="s">
        <v>512</v>
      </c>
      <c r="E252" s="33" t="s">
        <v>173</v>
      </c>
      <c r="F252" s="34" t="s">
        <v>127</v>
      </c>
      <c r="G252" s="40"/>
      <c r="H252" s="51"/>
      <c r="I252" s="35"/>
      <c r="J252" s="27"/>
    </row>
    <row r="253" spans="1:10" ht="24.9" hidden="1" customHeight="1" x14ac:dyDescent="0.3">
      <c r="A253" s="32">
        <v>140</v>
      </c>
      <c r="B253" s="33" t="s">
        <v>511</v>
      </c>
      <c r="C253" s="33" t="s">
        <v>495</v>
      </c>
      <c r="D253" s="33" t="s">
        <v>512</v>
      </c>
      <c r="E253" s="33" t="s">
        <v>183</v>
      </c>
      <c r="F253" s="34" t="s">
        <v>127</v>
      </c>
      <c r="G253" s="40"/>
      <c r="H253" s="40"/>
      <c r="I253" s="35"/>
      <c r="J253" s="27"/>
    </row>
    <row r="254" spans="1:10" ht="24.9" hidden="1" customHeight="1" x14ac:dyDescent="0.3">
      <c r="A254" s="32">
        <v>140</v>
      </c>
      <c r="B254" s="33" t="s">
        <v>447</v>
      </c>
      <c r="C254" s="33" t="s">
        <v>448</v>
      </c>
      <c r="D254" s="33" t="s">
        <v>449</v>
      </c>
      <c r="E254" s="33" t="s">
        <v>173</v>
      </c>
      <c r="F254" s="34" t="s">
        <v>127</v>
      </c>
      <c r="G254" s="40"/>
      <c r="H254" s="40"/>
      <c r="I254" s="35"/>
      <c r="J254" s="27"/>
    </row>
    <row r="255" spans="1:10" ht="24.9" hidden="1" customHeight="1" x14ac:dyDescent="0.3">
      <c r="A255" s="32">
        <v>140</v>
      </c>
      <c r="B255" s="33" t="s">
        <v>447</v>
      </c>
      <c r="C255" s="33" t="s">
        <v>448</v>
      </c>
      <c r="D255" s="33" t="s">
        <v>449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507</v>
      </c>
      <c r="C256" s="33" t="s">
        <v>495</v>
      </c>
      <c r="D256" s="33" t="s">
        <v>508</v>
      </c>
      <c r="E256" s="33" t="s">
        <v>173</v>
      </c>
      <c r="F256" s="34" t="s">
        <v>127</v>
      </c>
      <c r="G256" s="40"/>
      <c r="H256" s="51"/>
      <c r="I256" s="35"/>
      <c r="J256" s="27"/>
    </row>
    <row r="257" spans="1:10" ht="24.9" hidden="1" customHeight="1" x14ac:dyDescent="0.3">
      <c r="A257" s="32">
        <v>140</v>
      </c>
      <c r="B257" s="33" t="s">
        <v>507</v>
      </c>
      <c r="C257" s="33" t="s">
        <v>495</v>
      </c>
      <c r="D257" s="33" t="s">
        <v>508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439</v>
      </c>
      <c r="C258" s="52" t="s">
        <v>437</v>
      </c>
      <c r="D258" s="33" t="s">
        <v>440</v>
      </c>
      <c r="E258" s="33" t="s">
        <v>173</v>
      </c>
      <c r="F258" s="34" t="s">
        <v>127</v>
      </c>
      <c r="G258" s="40"/>
      <c r="H258" s="40"/>
      <c r="I258" s="35"/>
      <c r="J258" s="27"/>
    </row>
    <row r="259" spans="1:10" ht="24.9" hidden="1" customHeight="1" x14ac:dyDescent="0.3">
      <c r="A259" s="32">
        <v>140</v>
      </c>
      <c r="B259" s="33" t="s">
        <v>439</v>
      </c>
      <c r="C259" s="52" t="s">
        <v>437</v>
      </c>
      <c r="D259" s="33" t="s">
        <v>440</v>
      </c>
      <c r="E259" s="33" t="s">
        <v>183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509</v>
      </c>
      <c r="C260" s="33" t="s">
        <v>495</v>
      </c>
      <c r="D260" s="33" t="s">
        <v>510</v>
      </c>
      <c r="E260" s="33" t="s">
        <v>240</v>
      </c>
      <c r="F260" s="34" t="s">
        <v>95</v>
      </c>
      <c r="G260" s="40"/>
      <c r="H260" s="51"/>
      <c r="I260" s="114"/>
      <c r="J260" s="27"/>
    </row>
    <row r="261" spans="1:10" ht="24.9" hidden="1" customHeight="1" x14ac:dyDescent="0.3">
      <c r="A261" s="32">
        <v>140</v>
      </c>
      <c r="B261" s="33" t="s">
        <v>443</v>
      </c>
      <c r="C261" s="52" t="s">
        <v>437</v>
      </c>
      <c r="D261" s="33" t="s">
        <v>444</v>
      </c>
      <c r="E261" s="33" t="s">
        <v>173</v>
      </c>
      <c r="F261" s="34" t="s">
        <v>127</v>
      </c>
      <c r="G261" s="40"/>
      <c r="H261" s="51"/>
      <c r="I261" s="35"/>
      <c r="J261" s="27"/>
    </row>
    <row r="262" spans="1:10" ht="24.9" hidden="1" customHeight="1" x14ac:dyDescent="0.3">
      <c r="A262" s="32">
        <v>140</v>
      </c>
      <c r="B262" s="33" t="s">
        <v>443</v>
      </c>
      <c r="C262" s="52" t="s">
        <v>437</v>
      </c>
      <c r="D262" s="33" t="s">
        <v>444</v>
      </c>
      <c r="E262" s="33" t="s">
        <v>183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534</v>
      </c>
      <c r="C263" s="33" t="s">
        <v>527</v>
      </c>
      <c r="D263" s="33" t="s">
        <v>535</v>
      </c>
      <c r="E263" s="33" t="s">
        <v>243</v>
      </c>
      <c r="F263" s="34" t="s">
        <v>127</v>
      </c>
      <c r="G263" s="40"/>
      <c r="H263" s="51"/>
      <c r="I263" s="35" t="s">
        <v>205</v>
      </c>
      <c r="J263" s="27"/>
    </row>
    <row r="264" spans="1:10" ht="24.9" hidden="1" customHeight="1" x14ac:dyDescent="0.3">
      <c r="A264" s="32" t="s">
        <v>522</v>
      </c>
      <c r="B264" s="33" t="s">
        <v>526</v>
      </c>
      <c r="C264" s="33" t="s">
        <v>527</v>
      </c>
      <c r="D264" s="33" t="s">
        <v>528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526</v>
      </c>
      <c r="C265" s="33" t="s">
        <v>527</v>
      </c>
      <c r="D265" s="33" t="s">
        <v>528</v>
      </c>
      <c r="E265" s="33" t="s">
        <v>225</v>
      </c>
      <c r="F265" s="34" t="s">
        <v>127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530</v>
      </c>
      <c r="C266" s="33" t="s">
        <v>527</v>
      </c>
      <c r="D266" s="33" t="s">
        <v>531</v>
      </c>
      <c r="E266" s="33" t="s">
        <v>785</v>
      </c>
      <c r="F266" s="34" t="s">
        <v>127</v>
      </c>
      <c r="G266" s="40"/>
      <c r="H266" s="51"/>
      <c r="I266" s="35"/>
      <c r="J266" s="27"/>
    </row>
    <row r="267" spans="1:10" ht="24.9" hidden="1" customHeight="1" x14ac:dyDescent="0.3">
      <c r="A267" s="32" t="s">
        <v>522</v>
      </c>
      <c r="B267" s="33" t="s">
        <v>530</v>
      </c>
      <c r="C267" s="33" t="s">
        <v>527</v>
      </c>
      <c r="D267" s="33" t="s">
        <v>531</v>
      </c>
      <c r="E267" s="33" t="s">
        <v>225</v>
      </c>
      <c r="F267" s="34" t="s">
        <v>127</v>
      </c>
      <c r="G267" s="40"/>
      <c r="H267" s="51" t="s">
        <v>543</v>
      </c>
      <c r="I267" s="35" t="s">
        <v>786</v>
      </c>
      <c r="J267" s="27"/>
    </row>
    <row r="268" spans="1:10" ht="24.9" hidden="1" customHeight="1" x14ac:dyDescent="0.3">
      <c r="A268" s="32" t="s">
        <v>522</v>
      </c>
      <c r="B268" s="33" t="s">
        <v>540</v>
      </c>
      <c r="C268" s="33" t="s">
        <v>524</v>
      </c>
      <c r="D268" s="33" t="s">
        <v>541</v>
      </c>
      <c r="E268" s="33" t="s">
        <v>542</v>
      </c>
      <c r="F268" s="34" t="s">
        <v>127</v>
      </c>
      <c r="G268" s="40"/>
      <c r="H268" s="51"/>
      <c r="I268" s="35" t="s">
        <v>205</v>
      </c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784</v>
      </c>
      <c r="F269" s="34" t="s">
        <v>127</v>
      </c>
      <c r="G269" s="40"/>
      <c r="H269" s="51"/>
      <c r="I269" s="35"/>
      <c r="J269" s="27"/>
    </row>
    <row r="270" spans="1:10" ht="24.9" hidden="1" customHeight="1" x14ac:dyDescent="0.3">
      <c r="A270" s="32" t="s">
        <v>522</v>
      </c>
      <c r="B270" s="33" t="s">
        <v>523</v>
      </c>
      <c r="C270" s="33" t="s">
        <v>524</v>
      </c>
      <c r="D270" s="33" t="s">
        <v>525</v>
      </c>
      <c r="E270" s="33" t="s">
        <v>533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523</v>
      </c>
      <c r="C271" s="33" t="s">
        <v>524</v>
      </c>
      <c r="D271" s="33" t="s">
        <v>525</v>
      </c>
      <c r="E271" s="33" t="s">
        <v>544</v>
      </c>
      <c r="F271" s="34" t="s">
        <v>127</v>
      </c>
      <c r="G271" s="40"/>
      <c r="H271" s="51" t="s">
        <v>378</v>
      </c>
      <c r="I271" s="35" t="s">
        <v>545</v>
      </c>
      <c r="J271" s="27"/>
    </row>
    <row r="272" spans="1:10" ht="24.9" hidden="1" customHeight="1" x14ac:dyDescent="0.3">
      <c r="A272" s="32" t="s">
        <v>522</v>
      </c>
      <c r="B272" s="33" t="s">
        <v>536</v>
      </c>
      <c r="C272" s="33" t="s">
        <v>527</v>
      </c>
      <c r="D272" s="33" t="s">
        <v>537</v>
      </c>
      <c r="E272" s="33" t="s">
        <v>243</v>
      </c>
      <c r="F272" s="34" t="s">
        <v>127</v>
      </c>
      <c r="G272" s="40"/>
      <c r="H272" s="51"/>
      <c r="I272" s="35"/>
      <c r="J272" s="27"/>
    </row>
    <row r="273" spans="1:10" ht="24.9" hidden="1" customHeight="1" x14ac:dyDescent="0.3">
      <c r="A273" s="32" t="s">
        <v>522</v>
      </c>
      <c r="B273" s="33" t="s">
        <v>529</v>
      </c>
      <c r="C273" s="33" t="s">
        <v>527</v>
      </c>
      <c r="D273" s="33" t="s">
        <v>528</v>
      </c>
      <c r="E273" s="33" t="s">
        <v>785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529</v>
      </c>
      <c r="C274" s="33" t="s">
        <v>527</v>
      </c>
      <c r="D274" s="33" t="s">
        <v>528</v>
      </c>
      <c r="E274" s="33" t="s">
        <v>225</v>
      </c>
      <c r="F274" s="34" t="s">
        <v>127</v>
      </c>
      <c r="G274" s="40"/>
      <c r="H274" s="51" t="s">
        <v>543</v>
      </c>
      <c r="I274" s="35" t="s">
        <v>786</v>
      </c>
      <c r="J274" s="27"/>
    </row>
    <row r="275" spans="1:10" ht="24.9" hidden="1" customHeight="1" x14ac:dyDescent="0.3">
      <c r="A275" s="32" t="s">
        <v>522</v>
      </c>
      <c r="B275" s="33" t="s">
        <v>538</v>
      </c>
      <c r="C275" s="33" t="s">
        <v>527</v>
      </c>
      <c r="D275" s="33" t="s">
        <v>539</v>
      </c>
      <c r="E275" s="33" t="s">
        <v>243</v>
      </c>
      <c r="F275" s="34" t="s">
        <v>127</v>
      </c>
      <c r="G275" s="40"/>
      <c r="H275" s="51"/>
      <c r="I275" s="35"/>
      <c r="J275" s="27"/>
    </row>
    <row r="276" spans="1:10" ht="24.9" hidden="1" customHeight="1" x14ac:dyDescent="0.3">
      <c r="A276" s="32" t="s">
        <v>522</v>
      </c>
      <c r="B276" s="33" t="s">
        <v>532</v>
      </c>
      <c r="C276" s="33" t="s">
        <v>527</v>
      </c>
      <c r="D276" s="33" t="s">
        <v>528</v>
      </c>
      <c r="E276" s="33" t="s">
        <v>785</v>
      </c>
      <c r="F276" s="34" t="s">
        <v>127</v>
      </c>
      <c r="G276" s="40"/>
      <c r="H276" s="51"/>
      <c r="I276" s="35"/>
      <c r="J276" s="27"/>
    </row>
    <row r="277" spans="1:10" ht="24.9" hidden="1" customHeight="1" x14ac:dyDescent="0.3">
      <c r="A277" s="32" t="s">
        <v>522</v>
      </c>
      <c r="B277" s="33" t="s">
        <v>532</v>
      </c>
      <c r="C277" s="33" t="s">
        <v>527</v>
      </c>
      <c r="D277" s="33" t="s">
        <v>528</v>
      </c>
      <c r="E277" s="33" t="s">
        <v>225</v>
      </c>
      <c r="F277" s="34" t="s">
        <v>127</v>
      </c>
      <c r="G277" s="40"/>
      <c r="H277" s="51" t="s">
        <v>543</v>
      </c>
      <c r="I277" s="35" t="s">
        <v>786</v>
      </c>
      <c r="J277" s="27"/>
    </row>
    <row r="278" spans="1:10" ht="24.9" hidden="1" customHeight="1" x14ac:dyDescent="0.3">
      <c r="A278" s="32" t="s">
        <v>546</v>
      </c>
      <c r="B278" s="33" t="s">
        <v>582</v>
      </c>
      <c r="C278" s="33" t="s">
        <v>562</v>
      </c>
      <c r="D278" s="33" t="s">
        <v>583</v>
      </c>
      <c r="E278" s="33" t="s">
        <v>160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 t="s">
        <v>546</v>
      </c>
      <c r="B279" s="33" t="s">
        <v>561</v>
      </c>
      <c r="C279" s="33" t="s">
        <v>562</v>
      </c>
      <c r="D279" s="33" t="s">
        <v>563</v>
      </c>
      <c r="E279" s="33" t="s">
        <v>225</v>
      </c>
      <c r="F279" s="34" t="s">
        <v>167</v>
      </c>
      <c r="G279" s="40"/>
      <c r="H279" s="51" t="s">
        <v>850</v>
      </c>
      <c r="I279" s="35" t="s">
        <v>234</v>
      </c>
      <c r="J279" s="27"/>
    </row>
    <row r="280" spans="1:10" ht="24.9" hidden="1" customHeight="1" x14ac:dyDescent="0.3">
      <c r="A280" s="32" t="s">
        <v>546</v>
      </c>
      <c r="B280" s="33" t="s">
        <v>561</v>
      </c>
      <c r="C280" s="33" t="s">
        <v>562</v>
      </c>
      <c r="D280" s="33" t="s">
        <v>563</v>
      </c>
      <c r="E280" s="33" t="s">
        <v>581</v>
      </c>
      <c r="F280" s="34" t="s">
        <v>127</v>
      </c>
      <c r="G280" s="40"/>
      <c r="H280" s="48"/>
      <c r="I280" s="35"/>
      <c r="J280" s="27"/>
    </row>
    <row r="281" spans="1:10" ht="24.9" hidden="1" customHeight="1" x14ac:dyDescent="0.3">
      <c r="A281" s="32">
        <v>140</v>
      </c>
      <c r="B281" s="33" t="s">
        <v>520</v>
      </c>
      <c r="C281" s="33" t="s">
        <v>516</v>
      </c>
      <c r="D281" s="33" t="s">
        <v>521</v>
      </c>
      <c r="E281" s="33" t="s">
        <v>240</v>
      </c>
      <c r="F281" s="34" t="s">
        <v>95</v>
      </c>
      <c r="G281" s="40"/>
      <c r="H281" s="40"/>
      <c r="I281" s="114"/>
      <c r="J281" s="27"/>
    </row>
    <row r="282" spans="1:10" ht="24.9" hidden="1" customHeight="1" x14ac:dyDescent="0.3">
      <c r="A282" s="32">
        <v>140</v>
      </c>
      <c r="B282" s="33" t="s">
        <v>439</v>
      </c>
      <c r="C282" s="33" t="s">
        <v>516</v>
      </c>
      <c r="D282" s="33" t="s">
        <v>519</v>
      </c>
      <c r="E282" s="33" t="s">
        <v>240</v>
      </c>
      <c r="F282" s="34" t="s">
        <v>95</v>
      </c>
      <c r="G282" s="40"/>
      <c r="H282" s="40"/>
      <c r="I282" s="114"/>
      <c r="J282" s="27"/>
    </row>
    <row r="283" spans="1:10" ht="24.9" hidden="1" customHeight="1" x14ac:dyDescent="0.3">
      <c r="A283" s="32" t="s">
        <v>546</v>
      </c>
      <c r="B283" s="33" t="s">
        <v>596</v>
      </c>
      <c r="C283" s="33" t="s">
        <v>548</v>
      </c>
      <c r="D283" s="33" t="s">
        <v>597</v>
      </c>
      <c r="E283" s="33" t="s">
        <v>598</v>
      </c>
      <c r="F283" s="34" t="s">
        <v>127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586</v>
      </c>
      <c r="F284" s="34" t="s">
        <v>99</v>
      </c>
      <c r="G284" s="40"/>
      <c r="H284" s="53"/>
      <c r="I284" s="35"/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788</v>
      </c>
      <c r="F285" s="34" t="s">
        <v>99</v>
      </c>
      <c r="G285" s="40"/>
      <c r="H285" s="53"/>
      <c r="I285" s="35"/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33" t="s">
        <v>588</v>
      </c>
      <c r="F286" s="34" t="s">
        <v>99</v>
      </c>
      <c r="G286" s="40"/>
      <c r="H286" s="53"/>
      <c r="I286" s="35" t="s">
        <v>589</v>
      </c>
      <c r="J286" s="27"/>
    </row>
    <row r="287" spans="1:10" ht="24.9" hidden="1" customHeight="1" x14ac:dyDescent="0.3">
      <c r="A287" s="32" t="s">
        <v>546</v>
      </c>
      <c r="B287" s="33" t="s">
        <v>584</v>
      </c>
      <c r="C287" s="33" t="s">
        <v>551</v>
      </c>
      <c r="D287" s="33" t="s">
        <v>585</v>
      </c>
      <c r="E287" s="33" t="s">
        <v>587</v>
      </c>
      <c r="F287" s="34" t="s">
        <v>127</v>
      </c>
      <c r="G287" s="40"/>
      <c r="H287" s="53"/>
      <c r="I287" s="35" t="s">
        <v>579</v>
      </c>
      <c r="J287" s="27"/>
    </row>
    <row r="288" spans="1:10" ht="24.9" hidden="1" customHeight="1" x14ac:dyDescent="0.3">
      <c r="A288" s="32" t="s">
        <v>546</v>
      </c>
      <c r="B288" s="33" t="s">
        <v>584</v>
      </c>
      <c r="C288" s="33" t="s">
        <v>551</v>
      </c>
      <c r="D288" s="33" t="s">
        <v>585</v>
      </c>
      <c r="E288" s="43" t="s">
        <v>590</v>
      </c>
      <c r="F288" s="34" t="s">
        <v>127</v>
      </c>
      <c r="G288" s="40"/>
      <c r="H288" s="48"/>
      <c r="I288" s="35" t="s">
        <v>579</v>
      </c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225</v>
      </c>
      <c r="F289" s="34" t="s">
        <v>167</v>
      </c>
      <c r="G289" s="40"/>
      <c r="H289" s="51" t="s">
        <v>850</v>
      </c>
      <c r="I289" s="35" t="s">
        <v>234</v>
      </c>
      <c r="J289" s="27"/>
    </row>
    <row r="290" spans="1:10" ht="24.9" hidden="1" customHeight="1" x14ac:dyDescent="0.3">
      <c r="A290" s="32" t="s">
        <v>546</v>
      </c>
      <c r="B290" s="33" t="s">
        <v>550</v>
      </c>
      <c r="C290" s="33" t="s">
        <v>551</v>
      </c>
      <c r="D290" s="33" t="s">
        <v>552</v>
      </c>
      <c r="E290" s="33" t="s">
        <v>577</v>
      </c>
      <c r="F290" s="34" t="s">
        <v>167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550</v>
      </c>
      <c r="C291" s="33" t="s">
        <v>551</v>
      </c>
      <c r="D291" s="33" t="s">
        <v>552</v>
      </c>
      <c r="E291" s="33" t="s">
        <v>578</v>
      </c>
      <c r="F291" s="34" t="s">
        <v>127</v>
      </c>
      <c r="G291" s="40"/>
      <c r="H291" s="48"/>
      <c r="I291" s="35" t="s">
        <v>579</v>
      </c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586</v>
      </c>
      <c r="F292" s="34" t="s">
        <v>99</v>
      </c>
      <c r="G292" s="40"/>
      <c r="H292" s="48"/>
      <c r="I292" s="35"/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788</v>
      </c>
      <c r="F293" s="34" t="s">
        <v>99</v>
      </c>
      <c r="G293" s="40"/>
      <c r="H293" s="48"/>
      <c r="I293" s="35"/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33" t="s">
        <v>588</v>
      </c>
      <c r="F294" s="34" t="s">
        <v>99</v>
      </c>
      <c r="G294" s="40"/>
      <c r="H294" s="48"/>
      <c r="I294" s="35" t="s">
        <v>589</v>
      </c>
      <c r="J294" s="27"/>
    </row>
    <row r="295" spans="1:10" ht="24.9" hidden="1" customHeight="1" x14ac:dyDescent="0.3">
      <c r="A295" s="32" t="s">
        <v>546</v>
      </c>
      <c r="B295" s="33" t="s">
        <v>591</v>
      </c>
      <c r="C295" s="33" t="s">
        <v>554</v>
      </c>
      <c r="D295" s="33" t="s">
        <v>585</v>
      </c>
      <c r="E295" s="33" t="s">
        <v>587</v>
      </c>
      <c r="F295" s="34" t="s">
        <v>127</v>
      </c>
      <c r="G295" s="40"/>
      <c r="H295" s="48"/>
      <c r="I295" s="35" t="s">
        <v>579</v>
      </c>
      <c r="J295" s="27"/>
    </row>
    <row r="296" spans="1:10" ht="24.9" hidden="1" customHeight="1" x14ac:dyDescent="0.3">
      <c r="A296" s="32" t="s">
        <v>546</v>
      </c>
      <c r="B296" s="33" t="s">
        <v>591</v>
      </c>
      <c r="C296" s="33" t="s">
        <v>554</v>
      </c>
      <c r="D296" s="33" t="s">
        <v>585</v>
      </c>
      <c r="E296" s="43" t="s">
        <v>590</v>
      </c>
      <c r="F296" s="34" t="s">
        <v>127</v>
      </c>
      <c r="G296" s="40"/>
      <c r="H296" s="48"/>
      <c r="I296" s="35" t="s">
        <v>579</v>
      </c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225</v>
      </c>
      <c r="F297" s="34" t="s">
        <v>167</v>
      </c>
      <c r="G297" s="40"/>
      <c r="H297" s="51" t="s">
        <v>850</v>
      </c>
      <c r="I297" s="35" t="s">
        <v>234</v>
      </c>
      <c r="J297" s="27"/>
    </row>
    <row r="298" spans="1:10" ht="24.9" hidden="1" customHeight="1" x14ac:dyDescent="0.3">
      <c r="A298" s="32" t="s">
        <v>546</v>
      </c>
      <c r="B298" s="33" t="s">
        <v>553</v>
      </c>
      <c r="C298" s="33" t="s">
        <v>554</v>
      </c>
      <c r="D298" s="33" t="s">
        <v>552</v>
      </c>
      <c r="E298" s="33" t="s">
        <v>577</v>
      </c>
      <c r="F298" s="34" t="s">
        <v>167</v>
      </c>
      <c r="G298" s="40"/>
      <c r="H298" s="53"/>
      <c r="I298" s="35"/>
      <c r="J298" s="27"/>
    </row>
    <row r="299" spans="1:10" ht="24.9" hidden="1" customHeight="1" x14ac:dyDescent="0.3">
      <c r="A299" s="32" t="s">
        <v>546</v>
      </c>
      <c r="B299" s="33" t="s">
        <v>553</v>
      </c>
      <c r="C299" s="33" t="s">
        <v>554</v>
      </c>
      <c r="D299" s="33" t="s">
        <v>552</v>
      </c>
      <c r="E299" s="33" t="s">
        <v>578</v>
      </c>
      <c r="F299" s="34" t="s">
        <v>127</v>
      </c>
      <c r="G299" s="40"/>
      <c r="H299" s="48"/>
      <c r="I299" s="35" t="s">
        <v>579</v>
      </c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586</v>
      </c>
      <c r="F300" s="34" t="s">
        <v>99</v>
      </c>
      <c r="G300" s="40"/>
      <c r="H300" s="48"/>
      <c r="I300" s="35"/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788</v>
      </c>
      <c r="F301" s="34" t="s">
        <v>99</v>
      </c>
      <c r="G301" s="40"/>
      <c r="H301" s="48"/>
      <c r="I301" s="35"/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588</v>
      </c>
      <c r="F302" s="34" t="s">
        <v>99</v>
      </c>
      <c r="G302" s="40"/>
      <c r="H302" s="53"/>
      <c r="I302" s="35" t="s">
        <v>589</v>
      </c>
      <c r="J302" s="27"/>
    </row>
    <row r="303" spans="1:10" ht="24.9" hidden="1" customHeight="1" x14ac:dyDescent="0.3">
      <c r="A303" s="32" t="s">
        <v>546</v>
      </c>
      <c r="B303" s="33" t="s">
        <v>592</v>
      </c>
      <c r="C303" s="33" t="s">
        <v>556</v>
      </c>
      <c r="D303" s="33" t="s">
        <v>585</v>
      </c>
      <c r="E303" s="33" t="s">
        <v>587</v>
      </c>
      <c r="F303" s="34" t="s">
        <v>127</v>
      </c>
      <c r="G303" s="40"/>
      <c r="H303" s="53"/>
      <c r="I303" s="35" t="s">
        <v>579</v>
      </c>
      <c r="J303" s="27"/>
    </row>
    <row r="304" spans="1:10" ht="24.9" hidden="1" customHeight="1" x14ac:dyDescent="0.3">
      <c r="A304" s="32" t="s">
        <v>546</v>
      </c>
      <c r="B304" s="33" t="s">
        <v>592</v>
      </c>
      <c r="C304" s="33" t="s">
        <v>556</v>
      </c>
      <c r="D304" s="33" t="s">
        <v>585</v>
      </c>
      <c r="E304" s="33" t="s">
        <v>590</v>
      </c>
      <c r="F304" s="34" t="s">
        <v>127</v>
      </c>
      <c r="G304" s="40"/>
      <c r="H304" s="48"/>
      <c r="I304" s="35" t="s">
        <v>579</v>
      </c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225</v>
      </c>
      <c r="F305" s="34" t="s">
        <v>167</v>
      </c>
      <c r="G305" s="40"/>
      <c r="H305" s="51" t="s">
        <v>850</v>
      </c>
      <c r="I305" s="35" t="s">
        <v>234</v>
      </c>
      <c r="J305" s="27"/>
    </row>
    <row r="306" spans="1:10" ht="24.9" hidden="1" customHeight="1" x14ac:dyDescent="0.3">
      <c r="A306" s="32" t="s">
        <v>546</v>
      </c>
      <c r="B306" s="33" t="s">
        <v>555</v>
      </c>
      <c r="C306" s="33" t="s">
        <v>556</v>
      </c>
      <c r="D306" s="33" t="s">
        <v>552</v>
      </c>
      <c r="E306" s="33" t="s">
        <v>577</v>
      </c>
      <c r="F306" s="34" t="s">
        <v>167</v>
      </c>
      <c r="G306" s="40"/>
      <c r="H306" s="53"/>
      <c r="I306" s="35"/>
      <c r="J306" s="27"/>
    </row>
    <row r="307" spans="1:10" ht="24.9" hidden="1" customHeight="1" x14ac:dyDescent="0.3">
      <c r="A307" s="32" t="s">
        <v>546</v>
      </c>
      <c r="B307" s="33" t="s">
        <v>555</v>
      </c>
      <c r="C307" s="33" t="s">
        <v>556</v>
      </c>
      <c r="D307" s="33" t="s">
        <v>552</v>
      </c>
      <c r="E307" s="33" t="s">
        <v>578</v>
      </c>
      <c r="F307" s="34" t="s">
        <v>127</v>
      </c>
      <c r="G307" s="40"/>
      <c r="H307" s="53"/>
      <c r="I307" s="35" t="s">
        <v>579</v>
      </c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764</v>
      </c>
      <c r="F308" s="34" t="s">
        <v>167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787</v>
      </c>
      <c r="F309" s="34" t="s">
        <v>99</v>
      </c>
      <c r="G309" s="40"/>
      <c r="H309" s="51" t="s">
        <v>543</v>
      </c>
      <c r="I309" s="35"/>
      <c r="J309" s="27"/>
    </row>
    <row r="310" spans="1:10" ht="24.9" hidden="1" customHeight="1" x14ac:dyDescent="0.3">
      <c r="A310" s="32" t="s">
        <v>546</v>
      </c>
      <c r="B310" s="33" t="s">
        <v>567</v>
      </c>
      <c r="C310" s="33" t="s">
        <v>556</v>
      </c>
      <c r="D310" s="33" t="s">
        <v>568</v>
      </c>
      <c r="E310" s="33" t="s">
        <v>566</v>
      </c>
      <c r="F310" s="34" t="s">
        <v>127</v>
      </c>
      <c r="G310" s="40"/>
      <c r="H310" s="48"/>
      <c r="I310" s="35"/>
      <c r="J310" s="27"/>
    </row>
    <row r="311" spans="1:10" ht="24.9" hidden="1" customHeight="1" x14ac:dyDescent="0.3">
      <c r="A311" s="32" t="s">
        <v>546</v>
      </c>
      <c r="B311" s="33" t="s">
        <v>567</v>
      </c>
      <c r="C311" s="33" t="s">
        <v>556</v>
      </c>
      <c r="D311" s="33" t="s">
        <v>568</v>
      </c>
      <c r="E311" s="33" t="s">
        <v>225</v>
      </c>
      <c r="F311" s="34" t="s">
        <v>127</v>
      </c>
      <c r="G311" s="40"/>
      <c r="H311" s="40" t="s">
        <v>227</v>
      </c>
      <c r="I311" s="35" t="s">
        <v>226</v>
      </c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764</v>
      </c>
      <c r="F312" s="34" t="s">
        <v>167</v>
      </c>
      <c r="G312" s="40"/>
      <c r="H312" s="53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787</v>
      </c>
      <c r="F313" s="34" t="s">
        <v>99</v>
      </c>
      <c r="G313" s="40"/>
      <c r="H313" s="51" t="s">
        <v>543</v>
      </c>
      <c r="I313" s="35"/>
      <c r="J313" s="27"/>
    </row>
    <row r="314" spans="1:10" ht="24.9" hidden="1" customHeight="1" x14ac:dyDescent="0.3">
      <c r="A314" s="32" t="s">
        <v>546</v>
      </c>
      <c r="B314" s="33" t="s">
        <v>573</v>
      </c>
      <c r="C314" s="33" t="s">
        <v>556</v>
      </c>
      <c r="D314" s="33" t="s">
        <v>574</v>
      </c>
      <c r="E314" s="33" t="s">
        <v>566</v>
      </c>
      <c r="F314" s="34" t="s">
        <v>127</v>
      </c>
      <c r="G314" s="40"/>
      <c r="H314" s="48"/>
      <c r="I314" s="35"/>
      <c r="J314" s="27"/>
    </row>
    <row r="315" spans="1:10" ht="24.9" hidden="1" customHeight="1" x14ac:dyDescent="0.3">
      <c r="A315" s="32" t="s">
        <v>546</v>
      </c>
      <c r="B315" s="33" t="s">
        <v>573</v>
      </c>
      <c r="C315" s="33" t="s">
        <v>556</v>
      </c>
      <c r="D315" s="33" t="s">
        <v>574</v>
      </c>
      <c r="E315" s="33" t="s">
        <v>225</v>
      </c>
      <c r="F315" s="34" t="s">
        <v>127</v>
      </c>
      <c r="G315" s="40"/>
      <c r="H315" s="51" t="s">
        <v>227</v>
      </c>
      <c r="I315" s="35" t="s">
        <v>226</v>
      </c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586</v>
      </c>
      <c r="F316" s="34" t="s">
        <v>99</v>
      </c>
      <c r="G316" s="40"/>
      <c r="H316" s="53"/>
      <c r="I316" s="35"/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788</v>
      </c>
      <c r="F317" s="34" t="s">
        <v>99</v>
      </c>
      <c r="G317" s="40"/>
      <c r="H317" s="53"/>
      <c r="I317" s="35"/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588</v>
      </c>
      <c r="F318" s="34" t="s">
        <v>99</v>
      </c>
      <c r="G318" s="40"/>
      <c r="H318" s="48"/>
      <c r="I318" s="35" t="s">
        <v>589</v>
      </c>
      <c r="J318" s="27"/>
    </row>
    <row r="319" spans="1:10" ht="24.9" hidden="1" customHeight="1" x14ac:dyDescent="0.3">
      <c r="A319" s="32" t="s">
        <v>546</v>
      </c>
      <c r="B319" s="33" t="s">
        <v>593</v>
      </c>
      <c r="C319" s="33" t="s">
        <v>558</v>
      </c>
      <c r="D319" s="33" t="s">
        <v>585</v>
      </c>
      <c r="E319" s="33" t="s">
        <v>587</v>
      </c>
      <c r="F319" s="34" t="s">
        <v>127</v>
      </c>
      <c r="G319" s="40"/>
      <c r="H319" s="48"/>
      <c r="I319" s="35" t="s">
        <v>579</v>
      </c>
      <c r="J319" s="27"/>
    </row>
    <row r="320" spans="1:10" ht="24.9" hidden="1" customHeight="1" x14ac:dyDescent="0.3">
      <c r="A320" s="32" t="s">
        <v>546</v>
      </c>
      <c r="B320" s="33" t="s">
        <v>593</v>
      </c>
      <c r="C320" s="33" t="s">
        <v>558</v>
      </c>
      <c r="D320" s="33" t="s">
        <v>585</v>
      </c>
      <c r="E320" s="33" t="s">
        <v>590</v>
      </c>
      <c r="F320" s="34" t="s">
        <v>127</v>
      </c>
      <c r="G320" s="40"/>
      <c r="H320" s="48"/>
      <c r="I320" s="35" t="s">
        <v>579</v>
      </c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225</v>
      </c>
      <c r="F321" s="34" t="s">
        <v>167</v>
      </c>
      <c r="G321" s="40"/>
      <c r="H321" s="51" t="s">
        <v>850</v>
      </c>
      <c r="I321" s="35" t="s">
        <v>234</v>
      </c>
      <c r="J321" s="27"/>
    </row>
    <row r="322" spans="1:10" ht="24.9" hidden="1" customHeight="1" x14ac:dyDescent="0.3">
      <c r="A322" s="32" t="s">
        <v>546</v>
      </c>
      <c r="B322" s="33" t="s">
        <v>557</v>
      </c>
      <c r="C322" s="33" t="s">
        <v>558</v>
      </c>
      <c r="D322" s="33" t="s">
        <v>552</v>
      </c>
      <c r="E322" s="33" t="s">
        <v>577</v>
      </c>
      <c r="F322" s="34" t="s">
        <v>167</v>
      </c>
      <c r="G322" s="40"/>
      <c r="H322" s="53"/>
      <c r="I322" s="35"/>
      <c r="J322" s="27"/>
    </row>
    <row r="323" spans="1:10" ht="24.9" hidden="1" customHeight="1" x14ac:dyDescent="0.3">
      <c r="A323" s="32" t="s">
        <v>546</v>
      </c>
      <c r="B323" s="33" t="s">
        <v>557</v>
      </c>
      <c r="C323" s="33" t="s">
        <v>558</v>
      </c>
      <c r="D323" s="33" t="s">
        <v>552</v>
      </c>
      <c r="E323" s="33" t="s">
        <v>578</v>
      </c>
      <c r="F323" s="34" t="s">
        <v>127</v>
      </c>
      <c r="G323" s="40"/>
      <c r="H323" s="48"/>
      <c r="I323" s="35" t="s">
        <v>579</v>
      </c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764</v>
      </c>
      <c r="F324" s="34" t="s">
        <v>167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787</v>
      </c>
      <c r="F325" s="34" t="s">
        <v>99</v>
      </c>
      <c r="G325" s="40"/>
      <c r="H325" s="51" t="s">
        <v>543</v>
      </c>
      <c r="I325" s="35"/>
      <c r="J325" s="27"/>
    </row>
    <row r="326" spans="1:10" ht="24.9" hidden="1" customHeight="1" x14ac:dyDescent="0.3">
      <c r="A326" s="32" t="s">
        <v>546</v>
      </c>
      <c r="B326" s="33" t="s">
        <v>569</v>
      </c>
      <c r="C326" s="33" t="s">
        <v>558</v>
      </c>
      <c r="D326" s="33" t="s">
        <v>568</v>
      </c>
      <c r="E326" s="33" t="s">
        <v>566</v>
      </c>
      <c r="F326" s="34" t="s">
        <v>127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569</v>
      </c>
      <c r="C327" s="33" t="s">
        <v>558</v>
      </c>
      <c r="D327" s="33" t="s">
        <v>568</v>
      </c>
      <c r="E327" s="33" t="s">
        <v>225</v>
      </c>
      <c r="F327" s="34" t="s">
        <v>127</v>
      </c>
      <c r="G327" s="40"/>
      <c r="H327" s="51" t="s">
        <v>227</v>
      </c>
      <c r="I327" s="35" t="s">
        <v>226</v>
      </c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764</v>
      </c>
      <c r="F328" s="34" t="s">
        <v>167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787</v>
      </c>
      <c r="F329" s="34" t="s">
        <v>99</v>
      </c>
      <c r="G329" s="40"/>
      <c r="H329" s="51" t="s">
        <v>543</v>
      </c>
      <c r="I329" s="35"/>
      <c r="J329" s="27"/>
    </row>
    <row r="330" spans="1:10" ht="24.9" hidden="1" customHeight="1" x14ac:dyDescent="0.3">
      <c r="A330" s="32" t="s">
        <v>546</v>
      </c>
      <c r="B330" s="33" t="s">
        <v>575</v>
      </c>
      <c r="C330" s="33" t="s">
        <v>558</v>
      </c>
      <c r="D330" s="33" t="s">
        <v>574</v>
      </c>
      <c r="E330" s="33" t="s">
        <v>566</v>
      </c>
      <c r="F330" s="34" t="s">
        <v>127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575</v>
      </c>
      <c r="C331" s="33" t="s">
        <v>558</v>
      </c>
      <c r="D331" s="33" t="s">
        <v>574</v>
      </c>
      <c r="E331" s="33" t="s">
        <v>225</v>
      </c>
      <c r="F331" s="34" t="s">
        <v>127</v>
      </c>
      <c r="G331" s="40"/>
      <c r="H331" s="51" t="s">
        <v>227</v>
      </c>
      <c r="I331" s="35" t="s">
        <v>226</v>
      </c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586</v>
      </c>
      <c r="F332" s="34" t="s">
        <v>99</v>
      </c>
      <c r="G332" s="40"/>
      <c r="H332" s="48"/>
      <c r="I332" s="35"/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788</v>
      </c>
      <c r="F333" s="34" t="s">
        <v>99</v>
      </c>
      <c r="G333" s="40"/>
      <c r="H333" s="48"/>
      <c r="I333" s="35"/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588</v>
      </c>
      <c r="F334" s="34" t="s">
        <v>99</v>
      </c>
      <c r="G334" s="40"/>
      <c r="H334" s="48"/>
      <c r="I334" s="35" t="s">
        <v>589</v>
      </c>
      <c r="J334" s="27"/>
    </row>
    <row r="335" spans="1:10" ht="24.9" hidden="1" customHeight="1" x14ac:dyDescent="0.3">
      <c r="A335" s="32" t="s">
        <v>546</v>
      </c>
      <c r="B335" s="33" t="s">
        <v>594</v>
      </c>
      <c r="C335" s="33" t="s">
        <v>560</v>
      </c>
      <c r="D335" s="33" t="s">
        <v>585</v>
      </c>
      <c r="E335" s="33" t="s">
        <v>587</v>
      </c>
      <c r="F335" s="34" t="s">
        <v>127</v>
      </c>
      <c r="G335" s="40"/>
      <c r="H335" s="48"/>
      <c r="I335" s="35" t="s">
        <v>579</v>
      </c>
      <c r="J335" s="27"/>
    </row>
    <row r="336" spans="1:10" ht="24.9" hidden="1" customHeight="1" x14ac:dyDescent="0.3">
      <c r="A336" s="32" t="s">
        <v>546</v>
      </c>
      <c r="B336" s="33" t="s">
        <v>594</v>
      </c>
      <c r="C336" s="33" t="s">
        <v>560</v>
      </c>
      <c r="D336" s="33" t="s">
        <v>585</v>
      </c>
      <c r="E336" s="33" t="s">
        <v>590</v>
      </c>
      <c r="F336" s="34" t="s">
        <v>127</v>
      </c>
      <c r="G336" s="40"/>
      <c r="H336" s="48"/>
      <c r="I336" s="35" t="s">
        <v>579</v>
      </c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225</v>
      </c>
      <c r="F337" s="34" t="s">
        <v>167</v>
      </c>
      <c r="G337" s="40"/>
      <c r="H337" s="51" t="s">
        <v>850</v>
      </c>
      <c r="I337" s="35" t="s">
        <v>234</v>
      </c>
      <c r="J337" s="27"/>
    </row>
    <row r="338" spans="1:10" ht="24.9" hidden="1" customHeight="1" x14ac:dyDescent="0.3">
      <c r="A338" s="32" t="s">
        <v>546</v>
      </c>
      <c r="B338" s="33" t="s">
        <v>559</v>
      </c>
      <c r="C338" s="33" t="s">
        <v>560</v>
      </c>
      <c r="D338" s="33" t="s">
        <v>552</v>
      </c>
      <c r="E338" s="33" t="s">
        <v>577</v>
      </c>
      <c r="F338" s="34" t="s">
        <v>167</v>
      </c>
      <c r="G338" s="40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559</v>
      </c>
      <c r="C339" s="33" t="s">
        <v>560</v>
      </c>
      <c r="D339" s="33" t="s">
        <v>552</v>
      </c>
      <c r="E339" s="33" t="s">
        <v>578</v>
      </c>
      <c r="F339" s="34" t="s">
        <v>127</v>
      </c>
      <c r="G339" s="40"/>
      <c r="H339" s="48"/>
      <c r="I339" s="35" t="s">
        <v>579</v>
      </c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764</v>
      </c>
      <c r="F340" s="34" t="s">
        <v>167</v>
      </c>
      <c r="G340" s="51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787</v>
      </c>
      <c r="F341" s="34" t="s">
        <v>99</v>
      </c>
      <c r="G341" s="40"/>
      <c r="H341" s="51" t="s">
        <v>543</v>
      </c>
      <c r="I341" s="35"/>
      <c r="J341" s="27"/>
    </row>
    <row r="342" spans="1:10" ht="24.9" hidden="1" customHeight="1" x14ac:dyDescent="0.3">
      <c r="A342" s="32" t="s">
        <v>546</v>
      </c>
      <c r="B342" s="33" t="s">
        <v>570</v>
      </c>
      <c r="C342" s="33" t="s">
        <v>560</v>
      </c>
      <c r="D342" s="33" t="s">
        <v>568</v>
      </c>
      <c r="E342" s="33" t="s">
        <v>566</v>
      </c>
      <c r="F342" s="34" t="s">
        <v>127</v>
      </c>
      <c r="G342" s="29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570</v>
      </c>
      <c r="C343" s="33" t="s">
        <v>560</v>
      </c>
      <c r="D343" s="33" t="s">
        <v>568</v>
      </c>
      <c r="E343" s="33" t="s">
        <v>225</v>
      </c>
      <c r="F343" s="34" t="s">
        <v>127</v>
      </c>
      <c r="G343" s="51"/>
      <c r="H343" s="51" t="s">
        <v>227</v>
      </c>
      <c r="I343" s="35" t="s">
        <v>226</v>
      </c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764</v>
      </c>
      <c r="F344" s="34" t="s">
        <v>167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787</v>
      </c>
      <c r="F345" s="34" t="s">
        <v>99</v>
      </c>
      <c r="G345" s="51"/>
      <c r="H345" s="51" t="s">
        <v>543</v>
      </c>
      <c r="I345" s="35"/>
      <c r="J345" s="27"/>
    </row>
    <row r="346" spans="1:10" ht="24.9" hidden="1" customHeight="1" x14ac:dyDescent="0.3">
      <c r="A346" s="32" t="s">
        <v>546</v>
      </c>
      <c r="B346" s="33" t="s">
        <v>576</v>
      </c>
      <c r="C346" s="33" t="s">
        <v>560</v>
      </c>
      <c r="D346" s="33" t="s">
        <v>574</v>
      </c>
      <c r="E346" s="33" t="s">
        <v>566</v>
      </c>
      <c r="F346" s="34" t="s">
        <v>127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576</v>
      </c>
      <c r="C347" s="33" t="s">
        <v>560</v>
      </c>
      <c r="D347" s="33" t="s">
        <v>574</v>
      </c>
      <c r="E347" s="33" t="s">
        <v>225</v>
      </c>
      <c r="F347" s="34" t="s">
        <v>127</v>
      </c>
      <c r="G347" s="51"/>
      <c r="H347" s="51" t="s">
        <v>227</v>
      </c>
      <c r="I347" s="35" t="s">
        <v>226</v>
      </c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586</v>
      </c>
      <c r="F348" s="34" t="s">
        <v>99</v>
      </c>
      <c r="G348" s="51"/>
      <c r="H348" s="48"/>
      <c r="I348" s="35"/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788</v>
      </c>
      <c r="F349" s="34" t="s">
        <v>99</v>
      </c>
      <c r="G349" s="51"/>
      <c r="H349" s="48"/>
      <c r="I349" s="35"/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588</v>
      </c>
      <c r="F350" s="34" t="s">
        <v>99</v>
      </c>
      <c r="G350" s="51"/>
      <c r="H350" s="48"/>
      <c r="I350" s="35" t="s">
        <v>589</v>
      </c>
      <c r="J350" s="27"/>
    </row>
    <row r="351" spans="1:10" ht="24.9" hidden="1" customHeight="1" x14ac:dyDescent="0.3">
      <c r="A351" s="32" t="s">
        <v>546</v>
      </c>
      <c r="B351" s="33" t="s">
        <v>595</v>
      </c>
      <c r="C351" s="33" t="s">
        <v>548</v>
      </c>
      <c r="D351" s="33" t="s">
        <v>585</v>
      </c>
      <c r="E351" s="33" t="s">
        <v>587</v>
      </c>
      <c r="F351" s="34" t="s">
        <v>127</v>
      </c>
      <c r="G351" s="51"/>
      <c r="H351" s="48"/>
      <c r="I351" s="35" t="s">
        <v>579</v>
      </c>
      <c r="J351" s="27"/>
    </row>
    <row r="352" spans="1:10" ht="24.9" hidden="1" customHeight="1" x14ac:dyDescent="0.3">
      <c r="A352" s="32" t="s">
        <v>546</v>
      </c>
      <c r="B352" s="33" t="s">
        <v>595</v>
      </c>
      <c r="C352" s="33" t="s">
        <v>548</v>
      </c>
      <c r="D352" s="33" t="s">
        <v>585</v>
      </c>
      <c r="E352" s="33" t="s">
        <v>590</v>
      </c>
      <c r="F352" s="34" t="s">
        <v>127</v>
      </c>
      <c r="G352" s="51"/>
      <c r="H352" s="48"/>
      <c r="I352" s="35" t="s">
        <v>579</v>
      </c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225</v>
      </c>
      <c r="F353" s="34" t="s">
        <v>167</v>
      </c>
      <c r="G353" s="51"/>
      <c r="H353" s="51" t="s">
        <v>850</v>
      </c>
      <c r="I353" s="35" t="s">
        <v>234</v>
      </c>
      <c r="J353" s="27"/>
    </row>
    <row r="354" spans="1:10" ht="24.9" hidden="1" customHeight="1" x14ac:dyDescent="0.3">
      <c r="A354" s="32" t="s">
        <v>546</v>
      </c>
      <c r="B354" s="33" t="s">
        <v>547</v>
      </c>
      <c r="C354" s="33" t="s">
        <v>548</v>
      </c>
      <c r="D354" s="33" t="s">
        <v>549</v>
      </c>
      <c r="E354" s="33" t="s">
        <v>577</v>
      </c>
      <c r="F354" s="34" t="s">
        <v>167</v>
      </c>
      <c r="G354" s="51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547</v>
      </c>
      <c r="C355" s="33" t="s">
        <v>548</v>
      </c>
      <c r="D355" s="33" t="s">
        <v>549</v>
      </c>
      <c r="E355" s="33" t="s">
        <v>578</v>
      </c>
      <c r="F355" s="34" t="s">
        <v>127</v>
      </c>
      <c r="G355" s="51"/>
      <c r="H355" s="48"/>
      <c r="I355" s="35" t="s">
        <v>579</v>
      </c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764</v>
      </c>
      <c r="F356" s="34" t="s">
        <v>167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787</v>
      </c>
      <c r="F357" s="34" t="s">
        <v>99</v>
      </c>
      <c r="G357" s="40"/>
      <c r="H357" s="51" t="s">
        <v>543</v>
      </c>
      <c r="I357" s="35"/>
      <c r="J357" s="27"/>
    </row>
    <row r="358" spans="1:10" ht="24.9" hidden="1" customHeight="1" x14ac:dyDescent="0.3">
      <c r="A358" s="32" t="s">
        <v>546</v>
      </c>
      <c r="B358" s="33" t="s">
        <v>564</v>
      </c>
      <c r="C358" s="33" t="s">
        <v>548</v>
      </c>
      <c r="D358" s="33" t="s">
        <v>565</v>
      </c>
      <c r="E358" s="33" t="s">
        <v>566</v>
      </c>
      <c r="F358" s="34" t="s">
        <v>127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564</v>
      </c>
      <c r="C359" s="33" t="s">
        <v>548</v>
      </c>
      <c r="D359" s="33" t="s">
        <v>565</v>
      </c>
      <c r="E359" s="33" t="s">
        <v>225</v>
      </c>
      <c r="F359" s="34" t="s">
        <v>127</v>
      </c>
      <c r="G359" s="40"/>
      <c r="H359" s="51" t="s">
        <v>227</v>
      </c>
      <c r="I359" s="35" t="s">
        <v>226</v>
      </c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764</v>
      </c>
      <c r="F360" s="34" t="s">
        <v>167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787</v>
      </c>
      <c r="F361" s="34" t="s">
        <v>99</v>
      </c>
      <c r="G361" s="40"/>
      <c r="H361" s="51" t="s">
        <v>543</v>
      </c>
      <c r="I361" s="35"/>
      <c r="J361" s="27"/>
    </row>
    <row r="362" spans="1:10" ht="24.9" hidden="1" customHeight="1" x14ac:dyDescent="0.3">
      <c r="A362" s="32" t="s">
        <v>546</v>
      </c>
      <c r="B362" s="33" t="s">
        <v>571</v>
      </c>
      <c r="C362" s="33" t="s">
        <v>548</v>
      </c>
      <c r="D362" s="33" t="s">
        <v>572</v>
      </c>
      <c r="E362" s="33" t="s">
        <v>566</v>
      </c>
      <c r="F362" s="34" t="s">
        <v>127</v>
      </c>
      <c r="G362" s="40"/>
      <c r="H362" s="48"/>
      <c r="I362" s="35"/>
      <c r="J362" s="27"/>
    </row>
    <row r="363" spans="1:10" ht="24.9" hidden="1" customHeight="1" x14ac:dyDescent="0.3">
      <c r="A363" s="32" t="s">
        <v>546</v>
      </c>
      <c r="B363" s="33" t="s">
        <v>571</v>
      </c>
      <c r="C363" s="33" t="s">
        <v>548</v>
      </c>
      <c r="D363" s="33" t="s">
        <v>572</v>
      </c>
      <c r="E363" s="33" t="s">
        <v>225</v>
      </c>
      <c r="F363" s="34" t="s">
        <v>127</v>
      </c>
      <c r="G363" s="40"/>
      <c r="H363" s="51" t="s">
        <v>227</v>
      </c>
      <c r="I363" s="35" t="s">
        <v>226</v>
      </c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626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790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628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632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792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588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633</v>
      </c>
      <c r="F370" s="34" t="s">
        <v>99</v>
      </c>
      <c r="G370" s="40"/>
      <c r="H370" s="48"/>
      <c r="I370" s="35"/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634</v>
      </c>
      <c r="F371" s="34" t="s">
        <v>99</v>
      </c>
      <c r="G371" s="40"/>
      <c r="H371" s="48"/>
      <c r="I371" s="35"/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627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629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630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624</v>
      </c>
      <c r="C375" s="33" t="s">
        <v>551</v>
      </c>
      <c r="D375" s="33" t="s">
        <v>625</v>
      </c>
      <c r="E375" s="33" t="s">
        <v>631</v>
      </c>
      <c r="F375" s="34" t="s">
        <v>127</v>
      </c>
      <c r="G375" s="40"/>
      <c r="H375" s="48"/>
      <c r="I375" s="35" t="s">
        <v>579</v>
      </c>
      <c r="J375" s="27"/>
    </row>
    <row r="376" spans="1:10" ht="24.9" hidden="1" customHeight="1" x14ac:dyDescent="0.3">
      <c r="A376" s="32" t="s">
        <v>599</v>
      </c>
      <c r="B376" s="33" t="s">
        <v>624</v>
      </c>
      <c r="C376" s="33" t="s">
        <v>551</v>
      </c>
      <c r="D376" s="33" t="s">
        <v>625</v>
      </c>
      <c r="E376" s="33" t="s">
        <v>791</v>
      </c>
      <c r="F376" s="34" t="s">
        <v>127</v>
      </c>
      <c r="G376" s="40"/>
      <c r="H376" s="48"/>
      <c r="I376" s="35" t="s">
        <v>579</v>
      </c>
      <c r="J376" s="27"/>
    </row>
    <row r="377" spans="1:10" ht="24.9" hidden="1" customHeight="1" x14ac:dyDescent="0.3">
      <c r="A377" s="32" t="s">
        <v>599</v>
      </c>
      <c r="B377" s="33" t="s">
        <v>640</v>
      </c>
      <c r="C377" s="33" t="s">
        <v>551</v>
      </c>
      <c r="D377" s="33" t="s">
        <v>641</v>
      </c>
      <c r="E377" s="33" t="s">
        <v>642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789</v>
      </c>
      <c r="F378" s="34" t="s">
        <v>99</v>
      </c>
      <c r="G378" s="40"/>
      <c r="H378" s="51" t="s">
        <v>612</v>
      </c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617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618</v>
      </c>
      <c r="F380" s="34" t="s">
        <v>99</v>
      </c>
      <c r="G380" s="40"/>
      <c r="H380" s="48"/>
      <c r="I380" s="35"/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619</v>
      </c>
      <c r="F381" s="34" t="s">
        <v>99</v>
      </c>
      <c r="G381" s="40"/>
      <c r="H381" s="48"/>
      <c r="I381" s="35"/>
      <c r="J381" s="27"/>
    </row>
    <row r="382" spans="1:10" ht="24.9" hidden="1" customHeight="1" x14ac:dyDescent="0.3">
      <c r="A382" s="32" t="s">
        <v>599</v>
      </c>
      <c r="B382" s="33" t="s">
        <v>611</v>
      </c>
      <c r="C382" s="33" t="s">
        <v>551</v>
      </c>
      <c r="D382" s="33" t="s">
        <v>601</v>
      </c>
      <c r="E382" s="33" t="s">
        <v>602</v>
      </c>
      <c r="F382" s="34" t="s">
        <v>127</v>
      </c>
      <c r="G382" s="40"/>
      <c r="H382" s="51" t="s">
        <v>603</v>
      </c>
      <c r="I382" s="35" t="s">
        <v>604</v>
      </c>
      <c r="J382" s="27"/>
    </row>
    <row r="383" spans="1:10" ht="24.9" hidden="1" customHeight="1" x14ac:dyDescent="0.3">
      <c r="A383" s="32" t="s">
        <v>599</v>
      </c>
      <c r="B383" s="33" t="s">
        <v>611</v>
      </c>
      <c r="C383" s="33" t="s">
        <v>551</v>
      </c>
      <c r="D383" s="33" t="s">
        <v>601</v>
      </c>
      <c r="E383" s="33" t="s">
        <v>793</v>
      </c>
      <c r="F383" s="34" t="s">
        <v>127</v>
      </c>
      <c r="G383" s="40"/>
      <c r="H383" s="51" t="s">
        <v>227</v>
      </c>
      <c r="I383" s="35" t="s">
        <v>649</v>
      </c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626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790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628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632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792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588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633</v>
      </c>
      <c r="F390" s="34" t="s">
        <v>99</v>
      </c>
      <c r="G390" s="40"/>
      <c r="H390" s="48"/>
      <c r="I390" s="35"/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634</v>
      </c>
      <c r="F391" s="34" t="s">
        <v>99</v>
      </c>
      <c r="G391" s="40"/>
      <c r="H391" s="48"/>
      <c r="I391" s="35"/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627</v>
      </c>
      <c r="F392" s="34" t="s">
        <v>127</v>
      </c>
      <c r="G392" s="40"/>
      <c r="H392" s="48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629</v>
      </c>
      <c r="F393" s="34" t="s">
        <v>127</v>
      </c>
      <c r="G393" s="40"/>
      <c r="H393" s="48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630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635</v>
      </c>
      <c r="C395" s="33" t="s">
        <v>554</v>
      </c>
      <c r="D395" s="33" t="s">
        <v>625</v>
      </c>
      <c r="E395" s="33" t="s">
        <v>631</v>
      </c>
      <c r="F395" s="34" t="s">
        <v>127</v>
      </c>
      <c r="G395" s="40"/>
      <c r="H395" s="53"/>
      <c r="I395" s="35" t="s">
        <v>579</v>
      </c>
      <c r="J395" s="27"/>
    </row>
    <row r="396" spans="1:10" ht="24.9" hidden="1" customHeight="1" x14ac:dyDescent="0.3">
      <c r="A396" s="32" t="s">
        <v>599</v>
      </c>
      <c r="B396" s="33" t="s">
        <v>635</v>
      </c>
      <c r="C396" s="33" t="s">
        <v>554</v>
      </c>
      <c r="D396" s="33" t="s">
        <v>625</v>
      </c>
      <c r="E396" s="33" t="s">
        <v>791</v>
      </c>
      <c r="F396" s="34" t="s">
        <v>127</v>
      </c>
      <c r="G396" s="40"/>
      <c r="H396" s="53"/>
      <c r="I396" s="35" t="s">
        <v>579</v>
      </c>
      <c r="J396" s="27"/>
    </row>
    <row r="397" spans="1:10" ht="24.9" hidden="1" customHeight="1" x14ac:dyDescent="0.3">
      <c r="A397" s="32" t="s">
        <v>599</v>
      </c>
      <c r="B397" s="33" t="s">
        <v>643</v>
      </c>
      <c r="C397" s="33" t="s">
        <v>554</v>
      </c>
      <c r="D397" s="33" t="s">
        <v>641</v>
      </c>
      <c r="E397" s="33" t="s">
        <v>642</v>
      </c>
      <c r="F397" s="34" t="s">
        <v>99</v>
      </c>
      <c r="G397" s="40"/>
      <c r="H397" s="53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789</v>
      </c>
      <c r="F398" s="34" t="s">
        <v>99</v>
      </c>
      <c r="G398" s="40"/>
      <c r="H398" s="40" t="s">
        <v>612</v>
      </c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617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618</v>
      </c>
      <c r="F400" s="34" t="s">
        <v>99</v>
      </c>
      <c r="G400" s="40"/>
      <c r="H400" s="48"/>
      <c r="I400" s="35"/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619</v>
      </c>
      <c r="F401" s="34" t="s">
        <v>99</v>
      </c>
      <c r="G401" s="40"/>
      <c r="H401" s="48"/>
      <c r="I401" s="35"/>
      <c r="J401" s="27"/>
    </row>
    <row r="402" spans="1:10" ht="24.9" hidden="1" customHeight="1" x14ac:dyDescent="0.3">
      <c r="A402" s="32" t="s">
        <v>599</v>
      </c>
      <c r="B402" s="33" t="s">
        <v>613</v>
      </c>
      <c r="C402" s="33" t="s">
        <v>554</v>
      </c>
      <c r="D402" s="33" t="s">
        <v>601</v>
      </c>
      <c r="E402" s="33" t="s">
        <v>602</v>
      </c>
      <c r="F402" s="34" t="s">
        <v>127</v>
      </c>
      <c r="G402" s="40"/>
      <c r="H402" s="51" t="s">
        <v>603</v>
      </c>
      <c r="I402" s="35" t="s">
        <v>604</v>
      </c>
      <c r="J402" s="27"/>
    </row>
    <row r="403" spans="1:10" ht="24.9" hidden="1" customHeight="1" x14ac:dyDescent="0.3">
      <c r="A403" s="32" t="s">
        <v>599</v>
      </c>
      <c r="B403" s="33" t="s">
        <v>613</v>
      </c>
      <c r="C403" s="33" t="s">
        <v>554</v>
      </c>
      <c r="D403" s="33" t="s">
        <v>601</v>
      </c>
      <c r="E403" s="33" t="s">
        <v>793</v>
      </c>
      <c r="F403" s="34" t="s">
        <v>127</v>
      </c>
      <c r="G403" s="40"/>
      <c r="H403" s="51" t="s">
        <v>227</v>
      </c>
      <c r="I403" s="35" t="s">
        <v>649</v>
      </c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626</v>
      </c>
      <c r="F404" s="34" t="s">
        <v>99</v>
      </c>
      <c r="G404" s="40"/>
      <c r="H404" s="48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790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628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632</v>
      </c>
      <c r="F407" s="34" t="s">
        <v>99</v>
      </c>
      <c r="G407" s="40"/>
      <c r="H407" s="48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792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588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633</v>
      </c>
      <c r="F410" s="34" t="s">
        <v>99</v>
      </c>
      <c r="G410" s="40"/>
      <c r="H410" s="53"/>
      <c r="I410" s="35"/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634</v>
      </c>
      <c r="F411" s="34" t="s">
        <v>99</v>
      </c>
      <c r="G411" s="40"/>
      <c r="H411" s="53"/>
      <c r="I411" s="35"/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627</v>
      </c>
      <c r="F412" s="34" t="s">
        <v>127</v>
      </c>
      <c r="G412" s="40"/>
      <c r="H412" s="53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629</v>
      </c>
      <c r="F413" s="34" t="s">
        <v>127</v>
      </c>
      <c r="G413" s="40"/>
      <c r="H413" s="53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630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636</v>
      </c>
      <c r="C415" s="33" t="s">
        <v>556</v>
      </c>
      <c r="D415" s="33" t="s">
        <v>625</v>
      </c>
      <c r="E415" s="33" t="s">
        <v>631</v>
      </c>
      <c r="F415" s="34" t="s">
        <v>127</v>
      </c>
      <c r="G415" s="40"/>
      <c r="H415" s="48"/>
      <c r="I415" s="35" t="s">
        <v>579</v>
      </c>
      <c r="J415" s="27"/>
    </row>
    <row r="416" spans="1:10" ht="24.9" hidden="1" customHeight="1" x14ac:dyDescent="0.3">
      <c r="A416" s="32" t="s">
        <v>599</v>
      </c>
      <c r="B416" s="33" t="s">
        <v>636</v>
      </c>
      <c r="C416" s="33" t="s">
        <v>556</v>
      </c>
      <c r="D416" s="33" t="s">
        <v>625</v>
      </c>
      <c r="E416" s="33" t="s">
        <v>791</v>
      </c>
      <c r="F416" s="34" t="s">
        <v>127</v>
      </c>
      <c r="G416" s="40"/>
      <c r="H416" s="48"/>
      <c r="I416" s="35" t="s">
        <v>579</v>
      </c>
      <c r="J416" s="27"/>
    </row>
    <row r="417" spans="1:10" ht="24.9" hidden="1" customHeight="1" x14ac:dyDescent="0.3">
      <c r="A417" s="32" t="s">
        <v>599</v>
      </c>
      <c r="B417" s="33" t="s">
        <v>644</v>
      </c>
      <c r="C417" s="33" t="s">
        <v>556</v>
      </c>
      <c r="D417" s="33" t="s">
        <v>641</v>
      </c>
      <c r="E417" s="33" t="s">
        <v>642</v>
      </c>
      <c r="F417" s="34" t="s">
        <v>99</v>
      </c>
      <c r="G417" s="40"/>
      <c r="H417" s="48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789</v>
      </c>
      <c r="F418" s="34" t="s">
        <v>99</v>
      </c>
      <c r="G418" s="40"/>
      <c r="H418" s="51" t="s">
        <v>543</v>
      </c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617</v>
      </c>
      <c r="F419" s="34" t="s">
        <v>99</v>
      </c>
      <c r="G419" s="40"/>
      <c r="H419" s="53"/>
      <c r="I419" s="35"/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619</v>
      </c>
      <c r="F420" s="34" t="s">
        <v>99</v>
      </c>
      <c r="G420" s="40"/>
      <c r="H420" s="48"/>
      <c r="I420" s="35"/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602</v>
      </c>
      <c r="F421" s="34" t="s">
        <v>127</v>
      </c>
      <c r="G421" s="40"/>
      <c r="H421" s="51" t="s">
        <v>603</v>
      </c>
      <c r="I421" s="35" t="s">
        <v>604</v>
      </c>
      <c r="J421" s="27"/>
    </row>
    <row r="422" spans="1:10" ht="24.9" hidden="1" customHeight="1" x14ac:dyDescent="0.3">
      <c r="A422" s="32" t="s">
        <v>599</v>
      </c>
      <c r="B422" s="33" t="s">
        <v>600</v>
      </c>
      <c r="C422" s="33" t="s">
        <v>556</v>
      </c>
      <c r="D422" s="33" t="s">
        <v>601</v>
      </c>
      <c r="E422" s="33" t="s">
        <v>605</v>
      </c>
      <c r="F422" s="34" t="s">
        <v>127</v>
      </c>
      <c r="G422" s="40"/>
      <c r="H422" s="51" t="s">
        <v>300</v>
      </c>
      <c r="I422" s="35" t="s">
        <v>606</v>
      </c>
      <c r="J422" s="27"/>
    </row>
    <row r="423" spans="1:10" ht="24.9" hidden="1" customHeight="1" x14ac:dyDescent="0.3">
      <c r="A423" s="32" t="s">
        <v>599</v>
      </c>
      <c r="B423" s="33" t="s">
        <v>600</v>
      </c>
      <c r="C423" s="33" t="s">
        <v>556</v>
      </c>
      <c r="D423" s="33" t="s">
        <v>601</v>
      </c>
      <c r="E423" s="33" t="s">
        <v>793</v>
      </c>
      <c r="F423" s="34" t="s">
        <v>127</v>
      </c>
      <c r="G423" s="40"/>
      <c r="H423" s="51" t="s">
        <v>227</v>
      </c>
      <c r="I423" s="35" t="s">
        <v>649</v>
      </c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626</v>
      </c>
      <c r="F424" s="34" t="s">
        <v>99</v>
      </c>
      <c r="G424" s="40"/>
      <c r="H424" s="48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790</v>
      </c>
      <c r="F425" s="34" t="s">
        <v>99</v>
      </c>
      <c r="G425" s="40"/>
      <c r="H425" s="48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628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632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792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588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633</v>
      </c>
      <c r="F430" s="34" t="s">
        <v>99</v>
      </c>
      <c r="G430" s="40"/>
      <c r="H430" s="53"/>
      <c r="I430" s="35"/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634</v>
      </c>
      <c r="F431" s="34" t="s">
        <v>99</v>
      </c>
      <c r="G431" s="40"/>
      <c r="H431" s="53"/>
      <c r="I431" s="35"/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627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629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630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637</v>
      </c>
      <c r="C435" s="33" t="s">
        <v>558</v>
      </c>
      <c r="D435" s="33" t="s">
        <v>625</v>
      </c>
      <c r="E435" s="33" t="s">
        <v>631</v>
      </c>
      <c r="F435" s="34" t="s">
        <v>127</v>
      </c>
      <c r="G435" s="40"/>
      <c r="H435" s="53"/>
      <c r="I435" s="35" t="s">
        <v>579</v>
      </c>
      <c r="J435" s="27"/>
    </row>
    <row r="436" spans="1:10" ht="24.9" hidden="1" customHeight="1" x14ac:dyDescent="0.3">
      <c r="A436" s="32" t="s">
        <v>599</v>
      </c>
      <c r="B436" s="33" t="s">
        <v>637</v>
      </c>
      <c r="C436" s="33" t="s">
        <v>558</v>
      </c>
      <c r="D436" s="33" t="s">
        <v>625</v>
      </c>
      <c r="E436" s="33" t="s">
        <v>791</v>
      </c>
      <c r="F436" s="34" t="s">
        <v>127</v>
      </c>
      <c r="G436" s="40"/>
      <c r="H436" s="53"/>
      <c r="I436" s="35" t="s">
        <v>579</v>
      </c>
      <c r="J436" s="27"/>
    </row>
    <row r="437" spans="1:10" ht="24.9" hidden="1" customHeight="1" x14ac:dyDescent="0.3">
      <c r="A437" s="32" t="s">
        <v>599</v>
      </c>
      <c r="B437" s="33" t="s">
        <v>645</v>
      </c>
      <c r="C437" s="33" t="s">
        <v>558</v>
      </c>
      <c r="D437" s="33" t="s">
        <v>641</v>
      </c>
      <c r="E437" s="33" t="s">
        <v>642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789</v>
      </c>
      <c r="F438" s="34" t="s">
        <v>99</v>
      </c>
      <c r="G438" s="40"/>
      <c r="H438" s="40" t="s">
        <v>543</v>
      </c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617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618</v>
      </c>
      <c r="F440" s="34" t="s">
        <v>99</v>
      </c>
      <c r="G440" s="40"/>
      <c r="H440" s="53"/>
      <c r="I440" s="35"/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619</v>
      </c>
      <c r="F441" s="34" t="s">
        <v>99</v>
      </c>
      <c r="G441" s="40"/>
      <c r="H441" s="53"/>
      <c r="I441" s="35"/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602</v>
      </c>
      <c r="F442" s="34" t="s">
        <v>127</v>
      </c>
      <c r="G442" s="40"/>
      <c r="H442" s="40" t="s">
        <v>603</v>
      </c>
      <c r="I442" s="35" t="s">
        <v>604</v>
      </c>
      <c r="J442" s="27"/>
    </row>
    <row r="443" spans="1:10" ht="24.9" hidden="1" customHeight="1" x14ac:dyDescent="0.3">
      <c r="A443" s="32" t="s">
        <v>599</v>
      </c>
      <c r="B443" s="33" t="s">
        <v>607</v>
      </c>
      <c r="C443" s="33" t="s">
        <v>558</v>
      </c>
      <c r="D443" s="33" t="s">
        <v>601</v>
      </c>
      <c r="E443" s="33" t="s">
        <v>605</v>
      </c>
      <c r="F443" s="34" t="s">
        <v>127</v>
      </c>
      <c r="G443" s="40"/>
      <c r="H443" s="40" t="s">
        <v>300</v>
      </c>
      <c r="I443" s="35" t="s">
        <v>606</v>
      </c>
      <c r="J443" s="27"/>
    </row>
    <row r="444" spans="1:10" ht="24.9" hidden="1" customHeight="1" x14ac:dyDescent="0.3">
      <c r="A444" s="32" t="s">
        <v>599</v>
      </c>
      <c r="B444" s="33" t="s">
        <v>607</v>
      </c>
      <c r="C444" s="33" t="s">
        <v>558</v>
      </c>
      <c r="D444" s="33" t="s">
        <v>601</v>
      </c>
      <c r="E444" s="33" t="s">
        <v>793</v>
      </c>
      <c r="F444" s="34" t="s">
        <v>127</v>
      </c>
      <c r="G444" s="40"/>
      <c r="H444" s="40" t="s">
        <v>227</v>
      </c>
      <c r="I444" s="35" t="s">
        <v>649</v>
      </c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626</v>
      </c>
      <c r="F445" s="34" t="s">
        <v>99</v>
      </c>
      <c r="G445" s="40"/>
      <c r="H445" s="53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790</v>
      </c>
      <c r="F446" s="34" t="s">
        <v>99</v>
      </c>
      <c r="G446" s="40"/>
      <c r="H446" s="40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628</v>
      </c>
      <c r="F447" s="34" t="s">
        <v>99</v>
      </c>
      <c r="G447" s="40"/>
      <c r="H447" s="40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632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792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588</v>
      </c>
      <c r="F450" s="34" t="s">
        <v>99</v>
      </c>
      <c r="G450" s="40"/>
      <c r="H450" s="53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633</v>
      </c>
      <c r="F451" s="34" t="s">
        <v>99</v>
      </c>
      <c r="G451" s="40"/>
      <c r="H451" s="53"/>
      <c r="I451" s="35"/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634</v>
      </c>
      <c r="F452" s="34" t="s">
        <v>99</v>
      </c>
      <c r="G452" s="40"/>
      <c r="H452" s="40"/>
      <c r="I452" s="35"/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627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629</v>
      </c>
      <c r="F454" s="34" t="s">
        <v>127</v>
      </c>
      <c r="G454" s="40"/>
      <c r="H454" s="40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617</v>
      </c>
      <c r="F455" s="34" t="s">
        <v>127</v>
      </c>
      <c r="G455" s="40"/>
      <c r="H455" s="40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630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638</v>
      </c>
      <c r="C457" s="33" t="s">
        <v>560</v>
      </c>
      <c r="D457" s="33" t="s">
        <v>625</v>
      </c>
      <c r="E457" s="33" t="s">
        <v>631</v>
      </c>
      <c r="F457" s="34" t="s">
        <v>127</v>
      </c>
      <c r="G457" s="40"/>
      <c r="H457" s="53"/>
      <c r="I457" s="35" t="s">
        <v>579</v>
      </c>
      <c r="J457" s="27"/>
    </row>
    <row r="458" spans="1:10" ht="24.9" hidden="1" customHeight="1" x14ac:dyDescent="0.3">
      <c r="A458" s="32" t="s">
        <v>599</v>
      </c>
      <c r="B458" s="33" t="s">
        <v>638</v>
      </c>
      <c r="C458" s="33" t="s">
        <v>560</v>
      </c>
      <c r="D458" s="33" t="s">
        <v>625</v>
      </c>
      <c r="E458" s="33" t="s">
        <v>791</v>
      </c>
      <c r="F458" s="34" t="s">
        <v>127</v>
      </c>
      <c r="G458" s="40"/>
      <c r="H458" s="53"/>
      <c r="I458" s="35" t="s">
        <v>579</v>
      </c>
      <c r="J458" s="27"/>
    </row>
    <row r="459" spans="1:10" ht="24.9" hidden="1" customHeight="1" x14ac:dyDescent="0.3">
      <c r="A459" s="32" t="s">
        <v>599</v>
      </c>
      <c r="B459" s="33" t="s">
        <v>646</v>
      </c>
      <c r="C459" s="33" t="s">
        <v>560</v>
      </c>
      <c r="D459" s="33" t="s">
        <v>641</v>
      </c>
      <c r="E459" s="33" t="s">
        <v>642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789</v>
      </c>
      <c r="F460" s="34" t="s">
        <v>99</v>
      </c>
      <c r="G460" s="40"/>
      <c r="H460" s="40" t="s">
        <v>543</v>
      </c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617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618</v>
      </c>
      <c r="F462" s="34" t="s">
        <v>99</v>
      </c>
      <c r="G462" s="40"/>
      <c r="H462" s="53"/>
      <c r="I462" s="35"/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619</v>
      </c>
      <c r="F463" s="34" t="s">
        <v>99</v>
      </c>
      <c r="G463" s="40"/>
      <c r="H463" s="53"/>
      <c r="I463" s="35"/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602</v>
      </c>
      <c r="F464" s="34" t="s">
        <v>127</v>
      </c>
      <c r="G464" s="40"/>
      <c r="H464" s="40" t="s">
        <v>603</v>
      </c>
      <c r="I464" s="35" t="s">
        <v>604</v>
      </c>
      <c r="J464" s="27"/>
    </row>
    <row r="465" spans="1:10" ht="24.9" hidden="1" customHeight="1" x14ac:dyDescent="0.3">
      <c r="A465" s="32" t="s">
        <v>599</v>
      </c>
      <c r="B465" s="33" t="s">
        <v>608</v>
      </c>
      <c r="C465" s="33" t="s">
        <v>560</v>
      </c>
      <c r="D465" s="33" t="s">
        <v>601</v>
      </c>
      <c r="E465" s="33" t="s">
        <v>605</v>
      </c>
      <c r="F465" s="34" t="s">
        <v>127</v>
      </c>
      <c r="G465" s="40"/>
      <c r="H465" s="40" t="s">
        <v>300</v>
      </c>
      <c r="I465" s="35" t="s">
        <v>606</v>
      </c>
      <c r="J465" s="27"/>
    </row>
    <row r="466" spans="1:10" ht="24.9" hidden="1" customHeight="1" x14ac:dyDescent="0.3">
      <c r="A466" s="32" t="s">
        <v>599</v>
      </c>
      <c r="B466" s="33" t="s">
        <v>608</v>
      </c>
      <c r="C466" s="33" t="s">
        <v>560</v>
      </c>
      <c r="D466" s="33" t="s">
        <v>601</v>
      </c>
      <c r="E466" s="33" t="s">
        <v>793</v>
      </c>
      <c r="F466" s="34" t="s">
        <v>127</v>
      </c>
      <c r="G466" s="40"/>
      <c r="H466" s="40" t="s">
        <v>227</v>
      </c>
      <c r="I466" s="35" t="s">
        <v>649</v>
      </c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626</v>
      </c>
      <c r="F467" s="34" t="s">
        <v>99</v>
      </c>
      <c r="G467" s="40"/>
      <c r="H467" s="53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790</v>
      </c>
      <c r="F468" s="34" t="s">
        <v>99</v>
      </c>
      <c r="G468" s="40"/>
      <c r="H468" s="40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628</v>
      </c>
      <c r="F469" s="34" t="s">
        <v>99</v>
      </c>
      <c r="G469" s="40"/>
      <c r="H469" s="40"/>
      <c r="I469" s="3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632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792</v>
      </c>
      <c r="F471" s="34" t="s">
        <v>99</v>
      </c>
      <c r="G471" s="40"/>
      <c r="H471" s="53"/>
      <c r="I471" s="5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588</v>
      </c>
      <c r="F472" s="34" t="s">
        <v>99</v>
      </c>
      <c r="G472" s="40"/>
      <c r="H472" s="53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633</v>
      </c>
      <c r="F473" s="34" t="s">
        <v>99</v>
      </c>
      <c r="G473" s="40"/>
      <c r="H473" s="53"/>
      <c r="I473" s="35"/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634</v>
      </c>
      <c r="F474" s="34" t="s">
        <v>99</v>
      </c>
      <c r="G474" s="40"/>
      <c r="H474" s="40"/>
      <c r="I474" s="35"/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627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629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630</v>
      </c>
      <c r="F477" s="34" t="s">
        <v>127</v>
      </c>
      <c r="G477" s="40"/>
      <c r="H477" s="40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639</v>
      </c>
      <c r="C478" s="33" t="s">
        <v>548</v>
      </c>
      <c r="D478" s="33" t="s">
        <v>625</v>
      </c>
      <c r="E478" s="33" t="s">
        <v>631</v>
      </c>
      <c r="F478" s="34" t="s">
        <v>127</v>
      </c>
      <c r="G478" s="40"/>
      <c r="H478" s="40"/>
      <c r="I478" s="35" t="s">
        <v>579</v>
      </c>
      <c r="J478" s="27"/>
    </row>
    <row r="479" spans="1:10" ht="24.9" hidden="1" customHeight="1" x14ac:dyDescent="0.3">
      <c r="A479" s="32" t="s">
        <v>599</v>
      </c>
      <c r="B479" s="33" t="s">
        <v>639</v>
      </c>
      <c r="C479" s="33" t="s">
        <v>548</v>
      </c>
      <c r="D479" s="33" t="s">
        <v>625</v>
      </c>
      <c r="E479" s="33" t="s">
        <v>791</v>
      </c>
      <c r="F479" s="34" t="s">
        <v>127</v>
      </c>
      <c r="G479" s="40"/>
      <c r="H479" s="53"/>
      <c r="I479" s="35" t="s">
        <v>579</v>
      </c>
      <c r="J479" s="27"/>
    </row>
    <row r="480" spans="1:10" ht="24.9" hidden="1" customHeight="1" x14ac:dyDescent="0.3">
      <c r="A480" s="32" t="s">
        <v>599</v>
      </c>
      <c r="B480" s="33" t="s">
        <v>647</v>
      </c>
      <c r="C480" s="33" t="s">
        <v>548</v>
      </c>
      <c r="D480" s="33" t="s">
        <v>641</v>
      </c>
      <c r="E480" s="33" t="s">
        <v>642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789</v>
      </c>
      <c r="F481" s="34" t="s">
        <v>99</v>
      </c>
      <c r="G481" s="40"/>
      <c r="H481" s="40" t="s">
        <v>543</v>
      </c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601</v>
      </c>
      <c r="E482" s="33" t="s">
        <v>617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618</v>
      </c>
      <c r="F483" s="34" t="s">
        <v>99</v>
      </c>
      <c r="G483" s="40"/>
      <c r="H483" s="53"/>
      <c r="I483" s="35"/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619</v>
      </c>
      <c r="F484" s="34" t="s">
        <v>99</v>
      </c>
      <c r="G484" s="40"/>
      <c r="H484" s="53"/>
      <c r="I484" s="35"/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602</v>
      </c>
      <c r="F485" s="34" t="s">
        <v>127</v>
      </c>
      <c r="G485" s="40"/>
      <c r="H485" s="40" t="s">
        <v>603</v>
      </c>
      <c r="I485" s="35" t="s">
        <v>604</v>
      </c>
      <c r="J485" s="27"/>
    </row>
    <row r="486" spans="1:10" ht="24.9" hidden="1" customHeight="1" x14ac:dyDescent="0.3">
      <c r="A486" s="32" t="s">
        <v>599</v>
      </c>
      <c r="B486" s="33" t="s">
        <v>609</v>
      </c>
      <c r="C486" s="33" t="s">
        <v>548</v>
      </c>
      <c r="D486" s="33" t="s">
        <v>610</v>
      </c>
      <c r="E486" s="33" t="s">
        <v>605</v>
      </c>
      <c r="F486" s="34" t="s">
        <v>127</v>
      </c>
      <c r="G486" s="40"/>
      <c r="H486" s="40" t="s">
        <v>300</v>
      </c>
      <c r="I486" s="35" t="s">
        <v>606</v>
      </c>
      <c r="J486" s="27"/>
    </row>
    <row r="487" spans="1:10" ht="24.9" hidden="1" customHeight="1" x14ac:dyDescent="0.3">
      <c r="A487" s="32" t="s">
        <v>599</v>
      </c>
      <c r="B487" s="33" t="s">
        <v>609</v>
      </c>
      <c r="C487" s="33" t="s">
        <v>548</v>
      </c>
      <c r="D487" s="33" t="s">
        <v>610</v>
      </c>
      <c r="E487" s="33" t="s">
        <v>793</v>
      </c>
      <c r="F487" s="34" t="s">
        <v>127</v>
      </c>
      <c r="G487" s="40"/>
      <c r="H487" s="40" t="s">
        <v>227</v>
      </c>
      <c r="I487" s="35" t="s">
        <v>649</v>
      </c>
      <c r="J487" s="27"/>
    </row>
    <row r="488" spans="1:10" ht="24.9" hidden="1" customHeight="1" x14ac:dyDescent="0.3">
      <c r="A488" s="32" t="s">
        <v>599</v>
      </c>
      <c r="B488" s="33" t="s">
        <v>614</v>
      </c>
      <c r="C488" s="33" t="s">
        <v>615</v>
      </c>
      <c r="D488" s="33" t="s">
        <v>848</v>
      </c>
      <c r="E488" s="33" t="s">
        <v>243</v>
      </c>
      <c r="F488" s="34" t="s">
        <v>127</v>
      </c>
      <c r="G488" s="40"/>
      <c r="H488" s="53"/>
      <c r="I488" s="35" t="s">
        <v>205</v>
      </c>
      <c r="J488" s="27"/>
    </row>
    <row r="489" spans="1:10" ht="24.9" hidden="1" customHeight="1" x14ac:dyDescent="0.3">
      <c r="A489" s="32" t="s">
        <v>599</v>
      </c>
      <c r="B489" s="33" t="s">
        <v>620</v>
      </c>
      <c r="C489" s="33" t="s">
        <v>615</v>
      </c>
      <c r="D489" s="33" t="s">
        <v>849</v>
      </c>
      <c r="E489" s="33" t="s">
        <v>622</v>
      </c>
      <c r="F489" s="34" t="s">
        <v>127</v>
      </c>
      <c r="G489" s="40"/>
      <c r="H489" s="53"/>
      <c r="I489" s="35"/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849</v>
      </c>
      <c r="E490" s="33" t="s">
        <v>623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847</v>
      </c>
      <c r="C491" s="33" t="s">
        <v>615</v>
      </c>
      <c r="D491" s="33" t="s">
        <v>616</v>
      </c>
      <c r="E491" s="33" t="s">
        <v>243</v>
      </c>
      <c r="F491" s="34" t="s">
        <v>127</v>
      </c>
      <c r="G491" s="40"/>
      <c r="H491" s="53"/>
      <c r="I491" s="35" t="s">
        <v>205</v>
      </c>
      <c r="J491" s="27"/>
    </row>
    <row r="492" spans="1:10" ht="24.9" hidden="1" customHeight="1" x14ac:dyDescent="0.3">
      <c r="A492" s="32" t="s">
        <v>599</v>
      </c>
      <c r="B492" s="33" t="s">
        <v>620</v>
      </c>
      <c r="C492" s="33" t="s">
        <v>615</v>
      </c>
      <c r="D492" s="33" t="s">
        <v>621</v>
      </c>
      <c r="E492" s="33" t="s">
        <v>622</v>
      </c>
      <c r="F492" s="34" t="s">
        <v>127</v>
      </c>
      <c r="G492" s="40"/>
      <c r="H492" s="53"/>
      <c r="I492" s="35"/>
      <c r="J492" s="27"/>
    </row>
    <row r="493" spans="1:10" ht="24.9" hidden="1" customHeight="1" x14ac:dyDescent="0.3">
      <c r="A493" s="32" t="s">
        <v>599</v>
      </c>
      <c r="B493" s="33" t="s">
        <v>620</v>
      </c>
      <c r="C493" s="33" t="s">
        <v>615</v>
      </c>
      <c r="D493" s="33" t="s">
        <v>621</v>
      </c>
      <c r="E493" s="33" t="s">
        <v>623</v>
      </c>
      <c r="F493" s="34" t="s">
        <v>127</v>
      </c>
      <c r="G493" s="40"/>
      <c r="H493" s="53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173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651</v>
      </c>
      <c r="C495" s="33" t="s">
        <v>652</v>
      </c>
      <c r="D495" s="33" t="s">
        <v>653</v>
      </c>
      <c r="E495" s="33" t="s">
        <v>794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651</v>
      </c>
      <c r="C496" s="33" t="s">
        <v>652</v>
      </c>
      <c r="D496" s="33" t="s">
        <v>653</v>
      </c>
      <c r="E496" s="33" t="s">
        <v>183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173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654</v>
      </c>
      <c r="C498" s="33" t="s">
        <v>652</v>
      </c>
      <c r="D498" s="33" t="s">
        <v>655</v>
      </c>
      <c r="E498" s="33" t="s">
        <v>794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654</v>
      </c>
      <c r="C499" s="33" t="s">
        <v>652</v>
      </c>
      <c r="D499" s="33" t="s">
        <v>655</v>
      </c>
      <c r="E499" s="33" t="s">
        <v>183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173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656</v>
      </c>
      <c r="C501" s="33" t="s">
        <v>652</v>
      </c>
      <c r="D501" s="33" t="s">
        <v>657</v>
      </c>
      <c r="E501" s="33" t="s">
        <v>794</v>
      </c>
      <c r="F501" s="34" t="s">
        <v>127</v>
      </c>
      <c r="G501" s="40"/>
      <c r="H501" s="40"/>
      <c r="I501" s="35"/>
      <c r="J501" s="27"/>
    </row>
    <row r="502" spans="1:10" ht="24.9" hidden="1" customHeight="1" x14ac:dyDescent="0.3">
      <c r="A502" s="32" t="s">
        <v>650</v>
      </c>
      <c r="B502" s="33" t="s">
        <v>656</v>
      </c>
      <c r="C502" s="33" t="s">
        <v>652</v>
      </c>
      <c r="D502" s="33" t="s">
        <v>657</v>
      </c>
      <c r="E502" s="33" t="s">
        <v>183</v>
      </c>
      <c r="F502" s="34" t="s">
        <v>127</v>
      </c>
      <c r="G502" s="40"/>
      <c r="H502" s="40"/>
      <c r="I502" s="35"/>
      <c r="J502" s="27"/>
    </row>
    <row r="503" spans="1:10" ht="24.9" hidden="1" customHeight="1" x14ac:dyDescent="0.3">
      <c r="A503" s="32" t="s">
        <v>650</v>
      </c>
      <c r="B503" s="33" t="s">
        <v>659</v>
      </c>
      <c r="C503" s="33" t="s">
        <v>652</v>
      </c>
      <c r="D503" s="33" t="s">
        <v>185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659</v>
      </c>
      <c r="C504" s="33" t="s">
        <v>652</v>
      </c>
      <c r="D504" s="33" t="s">
        <v>185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658</v>
      </c>
      <c r="C505" s="33" t="s">
        <v>652</v>
      </c>
      <c r="D505" s="33" t="s">
        <v>189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658</v>
      </c>
      <c r="C506" s="33" t="s">
        <v>652</v>
      </c>
      <c r="D506" s="33" t="s">
        <v>189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650</v>
      </c>
      <c r="B507" s="33" t="s">
        <v>660</v>
      </c>
      <c r="C507" s="33" t="s">
        <v>652</v>
      </c>
      <c r="D507" s="33" t="s">
        <v>187</v>
      </c>
      <c r="E507" s="33" t="s">
        <v>160</v>
      </c>
      <c r="F507" s="34" t="s">
        <v>127</v>
      </c>
      <c r="G507" s="40"/>
      <c r="H507" s="51"/>
      <c r="I507" s="35"/>
      <c r="J507" s="27"/>
    </row>
    <row r="508" spans="1:10" ht="24.9" hidden="1" customHeight="1" x14ac:dyDescent="0.3">
      <c r="A508" s="32" t="s">
        <v>650</v>
      </c>
      <c r="B508" s="33" t="s">
        <v>660</v>
      </c>
      <c r="C508" s="33" t="s">
        <v>652</v>
      </c>
      <c r="D508" s="33" t="s">
        <v>187</v>
      </c>
      <c r="E508" s="33" t="s">
        <v>183</v>
      </c>
      <c r="F508" s="34" t="s">
        <v>127</v>
      </c>
      <c r="G508" s="40"/>
      <c r="H508" s="51"/>
      <c r="I508" s="35"/>
      <c r="J508" s="27"/>
    </row>
    <row r="509" spans="1:10" ht="24.9" hidden="1" customHeight="1" x14ac:dyDescent="0.3">
      <c r="A509" s="32" t="s">
        <v>661</v>
      </c>
      <c r="B509" s="33" t="s">
        <v>662</v>
      </c>
      <c r="C509" s="33" t="s">
        <v>370</v>
      </c>
      <c r="D509" s="33" t="s">
        <v>663</v>
      </c>
      <c r="E509" s="33" t="s">
        <v>780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664</v>
      </c>
      <c r="C510" s="33" t="s">
        <v>665</v>
      </c>
      <c r="D510" s="33" t="s">
        <v>804</v>
      </c>
      <c r="E510" s="33" t="s">
        <v>666</v>
      </c>
      <c r="F510" s="34" t="s">
        <v>99</v>
      </c>
      <c r="G510" s="40"/>
      <c r="H510" s="40"/>
      <c r="I510" s="35"/>
      <c r="J510" s="27"/>
    </row>
    <row r="511" spans="1:10" ht="24.9" hidden="1" customHeight="1" x14ac:dyDescent="0.3">
      <c r="A511" s="32" t="s">
        <v>661</v>
      </c>
      <c r="B511" s="33" t="s">
        <v>664</v>
      </c>
      <c r="C511" s="33" t="s">
        <v>665</v>
      </c>
      <c r="D511" s="33" t="s">
        <v>804</v>
      </c>
      <c r="E511" s="33" t="s">
        <v>795</v>
      </c>
      <c r="F511" s="34" t="s">
        <v>127</v>
      </c>
      <c r="G511" s="40"/>
      <c r="H511" s="40"/>
      <c r="I511" s="35"/>
      <c r="J511" s="27"/>
    </row>
    <row r="512" spans="1:10" ht="24.9" hidden="1" customHeight="1" x14ac:dyDescent="0.3">
      <c r="A512" s="32" t="s">
        <v>661</v>
      </c>
      <c r="B512" s="33" t="s">
        <v>668</v>
      </c>
      <c r="C512" s="33" t="s">
        <v>665</v>
      </c>
      <c r="D512" s="33" t="s">
        <v>805</v>
      </c>
      <c r="E512" s="33" t="s">
        <v>666</v>
      </c>
      <c r="F512" s="34" t="s">
        <v>99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668</v>
      </c>
      <c r="C513" s="33" t="s">
        <v>665</v>
      </c>
      <c r="D513" s="33" t="s">
        <v>805</v>
      </c>
      <c r="E513" s="33" t="s">
        <v>795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671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669</v>
      </c>
      <c r="C515" s="33" t="s">
        <v>551</v>
      </c>
      <c r="D515" s="33" t="s">
        <v>670</v>
      </c>
      <c r="E515" s="33" t="s">
        <v>796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669</v>
      </c>
      <c r="C516" s="33" t="s">
        <v>551</v>
      </c>
      <c r="D516" s="33" t="s">
        <v>670</v>
      </c>
      <c r="E516" s="33" t="s">
        <v>674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671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675</v>
      </c>
      <c r="C518" s="33" t="s">
        <v>554</v>
      </c>
      <c r="D518" s="33" t="s">
        <v>670</v>
      </c>
      <c r="E518" s="33" t="s">
        <v>796</v>
      </c>
      <c r="F518" s="34" t="s">
        <v>127</v>
      </c>
      <c r="G518" s="40"/>
      <c r="H518" s="40"/>
      <c r="I518" s="35" t="s">
        <v>579</v>
      </c>
      <c r="J518" s="27"/>
    </row>
    <row r="519" spans="1:10" ht="24.9" hidden="1" customHeight="1" x14ac:dyDescent="0.3">
      <c r="A519" s="32" t="s">
        <v>661</v>
      </c>
      <c r="B519" s="33" t="s">
        <v>675</v>
      </c>
      <c r="C519" s="33" t="s">
        <v>554</v>
      </c>
      <c r="D519" s="33" t="s">
        <v>670</v>
      </c>
      <c r="E519" s="33" t="s">
        <v>674</v>
      </c>
      <c r="F519" s="34" t="s">
        <v>127</v>
      </c>
      <c r="G519" s="40"/>
      <c r="H519" s="40"/>
      <c r="I519" s="35" t="s">
        <v>579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671</v>
      </c>
      <c r="F520" s="34" t="s">
        <v>673</v>
      </c>
      <c r="G520" s="40"/>
      <c r="H520" s="40"/>
      <c r="I520" s="35" t="s">
        <v>579</v>
      </c>
      <c r="J520" s="27"/>
    </row>
    <row r="521" spans="1:10" ht="24.9" hidden="1" customHeight="1" x14ac:dyDescent="0.3">
      <c r="A521" s="32" t="s">
        <v>661</v>
      </c>
      <c r="B521" s="33" t="s">
        <v>676</v>
      </c>
      <c r="C521" s="33" t="s">
        <v>556</v>
      </c>
      <c r="D521" s="33" t="s">
        <v>670</v>
      </c>
      <c r="E521" s="33" t="s">
        <v>796</v>
      </c>
      <c r="F521" s="34" t="s">
        <v>673</v>
      </c>
      <c r="G521" s="40"/>
      <c r="H521" s="40"/>
      <c r="I521" s="35" t="s">
        <v>579</v>
      </c>
      <c r="J521" s="27"/>
    </row>
    <row r="522" spans="1:10" ht="24.9" hidden="1" customHeight="1" x14ac:dyDescent="0.3">
      <c r="A522" s="32" t="s">
        <v>661</v>
      </c>
      <c r="B522" s="33" t="s">
        <v>676</v>
      </c>
      <c r="C522" s="33" t="s">
        <v>556</v>
      </c>
      <c r="D522" s="33" t="s">
        <v>670</v>
      </c>
      <c r="E522" s="33" t="s">
        <v>674</v>
      </c>
      <c r="F522" s="34" t="s">
        <v>673</v>
      </c>
      <c r="G522" s="40"/>
      <c r="H522" s="40"/>
      <c r="I522" s="35" t="s">
        <v>579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671</v>
      </c>
      <c r="F523" s="34" t="s">
        <v>673</v>
      </c>
      <c r="G523" s="40"/>
      <c r="H523" s="40"/>
      <c r="I523" s="35" t="s">
        <v>579</v>
      </c>
      <c r="J523" s="27"/>
    </row>
    <row r="524" spans="1:10" ht="24.9" hidden="1" customHeight="1" x14ac:dyDescent="0.3">
      <c r="A524" s="32" t="s">
        <v>661</v>
      </c>
      <c r="B524" s="33" t="s">
        <v>677</v>
      </c>
      <c r="C524" s="33" t="s">
        <v>558</v>
      </c>
      <c r="D524" s="33" t="s">
        <v>670</v>
      </c>
      <c r="E524" s="33" t="s">
        <v>796</v>
      </c>
      <c r="F524" s="34" t="s">
        <v>673</v>
      </c>
      <c r="G524" s="40"/>
      <c r="H524" s="40"/>
      <c r="I524" s="35" t="s">
        <v>579</v>
      </c>
      <c r="J524" s="27"/>
    </row>
    <row r="525" spans="1:10" ht="24.9" hidden="1" customHeight="1" x14ac:dyDescent="0.3">
      <c r="A525" s="32" t="s">
        <v>661</v>
      </c>
      <c r="B525" s="33" t="s">
        <v>677</v>
      </c>
      <c r="C525" s="33" t="s">
        <v>558</v>
      </c>
      <c r="D525" s="33" t="s">
        <v>670</v>
      </c>
      <c r="E525" s="33" t="s">
        <v>674</v>
      </c>
      <c r="F525" s="34" t="s">
        <v>673</v>
      </c>
      <c r="G525" s="40"/>
      <c r="H525" s="40"/>
      <c r="I525" s="35" t="s">
        <v>579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671</v>
      </c>
      <c r="F526" s="34" t="s">
        <v>673</v>
      </c>
      <c r="G526" s="40"/>
      <c r="H526" s="40"/>
      <c r="I526" s="35" t="s">
        <v>579</v>
      </c>
      <c r="J526" s="27"/>
    </row>
    <row r="527" spans="1:10" ht="24.9" hidden="1" customHeight="1" x14ac:dyDescent="0.3">
      <c r="A527" s="32" t="s">
        <v>661</v>
      </c>
      <c r="B527" s="33" t="s">
        <v>678</v>
      </c>
      <c r="C527" s="33" t="s">
        <v>560</v>
      </c>
      <c r="D527" s="33" t="s">
        <v>670</v>
      </c>
      <c r="E527" s="33" t="s">
        <v>796</v>
      </c>
      <c r="F527" s="34" t="s">
        <v>673</v>
      </c>
      <c r="G527" s="40"/>
      <c r="H527" s="40"/>
      <c r="I527" s="35" t="s">
        <v>579</v>
      </c>
      <c r="J527" s="27"/>
    </row>
    <row r="528" spans="1:10" ht="24.9" hidden="1" customHeight="1" x14ac:dyDescent="0.3">
      <c r="A528" s="32" t="s">
        <v>661</v>
      </c>
      <c r="B528" s="33" t="s">
        <v>678</v>
      </c>
      <c r="C528" s="33" t="s">
        <v>560</v>
      </c>
      <c r="D528" s="33" t="s">
        <v>670</v>
      </c>
      <c r="E528" s="33" t="s">
        <v>674</v>
      </c>
      <c r="F528" s="34" t="s">
        <v>673</v>
      </c>
      <c r="G528" s="40"/>
      <c r="H528" s="40"/>
      <c r="I528" s="35" t="s">
        <v>579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671</v>
      </c>
      <c r="F529" s="34" t="s">
        <v>673</v>
      </c>
      <c r="G529" s="40"/>
      <c r="H529" s="40"/>
      <c r="I529" s="35" t="s">
        <v>579</v>
      </c>
      <c r="J529" s="27"/>
    </row>
    <row r="530" spans="1:10" ht="24.9" hidden="1" customHeight="1" x14ac:dyDescent="0.3">
      <c r="A530" s="32" t="s">
        <v>661</v>
      </c>
      <c r="B530" s="33" t="s">
        <v>679</v>
      </c>
      <c r="C530" s="33" t="s">
        <v>548</v>
      </c>
      <c r="D530" s="33" t="s">
        <v>670</v>
      </c>
      <c r="E530" s="33" t="s">
        <v>796</v>
      </c>
      <c r="F530" s="34" t="s">
        <v>673</v>
      </c>
      <c r="G530" s="40"/>
      <c r="H530" s="40"/>
      <c r="I530" s="35" t="s">
        <v>579</v>
      </c>
      <c r="J530" s="27"/>
    </row>
    <row r="531" spans="1:10" ht="24.9" hidden="1" customHeight="1" x14ac:dyDescent="0.3">
      <c r="A531" s="32" t="s">
        <v>661</v>
      </c>
      <c r="B531" s="33" t="s">
        <v>679</v>
      </c>
      <c r="C531" s="33" t="s">
        <v>548</v>
      </c>
      <c r="D531" s="33" t="s">
        <v>670</v>
      </c>
      <c r="E531" s="33" t="s">
        <v>674</v>
      </c>
      <c r="F531" s="34" t="s">
        <v>673</v>
      </c>
      <c r="G531" s="40"/>
      <c r="H531" s="40"/>
      <c r="I531" s="35" t="s">
        <v>579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765</v>
      </c>
      <c r="F532" s="34" t="s">
        <v>99</v>
      </c>
      <c r="G532" s="40"/>
      <c r="H532" s="40" t="s">
        <v>543</v>
      </c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225</v>
      </c>
      <c r="F533" s="34" t="s">
        <v>127</v>
      </c>
      <c r="G533" s="40"/>
      <c r="H533" s="40" t="s">
        <v>227</v>
      </c>
      <c r="I533" s="35" t="s">
        <v>226</v>
      </c>
      <c r="J533" s="27"/>
    </row>
    <row r="534" spans="1:10" ht="24.9" hidden="1" customHeight="1" x14ac:dyDescent="0.3">
      <c r="A534" s="32" t="s">
        <v>680</v>
      </c>
      <c r="B534" s="33" t="s">
        <v>702</v>
      </c>
      <c r="C534" s="33" t="s">
        <v>703</v>
      </c>
      <c r="D534" s="33" t="s">
        <v>704</v>
      </c>
      <c r="E534" s="33" t="s">
        <v>764</v>
      </c>
      <c r="F534" s="34" t="s">
        <v>167</v>
      </c>
      <c r="G534" s="40"/>
      <c r="H534" s="40"/>
      <c r="I534" s="35"/>
      <c r="J534" s="27"/>
    </row>
    <row r="535" spans="1:10" ht="24.9" hidden="1" customHeight="1" x14ac:dyDescent="0.3">
      <c r="A535" s="32" t="s">
        <v>680</v>
      </c>
      <c r="B535" s="33" t="s">
        <v>702</v>
      </c>
      <c r="C535" s="33" t="s">
        <v>703</v>
      </c>
      <c r="D535" s="33" t="s">
        <v>704</v>
      </c>
      <c r="E535" s="33" t="s">
        <v>195</v>
      </c>
      <c r="F535" s="34" t="s">
        <v>167</v>
      </c>
      <c r="G535" s="40"/>
      <c r="H535" s="51"/>
      <c r="I535" s="35"/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692</v>
      </c>
      <c r="F536" s="34" t="s">
        <v>127</v>
      </c>
      <c r="G536" s="40"/>
      <c r="H536" s="40" t="s">
        <v>837</v>
      </c>
      <c r="I536" s="35" t="s">
        <v>693</v>
      </c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694</v>
      </c>
      <c r="F537" s="34" t="s">
        <v>127</v>
      </c>
      <c r="G537" s="40"/>
      <c r="H537" s="40" t="s">
        <v>837</v>
      </c>
      <c r="I537" s="35" t="s">
        <v>695</v>
      </c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714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691</v>
      </c>
      <c r="E539" s="33" t="s">
        <v>715</v>
      </c>
      <c r="F539" s="34" t="s">
        <v>127</v>
      </c>
      <c r="G539" s="40"/>
      <c r="H539" s="40"/>
      <c r="I539" s="35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691</v>
      </c>
      <c r="E540" s="33" t="s">
        <v>716</v>
      </c>
      <c r="F540" s="34" t="s">
        <v>127</v>
      </c>
      <c r="G540" s="40"/>
      <c r="H540" s="40"/>
      <c r="I540" s="35"/>
      <c r="J540" s="27"/>
    </row>
    <row r="541" spans="1:10" ht="24.9" hidden="1" customHeight="1" x14ac:dyDescent="0.3">
      <c r="A541" s="32" t="s">
        <v>680</v>
      </c>
      <c r="B541" s="33" t="s">
        <v>689</v>
      </c>
      <c r="C541" s="33" t="s">
        <v>690</v>
      </c>
      <c r="D541" s="33" t="s">
        <v>699</v>
      </c>
      <c r="E541" s="33" t="s">
        <v>700</v>
      </c>
      <c r="F541" s="34" t="s">
        <v>95</v>
      </c>
      <c r="G541" s="40"/>
      <c r="H541" s="40"/>
      <c r="I541" s="114"/>
      <c r="J541" s="27"/>
    </row>
    <row r="542" spans="1:10" ht="24.9" hidden="1" customHeight="1" x14ac:dyDescent="0.3">
      <c r="A542" s="32" t="s">
        <v>680</v>
      </c>
      <c r="B542" s="33" t="s">
        <v>689</v>
      </c>
      <c r="C542" s="33" t="s">
        <v>690</v>
      </c>
      <c r="D542" s="33" t="s">
        <v>699</v>
      </c>
      <c r="E542" s="33" t="s">
        <v>701</v>
      </c>
      <c r="F542" s="34" t="s">
        <v>95</v>
      </c>
      <c r="G542" s="40"/>
      <c r="H542" s="40"/>
      <c r="I542" s="114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229</v>
      </c>
      <c r="F543" s="34" t="s">
        <v>127</v>
      </c>
      <c r="G543" s="40"/>
      <c r="H543" s="40" t="s">
        <v>837</v>
      </c>
      <c r="I543" s="35" t="s">
        <v>684</v>
      </c>
      <c r="J543" s="42"/>
    </row>
    <row r="544" spans="1:10" ht="24.9" hidden="1" customHeight="1" x14ac:dyDescent="0.3">
      <c r="A544" s="32" t="s">
        <v>680</v>
      </c>
      <c r="B544" s="33" t="s">
        <v>681</v>
      </c>
      <c r="C544" s="33" t="s">
        <v>682</v>
      </c>
      <c r="D544" s="33" t="s">
        <v>683</v>
      </c>
      <c r="E544" s="33" t="s">
        <v>713</v>
      </c>
      <c r="F544" s="34" t="s">
        <v>127</v>
      </c>
      <c r="G544" s="40"/>
      <c r="H544" s="40"/>
      <c r="I544" s="35"/>
      <c r="J544" s="27"/>
    </row>
    <row r="545" spans="1:10" ht="24.9" hidden="1" customHeight="1" x14ac:dyDescent="0.3">
      <c r="A545" s="32" t="s">
        <v>680</v>
      </c>
      <c r="B545" s="33" t="s">
        <v>681</v>
      </c>
      <c r="C545" s="33" t="s">
        <v>682</v>
      </c>
      <c r="D545" s="33" t="s">
        <v>683</v>
      </c>
      <c r="E545" s="33" t="s">
        <v>221</v>
      </c>
      <c r="F545" s="34" t="s">
        <v>127</v>
      </c>
      <c r="G545" s="40"/>
      <c r="H545" s="40"/>
      <c r="I545" s="35"/>
      <c r="J545" s="42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706</v>
      </c>
      <c r="E546" s="33" t="s">
        <v>213</v>
      </c>
      <c r="F546" s="34" t="s">
        <v>99</v>
      </c>
      <c r="G546" s="40"/>
      <c r="H546" s="51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706</v>
      </c>
      <c r="E547" s="33" t="s">
        <v>707</v>
      </c>
      <c r="F547" s="34" t="s">
        <v>99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160</v>
      </c>
      <c r="F548" s="34" t="s">
        <v>99</v>
      </c>
      <c r="G548" s="40"/>
      <c r="H548" s="40"/>
      <c r="I548" s="3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708</v>
      </c>
      <c r="E549" s="33" t="s">
        <v>797</v>
      </c>
      <c r="F549" s="34" t="s">
        <v>127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705</v>
      </c>
      <c r="C550" s="33" t="s">
        <v>703</v>
      </c>
      <c r="D550" s="33" t="s">
        <v>708</v>
      </c>
      <c r="E550" s="33" t="s">
        <v>217</v>
      </c>
      <c r="F550" s="34"/>
      <c r="G550" s="29"/>
      <c r="H550" s="29"/>
      <c r="I550" s="25"/>
      <c r="J550" s="27"/>
    </row>
    <row r="551" spans="1:10" ht="24.9" hidden="1" customHeight="1" x14ac:dyDescent="0.3">
      <c r="A551" s="32" t="s">
        <v>680</v>
      </c>
      <c r="B551" s="33" t="s">
        <v>705</v>
      </c>
      <c r="C551" s="33" t="s">
        <v>703</v>
      </c>
      <c r="D551" s="33" t="s">
        <v>846</v>
      </c>
      <c r="E551" s="33" t="s">
        <v>823</v>
      </c>
      <c r="F551" s="34" t="s">
        <v>127</v>
      </c>
      <c r="G551" s="40"/>
      <c r="H551" s="40"/>
      <c r="I551" s="35"/>
      <c r="J551" s="27"/>
    </row>
    <row r="552" spans="1:10" ht="24.9" hidden="1" customHeight="1" x14ac:dyDescent="0.3">
      <c r="A552" s="32" t="s">
        <v>680</v>
      </c>
      <c r="B552" s="33" t="s">
        <v>709</v>
      </c>
      <c r="C552" s="33" t="s">
        <v>686</v>
      </c>
      <c r="D552" s="33" t="s">
        <v>710</v>
      </c>
      <c r="E552" s="33" t="s">
        <v>712</v>
      </c>
      <c r="F552" s="34" t="s">
        <v>127</v>
      </c>
      <c r="G552" s="40"/>
      <c r="H552" s="40"/>
      <c r="I552" s="35"/>
      <c r="J552" s="27"/>
    </row>
    <row r="553" spans="1:10" ht="24.9" hidden="1" customHeight="1" x14ac:dyDescent="0.3">
      <c r="A553" s="32" t="s">
        <v>680</v>
      </c>
      <c r="B553" s="33" t="s">
        <v>813</v>
      </c>
      <c r="C553" s="33" t="s">
        <v>686</v>
      </c>
      <c r="D553" s="33" t="s">
        <v>822</v>
      </c>
      <c r="E553" s="33" t="s">
        <v>737</v>
      </c>
      <c r="F553" s="34" t="s">
        <v>127</v>
      </c>
      <c r="G553" s="50"/>
      <c r="H553" s="40" t="s">
        <v>837</v>
      </c>
      <c r="I553" s="35" t="s">
        <v>838</v>
      </c>
      <c r="J553" s="27"/>
    </row>
    <row r="554" spans="1:10" ht="24.9" hidden="1" customHeight="1" x14ac:dyDescent="0.3">
      <c r="A554" s="32" t="s">
        <v>680</v>
      </c>
      <c r="B554" s="33" t="s">
        <v>814</v>
      </c>
      <c r="C554" s="33" t="s">
        <v>686</v>
      </c>
      <c r="D554" s="33" t="s">
        <v>825</v>
      </c>
      <c r="E554" s="33" t="s">
        <v>823</v>
      </c>
      <c r="F554" s="34" t="s">
        <v>127</v>
      </c>
      <c r="G554" s="40"/>
      <c r="H554" s="40" t="s">
        <v>837</v>
      </c>
      <c r="I554" s="35" t="s">
        <v>839</v>
      </c>
      <c r="J554" s="27"/>
    </row>
    <row r="555" spans="1:10" ht="24.9" hidden="1" customHeight="1" x14ac:dyDescent="0.3">
      <c r="A555" s="32" t="s">
        <v>680</v>
      </c>
      <c r="B555" s="33" t="s">
        <v>815</v>
      </c>
      <c r="C555" s="33" t="s">
        <v>686</v>
      </c>
      <c r="D555" s="33" t="s">
        <v>826</v>
      </c>
      <c r="E555" s="33" t="s">
        <v>823</v>
      </c>
      <c r="F555" s="34" t="s">
        <v>127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816</v>
      </c>
      <c r="C556" s="33" t="s">
        <v>686</v>
      </c>
      <c r="D556" s="33" t="s">
        <v>827</v>
      </c>
      <c r="E556" s="33" t="s">
        <v>823</v>
      </c>
      <c r="F556" s="34" t="s">
        <v>127</v>
      </c>
      <c r="G556" s="40"/>
      <c r="H556" s="40" t="s">
        <v>837</v>
      </c>
      <c r="I556" s="35" t="s">
        <v>841</v>
      </c>
      <c r="J556" s="27"/>
    </row>
    <row r="557" spans="1:10" ht="24.9" hidden="1" customHeight="1" x14ac:dyDescent="0.3">
      <c r="A557" s="32" t="s">
        <v>680</v>
      </c>
      <c r="B557" s="33" t="s">
        <v>817</v>
      </c>
      <c r="C557" s="33" t="s">
        <v>686</v>
      </c>
      <c r="D557" s="33" t="s">
        <v>828</v>
      </c>
      <c r="E557" s="33" t="s">
        <v>823</v>
      </c>
      <c r="F557" s="34" t="s">
        <v>127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817</v>
      </c>
      <c r="C558" s="33" t="s">
        <v>686</v>
      </c>
      <c r="D558" s="33" t="s">
        <v>829</v>
      </c>
      <c r="E558" s="33" t="s">
        <v>823</v>
      </c>
      <c r="F558" s="34" t="s">
        <v>127</v>
      </c>
      <c r="G558" s="40"/>
      <c r="H558" s="40" t="s">
        <v>837</v>
      </c>
      <c r="I558" s="35" t="s">
        <v>840</v>
      </c>
      <c r="J558" s="27"/>
    </row>
    <row r="559" spans="1:10" ht="24.9" hidden="1" customHeight="1" x14ac:dyDescent="0.3">
      <c r="A559" s="32" t="s">
        <v>680</v>
      </c>
      <c r="B559" s="33" t="s">
        <v>818</v>
      </c>
      <c r="C559" s="33" t="s">
        <v>686</v>
      </c>
      <c r="D559" s="33" t="s">
        <v>830</v>
      </c>
      <c r="E559" s="33" t="s">
        <v>823</v>
      </c>
      <c r="F559" s="34" t="s">
        <v>127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819</v>
      </c>
      <c r="C560" s="33" t="s">
        <v>686</v>
      </c>
      <c r="D560" s="33" t="s">
        <v>831</v>
      </c>
      <c r="E560" s="33" t="s">
        <v>823</v>
      </c>
      <c r="F560" s="34" t="s">
        <v>127</v>
      </c>
      <c r="G560" s="40"/>
      <c r="H560" s="40" t="s">
        <v>837</v>
      </c>
      <c r="I560" s="35" t="s">
        <v>841</v>
      </c>
      <c r="J560" s="27"/>
    </row>
    <row r="561" spans="1:10" ht="24.9" hidden="1" customHeight="1" x14ac:dyDescent="0.3">
      <c r="A561" s="32" t="s">
        <v>680</v>
      </c>
      <c r="B561" s="33" t="s">
        <v>820</v>
      </c>
      <c r="C561" s="33" t="s">
        <v>686</v>
      </c>
      <c r="D561" s="33" t="s">
        <v>832</v>
      </c>
      <c r="E561" s="33" t="s">
        <v>823</v>
      </c>
      <c r="F561" s="34" t="s">
        <v>127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820</v>
      </c>
      <c r="C562" s="90" t="s">
        <v>686</v>
      </c>
      <c r="D562" s="33" t="s">
        <v>832</v>
      </c>
      <c r="E562" s="33" t="s">
        <v>824</v>
      </c>
      <c r="F562" s="34" t="s">
        <v>127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833</v>
      </c>
      <c r="E563" s="33" t="s">
        <v>823</v>
      </c>
      <c r="F563" s="34" t="s">
        <v>127</v>
      </c>
      <c r="G563" s="40"/>
      <c r="H563" s="40" t="s">
        <v>837</v>
      </c>
      <c r="I563" s="35" t="s">
        <v>840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834</v>
      </c>
      <c r="E564" s="33" t="s">
        <v>824</v>
      </c>
      <c r="F564" s="34" t="s">
        <v>127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821</v>
      </c>
      <c r="C565" s="90" t="s">
        <v>686</v>
      </c>
      <c r="D565" s="33" t="s">
        <v>835</v>
      </c>
      <c r="E565" s="33" t="s">
        <v>824</v>
      </c>
      <c r="F565" s="34" t="s">
        <v>127</v>
      </c>
      <c r="G565" s="40"/>
      <c r="H565" s="40" t="s">
        <v>837</v>
      </c>
      <c r="I565" s="35" t="s">
        <v>842</v>
      </c>
      <c r="J565" s="27"/>
    </row>
    <row r="566" spans="1:10" ht="24.9" hidden="1" customHeight="1" x14ac:dyDescent="0.3">
      <c r="A566" s="32" t="s">
        <v>680</v>
      </c>
      <c r="B566" s="33" t="s">
        <v>821</v>
      </c>
      <c r="C566" s="90" t="s">
        <v>686</v>
      </c>
      <c r="D566" s="33" t="s">
        <v>836</v>
      </c>
      <c r="E566" s="33" t="s">
        <v>823</v>
      </c>
      <c r="F566" s="34" t="s">
        <v>127</v>
      </c>
      <c r="G566" s="40"/>
      <c r="H566" s="40" t="s">
        <v>837</v>
      </c>
      <c r="I566" s="35" t="s">
        <v>842</v>
      </c>
      <c r="J566" s="27"/>
    </row>
    <row r="567" spans="1:10" ht="24.9" hidden="1" customHeight="1" x14ac:dyDescent="0.3">
      <c r="A567" s="32" t="s">
        <v>680</v>
      </c>
      <c r="B567" s="33" t="s">
        <v>709</v>
      </c>
      <c r="C567" s="90" t="s">
        <v>686</v>
      </c>
      <c r="D567" s="33" t="s">
        <v>710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685</v>
      </c>
      <c r="C568" s="90" t="s">
        <v>686</v>
      </c>
      <c r="D568" s="33" t="s">
        <v>687</v>
      </c>
      <c r="E568" s="33" t="s">
        <v>229</v>
      </c>
      <c r="F568" s="78" t="s">
        <v>127</v>
      </c>
      <c r="G568" s="40"/>
      <c r="H568" s="40" t="s">
        <v>837</v>
      </c>
      <c r="I568" s="35" t="s">
        <v>842</v>
      </c>
      <c r="J568" s="27"/>
    </row>
    <row r="569" spans="1:10" ht="24.9" hidden="1" customHeight="1" x14ac:dyDescent="0.3">
      <c r="A569" s="32" t="s">
        <v>680</v>
      </c>
      <c r="B569" s="33" t="s">
        <v>685</v>
      </c>
      <c r="C569" s="33" t="s">
        <v>686</v>
      </c>
      <c r="D569" s="33" t="s">
        <v>687</v>
      </c>
      <c r="E569" s="33" t="s">
        <v>712</v>
      </c>
      <c r="F569" s="34" t="s">
        <v>127</v>
      </c>
      <c r="G569" s="40"/>
      <c r="H569" s="40"/>
      <c r="I569" s="35"/>
      <c r="J569" s="27"/>
    </row>
    <row r="570" spans="1:10" ht="24.9" hidden="1" customHeight="1" x14ac:dyDescent="0.3">
      <c r="A570" s="32" t="s">
        <v>680</v>
      </c>
      <c r="B570" s="33" t="s">
        <v>685</v>
      </c>
      <c r="C570" s="33" t="s">
        <v>686</v>
      </c>
      <c r="D570" s="33" t="s">
        <v>687</v>
      </c>
      <c r="E570" s="33" t="s">
        <v>711</v>
      </c>
      <c r="F570" s="34" t="s">
        <v>167</v>
      </c>
      <c r="G570" s="40"/>
      <c r="H570" s="40"/>
      <c r="I570" s="35"/>
      <c r="J570" s="27"/>
    </row>
    <row r="571" spans="1:10" ht="24.9" hidden="1" customHeight="1" x14ac:dyDescent="0.3">
      <c r="A571" s="32" t="s">
        <v>680</v>
      </c>
      <c r="B571" s="33" t="s">
        <v>696</v>
      </c>
      <c r="C571" s="33" t="s">
        <v>686</v>
      </c>
      <c r="D571" s="33" t="s">
        <v>697</v>
      </c>
      <c r="E571" s="33" t="s">
        <v>698</v>
      </c>
      <c r="F571" s="78" t="s">
        <v>127</v>
      </c>
      <c r="G571" s="40"/>
      <c r="H571" s="40" t="s">
        <v>837</v>
      </c>
      <c r="I571" s="35" t="s">
        <v>688</v>
      </c>
      <c r="J571" s="27"/>
    </row>
    <row r="572" spans="1:10" ht="24.9" hidden="1" customHeight="1" x14ac:dyDescent="0.3">
      <c r="A572" s="32" t="s">
        <v>680</v>
      </c>
      <c r="B572" s="33" t="s">
        <v>696</v>
      </c>
      <c r="C572" s="33" t="s">
        <v>686</v>
      </c>
      <c r="D572" s="33" t="s">
        <v>697</v>
      </c>
      <c r="E572" s="33" t="s">
        <v>717</v>
      </c>
      <c r="F572" s="34" t="s">
        <v>127</v>
      </c>
      <c r="G572" s="40"/>
      <c r="H572" s="40"/>
      <c r="I572" s="35"/>
      <c r="J572" s="27"/>
    </row>
    <row r="573" spans="1:10" ht="24.9" hidden="1" customHeight="1" x14ac:dyDescent="0.3">
      <c r="A573" s="32" t="s">
        <v>718</v>
      </c>
      <c r="B573" s="33" t="s">
        <v>724</v>
      </c>
      <c r="C573" s="33" t="s">
        <v>725</v>
      </c>
      <c r="D573" s="33" t="s">
        <v>726</v>
      </c>
      <c r="E573" s="33" t="s">
        <v>130</v>
      </c>
      <c r="F573" s="34" t="s">
        <v>99</v>
      </c>
      <c r="G573" s="40"/>
      <c r="H573" s="40"/>
      <c r="I573" s="35"/>
      <c r="J573" s="27"/>
    </row>
    <row r="574" spans="1:10" ht="24.9" hidden="1" customHeight="1" x14ac:dyDescent="0.3">
      <c r="A574" s="32" t="s">
        <v>718</v>
      </c>
      <c r="B574" s="33" t="s">
        <v>724</v>
      </c>
      <c r="C574" s="33" t="s">
        <v>725</v>
      </c>
      <c r="D574" s="33" t="s">
        <v>726</v>
      </c>
      <c r="E574" s="33" t="s">
        <v>748</v>
      </c>
      <c r="F574" s="34" t="s">
        <v>99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724</v>
      </c>
      <c r="C575" s="33" t="s">
        <v>725</v>
      </c>
      <c r="D575" s="33" t="s">
        <v>726</v>
      </c>
      <c r="E575" s="33" t="s">
        <v>727</v>
      </c>
      <c r="F575" s="34" t="s">
        <v>127</v>
      </c>
      <c r="G575" s="40"/>
      <c r="H575" s="40" t="s">
        <v>168</v>
      </c>
      <c r="I575" s="35" t="s">
        <v>169</v>
      </c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694</v>
      </c>
      <c r="F576" s="34" t="s">
        <v>127</v>
      </c>
      <c r="G576" s="40"/>
      <c r="H576" s="40" t="s">
        <v>168</v>
      </c>
      <c r="I576" s="35" t="s">
        <v>695</v>
      </c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692</v>
      </c>
      <c r="F577" s="34" t="s">
        <v>127</v>
      </c>
      <c r="G577" s="40"/>
      <c r="H577" s="40" t="s">
        <v>378</v>
      </c>
      <c r="I577" s="35" t="s">
        <v>693</v>
      </c>
      <c r="J577" s="27"/>
    </row>
    <row r="578" spans="1:10" ht="24.9" hidden="1" customHeight="1" x14ac:dyDescent="0.3">
      <c r="A578" s="32" t="s">
        <v>718</v>
      </c>
      <c r="B578" s="33" t="s">
        <v>719</v>
      </c>
      <c r="C578" s="33" t="s">
        <v>720</v>
      </c>
      <c r="D578" s="33" t="s">
        <v>721</v>
      </c>
      <c r="E578" s="33" t="s">
        <v>714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719</v>
      </c>
      <c r="C579" s="33" t="s">
        <v>720</v>
      </c>
      <c r="D579" s="33" t="s">
        <v>721</v>
      </c>
      <c r="E579" s="33" t="s">
        <v>747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719</v>
      </c>
      <c r="C580" s="33" t="s">
        <v>720</v>
      </c>
      <c r="D580" s="33" t="s">
        <v>721</v>
      </c>
      <c r="E580" s="33" t="s">
        <v>700</v>
      </c>
      <c r="F580" s="34" t="s">
        <v>95</v>
      </c>
      <c r="G580" s="40"/>
      <c r="H580" s="40"/>
      <c r="I580" s="114"/>
      <c r="J580" s="27"/>
    </row>
    <row r="581" spans="1:10" ht="24.9" hidden="1" customHeight="1" x14ac:dyDescent="0.3">
      <c r="A581" s="32" t="s">
        <v>718</v>
      </c>
      <c r="B581" s="33" t="s">
        <v>719</v>
      </c>
      <c r="C581" s="33" t="s">
        <v>720</v>
      </c>
      <c r="D581" s="33" t="s">
        <v>721</v>
      </c>
      <c r="E581" s="33" t="s">
        <v>701</v>
      </c>
      <c r="F581" s="34" t="s">
        <v>95</v>
      </c>
      <c r="G581" s="40"/>
      <c r="H581" s="40"/>
      <c r="I581" s="114"/>
      <c r="J581" s="27"/>
    </row>
    <row r="582" spans="1:10" ht="24.9" hidden="1" customHeight="1" x14ac:dyDescent="0.3">
      <c r="A582" s="32" t="s">
        <v>718</v>
      </c>
      <c r="B582" s="33" t="s">
        <v>735</v>
      </c>
      <c r="C582" s="33" t="s">
        <v>720</v>
      </c>
      <c r="D582" s="33" t="s">
        <v>736</v>
      </c>
      <c r="E582" s="33" t="s">
        <v>130</v>
      </c>
      <c r="F582" s="34" t="s">
        <v>127</v>
      </c>
      <c r="G582" s="40"/>
      <c r="H582" s="40"/>
      <c r="I582" s="35"/>
      <c r="J582" s="27"/>
    </row>
    <row r="583" spans="1:10" ht="24.9" hidden="1" customHeight="1" x14ac:dyDescent="0.3">
      <c r="A583" s="32" t="s">
        <v>718</v>
      </c>
      <c r="B583" s="33" t="s">
        <v>735</v>
      </c>
      <c r="C583" s="33" t="s">
        <v>720</v>
      </c>
      <c r="D583" s="33" t="s">
        <v>736</v>
      </c>
      <c r="E583" s="33" t="s">
        <v>799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735</v>
      </c>
      <c r="C584" s="33" t="s">
        <v>720</v>
      </c>
      <c r="D584" s="33" t="s">
        <v>736</v>
      </c>
      <c r="E584" s="33" t="s">
        <v>737</v>
      </c>
      <c r="F584" s="34" t="s">
        <v>167</v>
      </c>
      <c r="G584" s="40"/>
      <c r="H584" s="40" t="s">
        <v>378</v>
      </c>
      <c r="I584" s="35" t="s">
        <v>738</v>
      </c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694</v>
      </c>
      <c r="F585" s="34" t="s">
        <v>127</v>
      </c>
      <c r="G585" s="40"/>
      <c r="H585" s="40" t="s">
        <v>168</v>
      </c>
      <c r="I585" s="35" t="s">
        <v>695</v>
      </c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692</v>
      </c>
      <c r="F586" s="34" t="s">
        <v>127</v>
      </c>
      <c r="G586" s="40"/>
      <c r="H586" s="40" t="s">
        <v>378</v>
      </c>
      <c r="I586" s="35" t="s">
        <v>693</v>
      </c>
      <c r="J586" s="27"/>
    </row>
    <row r="587" spans="1:10" ht="24.9" hidden="1" customHeight="1" x14ac:dyDescent="0.3">
      <c r="A587" s="32" t="s">
        <v>718</v>
      </c>
      <c r="B587" s="33" t="s">
        <v>722</v>
      </c>
      <c r="C587" s="33" t="s">
        <v>720</v>
      </c>
      <c r="D587" s="33" t="s">
        <v>723</v>
      </c>
      <c r="E587" s="33" t="s">
        <v>714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722</v>
      </c>
      <c r="C588" s="33" t="s">
        <v>720</v>
      </c>
      <c r="D588" s="33" t="s">
        <v>723</v>
      </c>
      <c r="E588" s="33" t="s">
        <v>747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722</v>
      </c>
      <c r="C589" s="33" t="s">
        <v>720</v>
      </c>
      <c r="D589" s="33" t="s">
        <v>723</v>
      </c>
      <c r="E589" s="33" t="s">
        <v>700</v>
      </c>
      <c r="F589" s="34" t="s">
        <v>95</v>
      </c>
      <c r="G589" s="40"/>
      <c r="H589" s="40"/>
      <c r="I589" s="114"/>
      <c r="J589" s="27"/>
    </row>
    <row r="590" spans="1:10" ht="24.9" hidden="1" customHeight="1" x14ac:dyDescent="0.3">
      <c r="A590" s="32" t="s">
        <v>718</v>
      </c>
      <c r="B590" s="33" t="s">
        <v>722</v>
      </c>
      <c r="C590" s="33" t="s">
        <v>720</v>
      </c>
      <c r="D590" s="33" t="s">
        <v>723</v>
      </c>
      <c r="E590" s="33" t="s">
        <v>701</v>
      </c>
      <c r="F590" s="34" t="s">
        <v>95</v>
      </c>
      <c r="G590" s="40"/>
      <c r="H590" s="40"/>
      <c r="I590" s="114"/>
      <c r="J590" s="27"/>
    </row>
    <row r="591" spans="1:10" ht="24.9" hidden="1" customHeight="1" x14ac:dyDescent="0.3">
      <c r="A591" s="32" t="s">
        <v>718</v>
      </c>
      <c r="B591" s="33" t="s">
        <v>739</v>
      </c>
      <c r="C591" s="33" t="s">
        <v>720</v>
      </c>
      <c r="D591" s="33" t="s">
        <v>740</v>
      </c>
      <c r="E591" s="33" t="s">
        <v>130</v>
      </c>
      <c r="F591" s="34" t="s">
        <v>127</v>
      </c>
      <c r="G591" s="40"/>
      <c r="H591" s="40"/>
      <c r="I591" s="35"/>
      <c r="J591" s="27"/>
    </row>
    <row r="592" spans="1:10" ht="24.9" hidden="1" customHeight="1" x14ac:dyDescent="0.3">
      <c r="A592" s="32" t="s">
        <v>718</v>
      </c>
      <c r="B592" s="33" t="s">
        <v>739</v>
      </c>
      <c r="C592" s="33" t="s">
        <v>720</v>
      </c>
      <c r="D592" s="33" t="s">
        <v>740</v>
      </c>
      <c r="E592" s="33" t="s">
        <v>799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739</v>
      </c>
      <c r="C593" s="33" t="s">
        <v>720</v>
      </c>
      <c r="D593" s="33" t="s">
        <v>740</v>
      </c>
      <c r="E593" s="33" t="s">
        <v>737</v>
      </c>
      <c r="F593" s="34" t="s">
        <v>167</v>
      </c>
      <c r="G593" s="40"/>
      <c r="H593" s="40" t="s">
        <v>378</v>
      </c>
      <c r="I593" s="35" t="s">
        <v>738</v>
      </c>
      <c r="J593" s="27"/>
    </row>
    <row r="594" spans="1:10" ht="24.9" hidden="1" customHeight="1" x14ac:dyDescent="0.3">
      <c r="A594" s="32" t="s">
        <v>718</v>
      </c>
      <c r="B594" s="33" t="s">
        <v>757</v>
      </c>
      <c r="C594" s="33" t="s">
        <v>725</v>
      </c>
      <c r="D594" s="33" t="s">
        <v>754</v>
      </c>
      <c r="E594" s="33" t="s">
        <v>775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731</v>
      </c>
      <c r="F595" s="34" t="s">
        <v>127</v>
      </c>
      <c r="G595" s="40"/>
      <c r="H595" s="40" t="s">
        <v>378</v>
      </c>
      <c r="I595" s="35" t="s">
        <v>732</v>
      </c>
      <c r="J595" s="27"/>
    </row>
    <row r="596" spans="1:10" ht="24.9" hidden="1" customHeight="1" x14ac:dyDescent="0.3">
      <c r="A596" s="32" t="s">
        <v>718</v>
      </c>
      <c r="B596" s="33" t="s">
        <v>728</v>
      </c>
      <c r="C596" s="33" t="s">
        <v>729</v>
      </c>
      <c r="D596" s="33" t="s">
        <v>730</v>
      </c>
      <c r="E596" s="33" t="s">
        <v>711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728</v>
      </c>
      <c r="C597" s="33" t="s">
        <v>729</v>
      </c>
      <c r="D597" s="33" t="s">
        <v>730</v>
      </c>
      <c r="E597" s="33" t="s">
        <v>130</v>
      </c>
      <c r="F597" s="34" t="s">
        <v>167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728</v>
      </c>
      <c r="C598" s="33" t="s">
        <v>729</v>
      </c>
      <c r="D598" s="33" t="s">
        <v>730</v>
      </c>
      <c r="E598" s="33" t="s">
        <v>746</v>
      </c>
      <c r="F598" s="34" t="s">
        <v>167</v>
      </c>
      <c r="G598" s="40"/>
      <c r="H598" s="40"/>
      <c r="I598" s="35"/>
      <c r="J598" s="27"/>
    </row>
    <row r="599" spans="1:10" ht="24.9" hidden="1" customHeight="1" x14ac:dyDescent="0.3">
      <c r="A599" s="32" t="s">
        <v>718</v>
      </c>
      <c r="B599" s="33" t="s">
        <v>728</v>
      </c>
      <c r="C599" s="33" t="s">
        <v>729</v>
      </c>
      <c r="D599" s="33" t="s">
        <v>730</v>
      </c>
      <c r="E599" s="33" t="s">
        <v>798</v>
      </c>
      <c r="F599" s="34" t="s">
        <v>167</v>
      </c>
      <c r="G599" s="40"/>
      <c r="H599" s="40"/>
      <c r="I599" s="35"/>
      <c r="J599" s="27"/>
    </row>
    <row r="600" spans="1:10" ht="24.9" hidden="1" customHeight="1" x14ac:dyDescent="0.3">
      <c r="A600" s="32" t="s">
        <v>718</v>
      </c>
      <c r="B600" s="33" t="s">
        <v>741</v>
      </c>
      <c r="C600" s="33" t="s">
        <v>720</v>
      </c>
      <c r="D600" s="33" t="s">
        <v>742</v>
      </c>
      <c r="E600" s="33" t="s">
        <v>130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741</v>
      </c>
      <c r="C601" s="33" t="s">
        <v>720</v>
      </c>
      <c r="D601" s="33" t="s">
        <v>742</v>
      </c>
      <c r="E601" s="33" t="s">
        <v>711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741</v>
      </c>
      <c r="C602" s="33" t="s">
        <v>720</v>
      </c>
      <c r="D602" s="33" t="s">
        <v>742</v>
      </c>
      <c r="E602" s="33" t="s">
        <v>737</v>
      </c>
      <c r="F602" s="34" t="s">
        <v>167</v>
      </c>
      <c r="G602" s="40"/>
      <c r="H602" s="40" t="s">
        <v>378</v>
      </c>
      <c r="I602" s="35" t="s">
        <v>743</v>
      </c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731</v>
      </c>
      <c r="F603" s="34" t="s">
        <v>127</v>
      </c>
      <c r="G603" s="40"/>
      <c r="H603" s="40" t="s">
        <v>378</v>
      </c>
      <c r="I603" s="35" t="s">
        <v>732</v>
      </c>
      <c r="J603" s="27"/>
    </row>
    <row r="604" spans="1:10" ht="24.9" hidden="1" customHeight="1" x14ac:dyDescent="0.3">
      <c r="A604" s="32" t="s">
        <v>718</v>
      </c>
      <c r="B604" s="33" t="s">
        <v>733</v>
      </c>
      <c r="C604" s="33" t="s">
        <v>729</v>
      </c>
      <c r="D604" s="33" t="s">
        <v>734</v>
      </c>
      <c r="E604" s="33" t="s">
        <v>711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733</v>
      </c>
      <c r="C605" s="33" t="s">
        <v>729</v>
      </c>
      <c r="D605" s="33" t="s">
        <v>734</v>
      </c>
      <c r="E605" s="33" t="s">
        <v>746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733</v>
      </c>
      <c r="C606" s="33" t="s">
        <v>729</v>
      </c>
      <c r="D606" s="33" t="s">
        <v>734</v>
      </c>
      <c r="E606" s="33" t="s">
        <v>130</v>
      </c>
      <c r="F606" s="34" t="s">
        <v>167</v>
      </c>
      <c r="G606" s="40"/>
      <c r="H606" s="40"/>
      <c r="I606" s="35"/>
      <c r="J606" s="27"/>
    </row>
    <row r="607" spans="1:10" ht="24.9" hidden="1" customHeight="1" x14ac:dyDescent="0.3">
      <c r="A607" s="32" t="s">
        <v>718</v>
      </c>
      <c r="B607" s="33" t="s">
        <v>733</v>
      </c>
      <c r="C607" s="33" t="s">
        <v>729</v>
      </c>
      <c r="D607" s="33" t="s">
        <v>734</v>
      </c>
      <c r="E607" s="33" t="s">
        <v>798</v>
      </c>
      <c r="F607" s="34" t="s">
        <v>167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744</v>
      </c>
      <c r="C608" s="33" t="s">
        <v>720</v>
      </c>
      <c r="D608" s="33" t="s">
        <v>745</v>
      </c>
      <c r="E608" s="33" t="s">
        <v>130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744</v>
      </c>
      <c r="C609" s="33" t="s">
        <v>720</v>
      </c>
      <c r="D609" s="33" t="s">
        <v>745</v>
      </c>
      <c r="E609" s="33" t="s">
        <v>711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744</v>
      </c>
      <c r="C610" s="33" t="s">
        <v>720</v>
      </c>
      <c r="D610" s="33" t="s">
        <v>745</v>
      </c>
      <c r="E610" s="33" t="s">
        <v>737</v>
      </c>
      <c r="F610" s="34" t="s">
        <v>167</v>
      </c>
      <c r="G610" s="40"/>
      <c r="H610" s="40" t="s">
        <v>378</v>
      </c>
      <c r="I610" s="35" t="s">
        <v>743</v>
      </c>
      <c r="J610" s="27"/>
    </row>
    <row r="611" spans="1:10" ht="24.9" hidden="1" customHeight="1" x14ac:dyDescent="0.3">
      <c r="A611" s="32" t="s">
        <v>718</v>
      </c>
      <c r="B611" s="33" t="s">
        <v>749</v>
      </c>
      <c r="C611" s="33" t="s">
        <v>720</v>
      </c>
      <c r="D611" s="33" t="s">
        <v>750</v>
      </c>
      <c r="E611" s="33" t="s">
        <v>751</v>
      </c>
      <c r="F611" s="34" t="s">
        <v>127</v>
      </c>
      <c r="G611" s="40"/>
      <c r="H611" s="40"/>
      <c r="I611" s="35"/>
      <c r="J611" s="27"/>
    </row>
    <row r="612" spans="1:10" ht="24.9" hidden="1" customHeight="1" x14ac:dyDescent="0.3">
      <c r="A612" s="32" t="s">
        <v>718</v>
      </c>
      <c r="B612" s="33" t="s">
        <v>749</v>
      </c>
      <c r="C612" s="33" t="s">
        <v>720</v>
      </c>
      <c r="D612" s="33" t="s">
        <v>750</v>
      </c>
      <c r="E612" s="33" t="s">
        <v>752</v>
      </c>
      <c r="F612" s="34" t="s">
        <v>127</v>
      </c>
      <c r="G612" s="40"/>
      <c r="H612" s="40"/>
      <c r="I612" s="35"/>
      <c r="J612" s="27"/>
    </row>
    <row r="613" spans="1:10" ht="24.9" hidden="1" customHeight="1" x14ac:dyDescent="0.3">
      <c r="A613" s="32" t="s">
        <v>718</v>
      </c>
      <c r="B613" s="33" t="s">
        <v>753</v>
      </c>
      <c r="C613" s="33" t="s">
        <v>725</v>
      </c>
      <c r="D613" s="33" t="s">
        <v>754</v>
      </c>
      <c r="E613" s="33" t="s">
        <v>756</v>
      </c>
      <c r="F613" s="34" t="s">
        <v>127</v>
      </c>
      <c r="G613" s="40"/>
      <c r="H613" s="40"/>
      <c r="I613" s="35"/>
      <c r="J613" s="27"/>
    </row>
    <row r="614" spans="1:10" ht="24.9" hidden="1" customHeight="1" x14ac:dyDescent="0.3">
      <c r="A614" s="32" t="s">
        <v>718</v>
      </c>
      <c r="B614" s="33" t="s">
        <v>753</v>
      </c>
      <c r="C614" s="33" t="s">
        <v>725</v>
      </c>
      <c r="D614" s="33" t="s">
        <v>754</v>
      </c>
      <c r="E614" s="33" t="s">
        <v>755</v>
      </c>
      <c r="F614" s="34" t="s">
        <v>167</v>
      </c>
      <c r="G614" s="40"/>
      <c r="H614" s="40"/>
      <c r="I614" s="35"/>
      <c r="J614" s="27"/>
    </row>
    <row r="615" spans="1:10" ht="15.75" hidden="1" customHeight="1" x14ac:dyDescent="0.3">
      <c r="A615" s="32"/>
      <c r="B615" s="33"/>
      <c r="C615" s="33"/>
      <c r="D615" s="33"/>
      <c r="E615" s="33"/>
      <c r="F615" s="34"/>
      <c r="G615" s="40"/>
      <c r="H615" s="40"/>
      <c r="I615" s="35"/>
      <c r="J615" s="27"/>
    </row>
  </sheetData>
  <autoFilter ref="A4:GF615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590">
      <sortCondition ref="F4:F615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21CA-484E-497D-B0CC-C39F12056630}">
  <sheetPr filterMode="1">
    <pageSetUpPr fitToPage="1"/>
  </sheetPr>
  <dimension ref="A1:GF615"/>
  <sheetViews>
    <sheetView showGridLines="0" zoomScale="90" zoomScaleNormal="90" workbookViewId="0">
      <pane xSplit="6" ySplit="4" topLeftCell="I5" activePane="bottomRight" state="frozen"/>
      <selection pane="topRight" activeCell="I1" sqref="I1"/>
      <selection pane="bottomLeft" activeCell="A4" sqref="A4"/>
      <selection pane="bottomRight" activeCell="I6" sqref="I6:I96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3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127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127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222</v>
      </c>
      <c r="F51" s="44" t="s">
        <v>167</v>
      </c>
      <c r="G51" s="40"/>
      <c r="H51" s="45" t="s">
        <v>224</v>
      </c>
      <c r="I51" s="35" t="s">
        <v>223</v>
      </c>
      <c r="J51" s="27"/>
    </row>
    <row r="52" spans="1:10" ht="24.9" hidden="1" customHeight="1" x14ac:dyDescent="0.3">
      <c r="A52" s="32">
        <v>80</v>
      </c>
      <c r="B52" s="33" t="s">
        <v>208</v>
      </c>
      <c r="C52" s="33" t="s">
        <v>193</v>
      </c>
      <c r="D52" s="33" t="s">
        <v>209</v>
      </c>
      <c r="E52" s="33" t="s">
        <v>210</v>
      </c>
      <c r="F52" s="34" t="s">
        <v>127</v>
      </c>
      <c r="G52" s="40"/>
      <c r="H52" s="40"/>
      <c r="I52" s="35" t="s">
        <v>205</v>
      </c>
      <c r="J52" s="27"/>
    </row>
    <row r="53" spans="1:10" ht="24.9" hidden="1" customHeight="1" x14ac:dyDescent="0.3">
      <c r="A53" s="32">
        <v>80</v>
      </c>
      <c r="B53" s="33" t="s">
        <v>215</v>
      </c>
      <c r="C53" s="33" t="s">
        <v>198</v>
      </c>
      <c r="D53" s="33" t="s">
        <v>216</v>
      </c>
      <c r="E53" s="33" t="s">
        <v>217</v>
      </c>
      <c r="F53" s="34"/>
      <c r="G53" s="40"/>
      <c r="H53" s="40"/>
      <c r="I53" s="35"/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213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214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211</v>
      </c>
      <c r="C56" s="33" t="s">
        <v>193</v>
      </c>
      <c r="D56" s="33" t="s">
        <v>212</v>
      </c>
      <c r="E56" s="33" t="s">
        <v>160</v>
      </c>
      <c r="F56" s="34" t="s">
        <v>127</v>
      </c>
      <c r="G56" s="40"/>
      <c r="H56" s="40"/>
      <c r="I56" s="35" t="s">
        <v>205</v>
      </c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764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195</v>
      </c>
      <c r="F58" s="34" t="s">
        <v>167</v>
      </c>
      <c r="G58" s="40"/>
      <c r="H58" s="40"/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765</v>
      </c>
      <c r="F59" s="34" t="s">
        <v>99</v>
      </c>
      <c r="G59" s="40"/>
      <c r="H59" s="40" t="s">
        <v>543</v>
      </c>
      <c r="I59" s="35"/>
      <c r="J59" s="27"/>
    </row>
    <row r="60" spans="1:10" ht="24.9" hidden="1" customHeight="1" x14ac:dyDescent="0.3">
      <c r="A60" s="32">
        <v>80</v>
      </c>
      <c r="B60" s="33" t="s">
        <v>192</v>
      </c>
      <c r="C60" s="33" t="s">
        <v>193</v>
      </c>
      <c r="D60" s="33" t="s">
        <v>194</v>
      </c>
      <c r="E60" s="33" t="s">
        <v>225</v>
      </c>
      <c r="F60" s="34" t="s">
        <v>127</v>
      </c>
      <c r="G60" s="40"/>
      <c r="H60" s="40" t="s">
        <v>227</v>
      </c>
      <c r="I60" s="35" t="s">
        <v>226</v>
      </c>
      <c r="J60" s="27"/>
    </row>
    <row r="61" spans="1:10" ht="24.9" hidden="1" customHeight="1" x14ac:dyDescent="0.3">
      <c r="A61" s="32">
        <v>80</v>
      </c>
      <c r="B61" s="33" t="s">
        <v>206</v>
      </c>
      <c r="C61" s="33" t="s">
        <v>193</v>
      </c>
      <c r="D61" s="33" t="s">
        <v>207</v>
      </c>
      <c r="E61" s="33" t="s">
        <v>768</v>
      </c>
      <c r="F61" s="34" t="s">
        <v>127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767</v>
      </c>
      <c r="F62" s="34" t="s">
        <v>99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173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200</v>
      </c>
      <c r="C64" s="33" t="s">
        <v>193</v>
      </c>
      <c r="D64" s="33" t="s">
        <v>201</v>
      </c>
      <c r="E64" s="33" t="s">
        <v>766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220</v>
      </c>
      <c r="E65" s="33" t="s">
        <v>221</v>
      </c>
      <c r="F65" s="34" t="s">
        <v>127</v>
      </c>
      <c r="G65" s="40"/>
      <c r="H65" s="40"/>
      <c r="I65" s="35"/>
      <c r="J65" s="27"/>
    </row>
    <row r="66" spans="1:10" ht="24.9" hidden="1" customHeight="1" x14ac:dyDescent="0.3">
      <c r="A66" s="32">
        <v>80</v>
      </c>
      <c r="B66" s="33" t="s">
        <v>218</v>
      </c>
      <c r="C66" s="33" t="s">
        <v>219</v>
      </c>
      <c r="D66" s="33" t="s">
        <v>228</v>
      </c>
      <c r="E66" s="33" t="s">
        <v>229</v>
      </c>
      <c r="F66" s="34" t="s">
        <v>167</v>
      </c>
      <c r="G66" s="40"/>
      <c r="H66" s="40" t="s">
        <v>227</v>
      </c>
      <c r="I66" s="35" t="s">
        <v>230</v>
      </c>
      <c r="J66" s="27"/>
    </row>
    <row r="67" spans="1:10" ht="24.9" customHeight="1" x14ac:dyDescent="0.3">
      <c r="A67" s="32">
        <v>92</v>
      </c>
      <c r="B67" s="33" t="s">
        <v>264</v>
      </c>
      <c r="C67" s="33" t="s">
        <v>265</v>
      </c>
      <c r="D67" s="33" t="s">
        <v>758</v>
      </c>
      <c r="E67" s="33" t="s">
        <v>130</v>
      </c>
      <c r="F67" s="34" t="s">
        <v>119</v>
      </c>
      <c r="G67" s="40"/>
      <c r="H67" s="40"/>
      <c r="I67" s="114" t="s">
        <v>266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243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245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769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770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771</v>
      </c>
      <c r="F72" s="34" t="s">
        <v>99</v>
      </c>
      <c r="G72" s="40"/>
      <c r="H72" s="40"/>
      <c r="I72" s="35" t="s">
        <v>248</v>
      </c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772</v>
      </c>
      <c r="F73" s="34" t="s">
        <v>99</v>
      </c>
      <c r="G73" s="40"/>
      <c r="H73" s="40"/>
      <c r="I73" s="35"/>
      <c r="J73" s="27"/>
    </row>
    <row r="74" spans="1:10" ht="24.9" hidden="1" customHeight="1" x14ac:dyDescent="0.3">
      <c r="A74" s="32">
        <v>90</v>
      </c>
      <c r="B74" s="33" t="s">
        <v>246</v>
      </c>
      <c r="C74" s="33" t="s">
        <v>236</v>
      </c>
      <c r="D74" s="33" t="s">
        <v>247</v>
      </c>
      <c r="E74" s="33" t="s">
        <v>773</v>
      </c>
      <c r="F74" s="34" t="s">
        <v>99</v>
      </c>
      <c r="G74" s="40"/>
      <c r="H74" s="40"/>
      <c r="I74" s="35" t="s">
        <v>248</v>
      </c>
      <c r="J74" s="27"/>
    </row>
    <row r="75" spans="1:10" ht="24.9" customHeight="1" x14ac:dyDescent="0.3">
      <c r="A75" s="32">
        <v>92</v>
      </c>
      <c r="B75" s="33" t="s">
        <v>267</v>
      </c>
      <c r="C75" s="33" t="s">
        <v>265</v>
      </c>
      <c r="D75" s="33" t="s">
        <v>268</v>
      </c>
      <c r="E75" s="33" t="s">
        <v>130</v>
      </c>
      <c r="F75" s="34" t="s">
        <v>119</v>
      </c>
      <c r="G75" s="40"/>
      <c r="H75" s="40"/>
      <c r="I75" s="114" t="s">
        <v>266</v>
      </c>
      <c r="J75" s="27"/>
    </row>
    <row r="76" spans="1:10" ht="24.9" customHeight="1" x14ac:dyDescent="0.3">
      <c r="A76" s="32">
        <v>92</v>
      </c>
      <c r="B76" s="33" t="s">
        <v>269</v>
      </c>
      <c r="C76" s="33" t="s">
        <v>265</v>
      </c>
      <c r="D76" s="33" t="s">
        <v>270</v>
      </c>
      <c r="E76" s="33" t="s">
        <v>271</v>
      </c>
      <c r="F76" s="34" t="s">
        <v>119</v>
      </c>
      <c r="G76" s="40"/>
      <c r="H76" s="40"/>
      <c r="I76" s="114"/>
      <c r="J76" s="27"/>
    </row>
    <row r="77" spans="1:10" ht="24.9" customHeight="1" x14ac:dyDescent="0.3">
      <c r="A77" s="32">
        <v>110</v>
      </c>
      <c r="B77" s="33" t="s">
        <v>349</v>
      </c>
      <c r="C77" s="33" t="s">
        <v>317</v>
      </c>
      <c r="D77" s="33" t="s">
        <v>116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110</v>
      </c>
      <c r="B78" s="33" t="s">
        <v>350</v>
      </c>
      <c r="C78" s="33" t="s">
        <v>317</v>
      </c>
      <c r="D78" s="33" t="s">
        <v>351</v>
      </c>
      <c r="E78" s="33" t="s">
        <v>117</v>
      </c>
      <c r="F78" s="34" t="s">
        <v>119</v>
      </c>
      <c r="G78" s="40"/>
      <c r="H78" s="40"/>
      <c r="I78" s="114" t="s">
        <v>120</v>
      </c>
      <c r="J78" s="27"/>
    </row>
    <row r="79" spans="1:10" ht="24.9" customHeight="1" x14ac:dyDescent="0.3">
      <c r="A79" s="32">
        <v>120</v>
      </c>
      <c r="B79" s="33" t="s">
        <v>361</v>
      </c>
      <c r="C79" s="33" t="s">
        <v>362</v>
      </c>
      <c r="D79" s="33" t="s">
        <v>362</v>
      </c>
      <c r="E79" s="33" t="s">
        <v>363</v>
      </c>
      <c r="F79" s="34" t="s">
        <v>119</v>
      </c>
      <c r="G79" s="40"/>
      <c r="H79" s="40"/>
      <c r="I79" s="114" t="s">
        <v>364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774</v>
      </c>
      <c r="F80" s="34" t="s">
        <v>167</v>
      </c>
      <c r="G80" s="40"/>
      <c r="H80" s="40"/>
      <c r="I80" s="35" t="s">
        <v>248</v>
      </c>
      <c r="J80" s="27"/>
    </row>
    <row r="81" spans="1:10" ht="24.9" hidden="1" customHeight="1" x14ac:dyDescent="0.3">
      <c r="A81" s="32">
        <v>90</v>
      </c>
      <c r="B81" s="33" t="s">
        <v>249</v>
      </c>
      <c r="C81" s="33" t="s">
        <v>236</v>
      </c>
      <c r="D81" s="33" t="s">
        <v>250</v>
      </c>
      <c r="E81" s="33" t="s">
        <v>251</v>
      </c>
      <c r="F81" s="34" t="s">
        <v>99</v>
      </c>
      <c r="G81" s="40"/>
      <c r="H81" s="40"/>
      <c r="I81" s="35" t="s">
        <v>248</v>
      </c>
      <c r="J81" s="27"/>
    </row>
    <row r="82" spans="1:10" ht="24.9" customHeight="1" x14ac:dyDescent="0.3">
      <c r="A82" s="32">
        <v>140</v>
      </c>
      <c r="B82" s="33" t="s">
        <v>475</v>
      </c>
      <c r="C82" s="33" t="s">
        <v>473</v>
      </c>
      <c r="D82" s="33" t="s">
        <v>476</v>
      </c>
      <c r="E82" s="33" t="s">
        <v>240</v>
      </c>
      <c r="F82" s="34" t="s">
        <v>119</v>
      </c>
      <c r="G82" s="40"/>
      <c r="H82" s="40"/>
      <c r="I82" s="114"/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243</v>
      </c>
      <c r="F83" s="34" t="s">
        <v>99</v>
      </c>
      <c r="G83" s="40"/>
      <c r="H83" s="40"/>
      <c r="I83" s="35" t="s">
        <v>248</v>
      </c>
      <c r="J83" s="27"/>
    </row>
    <row r="84" spans="1:10" ht="24.9" hidden="1" customHeight="1" x14ac:dyDescent="0.3">
      <c r="A84" s="32">
        <v>90</v>
      </c>
      <c r="B84" s="33" t="s">
        <v>253</v>
      </c>
      <c r="C84" s="33" t="s">
        <v>236</v>
      </c>
      <c r="D84" s="33" t="s">
        <v>254</v>
      </c>
      <c r="E84" s="33" t="s">
        <v>772</v>
      </c>
      <c r="F84" s="34" t="s">
        <v>99</v>
      </c>
      <c r="G84" s="40"/>
      <c r="H84" s="40"/>
      <c r="I84" s="35"/>
      <c r="J84" s="27"/>
    </row>
    <row r="85" spans="1:10" ht="24.9" customHeight="1" x14ac:dyDescent="0.3">
      <c r="A85" s="32">
        <v>140</v>
      </c>
      <c r="B85" s="33" t="s">
        <v>475</v>
      </c>
      <c r="C85" s="33" t="s">
        <v>473</v>
      </c>
      <c r="D85" s="33" t="s">
        <v>476</v>
      </c>
      <c r="E85" s="33" t="s">
        <v>477</v>
      </c>
      <c r="F85" s="34" t="s">
        <v>119</v>
      </c>
      <c r="G85" s="40"/>
      <c r="H85" s="40"/>
      <c r="I85" s="114" t="s">
        <v>120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243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160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241</v>
      </c>
      <c r="C88" s="33" t="s">
        <v>232</v>
      </c>
      <c r="D88" s="33" t="s">
        <v>242</v>
      </c>
      <c r="E88" s="33" t="s">
        <v>245</v>
      </c>
      <c r="F88" s="34" t="s">
        <v>99</v>
      </c>
      <c r="G88" s="40"/>
      <c r="H88" s="40"/>
      <c r="I88" s="35" t="s">
        <v>244</v>
      </c>
      <c r="J88" s="27"/>
    </row>
    <row r="89" spans="1:10" ht="24.9" hidden="1" customHeight="1" x14ac:dyDescent="0.3">
      <c r="A89" s="32">
        <v>90</v>
      </c>
      <c r="B89" s="33" t="s">
        <v>231</v>
      </c>
      <c r="C89" s="33" t="s">
        <v>232</v>
      </c>
      <c r="D89" s="33" t="s">
        <v>233</v>
      </c>
      <c r="E89" s="33" t="s">
        <v>225</v>
      </c>
      <c r="F89" s="34" t="s">
        <v>167</v>
      </c>
      <c r="G89" s="40"/>
      <c r="H89" s="51" t="s">
        <v>850</v>
      </c>
      <c r="I89" s="35" t="s">
        <v>234</v>
      </c>
      <c r="J89" s="27"/>
    </row>
    <row r="90" spans="1:10" ht="24.9" hidden="1" customHeight="1" x14ac:dyDescent="0.3">
      <c r="A90" s="32">
        <v>90</v>
      </c>
      <c r="B90" s="33" t="s">
        <v>231</v>
      </c>
      <c r="C90" s="33" t="s">
        <v>232</v>
      </c>
      <c r="D90" s="33" t="s">
        <v>233</v>
      </c>
      <c r="E90" s="33" t="s">
        <v>262</v>
      </c>
      <c r="F90" s="44" t="s">
        <v>167</v>
      </c>
      <c r="G90" s="40"/>
      <c r="H90" s="45" t="s">
        <v>224</v>
      </c>
      <c r="I90" s="35" t="s">
        <v>263</v>
      </c>
      <c r="J90" s="27"/>
    </row>
    <row r="91" spans="1:10" ht="24.9" customHeight="1" x14ac:dyDescent="0.3">
      <c r="A91" s="32">
        <v>140</v>
      </c>
      <c r="B91" s="33" t="s">
        <v>480</v>
      </c>
      <c r="C91" s="33" t="s">
        <v>473</v>
      </c>
      <c r="D91" s="33" t="s">
        <v>481</v>
      </c>
      <c r="E91" s="33" t="s">
        <v>240</v>
      </c>
      <c r="F91" s="34" t="s">
        <v>119</v>
      </c>
      <c r="G91" s="40"/>
      <c r="H91" s="40"/>
      <c r="I91" s="114"/>
      <c r="J91" s="27"/>
    </row>
    <row r="92" spans="1:10" ht="24.9" customHeight="1" x14ac:dyDescent="0.3">
      <c r="A92" s="32">
        <v>140</v>
      </c>
      <c r="B92" s="33" t="s">
        <v>480</v>
      </c>
      <c r="C92" s="33" t="s">
        <v>473</v>
      </c>
      <c r="D92" s="33" t="s">
        <v>481</v>
      </c>
      <c r="E92" s="33" t="s">
        <v>477</v>
      </c>
      <c r="F92" s="34" t="s">
        <v>119</v>
      </c>
      <c r="G92" s="40"/>
      <c r="H92" s="40"/>
      <c r="I92" s="114" t="s">
        <v>120</v>
      </c>
      <c r="J92" s="27"/>
    </row>
    <row r="93" spans="1:10" ht="24.9" hidden="1" customHeight="1" x14ac:dyDescent="0.3">
      <c r="A93" s="32">
        <v>90</v>
      </c>
      <c r="B93" s="33" t="s">
        <v>252</v>
      </c>
      <c r="C93" s="33" t="s">
        <v>232</v>
      </c>
      <c r="D93" s="33" t="s">
        <v>250</v>
      </c>
      <c r="E93" s="33" t="s">
        <v>251</v>
      </c>
      <c r="F93" s="34" t="s">
        <v>99</v>
      </c>
      <c r="G93" s="40"/>
      <c r="H93" s="51"/>
      <c r="I93" s="35" t="s">
        <v>244</v>
      </c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173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90</v>
      </c>
      <c r="B95" s="33" t="s">
        <v>845</v>
      </c>
      <c r="C95" s="33" t="s">
        <v>232</v>
      </c>
      <c r="D95" s="33" t="s">
        <v>254</v>
      </c>
      <c r="E95" s="33" t="s">
        <v>243</v>
      </c>
      <c r="F95" s="34" t="s">
        <v>99</v>
      </c>
      <c r="G95" s="40"/>
      <c r="H95" s="40"/>
      <c r="I95" s="35"/>
      <c r="J95" s="27"/>
    </row>
    <row r="96" spans="1:10" ht="24.9" customHeight="1" x14ac:dyDescent="0.3">
      <c r="A96" s="32" t="s">
        <v>546</v>
      </c>
      <c r="B96" s="33" t="s">
        <v>561</v>
      </c>
      <c r="C96" s="33" t="s">
        <v>562</v>
      </c>
      <c r="D96" s="33" t="s">
        <v>563</v>
      </c>
      <c r="E96" s="33" t="s">
        <v>580</v>
      </c>
      <c r="F96" s="34" t="s">
        <v>119</v>
      </c>
      <c r="G96" s="40"/>
      <c r="H96" s="53"/>
      <c r="I96" s="114"/>
      <c r="J96" s="27"/>
    </row>
    <row r="97" spans="1:10" ht="24.9" hidden="1" customHeight="1" x14ac:dyDescent="0.3">
      <c r="A97" s="32">
        <v>92</v>
      </c>
      <c r="B97" s="33" t="s">
        <v>264</v>
      </c>
      <c r="C97" s="33" t="s">
        <v>265</v>
      </c>
      <c r="D97" s="33" t="s">
        <v>278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90</v>
      </c>
      <c r="B98" s="33" t="s">
        <v>255</v>
      </c>
      <c r="C98" s="33" t="s">
        <v>232</v>
      </c>
      <c r="D98" s="33" t="s">
        <v>256</v>
      </c>
      <c r="E98" s="33" t="s">
        <v>173</v>
      </c>
      <c r="F98" s="34" t="s">
        <v>95</v>
      </c>
      <c r="G98" s="40"/>
      <c r="H98" s="40"/>
      <c r="I98" s="114"/>
      <c r="J98" s="27"/>
    </row>
    <row r="99" spans="1:10" ht="24.9" hidden="1" customHeight="1" x14ac:dyDescent="0.3">
      <c r="A99" s="32">
        <v>92</v>
      </c>
      <c r="B99" s="33" t="s">
        <v>267</v>
      </c>
      <c r="C99" s="33" t="s">
        <v>265</v>
      </c>
      <c r="D99" s="33" t="s">
        <v>280</v>
      </c>
      <c r="E99" s="33" t="s">
        <v>279</v>
      </c>
      <c r="F99" s="34"/>
      <c r="G99" s="40"/>
      <c r="H99" s="40"/>
      <c r="I99" s="35" t="s">
        <v>244</v>
      </c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160</v>
      </c>
      <c r="F100" s="34" t="s">
        <v>99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130</v>
      </c>
      <c r="F101" s="34" t="s">
        <v>127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272</v>
      </c>
      <c r="C102" s="33" t="s">
        <v>265</v>
      </c>
      <c r="D102" s="33" t="s">
        <v>273</v>
      </c>
      <c r="E102" s="33" t="s">
        <v>772</v>
      </c>
      <c r="F102" s="34" t="s">
        <v>283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272</v>
      </c>
      <c r="C103" s="33" t="s">
        <v>265</v>
      </c>
      <c r="D103" s="33" t="s">
        <v>273</v>
      </c>
      <c r="E103" s="33" t="s">
        <v>771</v>
      </c>
      <c r="F103" s="34" t="s">
        <v>283</v>
      </c>
      <c r="G103" s="40"/>
      <c r="H103" s="40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160</v>
      </c>
      <c r="F104" s="34" t="s">
        <v>99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130</v>
      </c>
      <c r="F105" s="34" t="s">
        <v>127</v>
      </c>
      <c r="G105" s="40"/>
      <c r="H105" s="51"/>
      <c r="I105" s="35"/>
      <c r="J105" s="27"/>
    </row>
    <row r="106" spans="1:10" ht="24.9" hidden="1" customHeight="1" x14ac:dyDescent="0.3">
      <c r="A106" s="32">
        <v>92</v>
      </c>
      <c r="B106" s="33" t="s">
        <v>274</v>
      </c>
      <c r="C106" s="33" t="s">
        <v>265</v>
      </c>
      <c r="D106" s="33" t="s">
        <v>275</v>
      </c>
      <c r="E106" s="33" t="s">
        <v>772</v>
      </c>
      <c r="F106" s="34" t="s">
        <v>283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274</v>
      </c>
      <c r="C107" s="33" t="s">
        <v>265</v>
      </c>
      <c r="D107" s="33" t="s">
        <v>275</v>
      </c>
      <c r="E107" s="33" t="s">
        <v>771</v>
      </c>
      <c r="F107" s="34" t="s">
        <v>283</v>
      </c>
      <c r="G107" s="40"/>
      <c r="H107" s="40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160</v>
      </c>
      <c r="F108" s="34" t="s">
        <v>99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130</v>
      </c>
      <c r="F109" s="34" t="s">
        <v>127</v>
      </c>
      <c r="G109" s="40"/>
      <c r="H109" s="51"/>
      <c r="I109" s="35"/>
      <c r="J109" s="27"/>
    </row>
    <row r="110" spans="1:10" ht="24.9" hidden="1" customHeight="1" x14ac:dyDescent="0.3">
      <c r="A110" s="32">
        <v>92</v>
      </c>
      <c r="B110" s="33" t="s">
        <v>276</v>
      </c>
      <c r="C110" s="33" t="s">
        <v>265</v>
      </c>
      <c r="D110" s="33" t="s">
        <v>277</v>
      </c>
      <c r="E110" s="33" t="s">
        <v>772</v>
      </c>
      <c r="F110" s="34" t="s">
        <v>283</v>
      </c>
      <c r="G110" s="40"/>
      <c r="H110" s="40"/>
      <c r="I110" s="35"/>
      <c r="J110" s="27"/>
    </row>
    <row r="111" spans="1:10" ht="24.9" hidden="1" customHeight="1" x14ac:dyDescent="0.3">
      <c r="A111" s="32">
        <v>92</v>
      </c>
      <c r="B111" s="33" t="s">
        <v>276</v>
      </c>
      <c r="C111" s="33" t="s">
        <v>265</v>
      </c>
      <c r="D111" s="33" t="s">
        <v>277</v>
      </c>
      <c r="E111" s="33" t="s">
        <v>771</v>
      </c>
      <c r="F111" s="34" t="s">
        <v>283</v>
      </c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257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92</v>
      </c>
      <c r="B113" s="33" t="s">
        <v>281</v>
      </c>
      <c r="C113" s="33" t="s">
        <v>265</v>
      </c>
      <c r="D113" s="43" t="s">
        <v>282</v>
      </c>
      <c r="E113" s="33" t="s">
        <v>279</v>
      </c>
      <c r="F113" s="34"/>
      <c r="G113" s="40"/>
      <c r="H113" s="40"/>
      <c r="I113" s="35"/>
      <c r="J113" s="27"/>
    </row>
    <row r="114" spans="1:188" ht="24.9" hidden="1" customHeight="1" x14ac:dyDescent="0.3">
      <c r="A114" s="32">
        <v>90</v>
      </c>
      <c r="B114" s="33" t="s">
        <v>246</v>
      </c>
      <c r="C114" s="33" t="s">
        <v>236</v>
      </c>
      <c r="D114" s="33" t="s">
        <v>247</v>
      </c>
      <c r="E114" s="33" t="s">
        <v>258</v>
      </c>
      <c r="F114" s="34" t="s">
        <v>95</v>
      </c>
      <c r="G114" s="40"/>
      <c r="H114" s="40"/>
      <c r="I114" s="114"/>
      <c r="J114" s="27"/>
    </row>
    <row r="115" spans="1:188" ht="24.9" hidden="1" customHeight="1" x14ac:dyDescent="0.3">
      <c r="A115" s="32">
        <v>90</v>
      </c>
      <c r="B115" s="33" t="s">
        <v>246</v>
      </c>
      <c r="C115" s="33" t="s">
        <v>236</v>
      </c>
      <c r="D115" s="33" t="s">
        <v>247</v>
      </c>
      <c r="E115" s="33" t="s">
        <v>259</v>
      </c>
      <c r="F115" s="34" t="s">
        <v>95</v>
      </c>
      <c r="G115" s="40"/>
      <c r="H115" s="40"/>
      <c r="I115" s="114"/>
      <c r="J115" s="27"/>
    </row>
    <row r="116" spans="1:188" ht="24.9" hidden="1" customHeight="1" x14ac:dyDescent="0.3">
      <c r="A116" s="32">
        <v>100</v>
      </c>
      <c r="B116" s="33" t="s">
        <v>287</v>
      </c>
      <c r="C116" s="33" t="s">
        <v>285</v>
      </c>
      <c r="D116" s="33" t="s">
        <v>288</v>
      </c>
      <c r="E116" s="33" t="s">
        <v>289</v>
      </c>
      <c r="F116" s="91" t="s">
        <v>99</v>
      </c>
      <c r="G116" s="50"/>
      <c r="H116" s="50"/>
      <c r="I116" s="34"/>
      <c r="J116" s="27"/>
    </row>
    <row r="117" spans="1:188" ht="24.9" hidden="1" customHeight="1" x14ac:dyDescent="0.3">
      <c r="A117" s="86">
        <v>100</v>
      </c>
      <c r="B117" s="88" t="s">
        <v>800</v>
      </c>
      <c r="C117" s="88" t="s">
        <v>285</v>
      </c>
      <c r="D117" s="33" t="s">
        <v>801</v>
      </c>
      <c r="E117" s="88" t="s">
        <v>806</v>
      </c>
      <c r="F117" s="91" t="s">
        <v>99</v>
      </c>
      <c r="G117" s="101"/>
      <c r="H117" s="101"/>
      <c r="I117" s="91"/>
      <c r="J117" s="72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6">
        <v>100</v>
      </c>
      <c r="B118" s="88" t="s">
        <v>800</v>
      </c>
      <c r="C118" s="88" t="s">
        <v>285</v>
      </c>
      <c r="D118" s="33" t="s">
        <v>801</v>
      </c>
      <c r="E118" s="88" t="s">
        <v>807</v>
      </c>
      <c r="F118" s="92" t="s">
        <v>99</v>
      </c>
      <c r="G118" s="72"/>
      <c r="H118" s="72"/>
      <c r="I118" s="72"/>
      <c r="J118" s="72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87">
        <v>100</v>
      </c>
      <c r="B119" s="89" t="s">
        <v>802</v>
      </c>
      <c r="C119" s="89" t="s">
        <v>285</v>
      </c>
      <c r="D119" s="33" t="s">
        <v>803</v>
      </c>
      <c r="E119" s="89" t="s">
        <v>806</v>
      </c>
      <c r="F119" s="92" t="s">
        <v>99</v>
      </c>
      <c r="G119" s="99"/>
      <c r="H119" s="99"/>
      <c r="I119" s="99"/>
      <c r="J119" s="9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</row>
    <row r="120" spans="1:188" ht="24.9" hidden="1" customHeight="1" x14ac:dyDescent="0.3">
      <c r="A120" s="87">
        <v>100</v>
      </c>
      <c r="B120" s="89" t="s">
        <v>802</v>
      </c>
      <c r="C120" s="89" t="s">
        <v>285</v>
      </c>
      <c r="D120" s="33" t="s">
        <v>803</v>
      </c>
      <c r="E120" s="89" t="s">
        <v>807</v>
      </c>
      <c r="F120" s="92" t="s">
        <v>99</v>
      </c>
      <c r="G120" s="99"/>
      <c r="H120" s="99"/>
      <c r="I120" s="99"/>
      <c r="J120" s="99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</row>
    <row r="121" spans="1:188" ht="24.9" hidden="1" customHeight="1" x14ac:dyDescent="0.3">
      <c r="A121" s="58">
        <v>100</v>
      </c>
      <c r="B121" s="60" t="s">
        <v>844</v>
      </c>
      <c r="C121" s="60" t="s">
        <v>285</v>
      </c>
      <c r="D121" s="33" t="s">
        <v>843</v>
      </c>
      <c r="E121" s="60" t="s">
        <v>298</v>
      </c>
      <c r="F121" s="62" t="s">
        <v>127</v>
      </c>
      <c r="G121" s="69"/>
      <c r="H121" s="51" t="s">
        <v>300</v>
      </c>
      <c r="I121" s="71" t="s">
        <v>301</v>
      </c>
      <c r="J121" s="68"/>
    </row>
    <row r="122" spans="1:188" ht="24.9" hidden="1" customHeight="1" x14ac:dyDescent="0.3">
      <c r="A122" s="58">
        <v>100</v>
      </c>
      <c r="B122" s="60" t="s">
        <v>284</v>
      </c>
      <c r="C122" s="60" t="s">
        <v>285</v>
      </c>
      <c r="D122" s="33" t="s">
        <v>286</v>
      </c>
      <c r="E122" s="60" t="s">
        <v>775</v>
      </c>
      <c r="F122" s="62" t="s">
        <v>167</v>
      </c>
      <c r="G122" s="69"/>
      <c r="H122" s="69"/>
      <c r="I122" s="71"/>
      <c r="J122" s="68"/>
    </row>
    <row r="123" spans="1:188" ht="24.9" hidden="1" customHeight="1" x14ac:dyDescent="0.3">
      <c r="A123" s="32">
        <v>90</v>
      </c>
      <c r="B123" s="33" t="s">
        <v>235</v>
      </c>
      <c r="C123" s="33" t="s">
        <v>236</v>
      </c>
      <c r="D123" s="33" t="s">
        <v>237</v>
      </c>
      <c r="E123" s="33" t="s">
        <v>130</v>
      </c>
      <c r="F123" s="34" t="s">
        <v>95</v>
      </c>
      <c r="G123" s="40"/>
      <c r="H123" s="40"/>
      <c r="I123" s="114"/>
      <c r="J123" s="27"/>
    </row>
    <row r="124" spans="1:188" ht="24.9" hidden="1" customHeight="1" x14ac:dyDescent="0.3">
      <c r="A124" s="32">
        <v>101</v>
      </c>
      <c r="B124" s="33" t="s">
        <v>294</v>
      </c>
      <c r="C124" s="33" t="s">
        <v>285</v>
      </c>
      <c r="D124" s="33" t="s">
        <v>295</v>
      </c>
      <c r="E124" s="33" t="s">
        <v>296</v>
      </c>
      <c r="F124" s="34" t="s">
        <v>127</v>
      </c>
      <c r="G124" s="40"/>
      <c r="H124" s="40"/>
      <c r="I124" s="35"/>
      <c r="J124" s="27"/>
    </row>
    <row r="125" spans="1:188" ht="24.9" hidden="1" customHeight="1" x14ac:dyDescent="0.3">
      <c r="A125" s="32">
        <v>101</v>
      </c>
      <c r="B125" s="33" t="s">
        <v>297</v>
      </c>
      <c r="C125" s="33" t="s">
        <v>285</v>
      </c>
      <c r="D125" s="33" t="s">
        <v>295</v>
      </c>
      <c r="E125" s="33" t="s">
        <v>298</v>
      </c>
      <c r="F125" s="34" t="s">
        <v>127</v>
      </c>
      <c r="G125" s="40"/>
      <c r="H125" s="51" t="s">
        <v>300</v>
      </c>
      <c r="I125" s="35" t="s">
        <v>301</v>
      </c>
      <c r="J125" s="27"/>
    </row>
    <row r="126" spans="1:188" ht="24.9" hidden="1" customHeight="1" x14ac:dyDescent="0.3">
      <c r="A126" s="32">
        <v>101</v>
      </c>
      <c r="B126" s="33" t="s">
        <v>309</v>
      </c>
      <c r="C126" s="33" t="s">
        <v>285</v>
      </c>
      <c r="D126" s="33" t="s">
        <v>295</v>
      </c>
      <c r="E126" s="33" t="s">
        <v>298</v>
      </c>
      <c r="F126" s="34" t="s">
        <v>127</v>
      </c>
      <c r="G126" s="40"/>
      <c r="H126" s="40" t="s">
        <v>300</v>
      </c>
      <c r="I126" s="35" t="s">
        <v>301</v>
      </c>
      <c r="J126" s="27"/>
    </row>
    <row r="127" spans="1:188" ht="24.9" hidden="1" customHeight="1" x14ac:dyDescent="0.3">
      <c r="A127" s="32">
        <v>101</v>
      </c>
      <c r="B127" s="33" t="s">
        <v>302</v>
      </c>
      <c r="C127" s="33" t="s">
        <v>285</v>
      </c>
      <c r="D127" s="33" t="s">
        <v>295</v>
      </c>
      <c r="E127" s="33" t="s">
        <v>777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90</v>
      </c>
      <c r="B128" s="33" t="s">
        <v>238</v>
      </c>
      <c r="C128" s="33" t="s">
        <v>236</v>
      </c>
      <c r="D128" s="33" t="s">
        <v>239</v>
      </c>
      <c r="E128" s="33" t="s">
        <v>130</v>
      </c>
      <c r="F128" s="34" t="s">
        <v>95</v>
      </c>
      <c r="G128" s="40"/>
      <c r="H128" s="40"/>
      <c r="I128" s="114"/>
      <c r="J128" s="27"/>
    </row>
    <row r="129" spans="1:10" ht="24.9" hidden="1" customHeight="1" x14ac:dyDescent="0.3">
      <c r="A129" s="32">
        <v>101</v>
      </c>
      <c r="B129" s="33" t="s">
        <v>303</v>
      </c>
      <c r="C129" s="33" t="s">
        <v>285</v>
      </c>
      <c r="D129" s="33" t="s">
        <v>304</v>
      </c>
      <c r="E129" s="33" t="s">
        <v>305</v>
      </c>
      <c r="F129" s="34" t="s">
        <v>127</v>
      </c>
      <c r="G129" s="40"/>
      <c r="H129" s="40"/>
      <c r="I129" s="35"/>
      <c r="J129" s="27"/>
    </row>
    <row r="130" spans="1:10" ht="24.9" hidden="1" customHeight="1" x14ac:dyDescent="0.3">
      <c r="A130" s="32">
        <v>102</v>
      </c>
      <c r="B130" s="33" t="s">
        <v>310</v>
      </c>
      <c r="C130" s="33" t="s">
        <v>285</v>
      </c>
      <c r="D130" s="33" t="s">
        <v>311</v>
      </c>
      <c r="E130" s="33" t="s">
        <v>779</v>
      </c>
      <c r="F130" s="34" t="s">
        <v>127</v>
      </c>
      <c r="G130" s="40"/>
      <c r="H130" s="40" t="s">
        <v>300</v>
      </c>
      <c r="I130" s="35" t="s">
        <v>314</v>
      </c>
      <c r="J130" s="27"/>
    </row>
    <row r="131" spans="1:10" ht="24.9" hidden="1" customHeight="1" x14ac:dyDescent="0.3">
      <c r="A131" s="32">
        <v>90</v>
      </c>
      <c r="B131" s="33" t="s">
        <v>249</v>
      </c>
      <c r="C131" s="33" t="s">
        <v>236</v>
      </c>
      <c r="D131" s="33" t="s">
        <v>250</v>
      </c>
      <c r="E131" s="33" t="s">
        <v>130</v>
      </c>
      <c r="F131" s="34" t="s">
        <v>95</v>
      </c>
      <c r="G131" s="40"/>
      <c r="H131" s="40"/>
      <c r="I131" s="114" t="s">
        <v>244</v>
      </c>
      <c r="J131" s="27"/>
    </row>
    <row r="132" spans="1:10" ht="24.9" hidden="1" customHeight="1" x14ac:dyDescent="0.3">
      <c r="A132" s="32">
        <v>110</v>
      </c>
      <c r="B132" s="33" t="s">
        <v>328</v>
      </c>
      <c r="C132" s="33" t="s">
        <v>317</v>
      </c>
      <c r="D132" s="33" t="s">
        <v>329</v>
      </c>
      <c r="E132" s="33" t="s">
        <v>319</v>
      </c>
      <c r="F132" s="34" t="s">
        <v>99</v>
      </c>
      <c r="G132" s="40"/>
      <c r="H132" s="40"/>
      <c r="I132" s="35"/>
      <c r="J132" s="27"/>
    </row>
    <row r="133" spans="1:10" ht="24.9" hidden="1" customHeight="1" x14ac:dyDescent="0.3">
      <c r="A133" s="32">
        <v>110</v>
      </c>
      <c r="B133" s="33" t="s">
        <v>326</v>
      </c>
      <c r="C133" s="33" t="s">
        <v>317</v>
      </c>
      <c r="D133" s="33" t="s">
        <v>327</v>
      </c>
      <c r="E133" s="33" t="s">
        <v>319</v>
      </c>
      <c r="F133" s="34" t="s">
        <v>99</v>
      </c>
      <c r="G133" s="40"/>
      <c r="H133" s="40"/>
      <c r="I133" s="35"/>
      <c r="J133" s="27"/>
    </row>
    <row r="134" spans="1:10" ht="24.9" hidden="1" customHeight="1" x14ac:dyDescent="0.3">
      <c r="A134" s="32">
        <v>90</v>
      </c>
      <c r="B134" s="33" t="s">
        <v>253</v>
      </c>
      <c r="C134" s="33" t="s">
        <v>236</v>
      </c>
      <c r="D134" s="33" t="s">
        <v>254</v>
      </c>
      <c r="E134" s="33" t="s">
        <v>130</v>
      </c>
      <c r="F134" s="34" t="s">
        <v>95</v>
      </c>
      <c r="G134" s="40"/>
      <c r="H134" s="40"/>
      <c r="I134" s="114"/>
      <c r="J134" s="27"/>
    </row>
    <row r="135" spans="1:10" ht="24.9" hidden="1" customHeight="1" x14ac:dyDescent="0.3">
      <c r="A135" s="32">
        <v>90</v>
      </c>
      <c r="B135" s="33" t="s">
        <v>231</v>
      </c>
      <c r="C135" s="33" t="s">
        <v>232</v>
      </c>
      <c r="D135" s="33" t="s">
        <v>233</v>
      </c>
      <c r="E135" s="33" t="s">
        <v>240</v>
      </c>
      <c r="F135" s="34" t="s">
        <v>95</v>
      </c>
      <c r="G135" s="40"/>
      <c r="H135" s="40"/>
      <c r="I135" s="114"/>
      <c r="J135" s="27"/>
    </row>
    <row r="136" spans="1:10" ht="24.9" hidden="1" customHeight="1" x14ac:dyDescent="0.3">
      <c r="A136" s="32">
        <v>110</v>
      </c>
      <c r="B136" s="33" t="s">
        <v>316</v>
      </c>
      <c r="C136" s="33" t="s">
        <v>317</v>
      </c>
      <c r="D136" s="33" t="s">
        <v>318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320</v>
      </c>
      <c r="C137" s="33" t="s">
        <v>317</v>
      </c>
      <c r="D137" s="33" t="s">
        <v>321</v>
      </c>
      <c r="E137" s="33" t="s">
        <v>319</v>
      </c>
      <c r="F137" s="34" t="s">
        <v>99</v>
      </c>
      <c r="G137" s="40"/>
      <c r="H137" s="51"/>
      <c r="I137" s="35"/>
      <c r="J137" s="27"/>
    </row>
    <row r="138" spans="1:10" ht="24.9" hidden="1" customHeight="1" x14ac:dyDescent="0.3">
      <c r="A138" s="32">
        <v>110</v>
      </c>
      <c r="B138" s="33" t="s">
        <v>322</v>
      </c>
      <c r="C138" s="33" t="s">
        <v>317</v>
      </c>
      <c r="D138" s="33" t="s">
        <v>323</v>
      </c>
      <c r="E138" s="33" t="s">
        <v>319</v>
      </c>
      <c r="F138" s="34" t="s">
        <v>99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324</v>
      </c>
      <c r="C139" s="33" t="s">
        <v>317</v>
      </c>
      <c r="D139" s="33" t="s">
        <v>325</v>
      </c>
      <c r="E139" s="33" t="s">
        <v>319</v>
      </c>
      <c r="F139" s="34" t="s">
        <v>99</v>
      </c>
      <c r="G139" s="40"/>
      <c r="H139" s="40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775</v>
      </c>
      <c r="F140" s="34" t="s">
        <v>167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333</v>
      </c>
      <c r="C141" s="33" t="s">
        <v>317</v>
      </c>
      <c r="D141" s="33" t="s">
        <v>334</v>
      </c>
      <c r="E141" s="33" t="s">
        <v>332</v>
      </c>
      <c r="F141" s="34" t="s">
        <v>99</v>
      </c>
      <c r="G141" s="40"/>
      <c r="H141" s="51"/>
      <c r="I141" s="35"/>
      <c r="J141" s="27"/>
    </row>
    <row r="142" spans="1:10" ht="24.9" hidden="1" customHeight="1" x14ac:dyDescent="0.3">
      <c r="A142" s="32">
        <v>110</v>
      </c>
      <c r="B142" s="33" t="s">
        <v>333</v>
      </c>
      <c r="C142" s="33" t="s">
        <v>317</v>
      </c>
      <c r="D142" s="33" t="s">
        <v>334</v>
      </c>
      <c r="E142" s="33" t="s">
        <v>165</v>
      </c>
      <c r="F142" s="34" t="s">
        <v>99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335</v>
      </c>
      <c r="C143" s="33" t="s">
        <v>317</v>
      </c>
      <c r="D143" s="33" t="s">
        <v>336</v>
      </c>
      <c r="E143" s="33" t="s">
        <v>775</v>
      </c>
      <c r="F143" s="34" t="s">
        <v>167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775</v>
      </c>
      <c r="F144" s="34" t="s">
        <v>167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343</v>
      </c>
      <c r="C145" s="33" t="s">
        <v>317</v>
      </c>
      <c r="D145" s="33" t="s">
        <v>344</v>
      </c>
      <c r="E145" s="33" t="s">
        <v>332</v>
      </c>
      <c r="F145" s="34" t="s">
        <v>99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343</v>
      </c>
      <c r="C146" s="33" t="s">
        <v>317</v>
      </c>
      <c r="D146" s="33" t="s">
        <v>344</v>
      </c>
      <c r="E146" s="33" t="s">
        <v>165</v>
      </c>
      <c r="F146" s="34" t="s">
        <v>99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337</v>
      </c>
      <c r="C147" s="33" t="s">
        <v>317</v>
      </c>
      <c r="D147" s="33" t="s">
        <v>338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339</v>
      </c>
      <c r="C148" s="33" t="s">
        <v>317</v>
      </c>
      <c r="D148" s="33" t="s">
        <v>340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341</v>
      </c>
      <c r="C149" s="33" t="s">
        <v>317</v>
      </c>
      <c r="D149" s="33" t="s">
        <v>342</v>
      </c>
      <c r="E149" s="33" t="s">
        <v>775</v>
      </c>
      <c r="F149" s="34" t="s">
        <v>167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775</v>
      </c>
      <c r="F150" s="34" t="s">
        <v>167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345</v>
      </c>
      <c r="C151" s="33" t="s">
        <v>317</v>
      </c>
      <c r="D151" s="33" t="s">
        <v>346</v>
      </c>
      <c r="E151" s="33" t="s">
        <v>332</v>
      </c>
      <c r="F151" s="34" t="s">
        <v>99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345</v>
      </c>
      <c r="C152" s="33" t="s">
        <v>317</v>
      </c>
      <c r="D152" s="33" t="s">
        <v>346</v>
      </c>
      <c r="E152" s="33" t="s">
        <v>165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775</v>
      </c>
      <c r="F153" s="34" t="s">
        <v>167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347</v>
      </c>
      <c r="C154" s="33" t="s">
        <v>317</v>
      </c>
      <c r="D154" s="33" t="s">
        <v>348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347</v>
      </c>
      <c r="C155" s="33" t="s">
        <v>317</v>
      </c>
      <c r="D155" s="33" t="s">
        <v>348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330</v>
      </c>
      <c r="C156" s="33" t="s">
        <v>317</v>
      </c>
      <c r="D156" s="33" t="s">
        <v>331</v>
      </c>
      <c r="E156" s="33" t="s">
        <v>332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110</v>
      </c>
      <c r="B157" s="33" t="s">
        <v>330</v>
      </c>
      <c r="C157" s="33" t="s">
        <v>317</v>
      </c>
      <c r="D157" s="33" t="s">
        <v>331</v>
      </c>
      <c r="E157" s="33" t="s">
        <v>165</v>
      </c>
      <c r="F157" s="34" t="s">
        <v>99</v>
      </c>
      <c r="G157" s="40"/>
      <c r="H157" s="40"/>
      <c r="I157" s="35"/>
      <c r="J157" s="27"/>
    </row>
    <row r="158" spans="1:10" ht="24.9" hidden="1" customHeight="1" x14ac:dyDescent="0.3">
      <c r="A158" s="32">
        <v>110</v>
      </c>
      <c r="B158" s="33" t="s">
        <v>315</v>
      </c>
      <c r="C158" s="33" t="s">
        <v>107</v>
      </c>
      <c r="D158" s="33" t="s">
        <v>108</v>
      </c>
      <c r="E158" s="33" t="s">
        <v>130</v>
      </c>
      <c r="F158" s="34" t="s">
        <v>99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359</v>
      </c>
      <c r="C159" s="33" t="s">
        <v>353</v>
      </c>
      <c r="D159" s="33" t="s">
        <v>256</v>
      </c>
      <c r="E159" s="33" t="s">
        <v>160</v>
      </c>
      <c r="F159" s="34" t="s">
        <v>127</v>
      </c>
      <c r="G159" s="40"/>
      <c r="H159" s="40"/>
      <c r="I159" s="35" t="s">
        <v>205</v>
      </c>
      <c r="J159" s="27"/>
    </row>
    <row r="160" spans="1:10" ht="24.9" hidden="1" customHeight="1" x14ac:dyDescent="0.3">
      <c r="A160" s="32">
        <v>120</v>
      </c>
      <c r="B160" s="33" t="s">
        <v>360</v>
      </c>
      <c r="C160" s="33" t="s">
        <v>353</v>
      </c>
      <c r="D160" s="33" t="s">
        <v>180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352</v>
      </c>
      <c r="C161" s="33" t="s">
        <v>353</v>
      </c>
      <c r="D161" s="33" t="s">
        <v>354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120</v>
      </c>
      <c r="B162" s="33" t="s">
        <v>355</v>
      </c>
      <c r="C162" s="33" t="s">
        <v>353</v>
      </c>
      <c r="D162" s="33" t="s">
        <v>356</v>
      </c>
      <c r="E162" s="33" t="s">
        <v>160</v>
      </c>
      <c r="F162" s="34" t="s">
        <v>127</v>
      </c>
      <c r="G162" s="40"/>
      <c r="H162" s="40"/>
      <c r="I162" s="35"/>
      <c r="J162" s="27"/>
    </row>
    <row r="163" spans="1:10" ht="24.9" hidden="1" customHeight="1" x14ac:dyDescent="0.3">
      <c r="A163" s="32">
        <v>120</v>
      </c>
      <c r="B163" s="33" t="s">
        <v>357</v>
      </c>
      <c r="C163" s="33" t="s">
        <v>353</v>
      </c>
      <c r="D163" s="33" t="s">
        <v>358</v>
      </c>
      <c r="E163" s="33" t="s">
        <v>160</v>
      </c>
      <c r="F163" s="34" t="s">
        <v>127</v>
      </c>
      <c r="G163" s="40"/>
      <c r="H163" s="40"/>
      <c r="I163" s="35"/>
      <c r="J163" s="27"/>
    </row>
    <row r="164" spans="1:10" ht="24.9" hidden="1" customHeight="1" x14ac:dyDescent="0.3">
      <c r="A164" s="32">
        <v>90</v>
      </c>
      <c r="B164" s="33" t="s">
        <v>260</v>
      </c>
      <c r="C164" s="33" t="s">
        <v>232</v>
      </c>
      <c r="D164" s="33" t="s">
        <v>261</v>
      </c>
      <c r="E164" s="33" t="s">
        <v>130</v>
      </c>
      <c r="F164" s="34" t="s">
        <v>95</v>
      </c>
      <c r="G164" s="40"/>
      <c r="H164" s="40"/>
      <c r="I164" s="115"/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373</v>
      </c>
      <c r="F165" s="34" t="s">
        <v>167</v>
      </c>
      <c r="G165" s="40"/>
      <c r="H165" s="40" t="s">
        <v>300</v>
      </c>
      <c r="I165" s="35" t="s">
        <v>374</v>
      </c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782</v>
      </c>
      <c r="F166" s="34" t="s">
        <v>167</v>
      </c>
      <c r="G166" s="40"/>
      <c r="H166" s="40" t="s">
        <v>300</v>
      </c>
      <c r="I166" s="35" t="s">
        <v>377</v>
      </c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130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780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369</v>
      </c>
      <c r="C169" s="33" t="s">
        <v>370</v>
      </c>
      <c r="D169" s="33" t="s">
        <v>371</v>
      </c>
      <c r="E169" s="33" t="s">
        <v>781</v>
      </c>
      <c r="F169" s="34" t="s">
        <v>127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369</v>
      </c>
      <c r="C170" s="33" t="s">
        <v>370</v>
      </c>
      <c r="D170" s="33" t="s">
        <v>371</v>
      </c>
      <c r="E170" s="33" t="s">
        <v>372</v>
      </c>
      <c r="F170" s="34" t="s">
        <v>127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375</v>
      </c>
      <c r="C171" s="33"/>
      <c r="D171" s="33" t="s">
        <v>376</v>
      </c>
      <c r="E171" s="33" t="s">
        <v>775</v>
      </c>
      <c r="F171" s="34" t="s">
        <v>167</v>
      </c>
      <c r="G171" s="40"/>
      <c r="H171" s="40"/>
      <c r="I171" s="35"/>
      <c r="J171" s="27"/>
    </row>
    <row r="172" spans="1:10" ht="24.9" hidden="1" customHeight="1" x14ac:dyDescent="0.3">
      <c r="A172" s="32">
        <v>130</v>
      </c>
      <c r="B172" s="33" t="s">
        <v>365</v>
      </c>
      <c r="C172" s="33" t="s">
        <v>155</v>
      </c>
      <c r="D172" s="33" t="s">
        <v>366</v>
      </c>
      <c r="E172" s="33" t="s">
        <v>763</v>
      </c>
      <c r="F172" s="34" t="s">
        <v>99</v>
      </c>
      <c r="G172" s="40"/>
      <c r="H172" s="40"/>
      <c r="I172" s="35"/>
      <c r="J172" s="27"/>
    </row>
    <row r="173" spans="1:10" ht="24.9" hidden="1" customHeight="1" x14ac:dyDescent="0.3">
      <c r="A173" s="32">
        <v>130</v>
      </c>
      <c r="B173" s="33" t="s">
        <v>367</v>
      </c>
      <c r="C173" s="33" t="s">
        <v>155</v>
      </c>
      <c r="D173" s="33" t="s">
        <v>368</v>
      </c>
      <c r="E173" s="33" t="s">
        <v>763</v>
      </c>
      <c r="F173" s="34" t="s">
        <v>99</v>
      </c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382</v>
      </c>
      <c r="C174" s="33" t="s">
        <v>380</v>
      </c>
      <c r="D174" s="33" t="s">
        <v>380</v>
      </c>
      <c r="E174" s="33" t="s">
        <v>383</v>
      </c>
      <c r="F174" s="34" t="s">
        <v>127</v>
      </c>
      <c r="G174" s="40"/>
      <c r="H174" s="40"/>
      <c r="I174" s="35" t="s">
        <v>205</v>
      </c>
      <c r="J174" s="27"/>
    </row>
    <row r="175" spans="1:10" ht="24.9" hidden="1" customHeight="1" x14ac:dyDescent="0.3">
      <c r="A175" s="32">
        <v>136</v>
      </c>
      <c r="B175" s="33" t="s">
        <v>382</v>
      </c>
      <c r="C175" s="33" t="s">
        <v>380</v>
      </c>
      <c r="D175" s="33" t="s">
        <v>380</v>
      </c>
      <c r="E175" s="57" t="s">
        <v>217</v>
      </c>
      <c r="F175" s="34"/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379</v>
      </c>
      <c r="C176" s="33" t="s">
        <v>380</v>
      </c>
      <c r="D176" s="33" t="s">
        <v>381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384</v>
      </c>
      <c r="C177" s="33" t="s">
        <v>380</v>
      </c>
      <c r="D177" s="33" t="s">
        <v>385</v>
      </c>
      <c r="E177" s="33" t="s">
        <v>130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136</v>
      </c>
      <c r="B178" s="33" t="s">
        <v>386</v>
      </c>
      <c r="C178" s="33" t="s">
        <v>380</v>
      </c>
      <c r="D178" s="33" t="s">
        <v>387</v>
      </c>
      <c r="E178" s="33" t="s">
        <v>130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136</v>
      </c>
      <c r="B179" s="33" t="s">
        <v>388</v>
      </c>
      <c r="C179" s="33" t="s">
        <v>380</v>
      </c>
      <c r="D179" s="33" t="s">
        <v>389</v>
      </c>
      <c r="E179" s="33" t="s">
        <v>390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404</v>
      </c>
      <c r="C180" s="33" t="s">
        <v>398</v>
      </c>
      <c r="D180" s="33" t="s">
        <v>405</v>
      </c>
      <c r="E180" s="33" t="s">
        <v>173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416</v>
      </c>
      <c r="C181" s="33" t="s">
        <v>392</v>
      </c>
      <c r="D181" s="33" t="s">
        <v>417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422</v>
      </c>
      <c r="C182" s="33" t="s">
        <v>392</v>
      </c>
      <c r="D182" s="33" t="s">
        <v>423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458</v>
      </c>
      <c r="C183" s="33" t="s">
        <v>448</v>
      </c>
      <c r="D183" s="33" t="s">
        <v>459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140</v>
      </c>
      <c r="B184" s="33" t="s">
        <v>499</v>
      </c>
      <c r="C184" s="33" t="s">
        <v>495</v>
      </c>
      <c r="D184" s="33" t="s">
        <v>500</v>
      </c>
      <c r="E184" s="33" t="s">
        <v>783</v>
      </c>
      <c r="F184" s="34" t="s">
        <v>127</v>
      </c>
      <c r="G184" s="40"/>
      <c r="H184" s="40"/>
      <c r="I184" s="35"/>
      <c r="J184" s="27"/>
    </row>
    <row r="185" spans="1:10" ht="24.9" hidden="1" customHeight="1" x14ac:dyDescent="0.3">
      <c r="A185" s="32">
        <v>140</v>
      </c>
      <c r="B185" s="33" t="s">
        <v>441</v>
      </c>
      <c r="C185" s="52" t="s">
        <v>437</v>
      </c>
      <c r="D185" s="33" t="s">
        <v>442</v>
      </c>
      <c r="E185" s="33" t="s">
        <v>783</v>
      </c>
      <c r="F185" s="34" t="s">
        <v>127</v>
      </c>
      <c r="G185" s="40"/>
      <c r="H185" s="40"/>
      <c r="I185" s="35"/>
      <c r="J185" s="27"/>
    </row>
    <row r="186" spans="1:10" ht="24.9" hidden="1" customHeight="1" x14ac:dyDescent="0.3">
      <c r="A186" s="32">
        <v>90</v>
      </c>
      <c r="B186" s="33" t="s">
        <v>252</v>
      </c>
      <c r="C186" s="33" t="s">
        <v>232</v>
      </c>
      <c r="D186" s="33" t="s">
        <v>250</v>
      </c>
      <c r="E186" s="33" t="s">
        <v>130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100</v>
      </c>
      <c r="B187" s="33" t="s">
        <v>290</v>
      </c>
      <c r="C187" s="33" t="s">
        <v>285</v>
      </c>
      <c r="D187" s="33" t="s">
        <v>291</v>
      </c>
      <c r="E187" s="33" t="s">
        <v>292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100</v>
      </c>
      <c r="B188" s="33" t="s">
        <v>293</v>
      </c>
      <c r="C188" s="33" t="s">
        <v>285</v>
      </c>
      <c r="D188" s="33" t="s">
        <v>288</v>
      </c>
      <c r="E188" s="33" t="s">
        <v>776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101</v>
      </c>
      <c r="B189" s="33" t="s">
        <v>306</v>
      </c>
      <c r="C189" s="33" t="s">
        <v>285</v>
      </c>
      <c r="D189" s="33" t="s">
        <v>295</v>
      </c>
      <c r="E189" s="33" t="s">
        <v>307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101</v>
      </c>
      <c r="B190" s="33" t="s">
        <v>308</v>
      </c>
      <c r="C190" s="33" t="s">
        <v>285</v>
      </c>
      <c r="D190" s="33" t="s">
        <v>304</v>
      </c>
      <c r="E190" s="33" t="s">
        <v>778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102</v>
      </c>
      <c r="B191" s="33" t="s">
        <v>310</v>
      </c>
      <c r="C191" s="33" t="s">
        <v>285</v>
      </c>
      <c r="D191" s="33" t="s">
        <v>311</v>
      </c>
      <c r="E191" s="33" t="s">
        <v>312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406</v>
      </c>
      <c r="C192" s="33" t="s">
        <v>398</v>
      </c>
      <c r="D192" s="33" t="s">
        <v>407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492</v>
      </c>
      <c r="C193" s="33" t="s">
        <v>473</v>
      </c>
      <c r="D193" s="33" t="s">
        <v>493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460</v>
      </c>
      <c r="C194" s="33" t="s">
        <v>448</v>
      </c>
      <c r="D194" s="33" t="s">
        <v>461</v>
      </c>
      <c r="E194" s="33" t="s">
        <v>240</v>
      </c>
      <c r="F194" s="34" t="s">
        <v>95</v>
      </c>
      <c r="G194" s="40"/>
      <c r="H194" s="40"/>
      <c r="I194" s="114"/>
      <c r="J194" s="27"/>
    </row>
    <row r="195" spans="1:10" ht="24.9" hidden="1" customHeight="1" x14ac:dyDescent="0.3">
      <c r="A195" s="32">
        <v>140</v>
      </c>
      <c r="B195" s="33" t="s">
        <v>501</v>
      </c>
      <c r="C195" s="33" t="s">
        <v>495</v>
      </c>
      <c r="D195" s="33" t="s">
        <v>502</v>
      </c>
      <c r="E195" s="33" t="s">
        <v>240</v>
      </c>
      <c r="F195" s="34" t="s">
        <v>95</v>
      </c>
      <c r="G195" s="40"/>
      <c r="H195" s="40"/>
      <c r="I195" s="114"/>
      <c r="J195" s="27"/>
    </row>
    <row r="196" spans="1:10" ht="24.9" hidden="1" customHeight="1" x14ac:dyDescent="0.3">
      <c r="A196" s="32">
        <v>140</v>
      </c>
      <c r="B196" s="33" t="s">
        <v>462</v>
      </c>
      <c r="C196" s="33" t="s">
        <v>448</v>
      </c>
      <c r="D196" s="33" t="s">
        <v>463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503</v>
      </c>
      <c r="C197" s="33" t="s">
        <v>495</v>
      </c>
      <c r="D197" s="33" t="s">
        <v>504</v>
      </c>
      <c r="E197" s="33" t="s">
        <v>240</v>
      </c>
      <c r="F197" s="34" t="s">
        <v>95</v>
      </c>
      <c r="G197" s="40"/>
      <c r="H197" s="51"/>
      <c r="I197" s="114"/>
      <c r="J197" s="27"/>
    </row>
    <row r="198" spans="1:10" ht="24.9" hidden="1" customHeight="1" x14ac:dyDescent="0.3">
      <c r="A198" s="32">
        <v>140</v>
      </c>
      <c r="B198" s="33" t="s">
        <v>464</v>
      </c>
      <c r="C198" s="33" t="s">
        <v>448</v>
      </c>
      <c r="D198" s="33" t="s">
        <v>465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482</v>
      </c>
      <c r="C199" s="33" t="s">
        <v>473</v>
      </c>
      <c r="D199" s="33" t="s">
        <v>483</v>
      </c>
      <c r="E199" s="33" t="s">
        <v>240</v>
      </c>
      <c r="F199" s="34" t="s">
        <v>95</v>
      </c>
      <c r="G199" s="40"/>
      <c r="H199" s="40"/>
      <c r="I199" s="114"/>
      <c r="J199" s="27"/>
    </row>
    <row r="200" spans="1:10" ht="24.9" hidden="1" customHeight="1" x14ac:dyDescent="0.3">
      <c r="A200" s="32">
        <v>140</v>
      </c>
      <c r="B200" s="33" t="s">
        <v>484</v>
      </c>
      <c r="C200" s="33" t="s">
        <v>473</v>
      </c>
      <c r="D200" s="33" t="s">
        <v>485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486</v>
      </c>
      <c r="C201" s="33" t="s">
        <v>473</v>
      </c>
      <c r="D201" s="33" t="s">
        <v>487</v>
      </c>
      <c r="E201" s="33" t="s">
        <v>240</v>
      </c>
      <c r="F201" s="34" t="s">
        <v>95</v>
      </c>
      <c r="G201" s="40"/>
      <c r="H201" s="51"/>
      <c r="I201" s="114"/>
      <c r="J201" s="27"/>
    </row>
    <row r="202" spans="1:10" ht="24.9" hidden="1" customHeight="1" x14ac:dyDescent="0.3">
      <c r="A202" s="32">
        <v>140</v>
      </c>
      <c r="B202" s="33" t="s">
        <v>466</v>
      </c>
      <c r="C202" s="33" t="s">
        <v>448</v>
      </c>
      <c r="D202" s="33" t="s">
        <v>467</v>
      </c>
      <c r="E202" s="33" t="s">
        <v>240</v>
      </c>
      <c r="F202" s="34" t="s">
        <v>95</v>
      </c>
      <c r="G202" s="40"/>
      <c r="H202" s="51"/>
      <c r="I202" s="114"/>
      <c r="J202" s="27"/>
    </row>
    <row r="203" spans="1:10" ht="24.9" hidden="1" customHeight="1" x14ac:dyDescent="0.3">
      <c r="A203" s="32">
        <v>140</v>
      </c>
      <c r="B203" s="33" t="s">
        <v>505</v>
      </c>
      <c r="C203" s="33" t="s">
        <v>495</v>
      </c>
      <c r="D203" s="33" t="s">
        <v>506</v>
      </c>
      <c r="E203" s="33" t="s">
        <v>240</v>
      </c>
      <c r="F203" s="34" t="s">
        <v>95</v>
      </c>
      <c r="G203" s="40"/>
      <c r="H203" s="40"/>
      <c r="I203" s="114"/>
      <c r="J203" s="27"/>
    </row>
    <row r="204" spans="1:10" ht="24.9" hidden="1" customHeight="1" x14ac:dyDescent="0.3">
      <c r="A204" s="32">
        <v>140</v>
      </c>
      <c r="B204" s="33" t="s">
        <v>475</v>
      </c>
      <c r="C204" s="33" t="s">
        <v>473</v>
      </c>
      <c r="D204" s="33" t="s">
        <v>853</v>
      </c>
      <c r="E204" s="33" t="s">
        <v>478</v>
      </c>
      <c r="F204" s="33"/>
      <c r="G204" s="40"/>
      <c r="H204" s="51"/>
      <c r="I204" s="35"/>
      <c r="J204" s="27"/>
    </row>
    <row r="205" spans="1:10" ht="24.9" hidden="1" customHeight="1" x14ac:dyDescent="0.3">
      <c r="A205" s="32">
        <v>140</v>
      </c>
      <c r="B205" s="33" t="s">
        <v>445</v>
      </c>
      <c r="C205" s="52" t="s">
        <v>437</v>
      </c>
      <c r="D205" s="33" t="s">
        <v>446</v>
      </c>
      <c r="E205" s="33" t="s">
        <v>240</v>
      </c>
      <c r="F205" s="34" t="s">
        <v>95</v>
      </c>
      <c r="G205" s="40"/>
      <c r="H205" s="51"/>
      <c r="I205" s="114"/>
      <c r="J205" s="27"/>
    </row>
    <row r="206" spans="1:10" ht="24.9" hidden="1" customHeight="1" x14ac:dyDescent="0.3">
      <c r="A206" s="32">
        <v>140</v>
      </c>
      <c r="B206" s="33" t="s">
        <v>488</v>
      </c>
      <c r="C206" s="33" t="s">
        <v>473</v>
      </c>
      <c r="D206" s="33" t="s">
        <v>489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480</v>
      </c>
      <c r="C207" s="33" t="s">
        <v>473</v>
      </c>
      <c r="D207" s="33" t="s">
        <v>854</v>
      </c>
      <c r="E207" s="33" t="s">
        <v>478</v>
      </c>
      <c r="F207" s="33"/>
      <c r="G207" s="40"/>
      <c r="H207" s="40"/>
      <c r="I207" s="35"/>
      <c r="J207" s="27"/>
    </row>
    <row r="208" spans="1:10" ht="24.9" hidden="1" customHeight="1" x14ac:dyDescent="0.3">
      <c r="A208" s="32">
        <v>140</v>
      </c>
      <c r="B208" s="33" t="s">
        <v>490</v>
      </c>
      <c r="C208" s="33" t="s">
        <v>473</v>
      </c>
      <c r="D208" s="33" t="s">
        <v>491</v>
      </c>
      <c r="E208" s="33" t="s">
        <v>240</v>
      </c>
      <c r="F208" s="34" t="s">
        <v>95</v>
      </c>
      <c r="G208" s="40"/>
      <c r="H208" s="51"/>
      <c r="I208" s="114"/>
      <c r="J208" s="27"/>
    </row>
    <row r="209" spans="1:10" ht="24.9" hidden="1" customHeight="1" x14ac:dyDescent="0.3">
      <c r="A209" s="32">
        <v>140</v>
      </c>
      <c r="B209" s="33" t="s">
        <v>430</v>
      </c>
      <c r="C209" s="33" t="s">
        <v>425</v>
      </c>
      <c r="D209" s="33" t="s">
        <v>431</v>
      </c>
      <c r="E209" s="33" t="s">
        <v>240</v>
      </c>
      <c r="F209" s="34" t="s">
        <v>95</v>
      </c>
      <c r="G209" s="40"/>
      <c r="H209" s="51"/>
      <c r="I209" s="114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767</v>
      </c>
      <c r="F210" s="34" t="s">
        <v>99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515</v>
      </c>
      <c r="C211" s="33" t="s">
        <v>516</v>
      </c>
      <c r="D211" s="33" t="s">
        <v>518</v>
      </c>
      <c r="E211" s="33" t="s">
        <v>173</v>
      </c>
      <c r="F211" s="34" t="s">
        <v>127</v>
      </c>
      <c r="G211" s="40"/>
      <c r="H211" s="40"/>
      <c r="I211" s="35"/>
      <c r="J211" s="27"/>
    </row>
    <row r="212" spans="1:10" ht="24.9" hidden="1" customHeight="1" x14ac:dyDescent="0.3">
      <c r="A212" s="32">
        <v>140</v>
      </c>
      <c r="B212" s="33" t="s">
        <v>515</v>
      </c>
      <c r="C212" s="33" t="s">
        <v>516</v>
      </c>
      <c r="D212" s="33" t="s">
        <v>518</v>
      </c>
      <c r="E212" s="33" t="s">
        <v>766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427</v>
      </c>
      <c r="C213" s="33" t="s">
        <v>425</v>
      </c>
      <c r="D213" s="33" t="s">
        <v>428</v>
      </c>
      <c r="E213" s="33" t="s">
        <v>240</v>
      </c>
      <c r="F213" s="34" t="s">
        <v>95</v>
      </c>
      <c r="G213" s="40"/>
      <c r="H213" s="51"/>
      <c r="I213" s="114"/>
      <c r="J213" s="27"/>
    </row>
    <row r="214" spans="1:10" ht="24.9" hidden="1" customHeight="1" x14ac:dyDescent="0.3">
      <c r="A214" s="32">
        <v>140</v>
      </c>
      <c r="B214" s="33" t="s">
        <v>452</v>
      </c>
      <c r="C214" s="33" t="s">
        <v>448</v>
      </c>
      <c r="D214" s="33" t="s">
        <v>453</v>
      </c>
      <c r="E214" s="33" t="s">
        <v>783</v>
      </c>
      <c r="F214" s="34" t="s">
        <v>127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775</v>
      </c>
      <c r="F215" s="34" t="s">
        <v>167</v>
      </c>
      <c r="G215" s="40"/>
      <c r="H215" s="40"/>
      <c r="I215" s="35"/>
      <c r="J215" s="27"/>
    </row>
    <row r="216" spans="1:10" ht="24.9" hidden="1" customHeight="1" x14ac:dyDescent="0.3">
      <c r="A216" s="32">
        <v>140</v>
      </c>
      <c r="B216" s="33" t="s">
        <v>394</v>
      </c>
      <c r="C216" s="33" t="s">
        <v>395</v>
      </c>
      <c r="D216" s="33" t="s">
        <v>396</v>
      </c>
      <c r="E216" s="33" t="s">
        <v>332</v>
      </c>
      <c r="F216" s="34" t="s">
        <v>99</v>
      </c>
      <c r="G216" s="40"/>
      <c r="H216" s="51"/>
      <c r="I216" s="35"/>
      <c r="J216" s="27"/>
    </row>
    <row r="217" spans="1:10" ht="24.9" hidden="1" customHeight="1" x14ac:dyDescent="0.3">
      <c r="A217" s="32">
        <v>140</v>
      </c>
      <c r="B217" s="33" t="s">
        <v>394</v>
      </c>
      <c r="C217" s="33" t="s">
        <v>395</v>
      </c>
      <c r="D217" s="33" t="s">
        <v>396</v>
      </c>
      <c r="E217" s="33" t="s">
        <v>165</v>
      </c>
      <c r="F217" s="34" t="s">
        <v>99</v>
      </c>
      <c r="G217" s="40"/>
      <c r="H217" s="51"/>
      <c r="I217" s="35"/>
      <c r="J217" s="27"/>
    </row>
    <row r="218" spans="1:10" ht="24.9" hidden="1" customHeight="1" x14ac:dyDescent="0.3">
      <c r="A218" s="32">
        <v>140</v>
      </c>
      <c r="B218" s="33" t="s">
        <v>427</v>
      </c>
      <c r="C218" s="33" t="s">
        <v>425</v>
      </c>
      <c r="D218" s="33" t="s">
        <v>429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515</v>
      </c>
      <c r="C219" s="33" t="s">
        <v>516</v>
      </c>
      <c r="D219" s="33" t="s">
        <v>517</v>
      </c>
      <c r="E219" s="33" t="s">
        <v>240</v>
      </c>
      <c r="F219" s="34" t="s">
        <v>95</v>
      </c>
      <c r="G219" s="40"/>
      <c r="H219" s="40"/>
      <c r="I219" s="114"/>
      <c r="J219" s="27"/>
    </row>
    <row r="220" spans="1:10" ht="24.9" hidden="1" customHeight="1" x14ac:dyDescent="0.3">
      <c r="A220" s="32">
        <v>140</v>
      </c>
      <c r="B220" s="33" t="s">
        <v>424</v>
      </c>
      <c r="C220" s="33" t="s">
        <v>425</v>
      </c>
      <c r="D220" s="33" t="s">
        <v>426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410</v>
      </c>
      <c r="C221" s="33" t="s">
        <v>392</v>
      </c>
      <c r="D221" s="33" t="s">
        <v>411</v>
      </c>
      <c r="E221" s="33" t="s">
        <v>240</v>
      </c>
      <c r="F221" s="34" t="s">
        <v>95</v>
      </c>
      <c r="G221" s="40"/>
      <c r="H221" s="51"/>
      <c r="I221" s="114"/>
      <c r="J221" s="27"/>
    </row>
    <row r="222" spans="1:10" ht="24.9" hidden="1" customHeight="1" x14ac:dyDescent="0.3">
      <c r="A222" s="32">
        <v>140</v>
      </c>
      <c r="B222" s="33" t="s">
        <v>412</v>
      </c>
      <c r="C222" s="33" t="s">
        <v>392</v>
      </c>
      <c r="D222" s="33" t="s">
        <v>413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391</v>
      </c>
      <c r="C223" s="33" t="s">
        <v>392</v>
      </c>
      <c r="D223" s="33" t="s">
        <v>393</v>
      </c>
      <c r="E223" s="33" t="s">
        <v>240</v>
      </c>
      <c r="F223" s="34" t="s">
        <v>95</v>
      </c>
      <c r="G223" s="50"/>
      <c r="H223" s="50"/>
      <c r="I223" s="116"/>
      <c r="J223" s="27"/>
    </row>
    <row r="224" spans="1:10" ht="24.9" hidden="1" customHeight="1" x14ac:dyDescent="0.3">
      <c r="A224" s="32">
        <v>140</v>
      </c>
      <c r="B224" s="33" t="s">
        <v>418</v>
      </c>
      <c r="C224" s="33" t="s">
        <v>392</v>
      </c>
      <c r="D224" s="33" t="s">
        <v>419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450</v>
      </c>
      <c r="C225" s="33" t="s">
        <v>448</v>
      </c>
      <c r="D225" s="33" t="s">
        <v>451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470</v>
      </c>
      <c r="C226" s="33" t="s">
        <v>448</v>
      </c>
      <c r="D226" s="33" t="s">
        <v>471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454</v>
      </c>
      <c r="C227" s="33" t="s">
        <v>448</v>
      </c>
      <c r="D227" s="33" t="s">
        <v>455</v>
      </c>
      <c r="E227" s="33" t="s">
        <v>240</v>
      </c>
      <c r="F227" s="34" t="s">
        <v>95</v>
      </c>
      <c r="G227" s="40"/>
      <c r="H227" s="51"/>
      <c r="I227" s="114"/>
      <c r="J227" s="27"/>
    </row>
    <row r="228" spans="1:10" ht="24.9" hidden="1" customHeight="1" x14ac:dyDescent="0.3">
      <c r="A228" s="32">
        <v>140</v>
      </c>
      <c r="B228" s="33" t="s">
        <v>494</v>
      </c>
      <c r="C228" s="33" t="s">
        <v>495</v>
      </c>
      <c r="D228" s="33" t="s">
        <v>496</v>
      </c>
      <c r="E228" s="33" t="s">
        <v>240</v>
      </c>
      <c r="F228" s="34" t="s">
        <v>95</v>
      </c>
      <c r="G228" s="40"/>
      <c r="H228" s="51"/>
      <c r="I228" s="114"/>
      <c r="J228" s="27"/>
    </row>
    <row r="229" spans="1:10" ht="24.9" hidden="1" customHeight="1" x14ac:dyDescent="0.3">
      <c r="A229" s="32">
        <v>140</v>
      </c>
      <c r="B229" s="33" t="s">
        <v>513</v>
      </c>
      <c r="C229" s="33" t="s">
        <v>495</v>
      </c>
      <c r="D229" s="33" t="s">
        <v>514</v>
      </c>
      <c r="E229" s="33" t="s">
        <v>240</v>
      </c>
      <c r="F229" s="34" t="s">
        <v>95</v>
      </c>
      <c r="G229" s="40"/>
      <c r="H229" s="40"/>
      <c r="I229" s="114"/>
      <c r="J229" s="27"/>
    </row>
    <row r="230" spans="1:10" ht="24.9" hidden="1" customHeight="1" x14ac:dyDescent="0.3">
      <c r="A230" s="32">
        <v>140</v>
      </c>
      <c r="B230" s="33" t="s">
        <v>436</v>
      </c>
      <c r="C230" s="52" t="s">
        <v>437</v>
      </c>
      <c r="D230" s="33" t="s">
        <v>438</v>
      </c>
      <c r="E230" s="33" t="s">
        <v>240</v>
      </c>
      <c r="F230" s="34" t="s">
        <v>95</v>
      </c>
      <c r="G230" s="40"/>
      <c r="H230" s="40"/>
      <c r="I230" s="114"/>
      <c r="J230" s="27"/>
    </row>
    <row r="231" spans="1:10" ht="24.9" hidden="1" customHeight="1" x14ac:dyDescent="0.3">
      <c r="A231" s="32">
        <v>140</v>
      </c>
      <c r="B231" s="33" t="s">
        <v>432</v>
      </c>
      <c r="C231" s="33" t="s">
        <v>425</v>
      </c>
      <c r="D231" s="33" t="s">
        <v>433</v>
      </c>
      <c r="E231" s="33" t="s">
        <v>783</v>
      </c>
      <c r="F231" s="34" t="s">
        <v>127</v>
      </c>
      <c r="G231" s="40"/>
      <c r="H231" s="40"/>
      <c r="I231" s="35"/>
      <c r="J231" s="27"/>
    </row>
    <row r="232" spans="1:10" ht="24.9" hidden="1" customHeight="1" x14ac:dyDescent="0.3">
      <c r="A232" s="32">
        <v>140</v>
      </c>
      <c r="B232" s="33" t="s">
        <v>456</v>
      </c>
      <c r="C232" s="33" t="s">
        <v>448</v>
      </c>
      <c r="D232" s="33" t="s">
        <v>457</v>
      </c>
      <c r="E232" s="33" t="s">
        <v>783</v>
      </c>
      <c r="F232" s="34" t="s">
        <v>127</v>
      </c>
      <c r="G232" s="40"/>
      <c r="H232" s="51"/>
      <c r="I232" s="35"/>
      <c r="J232" s="27"/>
    </row>
    <row r="233" spans="1:10" ht="24.9" hidden="1" customHeight="1" x14ac:dyDescent="0.3">
      <c r="A233" s="32">
        <v>140</v>
      </c>
      <c r="B233" s="33" t="s">
        <v>497</v>
      </c>
      <c r="C233" s="33" t="s">
        <v>495</v>
      </c>
      <c r="D233" s="33" t="s">
        <v>498</v>
      </c>
      <c r="E233" s="33" t="s">
        <v>783</v>
      </c>
      <c r="F233" s="34" t="s">
        <v>127</v>
      </c>
      <c r="G233" s="40"/>
      <c r="H233" s="51"/>
      <c r="I233" s="35"/>
      <c r="J233" s="27"/>
    </row>
    <row r="234" spans="1:10" ht="24.9" hidden="1" customHeight="1" x14ac:dyDescent="0.3">
      <c r="A234" s="32">
        <v>140</v>
      </c>
      <c r="B234" s="33" t="s">
        <v>397</v>
      </c>
      <c r="C234" s="33" t="s">
        <v>398</v>
      </c>
      <c r="D234" s="33" t="s">
        <v>399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397</v>
      </c>
      <c r="C235" s="33" t="s">
        <v>398</v>
      </c>
      <c r="D235" s="33" t="s">
        <v>399</v>
      </c>
      <c r="E235" s="33" t="s">
        <v>183</v>
      </c>
      <c r="F235" s="34" t="s">
        <v>127</v>
      </c>
      <c r="G235" s="40"/>
      <c r="H235" s="40"/>
      <c r="I235" s="35"/>
      <c r="J235" s="27"/>
    </row>
    <row r="236" spans="1:10" ht="24.9" hidden="1" customHeight="1" x14ac:dyDescent="0.3">
      <c r="A236" s="32">
        <v>140</v>
      </c>
      <c r="B236" s="33" t="s">
        <v>408</v>
      </c>
      <c r="C236" s="33" t="s">
        <v>392</v>
      </c>
      <c r="D236" s="33" t="s">
        <v>409</v>
      </c>
      <c r="E236" s="33" t="s">
        <v>173</v>
      </c>
      <c r="F236" s="34" t="s">
        <v>127</v>
      </c>
      <c r="G236" s="40"/>
      <c r="H236" s="40"/>
      <c r="I236" s="35"/>
      <c r="J236" s="27"/>
    </row>
    <row r="237" spans="1:10" ht="24.9" hidden="1" customHeight="1" x14ac:dyDescent="0.3">
      <c r="A237" s="32">
        <v>140</v>
      </c>
      <c r="B237" s="33" t="s">
        <v>408</v>
      </c>
      <c r="C237" s="33" t="s">
        <v>392</v>
      </c>
      <c r="D237" s="33" t="s">
        <v>409</v>
      </c>
      <c r="E237" s="33" t="s">
        <v>183</v>
      </c>
      <c r="F237" s="34" t="s">
        <v>127</v>
      </c>
      <c r="G237" s="40"/>
      <c r="H237" s="51"/>
      <c r="I237" s="35"/>
      <c r="J237" s="27"/>
    </row>
    <row r="238" spans="1:10" ht="24.9" hidden="1" customHeight="1" x14ac:dyDescent="0.3">
      <c r="A238" s="32">
        <v>140</v>
      </c>
      <c r="B238" s="33" t="s">
        <v>414</v>
      </c>
      <c r="C238" s="33" t="s">
        <v>392</v>
      </c>
      <c r="D238" s="33" t="s">
        <v>415</v>
      </c>
      <c r="E238" s="33" t="s">
        <v>173</v>
      </c>
      <c r="F238" s="34" t="s">
        <v>127</v>
      </c>
      <c r="G238" s="40"/>
      <c r="H238" s="51"/>
      <c r="I238" s="35"/>
      <c r="J238" s="27"/>
    </row>
    <row r="239" spans="1:10" ht="24.9" hidden="1" customHeight="1" x14ac:dyDescent="0.3">
      <c r="A239" s="32">
        <v>140</v>
      </c>
      <c r="B239" s="33" t="s">
        <v>414</v>
      </c>
      <c r="C239" s="33" t="s">
        <v>392</v>
      </c>
      <c r="D239" s="33" t="s">
        <v>415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420</v>
      </c>
      <c r="C240" s="33" t="s">
        <v>392</v>
      </c>
      <c r="D240" s="33" t="s">
        <v>421</v>
      </c>
      <c r="E240" s="33" t="s">
        <v>173</v>
      </c>
      <c r="F240" s="34" t="s">
        <v>127</v>
      </c>
      <c r="G240" s="40"/>
      <c r="H240" s="40"/>
      <c r="I240" s="35"/>
      <c r="J240" s="27"/>
    </row>
    <row r="241" spans="1:10" ht="24.9" hidden="1" customHeight="1" x14ac:dyDescent="0.3">
      <c r="A241" s="32">
        <v>140</v>
      </c>
      <c r="B241" s="33" t="s">
        <v>420</v>
      </c>
      <c r="C241" s="33" t="s">
        <v>392</v>
      </c>
      <c r="D241" s="33" t="s">
        <v>421</v>
      </c>
      <c r="E241" s="33" t="s">
        <v>183</v>
      </c>
      <c r="F241" s="34" t="s">
        <v>127</v>
      </c>
      <c r="G241" s="40"/>
      <c r="H241" s="40"/>
      <c r="I241" s="35"/>
      <c r="J241" s="27"/>
    </row>
    <row r="242" spans="1:10" ht="24.9" hidden="1" customHeight="1" x14ac:dyDescent="0.3">
      <c r="A242" s="32">
        <v>140</v>
      </c>
      <c r="B242" s="33" t="s">
        <v>400</v>
      </c>
      <c r="C242" s="33" t="s">
        <v>398</v>
      </c>
      <c r="D242" s="33" t="s">
        <v>401</v>
      </c>
      <c r="E242" s="33" t="s">
        <v>173</v>
      </c>
      <c r="F242" s="34" t="s">
        <v>127</v>
      </c>
      <c r="G242" s="40"/>
      <c r="H242" s="51"/>
      <c r="I242" s="35"/>
      <c r="J242" s="27"/>
    </row>
    <row r="243" spans="1:10" ht="24.9" hidden="1" customHeight="1" x14ac:dyDescent="0.3">
      <c r="A243" s="32">
        <v>140</v>
      </c>
      <c r="B243" s="33" t="s">
        <v>400</v>
      </c>
      <c r="C243" s="33" t="s">
        <v>398</v>
      </c>
      <c r="D243" s="33" t="s">
        <v>401</v>
      </c>
      <c r="E243" s="33" t="s">
        <v>183</v>
      </c>
      <c r="F243" s="34" t="s">
        <v>127</v>
      </c>
      <c r="G243" s="40"/>
      <c r="H243" s="51"/>
      <c r="I243" s="35"/>
      <c r="J243" s="27"/>
    </row>
    <row r="244" spans="1:10" ht="24.9" hidden="1" customHeight="1" x14ac:dyDescent="0.3">
      <c r="A244" s="32">
        <v>140</v>
      </c>
      <c r="B244" s="33" t="s">
        <v>434</v>
      </c>
      <c r="C244" s="33" t="s">
        <v>425</v>
      </c>
      <c r="D244" s="33" t="s">
        <v>435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434</v>
      </c>
      <c r="C245" s="33" t="s">
        <v>425</v>
      </c>
      <c r="D245" s="33" t="s">
        <v>435</v>
      </c>
      <c r="E245" s="33" t="s">
        <v>183</v>
      </c>
      <c r="F245" s="34" t="s">
        <v>127</v>
      </c>
      <c r="G245" s="40"/>
      <c r="H245" s="40"/>
      <c r="I245" s="35"/>
      <c r="J245" s="27"/>
    </row>
    <row r="246" spans="1:10" ht="24.9" hidden="1" customHeight="1" x14ac:dyDescent="0.3">
      <c r="A246" s="32">
        <v>140</v>
      </c>
      <c r="B246" s="33" t="s">
        <v>468</v>
      </c>
      <c r="C246" s="33" t="s">
        <v>448</v>
      </c>
      <c r="D246" s="33" t="s">
        <v>469</v>
      </c>
      <c r="E246" s="33" t="s">
        <v>173</v>
      </c>
      <c r="F246" s="34" t="s">
        <v>127</v>
      </c>
      <c r="G246" s="40"/>
      <c r="H246" s="40"/>
      <c r="I246" s="35"/>
      <c r="J246" s="27"/>
    </row>
    <row r="247" spans="1:10" ht="24.9" hidden="1" customHeight="1" x14ac:dyDescent="0.3">
      <c r="A247" s="32">
        <v>140</v>
      </c>
      <c r="B247" s="33" t="s">
        <v>468</v>
      </c>
      <c r="C247" s="33" t="s">
        <v>448</v>
      </c>
      <c r="D247" s="33" t="s">
        <v>469</v>
      </c>
      <c r="E247" s="33" t="s">
        <v>183</v>
      </c>
      <c r="F247" s="34" t="s">
        <v>127</v>
      </c>
      <c r="G247" s="40"/>
      <c r="H247" s="51"/>
      <c r="I247" s="35"/>
      <c r="J247" s="27"/>
    </row>
    <row r="248" spans="1:10" ht="24.9" hidden="1" customHeight="1" x14ac:dyDescent="0.3">
      <c r="A248" s="32">
        <v>140</v>
      </c>
      <c r="B248" s="33" t="s">
        <v>402</v>
      </c>
      <c r="C248" s="33" t="s">
        <v>398</v>
      </c>
      <c r="D248" s="33" t="s">
        <v>403</v>
      </c>
      <c r="E248" s="33" t="s">
        <v>173</v>
      </c>
      <c r="F248" s="34" t="s">
        <v>127</v>
      </c>
      <c r="G248" s="40"/>
      <c r="H248" s="51"/>
      <c r="I248" s="35"/>
      <c r="J248" s="27"/>
    </row>
    <row r="249" spans="1:10" ht="24.9" hidden="1" customHeight="1" x14ac:dyDescent="0.3">
      <c r="A249" s="32">
        <v>140</v>
      </c>
      <c r="B249" s="33" t="s">
        <v>402</v>
      </c>
      <c r="C249" s="33" t="s">
        <v>398</v>
      </c>
      <c r="D249" s="33" t="s">
        <v>403</v>
      </c>
      <c r="E249" s="33" t="s">
        <v>183</v>
      </c>
      <c r="F249" s="34" t="s">
        <v>127</v>
      </c>
      <c r="G249" s="40"/>
      <c r="H249" s="40"/>
      <c r="I249" s="35"/>
      <c r="J249" s="27"/>
    </row>
    <row r="250" spans="1:10" ht="24.9" hidden="1" customHeight="1" x14ac:dyDescent="0.3">
      <c r="A250" s="32">
        <v>140</v>
      </c>
      <c r="B250" s="33" t="s">
        <v>472</v>
      </c>
      <c r="C250" s="33" t="s">
        <v>473</v>
      </c>
      <c r="D250" s="33" t="s">
        <v>474</v>
      </c>
      <c r="E250" s="33" t="s">
        <v>173</v>
      </c>
      <c r="F250" s="34" t="s">
        <v>127</v>
      </c>
      <c r="G250" s="40"/>
      <c r="H250" s="40"/>
      <c r="I250" s="35"/>
      <c r="J250" s="27"/>
    </row>
    <row r="251" spans="1:10" ht="24.9" hidden="1" customHeight="1" x14ac:dyDescent="0.3">
      <c r="A251" s="32">
        <v>140</v>
      </c>
      <c r="B251" s="33" t="s">
        <v>472</v>
      </c>
      <c r="C251" s="33" t="s">
        <v>473</v>
      </c>
      <c r="D251" s="33" t="s">
        <v>474</v>
      </c>
      <c r="E251" s="33" t="s">
        <v>183</v>
      </c>
      <c r="F251" s="34" t="s">
        <v>127</v>
      </c>
      <c r="G251" s="40"/>
      <c r="H251" s="51"/>
      <c r="I251" s="35"/>
      <c r="J251" s="27"/>
    </row>
    <row r="252" spans="1:10" ht="24.9" hidden="1" customHeight="1" x14ac:dyDescent="0.3">
      <c r="A252" s="32">
        <v>140</v>
      </c>
      <c r="B252" s="33" t="s">
        <v>511</v>
      </c>
      <c r="C252" s="33" t="s">
        <v>495</v>
      </c>
      <c r="D252" s="33" t="s">
        <v>512</v>
      </c>
      <c r="E252" s="33" t="s">
        <v>173</v>
      </c>
      <c r="F252" s="34" t="s">
        <v>127</v>
      </c>
      <c r="G252" s="40"/>
      <c r="H252" s="51"/>
      <c r="I252" s="35"/>
      <c r="J252" s="27"/>
    </row>
    <row r="253" spans="1:10" ht="24.9" hidden="1" customHeight="1" x14ac:dyDescent="0.3">
      <c r="A253" s="32">
        <v>140</v>
      </c>
      <c r="B253" s="33" t="s">
        <v>511</v>
      </c>
      <c r="C253" s="33" t="s">
        <v>495</v>
      </c>
      <c r="D253" s="33" t="s">
        <v>512</v>
      </c>
      <c r="E253" s="33" t="s">
        <v>183</v>
      </c>
      <c r="F253" s="34" t="s">
        <v>127</v>
      </c>
      <c r="G253" s="40"/>
      <c r="H253" s="40"/>
      <c r="I253" s="35"/>
      <c r="J253" s="27"/>
    </row>
    <row r="254" spans="1:10" ht="24.9" hidden="1" customHeight="1" x14ac:dyDescent="0.3">
      <c r="A254" s="32">
        <v>140</v>
      </c>
      <c r="B254" s="33" t="s">
        <v>447</v>
      </c>
      <c r="C254" s="33" t="s">
        <v>448</v>
      </c>
      <c r="D254" s="33" t="s">
        <v>449</v>
      </c>
      <c r="E254" s="33" t="s">
        <v>173</v>
      </c>
      <c r="F254" s="34" t="s">
        <v>127</v>
      </c>
      <c r="G254" s="40"/>
      <c r="H254" s="40"/>
      <c r="I254" s="35"/>
      <c r="J254" s="27"/>
    </row>
    <row r="255" spans="1:10" ht="24.9" hidden="1" customHeight="1" x14ac:dyDescent="0.3">
      <c r="A255" s="32">
        <v>140</v>
      </c>
      <c r="B255" s="33" t="s">
        <v>447</v>
      </c>
      <c r="C255" s="33" t="s">
        <v>448</v>
      </c>
      <c r="D255" s="33" t="s">
        <v>449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507</v>
      </c>
      <c r="C256" s="33" t="s">
        <v>495</v>
      </c>
      <c r="D256" s="33" t="s">
        <v>508</v>
      </c>
      <c r="E256" s="33" t="s">
        <v>173</v>
      </c>
      <c r="F256" s="34" t="s">
        <v>127</v>
      </c>
      <c r="G256" s="40"/>
      <c r="H256" s="51"/>
      <c r="I256" s="35"/>
      <c r="J256" s="27"/>
    </row>
    <row r="257" spans="1:10" ht="24.9" hidden="1" customHeight="1" x14ac:dyDescent="0.3">
      <c r="A257" s="32">
        <v>140</v>
      </c>
      <c r="B257" s="33" t="s">
        <v>507</v>
      </c>
      <c r="C257" s="33" t="s">
        <v>495</v>
      </c>
      <c r="D257" s="33" t="s">
        <v>508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439</v>
      </c>
      <c r="C258" s="52" t="s">
        <v>437</v>
      </c>
      <c r="D258" s="33" t="s">
        <v>440</v>
      </c>
      <c r="E258" s="33" t="s">
        <v>173</v>
      </c>
      <c r="F258" s="34" t="s">
        <v>127</v>
      </c>
      <c r="G258" s="40"/>
      <c r="H258" s="40"/>
      <c r="I258" s="35"/>
      <c r="J258" s="27"/>
    </row>
    <row r="259" spans="1:10" ht="24.9" hidden="1" customHeight="1" x14ac:dyDescent="0.3">
      <c r="A259" s="32">
        <v>140</v>
      </c>
      <c r="B259" s="33" t="s">
        <v>439</v>
      </c>
      <c r="C259" s="52" t="s">
        <v>437</v>
      </c>
      <c r="D259" s="33" t="s">
        <v>440</v>
      </c>
      <c r="E259" s="33" t="s">
        <v>183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509</v>
      </c>
      <c r="C260" s="33" t="s">
        <v>495</v>
      </c>
      <c r="D260" s="33" t="s">
        <v>510</v>
      </c>
      <c r="E260" s="33" t="s">
        <v>240</v>
      </c>
      <c r="F260" s="34" t="s">
        <v>95</v>
      </c>
      <c r="G260" s="40"/>
      <c r="H260" s="51"/>
      <c r="I260" s="114"/>
      <c r="J260" s="27"/>
    </row>
    <row r="261" spans="1:10" ht="24.9" hidden="1" customHeight="1" x14ac:dyDescent="0.3">
      <c r="A261" s="32">
        <v>140</v>
      </c>
      <c r="B261" s="33" t="s">
        <v>443</v>
      </c>
      <c r="C261" s="52" t="s">
        <v>437</v>
      </c>
      <c r="D261" s="33" t="s">
        <v>444</v>
      </c>
      <c r="E261" s="33" t="s">
        <v>173</v>
      </c>
      <c r="F261" s="34" t="s">
        <v>127</v>
      </c>
      <c r="G261" s="40"/>
      <c r="H261" s="51"/>
      <c r="I261" s="35"/>
      <c r="J261" s="27"/>
    </row>
    <row r="262" spans="1:10" ht="24.9" hidden="1" customHeight="1" x14ac:dyDescent="0.3">
      <c r="A262" s="32">
        <v>140</v>
      </c>
      <c r="B262" s="33" t="s">
        <v>443</v>
      </c>
      <c r="C262" s="52" t="s">
        <v>437</v>
      </c>
      <c r="D262" s="33" t="s">
        <v>444</v>
      </c>
      <c r="E262" s="33" t="s">
        <v>183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534</v>
      </c>
      <c r="C263" s="33" t="s">
        <v>527</v>
      </c>
      <c r="D263" s="33" t="s">
        <v>535</v>
      </c>
      <c r="E263" s="33" t="s">
        <v>243</v>
      </c>
      <c r="F263" s="34" t="s">
        <v>127</v>
      </c>
      <c r="G263" s="40"/>
      <c r="H263" s="51"/>
      <c r="I263" s="35" t="s">
        <v>205</v>
      </c>
      <c r="J263" s="27"/>
    </row>
    <row r="264" spans="1:10" ht="24.9" hidden="1" customHeight="1" x14ac:dyDescent="0.3">
      <c r="A264" s="32" t="s">
        <v>522</v>
      </c>
      <c r="B264" s="33" t="s">
        <v>526</v>
      </c>
      <c r="C264" s="33" t="s">
        <v>527</v>
      </c>
      <c r="D264" s="33" t="s">
        <v>528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526</v>
      </c>
      <c r="C265" s="33" t="s">
        <v>527</v>
      </c>
      <c r="D265" s="33" t="s">
        <v>528</v>
      </c>
      <c r="E265" s="33" t="s">
        <v>225</v>
      </c>
      <c r="F265" s="34" t="s">
        <v>127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530</v>
      </c>
      <c r="C266" s="33" t="s">
        <v>527</v>
      </c>
      <c r="D266" s="33" t="s">
        <v>531</v>
      </c>
      <c r="E266" s="33" t="s">
        <v>785</v>
      </c>
      <c r="F266" s="34" t="s">
        <v>127</v>
      </c>
      <c r="G266" s="40"/>
      <c r="H266" s="51"/>
      <c r="I266" s="35"/>
      <c r="J266" s="27"/>
    </row>
    <row r="267" spans="1:10" ht="24.9" hidden="1" customHeight="1" x14ac:dyDescent="0.3">
      <c r="A267" s="32" t="s">
        <v>522</v>
      </c>
      <c r="B267" s="33" t="s">
        <v>530</v>
      </c>
      <c r="C267" s="33" t="s">
        <v>527</v>
      </c>
      <c r="D267" s="33" t="s">
        <v>531</v>
      </c>
      <c r="E267" s="33" t="s">
        <v>225</v>
      </c>
      <c r="F267" s="34" t="s">
        <v>127</v>
      </c>
      <c r="G267" s="40"/>
      <c r="H267" s="51" t="s">
        <v>543</v>
      </c>
      <c r="I267" s="35" t="s">
        <v>786</v>
      </c>
      <c r="J267" s="27"/>
    </row>
    <row r="268" spans="1:10" ht="24.9" hidden="1" customHeight="1" x14ac:dyDescent="0.3">
      <c r="A268" s="32" t="s">
        <v>522</v>
      </c>
      <c r="B268" s="33" t="s">
        <v>540</v>
      </c>
      <c r="C268" s="33" t="s">
        <v>524</v>
      </c>
      <c r="D268" s="33" t="s">
        <v>541</v>
      </c>
      <c r="E268" s="33" t="s">
        <v>542</v>
      </c>
      <c r="F268" s="34" t="s">
        <v>127</v>
      </c>
      <c r="G268" s="40"/>
      <c r="H268" s="51"/>
      <c r="I268" s="35" t="s">
        <v>205</v>
      </c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784</v>
      </c>
      <c r="F269" s="34" t="s">
        <v>127</v>
      </c>
      <c r="G269" s="40"/>
      <c r="H269" s="51"/>
      <c r="I269" s="35"/>
      <c r="J269" s="27"/>
    </row>
    <row r="270" spans="1:10" ht="24.9" hidden="1" customHeight="1" x14ac:dyDescent="0.3">
      <c r="A270" s="32" t="s">
        <v>522</v>
      </c>
      <c r="B270" s="33" t="s">
        <v>523</v>
      </c>
      <c r="C270" s="33" t="s">
        <v>524</v>
      </c>
      <c r="D270" s="33" t="s">
        <v>525</v>
      </c>
      <c r="E270" s="33" t="s">
        <v>533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523</v>
      </c>
      <c r="C271" s="33" t="s">
        <v>524</v>
      </c>
      <c r="D271" s="33" t="s">
        <v>525</v>
      </c>
      <c r="E271" s="33" t="s">
        <v>544</v>
      </c>
      <c r="F271" s="34" t="s">
        <v>127</v>
      </c>
      <c r="G271" s="40"/>
      <c r="H271" s="51" t="s">
        <v>378</v>
      </c>
      <c r="I271" s="35" t="s">
        <v>545</v>
      </c>
      <c r="J271" s="27"/>
    </row>
    <row r="272" spans="1:10" ht="24.9" hidden="1" customHeight="1" x14ac:dyDescent="0.3">
      <c r="A272" s="32" t="s">
        <v>522</v>
      </c>
      <c r="B272" s="33" t="s">
        <v>536</v>
      </c>
      <c r="C272" s="33" t="s">
        <v>527</v>
      </c>
      <c r="D272" s="33" t="s">
        <v>537</v>
      </c>
      <c r="E272" s="33" t="s">
        <v>243</v>
      </c>
      <c r="F272" s="34" t="s">
        <v>127</v>
      </c>
      <c r="G272" s="40"/>
      <c r="H272" s="51"/>
      <c r="I272" s="35"/>
      <c r="J272" s="27"/>
    </row>
    <row r="273" spans="1:10" ht="24.9" hidden="1" customHeight="1" x14ac:dyDescent="0.3">
      <c r="A273" s="32" t="s">
        <v>522</v>
      </c>
      <c r="B273" s="33" t="s">
        <v>529</v>
      </c>
      <c r="C273" s="33" t="s">
        <v>527</v>
      </c>
      <c r="D273" s="33" t="s">
        <v>528</v>
      </c>
      <c r="E273" s="33" t="s">
        <v>785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529</v>
      </c>
      <c r="C274" s="33" t="s">
        <v>527</v>
      </c>
      <c r="D274" s="33" t="s">
        <v>528</v>
      </c>
      <c r="E274" s="33" t="s">
        <v>225</v>
      </c>
      <c r="F274" s="34" t="s">
        <v>127</v>
      </c>
      <c r="G274" s="40"/>
      <c r="H274" s="51" t="s">
        <v>543</v>
      </c>
      <c r="I274" s="35" t="s">
        <v>786</v>
      </c>
      <c r="J274" s="27"/>
    </row>
    <row r="275" spans="1:10" ht="24.9" hidden="1" customHeight="1" x14ac:dyDescent="0.3">
      <c r="A275" s="32" t="s">
        <v>522</v>
      </c>
      <c r="B275" s="33" t="s">
        <v>538</v>
      </c>
      <c r="C275" s="33" t="s">
        <v>527</v>
      </c>
      <c r="D275" s="33" t="s">
        <v>539</v>
      </c>
      <c r="E275" s="33" t="s">
        <v>243</v>
      </c>
      <c r="F275" s="34" t="s">
        <v>127</v>
      </c>
      <c r="G275" s="40"/>
      <c r="H275" s="51"/>
      <c r="I275" s="35"/>
      <c r="J275" s="27"/>
    </row>
    <row r="276" spans="1:10" ht="24.9" hidden="1" customHeight="1" x14ac:dyDescent="0.3">
      <c r="A276" s="32" t="s">
        <v>522</v>
      </c>
      <c r="B276" s="33" t="s">
        <v>532</v>
      </c>
      <c r="C276" s="33" t="s">
        <v>527</v>
      </c>
      <c r="D276" s="33" t="s">
        <v>528</v>
      </c>
      <c r="E276" s="33" t="s">
        <v>785</v>
      </c>
      <c r="F276" s="34" t="s">
        <v>127</v>
      </c>
      <c r="G276" s="40"/>
      <c r="H276" s="51"/>
      <c r="I276" s="35"/>
      <c r="J276" s="27"/>
    </row>
    <row r="277" spans="1:10" ht="24.9" hidden="1" customHeight="1" x14ac:dyDescent="0.3">
      <c r="A277" s="32" t="s">
        <v>522</v>
      </c>
      <c r="B277" s="33" t="s">
        <v>532</v>
      </c>
      <c r="C277" s="33" t="s">
        <v>527</v>
      </c>
      <c r="D277" s="33" t="s">
        <v>528</v>
      </c>
      <c r="E277" s="33" t="s">
        <v>225</v>
      </c>
      <c r="F277" s="34" t="s">
        <v>127</v>
      </c>
      <c r="G277" s="40"/>
      <c r="H277" s="51" t="s">
        <v>543</v>
      </c>
      <c r="I277" s="35" t="s">
        <v>786</v>
      </c>
      <c r="J277" s="27"/>
    </row>
    <row r="278" spans="1:10" ht="24.9" hidden="1" customHeight="1" x14ac:dyDescent="0.3">
      <c r="A278" s="32" t="s">
        <v>546</v>
      </c>
      <c r="B278" s="33" t="s">
        <v>582</v>
      </c>
      <c r="C278" s="33" t="s">
        <v>562</v>
      </c>
      <c r="D278" s="33" t="s">
        <v>583</v>
      </c>
      <c r="E278" s="33" t="s">
        <v>160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 t="s">
        <v>546</v>
      </c>
      <c r="B279" s="33" t="s">
        <v>561</v>
      </c>
      <c r="C279" s="33" t="s">
        <v>562</v>
      </c>
      <c r="D279" s="33" t="s">
        <v>563</v>
      </c>
      <c r="E279" s="33" t="s">
        <v>225</v>
      </c>
      <c r="F279" s="34" t="s">
        <v>167</v>
      </c>
      <c r="G279" s="40"/>
      <c r="H279" s="51" t="s">
        <v>850</v>
      </c>
      <c r="I279" s="35" t="s">
        <v>234</v>
      </c>
      <c r="J279" s="27"/>
    </row>
    <row r="280" spans="1:10" ht="24.9" hidden="1" customHeight="1" x14ac:dyDescent="0.3">
      <c r="A280" s="32" t="s">
        <v>546</v>
      </c>
      <c r="B280" s="33" t="s">
        <v>561</v>
      </c>
      <c r="C280" s="33" t="s">
        <v>562</v>
      </c>
      <c r="D280" s="33" t="s">
        <v>563</v>
      </c>
      <c r="E280" s="33" t="s">
        <v>581</v>
      </c>
      <c r="F280" s="34" t="s">
        <v>127</v>
      </c>
      <c r="G280" s="40"/>
      <c r="H280" s="48"/>
      <c r="I280" s="35"/>
      <c r="J280" s="27"/>
    </row>
    <row r="281" spans="1:10" ht="24.9" hidden="1" customHeight="1" x14ac:dyDescent="0.3">
      <c r="A281" s="32">
        <v>140</v>
      </c>
      <c r="B281" s="33" t="s">
        <v>520</v>
      </c>
      <c r="C281" s="33" t="s">
        <v>516</v>
      </c>
      <c r="D281" s="33" t="s">
        <v>521</v>
      </c>
      <c r="E281" s="33" t="s">
        <v>240</v>
      </c>
      <c r="F281" s="34" t="s">
        <v>95</v>
      </c>
      <c r="G281" s="40"/>
      <c r="H281" s="40"/>
      <c r="I281" s="114"/>
      <c r="J281" s="27"/>
    </row>
    <row r="282" spans="1:10" ht="24.9" hidden="1" customHeight="1" x14ac:dyDescent="0.3">
      <c r="A282" s="32">
        <v>140</v>
      </c>
      <c r="B282" s="33" t="s">
        <v>439</v>
      </c>
      <c r="C282" s="33" t="s">
        <v>516</v>
      </c>
      <c r="D282" s="33" t="s">
        <v>519</v>
      </c>
      <c r="E282" s="33" t="s">
        <v>240</v>
      </c>
      <c r="F282" s="34" t="s">
        <v>95</v>
      </c>
      <c r="G282" s="40"/>
      <c r="H282" s="40"/>
      <c r="I282" s="114"/>
      <c r="J282" s="27"/>
    </row>
    <row r="283" spans="1:10" ht="24.9" hidden="1" customHeight="1" x14ac:dyDescent="0.3">
      <c r="A283" s="32" t="s">
        <v>546</v>
      </c>
      <c r="B283" s="33" t="s">
        <v>596</v>
      </c>
      <c r="C283" s="33" t="s">
        <v>548</v>
      </c>
      <c r="D283" s="33" t="s">
        <v>597</v>
      </c>
      <c r="E283" s="33" t="s">
        <v>598</v>
      </c>
      <c r="F283" s="34" t="s">
        <v>127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586</v>
      </c>
      <c r="F284" s="34" t="s">
        <v>99</v>
      </c>
      <c r="G284" s="40"/>
      <c r="H284" s="53"/>
      <c r="I284" s="35"/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788</v>
      </c>
      <c r="F285" s="34" t="s">
        <v>99</v>
      </c>
      <c r="G285" s="40"/>
      <c r="H285" s="53"/>
      <c r="I285" s="35"/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33" t="s">
        <v>588</v>
      </c>
      <c r="F286" s="34" t="s">
        <v>99</v>
      </c>
      <c r="G286" s="40"/>
      <c r="H286" s="53"/>
      <c r="I286" s="35" t="s">
        <v>589</v>
      </c>
      <c r="J286" s="27"/>
    </row>
    <row r="287" spans="1:10" ht="24.9" hidden="1" customHeight="1" x14ac:dyDescent="0.3">
      <c r="A287" s="32" t="s">
        <v>546</v>
      </c>
      <c r="B287" s="33" t="s">
        <v>584</v>
      </c>
      <c r="C287" s="33" t="s">
        <v>551</v>
      </c>
      <c r="D287" s="33" t="s">
        <v>585</v>
      </c>
      <c r="E287" s="33" t="s">
        <v>587</v>
      </c>
      <c r="F287" s="34" t="s">
        <v>127</v>
      </c>
      <c r="G287" s="40"/>
      <c r="H287" s="53"/>
      <c r="I287" s="35" t="s">
        <v>579</v>
      </c>
      <c r="J287" s="27"/>
    </row>
    <row r="288" spans="1:10" ht="24.9" hidden="1" customHeight="1" x14ac:dyDescent="0.3">
      <c r="A288" s="32" t="s">
        <v>546</v>
      </c>
      <c r="B288" s="33" t="s">
        <v>584</v>
      </c>
      <c r="C288" s="33" t="s">
        <v>551</v>
      </c>
      <c r="D288" s="33" t="s">
        <v>585</v>
      </c>
      <c r="E288" s="43" t="s">
        <v>590</v>
      </c>
      <c r="F288" s="34" t="s">
        <v>127</v>
      </c>
      <c r="G288" s="40"/>
      <c r="H288" s="48"/>
      <c r="I288" s="35" t="s">
        <v>579</v>
      </c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225</v>
      </c>
      <c r="F289" s="34" t="s">
        <v>167</v>
      </c>
      <c r="G289" s="40"/>
      <c r="H289" s="51" t="s">
        <v>850</v>
      </c>
      <c r="I289" s="35" t="s">
        <v>234</v>
      </c>
      <c r="J289" s="27"/>
    </row>
    <row r="290" spans="1:10" ht="24.9" hidden="1" customHeight="1" x14ac:dyDescent="0.3">
      <c r="A290" s="32" t="s">
        <v>546</v>
      </c>
      <c r="B290" s="33" t="s">
        <v>550</v>
      </c>
      <c r="C290" s="33" t="s">
        <v>551</v>
      </c>
      <c r="D290" s="33" t="s">
        <v>552</v>
      </c>
      <c r="E290" s="33" t="s">
        <v>577</v>
      </c>
      <c r="F290" s="34" t="s">
        <v>167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550</v>
      </c>
      <c r="C291" s="33" t="s">
        <v>551</v>
      </c>
      <c r="D291" s="33" t="s">
        <v>552</v>
      </c>
      <c r="E291" s="33" t="s">
        <v>578</v>
      </c>
      <c r="F291" s="34" t="s">
        <v>127</v>
      </c>
      <c r="G291" s="40"/>
      <c r="H291" s="48"/>
      <c r="I291" s="35" t="s">
        <v>579</v>
      </c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586</v>
      </c>
      <c r="F292" s="34" t="s">
        <v>99</v>
      </c>
      <c r="G292" s="40"/>
      <c r="H292" s="48"/>
      <c r="I292" s="35"/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788</v>
      </c>
      <c r="F293" s="34" t="s">
        <v>99</v>
      </c>
      <c r="G293" s="40"/>
      <c r="H293" s="48"/>
      <c r="I293" s="35"/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33" t="s">
        <v>588</v>
      </c>
      <c r="F294" s="34" t="s">
        <v>99</v>
      </c>
      <c r="G294" s="40"/>
      <c r="H294" s="48"/>
      <c r="I294" s="35" t="s">
        <v>589</v>
      </c>
      <c r="J294" s="27"/>
    </row>
    <row r="295" spans="1:10" ht="24.9" hidden="1" customHeight="1" x14ac:dyDescent="0.3">
      <c r="A295" s="32" t="s">
        <v>546</v>
      </c>
      <c r="B295" s="33" t="s">
        <v>591</v>
      </c>
      <c r="C295" s="33" t="s">
        <v>554</v>
      </c>
      <c r="D295" s="33" t="s">
        <v>585</v>
      </c>
      <c r="E295" s="33" t="s">
        <v>587</v>
      </c>
      <c r="F295" s="34" t="s">
        <v>127</v>
      </c>
      <c r="G295" s="40"/>
      <c r="H295" s="48"/>
      <c r="I295" s="35" t="s">
        <v>579</v>
      </c>
      <c r="J295" s="27"/>
    </row>
    <row r="296" spans="1:10" ht="24.9" hidden="1" customHeight="1" x14ac:dyDescent="0.3">
      <c r="A296" s="32" t="s">
        <v>546</v>
      </c>
      <c r="B296" s="33" t="s">
        <v>591</v>
      </c>
      <c r="C296" s="33" t="s">
        <v>554</v>
      </c>
      <c r="D296" s="33" t="s">
        <v>585</v>
      </c>
      <c r="E296" s="43" t="s">
        <v>590</v>
      </c>
      <c r="F296" s="34" t="s">
        <v>127</v>
      </c>
      <c r="G296" s="40"/>
      <c r="H296" s="48"/>
      <c r="I296" s="35" t="s">
        <v>579</v>
      </c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225</v>
      </c>
      <c r="F297" s="34" t="s">
        <v>167</v>
      </c>
      <c r="G297" s="40"/>
      <c r="H297" s="51" t="s">
        <v>850</v>
      </c>
      <c r="I297" s="35" t="s">
        <v>234</v>
      </c>
      <c r="J297" s="27"/>
    </row>
    <row r="298" spans="1:10" ht="24.9" hidden="1" customHeight="1" x14ac:dyDescent="0.3">
      <c r="A298" s="32" t="s">
        <v>546</v>
      </c>
      <c r="B298" s="33" t="s">
        <v>553</v>
      </c>
      <c r="C298" s="33" t="s">
        <v>554</v>
      </c>
      <c r="D298" s="33" t="s">
        <v>552</v>
      </c>
      <c r="E298" s="33" t="s">
        <v>577</v>
      </c>
      <c r="F298" s="34" t="s">
        <v>167</v>
      </c>
      <c r="G298" s="40"/>
      <c r="H298" s="53"/>
      <c r="I298" s="35"/>
      <c r="J298" s="27"/>
    </row>
    <row r="299" spans="1:10" ht="24.9" hidden="1" customHeight="1" x14ac:dyDescent="0.3">
      <c r="A299" s="32" t="s">
        <v>546</v>
      </c>
      <c r="B299" s="33" t="s">
        <v>553</v>
      </c>
      <c r="C299" s="33" t="s">
        <v>554</v>
      </c>
      <c r="D299" s="33" t="s">
        <v>552</v>
      </c>
      <c r="E299" s="33" t="s">
        <v>578</v>
      </c>
      <c r="F299" s="34" t="s">
        <v>127</v>
      </c>
      <c r="G299" s="40"/>
      <c r="H299" s="48"/>
      <c r="I299" s="35" t="s">
        <v>579</v>
      </c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586</v>
      </c>
      <c r="F300" s="34" t="s">
        <v>99</v>
      </c>
      <c r="G300" s="40"/>
      <c r="H300" s="48"/>
      <c r="I300" s="35"/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788</v>
      </c>
      <c r="F301" s="34" t="s">
        <v>99</v>
      </c>
      <c r="G301" s="40"/>
      <c r="H301" s="48"/>
      <c r="I301" s="35"/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588</v>
      </c>
      <c r="F302" s="34" t="s">
        <v>99</v>
      </c>
      <c r="G302" s="40"/>
      <c r="H302" s="53"/>
      <c r="I302" s="35" t="s">
        <v>589</v>
      </c>
      <c r="J302" s="27"/>
    </row>
    <row r="303" spans="1:10" ht="24.9" hidden="1" customHeight="1" x14ac:dyDescent="0.3">
      <c r="A303" s="32" t="s">
        <v>546</v>
      </c>
      <c r="B303" s="33" t="s">
        <v>592</v>
      </c>
      <c r="C303" s="33" t="s">
        <v>556</v>
      </c>
      <c r="D303" s="33" t="s">
        <v>585</v>
      </c>
      <c r="E303" s="33" t="s">
        <v>587</v>
      </c>
      <c r="F303" s="34" t="s">
        <v>127</v>
      </c>
      <c r="G303" s="40"/>
      <c r="H303" s="53"/>
      <c r="I303" s="35" t="s">
        <v>579</v>
      </c>
      <c r="J303" s="27"/>
    </row>
    <row r="304" spans="1:10" ht="24.9" hidden="1" customHeight="1" x14ac:dyDescent="0.3">
      <c r="A304" s="32" t="s">
        <v>546</v>
      </c>
      <c r="B304" s="33" t="s">
        <v>592</v>
      </c>
      <c r="C304" s="33" t="s">
        <v>556</v>
      </c>
      <c r="D304" s="33" t="s">
        <v>585</v>
      </c>
      <c r="E304" s="33" t="s">
        <v>590</v>
      </c>
      <c r="F304" s="34" t="s">
        <v>127</v>
      </c>
      <c r="G304" s="40"/>
      <c r="H304" s="48"/>
      <c r="I304" s="35" t="s">
        <v>579</v>
      </c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225</v>
      </c>
      <c r="F305" s="34" t="s">
        <v>167</v>
      </c>
      <c r="G305" s="40"/>
      <c r="H305" s="51" t="s">
        <v>850</v>
      </c>
      <c r="I305" s="35" t="s">
        <v>234</v>
      </c>
      <c r="J305" s="27"/>
    </row>
    <row r="306" spans="1:10" ht="24.9" hidden="1" customHeight="1" x14ac:dyDescent="0.3">
      <c r="A306" s="32" t="s">
        <v>546</v>
      </c>
      <c r="B306" s="33" t="s">
        <v>555</v>
      </c>
      <c r="C306" s="33" t="s">
        <v>556</v>
      </c>
      <c r="D306" s="33" t="s">
        <v>552</v>
      </c>
      <c r="E306" s="33" t="s">
        <v>577</v>
      </c>
      <c r="F306" s="34" t="s">
        <v>167</v>
      </c>
      <c r="G306" s="40"/>
      <c r="H306" s="53"/>
      <c r="I306" s="35"/>
      <c r="J306" s="27"/>
    </row>
    <row r="307" spans="1:10" ht="24.9" hidden="1" customHeight="1" x14ac:dyDescent="0.3">
      <c r="A307" s="32" t="s">
        <v>546</v>
      </c>
      <c r="B307" s="33" t="s">
        <v>555</v>
      </c>
      <c r="C307" s="33" t="s">
        <v>556</v>
      </c>
      <c r="D307" s="33" t="s">
        <v>552</v>
      </c>
      <c r="E307" s="33" t="s">
        <v>578</v>
      </c>
      <c r="F307" s="34" t="s">
        <v>127</v>
      </c>
      <c r="G307" s="40"/>
      <c r="H307" s="53"/>
      <c r="I307" s="35" t="s">
        <v>579</v>
      </c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764</v>
      </c>
      <c r="F308" s="34" t="s">
        <v>167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787</v>
      </c>
      <c r="F309" s="34" t="s">
        <v>99</v>
      </c>
      <c r="G309" s="40"/>
      <c r="H309" s="51" t="s">
        <v>543</v>
      </c>
      <c r="I309" s="35"/>
      <c r="J309" s="27"/>
    </row>
    <row r="310" spans="1:10" ht="24.9" hidden="1" customHeight="1" x14ac:dyDescent="0.3">
      <c r="A310" s="32" t="s">
        <v>546</v>
      </c>
      <c r="B310" s="33" t="s">
        <v>567</v>
      </c>
      <c r="C310" s="33" t="s">
        <v>556</v>
      </c>
      <c r="D310" s="33" t="s">
        <v>568</v>
      </c>
      <c r="E310" s="33" t="s">
        <v>566</v>
      </c>
      <c r="F310" s="34" t="s">
        <v>127</v>
      </c>
      <c r="G310" s="40"/>
      <c r="H310" s="48"/>
      <c r="I310" s="35"/>
      <c r="J310" s="27"/>
    </row>
    <row r="311" spans="1:10" ht="24.9" hidden="1" customHeight="1" x14ac:dyDescent="0.3">
      <c r="A311" s="32" t="s">
        <v>546</v>
      </c>
      <c r="B311" s="33" t="s">
        <v>567</v>
      </c>
      <c r="C311" s="33" t="s">
        <v>556</v>
      </c>
      <c r="D311" s="33" t="s">
        <v>568</v>
      </c>
      <c r="E311" s="33" t="s">
        <v>225</v>
      </c>
      <c r="F311" s="34" t="s">
        <v>127</v>
      </c>
      <c r="G311" s="40"/>
      <c r="H311" s="40" t="s">
        <v>227</v>
      </c>
      <c r="I311" s="35" t="s">
        <v>226</v>
      </c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764</v>
      </c>
      <c r="F312" s="34" t="s">
        <v>167</v>
      </c>
      <c r="G312" s="40"/>
      <c r="H312" s="53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787</v>
      </c>
      <c r="F313" s="34" t="s">
        <v>99</v>
      </c>
      <c r="G313" s="40"/>
      <c r="H313" s="51" t="s">
        <v>543</v>
      </c>
      <c r="I313" s="35"/>
      <c r="J313" s="27"/>
    </row>
    <row r="314" spans="1:10" ht="24.9" hidden="1" customHeight="1" x14ac:dyDescent="0.3">
      <c r="A314" s="32" t="s">
        <v>546</v>
      </c>
      <c r="B314" s="33" t="s">
        <v>573</v>
      </c>
      <c r="C314" s="33" t="s">
        <v>556</v>
      </c>
      <c r="D314" s="33" t="s">
        <v>574</v>
      </c>
      <c r="E314" s="33" t="s">
        <v>566</v>
      </c>
      <c r="F314" s="34" t="s">
        <v>127</v>
      </c>
      <c r="G314" s="40"/>
      <c r="H314" s="48"/>
      <c r="I314" s="35"/>
      <c r="J314" s="27"/>
    </row>
    <row r="315" spans="1:10" ht="24.9" hidden="1" customHeight="1" x14ac:dyDescent="0.3">
      <c r="A315" s="32" t="s">
        <v>546</v>
      </c>
      <c r="B315" s="33" t="s">
        <v>573</v>
      </c>
      <c r="C315" s="33" t="s">
        <v>556</v>
      </c>
      <c r="D315" s="33" t="s">
        <v>574</v>
      </c>
      <c r="E315" s="33" t="s">
        <v>225</v>
      </c>
      <c r="F315" s="34" t="s">
        <v>127</v>
      </c>
      <c r="G315" s="40"/>
      <c r="H315" s="51" t="s">
        <v>227</v>
      </c>
      <c r="I315" s="35" t="s">
        <v>226</v>
      </c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586</v>
      </c>
      <c r="F316" s="34" t="s">
        <v>99</v>
      </c>
      <c r="G316" s="40"/>
      <c r="H316" s="53"/>
      <c r="I316" s="35"/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788</v>
      </c>
      <c r="F317" s="34" t="s">
        <v>99</v>
      </c>
      <c r="G317" s="40"/>
      <c r="H317" s="53"/>
      <c r="I317" s="35"/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588</v>
      </c>
      <c r="F318" s="34" t="s">
        <v>99</v>
      </c>
      <c r="G318" s="40"/>
      <c r="H318" s="48"/>
      <c r="I318" s="35" t="s">
        <v>589</v>
      </c>
      <c r="J318" s="27"/>
    </row>
    <row r="319" spans="1:10" ht="24.9" hidden="1" customHeight="1" x14ac:dyDescent="0.3">
      <c r="A319" s="32" t="s">
        <v>546</v>
      </c>
      <c r="B319" s="33" t="s">
        <v>593</v>
      </c>
      <c r="C319" s="33" t="s">
        <v>558</v>
      </c>
      <c r="D319" s="33" t="s">
        <v>585</v>
      </c>
      <c r="E319" s="33" t="s">
        <v>587</v>
      </c>
      <c r="F319" s="34" t="s">
        <v>127</v>
      </c>
      <c r="G319" s="40"/>
      <c r="H319" s="48"/>
      <c r="I319" s="35" t="s">
        <v>579</v>
      </c>
      <c r="J319" s="27"/>
    </row>
    <row r="320" spans="1:10" ht="24.9" hidden="1" customHeight="1" x14ac:dyDescent="0.3">
      <c r="A320" s="32" t="s">
        <v>546</v>
      </c>
      <c r="B320" s="33" t="s">
        <v>593</v>
      </c>
      <c r="C320" s="33" t="s">
        <v>558</v>
      </c>
      <c r="D320" s="33" t="s">
        <v>585</v>
      </c>
      <c r="E320" s="33" t="s">
        <v>590</v>
      </c>
      <c r="F320" s="34" t="s">
        <v>127</v>
      </c>
      <c r="G320" s="40"/>
      <c r="H320" s="48"/>
      <c r="I320" s="35" t="s">
        <v>579</v>
      </c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225</v>
      </c>
      <c r="F321" s="34" t="s">
        <v>167</v>
      </c>
      <c r="G321" s="40"/>
      <c r="H321" s="51" t="s">
        <v>850</v>
      </c>
      <c r="I321" s="35" t="s">
        <v>234</v>
      </c>
      <c r="J321" s="27"/>
    </row>
    <row r="322" spans="1:10" ht="24.9" hidden="1" customHeight="1" x14ac:dyDescent="0.3">
      <c r="A322" s="32" t="s">
        <v>546</v>
      </c>
      <c r="B322" s="33" t="s">
        <v>557</v>
      </c>
      <c r="C322" s="33" t="s">
        <v>558</v>
      </c>
      <c r="D322" s="33" t="s">
        <v>552</v>
      </c>
      <c r="E322" s="33" t="s">
        <v>577</v>
      </c>
      <c r="F322" s="34" t="s">
        <v>167</v>
      </c>
      <c r="G322" s="40"/>
      <c r="H322" s="53"/>
      <c r="I322" s="35"/>
      <c r="J322" s="27"/>
    </row>
    <row r="323" spans="1:10" ht="24.9" hidden="1" customHeight="1" x14ac:dyDescent="0.3">
      <c r="A323" s="32" t="s">
        <v>546</v>
      </c>
      <c r="B323" s="33" t="s">
        <v>557</v>
      </c>
      <c r="C323" s="33" t="s">
        <v>558</v>
      </c>
      <c r="D323" s="33" t="s">
        <v>552</v>
      </c>
      <c r="E323" s="33" t="s">
        <v>578</v>
      </c>
      <c r="F323" s="34" t="s">
        <v>127</v>
      </c>
      <c r="G323" s="40"/>
      <c r="H323" s="48"/>
      <c r="I323" s="35" t="s">
        <v>579</v>
      </c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764</v>
      </c>
      <c r="F324" s="34" t="s">
        <v>167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787</v>
      </c>
      <c r="F325" s="34" t="s">
        <v>99</v>
      </c>
      <c r="G325" s="40"/>
      <c r="H325" s="51" t="s">
        <v>543</v>
      </c>
      <c r="I325" s="35"/>
      <c r="J325" s="27"/>
    </row>
    <row r="326" spans="1:10" ht="24.9" hidden="1" customHeight="1" x14ac:dyDescent="0.3">
      <c r="A326" s="32" t="s">
        <v>546</v>
      </c>
      <c r="B326" s="33" t="s">
        <v>569</v>
      </c>
      <c r="C326" s="33" t="s">
        <v>558</v>
      </c>
      <c r="D326" s="33" t="s">
        <v>568</v>
      </c>
      <c r="E326" s="33" t="s">
        <v>566</v>
      </c>
      <c r="F326" s="34" t="s">
        <v>127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569</v>
      </c>
      <c r="C327" s="33" t="s">
        <v>558</v>
      </c>
      <c r="D327" s="33" t="s">
        <v>568</v>
      </c>
      <c r="E327" s="33" t="s">
        <v>225</v>
      </c>
      <c r="F327" s="34" t="s">
        <v>127</v>
      </c>
      <c r="G327" s="40"/>
      <c r="H327" s="51" t="s">
        <v>227</v>
      </c>
      <c r="I327" s="35" t="s">
        <v>226</v>
      </c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764</v>
      </c>
      <c r="F328" s="34" t="s">
        <v>167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787</v>
      </c>
      <c r="F329" s="34" t="s">
        <v>99</v>
      </c>
      <c r="G329" s="40"/>
      <c r="H329" s="51" t="s">
        <v>543</v>
      </c>
      <c r="I329" s="35"/>
      <c r="J329" s="27"/>
    </row>
    <row r="330" spans="1:10" ht="24.9" hidden="1" customHeight="1" x14ac:dyDescent="0.3">
      <c r="A330" s="32" t="s">
        <v>546</v>
      </c>
      <c r="B330" s="33" t="s">
        <v>575</v>
      </c>
      <c r="C330" s="33" t="s">
        <v>558</v>
      </c>
      <c r="D330" s="33" t="s">
        <v>574</v>
      </c>
      <c r="E330" s="33" t="s">
        <v>566</v>
      </c>
      <c r="F330" s="34" t="s">
        <v>127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575</v>
      </c>
      <c r="C331" s="33" t="s">
        <v>558</v>
      </c>
      <c r="D331" s="33" t="s">
        <v>574</v>
      </c>
      <c r="E331" s="33" t="s">
        <v>225</v>
      </c>
      <c r="F331" s="34" t="s">
        <v>127</v>
      </c>
      <c r="G331" s="40"/>
      <c r="H331" s="51" t="s">
        <v>227</v>
      </c>
      <c r="I331" s="35" t="s">
        <v>226</v>
      </c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586</v>
      </c>
      <c r="F332" s="34" t="s">
        <v>99</v>
      </c>
      <c r="G332" s="40"/>
      <c r="H332" s="48"/>
      <c r="I332" s="35"/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788</v>
      </c>
      <c r="F333" s="34" t="s">
        <v>99</v>
      </c>
      <c r="G333" s="40"/>
      <c r="H333" s="48"/>
      <c r="I333" s="35"/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588</v>
      </c>
      <c r="F334" s="34" t="s">
        <v>99</v>
      </c>
      <c r="G334" s="40"/>
      <c r="H334" s="48"/>
      <c r="I334" s="35" t="s">
        <v>589</v>
      </c>
      <c r="J334" s="27"/>
    </row>
    <row r="335" spans="1:10" ht="24.9" hidden="1" customHeight="1" x14ac:dyDescent="0.3">
      <c r="A335" s="32" t="s">
        <v>546</v>
      </c>
      <c r="B335" s="33" t="s">
        <v>594</v>
      </c>
      <c r="C335" s="33" t="s">
        <v>560</v>
      </c>
      <c r="D335" s="33" t="s">
        <v>585</v>
      </c>
      <c r="E335" s="33" t="s">
        <v>587</v>
      </c>
      <c r="F335" s="34" t="s">
        <v>127</v>
      </c>
      <c r="G335" s="40"/>
      <c r="H335" s="48"/>
      <c r="I335" s="35" t="s">
        <v>579</v>
      </c>
      <c r="J335" s="27"/>
    </row>
    <row r="336" spans="1:10" ht="24.9" hidden="1" customHeight="1" x14ac:dyDescent="0.3">
      <c r="A336" s="32" t="s">
        <v>546</v>
      </c>
      <c r="B336" s="33" t="s">
        <v>594</v>
      </c>
      <c r="C336" s="33" t="s">
        <v>560</v>
      </c>
      <c r="D336" s="33" t="s">
        <v>585</v>
      </c>
      <c r="E336" s="33" t="s">
        <v>590</v>
      </c>
      <c r="F336" s="34" t="s">
        <v>127</v>
      </c>
      <c r="G336" s="40"/>
      <c r="H336" s="48"/>
      <c r="I336" s="35" t="s">
        <v>579</v>
      </c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225</v>
      </c>
      <c r="F337" s="34" t="s">
        <v>167</v>
      </c>
      <c r="G337" s="40"/>
      <c r="H337" s="51" t="s">
        <v>850</v>
      </c>
      <c r="I337" s="35" t="s">
        <v>234</v>
      </c>
      <c r="J337" s="27"/>
    </row>
    <row r="338" spans="1:10" ht="24.9" hidden="1" customHeight="1" x14ac:dyDescent="0.3">
      <c r="A338" s="32" t="s">
        <v>546</v>
      </c>
      <c r="B338" s="33" t="s">
        <v>559</v>
      </c>
      <c r="C338" s="33" t="s">
        <v>560</v>
      </c>
      <c r="D338" s="33" t="s">
        <v>552</v>
      </c>
      <c r="E338" s="33" t="s">
        <v>577</v>
      </c>
      <c r="F338" s="34" t="s">
        <v>167</v>
      </c>
      <c r="G338" s="40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559</v>
      </c>
      <c r="C339" s="33" t="s">
        <v>560</v>
      </c>
      <c r="D339" s="33" t="s">
        <v>552</v>
      </c>
      <c r="E339" s="33" t="s">
        <v>578</v>
      </c>
      <c r="F339" s="34" t="s">
        <v>127</v>
      </c>
      <c r="G339" s="40"/>
      <c r="H339" s="48"/>
      <c r="I339" s="35" t="s">
        <v>579</v>
      </c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764</v>
      </c>
      <c r="F340" s="34" t="s">
        <v>167</v>
      </c>
      <c r="G340" s="51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787</v>
      </c>
      <c r="F341" s="34" t="s">
        <v>99</v>
      </c>
      <c r="G341" s="40"/>
      <c r="H341" s="51" t="s">
        <v>543</v>
      </c>
      <c r="I341" s="35"/>
      <c r="J341" s="27"/>
    </row>
    <row r="342" spans="1:10" ht="24.9" hidden="1" customHeight="1" x14ac:dyDescent="0.3">
      <c r="A342" s="32" t="s">
        <v>546</v>
      </c>
      <c r="B342" s="33" t="s">
        <v>570</v>
      </c>
      <c r="C342" s="33" t="s">
        <v>560</v>
      </c>
      <c r="D342" s="33" t="s">
        <v>568</v>
      </c>
      <c r="E342" s="33" t="s">
        <v>566</v>
      </c>
      <c r="F342" s="34" t="s">
        <v>127</v>
      </c>
      <c r="G342" s="29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570</v>
      </c>
      <c r="C343" s="33" t="s">
        <v>560</v>
      </c>
      <c r="D343" s="33" t="s">
        <v>568</v>
      </c>
      <c r="E343" s="33" t="s">
        <v>225</v>
      </c>
      <c r="F343" s="34" t="s">
        <v>127</v>
      </c>
      <c r="G343" s="51"/>
      <c r="H343" s="51" t="s">
        <v>227</v>
      </c>
      <c r="I343" s="35" t="s">
        <v>226</v>
      </c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764</v>
      </c>
      <c r="F344" s="34" t="s">
        <v>167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787</v>
      </c>
      <c r="F345" s="34" t="s">
        <v>99</v>
      </c>
      <c r="G345" s="51"/>
      <c r="H345" s="51" t="s">
        <v>543</v>
      </c>
      <c r="I345" s="35"/>
      <c r="J345" s="27"/>
    </row>
    <row r="346" spans="1:10" ht="24.9" hidden="1" customHeight="1" x14ac:dyDescent="0.3">
      <c r="A346" s="32" t="s">
        <v>546</v>
      </c>
      <c r="B346" s="33" t="s">
        <v>576</v>
      </c>
      <c r="C346" s="33" t="s">
        <v>560</v>
      </c>
      <c r="D346" s="33" t="s">
        <v>574</v>
      </c>
      <c r="E346" s="33" t="s">
        <v>566</v>
      </c>
      <c r="F346" s="34" t="s">
        <v>127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576</v>
      </c>
      <c r="C347" s="33" t="s">
        <v>560</v>
      </c>
      <c r="D347" s="33" t="s">
        <v>574</v>
      </c>
      <c r="E347" s="33" t="s">
        <v>225</v>
      </c>
      <c r="F347" s="34" t="s">
        <v>127</v>
      </c>
      <c r="G347" s="51"/>
      <c r="H347" s="51" t="s">
        <v>227</v>
      </c>
      <c r="I347" s="35" t="s">
        <v>226</v>
      </c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586</v>
      </c>
      <c r="F348" s="34" t="s">
        <v>99</v>
      </c>
      <c r="G348" s="51"/>
      <c r="H348" s="48"/>
      <c r="I348" s="35"/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788</v>
      </c>
      <c r="F349" s="34" t="s">
        <v>99</v>
      </c>
      <c r="G349" s="51"/>
      <c r="H349" s="48"/>
      <c r="I349" s="35"/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588</v>
      </c>
      <c r="F350" s="34" t="s">
        <v>99</v>
      </c>
      <c r="G350" s="51"/>
      <c r="H350" s="48"/>
      <c r="I350" s="35" t="s">
        <v>589</v>
      </c>
      <c r="J350" s="27"/>
    </row>
    <row r="351" spans="1:10" ht="24.9" hidden="1" customHeight="1" x14ac:dyDescent="0.3">
      <c r="A351" s="32" t="s">
        <v>546</v>
      </c>
      <c r="B351" s="33" t="s">
        <v>595</v>
      </c>
      <c r="C351" s="33" t="s">
        <v>548</v>
      </c>
      <c r="D351" s="33" t="s">
        <v>585</v>
      </c>
      <c r="E351" s="33" t="s">
        <v>587</v>
      </c>
      <c r="F351" s="34" t="s">
        <v>127</v>
      </c>
      <c r="G351" s="51"/>
      <c r="H351" s="48"/>
      <c r="I351" s="35" t="s">
        <v>579</v>
      </c>
      <c r="J351" s="27"/>
    </row>
    <row r="352" spans="1:10" ht="24.9" hidden="1" customHeight="1" x14ac:dyDescent="0.3">
      <c r="A352" s="32" t="s">
        <v>546</v>
      </c>
      <c r="B352" s="33" t="s">
        <v>595</v>
      </c>
      <c r="C352" s="33" t="s">
        <v>548</v>
      </c>
      <c r="D352" s="33" t="s">
        <v>585</v>
      </c>
      <c r="E352" s="33" t="s">
        <v>590</v>
      </c>
      <c r="F352" s="34" t="s">
        <v>127</v>
      </c>
      <c r="G352" s="51"/>
      <c r="H352" s="48"/>
      <c r="I352" s="35" t="s">
        <v>579</v>
      </c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225</v>
      </c>
      <c r="F353" s="34" t="s">
        <v>167</v>
      </c>
      <c r="G353" s="51"/>
      <c r="H353" s="51" t="s">
        <v>850</v>
      </c>
      <c r="I353" s="35" t="s">
        <v>234</v>
      </c>
      <c r="J353" s="27"/>
    </row>
    <row r="354" spans="1:10" ht="24.9" hidden="1" customHeight="1" x14ac:dyDescent="0.3">
      <c r="A354" s="32" t="s">
        <v>546</v>
      </c>
      <c r="B354" s="33" t="s">
        <v>547</v>
      </c>
      <c r="C354" s="33" t="s">
        <v>548</v>
      </c>
      <c r="D354" s="33" t="s">
        <v>549</v>
      </c>
      <c r="E354" s="33" t="s">
        <v>577</v>
      </c>
      <c r="F354" s="34" t="s">
        <v>167</v>
      </c>
      <c r="G354" s="51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547</v>
      </c>
      <c r="C355" s="33" t="s">
        <v>548</v>
      </c>
      <c r="D355" s="33" t="s">
        <v>549</v>
      </c>
      <c r="E355" s="33" t="s">
        <v>578</v>
      </c>
      <c r="F355" s="34" t="s">
        <v>127</v>
      </c>
      <c r="G355" s="51"/>
      <c r="H355" s="48"/>
      <c r="I355" s="35" t="s">
        <v>579</v>
      </c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764</v>
      </c>
      <c r="F356" s="34" t="s">
        <v>167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787</v>
      </c>
      <c r="F357" s="34" t="s">
        <v>99</v>
      </c>
      <c r="G357" s="40"/>
      <c r="H357" s="51" t="s">
        <v>543</v>
      </c>
      <c r="I357" s="35"/>
      <c r="J357" s="27"/>
    </row>
    <row r="358" spans="1:10" ht="24.9" hidden="1" customHeight="1" x14ac:dyDescent="0.3">
      <c r="A358" s="32" t="s">
        <v>546</v>
      </c>
      <c r="B358" s="33" t="s">
        <v>564</v>
      </c>
      <c r="C358" s="33" t="s">
        <v>548</v>
      </c>
      <c r="D358" s="33" t="s">
        <v>565</v>
      </c>
      <c r="E358" s="33" t="s">
        <v>566</v>
      </c>
      <c r="F358" s="34" t="s">
        <v>127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564</v>
      </c>
      <c r="C359" s="33" t="s">
        <v>548</v>
      </c>
      <c r="D359" s="33" t="s">
        <v>565</v>
      </c>
      <c r="E359" s="33" t="s">
        <v>225</v>
      </c>
      <c r="F359" s="34" t="s">
        <v>127</v>
      </c>
      <c r="G359" s="40"/>
      <c r="H359" s="51" t="s">
        <v>227</v>
      </c>
      <c r="I359" s="35" t="s">
        <v>226</v>
      </c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764</v>
      </c>
      <c r="F360" s="34" t="s">
        <v>167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787</v>
      </c>
      <c r="F361" s="34" t="s">
        <v>99</v>
      </c>
      <c r="G361" s="40"/>
      <c r="H361" s="51" t="s">
        <v>543</v>
      </c>
      <c r="I361" s="35"/>
      <c r="J361" s="27"/>
    </row>
    <row r="362" spans="1:10" ht="24.9" hidden="1" customHeight="1" x14ac:dyDescent="0.3">
      <c r="A362" s="32" t="s">
        <v>546</v>
      </c>
      <c r="B362" s="33" t="s">
        <v>571</v>
      </c>
      <c r="C362" s="33" t="s">
        <v>548</v>
      </c>
      <c r="D362" s="33" t="s">
        <v>572</v>
      </c>
      <c r="E362" s="33" t="s">
        <v>566</v>
      </c>
      <c r="F362" s="34" t="s">
        <v>127</v>
      </c>
      <c r="G362" s="40"/>
      <c r="H362" s="48"/>
      <c r="I362" s="35"/>
      <c r="J362" s="27"/>
    </row>
    <row r="363" spans="1:10" ht="24.9" hidden="1" customHeight="1" x14ac:dyDescent="0.3">
      <c r="A363" s="32" t="s">
        <v>546</v>
      </c>
      <c r="B363" s="33" t="s">
        <v>571</v>
      </c>
      <c r="C363" s="33" t="s">
        <v>548</v>
      </c>
      <c r="D363" s="33" t="s">
        <v>572</v>
      </c>
      <c r="E363" s="33" t="s">
        <v>225</v>
      </c>
      <c r="F363" s="34" t="s">
        <v>127</v>
      </c>
      <c r="G363" s="40"/>
      <c r="H363" s="51" t="s">
        <v>227</v>
      </c>
      <c r="I363" s="35" t="s">
        <v>226</v>
      </c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626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790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628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632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792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588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633</v>
      </c>
      <c r="F370" s="34" t="s">
        <v>99</v>
      </c>
      <c r="G370" s="40"/>
      <c r="H370" s="48"/>
      <c r="I370" s="35"/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634</v>
      </c>
      <c r="F371" s="34" t="s">
        <v>99</v>
      </c>
      <c r="G371" s="40"/>
      <c r="H371" s="48"/>
      <c r="I371" s="35"/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627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629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630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624</v>
      </c>
      <c r="C375" s="33" t="s">
        <v>551</v>
      </c>
      <c r="D375" s="33" t="s">
        <v>625</v>
      </c>
      <c r="E375" s="33" t="s">
        <v>631</v>
      </c>
      <c r="F375" s="34" t="s">
        <v>127</v>
      </c>
      <c r="G375" s="40"/>
      <c r="H375" s="48"/>
      <c r="I375" s="35" t="s">
        <v>579</v>
      </c>
      <c r="J375" s="27"/>
    </row>
    <row r="376" spans="1:10" ht="24.9" hidden="1" customHeight="1" x14ac:dyDescent="0.3">
      <c r="A376" s="32" t="s">
        <v>599</v>
      </c>
      <c r="B376" s="33" t="s">
        <v>624</v>
      </c>
      <c r="C376" s="33" t="s">
        <v>551</v>
      </c>
      <c r="D376" s="33" t="s">
        <v>625</v>
      </c>
      <c r="E376" s="33" t="s">
        <v>791</v>
      </c>
      <c r="F376" s="34" t="s">
        <v>127</v>
      </c>
      <c r="G376" s="40"/>
      <c r="H376" s="48"/>
      <c r="I376" s="35" t="s">
        <v>579</v>
      </c>
      <c r="J376" s="27"/>
    </row>
    <row r="377" spans="1:10" ht="24.9" hidden="1" customHeight="1" x14ac:dyDescent="0.3">
      <c r="A377" s="32" t="s">
        <v>599</v>
      </c>
      <c r="B377" s="33" t="s">
        <v>640</v>
      </c>
      <c r="C377" s="33" t="s">
        <v>551</v>
      </c>
      <c r="D377" s="33" t="s">
        <v>641</v>
      </c>
      <c r="E377" s="33" t="s">
        <v>642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789</v>
      </c>
      <c r="F378" s="34" t="s">
        <v>99</v>
      </c>
      <c r="G378" s="40"/>
      <c r="H378" s="51" t="s">
        <v>612</v>
      </c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617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618</v>
      </c>
      <c r="F380" s="34" t="s">
        <v>99</v>
      </c>
      <c r="G380" s="40"/>
      <c r="H380" s="48"/>
      <c r="I380" s="35"/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619</v>
      </c>
      <c r="F381" s="34" t="s">
        <v>99</v>
      </c>
      <c r="G381" s="40"/>
      <c r="H381" s="48"/>
      <c r="I381" s="35"/>
      <c r="J381" s="27"/>
    </row>
    <row r="382" spans="1:10" ht="24.9" hidden="1" customHeight="1" x14ac:dyDescent="0.3">
      <c r="A382" s="32" t="s">
        <v>599</v>
      </c>
      <c r="B382" s="33" t="s">
        <v>611</v>
      </c>
      <c r="C382" s="33" t="s">
        <v>551</v>
      </c>
      <c r="D382" s="33" t="s">
        <v>601</v>
      </c>
      <c r="E382" s="33" t="s">
        <v>602</v>
      </c>
      <c r="F382" s="34" t="s">
        <v>127</v>
      </c>
      <c r="G382" s="40"/>
      <c r="H382" s="51" t="s">
        <v>603</v>
      </c>
      <c r="I382" s="35" t="s">
        <v>604</v>
      </c>
      <c r="J382" s="27"/>
    </row>
    <row r="383" spans="1:10" ht="24.9" hidden="1" customHeight="1" x14ac:dyDescent="0.3">
      <c r="A383" s="32" t="s">
        <v>599</v>
      </c>
      <c r="B383" s="33" t="s">
        <v>611</v>
      </c>
      <c r="C383" s="33" t="s">
        <v>551</v>
      </c>
      <c r="D383" s="33" t="s">
        <v>601</v>
      </c>
      <c r="E383" s="33" t="s">
        <v>793</v>
      </c>
      <c r="F383" s="34" t="s">
        <v>127</v>
      </c>
      <c r="G383" s="40"/>
      <c r="H383" s="51" t="s">
        <v>227</v>
      </c>
      <c r="I383" s="35" t="s">
        <v>649</v>
      </c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626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790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628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632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792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588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633</v>
      </c>
      <c r="F390" s="34" t="s">
        <v>99</v>
      </c>
      <c r="G390" s="40"/>
      <c r="H390" s="48"/>
      <c r="I390" s="35"/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634</v>
      </c>
      <c r="F391" s="34" t="s">
        <v>99</v>
      </c>
      <c r="G391" s="40"/>
      <c r="H391" s="48"/>
      <c r="I391" s="35"/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627</v>
      </c>
      <c r="F392" s="34" t="s">
        <v>127</v>
      </c>
      <c r="G392" s="40"/>
      <c r="H392" s="48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629</v>
      </c>
      <c r="F393" s="34" t="s">
        <v>127</v>
      </c>
      <c r="G393" s="40"/>
      <c r="H393" s="48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630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635</v>
      </c>
      <c r="C395" s="33" t="s">
        <v>554</v>
      </c>
      <c r="D395" s="33" t="s">
        <v>625</v>
      </c>
      <c r="E395" s="33" t="s">
        <v>631</v>
      </c>
      <c r="F395" s="34" t="s">
        <v>127</v>
      </c>
      <c r="G395" s="40"/>
      <c r="H395" s="53"/>
      <c r="I395" s="35" t="s">
        <v>579</v>
      </c>
      <c r="J395" s="27"/>
    </row>
    <row r="396" spans="1:10" ht="24.9" hidden="1" customHeight="1" x14ac:dyDescent="0.3">
      <c r="A396" s="32" t="s">
        <v>599</v>
      </c>
      <c r="B396" s="33" t="s">
        <v>635</v>
      </c>
      <c r="C396" s="33" t="s">
        <v>554</v>
      </c>
      <c r="D396" s="33" t="s">
        <v>625</v>
      </c>
      <c r="E396" s="33" t="s">
        <v>791</v>
      </c>
      <c r="F396" s="34" t="s">
        <v>127</v>
      </c>
      <c r="G396" s="40"/>
      <c r="H396" s="53"/>
      <c r="I396" s="35" t="s">
        <v>579</v>
      </c>
      <c r="J396" s="27"/>
    </row>
    <row r="397" spans="1:10" ht="24.9" hidden="1" customHeight="1" x14ac:dyDescent="0.3">
      <c r="A397" s="32" t="s">
        <v>599</v>
      </c>
      <c r="B397" s="33" t="s">
        <v>643</v>
      </c>
      <c r="C397" s="33" t="s">
        <v>554</v>
      </c>
      <c r="D397" s="33" t="s">
        <v>641</v>
      </c>
      <c r="E397" s="33" t="s">
        <v>642</v>
      </c>
      <c r="F397" s="34" t="s">
        <v>99</v>
      </c>
      <c r="G397" s="40"/>
      <c r="H397" s="53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789</v>
      </c>
      <c r="F398" s="34" t="s">
        <v>99</v>
      </c>
      <c r="G398" s="40"/>
      <c r="H398" s="40" t="s">
        <v>612</v>
      </c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617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618</v>
      </c>
      <c r="F400" s="34" t="s">
        <v>99</v>
      </c>
      <c r="G400" s="40"/>
      <c r="H400" s="48"/>
      <c r="I400" s="35"/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619</v>
      </c>
      <c r="F401" s="34" t="s">
        <v>99</v>
      </c>
      <c r="G401" s="40"/>
      <c r="H401" s="48"/>
      <c r="I401" s="35"/>
      <c r="J401" s="27"/>
    </row>
    <row r="402" spans="1:10" ht="24.9" hidden="1" customHeight="1" x14ac:dyDescent="0.3">
      <c r="A402" s="32" t="s">
        <v>599</v>
      </c>
      <c r="B402" s="33" t="s">
        <v>613</v>
      </c>
      <c r="C402" s="33" t="s">
        <v>554</v>
      </c>
      <c r="D402" s="33" t="s">
        <v>601</v>
      </c>
      <c r="E402" s="33" t="s">
        <v>602</v>
      </c>
      <c r="F402" s="34" t="s">
        <v>127</v>
      </c>
      <c r="G402" s="40"/>
      <c r="H402" s="51" t="s">
        <v>603</v>
      </c>
      <c r="I402" s="35" t="s">
        <v>604</v>
      </c>
      <c r="J402" s="27"/>
    </row>
    <row r="403" spans="1:10" ht="24.9" hidden="1" customHeight="1" x14ac:dyDescent="0.3">
      <c r="A403" s="32" t="s">
        <v>599</v>
      </c>
      <c r="B403" s="33" t="s">
        <v>613</v>
      </c>
      <c r="C403" s="33" t="s">
        <v>554</v>
      </c>
      <c r="D403" s="33" t="s">
        <v>601</v>
      </c>
      <c r="E403" s="33" t="s">
        <v>793</v>
      </c>
      <c r="F403" s="34" t="s">
        <v>127</v>
      </c>
      <c r="G403" s="40"/>
      <c r="H403" s="51" t="s">
        <v>227</v>
      </c>
      <c r="I403" s="35" t="s">
        <v>649</v>
      </c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626</v>
      </c>
      <c r="F404" s="34" t="s">
        <v>99</v>
      </c>
      <c r="G404" s="40"/>
      <c r="H404" s="48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790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628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632</v>
      </c>
      <c r="F407" s="34" t="s">
        <v>99</v>
      </c>
      <c r="G407" s="40"/>
      <c r="H407" s="48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792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588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633</v>
      </c>
      <c r="F410" s="34" t="s">
        <v>99</v>
      </c>
      <c r="G410" s="40"/>
      <c r="H410" s="53"/>
      <c r="I410" s="35"/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634</v>
      </c>
      <c r="F411" s="34" t="s">
        <v>99</v>
      </c>
      <c r="G411" s="40"/>
      <c r="H411" s="53"/>
      <c r="I411" s="35"/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627</v>
      </c>
      <c r="F412" s="34" t="s">
        <v>127</v>
      </c>
      <c r="G412" s="40"/>
      <c r="H412" s="53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629</v>
      </c>
      <c r="F413" s="34" t="s">
        <v>127</v>
      </c>
      <c r="G413" s="40"/>
      <c r="H413" s="53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630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636</v>
      </c>
      <c r="C415" s="33" t="s">
        <v>556</v>
      </c>
      <c r="D415" s="33" t="s">
        <v>625</v>
      </c>
      <c r="E415" s="33" t="s">
        <v>631</v>
      </c>
      <c r="F415" s="34" t="s">
        <v>127</v>
      </c>
      <c r="G415" s="40"/>
      <c r="H415" s="48"/>
      <c r="I415" s="35" t="s">
        <v>579</v>
      </c>
      <c r="J415" s="27"/>
    </row>
    <row r="416" spans="1:10" ht="24.9" hidden="1" customHeight="1" x14ac:dyDescent="0.3">
      <c r="A416" s="32" t="s">
        <v>599</v>
      </c>
      <c r="B416" s="33" t="s">
        <v>636</v>
      </c>
      <c r="C416" s="33" t="s">
        <v>556</v>
      </c>
      <c r="D416" s="33" t="s">
        <v>625</v>
      </c>
      <c r="E416" s="33" t="s">
        <v>791</v>
      </c>
      <c r="F416" s="34" t="s">
        <v>127</v>
      </c>
      <c r="G416" s="40"/>
      <c r="H416" s="48"/>
      <c r="I416" s="35" t="s">
        <v>579</v>
      </c>
      <c r="J416" s="27"/>
    </row>
    <row r="417" spans="1:10" ht="24.9" hidden="1" customHeight="1" x14ac:dyDescent="0.3">
      <c r="A417" s="32" t="s">
        <v>599</v>
      </c>
      <c r="B417" s="33" t="s">
        <v>644</v>
      </c>
      <c r="C417" s="33" t="s">
        <v>556</v>
      </c>
      <c r="D417" s="33" t="s">
        <v>641</v>
      </c>
      <c r="E417" s="33" t="s">
        <v>642</v>
      </c>
      <c r="F417" s="34" t="s">
        <v>99</v>
      </c>
      <c r="G417" s="40"/>
      <c r="H417" s="48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789</v>
      </c>
      <c r="F418" s="34" t="s">
        <v>99</v>
      </c>
      <c r="G418" s="40"/>
      <c r="H418" s="51" t="s">
        <v>543</v>
      </c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617</v>
      </c>
      <c r="F419" s="34" t="s">
        <v>99</v>
      </c>
      <c r="G419" s="40"/>
      <c r="H419" s="53"/>
      <c r="I419" s="35"/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619</v>
      </c>
      <c r="F420" s="34" t="s">
        <v>99</v>
      </c>
      <c r="G420" s="40"/>
      <c r="H420" s="48"/>
      <c r="I420" s="35"/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602</v>
      </c>
      <c r="F421" s="34" t="s">
        <v>127</v>
      </c>
      <c r="G421" s="40"/>
      <c r="H421" s="51" t="s">
        <v>603</v>
      </c>
      <c r="I421" s="35" t="s">
        <v>604</v>
      </c>
      <c r="J421" s="27"/>
    </row>
    <row r="422" spans="1:10" ht="24.9" hidden="1" customHeight="1" x14ac:dyDescent="0.3">
      <c r="A422" s="32" t="s">
        <v>599</v>
      </c>
      <c r="B422" s="33" t="s">
        <v>600</v>
      </c>
      <c r="C422" s="33" t="s">
        <v>556</v>
      </c>
      <c r="D422" s="33" t="s">
        <v>601</v>
      </c>
      <c r="E422" s="33" t="s">
        <v>605</v>
      </c>
      <c r="F422" s="34" t="s">
        <v>127</v>
      </c>
      <c r="G422" s="40"/>
      <c r="H422" s="51" t="s">
        <v>300</v>
      </c>
      <c r="I422" s="35" t="s">
        <v>606</v>
      </c>
      <c r="J422" s="27"/>
    </row>
    <row r="423" spans="1:10" ht="24.9" hidden="1" customHeight="1" x14ac:dyDescent="0.3">
      <c r="A423" s="32" t="s">
        <v>599</v>
      </c>
      <c r="B423" s="33" t="s">
        <v>600</v>
      </c>
      <c r="C423" s="33" t="s">
        <v>556</v>
      </c>
      <c r="D423" s="33" t="s">
        <v>601</v>
      </c>
      <c r="E423" s="33" t="s">
        <v>793</v>
      </c>
      <c r="F423" s="34" t="s">
        <v>127</v>
      </c>
      <c r="G423" s="40"/>
      <c r="H423" s="51" t="s">
        <v>227</v>
      </c>
      <c r="I423" s="35" t="s">
        <v>649</v>
      </c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626</v>
      </c>
      <c r="F424" s="34" t="s">
        <v>99</v>
      </c>
      <c r="G424" s="40"/>
      <c r="H424" s="48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790</v>
      </c>
      <c r="F425" s="34" t="s">
        <v>99</v>
      </c>
      <c r="G425" s="40"/>
      <c r="H425" s="48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628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632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792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588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633</v>
      </c>
      <c r="F430" s="34" t="s">
        <v>99</v>
      </c>
      <c r="G430" s="40"/>
      <c r="H430" s="53"/>
      <c r="I430" s="35"/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634</v>
      </c>
      <c r="F431" s="34" t="s">
        <v>99</v>
      </c>
      <c r="G431" s="40"/>
      <c r="H431" s="53"/>
      <c r="I431" s="35"/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627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629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630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637</v>
      </c>
      <c r="C435" s="33" t="s">
        <v>558</v>
      </c>
      <c r="D435" s="33" t="s">
        <v>625</v>
      </c>
      <c r="E435" s="33" t="s">
        <v>631</v>
      </c>
      <c r="F435" s="34" t="s">
        <v>127</v>
      </c>
      <c r="G435" s="40"/>
      <c r="H435" s="53"/>
      <c r="I435" s="35" t="s">
        <v>579</v>
      </c>
      <c r="J435" s="27"/>
    </row>
    <row r="436" spans="1:10" ht="24.9" hidden="1" customHeight="1" x14ac:dyDescent="0.3">
      <c r="A436" s="32" t="s">
        <v>599</v>
      </c>
      <c r="B436" s="33" t="s">
        <v>637</v>
      </c>
      <c r="C436" s="33" t="s">
        <v>558</v>
      </c>
      <c r="D436" s="33" t="s">
        <v>625</v>
      </c>
      <c r="E436" s="33" t="s">
        <v>791</v>
      </c>
      <c r="F436" s="34" t="s">
        <v>127</v>
      </c>
      <c r="G436" s="40"/>
      <c r="H436" s="53"/>
      <c r="I436" s="35" t="s">
        <v>579</v>
      </c>
      <c r="J436" s="27"/>
    </row>
    <row r="437" spans="1:10" ht="24.9" hidden="1" customHeight="1" x14ac:dyDescent="0.3">
      <c r="A437" s="32" t="s">
        <v>599</v>
      </c>
      <c r="B437" s="33" t="s">
        <v>645</v>
      </c>
      <c r="C437" s="33" t="s">
        <v>558</v>
      </c>
      <c r="D437" s="33" t="s">
        <v>641</v>
      </c>
      <c r="E437" s="33" t="s">
        <v>642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789</v>
      </c>
      <c r="F438" s="34" t="s">
        <v>99</v>
      </c>
      <c r="G438" s="40"/>
      <c r="H438" s="40" t="s">
        <v>543</v>
      </c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617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618</v>
      </c>
      <c r="F440" s="34" t="s">
        <v>99</v>
      </c>
      <c r="G440" s="40"/>
      <c r="H440" s="53"/>
      <c r="I440" s="35"/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619</v>
      </c>
      <c r="F441" s="34" t="s">
        <v>99</v>
      </c>
      <c r="G441" s="40"/>
      <c r="H441" s="53"/>
      <c r="I441" s="35"/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602</v>
      </c>
      <c r="F442" s="34" t="s">
        <v>127</v>
      </c>
      <c r="G442" s="40"/>
      <c r="H442" s="40" t="s">
        <v>603</v>
      </c>
      <c r="I442" s="35" t="s">
        <v>604</v>
      </c>
      <c r="J442" s="27"/>
    </row>
    <row r="443" spans="1:10" ht="24.9" hidden="1" customHeight="1" x14ac:dyDescent="0.3">
      <c r="A443" s="32" t="s">
        <v>599</v>
      </c>
      <c r="B443" s="33" t="s">
        <v>607</v>
      </c>
      <c r="C443" s="33" t="s">
        <v>558</v>
      </c>
      <c r="D443" s="33" t="s">
        <v>601</v>
      </c>
      <c r="E443" s="33" t="s">
        <v>605</v>
      </c>
      <c r="F443" s="34" t="s">
        <v>127</v>
      </c>
      <c r="G443" s="40"/>
      <c r="H443" s="40" t="s">
        <v>300</v>
      </c>
      <c r="I443" s="35" t="s">
        <v>606</v>
      </c>
      <c r="J443" s="27"/>
    </row>
    <row r="444" spans="1:10" ht="24.9" hidden="1" customHeight="1" x14ac:dyDescent="0.3">
      <c r="A444" s="32" t="s">
        <v>599</v>
      </c>
      <c r="B444" s="33" t="s">
        <v>607</v>
      </c>
      <c r="C444" s="33" t="s">
        <v>558</v>
      </c>
      <c r="D444" s="33" t="s">
        <v>601</v>
      </c>
      <c r="E444" s="33" t="s">
        <v>793</v>
      </c>
      <c r="F444" s="34" t="s">
        <v>127</v>
      </c>
      <c r="G444" s="40"/>
      <c r="H444" s="40" t="s">
        <v>227</v>
      </c>
      <c r="I444" s="35" t="s">
        <v>649</v>
      </c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626</v>
      </c>
      <c r="F445" s="34" t="s">
        <v>99</v>
      </c>
      <c r="G445" s="40"/>
      <c r="H445" s="53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790</v>
      </c>
      <c r="F446" s="34" t="s">
        <v>99</v>
      </c>
      <c r="G446" s="40"/>
      <c r="H446" s="40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628</v>
      </c>
      <c r="F447" s="34" t="s">
        <v>99</v>
      </c>
      <c r="G447" s="40"/>
      <c r="H447" s="40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632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792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588</v>
      </c>
      <c r="F450" s="34" t="s">
        <v>99</v>
      </c>
      <c r="G450" s="40"/>
      <c r="H450" s="53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633</v>
      </c>
      <c r="F451" s="34" t="s">
        <v>99</v>
      </c>
      <c r="G451" s="40"/>
      <c r="H451" s="53"/>
      <c r="I451" s="35"/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634</v>
      </c>
      <c r="F452" s="34" t="s">
        <v>99</v>
      </c>
      <c r="G452" s="40"/>
      <c r="H452" s="40"/>
      <c r="I452" s="35"/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627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629</v>
      </c>
      <c r="F454" s="34" t="s">
        <v>127</v>
      </c>
      <c r="G454" s="40"/>
      <c r="H454" s="40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617</v>
      </c>
      <c r="F455" s="34" t="s">
        <v>127</v>
      </c>
      <c r="G455" s="40"/>
      <c r="H455" s="40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630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638</v>
      </c>
      <c r="C457" s="33" t="s">
        <v>560</v>
      </c>
      <c r="D457" s="33" t="s">
        <v>625</v>
      </c>
      <c r="E457" s="33" t="s">
        <v>631</v>
      </c>
      <c r="F457" s="34" t="s">
        <v>127</v>
      </c>
      <c r="G457" s="40"/>
      <c r="H457" s="53"/>
      <c r="I457" s="35" t="s">
        <v>579</v>
      </c>
      <c r="J457" s="27"/>
    </row>
    <row r="458" spans="1:10" ht="24.9" hidden="1" customHeight="1" x14ac:dyDescent="0.3">
      <c r="A458" s="32" t="s">
        <v>599</v>
      </c>
      <c r="B458" s="33" t="s">
        <v>638</v>
      </c>
      <c r="C458" s="33" t="s">
        <v>560</v>
      </c>
      <c r="D458" s="33" t="s">
        <v>625</v>
      </c>
      <c r="E458" s="33" t="s">
        <v>791</v>
      </c>
      <c r="F458" s="34" t="s">
        <v>127</v>
      </c>
      <c r="G458" s="40"/>
      <c r="H458" s="53"/>
      <c r="I458" s="35" t="s">
        <v>579</v>
      </c>
      <c r="J458" s="27"/>
    </row>
    <row r="459" spans="1:10" ht="24.9" hidden="1" customHeight="1" x14ac:dyDescent="0.3">
      <c r="A459" s="32" t="s">
        <v>599</v>
      </c>
      <c r="B459" s="33" t="s">
        <v>646</v>
      </c>
      <c r="C459" s="33" t="s">
        <v>560</v>
      </c>
      <c r="D459" s="33" t="s">
        <v>641</v>
      </c>
      <c r="E459" s="33" t="s">
        <v>642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789</v>
      </c>
      <c r="F460" s="34" t="s">
        <v>99</v>
      </c>
      <c r="G460" s="40"/>
      <c r="H460" s="40" t="s">
        <v>543</v>
      </c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617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618</v>
      </c>
      <c r="F462" s="34" t="s">
        <v>99</v>
      </c>
      <c r="G462" s="40"/>
      <c r="H462" s="53"/>
      <c r="I462" s="35"/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619</v>
      </c>
      <c r="F463" s="34" t="s">
        <v>99</v>
      </c>
      <c r="G463" s="40"/>
      <c r="H463" s="53"/>
      <c r="I463" s="35"/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602</v>
      </c>
      <c r="F464" s="34" t="s">
        <v>127</v>
      </c>
      <c r="G464" s="40"/>
      <c r="H464" s="40" t="s">
        <v>603</v>
      </c>
      <c r="I464" s="35" t="s">
        <v>604</v>
      </c>
      <c r="J464" s="27"/>
    </row>
    <row r="465" spans="1:10" ht="24.9" hidden="1" customHeight="1" x14ac:dyDescent="0.3">
      <c r="A465" s="32" t="s">
        <v>599</v>
      </c>
      <c r="B465" s="33" t="s">
        <v>608</v>
      </c>
      <c r="C465" s="33" t="s">
        <v>560</v>
      </c>
      <c r="D465" s="33" t="s">
        <v>601</v>
      </c>
      <c r="E465" s="33" t="s">
        <v>605</v>
      </c>
      <c r="F465" s="34" t="s">
        <v>127</v>
      </c>
      <c r="G465" s="40"/>
      <c r="H465" s="40" t="s">
        <v>300</v>
      </c>
      <c r="I465" s="35" t="s">
        <v>606</v>
      </c>
      <c r="J465" s="27"/>
    </row>
    <row r="466" spans="1:10" ht="24.9" hidden="1" customHeight="1" x14ac:dyDescent="0.3">
      <c r="A466" s="32" t="s">
        <v>599</v>
      </c>
      <c r="B466" s="33" t="s">
        <v>608</v>
      </c>
      <c r="C466" s="33" t="s">
        <v>560</v>
      </c>
      <c r="D466" s="33" t="s">
        <v>601</v>
      </c>
      <c r="E466" s="33" t="s">
        <v>793</v>
      </c>
      <c r="F466" s="34" t="s">
        <v>127</v>
      </c>
      <c r="G466" s="40"/>
      <c r="H466" s="40" t="s">
        <v>227</v>
      </c>
      <c r="I466" s="35" t="s">
        <v>649</v>
      </c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626</v>
      </c>
      <c r="F467" s="34" t="s">
        <v>99</v>
      </c>
      <c r="G467" s="40"/>
      <c r="H467" s="53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790</v>
      </c>
      <c r="F468" s="34" t="s">
        <v>99</v>
      </c>
      <c r="G468" s="40"/>
      <c r="H468" s="40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628</v>
      </c>
      <c r="F469" s="34" t="s">
        <v>99</v>
      </c>
      <c r="G469" s="40"/>
      <c r="H469" s="40"/>
      <c r="I469" s="3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632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792</v>
      </c>
      <c r="F471" s="34" t="s">
        <v>99</v>
      </c>
      <c r="G471" s="40"/>
      <c r="H471" s="53"/>
      <c r="I471" s="5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588</v>
      </c>
      <c r="F472" s="34" t="s">
        <v>99</v>
      </c>
      <c r="G472" s="40"/>
      <c r="H472" s="53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633</v>
      </c>
      <c r="F473" s="34" t="s">
        <v>99</v>
      </c>
      <c r="G473" s="40"/>
      <c r="H473" s="53"/>
      <c r="I473" s="35"/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634</v>
      </c>
      <c r="F474" s="34" t="s">
        <v>99</v>
      </c>
      <c r="G474" s="40"/>
      <c r="H474" s="40"/>
      <c r="I474" s="35"/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627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629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630</v>
      </c>
      <c r="F477" s="34" t="s">
        <v>127</v>
      </c>
      <c r="G477" s="40"/>
      <c r="H477" s="40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639</v>
      </c>
      <c r="C478" s="33" t="s">
        <v>548</v>
      </c>
      <c r="D478" s="33" t="s">
        <v>625</v>
      </c>
      <c r="E478" s="33" t="s">
        <v>631</v>
      </c>
      <c r="F478" s="34" t="s">
        <v>127</v>
      </c>
      <c r="G478" s="40"/>
      <c r="H478" s="40"/>
      <c r="I478" s="35" t="s">
        <v>579</v>
      </c>
      <c r="J478" s="27"/>
    </row>
    <row r="479" spans="1:10" ht="24.9" hidden="1" customHeight="1" x14ac:dyDescent="0.3">
      <c r="A479" s="32" t="s">
        <v>599</v>
      </c>
      <c r="B479" s="33" t="s">
        <v>639</v>
      </c>
      <c r="C479" s="33" t="s">
        <v>548</v>
      </c>
      <c r="D479" s="33" t="s">
        <v>625</v>
      </c>
      <c r="E479" s="33" t="s">
        <v>791</v>
      </c>
      <c r="F479" s="34" t="s">
        <v>127</v>
      </c>
      <c r="G479" s="40"/>
      <c r="H479" s="53"/>
      <c r="I479" s="35" t="s">
        <v>579</v>
      </c>
      <c r="J479" s="27"/>
    </row>
    <row r="480" spans="1:10" ht="24.9" hidden="1" customHeight="1" x14ac:dyDescent="0.3">
      <c r="A480" s="32" t="s">
        <v>599</v>
      </c>
      <c r="B480" s="33" t="s">
        <v>647</v>
      </c>
      <c r="C480" s="33" t="s">
        <v>548</v>
      </c>
      <c r="D480" s="33" t="s">
        <v>641</v>
      </c>
      <c r="E480" s="33" t="s">
        <v>642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789</v>
      </c>
      <c r="F481" s="34" t="s">
        <v>99</v>
      </c>
      <c r="G481" s="40"/>
      <c r="H481" s="40" t="s">
        <v>543</v>
      </c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601</v>
      </c>
      <c r="E482" s="33" t="s">
        <v>617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618</v>
      </c>
      <c r="F483" s="34" t="s">
        <v>99</v>
      </c>
      <c r="G483" s="40"/>
      <c r="H483" s="53"/>
      <c r="I483" s="35"/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619</v>
      </c>
      <c r="F484" s="34" t="s">
        <v>99</v>
      </c>
      <c r="G484" s="40"/>
      <c r="H484" s="53"/>
      <c r="I484" s="35"/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602</v>
      </c>
      <c r="F485" s="34" t="s">
        <v>127</v>
      </c>
      <c r="G485" s="40"/>
      <c r="H485" s="40" t="s">
        <v>603</v>
      </c>
      <c r="I485" s="35" t="s">
        <v>604</v>
      </c>
      <c r="J485" s="27"/>
    </row>
    <row r="486" spans="1:10" ht="24.9" hidden="1" customHeight="1" x14ac:dyDescent="0.3">
      <c r="A486" s="32" t="s">
        <v>599</v>
      </c>
      <c r="B486" s="33" t="s">
        <v>609</v>
      </c>
      <c r="C486" s="33" t="s">
        <v>548</v>
      </c>
      <c r="D486" s="33" t="s">
        <v>610</v>
      </c>
      <c r="E486" s="33" t="s">
        <v>605</v>
      </c>
      <c r="F486" s="34" t="s">
        <v>127</v>
      </c>
      <c r="G486" s="40"/>
      <c r="H486" s="40" t="s">
        <v>300</v>
      </c>
      <c r="I486" s="35" t="s">
        <v>606</v>
      </c>
      <c r="J486" s="27"/>
    </row>
    <row r="487" spans="1:10" ht="24.9" hidden="1" customHeight="1" x14ac:dyDescent="0.3">
      <c r="A487" s="32" t="s">
        <v>599</v>
      </c>
      <c r="B487" s="33" t="s">
        <v>609</v>
      </c>
      <c r="C487" s="33" t="s">
        <v>548</v>
      </c>
      <c r="D487" s="33" t="s">
        <v>610</v>
      </c>
      <c r="E487" s="33" t="s">
        <v>793</v>
      </c>
      <c r="F487" s="34" t="s">
        <v>127</v>
      </c>
      <c r="G487" s="40"/>
      <c r="H487" s="40" t="s">
        <v>227</v>
      </c>
      <c r="I487" s="35" t="s">
        <v>649</v>
      </c>
      <c r="J487" s="27"/>
    </row>
    <row r="488" spans="1:10" ht="24.9" hidden="1" customHeight="1" x14ac:dyDescent="0.3">
      <c r="A488" s="32" t="s">
        <v>599</v>
      </c>
      <c r="B488" s="33" t="s">
        <v>614</v>
      </c>
      <c r="C488" s="33" t="s">
        <v>615</v>
      </c>
      <c r="D488" s="33" t="s">
        <v>848</v>
      </c>
      <c r="E488" s="33" t="s">
        <v>243</v>
      </c>
      <c r="F488" s="34" t="s">
        <v>127</v>
      </c>
      <c r="G488" s="40"/>
      <c r="H488" s="53"/>
      <c r="I488" s="35" t="s">
        <v>205</v>
      </c>
      <c r="J488" s="27"/>
    </row>
    <row r="489" spans="1:10" ht="24.9" hidden="1" customHeight="1" x14ac:dyDescent="0.3">
      <c r="A489" s="32" t="s">
        <v>599</v>
      </c>
      <c r="B489" s="33" t="s">
        <v>620</v>
      </c>
      <c r="C489" s="33" t="s">
        <v>615</v>
      </c>
      <c r="D489" s="33" t="s">
        <v>849</v>
      </c>
      <c r="E489" s="33" t="s">
        <v>622</v>
      </c>
      <c r="F489" s="34" t="s">
        <v>127</v>
      </c>
      <c r="G489" s="40"/>
      <c r="H489" s="53"/>
      <c r="I489" s="35"/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849</v>
      </c>
      <c r="E490" s="33" t="s">
        <v>623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847</v>
      </c>
      <c r="C491" s="33" t="s">
        <v>615</v>
      </c>
      <c r="D491" s="33" t="s">
        <v>616</v>
      </c>
      <c r="E491" s="33" t="s">
        <v>243</v>
      </c>
      <c r="F491" s="34" t="s">
        <v>127</v>
      </c>
      <c r="G491" s="40"/>
      <c r="H491" s="53"/>
      <c r="I491" s="35" t="s">
        <v>205</v>
      </c>
      <c r="J491" s="27"/>
    </row>
    <row r="492" spans="1:10" ht="24.9" hidden="1" customHeight="1" x14ac:dyDescent="0.3">
      <c r="A492" s="32" t="s">
        <v>599</v>
      </c>
      <c r="B492" s="33" t="s">
        <v>620</v>
      </c>
      <c r="C492" s="33" t="s">
        <v>615</v>
      </c>
      <c r="D492" s="33" t="s">
        <v>621</v>
      </c>
      <c r="E492" s="33" t="s">
        <v>622</v>
      </c>
      <c r="F492" s="34" t="s">
        <v>127</v>
      </c>
      <c r="G492" s="40"/>
      <c r="H492" s="53"/>
      <c r="I492" s="35"/>
      <c r="J492" s="27"/>
    </row>
    <row r="493" spans="1:10" ht="24.9" hidden="1" customHeight="1" x14ac:dyDescent="0.3">
      <c r="A493" s="32" t="s">
        <v>599</v>
      </c>
      <c r="B493" s="33" t="s">
        <v>620</v>
      </c>
      <c r="C493" s="33" t="s">
        <v>615</v>
      </c>
      <c r="D493" s="33" t="s">
        <v>621</v>
      </c>
      <c r="E493" s="33" t="s">
        <v>623</v>
      </c>
      <c r="F493" s="34" t="s">
        <v>127</v>
      </c>
      <c r="G493" s="40"/>
      <c r="H493" s="53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173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651</v>
      </c>
      <c r="C495" s="33" t="s">
        <v>652</v>
      </c>
      <c r="D495" s="33" t="s">
        <v>653</v>
      </c>
      <c r="E495" s="33" t="s">
        <v>794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651</v>
      </c>
      <c r="C496" s="33" t="s">
        <v>652</v>
      </c>
      <c r="D496" s="33" t="s">
        <v>653</v>
      </c>
      <c r="E496" s="33" t="s">
        <v>183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173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654</v>
      </c>
      <c r="C498" s="33" t="s">
        <v>652</v>
      </c>
      <c r="D498" s="33" t="s">
        <v>655</v>
      </c>
      <c r="E498" s="33" t="s">
        <v>794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654</v>
      </c>
      <c r="C499" s="33" t="s">
        <v>652</v>
      </c>
      <c r="D499" s="33" t="s">
        <v>655</v>
      </c>
      <c r="E499" s="33" t="s">
        <v>183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173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656</v>
      </c>
      <c r="C501" s="33" t="s">
        <v>652</v>
      </c>
      <c r="D501" s="33" t="s">
        <v>657</v>
      </c>
      <c r="E501" s="33" t="s">
        <v>794</v>
      </c>
      <c r="F501" s="34" t="s">
        <v>127</v>
      </c>
      <c r="G501" s="40"/>
      <c r="H501" s="40"/>
      <c r="I501" s="35"/>
      <c r="J501" s="27"/>
    </row>
    <row r="502" spans="1:10" ht="24.9" hidden="1" customHeight="1" x14ac:dyDescent="0.3">
      <c r="A502" s="32" t="s">
        <v>650</v>
      </c>
      <c r="B502" s="33" t="s">
        <v>656</v>
      </c>
      <c r="C502" s="33" t="s">
        <v>652</v>
      </c>
      <c r="D502" s="33" t="s">
        <v>657</v>
      </c>
      <c r="E502" s="33" t="s">
        <v>183</v>
      </c>
      <c r="F502" s="34" t="s">
        <v>127</v>
      </c>
      <c r="G502" s="40"/>
      <c r="H502" s="40"/>
      <c r="I502" s="35"/>
      <c r="J502" s="27"/>
    </row>
    <row r="503" spans="1:10" ht="24.9" hidden="1" customHeight="1" x14ac:dyDescent="0.3">
      <c r="A503" s="32" t="s">
        <v>650</v>
      </c>
      <c r="B503" s="33" t="s">
        <v>659</v>
      </c>
      <c r="C503" s="33" t="s">
        <v>652</v>
      </c>
      <c r="D503" s="33" t="s">
        <v>185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659</v>
      </c>
      <c r="C504" s="33" t="s">
        <v>652</v>
      </c>
      <c r="D504" s="33" t="s">
        <v>185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658</v>
      </c>
      <c r="C505" s="33" t="s">
        <v>652</v>
      </c>
      <c r="D505" s="33" t="s">
        <v>189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658</v>
      </c>
      <c r="C506" s="33" t="s">
        <v>652</v>
      </c>
      <c r="D506" s="33" t="s">
        <v>189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650</v>
      </c>
      <c r="B507" s="33" t="s">
        <v>660</v>
      </c>
      <c r="C507" s="33" t="s">
        <v>652</v>
      </c>
      <c r="D507" s="33" t="s">
        <v>187</v>
      </c>
      <c r="E507" s="33" t="s">
        <v>160</v>
      </c>
      <c r="F507" s="34" t="s">
        <v>127</v>
      </c>
      <c r="G507" s="40"/>
      <c r="H507" s="51"/>
      <c r="I507" s="35"/>
      <c r="J507" s="27"/>
    </row>
    <row r="508" spans="1:10" ht="24.9" hidden="1" customHeight="1" x14ac:dyDescent="0.3">
      <c r="A508" s="32" t="s">
        <v>650</v>
      </c>
      <c r="B508" s="33" t="s">
        <v>660</v>
      </c>
      <c r="C508" s="33" t="s">
        <v>652</v>
      </c>
      <c r="D508" s="33" t="s">
        <v>187</v>
      </c>
      <c r="E508" s="33" t="s">
        <v>183</v>
      </c>
      <c r="F508" s="34" t="s">
        <v>127</v>
      </c>
      <c r="G508" s="40"/>
      <c r="H508" s="51"/>
      <c r="I508" s="35"/>
      <c r="J508" s="27"/>
    </row>
    <row r="509" spans="1:10" ht="24.9" hidden="1" customHeight="1" x14ac:dyDescent="0.3">
      <c r="A509" s="32" t="s">
        <v>661</v>
      </c>
      <c r="B509" s="33" t="s">
        <v>662</v>
      </c>
      <c r="C509" s="33" t="s">
        <v>370</v>
      </c>
      <c r="D509" s="33" t="s">
        <v>663</v>
      </c>
      <c r="E509" s="33" t="s">
        <v>780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664</v>
      </c>
      <c r="C510" s="33" t="s">
        <v>665</v>
      </c>
      <c r="D510" s="33" t="s">
        <v>804</v>
      </c>
      <c r="E510" s="33" t="s">
        <v>666</v>
      </c>
      <c r="F510" s="34" t="s">
        <v>99</v>
      </c>
      <c r="G510" s="40"/>
      <c r="H510" s="40"/>
      <c r="I510" s="35"/>
      <c r="J510" s="27"/>
    </row>
    <row r="511" spans="1:10" ht="24.9" hidden="1" customHeight="1" x14ac:dyDescent="0.3">
      <c r="A511" s="32" t="s">
        <v>661</v>
      </c>
      <c r="B511" s="33" t="s">
        <v>664</v>
      </c>
      <c r="C511" s="33" t="s">
        <v>665</v>
      </c>
      <c r="D511" s="33" t="s">
        <v>804</v>
      </c>
      <c r="E511" s="33" t="s">
        <v>795</v>
      </c>
      <c r="F511" s="34" t="s">
        <v>127</v>
      </c>
      <c r="G511" s="40"/>
      <c r="H511" s="40"/>
      <c r="I511" s="35"/>
      <c r="J511" s="27"/>
    </row>
    <row r="512" spans="1:10" ht="24.9" hidden="1" customHeight="1" x14ac:dyDescent="0.3">
      <c r="A512" s="32" t="s">
        <v>661</v>
      </c>
      <c r="B512" s="33" t="s">
        <v>668</v>
      </c>
      <c r="C512" s="33" t="s">
        <v>665</v>
      </c>
      <c r="D512" s="33" t="s">
        <v>805</v>
      </c>
      <c r="E512" s="33" t="s">
        <v>666</v>
      </c>
      <c r="F512" s="34" t="s">
        <v>99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668</v>
      </c>
      <c r="C513" s="33" t="s">
        <v>665</v>
      </c>
      <c r="D513" s="33" t="s">
        <v>805</v>
      </c>
      <c r="E513" s="33" t="s">
        <v>795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671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669</v>
      </c>
      <c r="C515" s="33" t="s">
        <v>551</v>
      </c>
      <c r="D515" s="33" t="s">
        <v>670</v>
      </c>
      <c r="E515" s="33" t="s">
        <v>796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669</v>
      </c>
      <c r="C516" s="33" t="s">
        <v>551</v>
      </c>
      <c r="D516" s="33" t="s">
        <v>670</v>
      </c>
      <c r="E516" s="33" t="s">
        <v>674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671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675</v>
      </c>
      <c r="C518" s="33" t="s">
        <v>554</v>
      </c>
      <c r="D518" s="33" t="s">
        <v>670</v>
      </c>
      <c r="E518" s="33" t="s">
        <v>796</v>
      </c>
      <c r="F518" s="34" t="s">
        <v>127</v>
      </c>
      <c r="G518" s="40"/>
      <c r="H518" s="40"/>
      <c r="I518" s="35" t="s">
        <v>579</v>
      </c>
      <c r="J518" s="27"/>
    </row>
    <row r="519" spans="1:10" ht="24.9" hidden="1" customHeight="1" x14ac:dyDescent="0.3">
      <c r="A519" s="32" t="s">
        <v>661</v>
      </c>
      <c r="B519" s="33" t="s">
        <v>675</v>
      </c>
      <c r="C519" s="33" t="s">
        <v>554</v>
      </c>
      <c r="D519" s="33" t="s">
        <v>670</v>
      </c>
      <c r="E519" s="33" t="s">
        <v>674</v>
      </c>
      <c r="F519" s="34" t="s">
        <v>127</v>
      </c>
      <c r="G519" s="40"/>
      <c r="H519" s="40"/>
      <c r="I519" s="35" t="s">
        <v>579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671</v>
      </c>
      <c r="F520" s="34" t="s">
        <v>673</v>
      </c>
      <c r="G520" s="40"/>
      <c r="H520" s="40"/>
      <c r="I520" s="35" t="s">
        <v>579</v>
      </c>
      <c r="J520" s="27"/>
    </row>
    <row r="521" spans="1:10" ht="24.9" hidden="1" customHeight="1" x14ac:dyDescent="0.3">
      <c r="A521" s="32" t="s">
        <v>661</v>
      </c>
      <c r="B521" s="33" t="s">
        <v>676</v>
      </c>
      <c r="C521" s="33" t="s">
        <v>556</v>
      </c>
      <c r="D521" s="33" t="s">
        <v>670</v>
      </c>
      <c r="E521" s="33" t="s">
        <v>796</v>
      </c>
      <c r="F521" s="34" t="s">
        <v>673</v>
      </c>
      <c r="G521" s="40"/>
      <c r="H521" s="40"/>
      <c r="I521" s="35" t="s">
        <v>579</v>
      </c>
      <c r="J521" s="27"/>
    </row>
    <row r="522" spans="1:10" ht="24.9" hidden="1" customHeight="1" x14ac:dyDescent="0.3">
      <c r="A522" s="32" t="s">
        <v>661</v>
      </c>
      <c r="B522" s="33" t="s">
        <v>676</v>
      </c>
      <c r="C522" s="33" t="s">
        <v>556</v>
      </c>
      <c r="D522" s="33" t="s">
        <v>670</v>
      </c>
      <c r="E522" s="33" t="s">
        <v>674</v>
      </c>
      <c r="F522" s="34" t="s">
        <v>673</v>
      </c>
      <c r="G522" s="40"/>
      <c r="H522" s="40"/>
      <c r="I522" s="35" t="s">
        <v>579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671</v>
      </c>
      <c r="F523" s="34" t="s">
        <v>673</v>
      </c>
      <c r="G523" s="40"/>
      <c r="H523" s="40"/>
      <c r="I523" s="35" t="s">
        <v>579</v>
      </c>
      <c r="J523" s="27"/>
    </row>
    <row r="524" spans="1:10" ht="24.9" hidden="1" customHeight="1" x14ac:dyDescent="0.3">
      <c r="A524" s="32" t="s">
        <v>661</v>
      </c>
      <c r="B524" s="33" t="s">
        <v>677</v>
      </c>
      <c r="C524" s="33" t="s">
        <v>558</v>
      </c>
      <c r="D524" s="33" t="s">
        <v>670</v>
      </c>
      <c r="E524" s="33" t="s">
        <v>796</v>
      </c>
      <c r="F524" s="34" t="s">
        <v>673</v>
      </c>
      <c r="G524" s="40"/>
      <c r="H524" s="40"/>
      <c r="I524" s="35" t="s">
        <v>579</v>
      </c>
      <c r="J524" s="27"/>
    </row>
    <row r="525" spans="1:10" ht="24.9" hidden="1" customHeight="1" x14ac:dyDescent="0.3">
      <c r="A525" s="32" t="s">
        <v>661</v>
      </c>
      <c r="B525" s="33" t="s">
        <v>677</v>
      </c>
      <c r="C525" s="33" t="s">
        <v>558</v>
      </c>
      <c r="D525" s="33" t="s">
        <v>670</v>
      </c>
      <c r="E525" s="33" t="s">
        <v>674</v>
      </c>
      <c r="F525" s="34" t="s">
        <v>673</v>
      </c>
      <c r="G525" s="40"/>
      <c r="H525" s="40"/>
      <c r="I525" s="35" t="s">
        <v>579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671</v>
      </c>
      <c r="F526" s="34" t="s">
        <v>673</v>
      </c>
      <c r="G526" s="40"/>
      <c r="H526" s="40"/>
      <c r="I526" s="35" t="s">
        <v>579</v>
      </c>
      <c r="J526" s="27"/>
    </row>
    <row r="527" spans="1:10" ht="24.9" hidden="1" customHeight="1" x14ac:dyDescent="0.3">
      <c r="A527" s="32" t="s">
        <v>661</v>
      </c>
      <c r="B527" s="33" t="s">
        <v>678</v>
      </c>
      <c r="C527" s="33" t="s">
        <v>560</v>
      </c>
      <c r="D527" s="33" t="s">
        <v>670</v>
      </c>
      <c r="E527" s="33" t="s">
        <v>796</v>
      </c>
      <c r="F527" s="34" t="s">
        <v>673</v>
      </c>
      <c r="G527" s="40"/>
      <c r="H527" s="40"/>
      <c r="I527" s="35" t="s">
        <v>579</v>
      </c>
      <c r="J527" s="27"/>
    </row>
    <row r="528" spans="1:10" ht="24.9" hidden="1" customHeight="1" x14ac:dyDescent="0.3">
      <c r="A528" s="32" t="s">
        <v>661</v>
      </c>
      <c r="B528" s="33" t="s">
        <v>678</v>
      </c>
      <c r="C528" s="33" t="s">
        <v>560</v>
      </c>
      <c r="D528" s="33" t="s">
        <v>670</v>
      </c>
      <c r="E528" s="33" t="s">
        <v>674</v>
      </c>
      <c r="F528" s="34" t="s">
        <v>673</v>
      </c>
      <c r="G528" s="40"/>
      <c r="H528" s="40"/>
      <c r="I528" s="35" t="s">
        <v>579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671</v>
      </c>
      <c r="F529" s="34" t="s">
        <v>673</v>
      </c>
      <c r="G529" s="40"/>
      <c r="H529" s="40"/>
      <c r="I529" s="35" t="s">
        <v>579</v>
      </c>
      <c r="J529" s="27"/>
    </row>
    <row r="530" spans="1:10" ht="24.9" hidden="1" customHeight="1" x14ac:dyDescent="0.3">
      <c r="A530" s="32" t="s">
        <v>661</v>
      </c>
      <c r="B530" s="33" t="s">
        <v>679</v>
      </c>
      <c r="C530" s="33" t="s">
        <v>548</v>
      </c>
      <c r="D530" s="33" t="s">
        <v>670</v>
      </c>
      <c r="E530" s="33" t="s">
        <v>796</v>
      </c>
      <c r="F530" s="34" t="s">
        <v>673</v>
      </c>
      <c r="G530" s="40"/>
      <c r="H530" s="40"/>
      <c r="I530" s="35" t="s">
        <v>579</v>
      </c>
      <c r="J530" s="27"/>
    </row>
    <row r="531" spans="1:10" ht="24.9" hidden="1" customHeight="1" x14ac:dyDescent="0.3">
      <c r="A531" s="32" t="s">
        <v>661</v>
      </c>
      <c r="B531" s="33" t="s">
        <v>679</v>
      </c>
      <c r="C531" s="33" t="s">
        <v>548</v>
      </c>
      <c r="D531" s="33" t="s">
        <v>670</v>
      </c>
      <c r="E531" s="33" t="s">
        <v>674</v>
      </c>
      <c r="F531" s="34" t="s">
        <v>673</v>
      </c>
      <c r="G531" s="40"/>
      <c r="H531" s="40"/>
      <c r="I531" s="35" t="s">
        <v>579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765</v>
      </c>
      <c r="F532" s="34" t="s">
        <v>99</v>
      </c>
      <c r="G532" s="40"/>
      <c r="H532" s="40" t="s">
        <v>543</v>
      </c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225</v>
      </c>
      <c r="F533" s="34" t="s">
        <v>127</v>
      </c>
      <c r="G533" s="40"/>
      <c r="H533" s="40" t="s">
        <v>227</v>
      </c>
      <c r="I533" s="35" t="s">
        <v>226</v>
      </c>
      <c r="J533" s="27"/>
    </row>
    <row r="534" spans="1:10" ht="24.9" hidden="1" customHeight="1" x14ac:dyDescent="0.3">
      <c r="A534" s="32" t="s">
        <v>680</v>
      </c>
      <c r="B534" s="33" t="s">
        <v>702</v>
      </c>
      <c r="C534" s="33" t="s">
        <v>703</v>
      </c>
      <c r="D534" s="33" t="s">
        <v>704</v>
      </c>
      <c r="E534" s="33" t="s">
        <v>764</v>
      </c>
      <c r="F534" s="34" t="s">
        <v>167</v>
      </c>
      <c r="G534" s="40"/>
      <c r="H534" s="40"/>
      <c r="I534" s="35"/>
      <c r="J534" s="27"/>
    </row>
    <row r="535" spans="1:10" ht="24.9" hidden="1" customHeight="1" x14ac:dyDescent="0.3">
      <c r="A535" s="32" t="s">
        <v>680</v>
      </c>
      <c r="B535" s="33" t="s">
        <v>702</v>
      </c>
      <c r="C535" s="33" t="s">
        <v>703</v>
      </c>
      <c r="D535" s="33" t="s">
        <v>704</v>
      </c>
      <c r="E535" s="33" t="s">
        <v>195</v>
      </c>
      <c r="F535" s="34" t="s">
        <v>167</v>
      </c>
      <c r="G535" s="40"/>
      <c r="H535" s="51"/>
      <c r="I535" s="35"/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692</v>
      </c>
      <c r="F536" s="34" t="s">
        <v>127</v>
      </c>
      <c r="G536" s="40"/>
      <c r="H536" s="40" t="s">
        <v>837</v>
      </c>
      <c r="I536" s="35" t="s">
        <v>693</v>
      </c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694</v>
      </c>
      <c r="F537" s="34" t="s">
        <v>127</v>
      </c>
      <c r="G537" s="40"/>
      <c r="H537" s="40" t="s">
        <v>837</v>
      </c>
      <c r="I537" s="35" t="s">
        <v>695</v>
      </c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714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691</v>
      </c>
      <c r="E539" s="33" t="s">
        <v>715</v>
      </c>
      <c r="F539" s="34" t="s">
        <v>127</v>
      </c>
      <c r="G539" s="40"/>
      <c r="H539" s="40"/>
      <c r="I539" s="35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691</v>
      </c>
      <c r="E540" s="33" t="s">
        <v>716</v>
      </c>
      <c r="F540" s="34" t="s">
        <v>127</v>
      </c>
      <c r="G540" s="40"/>
      <c r="H540" s="40"/>
      <c r="I540" s="35"/>
      <c r="J540" s="27"/>
    </row>
    <row r="541" spans="1:10" ht="24.9" hidden="1" customHeight="1" x14ac:dyDescent="0.3">
      <c r="A541" s="32" t="s">
        <v>680</v>
      </c>
      <c r="B541" s="33" t="s">
        <v>689</v>
      </c>
      <c r="C541" s="33" t="s">
        <v>690</v>
      </c>
      <c r="D541" s="33" t="s">
        <v>699</v>
      </c>
      <c r="E541" s="33" t="s">
        <v>700</v>
      </c>
      <c r="F541" s="34" t="s">
        <v>95</v>
      </c>
      <c r="G541" s="40"/>
      <c r="H541" s="40"/>
      <c r="I541" s="114"/>
      <c r="J541" s="27"/>
    </row>
    <row r="542" spans="1:10" ht="24.9" hidden="1" customHeight="1" x14ac:dyDescent="0.3">
      <c r="A542" s="32" t="s">
        <v>680</v>
      </c>
      <c r="B542" s="33" t="s">
        <v>689</v>
      </c>
      <c r="C542" s="33" t="s">
        <v>690</v>
      </c>
      <c r="D542" s="33" t="s">
        <v>699</v>
      </c>
      <c r="E542" s="33" t="s">
        <v>701</v>
      </c>
      <c r="F542" s="34" t="s">
        <v>95</v>
      </c>
      <c r="G542" s="40"/>
      <c r="H542" s="40"/>
      <c r="I542" s="114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229</v>
      </c>
      <c r="F543" s="34" t="s">
        <v>127</v>
      </c>
      <c r="G543" s="40"/>
      <c r="H543" s="40" t="s">
        <v>837</v>
      </c>
      <c r="I543" s="35" t="s">
        <v>684</v>
      </c>
      <c r="J543" s="42"/>
    </row>
    <row r="544" spans="1:10" ht="24.9" hidden="1" customHeight="1" x14ac:dyDescent="0.3">
      <c r="A544" s="32" t="s">
        <v>680</v>
      </c>
      <c r="B544" s="33" t="s">
        <v>681</v>
      </c>
      <c r="C544" s="33" t="s">
        <v>682</v>
      </c>
      <c r="D544" s="33" t="s">
        <v>683</v>
      </c>
      <c r="E544" s="33" t="s">
        <v>713</v>
      </c>
      <c r="F544" s="34" t="s">
        <v>127</v>
      </c>
      <c r="G544" s="40"/>
      <c r="H544" s="40"/>
      <c r="I544" s="35"/>
      <c r="J544" s="27"/>
    </row>
    <row r="545" spans="1:10" ht="24.9" hidden="1" customHeight="1" x14ac:dyDescent="0.3">
      <c r="A545" s="32" t="s">
        <v>680</v>
      </c>
      <c r="B545" s="33" t="s">
        <v>681</v>
      </c>
      <c r="C545" s="33" t="s">
        <v>682</v>
      </c>
      <c r="D545" s="33" t="s">
        <v>683</v>
      </c>
      <c r="E545" s="33" t="s">
        <v>221</v>
      </c>
      <c r="F545" s="34" t="s">
        <v>127</v>
      </c>
      <c r="G545" s="40"/>
      <c r="H545" s="40"/>
      <c r="I545" s="35"/>
      <c r="J545" s="42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706</v>
      </c>
      <c r="E546" s="33" t="s">
        <v>213</v>
      </c>
      <c r="F546" s="34" t="s">
        <v>99</v>
      </c>
      <c r="G546" s="40"/>
      <c r="H546" s="51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706</v>
      </c>
      <c r="E547" s="33" t="s">
        <v>707</v>
      </c>
      <c r="F547" s="34" t="s">
        <v>99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160</v>
      </c>
      <c r="F548" s="34" t="s">
        <v>99</v>
      </c>
      <c r="G548" s="40"/>
      <c r="H548" s="40"/>
      <c r="I548" s="3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708</v>
      </c>
      <c r="E549" s="33" t="s">
        <v>797</v>
      </c>
      <c r="F549" s="34" t="s">
        <v>127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705</v>
      </c>
      <c r="C550" s="33" t="s">
        <v>703</v>
      </c>
      <c r="D550" s="33" t="s">
        <v>708</v>
      </c>
      <c r="E550" s="33" t="s">
        <v>217</v>
      </c>
      <c r="F550" s="34"/>
      <c r="G550" s="29"/>
      <c r="H550" s="29"/>
      <c r="I550" s="25"/>
      <c r="J550" s="27"/>
    </row>
    <row r="551" spans="1:10" ht="24.9" hidden="1" customHeight="1" x14ac:dyDescent="0.3">
      <c r="A551" s="32" t="s">
        <v>680</v>
      </c>
      <c r="B551" s="33" t="s">
        <v>705</v>
      </c>
      <c r="C551" s="33" t="s">
        <v>703</v>
      </c>
      <c r="D551" s="33" t="s">
        <v>846</v>
      </c>
      <c r="E551" s="33" t="s">
        <v>823</v>
      </c>
      <c r="F551" s="34" t="s">
        <v>127</v>
      </c>
      <c r="G551" s="40"/>
      <c r="H551" s="40"/>
      <c r="I551" s="35"/>
      <c r="J551" s="27"/>
    </row>
    <row r="552" spans="1:10" ht="24.9" hidden="1" customHeight="1" x14ac:dyDescent="0.3">
      <c r="A552" s="32" t="s">
        <v>680</v>
      </c>
      <c r="B552" s="33" t="s">
        <v>709</v>
      </c>
      <c r="C552" s="33" t="s">
        <v>686</v>
      </c>
      <c r="D552" s="33" t="s">
        <v>710</v>
      </c>
      <c r="E552" s="33" t="s">
        <v>712</v>
      </c>
      <c r="F552" s="34" t="s">
        <v>127</v>
      </c>
      <c r="G552" s="40"/>
      <c r="H552" s="40"/>
      <c r="I552" s="35"/>
      <c r="J552" s="27"/>
    </row>
    <row r="553" spans="1:10" ht="24.9" hidden="1" customHeight="1" x14ac:dyDescent="0.3">
      <c r="A553" s="32" t="s">
        <v>680</v>
      </c>
      <c r="B553" s="33" t="s">
        <v>813</v>
      </c>
      <c r="C553" s="33" t="s">
        <v>686</v>
      </c>
      <c r="D553" s="33" t="s">
        <v>822</v>
      </c>
      <c r="E553" s="33" t="s">
        <v>737</v>
      </c>
      <c r="F553" s="34" t="s">
        <v>127</v>
      </c>
      <c r="G553" s="50"/>
      <c r="H553" s="40" t="s">
        <v>837</v>
      </c>
      <c r="I553" s="35" t="s">
        <v>838</v>
      </c>
      <c r="J553" s="27"/>
    </row>
    <row r="554" spans="1:10" ht="24.9" hidden="1" customHeight="1" x14ac:dyDescent="0.3">
      <c r="A554" s="32" t="s">
        <v>680</v>
      </c>
      <c r="B554" s="33" t="s">
        <v>814</v>
      </c>
      <c r="C554" s="33" t="s">
        <v>686</v>
      </c>
      <c r="D554" s="33" t="s">
        <v>825</v>
      </c>
      <c r="E554" s="33" t="s">
        <v>823</v>
      </c>
      <c r="F554" s="34" t="s">
        <v>127</v>
      </c>
      <c r="G554" s="40"/>
      <c r="H554" s="40" t="s">
        <v>837</v>
      </c>
      <c r="I554" s="35" t="s">
        <v>839</v>
      </c>
      <c r="J554" s="27"/>
    </row>
    <row r="555" spans="1:10" ht="24.9" hidden="1" customHeight="1" x14ac:dyDescent="0.3">
      <c r="A555" s="32" t="s">
        <v>680</v>
      </c>
      <c r="B555" s="33" t="s">
        <v>815</v>
      </c>
      <c r="C555" s="33" t="s">
        <v>686</v>
      </c>
      <c r="D555" s="33" t="s">
        <v>826</v>
      </c>
      <c r="E555" s="33" t="s">
        <v>823</v>
      </c>
      <c r="F555" s="34" t="s">
        <v>127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816</v>
      </c>
      <c r="C556" s="33" t="s">
        <v>686</v>
      </c>
      <c r="D556" s="33" t="s">
        <v>827</v>
      </c>
      <c r="E556" s="33" t="s">
        <v>823</v>
      </c>
      <c r="F556" s="34" t="s">
        <v>127</v>
      </c>
      <c r="G556" s="40"/>
      <c r="H556" s="40" t="s">
        <v>837</v>
      </c>
      <c r="I556" s="35" t="s">
        <v>841</v>
      </c>
      <c r="J556" s="27"/>
    </row>
    <row r="557" spans="1:10" ht="24.9" hidden="1" customHeight="1" x14ac:dyDescent="0.3">
      <c r="A557" s="32" t="s">
        <v>680</v>
      </c>
      <c r="B557" s="33" t="s">
        <v>817</v>
      </c>
      <c r="C557" s="33" t="s">
        <v>686</v>
      </c>
      <c r="D557" s="33" t="s">
        <v>828</v>
      </c>
      <c r="E557" s="33" t="s">
        <v>823</v>
      </c>
      <c r="F557" s="34" t="s">
        <v>127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817</v>
      </c>
      <c r="C558" s="33" t="s">
        <v>686</v>
      </c>
      <c r="D558" s="33" t="s">
        <v>829</v>
      </c>
      <c r="E558" s="33" t="s">
        <v>823</v>
      </c>
      <c r="F558" s="34" t="s">
        <v>127</v>
      </c>
      <c r="G558" s="40"/>
      <c r="H558" s="40" t="s">
        <v>837</v>
      </c>
      <c r="I558" s="35" t="s">
        <v>840</v>
      </c>
      <c r="J558" s="27"/>
    </row>
    <row r="559" spans="1:10" ht="24.9" hidden="1" customHeight="1" x14ac:dyDescent="0.3">
      <c r="A559" s="32" t="s">
        <v>680</v>
      </c>
      <c r="B559" s="33" t="s">
        <v>818</v>
      </c>
      <c r="C559" s="33" t="s">
        <v>686</v>
      </c>
      <c r="D559" s="33" t="s">
        <v>830</v>
      </c>
      <c r="E559" s="33" t="s">
        <v>823</v>
      </c>
      <c r="F559" s="34" t="s">
        <v>127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819</v>
      </c>
      <c r="C560" s="33" t="s">
        <v>686</v>
      </c>
      <c r="D560" s="33" t="s">
        <v>831</v>
      </c>
      <c r="E560" s="33" t="s">
        <v>823</v>
      </c>
      <c r="F560" s="34" t="s">
        <v>127</v>
      </c>
      <c r="G560" s="40"/>
      <c r="H560" s="40" t="s">
        <v>837</v>
      </c>
      <c r="I560" s="35" t="s">
        <v>841</v>
      </c>
      <c r="J560" s="27"/>
    </row>
    <row r="561" spans="1:10" ht="24.9" hidden="1" customHeight="1" x14ac:dyDescent="0.3">
      <c r="A561" s="32" t="s">
        <v>680</v>
      </c>
      <c r="B561" s="33" t="s">
        <v>820</v>
      </c>
      <c r="C561" s="33" t="s">
        <v>686</v>
      </c>
      <c r="D561" s="33" t="s">
        <v>832</v>
      </c>
      <c r="E561" s="33" t="s">
        <v>823</v>
      </c>
      <c r="F561" s="34" t="s">
        <v>127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820</v>
      </c>
      <c r="C562" s="90" t="s">
        <v>686</v>
      </c>
      <c r="D562" s="33" t="s">
        <v>832</v>
      </c>
      <c r="E562" s="33" t="s">
        <v>824</v>
      </c>
      <c r="F562" s="34" t="s">
        <v>127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833</v>
      </c>
      <c r="E563" s="33" t="s">
        <v>823</v>
      </c>
      <c r="F563" s="34" t="s">
        <v>127</v>
      </c>
      <c r="G563" s="40"/>
      <c r="H563" s="40" t="s">
        <v>837</v>
      </c>
      <c r="I563" s="35" t="s">
        <v>840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834</v>
      </c>
      <c r="E564" s="33" t="s">
        <v>824</v>
      </c>
      <c r="F564" s="34" t="s">
        <v>127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821</v>
      </c>
      <c r="C565" s="90" t="s">
        <v>686</v>
      </c>
      <c r="D565" s="33" t="s">
        <v>835</v>
      </c>
      <c r="E565" s="33" t="s">
        <v>824</v>
      </c>
      <c r="F565" s="34" t="s">
        <v>127</v>
      </c>
      <c r="G565" s="40"/>
      <c r="H565" s="40" t="s">
        <v>837</v>
      </c>
      <c r="I565" s="35" t="s">
        <v>842</v>
      </c>
      <c r="J565" s="27"/>
    </row>
    <row r="566" spans="1:10" ht="24.9" hidden="1" customHeight="1" x14ac:dyDescent="0.3">
      <c r="A566" s="32" t="s">
        <v>680</v>
      </c>
      <c r="B566" s="33" t="s">
        <v>821</v>
      </c>
      <c r="C566" s="90" t="s">
        <v>686</v>
      </c>
      <c r="D566" s="33" t="s">
        <v>836</v>
      </c>
      <c r="E566" s="33" t="s">
        <v>823</v>
      </c>
      <c r="F566" s="34" t="s">
        <v>127</v>
      </c>
      <c r="G566" s="40"/>
      <c r="H566" s="40" t="s">
        <v>837</v>
      </c>
      <c r="I566" s="35" t="s">
        <v>842</v>
      </c>
      <c r="J566" s="27"/>
    </row>
    <row r="567" spans="1:10" ht="24.9" hidden="1" customHeight="1" x14ac:dyDescent="0.3">
      <c r="A567" s="32" t="s">
        <v>680</v>
      </c>
      <c r="B567" s="33" t="s">
        <v>709</v>
      </c>
      <c r="C567" s="90" t="s">
        <v>686</v>
      </c>
      <c r="D567" s="33" t="s">
        <v>710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685</v>
      </c>
      <c r="C568" s="90" t="s">
        <v>686</v>
      </c>
      <c r="D568" s="33" t="s">
        <v>687</v>
      </c>
      <c r="E568" s="33" t="s">
        <v>229</v>
      </c>
      <c r="F568" s="78" t="s">
        <v>127</v>
      </c>
      <c r="G568" s="40"/>
      <c r="H568" s="40" t="s">
        <v>837</v>
      </c>
      <c r="I568" s="35" t="s">
        <v>842</v>
      </c>
      <c r="J568" s="27"/>
    </row>
    <row r="569" spans="1:10" ht="24.9" hidden="1" customHeight="1" x14ac:dyDescent="0.3">
      <c r="A569" s="32" t="s">
        <v>680</v>
      </c>
      <c r="B569" s="33" t="s">
        <v>685</v>
      </c>
      <c r="C569" s="33" t="s">
        <v>686</v>
      </c>
      <c r="D569" s="33" t="s">
        <v>687</v>
      </c>
      <c r="E569" s="33" t="s">
        <v>712</v>
      </c>
      <c r="F569" s="34" t="s">
        <v>127</v>
      </c>
      <c r="G569" s="40"/>
      <c r="H569" s="40"/>
      <c r="I569" s="35"/>
      <c r="J569" s="27"/>
    </row>
    <row r="570" spans="1:10" ht="24.9" hidden="1" customHeight="1" x14ac:dyDescent="0.3">
      <c r="A570" s="32" t="s">
        <v>680</v>
      </c>
      <c r="B570" s="33" t="s">
        <v>685</v>
      </c>
      <c r="C570" s="33" t="s">
        <v>686</v>
      </c>
      <c r="D570" s="33" t="s">
        <v>687</v>
      </c>
      <c r="E570" s="33" t="s">
        <v>711</v>
      </c>
      <c r="F570" s="34" t="s">
        <v>167</v>
      </c>
      <c r="G570" s="40"/>
      <c r="H570" s="40"/>
      <c r="I570" s="35"/>
      <c r="J570" s="27"/>
    </row>
    <row r="571" spans="1:10" ht="24.9" hidden="1" customHeight="1" x14ac:dyDescent="0.3">
      <c r="A571" s="32" t="s">
        <v>680</v>
      </c>
      <c r="B571" s="33" t="s">
        <v>696</v>
      </c>
      <c r="C571" s="33" t="s">
        <v>686</v>
      </c>
      <c r="D571" s="33" t="s">
        <v>697</v>
      </c>
      <c r="E571" s="33" t="s">
        <v>698</v>
      </c>
      <c r="F571" s="78" t="s">
        <v>127</v>
      </c>
      <c r="G571" s="40"/>
      <c r="H571" s="40" t="s">
        <v>837</v>
      </c>
      <c r="I571" s="35" t="s">
        <v>688</v>
      </c>
      <c r="J571" s="27"/>
    </row>
    <row r="572" spans="1:10" ht="24.9" hidden="1" customHeight="1" x14ac:dyDescent="0.3">
      <c r="A572" s="32" t="s">
        <v>680</v>
      </c>
      <c r="B572" s="33" t="s">
        <v>696</v>
      </c>
      <c r="C572" s="33" t="s">
        <v>686</v>
      </c>
      <c r="D572" s="33" t="s">
        <v>697</v>
      </c>
      <c r="E572" s="33" t="s">
        <v>717</v>
      </c>
      <c r="F572" s="34" t="s">
        <v>127</v>
      </c>
      <c r="G572" s="40"/>
      <c r="H572" s="40"/>
      <c r="I572" s="35"/>
      <c r="J572" s="27"/>
    </row>
    <row r="573" spans="1:10" ht="24.9" hidden="1" customHeight="1" x14ac:dyDescent="0.3">
      <c r="A573" s="32" t="s">
        <v>718</v>
      </c>
      <c r="B573" s="33" t="s">
        <v>724</v>
      </c>
      <c r="C573" s="33" t="s">
        <v>725</v>
      </c>
      <c r="D573" s="33" t="s">
        <v>726</v>
      </c>
      <c r="E573" s="33" t="s">
        <v>130</v>
      </c>
      <c r="F573" s="34" t="s">
        <v>99</v>
      </c>
      <c r="G573" s="40"/>
      <c r="H573" s="40"/>
      <c r="I573" s="35"/>
      <c r="J573" s="27"/>
    </row>
    <row r="574" spans="1:10" ht="24.9" hidden="1" customHeight="1" x14ac:dyDescent="0.3">
      <c r="A574" s="32" t="s">
        <v>718</v>
      </c>
      <c r="B574" s="33" t="s">
        <v>724</v>
      </c>
      <c r="C574" s="33" t="s">
        <v>725</v>
      </c>
      <c r="D574" s="33" t="s">
        <v>726</v>
      </c>
      <c r="E574" s="33" t="s">
        <v>748</v>
      </c>
      <c r="F574" s="34" t="s">
        <v>99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724</v>
      </c>
      <c r="C575" s="33" t="s">
        <v>725</v>
      </c>
      <c r="D575" s="33" t="s">
        <v>726</v>
      </c>
      <c r="E575" s="33" t="s">
        <v>727</v>
      </c>
      <c r="F575" s="34" t="s">
        <v>127</v>
      </c>
      <c r="G575" s="40"/>
      <c r="H575" s="40" t="s">
        <v>168</v>
      </c>
      <c r="I575" s="35" t="s">
        <v>169</v>
      </c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694</v>
      </c>
      <c r="F576" s="34" t="s">
        <v>127</v>
      </c>
      <c r="G576" s="40"/>
      <c r="H576" s="40" t="s">
        <v>168</v>
      </c>
      <c r="I576" s="35" t="s">
        <v>695</v>
      </c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692</v>
      </c>
      <c r="F577" s="34" t="s">
        <v>127</v>
      </c>
      <c r="G577" s="40"/>
      <c r="H577" s="40" t="s">
        <v>378</v>
      </c>
      <c r="I577" s="35" t="s">
        <v>693</v>
      </c>
      <c r="J577" s="27"/>
    </row>
    <row r="578" spans="1:10" ht="24.9" hidden="1" customHeight="1" x14ac:dyDescent="0.3">
      <c r="A578" s="32" t="s">
        <v>718</v>
      </c>
      <c r="B578" s="33" t="s">
        <v>719</v>
      </c>
      <c r="C578" s="33" t="s">
        <v>720</v>
      </c>
      <c r="D578" s="33" t="s">
        <v>721</v>
      </c>
      <c r="E578" s="33" t="s">
        <v>714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719</v>
      </c>
      <c r="C579" s="33" t="s">
        <v>720</v>
      </c>
      <c r="D579" s="33" t="s">
        <v>721</v>
      </c>
      <c r="E579" s="33" t="s">
        <v>747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719</v>
      </c>
      <c r="C580" s="33" t="s">
        <v>720</v>
      </c>
      <c r="D580" s="33" t="s">
        <v>721</v>
      </c>
      <c r="E580" s="33" t="s">
        <v>700</v>
      </c>
      <c r="F580" s="34" t="s">
        <v>95</v>
      </c>
      <c r="G580" s="40"/>
      <c r="H580" s="40"/>
      <c r="I580" s="114"/>
      <c r="J580" s="27"/>
    </row>
    <row r="581" spans="1:10" ht="24.9" hidden="1" customHeight="1" x14ac:dyDescent="0.3">
      <c r="A581" s="32" t="s">
        <v>718</v>
      </c>
      <c r="B581" s="33" t="s">
        <v>719</v>
      </c>
      <c r="C581" s="33" t="s">
        <v>720</v>
      </c>
      <c r="D581" s="33" t="s">
        <v>721</v>
      </c>
      <c r="E581" s="33" t="s">
        <v>701</v>
      </c>
      <c r="F581" s="34" t="s">
        <v>95</v>
      </c>
      <c r="G581" s="40"/>
      <c r="H581" s="40"/>
      <c r="I581" s="114"/>
      <c r="J581" s="27"/>
    </row>
    <row r="582" spans="1:10" ht="24.9" hidden="1" customHeight="1" x14ac:dyDescent="0.3">
      <c r="A582" s="32" t="s">
        <v>718</v>
      </c>
      <c r="B582" s="33" t="s">
        <v>735</v>
      </c>
      <c r="C582" s="33" t="s">
        <v>720</v>
      </c>
      <c r="D582" s="33" t="s">
        <v>736</v>
      </c>
      <c r="E582" s="33" t="s">
        <v>130</v>
      </c>
      <c r="F582" s="34" t="s">
        <v>127</v>
      </c>
      <c r="G582" s="40"/>
      <c r="H582" s="40"/>
      <c r="I582" s="35"/>
      <c r="J582" s="27"/>
    </row>
    <row r="583" spans="1:10" ht="24.9" hidden="1" customHeight="1" x14ac:dyDescent="0.3">
      <c r="A583" s="32" t="s">
        <v>718</v>
      </c>
      <c r="B583" s="33" t="s">
        <v>735</v>
      </c>
      <c r="C583" s="33" t="s">
        <v>720</v>
      </c>
      <c r="D583" s="33" t="s">
        <v>736</v>
      </c>
      <c r="E583" s="33" t="s">
        <v>799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735</v>
      </c>
      <c r="C584" s="33" t="s">
        <v>720</v>
      </c>
      <c r="D584" s="33" t="s">
        <v>736</v>
      </c>
      <c r="E584" s="33" t="s">
        <v>737</v>
      </c>
      <c r="F584" s="34" t="s">
        <v>167</v>
      </c>
      <c r="G584" s="40"/>
      <c r="H584" s="40" t="s">
        <v>378</v>
      </c>
      <c r="I584" s="35" t="s">
        <v>738</v>
      </c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694</v>
      </c>
      <c r="F585" s="34" t="s">
        <v>127</v>
      </c>
      <c r="G585" s="40"/>
      <c r="H585" s="40" t="s">
        <v>168</v>
      </c>
      <c r="I585" s="35" t="s">
        <v>695</v>
      </c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692</v>
      </c>
      <c r="F586" s="34" t="s">
        <v>127</v>
      </c>
      <c r="G586" s="40"/>
      <c r="H586" s="40" t="s">
        <v>378</v>
      </c>
      <c r="I586" s="35" t="s">
        <v>693</v>
      </c>
      <c r="J586" s="27"/>
    </row>
    <row r="587" spans="1:10" ht="24.9" hidden="1" customHeight="1" x14ac:dyDescent="0.3">
      <c r="A587" s="32" t="s">
        <v>718</v>
      </c>
      <c r="B587" s="33" t="s">
        <v>722</v>
      </c>
      <c r="C587" s="33" t="s">
        <v>720</v>
      </c>
      <c r="D587" s="33" t="s">
        <v>723</v>
      </c>
      <c r="E587" s="33" t="s">
        <v>714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722</v>
      </c>
      <c r="C588" s="33" t="s">
        <v>720</v>
      </c>
      <c r="D588" s="33" t="s">
        <v>723</v>
      </c>
      <c r="E588" s="33" t="s">
        <v>747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722</v>
      </c>
      <c r="C589" s="33" t="s">
        <v>720</v>
      </c>
      <c r="D589" s="33" t="s">
        <v>723</v>
      </c>
      <c r="E589" s="33" t="s">
        <v>700</v>
      </c>
      <c r="F589" s="34" t="s">
        <v>95</v>
      </c>
      <c r="G589" s="40"/>
      <c r="H589" s="40"/>
      <c r="I589" s="114"/>
      <c r="J589" s="27"/>
    </row>
    <row r="590" spans="1:10" ht="24.9" hidden="1" customHeight="1" x14ac:dyDescent="0.3">
      <c r="A590" s="32" t="s">
        <v>718</v>
      </c>
      <c r="B590" s="33" t="s">
        <v>722</v>
      </c>
      <c r="C590" s="33" t="s">
        <v>720</v>
      </c>
      <c r="D590" s="33" t="s">
        <v>723</v>
      </c>
      <c r="E590" s="33" t="s">
        <v>701</v>
      </c>
      <c r="F590" s="34" t="s">
        <v>95</v>
      </c>
      <c r="G590" s="40"/>
      <c r="H590" s="40"/>
      <c r="I590" s="114"/>
      <c r="J590" s="27"/>
    </row>
    <row r="591" spans="1:10" ht="24.9" hidden="1" customHeight="1" x14ac:dyDescent="0.3">
      <c r="A591" s="32" t="s">
        <v>718</v>
      </c>
      <c r="B591" s="33" t="s">
        <v>739</v>
      </c>
      <c r="C591" s="33" t="s">
        <v>720</v>
      </c>
      <c r="D591" s="33" t="s">
        <v>740</v>
      </c>
      <c r="E591" s="33" t="s">
        <v>130</v>
      </c>
      <c r="F591" s="34" t="s">
        <v>127</v>
      </c>
      <c r="G591" s="40"/>
      <c r="H591" s="40"/>
      <c r="I591" s="35"/>
      <c r="J591" s="27"/>
    </row>
    <row r="592" spans="1:10" ht="24.9" hidden="1" customHeight="1" x14ac:dyDescent="0.3">
      <c r="A592" s="32" t="s">
        <v>718</v>
      </c>
      <c r="B592" s="33" t="s">
        <v>739</v>
      </c>
      <c r="C592" s="33" t="s">
        <v>720</v>
      </c>
      <c r="D592" s="33" t="s">
        <v>740</v>
      </c>
      <c r="E592" s="33" t="s">
        <v>799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739</v>
      </c>
      <c r="C593" s="33" t="s">
        <v>720</v>
      </c>
      <c r="D593" s="33" t="s">
        <v>740</v>
      </c>
      <c r="E593" s="33" t="s">
        <v>737</v>
      </c>
      <c r="F593" s="34" t="s">
        <v>167</v>
      </c>
      <c r="G593" s="40"/>
      <c r="H593" s="40" t="s">
        <v>378</v>
      </c>
      <c r="I593" s="35" t="s">
        <v>738</v>
      </c>
      <c r="J593" s="27"/>
    </row>
    <row r="594" spans="1:10" ht="24.9" hidden="1" customHeight="1" x14ac:dyDescent="0.3">
      <c r="A594" s="32" t="s">
        <v>718</v>
      </c>
      <c r="B594" s="33" t="s">
        <v>757</v>
      </c>
      <c r="C594" s="33" t="s">
        <v>725</v>
      </c>
      <c r="D594" s="33" t="s">
        <v>754</v>
      </c>
      <c r="E594" s="33" t="s">
        <v>775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731</v>
      </c>
      <c r="F595" s="34" t="s">
        <v>127</v>
      </c>
      <c r="G595" s="40"/>
      <c r="H595" s="40" t="s">
        <v>378</v>
      </c>
      <c r="I595" s="35" t="s">
        <v>732</v>
      </c>
      <c r="J595" s="27"/>
    </row>
    <row r="596" spans="1:10" ht="24.9" hidden="1" customHeight="1" x14ac:dyDescent="0.3">
      <c r="A596" s="32" t="s">
        <v>718</v>
      </c>
      <c r="B596" s="33" t="s">
        <v>728</v>
      </c>
      <c r="C596" s="33" t="s">
        <v>729</v>
      </c>
      <c r="D596" s="33" t="s">
        <v>730</v>
      </c>
      <c r="E596" s="33" t="s">
        <v>711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728</v>
      </c>
      <c r="C597" s="33" t="s">
        <v>729</v>
      </c>
      <c r="D597" s="33" t="s">
        <v>730</v>
      </c>
      <c r="E597" s="33" t="s">
        <v>130</v>
      </c>
      <c r="F597" s="34" t="s">
        <v>167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728</v>
      </c>
      <c r="C598" s="33" t="s">
        <v>729</v>
      </c>
      <c r="D598" s="33" t="s">
        <v>730</v>
      </c>
      <c r="E598" s="33" t="s">
        <v>746</v>
      </c>
      <c r="F598" s="34" t="s">
        <v>167</v>
      </c>
      <c r="G598" s="40"/>
      <c r="H598" s="40"/>
      <c r="I598" s="35"/>
      <c r="J598" s="27"/>
    </row>
    <row r="599" spans="1:10" ht="24.9" hidden="1" customHeight="1" x14ac:dyDescent="0.3">
      <c r="A599" s="32" t="s">
        <v>718</v>
      </c>
      <c r="B599" s="33" t="s">
        <v>728</v>
      </c>
      <c r="C599" s="33" t="s">
        <v>729</v>
      </c>
      <c r="D599" s="33" t="s">
        <v>730</v>
      </c>
      <c r="E599" s="33" t="s">
        <v>798</v>
      </c>
      <c r="F599" s="34" t="s">
        <v>167</v>
      </c>
      <c r="G599" s="40"/>
      <c r="H599" s="40"/>
      <c r="I599" s="35"/>
      <c r="J599" s="27"/>
    </row>
    <row r="600" spans="1:10" ht="24.9" hidden="1" customHeight="1" x14ac:dyDescent="0.3">
      <c r="A600" s="32" t="s">
        <v>718</v>
      </c>
      <c r="B600" s="33" t="s">
        <v>741</v>
      </c>
      <c r="C600" s="33" t="s">
        <v>720</v>
      </c>
      <c r="D600" s="33" t="s">
        <v>742</v>
      </c>
      <c r="E600" s="33" t="s">
        <v>130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741</v>
      </c>
      <c r="C601" s="33" t="s">
        <v>720</v>
      </c>
      <c r="D601" s="33" t="s">
        <v>742</v>
      </c>
      <c r="E601" s="33" t="s">
        <v>711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741</v>
      </c>
      <c r="C602" s="33" t="s">
        <v>720</v>
      </c>
      <c r="D602" s="33" t="s">
        <v>742</v>
      </c>
      <c r="E602" s="33" t="s">
        <v>737</v>
      </c>
      <c r="F602" s="34" t="s">
        <v>167</v>
      </c>
      <c r="G602" s="40"/>
      <c r="H602" s="40" t="s">
        <v>378</v>
      </c>
      <c r="I602" s="35" t="s">
        <v>743</v>
      </c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731</v>
      </c>
      <c r="F603" s="34" t="s">
        <v>127</v>
      </c>
      <c r="G603" s="40"/>
      <c r="H603" s="40" t="s">
        <v>378</v>
      </c>
      <c r="I603" s="35" t="s">
        <v>732</v>
      </c>
      <c r="J603" s="27"/>
    </row>
    <row r="604" spans="1:10" ht="24.9" hidden="1" customHeight="1" x14ac:dyDescent="0.3">
      <c r="A604" s="32" t="s">
        <v>718</v>
      </c>
      <c r="B604" s="33" t="s">
        <v>733</v>
      </c>
      <c r="C604" s="33" t="s">
        <v>729</v>
      </c>
      <c r="D604" s="33" t="s">
        <v>734</v>
      </c>
      <c r="E604" s="33" t="s">
        <v>711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733</v>
      </c>
      <c r="C605" s="33" t="s">
        <v>729</v>
      </c>
      <c r="D605" s="33" t="s">
        <v>734</v>
      </c>
      <c r="E605" s="33" t="s">
        <v>746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733</v>
      </c>
      <c r="C606" s="33" t="s">
        <v>729</v>
      </c>
      <c r="D606" s="33" t="s">
        <v>734</v>
      </c>
      <c r="E606" s="33" t="s">
        <v>130</v>
      </c>
      <c r="F606" s="34" t="s">
        <v>167</v>
      </c>
      <c r="G606" s="40"/>
      <c r="H606" s="40"/>
      <c r="I606" s="35"/>
      <c r="J606" s="27"/>
    </row>
    <row r="607" spans="1:10" ht="24.9" hidden="1" customHeight="1" x14ac:dyDescent="0.3">
      <c r="A607" s="32" t="s">
        <v>718</v>
      </c>
      <c r="B607" s="33" t="s">
        <v>733</v>
      </c>
      <c r="C607" s="33" t="s">
        <v>729</v>
      </c>
      <c r="D607" s="33" t="s">
        <v>734</v>
      </c>
      <c r="E607" s="33" t="s">
        <v>798</v>
      </c>
      <c r="F607" s="34" t="s">
        <v>167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744</v>
      </c>
      <c r="C608" s="33" t="s">
        <v>720</v>
      </c>
      <c r="D608" s="33" t="s">
        <v>745</v>
      </c>
      <c r="E608" s="33" t="s">
        <v>130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744</v>
      </c>
      <c r="C609" s="33" t="s">
        <v>720</v>
      </c>
      <c r="D609" s="33" t="s">
        <v>745</v>
      </c>
      <c r="E609" s="33" t="s">
        <v>711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744</v>
      </c>
      <c r="C610" s="33" t="s">
        <v>720</v>
      </c>
      <c r="D610" s="33" t="s">
        <v>745</v>
      </c>
      <c r="E610" s="33" t="s">
        <v>737</v>
      </c>
      <c r="F610" s="34" t="s">
        <v>167</v>
      </c>
      <c r="G610" s="40"/>
      <c r="H610" s="40" t="s">
        <v>378</v>
      </c>
      <c r="I610" s="35" t="s">
        <v>743</v>
      </c>
      <c r="J610" s="27"/>
    </row>
    <row r="611" spans="1:10" ht="24.9" hidden="1" customHeight="1" x14ac:dyDescent="0.3">
      <c r="A611" s="32" t="s">
        <v>718</v>
      </c>
      <c r="B611" s="33" t="s">
        <v>749</v>
      </c>
      <c r="C611" s="33" t="s">
        <v>720</v>
      </c>
      <c r="D611" s="33" t="s">
        <v>750</v>
      </c>
      <c r="E611" s="33" t="s">
        <v>751</v>
      </c>
      <c r="F611" s="34" t="s">
        <v>127</v>
      </c>
      <c r="G611" s="40"/>
      <c r="H611" s="40"/>
      <c r="I611" s="35"/>
      <c r="J611" s="27"/>
    </row>
    <row r="612" spans="1:10" ht="24.9" hidden="1" customHeight="1" x14ac:dyDescent="0.3">
      <c r="A612" s="32" t="s">
        <v>718</v>
      </c>
      <c r="B612" s="33" t="s">
        <v>749</v>
      </c>
      <c r="C612" s="33" t="s">
        <v>720</v>
      </c>
      <c r="D612" s="33" t="s">
        <v>750</v>
      </c>
      <c r="E612" s="33" t="s">
        <v>752</v>
      </c>
      <c r="F612" s="34" t="s">
        <v>127</v>
      </c>
      <c r="G612" s="40"/>
      <c r="H612" s="40"/>
      <c r="I612" s="35"/>
      <c r="J612" s="27"/>
    </row>
    <row r="613" spans="1:10" ht="24.9" hidden="1" customHeight="1" x14ac:dyDescent="0.3">
      <c r="A613" s="32" t="s">
        <v>718</v>
      </c>
      <c r="B613" s="33" t="s">
        <v>753</v>
      </c>
      <c r="C613" s="33" t="s">
        <v>725</v>
      </c>
      <c r="D613" s="33" t="s">
        <v>754</v>
      </c>
      <c r="E613" s="33" t="s">
        <v>756</v>
      </c>
      <c r="F613" s="34" t="s">
        <v>127</v>
      </c>
      <c r="G613" s="40"/>
      <c r="H613" s="40"/>
      <c r="I613" s="35"/>
      <c r="J613" s="27"/>
    </row>
    <row r="614" spans="1:10" ht="24.9" hidden="1" customHeight="1" x14ac:dyDescent="0.3">
      <c r="A614" s="32" t="s">
        <v>718</v>
      </c>
      <c r="B614" s="33" t="s">
        <v>753</v>
      </c>
      <c r="C614" s="33" t="s">
        <v>725</v>
      </c>
      <c r="D614" s="33" t="s">
        <v>754</v>
      </c>
      <c r="E614" s="33" t="s">
        <v>755</v>
      </c>
      <c r="F614" s="34" t="s">
        <v>167</v>
      </c>
      <c r="G614" s="40"/>
      <c r="H614" s="40"/>
      <c r="I614" s="35"/>
      <c r="J614" s="27"/>
    </row>
    <row r="615" spans="1:10" ht="15.75" hidden="1" customHeight="1" x14ac:dyDescent="0.3">
      <c r="A615" s="32"/>
      <c r="B615" s="33"/>
      <c r="C615" s="33"/>
      <c r="D615" s="33"/>
      <c r="E615" s="33"/>
      <c r="F615" s="34"/>
      <c r="G615" s="40"/>
      <c r="H615" s="40"/>
      <c r="I615" s="35"/>
      <c r="J615" s="27"/>
    </row>
  </sheetData>
  <autoFilter ref="A4:GF615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96">
      <sortCondition ref="A4:A615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81BC-1F17-4EE1-B4BB-FEDC7AC4FF5F}">
  <sheetPr filterMode="1">
    <pageSetUpPr fitToPage="1"/>
  </sheetPr>
  <dimension ref="A1:GF611"/>
  <sheetViews>
    <sheetView showGridLines="0" zoomScale="90" zoomScaleNormal="90" workbookViewId="0">
      <pane xSplit="6" ySplit="4" topLeftCell="G580" activePane="bottomRight" state="frozen"/>
      <selection pane="topRight" activeCell="I1" sqref="I1"/>
      <selection pane="bottomLeft" activeCell="A4" sqref="A4"/>
      <selection pane="bottomRight" activeCell="I1" sqref="A1:J606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4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  <filter val="MAR, JUN, SET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0D8E-63A6-4F40-9605-5F066B40923B}">
  <sheetPr filterMode="1">
    <pageSetUpPr fitToPage="1"/>
  </sheetPr>
  <dimension ref="A1:GF611"/>
  <sheetViews>
    <sheetView showGridLines="0" zoomScale="90" zoomScaleNormal="90" workbookViewId="0">
      <pane xSplit="6" ySplit="4" topLeftCell="G580" activePane="bottomRight" state="frozen"/>
      <selection pane="topRight" activeCell="I1" sqref="I1"/>
      <selection pane="bottomLeft" activeCell="A4" sqref="A4"/>
      <selection pane="bottomRight" activeCell="I1" sqref="A1:J610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5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hidden="1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hidden="1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hidden="1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hidden="1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hidden="1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hidden="1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hidden="1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hidden="1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hidden="1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hidden="1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hidden="1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hidden="1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hidden="1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hidden="1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hidden="1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hidden="1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hidden="1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hidden="1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hidden="1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ABR, AGO, DEZ"/>
        <filter val="JAN, FEV, MAR, ABR, MAI, JUN, JUL, AGO, SET, OUT, NOV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ED03-DDCC-4EF6-82D3-6268D4E6A73A}">
  <sheetPr filterMode="1">
    <pageSetUpPr fitToPage="1"/>
  </sheetPr>
  <dimension ref="A1:GF611"/>
  <sheetViews>
    <sheetView showGridLines="0" zoomScale="90" zoomScaleNormal="90" workbookViewId="0">
      <pane xSplit="6" ySplit="4" topLeftCell="G84" activePane="bottomRight" state="frozen"/>
      <selection pane="topRight" activeCell="I1" sqref="I1"/>
      <selection pane="bottomLeft" activeCell="A4" sqref="A4"/>
      <selection pane="bottomRight" activeCell="I1" sqref="A1:J94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6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hidden="1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hidden="1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hidden="1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hidden="1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hidden="1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hidden="1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hidden="1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hidden="1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hidden="1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hidden="1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hidden="1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hidden="1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hidden="1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hidden="1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hidden="1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hidden="1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hidden="1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hidden="1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hidden="1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A581-84D4-4C1A-86ED-71CE22651A08}">
  <sheetPr filterMode="1">
    <pageSetUpPr fitToPage="1"/>
  </sheetPr>
  <dimension ref="A1:GF611"/>
  <sheetViews>
    <sheetView showGridLines="0" zoomScale="90" zoomScaleNormal="90" workbookViewId="0">
      <pane xSplit="6" ySplit="4" topLeftCell="G580" activePane="bottomRight" state="frozen"/>
      <selection pane="topRight" activeCell="I1" sqref="I1"/>
      <selection pane="bottomLeft" activeCell="A4" sqref="A4"/>
      <selection pane="bottomRight" activeCell="D621" sqref="D621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7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  <filter val="MAR, JUN, SET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CE9A-E0FD-4C8D-9133-2EDF09B3306B}">
  <sheetPr filterMode="1">
    <pageSetUpPr fitToPage="1"/>
  </sheetPr>
  <dimension ref="A1:GF611"/>
  <sheetViews>
    <sheetView showGridLines="0" zoomScale="90" zoomScaleNormal="90" workbookViewId="0">
      <pane xSplit="6" ySplit="4" topLeftCell="G84" activePane="bottomRight" state="frozen"/>
      <selection pane="topRight" activeCell="I1" sqref="I1"/>
      <selection pane="bottomLeft" activeCell="A4" sqref="A4"/>
      <selection pane="bottomRight" activeCell="E619" sqref="E619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8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hidden="1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hidden="1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hidden="1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hidden="1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hidden="1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hidden="1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hidden="1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hidden="1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hidden="1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hidden="1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hidden="1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hidden="1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hidden="1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hidden="1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hidden="1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hidden="1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hidden="1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hidden="1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hidden="1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7DE9-1F44-4B9D-87E0-567F055E80AF}">
  <sheetPr filterMode="1">
    <pageSetUpPr fitToPage="1"/>
  </sheetPr>
  <dimension ref="A1:GF609"/>
  <sheetViews>
    <sheetView showGridLines="0" zoomScale="90" zoomScaleNormal="90" workbookViewId="0">
      <pane xSplit="6" ySplit="4" topLeftCell="G595" activePane="bottomRight" state="frozen"/>
      <selection pane="topRight" activeCell="I1" sqref="I1"/>
      <selection pane="bottomLeft" activeCell="A4" sqref="A4"/>
      <selection pane="bottomRight" activeCell="I1" sqref="A1:J608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9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123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114"/>
      <c r="J7" s="27"/>
    </row>
    <row r="8" spans="1:10" ht="24.9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114"/>
      <c r="J8" s="27"/>
    </row>
    <row r="9" spans="1:10" ht="24.9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114"/>
      <c r="J9" s="27"/>
    </row>
    <row r="10" spans="1:10" ht="24.9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114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114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114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114" t="s">
        <v>762</v>
      </c>
      <c r="J18" s="27"/>
    </row>
    <row r="19" spans="1:10" ht="24.9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114" t="s">
        <v>762</v>
      </c>
      <c r="J19" s="27"/>
    </row>
    <row r="20" spans="1:10" ht="24.9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114" t="s">
        <v>762</v>
      </c>
      <c r="J20" s="27"/>
    </row>
    <row r="21" spans="1:10" ht="24.9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114"/>
      <c r="J21" s="27"/>
    </row>
    <row r="22" spans="1:10" ht="24.9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114"/>
      <c r="J22" s="27"/>
    </row>
    <row r="23" spans="1:10" ht="24.9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114"/>
      <c r="J23" s="27"/>
    </row>
    <row r="24" spans="1:10" ht="24.9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114"/>
      <c r="J24" s="27"/>
    </row>
    <row r="25" spans="1:10" ht="24.9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114"/>
      <c r="J25" s="27"/>
    </row>
    <row r="26" spans="1:10" ht="24.9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114"/>
      <c r="J26" s="27"/>
    </row>
    <row r="27" spans="1:10" ht="24.9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114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114"/>
      <c r="J29" s="27"/>
    </row>
    <row r="30" spans="1:10" ht="24.9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114"/>
      <c r="J30" s="27"/>
    </row>
    <row r="31" spans="1:10" ht="24.9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114"/>
      <c r="J31" s="27"/>
    </row>
    <row r="32" spans="1:10" ht="24.9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114"/>
      <c r="J32" s="27"/>
    </row>
    <row r="33" spans="1:10" ht="24.9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114"/>
      <c r="J33" s="27"/>
    </row>
    <row r="34" spans="1:10" ht="24.9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114"/>
      <c r="J34" s="27"/>
    </row>
    <row r="35" spans="1:10" ht="24.9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114"/>
      <c r="J35" s="27"/>
    </row>
    <row r="36" spans="1:10" ht="24.9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114"/>
      <c r="J36" s="27"/>
    </row>
    <row r="37" spans="1:10" ht="24.9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114"/>
      <c r="J37" s="27"/>
    </row>
    <row r="38" spans="1:10" ht="24.9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114"/>
      <c r="J38" s="27"/>
    </row>
    <row r="39" spans="1:10" ht="24.9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114"/>
      <c r="J39" s="27"/>
    </row>
    <row r="40" spans="1:10" ht="24.9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114"/>
      <c r="J40" s="27"/>
    </row>
    <row r="41" spans="1:10" ht="24.9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114"/>
      <c r="J41" s="27"/>
    </row>
    <row r="42" spans="1:10" ht="24.9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114"/>
      <c r="J42" s="27"/>
    </row>
    <row r="43" spans="1:10" ht="24.9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114"/>
      <c r="J43" s="27"/>
    </row>
    <row r="44" spans="1:10" ht="24.9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114"/>
      <c r="J44" s="27"/>
    </row>
    <row r="45" spans="1:10" ht="24.9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114"/>
      <c r="J45" s="27"/>
    </row>
    <row r="46" spans="1:10" ht="24.9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114"/>
      <c r="J46" s="27"/>
    </row>
    <row r="47" spans="1:10" ht="24.9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114"/>
      <c r="J47" s="27"/>
    </row>
    <row r="48" spans="1:10" ht="24.9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114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114"/>
      <c r="J50" s="27"/>
    </row>
    <row r="51" spans="1:10" ht="24.9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114"/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114"/>
      <c r="J53" s="27"/>
    </row>
    <row r="54" spans="1:10" ht="24.9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114"/>
      <c r="J54" s="27"/>
    </row>
    <row r="55" spans="1:10" ht="24.9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114"/>
      <c r="J55" s="27"/>
    </row>
    <row r="56" spans="1:10" ht="24.9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114"/>
      <c r="J56" s="27"/>
    </row>
    <row r="57" spans="1:10" ht="24.9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114"/>
      <c r="J57" s="27"/>
    </row>
    <row r="58" spans="1:10" ht="24.9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114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114"/>
      <c r="J60" s="27"/>
    </row>
    <row r="61" spans="1:10" ht="24.9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114"/>
      <c r="J61" s="27"/>
    </row>
    <row r="62" spans="1:10" ht="24.9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114"/>
      <c r="J62" s="27"/>
    </row>
    <row r="63" spans="1:10" ht="24.9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114"/>
      <c r="J63" s="27"/>
    </row>
    <row r="64" spans="1:10" ht="24.9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114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114" t="s">
        <v>248</v>
      </c>
      <c r="J67" s="27"/>
    </row>
    <row r="68" spans="1:10" ht="24.9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114" t="s">
        <v>248</v>
      </c>
      <c r="J68" s="27"/>
    </row>
    <row r="69" spans="1:10" ht="24.9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114" t="s">
        <v>248</v>
      </c>
      <c r="J69" s="27"/>
    </row>
    <row r="70" spans="1:10" ht="24.9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114" t="s">
        <v>248</v>
      </c>
      <c r="J70" s="27"/>
    </row>
    <row r="71" spans="1:10" ht="24.9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114" t="s">
        <v>248</v>
      </c>
      <c r="J71" s="27"/>
    </row>
    <row r="72" spans="1:10" ht="24.9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114"/>
      <c r="J72" s="27"/>
    </row>
    <row r="73" spans="1:10" ht="24.9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114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114" t="s">
        <v>248</v>
      </c>
      <c r="J79" s="27"/>
    </row>
    <row r="80" spans="1:10" ht="24.9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114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114" t="s">
        <v>248</v>
      </c>
      <c r="J82" s="27"/>
    </row>
    <row r="83" spans="1:10" ht="24.9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114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114" t="s">
        <v>244</v>
      </c>
      <c r="J85" s="27"/>
    </row>
    <row r="86" spans="1:10" ht="24.9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114" t="s">
        <v>244</v>
      </c>
      <c r="J86" s="27"/>
    </row>
    <row r="87" spans="1:10" ht="24.9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114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114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114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114"/>
      <c r="J98" s="27"/>
    </row>
    <row r="99" spans="1:10" ht="24.9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114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114"/>
      <c r="J102" s="27"/>
    </row>
    <row r="103" spans="1:10" ht="24.9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114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114"/>
      <c r="J106" s="27"/>
    </row>
    <row r="107" spans="1:10" ht="24.9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114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116"/>
      <c r="J114" s="27"/>
    </row>
    <row r="115" spans="1:188" ht="24.9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116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124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125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125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126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114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114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114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114"/>
      <c r="J130" s="27"/>
    </row>
    <row r="131" spans="1:10" ht="24.9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114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114"/>
      <c r="J134" s="27"/>
    </row>
    <row r="135" spans="1:10" ht="24.9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114"/>
      <c r="J135" s="27"/>
    </row>
    <row r="136" spans="1:10" ht="24.9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114"/>
      <c r="J136" s="27"/>
    </row>
    <row r="137" spans="1:10" ht="24.9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114"/>
      <c r="J137" s="27"/>
    </row>
    <row r="138" spans="1:10" ht="24.9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114"/>
      <c r="J138" s="27"/>
    </row>
    <row r="139" spans="1:10" ht="24.9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114"/>
      <c r="J139" s="27"/>
    </row>
    <row r="140" spans="1:10" ht="24.9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114"/>
      <c r="J140" s="27"/>
    </row>
    <row r="141" spans="1:10" ht="24.9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114"/>
      <c r="J141" s="27"/>
    </row>
    <row r="142" spans="1:10" ht="24.9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114"/>
      <c r="J142" s="27"/>
    </row>
    <row r="143" spans="1:10" ht="24.9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114"/>
      <c r="J143" s="27"/>
    </row>
    <row r="144" spans="1:10" ht="24.9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114"/>
      <c r="J144" s="27"/>
    </row>
    <row r="145" spans="1:10" ht="24.9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114"/>
      <c r="J145" s="27"/>
    </row>
    <row r="146" spans="1:10" ht="24.9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114"/>
      <c r="J146" s="27"/>
    </row>
    <row r="147" spans="1:10" ht="24.9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114"/>
      <c r="J147" s="27"/>
    </row>
    <row r="148" spans="1:10" ht="24.9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114"/>
      <c r="J148" s="27"/>
    </row>
    <row r="149" spans="1:10" ht="24.9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114"/>
      <c r="J149" s="27"/>
    </row>
    <row r="150" spans="1:10" ht="24.9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114"/>
      <c r="J150" s="27"/>
    </row>
    <row r="151" spans="1:10" ht="24.9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114"/>
      <c r="J151" s="27"/>
    </row>
    <row r="152" spans="1:10" ht="24.9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114"/>
      <c r="J152" s="27"/>
    </row>
    <row r="153" spans="1:10" ht="24.9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114"/>
      <c r="J153" s="27"/>
    </row>
    <row r="154" spans="1:10" ht="24.9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114"/>
      <c r="J154" s="27"/>
    </row>
    <row r="155" spans="1:10" ht="24.9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114"/>
      <c r="J155" s="27"/>
    </row>
    <row r="156" spans="1:10" ht="24.9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114"/>
      <c r="J156" s="27"/>
    </row>
    <row r="157" spans="1:10" ht="24.9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114"/>
      <c r="J157" s="27"/>
    </row>
    <row r="158" spans="1:10" ht="24.9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114"/>
      <c r="J158" s="27"/>
    </row>
    <row r="159" spans="1:10" ht="24.9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114"/>
      <c r="J159" s="27"/>
    </row>
    <row r="160" spans="1:10" ht="24.9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114"/>
      <c r="J160" s="27"/>
    </row>
    <row r="161" spans="1:10" ht="24.9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114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114"/>
      <c r="J165" s="27"/>
    </row>
    <row r="166" spans="1:10" ht="24.9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114"/>
      <c r="J166" s="27"/>
    </row>
    <row r="167" spans="1:10" ht="24.9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114"/>
      <c r="J167" s="27"/>
    </row>
    <row r="168" spans="1:10" ht="24.9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114"/>
      <c r="J168" s="27"/>
    </row>
    <row r="169" spans="1:10" ht="24.9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114"/>
      <c r="J169" s="27"/>
    </row>
    <row r="170" spans="1:10" ht="24.9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114"/>
      <c r="J170" s="27"/>
    </row>
    <row r="171" spans="1:10" ht="24.9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114"/>
      <c r="J171" s="27"/>
    </row>
    <row r="172" spans="1:10" ht="24.9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114"/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114"/>
      <c r="J174" s="27"/>
    </row>
    <row r="175" spans="1:10" ht="24.9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114"/>
      <c r="J175" s="27"/>
    </row>
    <row r="176" spans="1:10" ht="24.9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114"/>
      <c r="J176" s="27"/>
    </row>
    <row r="177" spans="1:10" ht="24.9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114"/>
      <c r="J177" s="27"/>
    </row>
    <row r="178" spans="1:10" ht="24.9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114"/>
      <c r="J178" s="27"/>
    </row>
    <row r="179" spans="1:10" ht="24.9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114"/>
      <c r="J179" s="27"/>
    </row>
    <row r="180" spans="1:10" ht="24.9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114"/>
      <c r="J180" s="27"/>
    </row>
    <row r="181" spans="1:10" ht="24.9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114"/>
      <c r="J181" s="27"/>
    </row>
    <row r="182" spans="1:10" ht="24.9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114"/>
      <c r="J182" s="27"/>
    </row>
    <row r="183" spans="1:10" ht="24.9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114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114"/>
      <c r="J208" s="27"/>
    </row>
    <row r="209" spans="1:10" ht="24.9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114"/>
      <c r="J209" s="27"/>
    </row>
    <row r="210" spans="1:10" ht="24.9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114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114"/>
      <c r="J212" s="27"/>
    </row>
    <row r="213" spans="1:10" ht="24.9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114"/>
      <c r="J213" s="27"/>
    </row>
    <row r="214" spans="1:10" ht="24.9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114"/>
      <c r="J214" s="27"/>
    </row>
    <row r="215" spans="1:10" ht="24.9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114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114"/>
      <c r="J229" s="27"/>
    </row>
    <row r="230" spans="1:10" ht="24.9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114"/>
      <c r="J230" s="27"/>
    </row>
    <row r="231" spans="1:10" ht="24.9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114"/>
      <c r="J231" s="27"/>
    </row>
    <row r="232" spans="1:10" ht="24.9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114"/>
      <c r="J232" s="27"/>
    </row>
    <row r="233" spans="1:10" ht="24.9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114"/>
      <c r="J233" s="27"/>
    </row>
    <row r="234" spans="1:10" ht="24.9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114"/>
      <c r="J234" s="27"/>
    </row>
    <row r="235" spans="1:10" ht="24.9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114"/>
      <c r="J235" s="27"/>
    </row>
    <row r="236" spans="1:10" ht="24.9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114"/>
      <c r="J236" s="27"/>
    </row>
    <row r="237" spans="1:10" ht="24.9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114"/>
      <c r="J237" s="27"/>
    </row>
    <row r="238" spans="1:10" ht="24.9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114"/>
      <c r="J238" s="27"/>
    </row>
    <row r="239" spans="1:10" ht="24.9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114"/>
      <c r="J239" s="27"/>
    </row>
    <row r="240" spans="1:10" ht="24.9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114"/>
      <c r="J240" s="27"/>
    </row>
    <row r="241" spans="1:10" ht="24.9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114"/>
      <c r="J241" s="27"/>
    </row>
    <row r="242" spans="1:10" ht="24.9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114"/>
      <c r="J242" s="27"/>
    </row>
    <row r="243" spans="1:10" ht="24.9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114"/>
      <c r="J243" s="27"/>
    </row>
    <row r="244" spans="1:10" ht="24.9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114"/>
      <c r="J244" s="27"/>
    </row>
    <row r="245" spans="1:10" ht="24.9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114"/>
      <c r="J245" s="27"/>
    </row>
    <row r="246" spans="1:10" ht="24.9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114"/>
      <c r="J246" s="27"/>
    </row>
    <row r="247" spans="1:10" ht="24.9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114"/>
      <c r="J247" s="27"/>
    </row>
    <row r="248" spans="1:10" ht="24.9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114"/>
      <c r="J248" s="27"/>
    </row>
    <row r="249" spans="1:10" ht="24.9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114"/>
      <c r="J249" s="27"/>
    </row>
    <row r="250" spans="1:10" ht="24.9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114"/>
      <c r="J250" s="27"/>
    </row>
    <row r="251" spans="1:10" ht="24.9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114"/>
      <c r="J251" s="27"/>
    </row>
    <row r="252" spans="1:10" ht="24.9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114"/>
      <c r="J252" s="27"/>
    </row>
    <row r="253" spans="1:10" ht="24.9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114"/>
      <c r="J253" s="27"/>
    </row>
    <row r="254" spans="1:10" ht="24.9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114"/>
      <c r="J254" s="27"/>
    </row>
    <row r="255" spans="1:10" ht="24.9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114"/>
      <c r="J255" s="27"/>
    </row>
    <row r="256" spans="1:10" ht="24.9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114"/>
      <c r="J256" s="27"/>
    </row>
    <row r="257" spans="1:10" ht="24.9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114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114"/>
      <c r="J259" s="27"/>
    </row>
    <row r="260" spans="1:10" ht="24.9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114"/>
      <c r="J260" s="27"/>
    </row>
    <row r="261" spans="1:10" ht="24.9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114"/>
      <c r="J261" s="27"/>
    </row>
    <row r="262" spans="1:10" ht="24.9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114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114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114"/>
      <c r="J266" s="27"/>
    </row>
    <row r="267" spans="1:10" ht="24.9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114"/>
      <c r="J267" s="27"/>
    </row>
    <row r="268" spans="1:10" ht="24.9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114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114"/>
      <c r="J270" s="27"/>
    </row>
    <row r="271" spans="1:10" ht="24.9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114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114"/>
      <c r="J273" s="27"/>
    </row>
    <row r="274" spans="1:10" ht="24.9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114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114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114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114"/>
      <c r="J281" s="27"/>
    </row>
    <row r="282" spans="1:10" ht="24.9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114"/>
      <c r="J282" s="27"/>
    </row>
    <row r="283" spans="1:10" ht="24.9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114"/>
      <c r="J283" s="27"/>
    </row>
    <row r="284" spans="1:10" ht="24.9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114"/>
      <c r="J284" s="27"/>
    </row>
    <row r="285" spans="1:10" ht="24.9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114"/>
      <c r="J285" s="27"/>
    </row>
    <row r="286" spans="1:10" ht="24.9" hidden="1" customHeight="1" x14ac:dyDescent="0.3">
      <c r="A286" s="32" t="s">
        <v>546</v>
      </c>
      <c r="B286" s="33" t="s">
        <v>550</v>
      </c>
      <c r="C286" s="33" t="s">
        <v>551</v>
      </c>
      <c r="D286" s="33" t="s">
        <v>552</v>
      </c>
      <c r="E286" s="33" t="s">
        <v>225</v>
      </c>
      <c r="F286" s="34" t="s">
        <v>673</v>
      </c>
      <c r="G286" s="40"/>
      <c r="H286" s="51" t="s">
        <v>850</v>
      </c>
      <c r="I286" s="35" t="s">
        <v>234</v>
      </c>
      <c r="J286" s="27"/>
    </row>
    <row r="287" spans="1:10" ht="24.9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577</v>
      </c>
      <c r="F287" s="34" t="s">
        <v>167</v>
      </c>
      <c r="G287" s="40"/>
      <c r="H287" s="48"/>
      <c r="I287" s="114"/>
      <c r="J287" s="27"/>
    </row>
    <row r="288" spans="1:10" ht="24.9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578</v>
      </c>
      <c r="F288" s="34" t="s">
        <v>127</v>
      </c>
      <c r="G288" s="40"/>
      <c r="H288" s="48"/>
      <c r="I288" s="114"/>
      <c r="J288" s="27"/>
    </row>
    <row r="289" spans="1:10" ht="24.9" customHeight="1" x14ac:dyDescent="0.3">
      <c r="A289" s="32" t="s">
        <v>546</v>
      </c>
      <c r="B289" s="33" t="s">
        <v>591</v>
      </c>
      <c r="C289" s="33" t="s">
        <v>554</v>
      </c>
      <c r="D289" s="33" t="s">
        <v>585</v>
      </c>
      <c r="E289" s="33" t="s">
        <v>586</v>
      </c>
      <c r="F289" s="34" t="s">
        <v>99</v>
      </c>
      <c r="G289" s="40"/>
      <c r="H289" s="48"/>
      <c r="I289" s="114"/>
      <c r="J289" s="27"/>
    </row>
    <row r="290" spans="1:10" ht="24.9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788</v>
      </c>
      <c r="F290" s="34" t="s">
        <v>99</v>
      </c>
      <c r="G290" s="40"/>
      <c r="H290" s="48"/>
      <c r="I290" s="114"/>
      <c r="J290" s="27"/>
    </row>
    <row r="291" spans="1:10" ht="24.9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588</v>
      </c>
      <c r="F291" s="34" t="s">
        <v>99</v>
      </c>
      <c r="G291" s="40"/>
      <c r="H291" s="48"/>
      <c r="I291" s="114"/>
      <c r="J291" s="27"/>
    </row>
    <row r="292" spans="1:10" ht="24.9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587</v>
      </c>
      <c r="F292" s="34" t="s">
        <v>127</v>
      </c>
      <c r="G292" s="40"/>
      <c r="H292" s="48"/>
      <c r="I292" s="114"/>
      <c r="J292" s="27"/>
    </row>
    <row r="293" spans="1:10" ht="24.9" hidden="1" customHeight="1" x14ac:dyDescent="0.3">
      <c r="A293" s="32" t="s">
        <v>546</v>
      </c>
      <c r="B293" s="33" t="s">
        <v>553</v>
      </c>
      <c r="C293" s="33" t="s">
        <v>554</v>
      </c>
      <c r="D293" s="33" t="s">
        <v>552</v>
      </c>
      <c r="E293" s="33" t="s">
        <v>225</v>
      </c>
      <c r="F293" s="34" t="s">
        <v>673</v>
      </c>
      <c r="G293" s="40"/>
      <c r="H293" s="51" t="s">
        <v>850</v>
      </c>
      <c r="I293" s="35" t="s">
        <v>234</v>
      </c>
      <c r="J293" s="27"/>
    </row>
    <row r="294" spans="1:10" ht="24.9" customHeight="1" x14ac:dyDescent="0.3">
      <c r="A294" s="32" t="s">
        <v>546</v>
      </c>
      <c r="B294" s="33" t="s">
        <v>553</v>
      </c>
      <c r="C294" s="33" t="s">
        <v>554</v>
      </c>
      <c r="D294" s="33" t="s">
        <v>552</v>
      </c>
      <c r="E294" s="33" t="s">
        <v>577</v>
      </c>
      <c r="F294" s="34" t="s">
        <v>167</v>
      </c>
      <c r="G294" s="40"/>
      <c r="H294" s="53"/>
      <c r="I294" s="114"/>
      <c r="J294" s="27"/>
    </row>
    <row r="295" spans="1:10" ht="24.9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578</v>
      </c>
      <c r="F295" s="34" t="s">
        <v>127</v>
      </c>
      <c r="G295" s="40"/>
      <c r="H295" s="48"/>
      <c r="I295" s="114"/>
      <c r="J295" s="27"/>
    </row>
    <row r="296" spans="1:10" ht="24.9" customHeight="1" x14ac:dyDescent="0.3">
      <c r="A296" s="32" t="s">
        <v>546</v>
      </c>
      <c r="B296" s="33" t="s">
        <v>592</v>
      </c>
      <c r="C296" s="33" t="s">
        <v>556</v>
      </c>
      <c r="D296" s="33" t="s">
        <v>585</v>
      </c>
      <c r="E296" s="33" t="s">
        <v>586</v>
      </c>
      <c r="F296" s="34" t="s">
        <v>99</v>
      </c>
      <c r="G296" s="40"/>
      <c r="H296" s="48"/>
      <c r="I296" s="114"/>
      <c r="J296" s="27"/>
    </row>
    <row r="297" spans="1:10" ht="24.9" customHeight="1" x14ac:dyDescent="0.3">
      <c r="A297" s="32" t="s">
        <v>546</v>
      </c>
      <c r="B297" s="33" t="s">
        <v>592</v>
      </c>
      <c r="C297" s="33" t="s">
        <v>556</v>
      </c>
      <c r="D297" s="33" t="s">
        <v>585</v>
      </c>
      <c r="E297" s="33" t="s">
        <v>788</v>
      </c>
      <c r="F297" s="34" t="s">
        <v>99</v>
      </c>
      <c r="G297" s="40"/>
      <c r="H297" s="48"/>
      <c r="I297" s="114"/>
      <c r="J297" s="27"/>
    </row>
    <row r="298" spans="1:10" ht="24.9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588</v>
      </c>
      <c r="F298" s="34" t="s">
        <v>99</v>
      </c>
      <c r="G298" s="40"/>
      <c r="H298" s="53"/>
      <c r="I298" s="114"/>
      <c r="J298" s="27"/>
    </row>
    <row r="299" spans="1:10" ht="24.9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587</v>
      </c>
      <c r="F299" s="34" t="s">
        <v>127</v>
      </c>
      <c r="G299" s="40"/>
      <c r="H299" s="53"/>
      <c r="I299" s="114"/>
      <c r="J299" s="27"/>
    </row>
    <row r="300" spans="1:10" ht="24.9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590</v>
      </c>
      <c r="F300" s="34" t="s">
        <v>127</v>
      </c>
      <c r="G300" s="40"/>
      <c r="H300" s="48"/>
      <c r="I300" s="114"/>
      <c r="J300" s="27"/>
    </row>
    <row r="301" spans="1:10" ht="24.9" hidden="1" customHeight="1" x14ac:dyDescent="0.3">
      <c r="A301" s="32" t="s">
        <v>546</v>
      </c>
      <c r="B301" s="33" t="s">
        <v>555</v>
      </c>
      <c r="C301" s="33" t="s">
        <v>556</v>
      </c>
      <c r="D301" s="33" t="s">
        <v>552</v>
      </c>
      <c r="E301" s="33" t="s">
        <v>225</v>
      </c>
      <c r="F301" s="34" t="s">
        <v>673</v>
      </c>
      <c r="G301" s="40"/>
      <c r="H301" s="51" t="s">
        <v>850</v>
      </c>
      <c r="I301" s="35" t="s">
        <v>234</v>
      </c>
      <c r="J301" s="27"/>
    </row>
    <row r="302" spans="1:10" ht="24.9" customHeight="1" x14ac:dyDescent="0.3">
      <c r="A302" s="32" t="s">
        <v>546</v>
      </c>
      <c r="B302" s="33" t="s">
        <v>555</v>
      </c>
      <c r="C302" s="33" t="s">
        <v>556</v>
      </c>
      <c r="D302" s="33" t="s">
        <v>552</v>
      </c>
      <c r="E302" s="33" t="s">
        <v>577</v>
      </c>
      <c r="F302" s="34" t="s">
        <v>167</v>
      </c>
      <c r="G302" s="40"/>
      <c r="H302" s="53"/>
      <c r="I302" s="114"/>
      <c r="J302" s="27"/>
    </row>
    <row r="303" spans="1:10" ht="24.9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578</v>
      </c>
      <c r="F303" s="34" t="s">
        <v>127</v>
      </c>
      <c r="G303" s="40"/>
      <c r="H303" s="53"/>
      <c r="I303" s="114"/>
      <c r="J303" s="27"/>
    </row>
    <row r="304" spans="1:10" ht="24.9" customHeight="1" x14ac:dyDescent="0.3">
      <c r="A304" s="32" t="s">
        <v>546</v>
      </c>
      <c r="B304" s="33" t="s">
        <v>567</v>
      </c>
      <c r="C304" s="33" t="s">
        <v>556</v>
      </c>
      <c r="D304" s="33" t="s">
        <v>568</v>
      </c>
      <c r="E304" s="33" t="s">
        <v>764</v>
      </c>
      <c r="F304" s="34" t="s">
        <v>167</v>
      </c>
      <c r="G304" s="40"/>
      <c r="H304" s="48"/>
      <c r="I304" s="114"/>
      <c r="J304" s="27"/>
    </row>
    <row r="305" spans="1:10" ht="24.9" customHeight="1" x14ac:dyDescent="0.3">
      <c r="A305" s="32" t="s">
        <v>546</v>
      </c>
      <c r="B305" s="33" t="s">
        <v>567</v>
      </c>
      <c r="C305" s="33" t="s">
        <v>556</v>
      </c>
      <c r="D305" s="33" t="s">
        <v>568</v>
      </c>
      <c r="E305" s="33" t="s">
        <v>787</v>
      </c>
      <c r="F305" s="34" t="s">
        <v>99</v>
      </c>
      <c r="G305" s="40"/>
      <c r="H305" s="51" t="s">
        <v>543</v>
      </c>
      <c r="I305" s="114"/>
      <c r="J305" s="27"/>
    </row>
    <row r="306" spans="1:10" ht="24.9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566</v>
      </c>
      <c r="F306" s="34" t="s">
        <v>127</v>
      </c>
      <c r="G306" s="40"/>
      <c r="H306" s="48"/>
      <c r="I306" s="114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225</v>
      </c>
      <c r="F307" s="34" t="s">
        <v>673</v>
      </c>
      <c r="G307" s="40"/>
      <c r="H307" s="40" t="s">
        <v>227</v>
      </c>
      <c r="I307" s="35" t="s">
        <v>226</v>
      </c>
      <c r="J307" s="27"/>
    </row>
    <row r="308" spans="1:10" ht="24.9" customHeight="1" x14ac:dyDescent="0.3">
      <c r="A308" s="32" t="s">
        <v>546</v>
      </c>
      <c r="B308" s="33" t="s">
        <v>573</v>
      </c>
      <c r="C308" s="33" t="s">
        <v>556</v>
      </c>
      <c r="D308" s="33" t="s">
        <v>574</v>
      </c>
      <c r="E308" s="33" t="s">
        <v>764</v>
      </c>
      <c r="F308" s="34" t="s">
        <v>167</v>
      </c>
      <c r="G308" s="40"/>
      <c r="H308" s="53"/>
      <c r="I308" s="114"/>
      <c r="J308" s="27"/>
    </row>
    <row r="309" spans="1:10" ht="24.9" customHeight="1" x14ac:dyDescent="0.3">
      <c r="A309" s="32" t="s">
        <v>546</v>
      </c>
      <c r="B309" s="33" t="s">
        <v>573</v>
      </c>
      <c r="C309" s="33" t="s">
        <v>556</v>
      </c>
      <c r="D309" s="33" t="s">
        <v>574</v>
      </c>
      <c r="E309" s="33" t="s">
        <v>787</v>
      </c>
      <c r="F309" s="34" t="s">
        <v>99</v>
      </c>
      <c r="G309" s="40"/>
      <c r="H309" s="51" t="s">
        <v>543</v>
      </c>
      <c r="I309" s="114"/>
      <c r="J309" s="27"/>
    </row>
    <row r="310" spans="1:10" ht="24.9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566</v>
      </c>
      <c r="F310" s="34" t="s">
        <v>127</v>
      </c>
      <c r="G310" s="40"/>
      <c r="H310" s="48"/>
      <c r="I310" s="114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225</v>
      </c>
      <c r="F311" s="34" t="s">
        <v>673</v>
      </c>
      <c r="G311" s="40"/>
      <c r="H311" s="51" t="s">
        <v>227</v>
      </c>
      <c r="I311" s="35" t="s">
        <v>226</v>
      </c>
      <c r="J311" s="27"/>
    </row>
    <row r="312" spans="1:10" ht="24.9" customHeight="1" x14ac:dyDescent="0.3">
      <c r="A312" s="32" t="s">
        <v>546</v>
      </c>
      <c r="B312" s="33" t="s">
        <v>593</v>
      </c>
      <c r="C312" s="33" t="s">
        <v>558</v>
      </c>
      <c r="D312" s="33" t="s">
        <v>585</v>
      </c>
      <c r="E312" s="33" t="s">
        <v>586</v>
      </c>
      <c r="F312" s="34" t="s">
        <v>99</v>
      </c>
      <c r="G312" s="40"/>
      <c r="H312" s="53"/>
      <c r="I312" s="114"/>
      <c r="J312" s="27"/>
    </row>
    <row r="313" spans="1:10" ht="24.9" customHeight="1" x14ac:dyDescent="0.3">
      <c r="A313" s="32" t="s">
        <v>546</v>
      </c>
      <c r="B313" s="33" t="s">
        <v>593</v>
      </c>
      <c r="C313" s="33" t="s">
        <v>558</v>
      </c>
      <c r="D313" s="33" t="s">
        <v>585</v>
      </c>
      <c r="E313" s="33" t="s">
        <v>788</v>
      </c>
      <c r="F313" s="34" t="s">
        <v>99</v>
      </c>
      <c r="G313" s="40"/>
      <c r="H313" s="53"/>
      <c r="I313" s="114"/>
      <c r="J313" s="27"/>
    </row>
    <row r="314" spans="1:10" ht="24.9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588</v>
      </c>
      <c r="F314" s="34" t="s">
        <v>99</v>
      </c>
      <c r="G314" s="40"/>
      <c r="H314" s="48"/>
      <c r="I314" s="114"/>
      <c r="J314" s="27"/>
    </row>
    <row r="315" spans="1:10" ht="24.9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587</v>
      </c>
      <c r="F315" s="34" t="s">
        <v>127</v>
      </c>
      <c r="G315" s="40"/>
      <c r="H315" s="48"/>
      <c r="I315" s="114"/>
      <c r="J315" s="27"/>
    </row>
    <row r="316" spans="1:10" ht="24.9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590</v>
      </c>
      <c r="F316" s="34" t="s">
        <v>127</v>
      </c>
      <c r="G316" s="40"/>
      <c r="H316" s="48"/>
      <c r="I316" s="114"/>
      <c r="J316" s="27"/>
    </row>
    <row r="317" spans="1:10" ht="24.9" hidden="1" customHeight="1" x14ac:dyDescent="0.3">
      <c r="A317" s="32" t="s">
        <v>546</v>
      </c>
      <c r="B317" s="33" t="s">
        <v>557</v>
      </c>
      <c r="C317" s="33" t="s">
        <v>558</v>
      </c>
      <c r="D317" s="33" t="s">
        <v>552</v>
      </c>
      <c r="E317" s="33" t="s">
        <v>225</v>
      </c>
      <c r="F317" s="34" t="s">
        <v>673</v>
      </c>
      <c r="G317" s="40"/>
      <c r="H317" s="51" t="s">
        <v>850</v>
      </c>
      <c r="I317" s="35" t="s">
        <v>234</v>
      </c>
      <c r="J317" s="27"/>
    </row>
    <row r="318" spans="1:10" ht="24.9" customHeight="1" x14ac:dyDescent="0.3">
      <c r="A318" s="32" t="s">
        <v>546</v>
      </c>
      <c r="B318" s="33" t="s">
        <v>557</v>
      </c>
      <c r="C318" s="33" t="s">
        <v>558</v>
      </c>
      <c r="D318" s="33" t="s">
        <v>552</v>
      </c>
      <c r="E318" s="33" t="s">
        <v>577</v>
      </c>
      <c r="F318" s="34" t="s">
        <v>167</v>
      </c>
      <c r="G318" s="40"/>
      <c r="H318" s="53"/>
      <c r="I318" s="114"/>
      <c r="J318" s="27"/>
    </row>
    <row r="319" spans="1:10" ht="24.9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578</v>
      </c>
      <c r="F319" s="34" t="s">
        <v>127</v>
      </c>
      <c r="G319" s="40"/>
      <c r="H319" s="48"/>
      <c r="I319" s="114"/>
      <c r="J319" s="27"/>
    </row>
    <row r="320" spans="1:10" ht="24.9" customHeight="1" x14ac:dyDescent="0.3">
      <c r="A320" s="32" t="s">
        <v>546</v>
      </c>
      <c r="B320" s="33" t="s">
        <v>569</v>
      </c>
      <c r="C320" s="33" t="s">
        <v>558</v>
      </c>
      <c r="D320" s="33" t="s">
        <v>568</v>
      </c>
      <c r="E320" s="33" t="s">
        <v>764</v>
      </c>
      <c r="F320" s="34" t="s">
        <v>167</v>
      </c>
      <c r="G320" s="40"/>
      <c r="H320" s="48"/>
      <c r="I320" s="114"/>
      <c r="J320" s="27"/>
    </row>
    <row r="321" spans="1:10" ht="24.9" customHeight="1" x14ac:dyDescent="0.3">
      <c r="A321" s="32" t="s">
        <v>546</v>
      </c>
      <c r="B321" s="33" t="s">
        <v>569</v>
      </c>
      <c r="C321" s="33" t="s">
        <v>558</v>
      </c>
      <c r="D321" s="33" t="s">
        <v>568</v>
      </c>
      <c r="E321" s="33" t="s">
        <v>787</v>
      </c>
      <c r="F321" s="34" t="s">
        <v>99</v>
      </c>
      <c r="G321" s="40"/>
      <c r="H321" s="51" t="s">
        <v>543</v>
      </c>
      <c r="I321" s="114"/>
      <c r="J321" s="27"/>
    </row>
    <row r="322" spans="1:10" ht="24.9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566</v>
      </c>
      <c r="F322" s="34" t="s">
        <v>127</v>
      </c>
      <c r="G322" s="40"/>
      <c r="H322" s="48"/>
      <c r="I322" s="114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225</v>
      </c>
      <c r="F323" s="34" t="s">
        <v>673</v>
      </c>
      <c r="G323" s="40"/>
      <c r="H323" s="51" t="s">
        <v>227</v>
      </c>
      <c r="I323" s="35" t="s">
        <v>226</v>
      </c>
      <c r="J323" s="27"/>
    </row>
    <row r="324" spans="1:10" ht="24.9" customHeight="1" x14ac:dyDescent="0.3">
      <c r="A324" s="32" t="s">
        <v>546</v>
      </c>
      <c r="B324" s="33" t="s">
        <v>575</v>
      </c>
      <c r="C324" s="33" t="s">
        <v>558</v>
      </c>
      <c r="D324" s="33" t="s">
        <v>574</v>
      </c>
      <c r="E324" s="33" t="s">
        <v>764</v>
      </c>
      <c r="F324" s="34" t="s">
        <v>167</v>
      </c>
      <c r="G324" s="40"/>
      <c r="H324" s="48"/>
      <c r="I324" s="114"/>
      <c r="J324" s="27"/>
    </row>
    <row r="325" spans="1:10" ht="24.9" customHeight="1" x14ac:dyDescent="0.3">
      <c r="A325" s="32" t="s">
        <v>546</v>
      </c>
      <c r="B325" s="33" t="s">
        <v>575</v>
      </c>
      <c r="C325" s="33" t="s">
        <v>558</v>
      </c>
      <c r="D325" s="33" t="s">
        <v>574</v>
      </c>
      <c r="E325" s="33" t="s">
        <v>787</v>
      </c>
      <c r="F325" s="34" t="s">
        <v>99</v>
      </c>
      <c r="G325" s="40"/>
      <c r="H325" s="51" t="s">
        <v>543</v>
      </c>
      <c r="I325" s="114"/>
      <c r="J325" s="27"/>
    </row>
    <row r="326" spans="1:10" ht="24.9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566</v>
      </c>
      <c r="F326" s="34" t="s">
        <v>127</v>
      </c>
      <c r="G326" s="40"/>
      <c r="H326" s="48"/>
      <c r="I326" s="114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225</v>
      </c>
      <c r="F327" s="34" t="s">
        <v>673</v>
      </c>
      <c r="G327" s="40"/>
      <c r="H327" s="51" t="s">
        <v>227</v>
      </c>
      <c r="I327" s="35" t="s">
        <v>226</v>
      </c>
      <c r="J327" s="27"/>
    </row>
    <row r="328" spans="1:10" ht="24.9" customHeight="1" x14ac:dyDescent="0.3">
      <c r="A328" s="32" t="s">
        <v>546</v>
      </c>
      <c r="B328" s="33" t="s">
        <v>594</v>
      </c>
      <c r="C328" s="33" t="s">
        <v>560</v>
      </c>
      <c r="D328" s="33" t="s">
        <v>585</v>
      </c>
      <c r="E328" s="33" t="s">
        <v>586</v>
      </c>
      <c r="F328" s="34" t="s">
        <v>99</v>
      </c>
      <c r="G328" s="40"/>
      <c r="H328" s="48"/>
      <c r="I328" s="114"/>
      <c r="J328" s="27"/>
    </row>
    <row r="329" spans="1:10" ht="24.9" customHeight="1" x14ac:dyDescent="0.3">
      <c r="A329" s="32" t="s">
        <v>546</v>
      </c>
      <c r="B329" s="33" t="s">
        <v>594</v>
      </c>
      <c r="C329" s="33" t="s">
        <v>560</v>
      </c>
      <c r="D329" s="33" t="s">
        <v>585</v>
      </c>
      <c r="E329" s="33" t="s">
        <v>788</v>
      </c>
      <c r="F329" s="34" t="s">
        <v>99</v>
      </c>
      <c r="G329" s="40"/>
      <c r="H329" s="48"/>
      <c r="I329" s="114"/>
      <c r="J329" s="27"/>
    </row>
    <row r="330" spans="1:10" ht="24.9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588</v>
      </c>
      <c r="F330" s="34" t="s">
        <v>99</v>
      </c>
      <c r="G330" s="40"/>
      <c r="H330" s="48"/>
      <c r="I330" s="114"/>
      <c r="J330" s="27"/>
    </row>
    <row r="331" spans="1:10" ht="24.9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587</v>
      </c>
      <c r="F331" s="34" t="s">
        <v>127</v>
      </c>
      <c r="G331" s="40"/>
      <c r="H331" s="48"/>
      <c r="I331" s="114"/>
      <c r="J331" s="27"/>
    </row>
    <row r="332" spans="1:10" ht="24.9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590</v>
      </c>
      <c r="F332" s="34" t="s">
        <v>127</v>
      </c>
      <c r="G332" s="40"/>
      <c r="H332" s="48"/>
      <c r="I332" s="114"/>
      <c r="J332" s="27"/>
    </row>
    <row r="333" spans="1:10" ht="24.9" hidden="1" customHeight="1" x14ac:dyDescent="0.3">
      <c r="A333" s="32" t="s">
        <v>546</v>
      </c>
      <c r="B333" s="33" t="s">
        <v>559</v>
      </c>
      <c r="C333" s="33" t="s">
        <v>560</v>
      </c>
      <c r="D333" s="33" t="s">
        <v>552</v>
      </c>
      <c r="E333" s="33" t="s">
        <v>225</v>
      </c>
      <c r="F333" s="34" t="s">
        <v>673</v>
      </c>
      <c r="G333" s="40"/>
      <c r="H333" s="51" t="s">
        <v>850</v>
      </c>
      <c r="I333" s="35" t="s">
        <v>234</v>
      </c>
      <c r="J333" s="27"/>
    </row>
    <row r="334" spans="1:10" ht="24.9" customHeight="1" x14ac:dyDescent="0.3">
      <c r="A334" s="32" t="s">
        <v>546</v>
      </c>
      <c r="B334" s="33" t="s">
        <v>559</v>
      </c>
      <c r="C334" s="33" t="s">
        <v>560</v>
      </c>
      <c r="D334" s="33" t="s">
        <v>552</v>
      </c>
      <c r="E334" s="33" t="s">
        <v>577</v>
      </c>
      <c r="F334" s="34" t="s">
        <v>167</v>
      </c>
      <c r="G334" s="40"/>
      <c r="H334" s="48"/>
      <c r="I334" s="114"/>
      <c r="J334" s="27"/>
    </row>
    <row r="335" spans="1:10" ht="24.9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578</v>
      </c>
      <c r="F335" s="34" t="s">
        <v>127</v>
      </c>
      <c r="G335" s="40"/>
      <c r="H335" s="48"/>
      <c r="I335" s="114"/>
      <c r="J335" s="27"/>
    </row>
    <row r="336" spans="1:10" ht="24.9" customHeight="1" x14ac:dyDescent="0.3">
      <c r="A336" s="32" t="s">
        <v>546</v>
      </c>
      <c r="B336" s="33" t="s">
        <v>570</v>
      </c>
      <c r="C336" s="33" t="s">
        <v>560</v>
      </c>
      <c r="D336" s="33" t="s">
        <v>568</v>
      </c>
      <c r="E336" s="33" t="s">
        <v>764</v>
      </c>
      <c r="F336" s="34" t="s">
        <v>167</v>
      </c>
      <c r="G336" s="51"/>
      <c r="H336" s="48"/>
      <c r="I336" s="114"/>
      <c r="J336" s="27"/>
    </row>
    <row r="337" spans="1:10" ht="24.9" customHeight="1" x14ac:dyDescent="0.3">
      <c r="A337" s="32" t="s">
        <v>546</v>
      </c>
      <c r="B337" s="33" t="s">
        <v>570</v>
      </c>
      <c r="C337" s="33" t="s">
        <v>560</v>
      </c>
      <c r="D337" s="33" t="s">
        <v>568</v>
      </c>
      <c r="E337" s="33" t="s">
        <v>787</v>
      </c>
      <c r="F337" s="34" t="s">
        <v>99</v>
      </c>
      <c r="G337" s="40"/>
      <c r="H337" s="51" t="s">
        <v>543</v>
      </c>
      <c r="I337" s="114"/>
      <c r="J337" s="27"/>
    </row>
    <row r="338" spans="1:10" ht="24.9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566</v>
      </c>
      <c r="F338" s="34" t="s">
        <v>127</v>
      </c>
      <c r="G338" s="29"/>
      <c r="H338" s="48"/>
      <c r="I338" s="114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225</v>
      </c>
      <c r="F339" s="34" t="s">
        <v>673</v>
      </c>
      <c r="G339" s="51"/>
      <c r="H339" s="51" t="s">
        <v>227</v>
      </c>
      <c r="I339" s="35" t="s">
        <v>226</v>
      </c>
      <c r="J339" s="27"/>
    </row>
    <row r="340" spans="1:10" ht="24.9" customHeight="1" x14ac:dyDescent="0.3">
      <c r="A340" s="32" t="s">
        <v>546</v>
      </c>
      <c r="B340" s="33" t="s">
        <v>576</v>
      </c>
      <c r="C340" s="33" t="s">
        <v>560</v>
      </c>
      <c r="D340" s="33" t="s">
        <v>574</v>
      </c>
      <c r="E340" s="33" t="s">
        <v>764</v>
      </c>
      <c r="F340" s="34" t="s">
        <v>167</v>
      </c>
      <c r="G340" s="51"/>
      <c r="H340" s="48"/>
      <c r="I340" s="114"/>
      <c r="J340" s="27"/>
    </row>
    <row r="341" spans="1:10" ht="24.9" customHeight="1" x14ac:dyDescent="0.3">
      <c r="A341" s="32" t="s">
        <v>546</v>
      </c>
      <c r="B341" s="33" t="s">
        <v>576</v>
      </c>
      <c r="C341" s="33" t="s">
        <v>560</v>
      </c>
      <c r="D341" s="33" t="s">
        <v>574</v>
      </c>
      <c r="E341" s="33" t="s">
        <v>787</v>
      </c>
      <c r="F341" s="34" t="s">
        <v>99</v>
      </c>
      <c r="G341" s="51"/>
      <c r="H341" s="51" t="s">
        <v>543</v>
      </c>
      <c r="I341" s="114"/>
      <c r="J341" s="27"/>
    </row>
    <row r="342" spans="1:10" ht="24.9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566</v>
      </c>
      <c r="F342" s="34" t="s">
        <v>127</v>
      </c>
      <c r="G342" s="51"/>
      <c r="H342" s="48"/>
      <c r="I342" s="114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225</v>
      </c>
      <c r="F343" s="34" t="s">
        <v>673</v>
      </c>
      <c r="G343" s="51"/>
      <c r="H343" s="51" t="s">
        <v>227</v>
      </c>
      <c r="I343" s="35" t="s">
        <v>226</v>
      </c>
      <c r="J343" s="27"/>
    </row>
    <row r="344" spans="1:10" ht="24.9" customHeight="1" x14ac:dyDescent="0.3">
      <c r="A344" s="32" t="s">
        <v>546</v>
      </c>
      <c r="B344" s="33" t="s">
        <v>595</v>
      </c>
      <c r="C344" s="33" t="s">
        <v>548</v>
      </c>
      <c r="D344" s="33" t="s">
        <v>585</v>
      </c>
      <c r="E344" s="33" t="s">
        <v>586</v>
      </c>
      <c r="F344" s="34" t="s">
        <v>99</v>
      </c>
      <c r="G344" s="51"/>
      <c r="H344" s="48"/>
      <c r="I344" s="114"/>
      <c r="J344" s="27"/>
    </row>
    <row r="345" spans="1:10" ht="24.9" customHeight="1" x14ac:dyDescent="0.3">
      <c r="A345" s="32" t="s">
        <v>546</v>
      </c>
      <c r="B345" s="33" t="s">
        <v>595</v>
      </c>
      <c r="C345" s="33" t="s">
        <v>548</v>
      </c>
      <c r="D345" s="33" t="s">
        <v>585</v>
      </c>
      <c r="E345" s="33" t="s">
        <v>788</v>
      </c>
      <c r="F345" s="34" t="s">
        <v>99</v>
      </c>
      <c r="G345" s="51"/>
      <c r="H345" s="48"/>
      <c r="I345" s="114"/>
      <c r="J345" s="27"/>
    </row>
    <row r="346" spans="1:10" ht="24.9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588</v>
      </c>
      <c r="F346" s="34" t="s">
        <v>99</v>
      </c>
      <c r="G346" s="51"/>
      <c r="H346" s="48"/>
      <c r="I346" s="114"/>
      <c r="J346" s="27"/>
    </row>
    <row r="347" spans="1:10" ht="24.9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587</v>
      </c>
      <c r="F347" s="34" t="s">
        <v>127</v>
      </c>
      <c r="G347" s="51"/>
      <c r="H347" s="48"/>
      <c r="I347" s="114"/>
      <c r="J347" s="27"/>
    </row>
    <row r="348" spans="1:10" ht="24.9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590</v>
      </c>
      <c r="F348" s="34" t="s">
        <v>127</v>
      </c>
      <c r="G348" s="51"/>
      <c r="H348" s="48"/>
      <c r="I348" s="114"/>
      <c r="J348" s="27"/>
    </row>
    <row r="349" spans="1:10" ht="24.9" hidden="1" customHeight="1" x14ac:dyDescent="0.3">
      <c r="A349" s="32" t="s">
        <v>546</v>
      </c>
      <c r="B349" s="33" t="s">
        <v>547</v>
      </c>
      <c r="C349" s="33" t="s">
        <v>548</v>
      </c>
      <c r="D349" s="33" t="s">
        <v>549</v>
      </c>
      <c r="E349" s="33" t="s">
        <v>225</v>
      </c>
      <c r="F349" s="34" t="s">
        <v>673</v>
      </c>
      <c r="G349" s="51"/>
      <c r="H349" s="51" t="s">
        <v>850</v>
      </c>
      <c r="I349" s="35" t="s">
        <v>234</v>
      </c>
      <c r="J349" s="27"/>
    </row>
    <row r="350" spans="1:10" ht="24.9" customHeight="1" x14ac:dyDescent="0.3">
      <c r="A350" s="32" t="s">
        <v>546</v>
      </c>
      <c r="B350" s="33" t="s">
        <v>547</v>
      </c>
      <c r="C350" s="33" t="s">
        <v>548</v>
      </c>
      <c r="D350" s="33" t="s">
        <v>549</v>
      </c>
      <c r="E350" s="33" t="s">
        <v>577</v>
      </c>
      <c r="F350" s="34" t="s">
        <v>167</v>
      </c>
      <c r="G350" s="51"/>
      <c r="H350" s="48"/>
      <c r="I350" s="114"/>
      <c r="J350" s="27"/>
    </row>
    <row r="351" spans="1:10" ht="24.9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578</v>
      </c>
      <c r="F351" s="34" t="s">
        <v>127</v>
      </c>
      <c r="G351" s="51"/>
      <c r="H351" s="48"/>
      <c r="I351" s="114"/>
      <c r="J351" s="27"/>
    </row>
    <row r="352" spans="1:10" ht="24.9" customHeight="1" x14ac:dyDescent="0.3">
      <c r="A352" s="32" t="s">
        <v>546</v>
      </c>
      <c r="B352" s="33" t="s">
        <v>564</v>
      </c>
      <c r="C352" s="33" t="s">
        <v>548</v>
      </c>
      <c r="D352" s="33" t="s">
        <v>565</v>
      </c>
      <c r="E352" s="33" t="s">
        <v>764</v>
      </c>
      <c r="F352" s="34" t="s">
        <v>167</v>
      </c>
      <c r="G352" s="40"/>
      <c r="H352" s="48"/>
      <c r="I352" s="114"/>
      <c r="J352" s="27"/>
    </row>
    <row r="353" spans="1:10" ht="24.9" customHeight="1" x14ac:dyDescent="0.3">
      <c r="A353" s="32" t="s">
        <v>546</v>
      </c>
      <c r="B353" s="33" t="s">
        <v>564</v>
      </c>
      <c r="C353" s="33" t="s">
        <v>548</v>
      </c>
      <c r="D353" s="33" t="s">
        <v>565</v>
      </c>
      <c r="E353" s="33" t="s">
        <v>787</v>
      </c>
      <c r="F353" s="34" t="s">
        <v>99</v>
      </c>
      <c r="G353" s="40"/>
      <c r="H353" s="51" t="s">
        <v>543</v>
      </c>
      <c r="I353" s="114"/>
      <c r="J353" s="27"/>
    </row>
    <row r="354" spans="1:10" ht="24.9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566</v>
      </c>
      <c r="F354" s="34" t="s">
        <v>127</v>
      </c>
      <c r="G354" s="40"/>
      <c r="H354" s="48"/>
      <c r="I354" s="114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225</v>
      </c>
      <c r="F355" s="34" t="s">
        <v>673</v>
      </c>
      <c r="G355" s="40"/>
      <c r="H355" s="51" t="s">
        <v>227</v>
      </c>
      <c r="I355" s="35" t="s">
        <v>226</v>
      </c>
      <c r="J355" s="27"/>
    </row>
    <row r="356" spans="1:10" ht="24.9" customHeight="1" x14ac:dyDescent="0.3">
      <c r="A356" s="32" t="s">
        <v>546</v>
      </c>
      <c r="B356" s="33" t="s">
        <v>571</v>
      </c>
      <c r="C356" s="33" t="s">
        <v>548</v>
      </c>
      <c r="D356" s="33" t="s">
        <v>572</v>
      </c>
      <c r="E356" s="33" t="s">
        <v>764</v>
      </c>
      <c r="F356" s="34" t="s">
        <v>167</v>
      </c>
      <c r="G356" s="40"/>
      <c r="H356" s="48"/>
      <c r="I356" s="114"/>
      <c r="J356" s="27"/>
    </row>
    <row r="357" spans="1:10" ht="24.9" customHeight="1" x14ac:dyDescent="0.3">
      <c r="A357" s="32" t="s">
        <v>546</v>
      </c>
      <c r="B357" s="33" t="s">
        <v>571</v>
      </c>
      <c r="C357" s="33" t="s">
        <v>548</v>
      </c>
      <c r="D357" s="33" t="s">
        <v>572</v>
      </c>
      <c r="E357" s="33" t="s">
        <v>787</v>
      </c>
      <c r="F357" s="34" t="s">
        <v>99</v>
      </c>
      <c r="G357" s="40"/>
      <c r="H357" s="51" t="s">
        <v>543</v>
      </c>
      <c r="I357" s="114"/>
      <c r="J357" s="27"/>
    </row>
    <row r="358" spans="1:10" ht="24.9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566</v>
      </c>
      <c r="F358" s="34" t="s">
        <v>127</v>
      </c>
      <c r="G358" s="40"/>
      <c r="H358" s="48"/>
      <c r="I358" s="114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225</v>
      </c>
      <c r="F359" s="34" t="s">
        <v>673</v>
      </c>
      <c r="G359" s="40"/>
      <c r="H359" s="51" t="s">
        <v>227</v>
      </c>
      <c r="I359" s="35" t="s">
        <v>226</v>
      </c>
      <c r="J359" s="27"/>
    </row>
    <row r="360" spans="1:10" ht="24.9" customHeight="1" x14ac:dyDescent="0.3">
      <c r="A360" s="32" t="s">
        <v>599</v>
      </c>
      <c r="B360" s="33" t="s">
        <v>624</v>
      </c>
      <c r="C360" s="33" t="s">
        <v>551</v>
      </c>
      <c r="D360" s="33" t="s">
        <v>625</v>
      </c>
      <c r="E360" s="33" t="s">
        <v>626</v>
      </c>
      <c r="F360" s="34" t="s">
        <v>99</v>
      </c>
      <c r="G360" s="40"/>
      <c r="H360" s="48"/>
      <c r="I360" s="114"/>
      <c r="J360" s="27"/>
    </row>
    <row r="361" spans="1:10" ht="24.9" customHeight="1" x14ac:dyDescent="0.3">
      <c r="A361" s="32" t="s">
        <v>599</v>
      </c>
      <c r="B361" s="33" t="s">
        <v>624</v>
      </c>
      <c r="C361" s="33" t="s">
        <v>551</v>
      </c>
      <c r="D361" s="33" t="s">
        <v>625</v>
      </c>
      <c r="E361" s="33" t="s">
        <v>790</v>
      </c>
      <c r="F361" s="34" t="s">
        <v>99</v>
      </c>
      <c r="G361" s="40"/>
      <c r="H361" s="48"/>
      <c r="I361" s="114"/>
      <c r="J361" s="27"/>
    </row>
    <row r="362" spans="1:10" ht="24.9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628</v>
      </c>
      <c r="F362" s="34" t="s">
        <v>99</v>
      </c>
      <c r="G362" s="40"/>
      <c r="H362" s="48"/>
      <c r="I362" s="114"/>
      <c r="J362" s="27"/>
    </row>
    <row r="363" spans="1:10" ht="24.9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632</v>
      </c>
      <c r="F363" s="34" t="s">
        <v>99</v>
      </c>
      <c r="G363" s="40"/>
      <c r="H363" s="48"/>
      <c r="I363" s="114"/>
      <c r="J363" s="27"/>
    </row>
    <row r="364" spans="1:10" ht="24.9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792</v>
      </c>
      <c r="F364" s="34" t="s">
        <v>99</v>
      </c>
      <c r="G364" s="40"/>
      <c r="H364" s="48"/>
      <c r="I364" s="114"/>
      <c r="J364" s="27"/>
    </row>
    <row r="365" spans="1:10" ht="24.9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588</v>
      </c>
      <c r="F365" s="34" t="s">
        <v>99</v>
      </c>
      <c r="G365" s="40"/>
      <c r="H365" s="48"/>
      <c r="I365" s="114"/>
      <c r="J365" s="27"/>
    </row>
    <row r="366" spans="1:10" ht="24.9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633</v>
      </c>
      <c r="F366" s="34" t="s">
        <v>99</v>
      </c>
      <c r="G366" s="40"/>
      <c r="H366" s="48"/>
      <c r="I366" s="114"/>
      <c r="J366" s="27"/>
    </row>
    <row r="367" spans="1:10" ht="24.9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634</v>
      </c>
      <c r="F367" s="34" t="s">
        <v>99</v>
      </c>
      <c r="G367" s="40"/>
      <c r="H367" s="48"/>
      <c r="I367" s="114"/>
      <c r="J367" s="27"/>
    </row>
    <row r="368" spans="1:10" ht="24.9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627</v>
      </c>
      <c r="F368" s="34" t="s">
        <v>127</v>
      </c>
      <c r="G368" s="40"/>
      <c r="H368" s="48"/>
      <c r="I368" s="114"/>
      <c r="J368" s="27"/>
    </row>
    <row r="369" spans="1:10" ht="24.9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629</v>
      </c>
      <c r="F369" s="34" t="s">
        <v>127</v>
      </c>
      <c r="G369" s="40"/>
      <c r="H369" s="48"/>
      <c r="I369" s="114"/>
      <c r="J369" s="27"/>
    </row>
    <row r="370" spans="1:10" ht="24.9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630</v>
      </c>
      <c r="F370" s="34" t="s">
        <v>127</v>
      </c>
      <c r="G370" s="40"/>
      <c r="H370" s="48"/>
      <c r="I370" s="114"/>
      <c r="J370" s="27"/>
    </row>
    <row r="371" spans="1:10" ht="24.9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631</v>
      </c>
      <c r="F371" s="34" t="s">
        <v>127</v>
      </c>
      <c r="G371" s="40"/>
      <c r="H371" s="48"/>
      <c r="I371" s="114"/>
      <c r="J371" s="27"/>
    </row>
    <row r="372" spans="1:10" ht="24.9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791</v>
      </c>
      <c r="F372" s="34" t="s">
        <v>127</v>
      </c>
      <c r="G372" s="40"/>
      <c r="H372" s="48"/>
      <c r="I372" s="114"/>
      <c r="J372" s="27"/>
    </row>
    <row r="373" spans="1:10" ht="24.9" customHeight="1" x14ac:dyDescent="0.3">
      <c r="A373" s="32" t="s">
        <v>599</v>
      </c>
      <c r="B373" s="33" t="s">
        <v>640</v>
      </c>
      <c r="C373" s="33" t="s">
        <v>551</v>
      </c>
      <c r="D373" s="33" t="s">
        <v>641</v>
      </c>
      <c r="E373" s="33" t="s">
        <v>642</v>
      </c>
      <c r="F373" s="34" t="s">
        <v>99</v>
      </c>
      <c r="G373" s="40"/>
      <c r="H373" s="48"/>
      <c r="I373" s="114"/>
      <c r="J373" s="27"/>
    </row>
    <row r="374" spans="1:10" ht="24.9" customHeight="1" x14ac:dyDescent="0.3">
      <c r="A374" s="32" t="s">
        <v>599</v>
      </c>
      <c r="B374" s="33" t="s">
        <v>611</v>
      </c>
      <c r="C374" s="33" t="s">
        <v>551</v>
      </c>
      <c r="D374" s="33" t="s">
        <v>601</v>
      </c>
      <c r="E374" s="33" t="s">
        <v>789</v>
      </c>
      <c r="F374" s="34" t="s">
        <v>99</v>
      </c>
      <c r="G374" s="40"/>
      <c r="H374" s="51" t="s">
        <v>612</v>
      </c>
      <c r="I374" s="114"/>
      <c r="J374" s="27"/>
    </row>
    <row r="375" spans="1:10" ht="24.9" customHeight="1" x14ac:dyDescent="0.3">
      <c r="A375" s="32" t="s">
        <v>599</v>
      </c>
      <c r="B375" s="33" t="s">
        <v>611</v>
      </c>
      <c r="C375" s="33" t="s">
        <v>551</v>
      </c>
      <c r="D375" s="33" t="s">
        <v>601</v>
      </c>
      <c r="E375" s="33" t="s">
        <v>617</v>
      </c>
      <c r="F375" s="34" t="s">
        <v>99</v>
      </c>
      <c r="G375" s="40"/>
      <c r="H375" s="48"/>
      <c r="I375" s="114"/>
      <c r="J375" s="27"/>
    </row>
    <row r="376" spans="1:10" ht="24.9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618</v>
      </c>
      <c r="F376" s="34" t="s">
        <v>99</v>
      </c>
      <c r="G376" s="40"/>
      <c r="H376" s="48"/>
      <c r="I376" s="114"/>
      <c r="J376" s="27"/>
    </row>
    <row r="377" spans="1:10" ht="24.9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619</v>
      </c>
      <c r="F377" s="34" t="s">
        <v>99</v>
      </c>
      <c r="G377" s="40"/>
      <c r="H377" s="48"/>
      <c r="I377" s="114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602</v>
      </c>
      <c r="F378" s="34" t="s">
        <v>673</v>
      </c>
      <c r="G378" s="40"/>
      <c r="H378" s="51" t="s">
        <v>603</v>
      </c>
      <c r="I378" s="35" t="s">
        <v>604</v>
      </c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793</v>
      </c>
      <c r="F379" s="34" t="s">
        <v>673</v>
      </c>
      <c r="G379" s="40"/>
      <c r="H379" s="51" t="s">
        <v>227</v>
      </c>
      <c r="I379" s="35" t="s">
        <v>649</v>
      </c>
      <c r="J379" s="27"/>
    </row>
    <row r="380" spans="1:10" ht="24.9" customHeight="1" x14ac:dyDescent="0.3">
      <c r="A380" s="32" t="s">
        <v>599</v>
      </c>
      <c r="B380" s="33" t="s">
        <v>635</v>
      </c>
      <c r="C380" s="33" t="s">
        <v>554</v>
      </c>
      <c r="D380" s="33" t="s">
        <v>625</v>
      </c>
      <c r="E380" s="33" t="s">
        <v>626</v>
      </c>
      <c r="F380" s="34" t="s">
        <v>99</v>
      </c>
      <c r="G380" s="40"/>
      <c r="H380" s="48"/>
      <c r="I380" s="114"/>
      <c r="J380" s="27"/>
    </row>
    <row r="381" spans="1:10" ht="24.9" customHeight="1" x14ac:dyDescent="0.3">
      <c r="A381" s="32" t="s">
        <v>599</v>
      </c>
      <c r="B381" s="33" t="s">
        <v>635</v>
      </c>
      <c r="C381" s="33" t="s">
        <v>554</v>
      </c>
      <c r="D381" s="33" t="s">
        <v>625</v>
      </c>
      <c r="E381" s="33" t="s">
        <v>790</v>
      </c>
      <c r="F381" s="34" t="s">
        <v>99</v>
      </c>
      <c r="G381" s="40"/>
      <c r="H381" s="48"/>
      <c r="I381" s="114"/>
      <c r="J381" s="27"/>
    </row>
    <row r="382" spans="1:10" ht="24.9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628</v>
      </c>
      <c r="F382" s="34" t="s">
        <v>99</v>
      </c>
      <c r="G382" s="40"/>
      <c r="H382" s="48"/>
      <c r="I382" s="114"/>
      <c r="J382" s="27"/>
    </row>
    <row r="383" spans="1:10" ht="24.9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632</v>
      </c>
      <c r="F383" s="34" t="s">
        <v>99</v>
      </c>
      <c r="G383" s="40"/>
      <c r="H383" s="48"/>
      <c r="I383" s="114"/>
      <c r="J383" s="27"/>
    </row>
    <row r="384" spans="1:10" ht="24.9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792</v>
      </c>
      <c r="F384" s="34" t="s">
        <v>99</v>
      </c>
      <c r="G384" s="40"/>
      <c r="H384" s="48"/>
      <c r="I384" s="114"/>
      <c r="J384" s="27"/>
    </row>
    <row r="385" spans="1:10" ht="24.9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588</v>
      </c>
      <c r="F385" s="34" t="s">
        <v>99</v>
      </c>
      <c r="G385" s="40"/>
      <c r="H385" s="48"/>
      <c r="I385" s="114"/>
      <c r="J385" s="27"/>
    </row>
    <row r="386" spans="1:10" ht="24.9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633</v>
      </c>
      <c r="F386" s="34" t="s">
        <v>99</v>
      </c>
      <c r="G386" s="40"/>
      <c r="H386" s="48"/>
      <c r="I386" s="114"/>
      <c r="J386" s="27"/>
    </row>
    <row r="387" spans="1:10" ht="24.9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634</v>
      </c>
      <c r="F387" s="34" t="s">
        <v>99</v>
      </c>
      <c r="G387" s="40"/>
      <c r="H387" s="48"/>
      <c r="I387" s="114"/>
      <c r="J387" s="27"/>
    </row>
    <row r="388" spans="1:10" ht="24.9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627</v>
      </c>
      <c r="F388" s="34" t="s">
        <v>127</v>
      </c>
      <c r="G388" s="40"/>
      <c r="H388" s="48"/>
      <c r="I388" s="114"/>
      <c r="J388" s="27"/>
    </row>
    <row r="389" spans="1:10" ht="24.9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629</v>
      </c>
      <c r="F389" s="34" t="s">
        <v>127</v>
      </c>
      <c r="G389" s="40"/>
      <c r="H389" s="48"/>
      <c r="I389" s="114"/>
      <c r="J389" s="27"/>
    </row>
    <row r="390" spans="1:10" ht="24.9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630</v>
      </c>
      <c r="F390" s="34" t="s">
        <v>127</v>
      </c>
      <c r="G390" s="40"/>
      <c r="H390" s="53"/>
      <c r="I390" s="114"/>
      <c r="J390" s="27"/>
    </row>
    <row r="391" spans="1:10" ht="24.9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631</v>
      </c>
      <c r="F391" s="34" t="s">
        <v>127</v>
      </c>
      <c r="G391" s="40"/>
      <c r="H391" s="53"/>
      <c r="I391" s="114"/>
      <c r="J391" s="27"/>
    </row>
    <row r="392" spans="1:10" ht="24.9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791</v>
      </c>
      <c r="F392" s="34" t="s">
        <v>127</v>
      </c>
      <c r="G392" s="40"/>
      <c r="H392" s="53"/>
      <c r="I392" s="114"/>
      <c r="J392" s="27"/>
    </row>
    <row r="393" spans="1:10" ht="24.9" customHeight="1" x14ac:dyDescent="0.3">
      <c r="A393" s="32" t="s">
        <v>599</v>
      </c>
      <c r="B393" s="33" t="s">
        <v>643</v>
      </c>
      <c r="C393" s="33" t="s">
        <v>554</v>
      </c>
      <c r="D393" s="33" t="s">
        <v>641</v>
      </c>
      <c r="E393" s="33" t="s">
        <v>642</v>
      </c>
      <c r="F393" s="34" t="s">
        <v>99</v>
      </c>
      <c r="G393" s="40"/>
      <c r="H393" s="53"/>
      <c r="I393" s="114"/>
      <c r="J393" s="27"/>
    </row>
    <row r="394" spans="1:10" ht="24.9" customHeight="1" x14ac:dyDescent="0.3">
      <c r="A394" s="32" t="s">
        <v>599</v>
      </c>
      <c r="B394" s="33" t="s">
        <v>613</v>
      </c>
      <c r="C394" s="33" t="s">
        <v>554</v>
      </c>
      <c r="D394" s="33" t="s">
        <v>601</v>
      </c>
      <c r="E394" s="33" t="s">
        <v>789</v>
      </c>
      <c r="F394" s="34" t="s">
        <v>99</v>
      </c>
      <c r="G394" s="40"/>
      <c r="H394" s="40" t="s">
        <v>612</v>
      </c>
      <c r="I394" s="114"/>
      <c r="J394" s="27"/>
    </row>
    <row r="395" spans="1:10" ht="24.9" customHeight="1" x14ac:dyDescent="0.3">
      <c r="A395" s="32" t="s">
        <v>599</v>
      </c>
      <c r="B395" s="33" t="s">
        <v>613</v>
      </c>
      <c r="C395" s="33" t="s">
        <v>554</v>
      </c>
      <c r="D395" s="33" t="s">
        <v>601</v>
      </c>
      <c r="E395" s="33" t="s">
        <v>617</v>
      </c>
      <c r="F395" s="34" t="s">
        <v>99</v>
      </c>
      <c r="G395" s="40"/>
      <c r="H395" s="48"/>
      <c r="I395" s="114"/>
      <c r="J395" s="27"/>
    </row>
    <row r="396" spans="1:10" ht="24.9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618</v>
      </c>
      <c r="F396" s="34" t="s">
        <v>99</v>
      </c>
      <c r="G396" s="40"/>
      <c r="H396" s="48"/>
      <c r="I396" s="114"/>
      <c r="J396" s="27"/>
    </row>
    <row r="397" spans="1:10" ht="24.9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619</v>
      </c>
      <c r="F397" s="34" t="s">
        <v>99</v>
      </c>
      <c r="G397" s="40"/>
      <c r="H397" s="48"/>
      <c r="I397" s="114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602</v>
      </c>
      <c r="F398" s="34" t="s">
        <v>673</v>
      </c>
      <c r="G398" s="40"/>
      <c r="H398" s="51" t="s">
        <v>603</v>
      </c>
      <c r="I398" s="35" t="s">
        <v>604</v>
      </c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793</v>
      </c>
      <c r="F399" s="34" t="s">
        <v>673</v>
      </c>
      <c r="G399" s="40"/>
      <c r="H399" s="51" t="s">
        <v>227</v>
      </c>
      <c r="I399" s="35" t="s">
        <v>649</v>
      </c>
      <c r="J399" s="27"/>
    </row>
    <row r="400" spans="1:10" ht="24.9" customHeight="1" x14ac:dyDescent="0.3">
      <c r="A400" s="32" t="s">
        <v>599</v>
      </c>
      <c r="B400" s="33" t="s">
        <v>636</v>
      </c>
      <c r="C400" s="33" t="s">
        <v>556</v>
      </c>
      <c r="D400" s="33" t="s">
        <v>625</v>
      </c>
      <c r="E400" s="33" t="s">
        <v>626</v>
      </c>
      <c r="F400" s="34" t="s">
        <v>99</v>
      </c>
      <c r="G400" s="40"/>
      <c r="H400" s="48"/>
      <c r="I400" s="114"/>
      <c r="J400" s="27"/>
    </row>
    <row r="401" spans="1:10" ht="24.9" customHeight="1" x14ac:dyDescent="0.3">
      <c r="A401" s="32" t="s">
        <v>599</v>
      </c>
      <c r="B401" s="33" t="s">
        <v>636</v>
      </c>
      <c r="C401" s="33" t="s">
        <v>556</v>
      </c>
      <c r="D401" s="33" t="s">
        <v>625</v>
      </c>
      <c r="E401" s="33" t="s">
        <v>790</v>
      </c>
      <c r="F401" s="34" t="s">
        <v>99</v>
      </c>
      <c r="G401" s="40"/>
      <c r="H401" s="48"/>
      <c r="I401" s="114"/>
      <c r="J401" s="27"/>
    </row>
    <row r="402" spans="1:10" ht="24.9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628</v>
      </c>
      <c r="F402" s="34" t="s">
        <v>99</v>
      </c>
      <c r="G402" s="40"/>
      <c r="H402" s="53"/>
      <c r="I402" s="114"/>
      <c r="J402" s="27"/>
    </row>
    <row r="403" spans="1:10" ht="24.9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632</v>
      </c>
      <c r="F403" s="34" t="s">
        <v>99</v>
      </c>
      <c r="G403" s="40"/>
      <c r="H403" s="48"/>
      <c r="I403" s="114"/>
      <c r="J403" s="27"/>
    </row>
    <row r="404" spans="1:10" ht="24.9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792</v>
      </c>
      <c r="F404" s="34" t="s">
        <v>99</v>
      </c>
      <c r="G404" s="40"/>
      <c r="H404" s="53"/>
      <c r="I404" s="114"/>
      <c r="J404" s="27"/>
    </row>
    <row r="405" spans="1:10" ht="24.9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588</v>
      </c>
      <c r="F405" s="34" t="s">
        <v>99</v>
      </c>
      <c r="G405" s="40"/>
      <c r="H405" s="53"/>
      <c r="I405" s="114"/>
      <c r="J405" s="27"/>
    </row>
    <row r="406" spans="1:10" ht="24.9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633</v>
      </c>
      <c r="F406" s="34" t="s">
        <v>99</v>
      </c>
      <c r="G406" s="40"/>
      <c r="H406" s="53"/>
      <c r="I406" s="114"/>
      <c r="J406" s="27"/>
    </row>
    <row r="407" spans="1:10" ht="24.9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634</v>
      </c>
      <c r="F407" s="34" t="s">
        <v>99</v>
      </c>
      <c r="G407" s="40"/>
      <c r="H407" s="53"/>
      <c r="I407" s="114"/>
      <c r="J407" s="27"/>
    </row>
    <row r="408" spans="1:10" ht="24.9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627</v>
      </c>
      <c r="F408" s="34" t="s">
        <v>127</v>
      </c>
      <c r="G408" s="40"/>
      <c r="H408" s="53"/>
      <c r="I408" s="114"/>
      <c r="J408" s="27"/>
    </row>
    <row r="409" spans="1:10" ht="24.9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629</v>
      </c>
      <c r="F409" s="34" t="s">
        <v>127</v>
      </c>
      <c r="G409" s="40"/>
      <c r="H409" s="53"/>
      <c r="I409" s="114"/>
      <c r="J409" s="27"/>
    </row>
    <row r="410" spans="1:10" ht="24.9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630</v>
      </c>
      <c r="F410" s="34" t="s">
        <v>127</v>
      </c>
      <c r="G410" s="40"/>
      <c r="H410" s="48"/>
      <c r="I410" s="114"/>
      <c r="J410" s="27"/>
    </row>
    <row r="411" spans="1:10" ht="24.9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631</v>
      </c>
      <c r="F411" s="34" t="s">
        <v>127</v>
      </c>
      <c r="G411" s="40"/>
      <c r="H411" s="48"/>
      <c r="I411" s="114"/>
      <c r="J411" s="27"/>
    </row>
    <row r="412" spans="1:10" ht="24.9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791</v>
      </c>
      <c r="F412" s="34" t="s">
        <v>127</v>
      </c>
      <c r="G412" s="40"/>
      <c r="H412" s="48"/>
      <c r="I412" s="114"/>
      <c r="J412" s="27"/>
    </row>
    <row r="413" spans="1:10" ht="24.9" customHeight="1" x14ac:dyDescent="0.3">
      <c r="A413" s="32" t="s">
        <v>599</v>
      </c>
      <c r="B413" s="33" t="s">
        <v>644</v>
      </c>
      <c r="C413" s="33" t="s">
        <v>556</v>
      </c>
      <c r="D413" s="33" t="s">
        <v>641</v>
      </c>
      <c r="E413" s="33" t="s">
        <v>642</v>
      </c>
      <c r="F413" s="34" t="s">
        <v>99</v>
      </c>
      <c r="G413" s="40"/>
      <c r="H413" s="48"/>
      <c r="I413" s="114"/>
      <c r="J413" s="27"/>
    </row>
    <row r="414" spans="1:10" ht="24.9" customHeight="1" x14ac:dyDescent="0.3">
      <c r="A414" s="32" t="s">
        <v>599</v>
      </c>
      <c r="B414" s="33" t="s">
        <v>600</v>
      </c>
      <c r="C414" s="33" t="s">
        <v>556</v>
      </c>
      <c r="D414" s="33" t="s">
        <v>601</v>
      </c>
      <c r="E414" s="33" t="s">
        <v>789</v>
      </c>
      <c r="F414" s="34" t="s">
        <v>99</v>
      </c>
      <c r="G414" s="40"/>
      <c r="H414" s="51" t="s">
        <v>543</v>
      </c>
      <c r="I414" s="114"/>
      <c r="J414" s="27"/>
    </row>
    <row r="415" spans="1:10" ht="24.9" customHeight="1" x14ac:dyDescent="0.3">
      <c r="A415" s="32" t="s">
        <v>599</v>
      </c>
      <c r="B415" s="33" t="s">
        <v>600</v>
      </c>
      <c r="C415" s="33" t="s">
        <v>556</v>
      </c>
      <c r="D415" s="33" t="s">
        <v>601</v>
      </c>
      <c r="E415" s="33" t="s">
        <v>617</v>
      </c>
      <c r="F415" s="34" t="s">
        <v>99</v>
      </c>
      <c r="G415" s="40"/>
      <c r="H415" s="53"/>
      <c r="I415" s="114"/>
      <c r="J415" s="27"/>
    </row>
    <row r="416" spans="1:10" ht="24.9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619</v>
      </c>
      <c r="F416" s="34" t="s">
        <v>99</v>
      </c>
      <c r="G416" s="40"/>
      <c r="H416" s="48"/>
      <c r="I416" s="114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602</v>
      </c>
      <c r="F417" s="34" t="s">
        <v>673</v>
      </c>
      <c r="G417" s="40"/>
      <c r="H417" s="51" t="s">
        <v>603</v>
      </c>
      <c r="I417" s="35" t="s">
        <v>604</v>
      </c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605</v>
      </c>
      <c r="F418" s="34" t="s">
        <v>673</v>
      </c>
      <c r="G418" s="40"/>
      <c r="H418" s="51" t="s">
        <v>300</v>
      </c>
      <c r="I418" s="35" t="s">
        <v>606</v>
      </c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793</v>
      </c>
      <c r="F419" s="34" t="s">
        <v>673</v>
      </c>
      <c r="G419" s="40"/>
      <c r="H419" s="51" t="s">
        <v>227</v>
      </c>
      <c r="I419" s="35" t="s">
        <v>649</v>
      </c>
      <c r="J419" s="27"/>
    </row>
    <row r="420" spans="1:10" ht="24.9" customHeight="1" x14ac:dyDescent="0.3">
      <c r="A420" s="32" t="s">
        <v>599</v>
      </c>
      <c r="B420" s="33" t="s">
        <v>637</v>
      </c>
      <c r="C420" s="33" t="s">
        <v>558</v>
      </c>
      <c r="D420" s="33" t="s">
        <v>625</v>
      </c>
      <c r="E420" s="33" t="s">
        <v>626</v>
      </c>
      <c r="F420" s="34" t="s">
        <v>99</v>
      </c>
      <c r="G420" s="40"/>
      <c r="H420" s="48"/>
      <c r="I420" s="114"/>
      <c r="J420" s="27"/>
    </row>
    <row r="421" spans="1:10" ht="24.9" customHeight="1" x14ac:dyDescent="0.3">
      <c r="A421" s="32" t="s">
        <v>599</v>
      </c>
      <c r="B421" s="33" t="s">
        <v>637</v>
      </c>
      <c r="C421" s="33" t="s">
        <v>558</v>
      </c>
      <c r="D421" s="33" t="s">
        <v>625</v>
      </c>
      <c r="E421" s="33" t="s">
        <v>790</v>
      </c>
      <c r="F421" s="34" t="s">
        <v>99</v>
      </c>
      <c r="G421" s="40"/>
      <c r="H421" s="48"/>
      <c r="I421" s="114"/>
      <c r="J421" s="27"/>
    </row>
    <row r="422" spans="1:10" ht="24.9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628</v>
      </c>
      <c r="F422" s="34" t="s">
        <v>99</v>
      </c>
      <c r="G422" s="40"/>
      <c r="H422" s="53"/>
      <c r="I422" s="114"/>
      <c r="J422" s="27"/>
    </row>
    <row r="423" spans="1:10" ht="24.9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632</v>
      </c>
      <c r="F423" s="34" t="s">
        <v>99</v>
      </c>
      <c r="G423" s="40"/>
      <c r="H423" s="53"/>
      <c r="I423" s="114"/>
      <c r="J423" s="27"/>
    </row>
    <row r="424" spans="1:10" ht="24.9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792</v>
      </c>
      <c r="F424" s="34" t="s">
        <v>99</v>
      </c>
      <c r="G424" s="40"/>
      <c r="H424" s="53"/>
      <c r="I424" s="114"/>
      <c r="J424" s="27"/>
    </row>
    <row r="425" spans="1:10" ht="24.9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588</v>
      </c>
      <c r="F425" s="34" t="s">
        <v>99</v>
      </c>
      <c r="G425" s="40"/>
      <c r="H425" s="53"/>
      <c r="I425" s="114"/>
      <c r="J425" s="27"/>
    </row>
    <row r="426" spans="1:10" ht="24.9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633</v>
      </c>
      <c r="F426" s="34" t="s">
        <v>99</v>
      </c>
      <c r="G426" s="40"/>
      <c r="H426" s="53"/>
      <c r="I426" s="114"/>
      <c r="J426" s="27"/>
    </row>
    <row r="427" spans="1:10" ht="24.9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634</v>
      </c>
      <c r="F427" s="34" t="s">
        <v>99</v>
      </c>
      <c r="G427" s="40"/>
      <c r="H427" s="53"/>
      <c r="I427" s="114"/>
      <c r="J427" s="27"/>
    </row>
    <row r="428" spans="1:10" ht="24.9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627</v>
      </c>
      <c r="F428" s="34" t="s">
        <v>127</v>
      </c>
      <c r="G428" s="40"/>
      <c r="H428" s="53"/>
      <c r="I428" s="114"/>
      <c r="J428" s="27"/>
    </row>
    <row r="429" spans="1:10" ht="24.9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629</v>
      </c>
      <c r="F429" s="34" t="s">
        <v>127</v>
      </c>
      <c r="G429" s="40"/>
      <c r="H429" s="53"/>
      <c r="I429" s="114"/>
      <c r="J429" s="27"/>
    </row>
    <row r="430" spans="1:10" ht="24.9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630</v>
      </c>
      <c r="F430" s="34" t="s">
        <v>127</v>
      </c>
      <c r="G430" s="40"/>
      <c r="H430" s="53"/>
      <c r="I430" s="114"/>
      <c r="J430" s="27"/>
    </row>
    <row r="431" spans="1:10" ht="24.9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631</v>
      </c>
      <c r="F431" s="34" t="s">
        <v>127</v>
      </c>
      <c r="G431" s="40"/>
      <c r="H431" s="53"/>
      <c r="I431" s="114"/>
      <c r="J431" s="27"/>
    </row>
    <row r="432" spans="1:10" ht="24.9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791</v>
      </c>
      <c r="F432" s="34" t="s">
        <v>127</v>
      </c>
      <c r="G432" s="40"/>
      <c r="H432" s="53"/>
      <c r="I432" s="114"/>
      <c r="J432" s="27"/>
    </row>
    <row r="433" spans="1:10" ht="24.9" customHeight="1" x14ac:dyDescent="0.3">
      <c r="A433" s="32" t="s">
        <v>599</v>
      </c>
      <c r="B433" s="33" t="s">
        <v>645</v>
      </c>
      <c r="C433" s="33" t="s">
        <v>558</v>
      </c>
      <c r="D433" s="33" t="s">
        <v>641</v>
      </c>
      <c r="E433" s="33" t="s">
        <v>642</v>
      </c>
      <c r="F433" s="34" t="s">
        <v>99</v>
      </c>
      <c r="G433" s="40"/>
      <c r="H433" s="53"/>
      <c r="I433" s="114"/>
      <c r="J433" s="27"/>
    </row>
    <row r="434" spans="1:10" ht="24.9" customHeight="1" x14ac:dyDescent="0.3">
      <c r="A434" s="32" t="s">
        <v>599</v>
      </c>
      <c r="B434" s="33" t="s">
        <v>607</v>
      </c>
      <c r="C434" s="33" t="s">
        <v>558</v>
      </c>
      <c r="D434" s="33" t="s">
        <v>601</v>
      </c>
      <c r="E434" s="33" t="s">
        <v>789</v>
      </c>
      <c r="F434" s="34" t="s">
        <v>99</v>
      </c>
      <c r="G434" s="40"/>
      <c r="H434" s="40" t="s">
        <v>543</v>
      </c>
      <c r="I434" s="114"/>
      <c r="J434" s="27"/>
    </row>
    <row r="435" spans="1:10" ht="24.9" customHeight="1" x14ac:dyDescent="0.3">
      <c r="A435" s="32" t="s">
        <v>599</v>
      </c>
      <c r="B435" s="33" t="s">
        <v>607</v>
      </c>
      <c r="C435" s="33" t="s">
        <v>558</v>
      </c>
      <c r="D435" s="33" t="s">
        <v>601</v>
      </c>
      <c r="E435" s="33" t="s">
        <v>617</v>
      </c>
      <c r="F435" s="34" t="s">
        <v>99</v>
      </c>
      <c r="G435" s="40"/>
      <c r="H435" s="53"/>
      <c r="I435" s="114"/>
      <c r="J435" s="27"/>
    </row>
    <row r="436" spans="1:10" ht="24.9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618</v>
      </c>
      <c r="F436" s="34" t="s">
        <v>99</v>
      </c>
      <c r="G436" s="40"/>
      <c r="H436" s="53"/>
      <c r="I436" s="114"/>
      <c r="J436" s="27"/>
    </row>
    <row r="437" spans="1:10" ht="24.9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619</v>
      </c>
      <c r="F437" s="34" t="s">
        <v>99</v>
      </c>
      <c r="G437" s="40"/>
      <c r="H437" s="53"/>
      <c r="I437" s="114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602</v>
      </c>
      <c r="F438" s="34" t="s">
        <v>673</v>
      </c>
      <c r="G438" s="40"/>
      <c r="H438" s="40" t="s">
        <v>603</v>
      </c>
      <c r="I438" s="35" t="s">
        <v>604</v>
      </c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605</v>
      </c>
      <c r="F439" s="34" t="s">
        <v>673</v>
      </c>
      <c r="G439" s="40"/>
      <c r="H439" s="40" t="s">
        <v>300</v>
      </c>
      <c r="I439" s="35" t="s">
        <v>606</v>
      </c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793</v>
      </c>
      <c r="F440" s="34" t="s">
        <v>673</v>
      </c>
      <c r="G440" s="40"/>
      <c r="H440" s="40" t="s">
        <v>227</v>
      </c>
      <c r="I440" s="35" t="s">
        <v>649</v>
      </c>
      <c r="J440" s="27"/>
    </row>
    <row r="441" spans="1:10" ht="24.9" customHeight="1" x14ac:dyDescent="0.3">
      <c r="A441" s="32" t="s">
        <v>599</v>
      </c>
      <c r="B441" s="33" t="s">
        <v>638</v>
      </c>
      <c r="C441" s="33" t="s">
        <v>560</v>
      </c>
      <c r="D441" s="33" t="s">
        <v>625</v>
      </c>
      <c r="E441" s="33" t="s">
        <v>626</v>
      </c>
      <c r="F441" s="34" t="s">
        <v>99</v>
      </c>
      <c r="G441" s="40"/>
      <c r="H441" s="53"/>
      <c r="I441" s="114"/>
      <c r="J441" s="27"/>
    </row>
    <row r="442" spans="1:10" ht="24.9" customHeight="1" x14ac:dyDescent="0.3">
      <c r="A442" s="32" t="s">
        <v>599</v>
      </c>
      <c r="B442" s="33" t="s">
        <v>638</v>
      </c>
      <c r="C442" s="33" t="s">
        <v>560</v>
      </c>
      <c r="D442" s="33" t="s">
        <v>625</v>
      </c>
      <c r="E442" s="33" t="s">
        <v>790</v>
      </c>
      <c r="F442" s="34" t="s">
        <v>99</v>
      </c>
      <c r="G442" s="40"/>
      <c r="H442" s="40"/>
      <c r="I442" s="114"/>
      <c r="J442" s="27"/>
    </row>
    <row r="443" spans="1:10" ht="24.9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628</v>
      </c>
      <c r="F443" s="34" t="s">
        <v>99</v>
      </c>
      <c r="G443" s="40"/>
      <c r="H443" s="40"/>
      <c r="I443" s="114"/>
      <c r="J443" s="27"/>
    </row>
    <row r="444" spans="1:10" ht="24.9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632</v>
      </c>
      <c r="F444" s="34" t="s">
        <v>99</v>
      </c>
      <c r="G444" s="40"/>
      <c r="H444" s="53"/>
      <c r="I444" s="114"/>
      <c r="J444" s="27"/>
    </row>
    <row r="445" spans="1:10" ht="24.9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792</v>
      </c>
      <c r="F445" s="34" t="s">
        <v>99</v>
      </c>
      <c r="G445" s="40"/>
      <c r="H445" s="53"/>
      <c r="I445" s="114"/>
      <c r="J445" s="27"/>
    </row>
    <row r="446" spans="1:10" ht="24.9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588</v>
      </c>
      <c r="F446" s="34" t="s">
        <v>99</v>
      </c>
      <c r="G446" s="40"/>
      <c r="H446" s="53"/>
      <c r="I446" s="114"/>
      <c r="J446" s="27"/>
    </row>
    <row r="447" spans="1:10" ht="24.9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633</v>
      </c>
      <c r="F447" s="34" t="s">
        <v>99</v>
      </c>
      <c r="G447" s="40"/>
      <c r="H447" s="53"/>
      <c r="I447" s="114"/>
      <c r="J447" s="27"/>
    </row>
    <row r="448" spans="1:10" ht="24.9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634</v>
      </c>
      <c r="F448" s="34" t="s">
        <v>99</v>
      </c>
      <c r="G448" s="40"/>
      <c r="H448" s="40"/>
      <c r="I448" s="114"/>
      <c r="J448" s="27"/>
    </row>
    <row r="449" spans="1:10" ht="24.9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627</v>
      </c>
      <c r="F449" s="34" t="s">
        <v>127</v>
      </c>
      <c r="G449" s="40"/>
      <c r="H449" s="40"/>
      <c r="I449" s="114"/>
      <c r="J449" s="27"/>
    </row>
    <row r="450" spans="1:10" ht="24.9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629</v>
      </c>
      <c r="F450" s="34" t="s">
        <v>127</v>
      </c>
      <c r="G450" s="40"/>
      <c r="H450" s="40"/>
      <c r="I450" s="114"/>
      <c r="J450" s="27"/>
    </row>
    <row r="451" spans="1:10" ht="24.9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617</v>
      </c>
      <c r="F451" s="34" t="s">
        <v>127</v>
      </c>
      <c r="G451" s="40"/>
      <c r="H451" s="40"/>
      <c r="I451" s="114"/>
      <c r="J451" s="27"/>
    </row>
    <row r="452" spans="1:10" ht="24.9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630</v>
      </c>
      <c r="F452" s="34" t="s">
        <v>127</v>
      </c>
      <c r="G452" s="40"/>
      <c r="H452" s="53"/>
      <c r="I452" s="114"/>
      <c r="J452" s="27"/>
    </row>
    <row r="453" spans="1:10" ht="24.9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631</v>
      </c>
      <c r="F453" s="34" t="s">
        <v>127</v>
      </c>
      <c r="G453" s="40"/>
      <c r="H453" s="53"/>
      <c r="I453" s="114"/>
      <c r="J453" s="27"/>
    </row>
    <row r="454" spans="1:10" ht="24.9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791</v>
      </c>
      <c r="F454" s="34" t="s">
        <v>127</v>
      </c>
      <c r="G454" s="40"/>
      <c r="H454" s="53"/>
      <c r="I454" s="114"/>
      <c r="J454" s="27"/>
    </row>
    <row r="455" spans="1:10" ht="24.9" customHeight="1" x14ac:dyDescent="0.3">
      <c r="A455" s="32" t="s">
        <v>599</v>
      </c>
      <c r="B455" s="33" t="s">
        <v>646</v>
      </c>
      <c r="C455" s="33" t="s">
        <v>560</v>
      </c>
      <c r="D455" s="33" t="s">
        <v>641</v>
      </c>
      <c r="E455" s="33" t="s">
        <v>642</v>
      </c>
      <c r="F455" s="34" t="s">
        <v>99</v>
      </c>
      <c r="G455" s="40"/>
      <c r="H455" s="53"/>
      <c r="I455" s="114"/>
      <c r="J455" s="27"/>
    </row>
    <row r="456" spans="1:10" ht="24.9" customHeight="1" x14ac:dyDescent="0.3">
      <c r="A456" s="32" t="s">
        <v>599</v>
      </c>
      <c r="B456" s="33" t="s">
        <v>608</v>
      </c>
      <c r="C456" s="33" t="s">
        <v>560</v>
      </c>
      <c r="D456" s="33" t="s">
        <v>601</v>
      </c>
      <c r="E456" s="33" t="s">
        <v>789</v>
      </c>
      <c r="F456" s="34" t="s">
        <v>99</v>
      </c>
      <c r="G456" s="40"/>
      <c r="H456" s="40" t="s">
        <v>543</v>
      </c>
      <c r="I456" s="114"/>
      <c r="J456" s="27"/>
    </row>
    <row r="457" spans="1:10" ht="24.9" customHeight="1" x14ac:dyDescent="0.3">
      <c r="A457" s="32" t="s">
        <v>599</v>
      </c>
      <c r="B457" s="33" t="s">
        <v>608</v>
      </c>
      <c r="C457" s="33" t="s">
        <v>560</v>
      </c>
      <c r="D457" s="33" t="s">
        <v>601</v>
      </c>
      <c r="E457" s="33" t="s">
        <v>617</v>
      </c>
      <c r="F457" s="34" t="s">
        <v>99</v>
      </c>
      <c r="G457" s="40"/>
      <c r="H457" s="53"/>
      <c r="I457" s="114"/>
      <c r="J457" s="27"/>
    </row>
    <row r="458" spans="1:10" ht="24.9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618</v>
      </c>
      <c r="F458" s="34" t="s">
        <v>99</v>
      </c>
      <c r="G458" s="40"/>
      <c r="H458" s="53"/>
      <c r="I458" s="114"/>
      <c r="J458" s="27"/>
    </row>
    <row r="459" spans="1:10" ht="24.9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619</v>
      </c>
      <c r="F459" s="34" t="s">
        <v>99</v>
      </c>
      <c r="G459" s="40"/>
      <c r="H459" s="53"/>
      <c r="I459" s="114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602</v>
      </c>
      <c r="F460" s="34" t="s">
        <v>673</v>
      </c>
      <c r="G460" s="40"/>
      <c r="H460" s="40" t="s">
        <v>603</v>
      </c>
      <c r="I460" s="35" t="s">
        <v>604</v>
      </c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605</v>
      </c>
      <c r="F461" s="34" t="s">
        <v>673</v>
      </c>
      <c r="G461" s="40"/>
      <c r="H461" s="40" t="s">
        <v>300</v>
      </c>
      <c r="I461" s="35" t="s">
        <v>606</v>
      </c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793</v>
      </c>
      <c r="F462" s="34" t="s">
        <v>673</v>
      </c>
      <c r="G462" s="40"/>
      <c r="H462" s="40" t="s">
        <v>227</v>
      </c>
      <c r="I462" s="35" t="s">
        <v>649</v>
      </c>
      <c r="J462" s="27"/>
    </row>
    <row r="463" spans="1:10" ht="24.9" customHeight="1" x14ac:dyDescent="0.3">
      <c r="A463" s="32" t="s">
        <v>599</v>
      </c>
      <c r="B463" s="33" t="s">
        <v>639</v>
      </c>
      <c r="C463" s="33" t="s">
        <v>548</v>
      </c>
      <c r="D463" s="33" t="s">
        <v>625</v>
      </c>
      <c r="E463" s="33" t="s">
        <v>626</v>
      </c>
      <c r="F463" s="34" t="s">
        <v>99</v>
      </c>
      <c r="G463" s="40"/>
      <c r="H463" s="53"/>
      <c r="I463" s="114"/>
      <c r="J463" s="27"/>
    </row>
    <row r="464" spans="1:10" ht="24.9" customHeight="1" x14ac:dyDescent="0.3">
      <c r="A464" s="32" t="s">
        <v>599</v>
      </c>
      <c r="B464" s="33" t="s">
        <v>639</v>
      </c>
      <c r="C464" s="33" t="s">
        <v>548</v>
      </c>
      <c r="D464" s="33" t="s">
        <v>625</v>
      </c>
      <c r="E464" s="33" t="s">
        <v>790</v>
      </c>
      <c r="F464" s="34" t="s">
        <v>99</v>
      </c>
      <c r="G464" s="40"/>
      <c r="H464" s="40"/>
      <c r="I464" s="114"/>
      <c r="J464" s="27"/>
    </row>
    <row r="465" spans="1:10" ht="24.9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628</v>
      </c>
      <c r="F465" s="34" t="s">
        <v>99</v>
      </c>
      <c r="G465" s="40"/>
      <c r="H465" s="40"/>
      <c r="I465" s="114"/>
      <c r="J465" s="27"/>
    </row>
    <row r="466" spans="1:10" ht="24.9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632</v>
      </c>
      <c r="F466" s="34" t="s">
        <v>99</v>
      </c>
      <c r="G466" s="40"/>
      <c r="H466" s="53"/>
      <c r="I466" s="114"/>
      <c r="J466" s="27"/>
    </row>
    <row r="467" spans="1:10" ht="24.9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792</v>
      </c>
      <c r="F467" s="34" t="s">
        <v>99</v>
      </c>
      <c r="G467" s="40"/>
      <c r="H467" s="53"/>
      <c r="I467" s="115"/>
      <c r="J467" s="27"/>
    </row>
    <row r="468" spans="1:10" ht="24.9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588</v>
      </c>
      <c r="F468" s="34" t="s">
        <v>99</v>
      </c>
      <c r="G468" s="40"/>
      <c r="H468" s="53"/>
      <c r="I468" s="114"/>
      <c r="J468" s="27"/>
    </row>
    <row r="469" spans="1:10" ht="24.9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633</v>
      </c>
      <c r="F469" s="34" t="s">
        <v>99</v>
      </c>
      <c r="G469" s="40"/>
      <c r="H469" s="53"/>
      <c r="I469" s="114"/>
      <c r="J469" s="27"/>
    </row>
    <row r="470" spans="1:10" ht="24.9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634</v>
      </c>
      <c r="F470" s="34" t="s">
        <v>99</v>
      </c>
      <c r="G470" s="40"/>
      <c r="H470" s="40"/>
      <c r="I470" s="114"/>
      <c r="J470" s="27"/>
    </row>
    <row r="471" spans="1:10" ht="24.9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627</v>
      </c>
      <c r="F471" s="34" t="s">
        <v>127</v>
      </c>
      <c r="G471" s="40"/>
      <c r="H471" s="40"/>
      <c r="I471" s="114"/>
      <c r="J471" s="27"/>
    </row>
    <row r="472" spans="1:10" ht="24.9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629</v>
      </c>
      <c r="F472" s="34" t="s">
        <v>127</v>
      </c>
      <c r="G472" s="40"/>
      <c r="H472" s="40"/>
      <c r="I472" s="114"/>
      <c r="J472" s="27"/>
    </row>
    <row r="473" spans="1:10" ht="24.9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630</v>
      </c>
      <c r="F473" s="34" t="s">
        <v>127</v>
      </c>
      <c r="G473" s="40"/>
      <c r="H473" s="40"/>
      <c r="I473" s="114"/>
      <c r="J473" s="27"/>
    </row>
    <row r="474" spans="1:10" ht="24.9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631</v>
      </c>
      <c r="F474" s="34" t="s">
        <v>127</v>
      </c>
      <c r="G474" s="40"/>
      <c r="H474" s="40"/>
      <c r="I474" s="114"/>
      <c r="J474" s="27"/>
    </row>
    <row r="475" spans="1:10" ht="24.9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791</v>
      </c>
      <c r="F475" s="34" t="s">
        <v>127</v>
      </c>
      <c r="G475" s="40"/>
      <c r="H475" s="53"/>
      <c r="I475" s="114"/>
      <c r="J475" s="27"/>
    </row>
    <row r="476" spans="1:10" ht="24.9" customHeight="1" x14ac:dyDescent="0.3">
      <c r="A476" s="32" t="s">
        <v>599</v>
      </c>
      <c r="B476" s="33" t="s">
        <v>647</v>
      </c>
      <c r="C476" s="33" t="s">
        <v>548</v>
      </c>
      <c r="D476" s="33" t="s">
        <v>641</v>
      </c>
      <c r="E476" s="33" t="s">
        <v>642</v>
      </c>
      <c r="F476" s="34" t="s">
        <v>99</v>
      </c>
      <c r="G476" s="40"/>
      <c r="H476" s="53"/>
      <c r="I476" s="114"/>
      <c r="J476" s="27"/>
    </row>
    <row r="477" spans="1:10" ht="24.9" customHeight="1" x14ac:dyDescent="0.3">
      <c r="A477" s="32" t="s">
        <v>599</v>
      </c>
      <c r="B477" s="33" t="s">
        <v>609</v>
      </c>
      <c r="C477" s="33" t="s">
        <v>548</v>
      </c>
      <c r="D477" s="33" t="s">
        <v>610</v>
      </c>
      <c r="E477" s="33" t="s">
        <v>789</v>
      </c>
      <c r="F477" s="34" t="s">
        <v>99</v>
      </c>
      <c r="G477" s="40"/>
      <c r="H477" s="40" t="s">
        <v>543</v>
      </c>
      <c r="I477" s="114"/>
      <c r="J477" s="27"/>
    </row>
    <row r="478" spans="1:10" ht="24.9" customHeight="1" x14ac:dyDescent="0.3">
      <c r="A478" s="32" t="s">
        <v>599</v>
      </c>
      <c r="B478" s="33" t="s">
        <v>609</v>
      </c>
      <c r="C478" s="33" t="s">
        <v>548</v>
      </c>
      <c r="D478" s="33" t="s">
        <v>601</v>
      </c>
      <c r="E478" s="33" t="s">
        <v>617</v>
      </c>
      <c r="F478" s="34" t="s">
        <v>99</v>
      </c>
      <c r="G478" s="40"/>
      <c r="H478" s="53"/>
      <c r="I478" s="114"/>
      <c r="J478" s="27"/>
    </row>
    <row r="479" spans="1:10" ht="24.9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618</v>
      </c>
      <c r="F479" s="34" t="s">
        <v>99</v>
      </c>
      <c r="G479" s="40"/>
      <c r="H479" s="53"/>
      <c r="I479" s="114"/>
      <c r="J479" s="27"/>
    </row>
    <row r="480" spans="1:10" ht="24.9" customHeight="1" x14ac:dyDescent="0.3">
      <c r="A480" s="32" t="s">
        <v>599</v>
      </c>
      <c r="B480" s="33" t="s">
        <v>609</v>
      </c>
      <c r="C480" s="33" t="s">
        <v>548</v>
      </c>
      <c r="D480" s="33" t="s">
        <v>610</v>
      </c>
      <c r="E480" s="33" t="s">
        <v>619</v>
      </c>
      <c r="F480" s="34" t="s">
        <v>99</v>
      </c>
      <c r="G480" s="40"/>
      <c r="H480" s="53"/>
      <c r="I480" s="114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602</v>
      </c>
      <c r="F481" s="34" t="s">
        <v>673</v>
      </c>
      <c r="G481" s="40"/>
      <c r="H481" s="40" t="s">
        <v>603</v>
      </c>
      <c r="I481" s="35" t="s">
        <v>604</v>
      </c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605</v>
      </c>
      <c r="F482" s="34" t="s">
        <v>673</v>
      </c>
      <c r="G482" s="40"/>
      <c r="H482" s="40" t="s">
        <v>300</v>
      </c>
      <c r="I482" s="35" t="s">
        <v>606</v>
      </c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793</v>
      </c>
      <c r="F483" s="34" t="s">
        <v>673</v>
      </c>
      <c r="G483" s="40"/>
      <c r="H483" s="40" t="s">
        <v>227</v>
      </c>
      <c r="I483" s="35" t="s">
        <v>649</v>
      </c>
      <c r="J483" s="27"/>
    </row>
    <row r="484" spans="1:10" ht="24.9" customHeight="1" x14ac:dyDescent="0.3">
      <c r="A484" s="32" t="s">
        <v>599</v>
      </c>
      <c r="B484" s="33" t="s">
        <v>614</v>
      </c>
      <c r="C484" s="33" t="s">
        <v>615</v>
      </c>
      <c r="D484" s="33" t="s">
        <v>848</v>
      </c>
      <c r="E484" s="33" t="s">
        <v>243</v>
      </c>
      <c r="F484" s="34" t="s">
        <v>127</v>
      </c>
      <c r="G484" s="40"/>
      <c r="H484" s="53"/>
      <c r="I484" s="114"/>
      <c r="J484" s="27"/>
    </row>
    <row r="485" spans="1:10" ht="24.9" customHeight="1" x14ac:dyDescent="0.3">
      <c r="A485" s="32" t="s">
        <v>599</v>
      </c>
      <c r="B485" s="33" t="s">
        <v>620</v>
      </c>
      <c r="C485" s="33" t="s">
        <v>615</v>
      </c>
      <c r="D485" s="33" t="s">
        <v>849</v>
      </c>
      <c r="E485" s="33" t="s">
        <v>622</v>
      </c>
      <c r="F485" s="34" t="s">
        <v>127</v>
      </c>
      <c r="G485" s="40"/>
      <c r="H485" s="53"/>
      <c r="I485" s="114"/>
      <c r="J485" s="27"/>
    </row>
    <row r="486" spans="1:10" ht="24.9" customHeight="1" x14ac:dyDescent="0.3">
      <c r="A486" s="32" t="s">
        <v>599</v>
      </c>
      <c r="B486" s="33" t="s">
        <v>620</v>
      </c>
      <c r="C486" s="33" t="s">
        <v>615</v>
      </c>
      <c r="D486" s="33" t="s">
        <v>849</v>
      </c>
      <c r="E486" s="33" t="s">
        <v>623</v>
      </c>
      <c r="F486" s="34" t="s">
        <v>127</v>
      </c>
      <c r="G486" s="40"/>
      <c r="H486" s="53"/>
      <c r="I486" s="114"/>
      <c r="J486" s="27"/>
    </row>
    <row r="487" spans="1:10" ht="24.9" customHeight="1" x14ac:dyDescent="0.3">
      <c r="A487" s="32" t="s">
        <v>599</v>
      </c>
      <c r="B487" s="33" t="s">
        <v>847</v>
      </c>
      <c r="C487" s="33" t="s">
        <v>615</v>
      </c>
      <c r="D487" s="33" t="s">
        <v>616</v>
      </c>
      <c r="E487" s="33" t="s">
        <v>243</v>
      </c>
      <c r="F487" s="34" t="s">
        <v>127</v>
      </c>
      <c r="G487" s="40"/>
      <c r="H487" s="53"/>
      <c r="I487" s="114"/>
      <c r="J487" s="27"/>
    </row>
    <row r="488" spans="1:10" ht="24.9" customHeight="1" x14ac:dyDescent="0.3">
      <c r="A488" s="32" t="s">
        <v>599</v>
      </c>
      <c r="B488" s="33" t="s">
        <v>620</v>
      </c>
      <c r="C488" s="33" t="s">
        <v>615</v>
      </c>
      <c r="D488" s="33" t="s">
        <v>621</v>
      </c>
      <c r="E488" s="33" t="s">
        <v>622</v>
      </c>
      <c r="F488" s="34" t="s">
        <v>127</v>
      </c>
      <c r="G488" s="40"/>
      <c r="H488" s="53"/>
      <c r="I488" s="114"/>
      <c r="J488" s="27"/>
    </row>
    <row r="489" spans="1:10" ht="24.9" customHeight="1" x14ac:dyDescent="0.3">
      <c r="A489" s="32" t="s">
        <v>599</v>
      </c>
      <c r="B489" s="33" t="s">
        <v>620</v>
      </c>
      <c r="C489" s="33" t="s">
        <v>615</v>
      </c>
      <c r="D489" s="33" t="s">
        <v>621</v>
      </c>
      <c r="E489" s="33" t="s">
        <v>623</v>
      </c>
      <c r="F489" s="34" t="s">
        <v>127</v>
      </c>
      <c r="G489" s="40"/>
      <c r="H489" s="53"/>
      <c r="I489" s="114"/>
      <c r="J489" s="27"/>
    </row>
    <row r="490" spans="1:10" ht="24.9" customHeight="1" x14ac:dyDescent="0.3">
      <c r="A490" s="32" t="s">
        <v>650</v>
      </c>
      <c r="B490" s="33" t="s">
        <v>651</v>
      </c>
      <c r="C490" s="33" t="s">
        <v>652</v>
      </c>
      <c r="D490" s="33" t="s">
        <v>653</v>
      </c>
      <c r="E490" s="33" t="s">
        <v>173</v>
      </c>
      <c r="F490" s="34" t="s">
        <v>127</v>
      </c>
      <c r="G490" s="40"/>
      <c r="H490" s="40"/>
      <c r="I490" s="114"/>
      <c r="J490" s="27"/>
    </row>
    <row r="491" spans="1:10" ht="24.9" customHeight="1" x14ac:dyDescent="0.3">
      <c r="A491" s="32" t="s">
        <v>650</v>
      </c>
      <c r="B491" s="33" t="s">
        <v>651</v>
      </c>
      <c r="C491" s="33" t="s">
        <v>652</v>
      </c>
      <c r="D491" s="33" t="s">
        <v>653</v>
      </c>
      <c r="E491" s="33" t="s">
        <v>794</v>
      </c>
      <c r="F491" s="34" t="s">
        <v>127</v>
      </c>
      <c r="G491" s="40"/>
      <c r="H491" s="40"/>
      <c r="I491" s="114"/>
      <c r="J491" s="27"/>
    </row>
    <row r="492" spans="1:10" ht="24.9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183</v>
      </c>
      <c r="F492" s="34" t="s">
        <v>127</v>
      </c>
      <c r="G492" s="40"/>
      <c r="H492" s="40"/>
      <c r="I492" s="114"/>
      <c r="J492" s="27"/>
    </row>
    <row r="493" spans="1:10" ht="24.9" customHeight="1" x14ac:dyDescent="0.3">
      <c r="A493" s="32" t="s">
        <v>650</v>
      </c>
      <c r="B493" s="33" t="s">
        <v>654</v>
      </c>
      <c r="C493" s="33" t="s">
        <v>652</v>
      </c>
      <c r="D493" s="33" t="s">
        <v>655</v>
      </c>
      <c r="E493" s="33" t="s">
        <v>173</v>
      </c>
      <c r="F493" s="34" t="s">
        <v>127</v>
      </c>
      <c r="G493" s="40"/>
      <c r="H493" s="40"/>
      <c r="I493" s="114"/>
      <c r="J493" s="27"/>
    </row>
    <row r="494" spans="1:10" ht="24.9" customHeight="1" x14ac:dyDescent="0.3">
      <c r="A494" s="32" t="s">
        <v>650</v>
      </c>
      <c r="B494" s="33" t="s">
        <v>654</v>
      </c>
      <c r="C494" s="33" t="s">
        <v>652</v>
      </c>
      <c r="D494" s="33" t="s">
        <v>655</v>
      </c>
      <c r="E494" s="33" t="s">
        <v>794</v>
      </c>
      <c r="F494" s="34" t="s">
        <v>127</v>
      </c>
      <c r="G494" s="40"/>
      <c r="H494" s="40"/>
      <c r="I494" s="114"/>
      <c r="J494" s="27"/>
    </row>
    <row r="495" spans="1:10" ht="24.9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183</v>
      </c>
      <c r="F495" s="34" t="s">
        <v>127</v>
      </c>
      <c r="G495" s="40"/>
      <c r="H495" s="40"/>
      <c r="I495" s="114"/>
      <c r="J495" s="27"/>
    </row>
    <row r="496" spans="1:10" ht="24.9" customHeight="1" x14ac:dyDescent="0.3">
      <c r="A496" s="32" t="s">
        <v>650</v>
      </c>
      <c r="B496" s="33" t="s">
        <v>656</v>
      </c>
      <c r="C496" s="33" t="s">
        <v>652</v>
      </c>
      <c r="D496" s="33" t="s">
        <v>657</v>
      </c>
      <c r="E496" s="33" t="s">
        <v>173</v>
      </c>
      <c r="F496" s="34" t="s">
        <v>127</v>
      </c>
      <c r="G496" s="40"/>
      <c r="H496" s="40"/>
      <c r="I496" s="114"/>
      <c r="J496" s="27"/>
    </row>
    <row r="497" spans="1:10" ht="24.9" customHeight="1" x14ac:dyDescent="0.3">
      <c r="A497" s="32" t="s">
        <v>650</v>
      </c>
      <c r="B497" s="33" t="s">
        <v>656</v>
      </c>
      <c r="C497" s="33" t="s">
        <v>652</v>
      </c>
      <c r="D497" s="33" t="s">
        <v>657</v>
      </c>
      <c r="E497" s="33" t="s">
        <v>794</v>
      </c>
      <c r="F497" s="34" t="s">
        <v>127</v>
      </c>
      <c r="G497" s="40"/>
      <c r="H497" s="40"/>
      <c r="I497" s="114"/>
      <c r="J497" s="27"/>
    </row>
    <row r="498" spans="1:10" ht="24.9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183</v>
      </c>
      <c r="F498" s="34" t="s">
        <v>127</v>
      </c>
      <c r="G498" s="40"/>
      <c r="H498" s="40"/>
      <c r="I498" s="114"/>
      <c r="J498" s="27"/>
    </row>
    <row r="499" spans="1:10" ht="24.9" customHeight="1" x14ac:dyDescent="0.3">
      <c r="A499" s="32" t="s">
        <v>650</v>
      </c>
      <c r="B499" s="33" t="s">
        <v>659</v>
      </c>
      <c r="C499" s="33" t="s">
        <v>652</v>
      </c>
      <c r="D499" s="33" t="s">
        <v>185</v>
      </c>
      <c r="E499" s="33" t="s">
        <v>160</v>
      </c>
      <c r="F499" s="34" t="s">
        <v>127</v>
      </c>
      <c r="G499" s="40"/>
      <c r="H499" s="51"/>
      <c r="I499" s="114"/>
      <c r="J499" s="27"/>
    </row>
    <row r="500" spans="1:10" ht="24.9" customHeight="1" x14ac:dyDescent="0.3">
      <c r="A500" s="32" t="s">
        <v>650</v>
      </c>
      <c r="B500" s="33" t="s">
        <v>659</v>
      </c>
      <c r="C500" s="33" t="s">
        <v>652</v>
      </c>
      <c r="D500" s="33" t="s">
        <v>185</v>
      </c>
      <c r="E500" s="33" t="s">
        <v>183</v>
      </c>
      <c r="F500" s="34" t="s">
        <v>127</v>
      </c>
      <c r="G500" s="40"/>
      <c r="H500" s="51"/>
      <c r="I500" s="114"/>
      <c r="J500" s="27"/>
    </row>
    <row r="501" spans="1:10" ht="24.9" customHeight="1" x14ac:dyDescent="0.3">
      <c r="A501" s="32" t="s">
        <v>650</v>
      </c>
      <c r="B501" s="33" t="s">
        <v>658</v>
      </c>
      <c r="C501" s="33" t="s">
        <v>652</v>
      </c>
      <c r="D501" s="33" t="s">
        <v>189</v>
      </c>
      <c r="E501" s="33" t="s">
        <v>160</v>
      </c>
      <c r="F501" s="34" t="s">
        <v>127</v>
      </c>
      <c r="G501" s="40"/>
      <c r="H501" s="51"/>
      <c r="I501" s="114"/>
      <c r="J501" s="27"/>
    </row>
    <row r="502" spans="1:10" ht="24.9" customHeight="1" x14ac:dyDescent="0.3">
      <c r="A502" s="32" t="s">
        <v>650</v>
      </c>
      <c r="B502" s="33" t="s">
        <v>658</v>
      </c>
      <c r="C502" s="33" t="s">
        <v>652</v>
      </c>
      <c r="D502" s="33" t="s">
        <v>189</v>
      </c>
      <c r="E502" s="33" t="s">
        <v>183</v>
      </c>
      <c r="F502" s="34" t="s">
        <v>127</v>
      </c>
      <c r="G502" s="40"/>
      <c r="H502" s="51"/>
      <c r="I502" s="114"/>
      <c r="J502" s="27"/>
    </row>
    <row r="503" spans="1:10" ht="24.9" customHeight="1" x14ac:dyDescent="0.3">
      <c r="A503" s="32" t="s">
        <v>650</v>
      </c>
      <c r="B503" s="33" t="s">
        <v>660</v>
      </c>
      <c r="C503" s="33" t="s">
        <v>652</v>
      </c>
      <c r="D503" s="33" t="s">
        <v>187</v>
      </c>
      <c r="E503" s="33" t="s">
        <v>160</v>
      </c>
      <c r="F503" s="34" t="s">
        <v>127</v>
      </c>
      <c r="G503" s="40"/>
      <c r="H503" s="51"/>
      <c r="I503" s="114"/>
      <c r="J503" s="27"/>
    </row>
    <row r="504" spans="1:10" ht="24.9" customHeight="1" x14ac:dyDescent="0.3">
      <c r="A504" s="32" t="s">
        <v>650</v>
      </c>
      <c r="B504" s="33" t="s">
        <v>660</v>
      </c>
      <c r="C504" s="33" t="s">
        <v>652</v>
      </c>
      <c r="D504" s="33" t="s">
        <v>187</v>
      </c>
      <c r="E504" s="33" t="s">
        <v>183</v>
      </c>
      <c r="F504" s="34" t="s">
        <v>127</v>
      </c>
      <c r="G504" s="40"/>
      <c r="H504" s="51"/>
      <c r="I504" s="114"/>
      <c r="J504" s="27"/>
    </row>
    <row r="505" spans="1:10" ht="24.9" customHeight="1" x14ac:dyDescent="0.3">
      <c r="A505" s="32" t="s">
        <v>661</v>
      </c>
      <c r="B505" s="33" t="s">
        <v>662</v>
      </c>
      <c r="C505" s="33" t="s">
        <v>370</v>
      </c>
      <c r="D505" s="33" t="s">
        <v>663</v>
      </c>
      <c r="E505" s="33" t="s">
        <v>780</v>
      </c>
      <c r="F505" s="34" t="s">
        <v>127</v>
      </c>
      <c r="G505" s="40"/>
      <c r="H505" s="40"/>
      <c r="I505" s="114"/>
      <c r="J505" s="27"/>
    </row>
    <row r="506" spans="1:10" ht="24.9" customHeight="1" x14ac:dyDescent="0.3">
      <c r="A506" s="32" t="s">
        <v>661</v>
      </c>
      <c r="B506" s="33" t="s">
        <v>664</v>
      </c>
      <c r="C506" s="33" t="s">
        <v>665</v>
      </c>
      <c r="D506" s="33" t="s">
        <v>804</v>
      </c>
      <c r="E506" s="33" t="s">
        <v>666</v>
      </c>
      <c r="F506" s="34" t="s">
        <v>99</v>
      </c>
      <c r="G506" s="40"/>
      <c r="H506" s="40"/>
      <c r="I506" s="114"/>
      <c r="J506" s="27"/>
    </row>
    <row r="507" spans="1:10" ht="24.9" customHeight="1" x14ac:dyDescent="0.3">
      <c r="A507" s="32" t="s">
        <v>661</v>
      </c>
      <c r="B507" s="33" t="s">
        <v>664</v>
      </c>
      <c r="C507" s="33" t="s">
        <v>665</v>
      </c>
      <c r="D507" s="33" t="s">
        <v>804</v>
      </c>
      <c r="E507" s="33" t="s">
        <v>795</v>
      </c>
      <c r="F507" s="34" t="s">
        <v>127</v>
      </c>
      <c r="G507" s="40"/>
      <c r="H507" s="40"/>
      <c r="I507" s="114"/>
      <c r="J507" s="27"/>
    </row>
    <row r="508" spans="1:10" ht="24.9" customHeight="1" x14ac:dyDescent="0.3">
      <c r="A508" s="32" t="s">
        <v>661</v>
      </c>
      <c r="B508" s="33" t="s">
        <v>668</v>
      </c>
      <c r="C508" s="33" t="s">
        <v>665</v>
      </c>
      <c r="D508" s="33" t="s">
        <v>805</v>
      </c>
      <c r="E508" s="33" t="s">
        <v>666</v>
      </c>
      <c r="F508" s="34" t="s">
        <v>99</v>
      </c>
      <c r="G508" s="40"/>
      <c r="H508" s="40"/>
      <c r="I508" s="114"/>
      <c r="J508" s="27"/>
    </row>
    <row r="509" spans="1:10" ht="24.9" customHeight="1" x14ac:dyDescent="0.3">
      <c r="A509" s="32" t="s">
        <v>661</v>
      </c>
      <c r="B509" s="33" t="s">
        <v>668</v>
      </c>
      <c r="C509" s="33" t="s">
        <v>665</v>
      </c>
      <c r="D509" s="33" t="s">
        <v>805</v>
      </c>
      <c r="E509" s="33" t="s">
        <v>795</v>
      </c>
      <c r="F509" s="34" t="s">
        <v>127</v>
      </c>
      <c r="G509" s="40"/>
      <c r="H509" s="40"/>
      <c r="I509" s="114"/>
      <c r="J509" s="27"/>
    </row>
    <row r="510" spans="1:10" ht="24.9" customHeight="1" x14ac:dyDescent="0.3">
      <c r="A510" s="32" t="s">
        <v>661</v>
      </c>
      <c r="B510" s="33" t="s">
        <v>669</v>
      </c>
      <c r="C510" s="33" t="s">
        <v>551</v>
      </c>
      <c r="D510" s="33" t="s">
        <v>670</v>
      </c>
      <c r="E510" s="33" t="s">
        <v>671</v>
      </c>
      <c r="F510" s="34" t="s">
        <v>127</v>
      </c>
      <c r="G510" s="40"/>
      <c r="H510" s="40"/>
      <c r="I510" s="114"/>
      <c r="J510" s="27"/>
    </row>
    <row r="511" spans="1:10" ht="24.9" customHeight="1" x14ac:dyDescent="0.3">
      <c r="A511" s="32" t="s">
        <v>661</v>
      </c>
      <c r="B511" s="33" t="s">
        <v>669</v>
      </c>
      <c r="C511" s="33" t="s">
        <v>551</v>
      </c>
      <c r="D511" s="33" t="s">
        <v>670</v>
      </c>
      <c r="E511" s="33" t="s">
        <v>796</v>
      </c>
      <c r="F511" s="34" t="s">
        <v>127</v>
      </c>
      <c r="G511" s="40"/>
      <c r="H511" s="40"/>
      <c r="I511" s="114"/>
      <c r="J511" s="27"/>
    </row>
    <row r="512" spans="1:10" ht="24.9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674</v>
      </c>
      <c r="F512" s="34" t="s">
        <v>127</v>
      </c>
      <c r="G512" s="40"/>
      <c r="H512" s="40"/>
      <c r="I512" s="114"/>
      <c r="J512" s="27"/>
    </row>
    <row r="513" spans="1:10" ht="24.9" customHeight="1" x14ac:dyDescent="0.3">
      <c r="A513" s="32" t="s">
        <v>661</v>
      </c>
      <c r="B513" s="33" t="s">
        <v>675</v>
      </c>
      <c r="C513" s="33" t="s">
        <v>554</v>
      </c>
      <c r="D513" s="33" t="s">
        <v>670</v>
      </c>
      <c r="E513" s="33" t="s">
        <v>671</v>
      </c>
      <c r="F513" s="34" t="s">
        <v>127</v>
      </c>
      <c r="G513" s="40"/>
      <c r="H513" s="40"/>
      <c r="I513" s="114"/>
      <c r="J513" s="27"/>
    </row>
    <row r="514" spans="1:10" ht="24.9" customHeight="1" x14ac:dyDescent="0.3">
      <c r="A514" s="32" t="s">
        <v>661</v>
      </c>
      <c r="B514" s="33" t="s">
        <v>675</v>
      </c>
      <c r="C514" s="33" t="s">
        <v>554</v>
      </c>
      <c r="D514" s="33" t="s">
        <v>670</v>
      </c>
      <c r="E514" s="33" t="s">
        <v>796</v>
      </c>
      <c r="F514" s="34" t="s">
        <v>127</v>
      </c>
      <c r="G514" s="40"/>
      <c r="H514" s="40"/>
      <c r="I514" s="114"/>
      <c r="J514" s="27"/>
    </row>
    <row r="515" spans="1:10" ht="24.9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674</v>
      </c>
      <c r="F515" s="34" t="s">
        <v>127</v>
      </c>
      <c r="G515" s="40"/>
      <c r="H515" s="40"/>
      <c r="I515" s="114"/>
      <c r="J515" s="27"/>
    </row>
    <row r="516" spans="1:10" ht="24.9" hidden="1" customHeight="1" x14ac:dyDescent="0.3">
      <c r="A516" s="32" t="s">
        <v>661</v>
      </c>
      <c r="B516" s="33" t="s">
        <v>676</v>
      </c>
      <c r="C516" s="33" t="s">
        <v>556</v>
      </c>
      <c r="D516" s="33" t="s">
        <v>670</v>
      </c>
      <c r="E516" s="33" t="s">
        <v>671</v>
      </c>
      <c r="F516" s="34" t="s">
        <v>673</v>
      </c>
      <c r="G516" s="40"/>
      <c r="H516" s="40"/>
      <c r="I516" s="114" t="s">
        <v>120</v>
      </c>
      <c r="J516" s="27"/>
    </row>
    <row r="517" spans="1:10" ht="24.9" hidden="1" customHeight="1" x14ac:dyDescent="0.3">
      <c r="A517" s="32" t="s">
        <v>661</v>
      </c>
      <c r="B517" s="33" t="s">
        <v>676</v>
      </c>
      <c r="C517" s="33" t="s">
        <v>556</v>
      </c>
      <c r="D517" s="33" t="s">
        <v>670</v>
      </c>
      <c r="E517" s="33" t="s">
        <v>796</v>
      </c>
      <c r="F517" s="34" t="s">
        <v>673</v>
      </c>
      <c r="G517" s="40"/>
      <c r="H517" s="40"/>
      <c r="I517" s="114" t="s">
        <v>120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674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677</v>
      </c>
      <c r="C519" s="33" t="s">
        <v>558</v>
      </c>
      <c r="D519" s="33" t="s">
        <v>670</v>
      </c>
      <c r="E519" s="33" t="s">
        <v>671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677</v>
      </c>
      <c r="C520" s="33" t="s">
        <v>558</v>
      </c>
      <c r="D520" s="33" t="s">
        <v>670</v>
      </c>
      <c r="E520" s="33" t="s">
        <v>796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674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678</v>
      </c>
      <c r="C522" s="33" t="s">
        <v>560</v>
      </c>
      <c r="D522" s="33" t="s">
        <v>670</v>
      </c>
      <c r="E522" s="33" t="s">
        <v>671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678</v>
      </c>
      <c r="C523" s="33" t="s">
        <v>560</v>
      </c>
      <c r="D523" s="33" t="s">
        <v>670</v>
      </c>
      <c r="E523" s="33" t="s">
        <v>796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674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679</v>
      </c>
      <c r="C525" s="33" t="s">
        <v>548</v>
      </c>
      <c r="D525" s="33" t="s">
        <v>670</v>
      </c>
      <c r="E525" s="33" t="s">
        <v>671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679</v>
      </c>
      <c r="C526" s="33" t="s">
        <v>548</v>
      </c>
      <c r="D526" s="33" t="s">
        <v>670</v>
      </c>
      <c r="E526" s="33" t="s">
        <v>796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674</v>
      </c>
      <c r="F527" s="34" t="s">
        <v>673</v>
      </c>
      <c r="G527" s="40"/>
      <c r="H527" s="40"/>
      <c r="I527" s="114" t="s">
        <v>120</v>
      </c>
      <c r="J527" s="27"/>
    </row>
    <row r="528" spans="1:10" ht="24.9" customHeight="1" x14ac:dyDescent="0.3">
      <c r="A528" s="32" t="s">
        <v>680</v>
      </c>
      <c r="B528" s="33" t="s">
        <v>702</v>
      </c>
      <c r="C528" s="33" t="s">
        <v>703</v>
      </c>
      <c r="D528" s="33" t="s">
        <v>704</v>
      </c>
      <c r="E528" s="33" t="s">
        <v>765</v>
      </c>
      <c r="F528" s="34" t="s">
        <v>99</v>
      </c>
      <c r="G528" s="40"/>
      <c r="H528" s="40" t="s">
        <v>543</v>
      </c>
      <c r="I528" s="114"/>
      <c r="J528" s="27"/>
    </row>
    <row r="529" spans="1:10" ht="24.9" hidden="1" customHeight="1" x14ac:dyDescent="0.3">
      <c r="A529" s="32" t="s">
        <v>680</v>
      </c>
      <c r="B529" s="33" t="s">
        <v>702</v>
      </c>
      <c r="C529" s="33" t="s">
        <v>703</v>
      </c>
      <c r="D529" s="33" t="s">
        <v>704</v>
      </c>
      <c r="E529" s="33" t="s">
        <v>225</v>
      </c>
      <c r="F529" s="34" t="s">
        <v>673</v>
      </c>
      <c r="G529" s="40"/>
      <c r="H529" s="40" t="s">
        <v>227</v>
      </c>
      <c r="I529" s="35" t="s">
        <v>226</v>
      </c>
      <c r="J529" s="27"/>
    </row>
    <row r="530" spans="1:10" ht="24.9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764</v>
      </c>
      <c r="F530" s="34" t="s">
        <v>167</v>
      </c>
      <c r="G530" s="40"/>
      <c r="H530" s="40"/>
      <c r="I530" s="114"/>
      <c r="J530" s="27"/>
    </row>
    <row r="531" spans="1:10" ht="24.9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195</v>
      </c>
      <c r="F531" s="34" t="s">
        <v>167</v>
      </c>
      <c r="G531" s="40"/>
      <c r="H531" s="51"/>
      <c r="I531" s="114"/>
      <c r="J531" s="27"/>
    </row>
    <row r="532" spans="1:10" ht="24.9" hidden="1" customHeight="1" x14ac:dyDescent="0.3">
      <c r="A532" s="32" t="s">
        <v>680</v>
      </c>
      <c r="B532" s="33" t="s">
        <v>689</v>
      </c>
      <c r="C532" s="33" t="s">
        <v>690</v>
      </c>
      <c r="D532" s="33" t="s">
        <v>691</v>
      </c>
      <c r="E532" s="33" t="s">
        <v>692</v>
      </c>
      <c r="F532" s="34" t="s">
        <v>673</v>
      </c>
      <c r="G532" s="40"/>
      <c r="H532" s="40" t="s">
        <v>837</v>
      </c>
      <c r="I532" s="35" t="s">
        <v>693</v>
      </c>
      <c r="J532" s="27"/>
    </row>
    <row r="533" spans="1:10" ht="24.9" hidden="1" customHeight="1" x14ac:dyDescent="0.3">
      <c r="A533" s="32" t="s">
        <v>680</v>
      </c>
      <c r="B533" s="33" t="s">
        <v>689</v>
      </c>
      <c r="C533" s="33" t="s">
        <v>690</v>
      </c>
      <c r="D533" s="33" t="s">
        <v>691</v>
      </c>
      <c r="E533" s="33" t="s">
        <v>694</v>
      </c>
      <c r="F533" s="34" t="s">
        <v>673</v>
      </c>
      <c r="G533" s="40"/>
      <c r="H533" s="40" t="s">
        <v>837</v>
      </c>
      <c r="I533" s="35" t="s">
        <v>695</v>
      </c>
      <c r="J533" s="27"/>
    </row>
    <row r="534" spans="1:10" ht="24.9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714</v>
      </c>
      <c r="F534" s="34" t="s">
        <v>127</v>
      </c>
      <c r="G534" s="40"/>
      <c r="H534" s="40"/>
      <c r="I534" s="114"/>
      <c r="J534" s="27"/>
    </row>
    <row r="535" spans="1:10" ht="24.9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715</v>
      </c>
      <c r="F535" s="34" t="s">
        <v>127</v>
      </c>
      <c r="G535" s="40"/>
      <c r="H535" s="40"/>
      <c r="I535" s="114"/>
      <c r="J535" s="27"/>
    </row>
    <row r="536" spans="1:10" ht="24.9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716</v>
      </c>
      <c r="F536" s="34" t="s">
        <v>127</v>
      </c>
      <c r="G536" s="40"/>
      <c r="H536" s="40"/>
      <c r="I536" s="114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699</v>
      </c>
      <c r="E537" s="33" t="s">
        <v>700</v>
      </c>
      <c r="F537" s="34" t="s">
        <v>95</v>
      </c>
      <c r="G537" s="40"/>
      <c r="H537" s="40"/>
      <c r="I537" s="114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699</v>
      </c>
      <c r="E538" s="33" t="s">
        <v>701</v>
      </c>
      <c r="F538" s="34" t="s">
        <v>95</v>
      </c>
      <c r="G538" s="40"/>
      <c r="H538" s="40"/>
      <c r="I538" s="114"/>
      <c r="J538" s="27"/>
    </row>
    <row r="539" spans="1:10" ht="24.9" hidden="1" customHeight="1" x14ac:dyDescent="0.3">
      <c r="A539" s="32" t="s">
        <v>680</v>
      </c>
      <c r="B539" s="33" t="s">
        <v>681</v>
      </c>
      <c r="C539" s="33" t="s">
        <v>682</v>
      </c>
      <c r="D539" s="33" t="s">
        <v>683</v>
      </c>
      <c r="E539" s="33" t="s">
        <v>229</v>
      </c>
      <c r="F539" s="34" t="s">
        <v>673</v>
      </c>
      <c r="G539" s="40"/>
      <c r="H539" s="40" t="s">
        <v>837</v>
      </c>
      <c r="I539" s="35" t="s">
        <v>684</v>
      </c>
      <c r="J539" s="42"/>
    </row>
    <row r="540" spans="1:10" ht="24.9" customHeight="1" x14ac:dyDescent="0.3">
      <c r="A540" s="32" t="s">
        <v>680</v>
      </c>
      <c r="B540" s="33" t="s">
        <v>681</v>
      </c>
      <c r="C540" s="33" t="s">
        <v>682</v>
      </c>
      <c r="D540" s="33" t="s">
        <v>683</v>
      </c>
      <c r="E540" s="33" t="s">
        <v>713</v>
      </c>
      <c r="F540" s="34" t="s">
        <v>127</v>
      </c>
      <c r="G540" s="40"/>
      <c r="H540" s="40"/>
      <c r="I540" s="114"/>
      <c r="J540" s="27"/>
    </row>
    <row r="541" spans="1:10" ht="24.9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221</v>
      </c>
      <c r="F541" s="34" t="s">
        <v>127</v>
      </c>
      <c r="G541" s="40"/>
      <c r="H541" s="40"/>
      <c r="I541" s="114"/>
      <c r="J541" s="42"/>
    </row>
    <row r="542" spans="1:10" ht="24.9" customHeight="1" x14ac:dyDescent="0.3">
      <c r="A542" s="32" t="s">
        <v>680</v>
      </c>
      <c r="B542" s="33" t="s">
        <v>705</v>
      </c>
      <c r="C542" s="33" t="s">
        <v>703</v>
      </c>
      <c r="D542" s="33" t="s">
        <v>706</v>
      </c>
      <c r="E542" s="33" t="s">
        <v>213</v>
      </c>
      <c r="F542" s="34" t="s">
        <v>99</v>
      </c>
      <c r="G542" s="40"/>
      <c r="H542" s="51"/>
      <c r="I542" s="114"/>
      <c r="J542" s="27"/>
    </row>
    <row r="543" spans="1:10" ht="24.9" customHeight="1" x14ac:dyDescent="0.3">
      <c r="A543" s="32" t="s">
        <v>680</v>
      </c>
      <c r="B543" s="33" t="s">
        <v>705</v>
      </c>
      <c r="C543" s="33" t="s">
        <v>703</v>
      </c>
      <c r="D543" s="33" t="s">
        <v>706</v>
      </c>
      <c r="E543" s="33" t="s">
        <v>707</v>
      </c>
      <c r="F543" s="34" t="s">
        <v>99</v>
      </c>
      <c r="G543" s="40"/>
      <c r="H543" s="40"/>
      <c r="I543" s="114"/>
      <c r="J543" s="27"/>
    </row>
    <row r="544" spans="1:10" ht="24.9" customHeight="1" x14ac:dyDescent="0.3">
      <c r="A544" s="32" t="s">
        <v>680</v>
      </c>
      <c r="B544" s="33" t="s">
        <v>705</v>
      </c>
      <c r="C544" s="33" t="s">
        <v>703</v>
      </c>
      <c r="D544" s="33" t="s">
        <v>708</v>
      </c>
      <c r="E544" s="33" t="s">
        <v>160</v>
      </c>
      <c r="F544" s="34" t="s">
        <v>99</v>
      </c>
      <c r="G544" s="40"/>
      <c r="H544" s="40"/>
      <c r="I544" s="114"/>
      <c r="J544" s="27"/>
    </row>
    <row r="545" spans="1:10" ht="24.9" customHeight="1" x14ac:dyDescent="0.3">
      <c r="A545" s="32" t="s">
        <v>680</v>
      </c>
      <c r="B545" s="33" t="s">
        <v>705</v>
      </c>
      <c r="C545" s="33" t="s">
        <v>703</v>
      </c>
      <c r="D545" s="33" t="s">
        <v>708</v>
      </c>
      <c r="E545" s="33" t="s">
        <v>797</v>
      </c>
      <c r="F545" s="34" t="s">
        <v>127</v>
      </c>
      <c r="G545" s="40"/>
      <c r="H545" s="40"/>
      <c r="I545" s="114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217</v>
      </c>
      <c r="F546" s="34"/>
      <c r="G546" s="29"/>
      <c r="H546" s="29"/>
      <c r="I546" s="2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846</v>
      </c>
      <c r="E547" s="33" t="s">
        <v>823</v>
      </c>
      <c r="F547" s="34" t="s">
        <v>673</v>
      </c>
      <c r="G547" s="40"/>
      <c r="H547" s="40"/>
      <c r="I547" s="35"/>
      <c r="J547" s="27"/>
    </row>
    <row r="548" spans="1:10" ht="24.9" customHeight="1" x14ac:dyDescent="0.3">
      <c r="A548" s="32" t="s">
        <v>680</v>
      </c>
      <c r="B548" s="33" t="s">
        <v>709</v>
      </c>
      <c r="C548" s="33" t="s">
        <v>686</v>
      </c>
      <c r="D548" s="33" t="s">
        <v>710</v>
      </c>
      <c r="E548" s="33" t="s">
        <v>712</v>
      </c>
      <c r="F548" s="34" t="s">
        <v>127</v>
      </c>
      <c r="G548" s="40"/>
      <c r="H548" s="40"/>
      <c r="I548" s="114"/>
      <c r="J548" s="27"/>
    </row>
    <row r="549" spans="1:10" ht="24.9" hidden="1" customHeight="1" x14ac:dyDescent="0.3">
      <c r="A549" s="32" t="s">
        <v>680</v>
      </c>
      <c r="B549" s="33" t="s">
        <v>813</v>
      </c>
      <c r="C549" s="33" t="s">
        <v>686</v>
      </c>
      <c r="D549" s="33" t="s">
        <v>822</v>
      </c>
      <c r="E549" s="33" t="s">
        <v>737</v>
      </c>
      <c r="F549" s="34" t="s">
        <v>673</v>
      </c>
      <c r="G549" s="50"/>
      <c r="H549" s="40" t="s">
        <v>837</v>
      </c>
      <c r="I549" s="35" t="s">
        <v>838</v>
      </c>
      <c r="J549" s="27"/>
    </row>
    <row r="550" spans="1:10" ht="24.9" hidden="1" customHeight="1" x14ac:dyDescent="0.3">
      <c r="A550" s="32" t="s">
        <v>680</v>
      </c>
      <c r="B550" s="33" t="s">
        <v>814</v>
      </c>
      <c r="C550" s="33" t="s">
        <v>686</v>
      </c>
      <c r="D550" s="33" t="s">
        <v>825</v>
      </c>
      <c r="E550" s="33" t="s">
        <v>823</v>
      </c>
      <c r="F550" s="34" t="s">
        <v>673</v>
      </c>
      <c r="G550" s="40"/>
      <c r="H550" s="40" t="s">
        <v>837</v>
      </c>
      <c r="I550" s="35" t="s">
        <v>839</v>
      </c>
      <c r="J550" s="27"/>
    </row>
    <row r="551" spans="1:10" ht="24.9" hidden="1" customHeight="1" x14ac:dyDescent="0.3">
      <c r="A551" s="32" t="s">
        <v>680</v>
      </c>
      <c r="B551" s="33" t="s">
        <v>815</v>
      </c>
      <c r="C551" s="33" t="s">
        <v>686</v>
      </c>
      <c r="D551" s="33" t="s">
        <v>826</v>
      </c>
      <c r="E551" s="33" t="s">
        <v>823</v>
      </c>
      <c r="F551" s="34" t="s">
        <v>673</v>
      </c>
      <c r="G551" s="40"/>
      <c r="H551" s="40" t="s">
        <v>837</v>
      </c>
      <c r="I551" s="35" t="s">
        <v>840</v>
      </c>
      <c r="J551" s="27"/>
    </row>
    <row r="552" spans="1:10" ht="24.9" hidden="1" customHeight="1" x14ac:dyDescent="0.3">
      <c r="A552" s="32" t="s">
        <v>680</v>
      </c>
      <c r="B552" s="33" t="s">
        <v>816</v>
      </c>
      <c r="C552" s="33" t="s">
        <v>686</v>
      </c>
      <c r="D552" s="33" t="s">
        <v>827</v>
      </c>
      <c r="E552" s="33" t="s">
        <v>823</v>
      </c>
      <c r="F552" s="34" t="s">
        <v>673</v>
      </c>
      <c r="G552" s="40"/>
      <c r="H552" s="40" t="s">
        <v>837</v>
      </c>
      <c r="I552" s="35" t="s">
        <v>841</v>
      </c>
      <c r="J552" s="27"/>
    </row>
    <row r="553" spans="1:10" ht="24.9" hidden="1" customHeight="1" x14ac:dyDescent="0.3">
      <c r="A553" s="32" t="s">
        <v>680</v>
      </c>
      <c r="B553" s="33" t="s">
        <v>817</v>
      </c>
      <c r="C553" s="33" t="s">
        <v>686</v>
      </c>
      <c r="D553" s="33" t="s">
        <v>828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817</v>
      </c>
      <c r="C554" s="33" t="s">
        <v>686</v>
      </c>
      <c r="D554" s="33" t="s">
        <v>829</v>
      </c>
      <c r="E554" s="33" t="s">
        <v>823</v>
      </c>
      <c r="F554" s="34" t="s">
        <v>673</v>
      </c>
      <c r="G554" s="40"/>
      <c r="H554" s="40" t="s">
        <v>837</v>
      </c>
      <c r="I554" s="35" t="s">
        <v>840</v>
      </c>
      <c r="J554" s="27"/>
    </row>
    <row r="555" spans="1:10" ht="24.9" hidden="1" customHeight="1" x14ac:dyDescent="0.3">
      <c r="A555" s="32" t="s">
        <v>680</v>
      </c>
      <c r="B555" s="33" t="s">
        <v>818</v>
      </c>
      <c r="C555" s="33" t="s">
        <v>686</v>
      </c>
      <c r="D555" s="33" t="s">
        <v>830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819</v>
      </c>
      <c r="C556" s="33" t="s">
        <v>686</v>
      </c>
      <c r="D556" s="33" t="s">
        <v>831</v>
      </c>
      <c r="E556" s="33" t="s">
        <v>823</v>
      </c>
      <c r="F556" s="34" t="s">
        <v>673</v>
      </c>
      <c r="G556" s="40"/>
      <c r="H556" s="40" t="s">
        <v>837</v>
      </c>
      <c r="I556" s="35" t="s">
        <v>841</v>
      </c>
      <c r="J556" s="27"/>
    </row>
    <row r="557" spans="1:10" ht="24.9" hidden="1" customHeight="1" x14ac:dyDescent="0.3">
      <c r="A557" s="32" t="s">
        <v>680</v>
      </c>
      <c r="B557" s="33" t="s">
        <v>820</v>
      </c>
      <c r="C557" s="33" t="s">
        <v>686</v>
      </c>
      <c r="D557" s="33" t="s">
        <v>832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820</v>
      </c>
      <c r="C558" s="90" t="s">
        <v>686</v>
      </c>
      <c r="D558" s="33" t="s">
        <v>832</v>
      </c>
      <c r="E558" s="33" t="s">
        <v>824</v>
      </c>
      <c r="F558" s="34" t="s">
        <v>673</v>
      </c>
      <c r="G558" s="40"/>
      <c r="H558" s="40" t="s">
        <v>837</v>
      </c>
      <c r="I558" s="35" t="s">
        <v>842</v>
      </c>
      <c r="J558" s="27"/>
    </row>
    <row r="559" spans="1:10" ht="24.9" hidden="1" customHeight="1" x14ac:dyDescent="0.3">
      <c r="A559" s="32" t="s">
        <v>680</v>
      </c>
      <c r="B559" s="33" t="s">
        <v>821</v>
      </c>
      <c r="C559" s="90" t="s">
        <v>686</v>
      </c>
      <c r="D559" s="33" t="s">
        <v>833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821</v>
      </c>
      <c r="C560" s="90" t="s">
        <v>686</v>
      </c>
      <c r="D560" s="33" t="s">
        <v>834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835</v>
      </c>
      <c r="E561" s="33" t="s">
        <v>824</v>
      </c>
      <c r="F561" s="34" t="s">
        <v>673</v>
      </c>
      <c r="G561" s="40"/>
      <c r="H561" s="40" t="s">
        <v>837</v>
      </c>
      <c r="I561" s="35" t="s">
        <v>842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836</v>
      </c>
      <c r="E562" s="33" t="s">
        <v>823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customHeight="1" x14ac:dyDescent="0.3">
      <c r="A563" s="32" t="s">
        <v>680</v>
      </c>
      <c r="B563" s="33" t="s">
        <v>709</v>
      </c>
      <c r="C563" s="90" t="s">
        <v>686</v>
      </c>
      <c r="D563" s="33" t="s">
        <v>710</v>
      </c>
      <c r="E563" s="33" t="s">
        <v>711</v>
      </c>
      <c r="F563" s="34" t="s">
        <v>167</v>
      </c>
      <c r="G563" s="40"/>
      <c r="H563" s="40"/>
      <c r="I563" s="114"/>
      <c r="J563" s="27"/>
    </row>
    <row r="564" spans="1:10" ht="24.9" customHeight="1" x14ac:dyDescent="0.3">
      <c r="A564" s="32" t="s">
        <v>680</v>
      </c>
      <c r="B564" s="33" t="s">
        <v>685</v>
      </c>
      <c r="C564" s="33" t="s">
        <v>686</v>
      </c>
      <c r="D564" s="33" t="s">
        <v>687</v>
      </c>
      <c r="E564" s="33" t="s">
        <v>712</v>
      </c>
      <c r="F564" s="34" t="s">
        <v>127</v>
      </c>
      <c r="G564" s="40"/>
      <c r="H564" s="40"/>
      <c r="I564" s="114"/>
      <c r="J564" s="27"/>
    </row>
    <row r="565" spans="1:10" ht="24.9" customHeight="1" x14ac:dyDescent="0.3">
      <c r="A565" s="32" t="s">
        <v>680</v>
      </c>
      <c r="B565" s="33" t="s">
        <v>685</v>
      </c>
      <c r="C565" s="33" t="s">
        <v>686</v>
      </c>
      <c r="D565" s="33" t="s">
        <v>687</v>
      </c>
      <c r="E565" s="33" t="s">
        <v>711</v>
      </c>
      <c r="F565" s="34" t="s">
        <v>167</v>
      </c>
      <c r="G565" s="40"/>
      <c r="H565" s="40"/>
      <c r="I565" s="114"/>
      <c r="J565" s="27"/>
    </row>
    <row r="566" spans="1:10" ht="24.9" customHeight="1" x14ac:dyDescent="0.3">
      <c r="A566" s="32" t="s">
        <v>680</v>
      </c>
      <c r="B566" s="33" t="s">
        <v>696</v>
      </c>
      <c r="C566" s="33" t="s">
        <v>686</v>
      </c>
      <c r="D566" s="33" t="s">
        <v>697</v>
      </c>
      <c r="E566" s="33" t="s">
        <v>717</v>
      </c>
      <c r="F566" s="34" t="s">
        <v>127</v>
      </c>
      <c r="G566" s="40"/>
      <c r="H566" s="40"/>
      <c r="I566" s="114"/>
      <c r="J566" s="27"/>
    </row>
    <row r="567" spans="1:10" ht="24.9" customHeight="1" x14ac:dyDescent="0.3">
      <c r="A567" s="32" t="s">
        <v>718</v>
      </c>
      <c r="B567" s="33" t="s">
        <v>724</v>
      </c>
      <c r="C567" s="33" t="s">
        <v>725</v>
      </c>
      <c r="D567" s="33" t="s">
        <v>726</v>
      </c>
      <c r="E567" s="33" t="s">
        <v>130</v>
      </c>
      <c r="F567" s="34" t="s">
        <v>99</v>
      </c>
      <c r="G567" s="40"/>
      <c r="H567" s="40"/>
      <c r="I567" s="114"/>
      <c r="J567" s="27"/>
    </row>
    <row r="568" spans="1:10" ht="24.9" customHeight="1" x14ac:dyDescent="0.3">
      <c r="A568" s="32" t="s">
        <v>718</v>
      </c>
      <c r="B568" s="33" t="s">
        <v>724</v>
      </c>
      <c r="C568" s="33" t="s">
        <v>725</v>
      </c>
      <c r="D568" s="33" t="s">
        <v>726</v>
      </c>
      <c r="E568" s="33" t="s">
        <v>748</v>
      </c>
      <c r="F568" s="34" t="s">
        <v>99</v>
      </c>
      <c r="G568" s="40"/>
      <c r="H568" s="40"/>
      <c r="I568" s="114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727</v>
      </c>
      <c r="F569" s="34" t="s">
        <v>673</v>
      </c>
      <c r="G569" s="40"/>
      <c r="H569" s="40" t="s">
        <v>168</v>
      </c>
      <c r="I569" s="35" t="s">
        <v>169</v>
      </c>
      <c r="J569" s="27"/>
    </row>
    <row r="570" spans="1:10" ht="24.9" hidden="1" customHeight="1" x14ac:dyDescent="0.3">
      <c r="A570" s="32" t="s">
        <v>718</v>
      </c>
      <c r="B570" s="33" t="s">
        <v>719</v>
      </c>
      <c r="C570" s="33" t="s">
        <v>720</v>
      </c>
      <c r="D570" s="33" t="s">
        <v>721</v>
      </c>
      <c r="E570" s="33" t="s">
        <v>694</v>
      </c>
      <c r="F570" s="34" t="s">
        <v>673</v>
      </c>
      <c r="G570" s="40"/>
      <c r="H570" s="40" t="s">
        <v>168</v>
      </c>
      <c r="I570" s="35" t="s">
        <v>695</v>
      </c>
      <c r="J570" s="27"/>
    </row>
    <row r="571" spans="1:10" ht="24.9" hidden="1" customHeight="1" x14ac:dyDescent="0.3">
      <c r="A571" s="32" t="s">
        <v>718</v>
      </c>
      <c r="B571" s="33" t="s">
        <v>719</v>
      </c>
      <c r="C571" s="33" t="s">
        <v>720</v>
      </c>
      <c r="D571" s="33" t="s">
        <v>721</v>
      </c>
      <c r="E571" s="33" t="s">
        <v>692</v>
      </c>
      <c r="F571" s="34" t="s">
        <v>673</v>
      </c>
      <c r="G571" s="40"/>
      <c r="H571" s="40" t="s">
        <v>378</v>
      </c>
      <c r="I571" s="35" t="s">
        <v>693</v>
      </c>
      <c r="J571" s="27"/>
    </row>
    <row r="572" spans="1:10" ht="24.9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714</v>
      </c>
      <c r="F572" s="34" t="s">
        <v>127</v>
      </c>
      <c r="G572" s="40"/>
      <c r="H572" s="40"/>
      <c r="I572" s="114"/>
      <c r="J572" s="27"/>
    </row>
    <row r="573" spans="1:10" ht="24.9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747</v>
      </c>
      <c r="F573" s="34" t="s">
        <v>127</v>
      </c>
      <c r="G573" s="40"/>
      <c r="H573" s="40"/>
      <c r="I573" s="114"/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700</v>
      </c>
      <c r="F574" s="34" t="s">
        <v>95</v>
      </c>
      <c r="G574" s="40"/>
      <c r="H574" s="40"/>
      <c r="I574" s="114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701</v>
      </c>
      <c r="F575" s="34" t="s">
        <v>95</v>
      </c>
      <c r="G575" s="40"/>
      <c r="H575" s="40"/>
      <c r="I575" s="114"/>
      <c r="J575" s="27"/>
    </row>
    <row r="576" spans="1:10" ht="24.9" customHeight="1" x14ac:dyDescent="0.3">
      <c r="A576" s="32" t="s">
        <v>718</v>
      </c>
      <c r="B576" s="33" t="s">
        <v>735</v>
      </c>
      <c r="C576" s="33" t="s">
        <v>720</v>
      </c>
      <c r="D576" s="33" t="s">
        <v>736</v>
      </c>
      <c r="E576" s="33" t="s">
        <v>130</v>
      </c>
      <c r="F576" s="34" t="s">
        <v>127</v>
      </c>
      <c r="G576" s="40"/>
      <c r="H576" s="40"/>
      <c r="I576" s="114"/>
      <c r="J576" s="27"/>
    </row>
    <row r="577" spans="1:10" ht="24.9" customHeight="1" x14ac:dyDescent="0.3">
      <c r="A577" s="32" t="s">
        <v>718</v>
      </c>
      <c r="B577" s="33" t="s">
        <v>735</v>
      </c>
      <c r="C577" s="33" t="s">
        <v>720</v>
      </c>
      <c r="D577" s="33" t="s">
        <v>736</v>
      </c>
      <c r="E577" s="33" t="s">
        <v>799</v>
      </c>
      <c r="F577" s="34" t="s">
        <v>127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737</v>
      </c>
      <c r="F578" s="34" t="s">
        <v>673</v>
      </c>
      <c r="G578" s="40"/>
      <c r="H578" s="40" t="s">
        <v>378</v>
      </c>
      <c r="I578" s="35" t="s">
        <v>738</v>
      </c>
      <c r="J578" s="27"/>
    </row>
    <row r="579" spans="1:10" ht="24.9" hidden="1" customHeight="1" x14ac:dyDescent="0.3">
      <c r="A579" s="32" t="s">
        <v>718</v>
      </c>
      <c r="B579" s="33" t="s">
        <v>722</v>
      </c>
      <c r="C579" s="33" t="s">
        <v>720</v>
      </c>
      <c r="D579" s="33" t="s">
        <v>723</v>
      </c>
      <c r="E579" s="33" t="s">
        <v>694</v>
      </c>
      <c r="F579" s="34" t="s">
        <v>673</v>
      </c>
      <c r="G579" s="40"/>
      <c r="H579" s="40" t="s">
        <v>168</v>
      </c>
      <c r="I579" s="35" t="s">
        <v>695</v>
      </c>
      <c r="J579" s="27"/>
    </row>
    <row r="580" spans="1:10" ht="24.9" hidden="1" customHeight="1" x14ac:dyDescent="0.3">
      <c r="A580" s="32" t="s">
        <v>718</v>
      </c>
      <c r="B580" s="33" t="s">
        <v>722</v>
      </c>
      <c r="C580" s="33" t="s">
        <v>720</v>
      </c>
      <c r="D580" s="33" t="s">
        <v>723</v>
      </c>
      <c r="E580" s="33" t="s">
        <v>692</v>
      </c>
      <c r="F580" s="34" t="s">
        <v>673</v>
      </c>
      <c r="G580" s="40"/>
      <c r="H580" s="40" t="s">
        <v>378</v>
      </c>
      <c r="I580" s="35" t="s">
        <v>693</v>
      </c>
      <c r="J580" s="27"/>
    </row>
    <row r="581" spans="1:10" ht="24.9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714</v>
      </c>
      <c r="F581" s="34" t="s">
        <v>127</v>
      </c>
      <c r="G581" s="40"/>
      <c r="H581" s="40"/>
      <c r="I581" s="114"/>
      <c r="J581" s="27"/>
    </row>
    <row r="582" spans="1:10" ht="24.9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747</v>
      </c>
      <c r="F582" s="34" t="s">
        <v>127</v>
      </c>
      <c r="G582" s="40"/>
      <c r="H582" s="40"/>
      <c r="I582" s="114"/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700</v>
      </c>
      <c r="F583" s="34" t="s">
        <v>95</v>
      </c>
      <c r="G583" s="40"/>
      <c r="H583" s="40"/>
      <c r="I583" s="114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701</v>
      </c>
      <c r="F584" s="34" t="s">
        <v>95</v>
      </c>
      <c r="G584" s="40"/>
      <c r="H584" s="40"/>
      <c r="I584" s="114"/>
      <c r="J584" s="27"/>
    </row>
    <row r="585" spans="1:10" ht="24.9" customHeight="1" x14ac:dyDescent="0.3">
      <c r="A585" s="32" t="s">
        <v>718</v>
      </c>
      <c r="B585" s="33" t="s">
        <v>739</v>
      </c>
      <c r="C585" s="33" t="s">
        <v>720</v>
      </c>
      <c r="D585" s="33" t="s">
        <v>740</v>
      </c>
      <c r="E585" s="33" t="s">
        <v>130</v>
      </c>
      <c r="F585" s="34" t="s">
        <v>127</v>
      </c>
      <c r="G585" s="40"/>
      <c r="H585" s="40"/>
      <c r="I585" s="114"/>
      <c r="J585" s="27"/>
    </row>
    <row r="586" spans="1:10" ht="24.9" customHeight="1" x14ac:dyDescent="0.3">
      <c r="A586" s="32" t="s">
        <v>718</v>
      </c>
      <c r="B586" s="33" t="s">
        <v>739</v>
      </c>
      <c r="C586" s="33" t="s">
        <v>720</v>
      </c>
      <c r="D586" s="33" t="s">
        <v>740</v>
      </c>
      <c r="E586" s="33" t="s">
        <v>799</v>
      </c>
      <c r="F586" s="34" t="s">
        <v>127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737</v>
      </c>
      <c r="F587" s="34" t="s">
        <v>673</v>
      </c>
      <c r="G587" s="40"/>
      <c r="H587" s="40" t="s">
        <v>378</v>
      </c>
      <c r="I587" s="35" t="s">
        <v>738</v>
      </c>
      <c r="J587" s="27"/>
    </row>
    <row r="588" spans="1:10" ht="24.9" customHeight="1" x14ac:dyDescent="0.3">
      <c r="A588" s="32" t="s">
        <v>718</v>
      </c>
      <c r="B588" s="33" t="s">
        <v>757</v>
      </c>
      <c r="C588" s="33" t="s">
        <v>725</v>
      </c>
      <c r="D588" s="33" t="s">
        <v>754</v>
      </c>
      <c r="E588" s="33" t="s">
        <v>775</v>
      </c>
      <c r="F588" s="34" t="s">
        <v>167</v>
      </c>
      <c r="G588" s="40"/>
      <c r="H588" s="40"/>
      <c r="I588" s="114"/>
      <c r="J588" s="27"/>
    </row>
    <row r="589" spans="1:10" ht="24.9" hidden="1" customHeight="1" x14ac:dyDescent="0.3">
      <c r="A589" s="32" t="s">
        <v>718</v>
      </c>
      <c r="B589" s="33" t="s">
        <v>728</v>
      </c>
      <c r="C589" s="33" t="s">
        <v>729</v>
      </c>
      <c r="D589" s="33" t="s">
        <v>730</v>
      </c>
      <c r="E589" s="33" t="s">
        <v>731</v>
      </c>
      <c r="F589" s="34" t="s">
        <v>673</v>
      </c>
      <c r="G589" s="40"/>
      <c r="H589" s="40" t="s">
        <v>378</v>
      </c>
      <c r="I589" s="35" t="s">
        <v>732</v>
      </c>
      <c r="J589" s="27"/>
    </row>
    <row r="590" spans="1:10" ht="24.9" customHeight="1" x14ac:dyDescent="0.3">
      <c r="A590" s="32" t="s">
        <v>718</v>
      </c>
      <c r="B590" s="33" t="s">
        <v>728</v>
      </c>
      <c r="C590" s="33" t="s">
        <v>729</v>
      </c>
      <c r="D590" s="33" t="s">
        <v>730</v>
      </c>
      <c r="E590" s="33" t="s">
        <v>711</v>
      </c>
      <c r="F590" s="34" t="s">
        <v>127</v>
      </c>
      <c r="G590" s="40"/>
      <c r="H590" s="40"/>
      <c r="I590" s="114"/>
      <c r="J590" s="27"/>
    </row>
    <row r="591" spans="1:10" ht="24.9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130</v>
      </c>
      <c r="F591" s="34" t="s">
        <v>167</v>
      </c>
      <c r="G591" s="40"/>
      <c r="H591" s="40"/>
      <c r="I591" s="114"/>
      <c r="J591" s="27"/>
    </row>
    <row r="592" spans="1:10" ht="24.9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746</v>
      </c>
      <c r="F592" s="34" t="s">
        <v>167</v>
      </c>
      <c r="G592" s="40"/>
      <c r="H592" s="40"/>
      <c r="I592" s="114"/>
      <c r="J592" s="27"/>
    </row>
    <row r="593" spans="1:10" ht="24.9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798</v>
      </c>
      <c r="F593" s="34" t="s">
        <v>167</v>
      </c>
      <c r="G593" s="40"/>
      <c r="H593" s="40"/>
      <c r="I593" s="114"/>
      <c r="J593" s="27"/>
    </row>
    <row r="594" spans="1:10" ht="24.9" customHeight="1" x14ac:dyDescent="0.3">
      <c r="A594" s="32" t="s">
        <v>718</v>
      </c>
      <c r="B594" s="33" t="s">
        <v>741</v>
      </c>
      <c r="C594" s="33" t="s">
        <v>720</v>
      </c>
      <c r="D594" s="33" t="s">
        <v>742</v>
      </c>
      <c r="E594" s="33" t="s">
        <v>130</v>
      </c>
      <c r="F594" s="34" t="s">
        <v>127</v>
      </c>
      <c r="G594" s="40"/>
      <c r="H594" s="40"/>
      <c r="I594" s="114"/>
      <c r="J594" s="27"/>
    </row>
    <row r="595" spans="1:10" ht="24.9" customHeight="1" x14ac:dyDescent="0.3">
      <c r="A595" s="32" t="s">
        <v>718</v>
      </c>
      <c r="B595" s="33" t="s">
        <v>741</v>
      </c>
      <c r="C595" s="33" t="s">
        <v>720</v>
      </c>
      <c r="D595" s="33" t="s">
        <v>742</v>
      </c>
      <c r="E595" s="33" t="s">
        <v>711</v>
      </c>
      <c r="F595" s="34" t="s">
        <v>127</v>
      </c>
      <c r="G595" s="40"/>
      <c r="H595" s="40"/>
      <c r="I595" s="114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737</v>
      </c>
      <c r="F596" s="34" t="s">
        <v>673</v>
      </c>
      <c r="G596" s="40"/>
      <c r="H596" s="40" t="s">
        <v>378</v>
      </c>
      <c r="I596" s="35" t="s">
        <v>743</v>
      </c>
      <c r="J596" s="27"/>
    </row>
    <row r="597" spans="1:10" ht="24.9" hidden="1" customHeight="1" x14ac:dyDescent="0.3">
      <c r="A597" s="32" t="s">
        <v>718</v>
      </c>
      <c r="B597" s="33" t="s">
        <v>733</v>
      </c>
      <c r="C597" s="33" t="s">
        <v>729</v>
      </c>
      <c r="D597" s="33" t="s">
        <v>734</v>
      </c>
      <c r="E597" s="33" t="s">
        <v>731</v>
      </c>
      <c r="F597" s="34" t="s">
        <v>673</v>
      </c>
      <c r="G597" s="40"/>
      <c r="H597" s="40" t="s">
        <v>378</v>
      </c>
      <c r="I597" s="35" t="s">
        <v>732</v>
      </c>
      <c r="J597" s="27"/>
    </row>
    <row r="598" spans="1:10" ht="24.9" customHeight="1" x14ac:dyDescent="0.3">
      <c r="A598" s="32" t="s">
        <v>718</v>
      </c>
      <c r="B598" s="33" t="s">
        <v>733</v>
      </c>
      <c r="C598" s="33" t="s">
        <v>729</v>
      </c>
      <c r="D598" s="33" t="s">
        <v>734</v>
      </c>
      <c r="E598" s="33" t="s">
        <v>711</v>
      </c>
      <c r="F598" s="34" t="s">
        <v>127</v>
      </c>
      <c r="G598" s="40"/>
      <c r="H598" s="40"/>
      <c r="I598" s="114"/>
      <c r="J598" s="27"/>
    </row>
    <row r="599" spans="1:10" ht="24.9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746</v>
      </c>
      <c r="F599" s="34" t="s">
        <v>127</v>
      </c>
      <c r="G599" s="40"/>
      <c r="H599" s="40"/>
      <c r="I599" s="114"/>
      <c r="J599" s="27"/>
    </row>
    <row r="600" spans="1:10" ht="24.9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130</v>
      </c>
      <c r="F600" s="34" t="s">
        <v>167</v>
      </c>
      <c r="G600" s="40"/>
      <c r="H600" s="40"/>
      <c r="I600" s="114"/>
      <c r="J600" s="27"/>
    </row>
    <row r="601" spans="1:10" ht="24.9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798</v>
      </c>
      <c r="F601" s="34" t="s">
        <v>167</v>
      </c>
      <c r="G601" s="40"/>
      <c r="H601" s="40"/>
      <c r="I601" s="114"/>
      <c r="J601" s="27"/>
    </row>
    <row r="602" spans="1:10" ht="24.9" customHeight="1" x14ac:dyDescent="0.3">
      <c r="A602" s="32" t="s">
        <v>718</v>
      </c>
      <c r="B602" s="33" t="s">
        <v>744</v>
      </c>
      <c r="C602" s="33" t="s">
        <v>720</v>
      </c>
      <c r="D602" s="33" t="s">
        <v>745</v>
      </c>
      <c r="E602" s="33" t="s">
        <v>130</v>
      </c>
      <c r="F602" s="34" t="s">
        <v>127</v>
      </c>
      <c r="G602" s="40"/>
      <c r="H602" s="40"/>
      <c r="I602" s="114"/>
      <c r="J602" s="27"/>
    </row>
    <row r="603" spans="1:10" ht="24.9" customHeight="1" x14ac:dyDescent="0.3">
      <c r="A603" s="32" t="s">
        <v>718</v>
      </c>
      <c r="B603" s="33" t="s">
        <v>744</v>
      </c>
      <c r="C603" s="33" t="s">
        <v>720</v>
      </c>
      <c r="D603" s="33" t="s">
        <v>745</v>
      </c>
      <c r="E603" s="33" t="s">
        <v>711</v>
      </c>
      <c r="F603" s="34" t="s">
        <v>127</v>
      </c>
      <c r="G603" s="40"/>
      <c r="H603" s="40"/>
      <c r="I603" s="114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737</v>
      </c>
      <c r="F604" s="34" t="s">
        <v>673</v>
      </c>
      <c r="G604" s="40"/>
      <c r="H604" s="40" t="s">
        <v>378</v>
      </c>
      <c r="I604" s="35" t="s">
        <v>743</v>
      </c>
      <c r="J604" s="27"/>
    </row>
    <row r="605" spans="1:10" ht="24.9" customHeight="1" x14ac:dyDescent="0.3">
      <c r="A605" s="32" t="s">
        <v>718</v>
      </c>
      <c r="B605" s="33" t="s">
        <v>749</v>
      </c>
      <c r="C605" s="33" t="s">
        <v>720</v>
      </c>
      <c r="D605" s="33" t="s">
        <v>750</v>
      </c>
      <c r="E605" s="33" t="s">
        <v>751</v>
      </c>
      <c r="F605" s="34" t="s">
        <v>127</v>
      </c>
      <c r="G605" s="40"/>
      <c r="H605" s="40"/>
      <c r="I605" s="114"/>
      <c r="J605" s="27"/>
    </row>
    <row r="606" spans="1:10" ht="24.9" customHeight="1" x14ac:dyDescent="0.3">
      <c r="A606" s="32" t="s">
        <v>718</v>
      </c>
      <c r="B606" s="33" t="s">
        <v>749</v>
      </c>
      <c r="C606" s="33" t="s">
        <v>720</v>
      </c>
      <c r="D606" s="33" t="s">
        <v>750</v>
      </c>
      <c r="E606" s="33" t="s">
        <v>752</v>
      </c>
      <c r="F606" s="34" t="s">
        <v>127</v>
      </c>
      <c r="G606" s="40"/>
      <c r="H606" s="40"/>
      <c r="I606" s="114"/>
      <c r="J606" s="27"/>
    </row>
    <row r="607" spans="1:10" ht="24.9" customHeight="1" x14ac:dyDescent="0.3">
      <c r="A607" s="32" t="s">
        <v>718</v>
      </c>
      <c r="B607" s="33" t="s">
        <v>753</v>
      </c>
      <c r="C607" s="33" t="s">
        <v>725</v>
      </c>
      <c r="D607" s="33" t="s">
        <v>754</v>
      </c>
      <c r="E607" s="33" t="s">
        <v>756</v>
      </c>
      <c r="F607" s="34" t="s">
        <v>127</v>
      </c>
      <c r="G607" s="40"/>
      <c r="H607" s="40"/>
      <c r="I607" s="114"/>
      <c r="J607" s="27"/>
    </row>
    <row r="608" spans="1:10" ht="24.9" customHeight="1" x14ac:dyDescent="0.3">
      <c r="A608" s="32" t="s">
        <v>718</v>
      </c>
      <c r="B608" s="33" t="s">
        <v>753</v>
      </c>
      <c r="C608" s="33" t="s">
        <v>725</v>
      </c>
      <c r="D608" s="33" t="s">
        <v>754</v>
      </c>
      <c r="E608" s="33" t="s">
        <v>755</v>
      </c>
      <c r="F608" s="34" t="s">
        <v>167</v>
      </c>
      <c r="G608" s="40"/>
      <c r="H608" s="40"/>
      <c r="I608" s="114"/>
      <c r="J608" s="27"/>
    </row>
    <row r="609" spans="1:10" ht="15.75" hidden="1" customHeight="1" x14ac:dyDescent="0.3">
      <c r="A609" s="32"/>
      <c r="B609" s="33"/>
      <c r="C609" s="33"/>
      <c r="D609" s="33"/>
      <c r="E609" s="33"/>
      <c r="F609" s="34"/>
      <c r="G609" s="40"/>
      <c r="H609" s="40"/>
      <c r="I609" s="35"/>
      <c r="J609" s="27"/>
    </row>
  </sheetData>
  <autoFilter ref="A4:GF609" xr:uid="{00000000-0001-0000-0000-000000000000}">
    <filterColumn colId="5">
      <filters>
        <filter val="ABR, AGO, DEZ"/>
        <filter val="AGO"/>
        <filter val="AGO, DEZ"/>
        <filter val="JAN, FEV, MAR, ABR, MAI, JUN, JUL, AGO, SET, OUT, NOV, DEZ"/>
      </filters>
    </filterColumn>
    <sortState xmlns:xlrd2="http://schemas.microsoft.com/office/spreadsheetml/2017/richdata2" ref="A6:GF94">
      <sortCondition ref="A4:A609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B51B-043F-4420-80AB-C248DFE69668}">
  <sheetPr filterMode="1">
    <pageSetUpPr fitToPage="1"/>
  </sheetPr>
  <dimension ref="A1:GF611"/>
  <sheetViews>
    <sheetView showGridLines="0" zoomScale="90" zoomScaleNormal="90" workbookViewId="0">
      <pane xSplit="6" ySplit="4" topLeftCell="G563" activePane="bottomRight" state="frozen"/>
      <selection pane="topRight" activeCell="I1" sqref="I1"/>
      <selection pane="bottomLeft" activeCell="A4" sqref="A4"/>
      <selection pane="bottomRight" activeCell="I1" sqref="A1:J606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10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  <filter val="MAR, JUN, SET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0CB1-E5C2-4194-AD71-DBBF1A27DFC0}">
  <sheetPr filterMode="1">
    <pageSetUpPr fitToPage="1"/>
  </sheetPr>
  <dimension ref="A1:GF611"/>
  <sheetViews>
    <sheetView showGridLines="0" zoomScale="90" zoomScaleNormal="90" workbookViewId="0">
      <pane xSplit="6" ySplit="4" topLeftCell="G77" activePane="bottomRight" state="frozen"/>
      <selection pane="topRight" activeCell="I1" sqref="I1"/>
      <selection pane="bottomLeft" activeCell="A4" sqref="A4"/>
      <selection pane="bottomRight" activeCell="I1" sqref="A1:J94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11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hidden="1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hidden="1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hidden="1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hidden="1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hidden="1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hidden="1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hidden="1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hidden="1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hidden="1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hidden="1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hidden="1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hidden="1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hidden="1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hidden="1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hidden="1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hidden="1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hidden="1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hidden="1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hidden="1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4DA8-253B-4BF4-A608-F531CB0E57D1}">
  <sheetPr filterMode="1">
    <pageSetUpPr fitToPage="1"/>
  </sheetPr>
  <dimension ref="A1:GF611"/>
  <sheetViews>
    <sheetView showGridLines="0" zoomScale="90" zoomScaleNormal="90" workbookViewId="0">
      <pane xSplit="6" ySplit="4" topLeftCell="G77" activePane="bottomRight" state="frozen"/>
      <selection pane="topRight" activeCell="I1" sqref="I1"/>
      <selection pane="bottomLeft" activeCell="A4" sqref="A4"/>
      <selection pane="bottomRight" activeCell="I1" sqref="A1:J94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12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30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35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35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35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35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35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35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35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35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35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35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35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35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35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35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35"/>
      <c r="J26" s="27"/>
    </row>
    <row r="27" spans="1:10" ht="24.9" hidden="1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35"/>
      <c r="J27" s="27"/>
    </row>
    <row r="28" spans="1:10" ht="24.9" hidden="1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35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35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35"/>
      <c r="J30" s="27"/>
    </row>
    <row r="31" spans="1:10" ht="24.9" hidden="1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35"/>
      <c r="J31" s="27"/>
    </row>
    <row r="32" spans="1:10" ht="24.9" hidden="1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35"/>
      <c r="J32" s="27"/>
    </row>
    <row r="33" spans="1:10" ht="24.9" hidden="1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35"/>
      <c r="J33" s="27"/>
    </row>
    <row r="34" spans="1:10" ht="24.9" hidden="1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35"/>
      <c r="J34" s="27"/>
    </row>
    <row r="35" spans="1:10" ht="24.9" hidden="1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35"/>
      <c r="J35" s="27"/>
    </row>
    <row r="36" spans="1:10" ht="24.9" hidden="1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35"/>
      <c r="J36" s="27"/>
    </row>
    <row r="37" spans="1:10" ht="24.9" hidden="1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35"/>
      <c r="J37" s="27"/>
    </row>
    <row r="38" spans="1:10" ht="24.9" hidden="1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35"/>
      <c r="J38" s="27"/>
    </row>
    <row r="39" spans="1:10" ht="24.9" hidden="1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35" t="s">
        <v>14</v>
      </c>
      <c r="J39" s="27"/>
    </row>
    <row r="40" spans="1:10" ht="24.9" hidden="1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35"/>
      <c r="J40" s="27"/>
    </row>
    <row r="41" spans="1:10" ht="24.9" hidden="1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35"/>
      <c r="J41" s="27"/>
    </row>
    <row r="42" spans="1:10" ht="24.9" hidden="1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35"/>
      <c r="J42" s="27"/>
    </row>
    <row r="43" spans="1:10" ht="24.9" hidden="1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35"/>
      <c r="J43" s="27"/>
    </row>
    <row r="44" spans="1:10" ht="24.9" hidden="1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35"/>
      <c r="J44" s="27"/>
    </row>
    <row r="45" spans="1:10" ht="24.9" hidden="1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35"/>
      <c r="J45" s="27"/>
    </row>
    <row r="46" spans="1:10" ht="24.9" hidden="1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35"/>
      <c r="J46" s="27"/>
    </row>
    <row r="47" spans="1:10" ht="24.9" hidden="1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35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35"/>
      <c r="J48" s="27"/>
    </row>
    <row r="49" spans="1:10" ht="24.9" hidden="1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35" t="s">
        <v>226</v>
      </c>
      <c r="J49" s="27"/>
    </row>
    <row r="50" spans="1:10" ht="24.9" hidden="1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35" t="s">
        <v>205</v>
      </c>
      <c r="J50" s="27"/>
    </row>
    <row r="51" spans="1:10" ht="24.9" hidden="1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35" t="s">
        <v>205</v>
      </c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hidden="1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35" t="s">
        <v>205</v>
      </c>
      <c r="J53" s="27"/>
    </row>
    <row r="54" spans="1:10" ht="24.9" hidden="1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35" t="s">
        <v>205</v>
      </c>
      <c r="J54" s="27"/>
    </row>
    <row r="55" spans="1:10" ht="24.9" hidden="1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35" t="s">
        <v>205</v>
      </c>
      <c r="J55" s="27"/>
    </row>
    <row r="56" spans="1:10" ht="24.9" hidden="1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35"/>
      <c r="J56" s="27"/>
    </row>
    <row r="57" spans="1:10" ht="24.9" hidden="1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35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35"/>
      <c r="J58" s="27"/>
    </row>
    <row r="59" spans="1:10" ht="24.9" hidden="1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35" t="s">
        <v>226</v>
      </c>
      <c r="J59" s="27"/>
    </row>
    <row r="60" spans="1:10" ht="24.9" hidden="1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35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35"/>
      <c r="J61" s="27"/>
    </row>
    <row r="62" spans="1:10" ht="24.9" hidden="1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35"/>
      <c r="J62" s="27"/>
    </row>
    <row r="63" spans="1:10" ht="24.9" hidden="1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35"/>
      <c r="J63" s="27"/>
    </row>
    <row r="64" spans="1:10" ht="24.9" hidden="1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35"/>
      <c r="J64" s="27"/>
    </row>
    <row r="65" spans="1:10" ht="24.9" hidden="1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35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35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35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35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35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35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35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35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hidden="1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35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35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35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35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35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35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35" t="s">
        <v>244</v>
      </c>
      <c r="J87" s="27"/>
    </row>
    <row r="88" spans="1:10" ht="24.9" hidden="1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35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35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35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35"/>
      <c r="J98" s="27"/>
    </row>
    <row r="99" spans="1:10" ht="24.9" hidden="1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35"/>
      <c r="J99" s="27"/>
    </row>
    <row r="100" spans="1:10" ht="24.9" hidden="1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35"/>
      <c r="J100" s="27"/>
    </row>
    <row r="101" spans="1:10" ht="24.9" hidden="1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35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35"/>
      <c r="J102" s="27"/>
    </row>
    <row r="103" spans="1:10" ht="24.9" hidden="1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35"/>
      <c r="J103" s="27"/>
    </row>
    <row r="104" spans="1:10" ht="24.9" hidden="1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35"/>
      <c r="J104" s="27"/>
    </row>
    <row r="105" spans="1:10" ht="24.9" hidden="1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35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35"/>
      <c r="J106" s="27"/>
    </row>
    <row r="107" spans="1:10" ht="24.9" hidden="1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35"/>
      <c r="J107" s="27"/>
    </row>
    <row r="108" spans="1:10" ht="24.9" hidden="1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35"/>
      <c r="J108" s="27"/>
    </row>
    <row r="109" spans="1:10" ht="24.9" hidden="1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35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34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91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72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99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99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hidden="1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71" t="s">
        <v>301</v>
      </c>
      <c r="J119" s="68"/>
    </row>
    <row r="120" spans="1:188" ht="24.9" hidden="1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71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hidden="1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35"/>
      <c r="J122" s="27"/>
    </row>
    <row r="123" spans="1:188" ht="24.9" hidden="1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35" t="s">
        <v>301</v>
      </c>
      <c r="J123" s="27"/>
    </row>
    <row r="124" spans="1:188" ht="24.9" hidden="1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35" t="s">
        <v>301</v>
      </c>
      <c r="J124" s="27"/>
    </row>
    <row r="125" spans="1:188" ht="24.9" hidden="1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35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hidden="1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35"/>
      <c r="J127" s="27"/>
    </row>
    <row r="128" spans="1:188" ht="24.9" hidden="1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35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35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35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35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35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35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35"/>
      <c r="J137" s="27"/>
    </row>
    <row r="138" spans="1:10" ht="24.9" hidden="1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35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35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35"/>
      <c r="J140" s="27"/>
    </row>
    <row r="141" spans="1:10" ht="24.9" hidden="1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35"/>
      <c r="J141" s="27"/>
    </row>
    <row r="142" spans="1:10" ht="24.9" hidden="1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35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35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35"/>
      <c r="J144" s="27"/>
    </row>
    <row r="145" spans="1:10" ht="24.9" hidden="1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35"/>
      <c r="J145" s="27"/>
    </row>
    <row r="146" spans="1:10" ht="24.9" hidden="1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35"/>
      <c r="J146" s="27"/>
    </row>
    <row r="147" spans="1:10" ht="24.9" hidden="1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35"/>
      <c r="J147" s="27"/>
    </row>
    <row r="148" spans="1:10" ht="24.9" hidden="1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35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35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35"/>
      <c r="J150" s="27"/>
    </row>
    <row r="151" spans="1:10" ht="24.9" hidden="1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35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35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35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35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35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35"/>
      <c r="J156" s="27"/>
    </row>
    <row r="157" spans="1:10" ht="24.9" hidden="1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35" t="s">
        <v>205</v>
      </c>
      <c r="J157" s="27"/>
    </row>
    <row r="158" spans="1:10" ht="24.9" hidden="1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35"/>
      <c r="J158" s="27"/>
    </row>
    <row r="159" spans="1:10" ht="24.9" hidden="1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35"/>
      <c r="J159" s="27"/>
    </row>
    <row r="160" spans="1:10" ht="24.9" hidden="1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35"/>
      <c r="J160" s="27"/>
    </row>
    <row r="161" spans="1:10" ht="24.9" hidden="1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35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hidden="1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35" t="s">
        <v>374</v>
      </c>
      <c r="J163" s="27"/>
    </row>
    <row r="164" spans="1:10" ht="24.9" hidden="1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35" t="s">
        <v>377</v>
      </c>
      <c r="J164" s="27"/>
    </row>
    <row r="165" spans="1:10" ht="24.9" hidden="1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35"/>
      <c r="J165" s="27"/>
    </row>
    <row r="166" spans="1:10" ht="24.9" hidden="1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35"/>
      <c r="J166" s="27"/>
    </row>
    <row r="167" spans="1:10" ht="24.9" hidden="1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35"/>
      <c r="J167" s="27"/>
    </row>
    <row r="168" spans="1:10" ht="24.9" hidden="1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35"/>
      <c r="J168" s="27"/>
    </row>
    <row r="169" spans="1:10" ht="24.9" hidden="1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35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35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35"/>
      <c r="J171" s="27"/>
    </row>
    <row r="172" spans="1:10" ht="24.9" hidden="1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35" t="s">
        <v>205</v>
      </c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hidden="1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35"/>
      <c r="J174" s="27"/>
    </row>
    <row r="175" spans="1:10" ht="24.9" hidden="1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35"/>
      <c r="J175" s="27"/>
    </row>
    <row r="176" spans="1:10" ht="24.9" hidden="1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35"/>
      <c r="J176" s="27"/>
    </row>
    <row r="177" spans="1:10" ht="24.9" hidden="1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35"/>
      <c r="J177" s="27"/>
    </row>
    <row r="178" spans="1:10" ht="24.9" hidden="1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35"/>
      <c r="J178" s="27"/>
    </row>
    <row r="179" spans="1:10" ht="24.9" hidden="1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35"/>
      <c r="J179" s="27"/>
    </row>
    <row r="180" spans="1:10" ht="24.9" hidden="1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35"/>
      <c r="J180" s="27"/>
    </row>
    <row r="181" spans="1:10" ht="24.9" hidden="1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35"/>
      <c r="J181" s="27"/>
    </row>
    <row r="182" spans="1:10" ht="24.9" hidden="1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35"/>
      <c r="J182" s="27"/>
    </row>
    <row r="183" spans="1:10" ht="24.9" hidden="1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35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35"/>
      <c r="J208" s="27"/>
    </row>
    <row r="209" spans="1:10" ht="24.9" hidden="1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35"/>
      <c r="J209" s="27"/>
    </row>
    <row r="210" spans="1:10" ht="24.9" hidden="1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35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hidden="1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35"/>
      <c r="J212" s="27"/>
    </row>
    <row r="213" spans="1:10" ht="24.9" hidden="1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35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35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35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hidden="1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35"/>
      <c r="J229" s="27"/>
    </row>
    <row r="230" spans="1:10" ht="24.9" hidden="1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35"/>
      <c r="J230" s="27"/>
    </row>
    <row r="231" spans="1:10" ht="24.9" hidden="1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35"/>
      <c r="J231" s="27"/>
    </row>
    <row r="232" spans="1:10" ht="24.9" hidden="1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35"/>
      <c r="J232" s="27"/>
    </row>
    <row r="233" spans="1:10" ht="24.9" hidden="1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35"/>
      <c r="J233" s="27"/>
    </row>
    <row r="234" spans="1:10" ht="24.9" hidden="1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35"/>
      <c r="J234" s="27"/>
    </row>
    <row r="235" spans="1:10" ht="24.9" hidden="1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35"/>
      <c r="J235" s="27"/>
    </row>
    <row r="236" spans="1:10" ht="24.9" hidden="1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35"/>
      <c r="J236" s="27"/>
    </row>
    <row r="237" spans="1:10" ht="24.9" hidden="1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35"/>
      <c r="J237" s="27"/>
    </row>
    <row r="238" spans="1:10" ht="24.9" hidden="1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35"/>
      <c r="J238" s="27"/>
    </row>
    <row r="239" spans="1:10" ht="24.9" hidden="1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35"/>
      <c r="J239" s="27"/>
    </row>
    <row r="240" spans="1:10" ht="24.9" hidden="1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35"/>
      <c r="J240" s="27"/>
    </row>
    <row r="241" spans="1:10" ht="24.9" hidden="1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35"/>
      <c r="J241" s="27"/>
    </row>
    <row r="242" spans="1:10" ht="24.9" hidden="1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35"/>
      <c r="J242" s="27"/>
    </row>
    <row r="243" spans="1:10" ht="24.9" hidden="1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35"/>
      <c r="J243" s="27"/>
    </row>
    <row r="244" spans="1:10" ht="24.9" hidden="1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35"/>
      <c r="J244" s="27"/>
    </row>
    <row r="245" spans="1:10" ht="24.9" hidden="1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35"/>
      <c r="J245" s="27"/>
    </row>
    <row r="246" spans="1:10" ht="24.9" hidden="1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35"/>
      <c r="J246" s="27"/>
    </row>
    <row r="247" spans="1:10" ht="24.9" hidden="1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35"/>
      <c r="J247" s="27"/>
    </row>
    <row r="248" spans="1:10" ht="24.9" hidden="1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35"/>
      <c r="J248" s="27"/>
    </row>
    <row r="249" spans="1:10" ht="24.9" hidden="1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35"/>
      <c r="J249" s="27"/>
    </row>
    <row r="250" spans="1:10" ht="24.9" hidden="1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35"/>
      <c r="J250" s="27"/>
    </row>
    <row r="251" spans="1:10" ht="24.9" hidden="1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35"/>
      <c r="J251" s="27"/>
    </row>
    <row r="252" spans="1:10" ht="24.9" hidden="1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35"/>
      <c r="J252" s="27"/>
    </row>
    <row r="253" spans="1:10" ht="24.9" hidden="1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35"/>
      <c r="J253" s="27"/>
    </row>
    <row r="254" spans="1:10" ht="24.9" hidden="1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35"/>
      <c r="J254" s="27"/>
    </row>
    <row r="255" spans="1:10" ht="24.9" hidden="1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35"/>
      <c r="J255" s="27"/>
    </row>
    <row r="256" spans="1:10" ht="24.9" hidden="1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35"/>
      <c r="J256" s="27"/>
    </row>
    <row r="257" spans="1:10" ht="24.9" hidden="1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35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hidden="1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35"/>
      <c r="J259" s="27"/>
    </row>
    <row r="260" spans="1:10" ht="24.9" hidden="1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35"/>
      <c r="J260" s="27"/>
    </row>
    <row r="261" spans="1:10" ht="24.9" hidden="1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35" t="s">
        <v>205</v>
      </c>
      <c r="J261" s="27"/>
    </row>
    <row r="262" spans="1:10" ht="24.9" hidden="1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35"/>
      <c r="J262" s="27"/>
    </row>
    <row r="263" spans="1:10" ht="24.9" hidden="1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35" t="s">
        <v>786</v>
      </c>
      <c r="J263" s="27"/>
    </row>
    <row r="264" spans="1:10" ht="24.9" hidden="1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35"/>
      <c r="J264" s="27"/>
    </row>
    <row r="265" spans="1:10" ht="24.9" hidden="1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35" t="s">
        <v>786</v>
      </c>
      <c r="J265" s="27"/>
    </row>
    <row r="266" spans="1:10" ht="24.9" hidden="1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35" t="s">
        <v>205</v>
      </c>
      <c r="J266" s="27"/>
    </row>
    <row r="267" spans="1:10" ht="24.9" hidden="1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35"/>
      <c r="J267" s="27"/>
    </row>
    <row r="268" spans="1:10" ht="24.9" hidden="1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35"/>
      <c r="J268" s="27"/>
    </row>
    <row r="269" spans="1:10" ht="24.9" hidden="1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35" t="s">
        <v>545</v>
      </c>
      <c r="J269" s="27"/>
    </row>
    <row r="270" spans="1:10" ht="24.9" hidden="1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35"/>
      <c r="J270" s="27"/>
    </row>
    <row r="271" spans="1:10" ht="24.9" hidden="1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35"/>
      <c r="J271" s="27"/>
    </row>
    <row r="272" spans="1:10" ht="24.9" hidden="1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35" t="s">
        <v>786</v>
      </c>
      <c r="J272" s="27"/>
    </row>
    <row r="273" spans="1:10" ht="24.9" hidden="1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35"/>
      <c r="J273" s="27"/>
    </row>
    <row r="274" spans="1:10" ht="24.9" hidden="1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35"/>
      <c r="J274" s="27"/>
    </row>
    <row r="275" spans="1:10" ht="24.9" hidden="1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35" t="s">
        <v>786</v>
      </c>
      <c r="J275" s="27"/>
    </row>
    <row r="276" spans="1:10" ht="24.9" hidden="1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35"/>
      <c r="J276" s="27"/>
    </row>
    <row r="277" spans="1:10" ht="24.9" hidden="1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35" t="s">
        <v>234</v>
      </c>
      <c r="J277" s="27"/>
    </row>
    <row r="278" spans="1:10" ht="24.9" hidden="1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35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hidden="1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35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35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35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35" t="s">
        <v>589</v>
      </c>
      <c r="J284" s="27"/>
    </row>
    <row r="285" spans="1:10" ht="24.9" hidden="1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35" t="s">
        <v>579</v>
      </c>
      <c r="J285" s="27"/>
    </row>
    <row r="286" spans="1:10" ht="24.9" hidden="1" customHeight="1" x14ac:dyDescent="0.3">
      <c r="A286" s="32" t="s">
        <v>546</v>
      </c>
      <c r="B286" s="33" t="s">
        <v>584</v>
      </c>
      <c r="C286" s="33" t="s">
        <v>551</v>
      </c>
      <c r="D286" s="33" t="s">
        <v>585</v>
      </c>
      <c r="E286" s="43" t="s">
        <v>590</v>
      </c>
      <c r="F286" s="34" t="s">
        <v>127</v>
      </c>
      <c r="G286" s="40"/>
      <c r="H286" s="48"/>
      <c r="I286" s="35" t="s">
        <v>579</v>
      </c>
      <c r="J286" s="27"/>
    </row>
    <row r="287" spans="1:10" ht="24.9" hidden="1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225</v>
      </c>
      <c r="F287" s="34" t="s">
        <v>673</v>
      </c>
      <c r="G287" s="40"/>
      <c r="H287" s="51" t="s">
        <v>850</v>
      </c>
      <c r="I287" s="35" t="s">
        <v>234</v>
      </c>
      <c r="J287" s="27"/>
    </row>
    <row r="288" spans="1:10" ht="24.9" hidden="1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577</v>
      </c>
      <c r="F288" s="34" t="s">
        <v>167</v>
      </c>
      <c r="G288" s="40"/>
      <c r="H288" s="48"/>
      <c r="I288" s="35"/>
      <c r="J288" s="27"/>
    </row>
    <row r="289" spans="1:10" ht="24.9" hidden="1" customHeight="1" x14ac:dyDescent="0.3">
      <c r="A289" s="32" t="s">
        <v>546</v>
      </c>
      <c r="B289" s="33" t="s">
        <v>550</v>
      </c>
      <c r="C289" s="33" t="s">
        <v>551</v>
      </c>
      <c r="D289" s="33" t="s">
        <v>552</v>
      </c>
      <c r="E289" s="33" t="s">
        <v>578</v>
      </c>
      <c r="F289" s="34" t="s">
        <v>127</v>
      </c>
      <c r="G289" s="40"/>
      <c r="H289" s="48"/>
      <c r="I289" s="35" t="s">
        <v>579</v>
      </c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586</v>
      </c>
      <c r="F290" s="34" t="s">
        <v>99</v>
      </c>
      <c r="G290" s="40"/>
      <c r="H290" s="48"/>
      <c r="I290" s="35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788</v>
      </c>
      <c r="F291" s="34" t="s">
        <v>99</v>
      </c>
      <c r="G291" s="40"/>
      <c r="H291" s="48"/>
      <c r="I291" s="35"/>
      <c r="J291" s="27"/>
    </row>
    <row r="292" spans="1:10" ht="24.9" hidden="1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588</v>
      </c>
      <c r="F292" s="34" t="s">
        <v>99</v>
      </c>
      <c r="G292" s="40"/>
      <c r="H292" s="48"/>
      <c r="I292" s="35" t="s">
        <v>589</v>
      </c>
      <c r="J292" s="27"/>
    </row>
    <row r="293" spans="1:10" ht="24.9" hidden="1" customHeight="1" x14ac:dyDescent="0.3">
      <c r="A293" s="32" t="s">
        <v>546</v>
      </c>
      <c r="B293" s="33" t="s">
        <v>591</v>
      </c>
      <c r="C293" s="33" t="s">
        <v>554</v>
      </c>
      <c r="D293" s="33" t="s">
        <v>585</v>
      </c>
      <c r="E293" s="33" t="s">
        <v>587</v>
      </c>
      <c r="F293" s="34" t="s">
        <v>127</v>
      </c>
      <c r="G293" s="40"/>
      <c r="H293" s="48"/>
      <c r="I293" s="35" t="s">
        <v>579</v>
      </c>
      <c r="J293" s="27"/>
    </row>
    <row r="294" spans="1:10" ht="24.9" hidden="1" customHeight="1" x14ac:dyDescent="0.3">
      <c r="A294" s="32" t="s">
        <v>546</v>
      </c>
      <c r="B294" s="33" t="s">
        <v>591</v>
      </c>
      <c r="C294" s="33" t="s">
        <v>554</v>
      </c>
      <c r="D294" s="33" t="s">
        <v>585</v>
      </c>
      <c r="E294" s="43" t="s">
        <v>590</v>
      </c>
      <c r="F294" s="34" t="s">
        <v>127</v>
      </c>
      <c r="G294" s="40"/>
      <c r="H294" s="48"/>
      <c r="I294" s="35" t="s">
        <v>579</v>
      </c>
      <c r="J294" s="27"/>
    </row>
    <row r="295" spans="1:10" ht="24.9" hidden="1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225</v>
      </c>
      <c r="F295" s="34" t="s">
        <v>673</v>
      </c>
      <c r="G295" s="40"/>
      <c r="H295" s="51" t="s">
        <v>850</v>
      </c>
      <c r="I295" s="35" t="s">
        <v>234</v>
      </c>
      <c r="J295" s="27"/>
    </row>
    <row r="296" spans="1:10" ht="24.9" hidden="1" customHeight="1" x14ac:dyDescent="0.3">
      <c r="A296" s="32" t="s">
        <v>546</v>
      </c>
      <c r="B296" s="33" t="s">
        <v>553</v>
      </c>
      <c r="C296" s="33" t="s">
        <v>554</v>
      </c>
      <c r="D296" s="33" t="s">
        <v>552</v>
      </c>
      <c r="E296" s="33" t="s">
        <v>577</v>
      </c>
      <c r="F296" s="34" t="s">
        <v>167</v>
      </c>
      <c r="G296" s="40"/>
      <c r="H296" s="53"/>
      <c r="I296" s="35"/>
      <c r="J296" s="27"/>
    </row>
    <row r="297" spans="1:10" ht="24.9" hidden="1" customHeight="1" x14ac:dyDescent="0.3">
      <c r="A297" s="32" t="s">
        <v>546</v>
      </c>
      <c r="B297" s="33" t="s">
        <v>553</v>
      </c>
      <c r="C297" s="33" t="s">
        <v>554</v>
      </c>
      <c r="D297" s="33" t="s">
        <v>552</v>
      </c>
      <c r="E297" s="33" t="s">
        <v>578</v>
      </c>
      <c r="F297" s="34" t="s">
        <v>127</v>
      </c>
      <c r="G297" s="40"/>
      <c r="H297" s="48"/>
      <c r="I297" s="35" t="s">
        <v>579</v>
      </c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586</v>
      </c>
      <c r="F298" s="34" t="s">
        <v>99</v>
      </c>
      <c r="G298" s="40"/>
      <c r="H298" s="48"/>
      <c r="I298" s="35"/>
      <c r="J298" s="27"/>
    </row>
    <row r="299" spans="1:10" ht="24.9" hidden="1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788</v>
      </c>
      <c r="F299" s="34" t="s">
        <v>99</v>
      </c>
      <c r="G299" s="40"/>
      <c r="H299" s="48"/>
      <c r="I299" s="35"/>
      <c r="J299" s="27"/>
    </row>
    <row r="300" spans="1:10" ht="24.9" hidden="1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588</v>
      </c>
      <c r="F300" s="34" t="s">
        <v>99</v>
      </c>
      <c r="G300" s="40"/>
      <c r="H300" s="53"/>
      <c r="I300" s="35" t="s">
        <v>589</v>
      </c>
      <c r="J300" s="27"/>
    </row>
    <row r="301" spans="1:10" ht="24.9" hidden="1" customHeight="1" x14ac:dyDescent="0.3">
      <c r="A301" s="32" t="s">
        <v>546</v>
      </c>
      <c r="B301" s="33" t="s">
        <v>592</v>
      </c>
      <c r="C301" s="33" t="s">
        <v>556</v>
      </c>
      <c r="D301" s="33" t="s">
        <v>585</v>
      </c>
      <c r="E301" s="33" t="s">
        <v>587</v>
      </c>
      <c r="F301" s="34" t="s">
        <v>127</v>
      </c>
      <c r="G301" s="40"/>
      <c r="H301" s="53"/>
      <c r="I301" s="35" t="s">
        <v>579</v>
      </c>
      <c r="J301" s="27"/>
    </row>
    <row r="302" spans="1:10" ht="24.9" hidden="1" customHeight="1" x14ac:dyDescent="0.3">
      <c r="A302" s="32" t="s">
        <v>546</v>
      </c>
      <c r="B302" s="33" t="s">
        <v>592</v>
      </c>
      <c r="C302" s="33" t="s">
        <v>556</v>
      </c>
      <c r="D302" s="33" t="s">
        <v>585</v>
      </c>
      <c r="E302" s="33" t="s">
        <v>590</v>
      </c>
      <c r="F302" s="34" t="s">
        <v>127</v>
      </c>
      <c r="G302" s="40"/>
      <c r="H302" s="48"/>
      <c r="I302" s="35" t="s">
        <v>579</v>
      </c>
      <c r="J302" s="27"/>
    </row>
    <row r="303" spans="1:10" ht="24.9" hidden="1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225</v>
      </c>
      <c r="F303" s="34" t="s">
        <v>673</v>
      </c>
      <c r="G303" s="40"/>
      <c r="H303" s="51" t="s">
        <v>850</v>
      </c>
      <c r="I303" s="35" t="s">
        <v>234</v>
      </c>
      <c r="J303" s="27"/>
    </row>
    <row r="304" spans="1:10" ht="24.9" hidden="1" customHeight="1" x14ac:dyDescent="0.3">
      <c r="A304" s="32" t="s">
        <v>546</v>
      </c>
      <c r="B304" s="33" t="s">
        <v>555</v>
      </c>
      <c r="C304" s="33" t="s">
        <v>556</v>
      </c>
      <c r="D304" s="33" t="s">
        <v>552</v>
      </c>
      <c r="E304" s="33" t="s">
        <v>577</v>
      </c>
      <c r="F304" s="34" t="s">
        <v>167</v>
      </c>
      <c r="G304" s="40"/>
      <c r="H304" s="53"/>
      <c r="I304" s="35"/>
      <c r="J304" s="27"/>
    </row>
    <row r="305" spans="1:10" ht="24.9" hidden="1" customHeight="1" x14ac:dyDescent="0.3">
      <c r="A305" s="32" t="s">
        <v>546</v>
      </c>
      <c r="B305" s="33" t="s">
        <v>555</v>
      </c>
      <c r="C305" s="33" t="s">
        <v>556</v>
      </c>
      <c r="D305" s="33" t="s">
        <v>552</v>
      </c>
      <c r="E305" s="33" t="s">
        <v>578</v>
      </c>
      <c r="F305" s="34" t="s">
        <v>127</v>
      </c>
      <c r="G305" s="40"/>
      <c r="H305" s="53"/>
      <c r="I305" s="35" t="s">
        <v>579</v>
      </c>
      <c r="J305" s="27"/>
    </row>
    <row r="306" spans="1:10" ht="24.9" hidden="1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764</v>
      </c>
      <c r="F306" s="34" t="s">
        <v>167</v>
      </c>
      <c r="G306" s="40"/>
      <c r="H306" s="48"/>
      <c r="I306" s="35"/>
      <c r="J306" s="27"/>
    </row>
    <row r="307" spans="1:10" ht="24.9" hidden="1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787</v>
      </c>
      <c r="F307" s="34" t="s">
        <v>99</v>
      </c>
      <c r="G307" s="40"/>
      <c r="H307" s="51" t="s">
        <v>543</v>
      </c>
      <c r="I307" s="35"/>
      <c r="J307" s="27"/>
    </row>
    <row r="308" spans="1:10" ht="24.9" hidden="1" customHeight="1" x14ac:dyDescent="0.3">
      <c r="A308" s="32" t="s">
        <v>546</v>
      </c>
      <c r="B308" s="33" t="s">
        <v>567</v>
      </c>
      <c r="C308" s="33" t="s">
        <v>556</v>
      </c>
      <c r="D308" s="33" t="s">
        <v>568</v>
      </c>
      <c r="E308" s="33" t="s">
        <v>566</v>
      </c>
      <c r="F308" s="34" t="s">
        <v>127</v>
      </c>
      <c r="G308" s="40"/>
      <c r="H308" s="48"/>
      <c r="I308" s="35"/>
      <c r="J308" s="27"/>
    </row>
    <row r="309" spans="1:10" ht="24.9" hidden="1" customHeight="1" x14ac:dyDescent="0.3">
      <c r="A309" s="32" t="s">
        <v>546</v>
      </c>
      <c r="B309" s="33" t="s">
        <v>567</v>
      </c>
      <c r="C309" s="33" t="s">
        <v>556</v>
      </c>
      <c r="D309" s="33" t="s">
        <v>568</v>
      </c>
      <c r="E309" s="33" t="s">
        <v>225</v>
      </c>
      <c r="F309" s="34" t="s">
        <v>673</v>
      </c>
      <c r="G309" s="40"/>
      <c r="H309" s="40" t="s">
        <v>227</v>
      </c>
      <c r="I309" s="35" t="s">
        <v>226</v>
      </c>
      <c r="J309" s="27"/>
    </row>
    <row r="310" spans="1:10" ht="24.9" hidden="1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764</v>
      </c>
      <c r="F310" s="34" t="s">
        <v>167</v>
      </c>
      <c r="G310" s="40"/>
      <c r="H310" s="53"/>
      <c r="I310" s="35"/>
      <c r="J310" s="27"/>
    </row>
    <row r="311" spans="1:10" ht="24.9" hidden="1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787</v>
      </c>
      <c r="F311" s="34" t="s">
        <v>99</v>
      </c>
      <c r="G311" s="40"/>
      <c r="H311" s="51" t="s">
        <v>543</v>
      </c>
      <c r="I311" s="35"/>
      <c r="J311" s="27"/>
    </row>
    <row r="312" spans="1:10" ht="24.9" hidden="1" customHeight="1" x14ac:dyDescent="0.3">
      <c r="A312" s="32" t="s">
        <v>546</v>
      </c>
      <c r="B312" s="33" t="s">
        <v>573</v>
      </c>
      <c r="C312" s="33" t="s">
        <v>556</v>
      </c>
      <c r="D312" s="33" t="s">
        <v>574</v>
      </c>
      <c r="E312" s="33" t="s">
        <v>566</v>
      </c>
      <c r="F312" s="34" t="s">
        <v>127</v>
      </c>
      <c r="G312" s="40"/>
      <c r="H312" s="48"/>
      <c r="I312" s="35"/>
      <c r="J312" s="27"/>
    </row>
    <row r="313" spans="1:10" ht="24.9" hidden="1" customHeight="1" x14ac:dyDescent="0.3">
      <c r="A313" s="32" t="s">
        <v>546</v>
      </c>
      <c r="B313" s="33" t="s">
        <v>573</v>
      </c>
      <c r="C313" s="33" t="s">
        <v>556</v>
      </c>
      <c r="D313" s="33" t="s">
        <v>574</v>
      </c>
      <c r="E313" s="33" t="s">
        <v>225</v>
      </c>
      <c r="F313" s="34" t="s">
        <v>673</v>
      </c>
      <c r="G313" s="40"/>
      <c r="H313" s="51" t="s">
        <v>227</v>
      </c>
      <c r="I313" s="35" t="s">
        <v>226</v>
      </c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586</v>
      </c>
      <c r="F314" s="34" t="s">
        <v>99</v>
      </c>
      <c r="G314" s="40"/>
      <c r="H314" s="53"/>
      <c r="I314" s="35"/>
      <c r="J314" s="27"/>
    </row>
    <row r="315" spans="1:10" ht="24.9" hidden="1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788</v>
      </c>
      <c r="F315" s="34" t="s">
        <v>99</v>
      </c>
      <c r="G315" s="40"/>
      <c r="H315" s="53"/>
      <c r="I315" s="35"/>
      <c r="J315" s="27"/>
    </row>
    <row r="316" spans="1:10" ht="24.9" hidden="1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588</v>
      </c>
      <c r="F316" s="34" t="s">
        <v>99</v>
      </c>
      <c r="G316" s="40"/>
      <c r="H316" s="48"/>
      <c r="I316" s="35" t="s">
        <v>589</v>
      </c>
      <c r="J316" s="27"/>
    </row>
    <row r="317" spans="1:10" ht="24.9" hidden="1" customHeight="1" x14ac:dyDescent="0.3">
      <c r="A317" s="32" t="s">
        <v>546</v>
      </c>
      <c r="B317" s="33" t="s">
        <v>593</v>
      </c>
      <c r="C317" s="33" t="s">
        <v>558</v>
      </c>
      <c r="D317" s="33" t="s">
        <v>585</v>
      </c>
      <c r="E317" s="33" t="s">
        <v>587</v>
      </c>
      <c r="F317" s="34" t="s">
        <v>127</v>
      </c>
      <c r="G317" s="40"/>
      <c r="H317" s="48"/>
      <c r="I317" s="35" t="s">
        <v>579</v>
      </c>
      <c r="J317" s="27"/>
    </row>
    <row r="318" spans="1:10" ht="24.9" hidden="1" customHeight="1" x14ac:dyDescent="0.3">
      <c r="A318" s="32" t="s">
        <v>546</v>
      </c>
      <c r="B318" s="33" t="s">
        <v>593</v>
      </c>
      <c r="C318" s="33" t="s">
        <v>558</v>
      </c>
      <c r="D318" s="33" t="s">
        <v>585</v>
      </c>
      <c r="E318" s="33" t="s">
        <v>590</v>
      </c>
      <c r="F318" s="34" t="s">
        <v>127</v>
      </c>
      <c r="G318" s="40"/>
      <c r="H318" s="48"/>
      <c r="I318" s="35" t="s">
        <v>579</v>
      </c>
      <c r="J318" s="27"/>
    </row>
    <row r="319" spans="1:10" ht="24.9" hidden="1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225</v>
      </c>
      <c r="F319" s="34" t="s">
        <v>673</v>
      </c>
      <c r="G319" s="40"/>
      <c r="H319" s="51" t="s">
        <v>850</v>
      </c>
      <c r="I319" s="35" t="s">
        <v>234</v>
      </c>
      <c r="J319" s="27"/>
    </row>
    <row r="320" spans="1:10" ht="24.9" hidden="1" customHeight="1" x14ac:dyDescent="0.3">
      <c r="A320" s="32" t="s">
        <v>546</v>
      </c>
      <c r="B320" s="33" t="s">
        <v>557</v>
      </c>
      <c r="C320" s="33" t="s">
        <v>558</v>
      </c>
      <c r="D320" s="33" t="s">
        <v>552</v>
      </c>
      <c r="E320" s="33" t="s">
        <v>577</v>
      </c>
      <c r="F320" s="34" t="s">
        <v>167</v>
      </c>
      <c r="G320" s="40"/>
      <c r="H320" s="53"/>
      <c r="I320" s="35"/>
      <c r="J320" s="27"/>
    </row>
    <row r="321" spans="1:10" ht="24.9" hidden="1" customHeight="1" x14ac:dyDescent="0.3">
      <c r="A321" s="32" t="s">
        <v>546</v>
      </c>
      <c r="B321" s="33" t="s">
        <v>557</v>
      </c>
      <c r="C321" s="33" t="s">
        <v>558</v>
      </c>
      <c r="D321" s="33" t="s">
        <v>552</v>
      </c>
      <c r="E321" s="33" t="s">
        <v>578</v>
      </c>
      <c r="F321" s="34" t="s">
        <v>127</v>
      </c>
      <c r="G321" s="40"/>
      <c r="H321" s="48"/>
      <c r="I321" s="35" t="s">
        <v>579</v>
      </c>
      <c r="J321" s="27"/>
    </row>
    <row r="322" spans="1:10" ht="24.9" hidden="1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764</v>
      </c>
      <c r="F322" s="34" t="s">
        <v>167</v>
      </c>
      <c r="G322" s="40"/>
      <c r="H322" s="48"/>
      <c r="I322" s="35"/>
      <c r="J322" s="27"/>
    </row>
    <row r="323" spans="1:10" ht="24.9" hidden="1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787</v>
      </c>
      <c r="F323" s="34" t="s">
        <v>99</v>
      </c>
      <c r="G323" s="40"/>
      <c r="H323" s="51" t="s">
        <v>543</v>
      </c>
      <c r="I323" s="35"/>
      <c r="J323" s="27"/>
    </row>
    <row r="324" spans="1:10" ht="24.9" hidden="1" customHeight="1" x14ac:dyDescent="0.3">
      <c r="A324" s="32" t="s">
        <v>546</v>
      </c>
      <c r="B324" s="33" t="s">
        <v>569</v>
      </c>
      <c r="C324" s="33" t="s">
        <v>558</v>
      </c>
      <c r="D324" s="33" t="s">
        <v>568</v>
      </c>
      <c r="E324" s="33" t="s">
        <v>566</v>
      </c>
      <c r="F324" s="34" t="s">
        <v>127</v>
      </c>
      <c r="G324" s="40"/>
      <c r="H324" s="48"/>
      <c r="I324" s="35"/>
      <c r="J324" s="27"/>
    </row>
    <row r="325" spans="1:10" ht="24.9" hidden="1" customHeight="1" x14ac:dyDescent="0.3">
      <c r="A325" s="32" t="s">
        <v>546</v>
      </c>
      <c r="B325" s="33" t="s">
        <v>569</v>
      </c>
      <c r="C325" s="33" t="s">
        <v>558</v>
      </c>
      <c r="D325" s="33" t="s">
        <v>568</v>
      </c>
      <c r="E325" s="33" t="s">
        <v>225</v>
      </c>
      <c r="F325" s="34" t="s">
        <v>673</v>
      </c>
      <c r="G325" s="40"/>
      <c r="H325" s="51" t="s">
        <v>227</v>
      </c>
      <c r="I325" s="35" t="s">
        <v>226</v>
      </c>
      <c r="J325" s="27"/>
    </row>
    <row r="326" spans="1:10" ht="24.9" hidden="1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764</v>
      </c>
      <c r="F326" s="34" t="s">
        <v>167</v>
      </c>
      <c r="G326" s="40"/>
      <c r="H326" s="48"/>
      <c r="I326" s="35"/>
      <c r="J326" s="27"/>
    </row>
    <row r="327" spans="1:10" ht="24.9" hidden="1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787</v>
      </c>
      <c r="F327" s="34" t="s">
        <v>99</v>
      </c>
      <c r="G327" s="40"/>
      <c r="H327" s="51" t="s">
        <v>543</v>
      </c>
      <c r="I327" s="35"/>
      <c r="J327" s="27"/>
    </row>
    <row r="328" spans="1:10" ht="24.9" hidden="1" customHeight="1" x14ac:dyDescent="0.3">
      <c r="A328" s="32" t="s">
        <v>546</v>
      </c>
      <c r="B328" s="33" t="s">
        <v>575</v>
      </c>
      <c r="C328" s="33" t="s">
        <v>558</v>
      </c>
      <c r="D328" s="33" t="s">
        <v>574</v>
      </c>
      <c r="E328" s="33" t="s">
        <v>566</v>
      </c>
      <c r="F328" s="34" t="s">
        <v>127</v>
      </c>
      <c r="G328" s="40"/>
      <c r="H328" s="48"/>
      <c r="I328" s="35"/>
      <c r="J328" s="27"/>
    </row>
    <row r="329" spans="1:10" ht="24.9" hidden="1" customHeight="1" x14ac:dyDescent="0.3">
      <c r="A329" s="32" t="s">
        <v>546</v>
      </c>
      <c r="B329" s="33" t="s">
        <v>575</v>
      </c>
      <c r="C329" s="33" t="s">
        <v>558</v>
      </c>
      <c r="D329" s="33" t="s">
        <v>574</v>
      </c>
      <c r="E329" s="33" t="s">
        <v>225</v>
      </c>
      <c r="F329" s="34" t="s">
        <v>673</v>
      </c>
      <c r="G329" s="40"/>
      <c r="H329" s="51" t="s">
        <v>227</v>
      </c>
      <c r="I329" s="35" t="s">
        <v>226</v>
      </c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586</v>
      </c>
      <c r="F330" s="34" t="s">
        <v>99</v>
      </c>
      <c r="G330" s="40"/>
      <c r="H330" s="48"/>
      <c r="I330" s="35"/>
      <c r="J330" s="27"/>
    </row>
    <row r="331" spans="1:10" ht="24.9" hidden="1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788</v>
      </c>
      <c r="F331" s="34" t="s">
        <v>99</v>
      </c>
      <c r="G331" s="40"/>
      <c r="H331" s="48"/>
      <c r="I331" s="35"/>
      <c r="J331" s="27"/>
    </row>
    <row r="332" spans="1:10" ht="24.9" hidden="1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588</v>
      </c>
      <c r="F332" s="34" t="s">
        <v>99</v>
      </c>
      <c r="G332" s="40"/>
      <c r="H332" s="48"/>
      <c r="I332" s="35" t="s">
        <v>589</v>
      </c>
      <c r="J332" s="27"/>
    </row>
    <row r="333" spans="1:10" ht="24.9" hidden="1" customHeight="1" x14ac:dyDescent="0.3">
      <c r="A333" s="32" t="s">
        <v>546</v>
      </c>
      <c r="B333" s="33" t="s">
        <v>594</v>
      </c>
      <c r="C333" s="33" t="s">
        <v>560</v>
      </c>
      <c r="D333" s="33" t="s">
        <v>585</v>
      </c>
      <c r="E333" s="33" t="s">
        <v>587</v>
      </c>
      <c r="F333" s="34" t="s">
        <v>127</v>
      </c>
      <c r="G333" s="40"/>
      <c r="H333" s="48"/>
      <c r="I333" s="35" t="s">
        <v>579</v>
      </c>
      <c r="J333" s="27"/>
    </row>
    <row r="334" spans="1:10" ht="24.9" hidden="1" customHeight="1" x14ac:dyDescent="0.3">
      <c r="A334" s="32" t="s">
        <v>546</v>
      </c>
      <c r="B334" s="33" t="s">
        <v>594</v>
      </c>
      <c r="C334" s="33" t="s">
        <v>560</v>
      </c>
      <c r="D334" s="33" t="s">
        <v>585</v>
      </c>
      <c r="E334" s="33" t="s">
        <v>590</v>
      </c>
      <c r="F334" s="34" t="s">
        <v>127</v>
      </c>
      <c r="G334" s="40"/>
      <c r="H334" s="48"/>
      <c r="I334" s="35" t="s">
        <v>579</v>
      </c>
      <c r="J334" s="27"/>
    </row>
    <row r="335" spans="1:10" ht="24.9" hidden="1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225</v>
      </c>
      <c r="F335" s="34" t="s">
        <v>673</v>
      </c>
      <c r="G335" s="40"/>
      <c r="H335" s="51" t="s">
        <v>850</v>
      </c>
      <c r="I335" s="35" t="s">
        <v>234</v>
      </c>
      <c r="J335" s="27"/>
    </row>
    <row r="336" spans="1:10" ht="24.9" hidden="1" customHeight="1" x14ac:dyDescent="0.3">
      <c r="A336" s="32" t="s">
        <v>546</v>
      </c>
      <c r="B336" s="33" t="s">
        <v>559</v>
      </c>
      <c r="C336" s="33" t="s">
        <v>560</v>
      </c>
      <c r="D336" s="33" t="s">
        <v>552</v>
      </c>
      <c r="E336" s="33" t="s">
        <v>577</v>
      </c>
      <c r="F336" s="34" t="s">
        <v>167</v>
      </c>
      <c r="G336" s="40"/>
      <c r="H336" s="48"/>
      <c r="I336" s="35"/>
      <c r="J336" s="27"/>
    </row>
    <row r="337" spans="1:10" ht="24.9" hidden="1" customHeight="1" x14ac:dyDescent="0.3">
      <c r="A337" s="32" t="s">
        <v>546</v>
      </c>
      <c r="B337" s="33" t="s">
        <v>559</v>
      </c>
      <c r="C337" s="33" t="s">
        <v>560</v>
      </c>
      <c r="D337" s="33" t="s">
        <v>552</v>
      </c>
      <c r="E337" s="33" t="s">
        <v>578</v>
      </c>
      <c r="F337" s="34" t="s">
        <v>127</v>
      </c>
      <c r="G337" s="40"/>
      <c r="H337" s="48"/>
      <c r="I337" s="35" t="s">
        <v>579</v>
      </c>
      <c r="J337" s="27"/>
    </row>
    <row r="338" spans="1:10" ht="24.9" hidden="1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764</v>
      </c>
      <c r="F338" s="34" t="s">
        <v>167</v>
      </c>
      <c r="G338" s="51"/>
      <c r="H338" s="48"/>
      <c r="I338" s="35"/>
      <c r="J338" s="27"/>
    </row>
    <row r="339" spans="1:10" ht="24.9" hidden="1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787</v>
      </c>
      <c r="F339" s="34" t="s">
        <v>99</v>
      </c>
      <c r="G339" s="40"/>
      <c r="H339" s="51" t="s">
        <v>543</v>
      </c>
      <c r="I339" s="35"/>
      <c r="J339" s="27"/>
    </row>
    <row r="340" spans="1:10" ht="24.9" hidden="1" customHeight="1" x14ac:dyDescent="0.3">
      <c r="A340" s="32" t="s">
        <v>546</v>
      </c>
      <c r="B340" s="33" t="s">
        <v>570</v>
      </c>
      <c r="C340" s="33" t="s">
        <v>560</v>
      </c>
      <c r="D340" s="33" t="s">
        <v>568</v>
      </c>
      <c r="E340" s="33" t="s">
        <v>566</v>
      </c>
      <c r="F340" s="34" t="s">
        <v>127</v>
      </c>
      <c r="G340" s="29"/>
      <c r="H340" s="48"/>
      <c r="I340" s="35"/>
      <c r="J340" s="27"/>
    </row>
    <row r="341" spans="1:10" ht="24.9" hidden="1" customHeight="1" x14ac:dyDescent="0.3">
      <c r="A341" s="32" t="s">
        <v>546</v>
      </c>
      <c r="B341" s="33" t="s">
        <v>570</v>
      </c>
      <c r="C341" s="33" t="s">
        <v>560</v>
      </c>
      <c r="D341" s="33" t="s">
        <v>568</v>
      </c>
      <c r="E341" s="33" t="s">
        <v>225</v>
      </c>
      <c r="F341" s="34" t="s">
        <v>673</v>
      </c>
      <c r="G341" s="51"/>
      <c r="H341" s="51" t="s">
        <v>227</v>
      </c>
      <c r="I341" s="35" t="s">
        <v>226</v>
      </c>
      <c r="J341" s="27"/>
    </row>
    <row r="342" spans="1:10" ht="24.9" hidden="1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764</v>
      </c>
      <c r="F342" s="34" t="s">
        <v>167</v>
      </c>
      <c r="G342" s="51"/>
      <c r="H342" s="48"/>
      <c r="I342" s="35"/>
      <c r="J342" s="27"/>
    </row>
    <row r="343" spans="1:10" ht="24.9" hidden="1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787</v>
      </c>
      <c r="F343" s="34" t="s">
        <v>99</v>
      </c>
      <c r="G343" s="51"/>
      <c r="H343" s="51" t="s">
        <v>543</v>
      </c>
      <c r="I343" s="35"/>
      <c r="J343" s="27"/>
    </row>
    <row r="344" spans="1:10" ht="24.9" hidden="1" customHeight="1" x14ac:dyDescent="0.3">
      <c r="A344" s="32" t="s">
        <v>546</v>
      </c>
      <c r="B344" s="33" t="s">
        <v>576</v>
      </c>
      <c r="C344" s="33" t="s">
        <v>560</v>
      </c>
      <c r="D344" s="33" t="s">
        <v>574</v>
      </c>
      <c r="E344" s="33" t="s">
        <v>566</v>
      </c>
      <c r="F344" s="34" t="s">
        <v>127</v>
      </c>
      <c r="G344" s="51"/>
      <c r="H344" s="48"/>
      <c r="I344" s="35"/>
      <c r="J344" s="27"/>
    </row>
    <row r="345" spans="1:10" ht="24.9" hidden="1" customHeight="1" x14ac:dyDescent="0.3">
      <c r="A345" s="32" t="s">
        <v>546</v>
      </c>
      <c r="B345" s="33" t="s">
        <v>576</v>
      </c>
      <c r="C345" s="33" t="s">
        <v>560</v>
      </c>
      <c r="D345" s="33" t="s">
        <v>574</v>
      </c>
      <c r="E345" s="33" t="s">
        <v>225</v>
      </c>
      <c r="F345" s="34" t="s">
        <v>673</v>
      </c>
      <c r="G345" s="51"/>
      <c r="H345" s="51" t="s">
        <v>227</v>
      </c>
      <c r="I345" s="35" t="s">
        <v>226</v>
      </c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586</v>
      </c>
      <c r="F346" s="34" t="s">
        <v>99</v>
      </c>
      <c r="G346" s="51"/>
      <c r="H346" s="48"/>
      <c r="I346" s="35"/>
      <c r="J346" s="27"/>
    </row>
    <row r="347" spans="1:10" ht="24.9" hidden="1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788</v>
      </c>
      <c r="F347" s="34" t="s">
        <v>99</v>
      </c>
      <c r="G347" s="51"/>
      <c r="H347" s="48"/>
      <c r="I347" s="35"/>
      <c r="J347" s="27"/>
    </row>
    <row r="348" spans="1:10" ht="24.9" hidden="1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588</v>
      </c>
      <c r="F348" s="34" t="s">
        <v>99</v>
      </c>
      <c r="G348" s="51"/>
      <c r="H348" s="48"/>
      <c r="I348" s="35" t="s">
        <v>589</v>
      </c>
      <c r="J348" s="27"/>
    </row>
    <row r="349" spans="1:10" ht="24.9" hidden="1" customHeight="1" x14ac:dyDescent="0.3">
      <c r="A349" s="32" t="s">
        <v>546</v>
      </c>
      <c r="B349" s="33" t="s">
        <v>595</v>
      </c>
      <c r="C349" s="33" t="s">
        <v>548</v>
      </c>
      <c r="D349" s="33" t="s">
        <v>585</v>
      </c>
      <c r="E349" s="33" t="s">
        <v>587</v>
      </c>
      <c r="F349" s="34" t="s">
        <v>127</v>
      </c>
      <c r="G349" s="51"/>
      <c r="H349" s="48"/>
      <c r="I349" s="35" t="s">
        <v>579</v>
      </c>
      <c r="J349" s="27"/>
    </row>
    <row r="350" spans="1:10" ht="24.9" hidden="1" customHeight="1" x14ac:dyDescent="0.3">
      <c r="A350" s="32" t="s">
        <v>546</v>
      </c>
      <c r="B350" s="33" t="s">
        <v>595</v>
      </c>
      <c r="C350" s="33" t="s">
        <v>548</v>
      </c>
      <c r="D350" s="33" t="s">
        <v>585</v>
      </c>
      <c r="E350" s="33" t="s">
        <v>590</v>
      </c>
      <c r="F350" s="34" t="s">
        <v>127</v>
      </c>
      <c r="G350" s="51"/>
      <c r="H350" s="48"/>
      <c r="I350" s="35" t="s">
        <v>579</v>
      </c>
      <c r="J350" s="27"/>
    </row>
    <row r="351" spans="1:10" ht="24.9" hidden="1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225</v>
      </c>
      <c r="F351" s="34" t="s">
        <v>673</v>
      </c>
      <c r="G351" s="51"/>
      <c r="H351" s="51" t="s">
        <v>850</v>
      </c>
      <c r="I351" s="35" t="s">
        <v>234</v>
      </c>
      <c r="J351" s="27"/>
    </row>
    <row r="352" spans="1:10" ht="24.9" hidden="1" customHeight="1" x14ac:dyDescent="0.3">
      <c r="A352" s="32" t="s">
        <v>546</v>
      </c>
      <c r="B352" s="33" t="s">
        <v>547</v>
      </c>
      <c r="C352" s="33" t="s">
        <v>548</v>
      </c>
      <c r="D352" s="33" t="s">
        <v>549</v>
      </c>
      <c r="E352" s="33" t="s">
        <v>577</v>
      </c>
      <c r="F352" s="34" t="s">
        <v>167</v>
      </c>
      <c r="G352" s="51"/>
      <c r="H352" s="48"/>
      <c r="I352" s="35"/>
      <c r="J352" s="27"/>
    </row>
    <row r="353" spans="1:10" ht="24.9" hidden="1" customHeight="1" x14ac:dyDescent="0.3">
      <c r="A353" s="32" t="s">
        <v>546</v>
      </c>
      <c r="B353" s="33" t="s">
        <v>547</v>
      </c>
      <c r="C353" s="33" t="s">
        <v>548</v>
      </c>
      <c r="D353" s="33" t="s">
        <v>549</v>
      </c>
      <c r="E353" s="33" t="s">
        <v>578</v>
      </c>
      <c r="F353" s="34" t="s">
        <v>127</v>
      </c>
      <c r="G353" s="51"/>
      <c r="H353" s="48"/>
      <c r="I353" s="35" t="s">
        <v>579</v>
      </c>
      <c r="J353" s="27"/>
    </row>
    <row r="354" spans="1:10" ht="24.9" hidden="1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764</v>
      </c>
      <c r="F354" s="34" t="s">
        <v>167</v>
      </c>
      <c r="G354" s="40"/>
      <c r="H354" s="48"/>
      <c r="I354" s="35"/>
      <c r="J354" s="27"/>
    </row>
    <row r="355" spans="1:10" ht="24.9" hidden="1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787</v>
      </c>
      <c r="F355" s="34" t="s">
        <v>99</v>
      </c>
      <c r="G355" s="40"/>
      <c r="H355" s="51" t="s">
        <v>543</v>
      </c>
      <c r="I355" s="35"/>
      <c r="J355" s="27"/>
    </row>
    <row r="356" spans="1:10" ht="24.9" hidden="1" customHeight="1" x14ac:dyDescent="0.3">
      <c r="A356" s="32" t="s">
        <v>546</v>
      </c>
      <c r="B356" s="33" t="s">
        <v>564</v>
      </c>
      <c r="C356" s="33" t="s">
        <v>548</v>
      </c>
      <c r="D356" s="33" t="s">
        <v>565</v>
      </c>
      <c r="E356" s="33" t="s">
        <v>566</v>
      </c>
      <c r="F356" s="34" t="s">
        <v>127</v>
      </c>
      <c r="G356" s="40"/>
      <c r="H356" s="48"/>
      <c r="I356" s="35"/>
      <c r="J356" s="27"/>
    </row>
    <row r="357" spans="1:10" ht="24.9" hidden="1" customHeight="1" x14ac:dyDescent="0.3">
      <c r="A357" s="32" t="s">
        <v>546</v>
      </c>
      <c r="B357" s="33" t="s">
        <v>564</v>
      </c>
      <c r="C357" s="33" t="s">
        <v>548</v>
      </c>
      <c r="D357" s="33" t="s">
        <v>565</v>
      </c>
      <c r="E357" s="33" t="s">
        <v>225</v>
      </c>
      <c r="F357" s="34" t="s">
        <v>673</v>
      </c>
      <c r="G357" s="40"/>
      <c r="H357" s="51" t="s">
        <v>227</v>
      </c>
      <c r="I357" s="35" t="s">
        <v>226</v>
      </c>
      <c r="J357" s="27"/>
    </row>
    <row r="358" spans="1:10" ht="24.9" hidden="1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764</v>
      </c>
      <c r="F358" s="34" t="s">
        <v>167</v>
      </c>
      <c r="G358" s="40"/>
      <c r="H358" s="48"/>
      <c r="I358" s="35"/>
      <c r="J358" s="27"/>
    </row>
    <row r="359" spans="1:10" ht="24.9" hidden="1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787</v>
      </c>
      <c r="F359" s="34" t="s">
        <v>99</v>
      </c>
      <c r="G359" s="40"/>
      <c r="H359" s="51" t="s">
        <v>543</v>
      </c>
      <c r="I359" s="35"/>
      <c r="J359" s="27"/>
    </row>
    <row r="360" spans="1:10" ht="24.9" hidden="1" customHeight="1" x14ac:dyDescent="0.3">
      <c r="A360" s="32" t="s">
        <v>546</v>
      </c>
      <c r="B360" s="33" t="s">
        <v>571</v>
      </c>
      <c r="C360" s="33" t="s">
        <v>548</v>
      </c>
      <c r="D360" s="33" t="s">
        <v>572</v>
      </c>
      <c r="E360" s="33" t="s">
        <v>566</v>
      </c>
      <c r="F360" s="34" t="s">
        <v>127</v>
      </c>
      <c r="G360" s="40"/>
      <c r="H360" s="48"/>
      <c r="I360" s="35"/>
      <c r="J360" s="27"/>
    </row>
    <row r="361" spans="1:10" ht="24.9" hidden="1" customHeight="1" x14ac:dyDescent="0.3">
      <c r="A361" s="32" t="s">
        <v>546</v>
      </c>
      <c r="B361" s="33" t="s">
        <v>571</v>
      </c>
      <c r="C361" s="33" t="s">
        <v>548</v>
      </c>
      <c r="D361" s="33" t="s">
        <v>572</v>
      </c>
      <c r="E361" s="33" t="s">
        <v>225</v>
      </c>
      <c r="F361" s="34" t="s">
        <v>673</v>
      </c>
      <c r="G361" s="40"/>
      <c r="H361" s="51" t="s">
        <v>227</v>
      </c>
      <c r="I361" s="35" t="s">
        <v>226</v>
      </c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626</v>
      </c>
      <c r="F362" s="34" t="s">
        <v>99</v>
      </c>
      <c r="G362" s="40"/>
      <c r="H362" s="48"/>
      <c r="I362" s="35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790</v>
      </c>
      <c r="F363" s="34" t="s">
        <v>99</v>
      </c>
      <c r="G363" s="40"/>
      <c r="H363" s="48"/>
      <c r="I363" s="35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628</v>
      </c>
      <c r="F364" s="34" t="s">
        <v>99</v>
      </c>
      <c r="G364" s="40"/>
      <c r="H364" s="48"/>
      <c r="I364" s="35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632</v>
      </c>
      <c r="F365" s="34" t="s">
        <v>99</v>
      </c>
      <c r="G365" s="40"/>
      <c r="H365" s="48"/>
      <c r="I365" s="35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792</v>
      </c>
      <c r="F366" s="34" t="s">
        <v>99</v>
      </c>
      <c r="G366" s="40"/>
      <c r="H366" s="48"/>
      <c r="I366" s="35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588</v>
      </c>
      <c r="F367" s="34" t="s">
        <v>99</v>
      </c>
      <c r="G367" s="40"/>
      <c r="H367" s="48"/>
      <c r="I367" s="35"/>
      <c r="J367" s="27"/>
    </row>
    <row r="368" spans="1:10" ht="24.9" hidden="1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633</v>
      </c>
      <c r="F368" s="34" t="s">
        <v>99</v>
      </c>
      <c r="G368" s="40"/>
      <c r="H368" s="48"/>
      <c r="I368" s="35"/>
      <c r="J368" s="27"/>
    </row>
    <row r="369" spans="1:10" ht="24.9" hidden="1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634</v>
      </c>
      <c r="F369" s="34" t="s">
        <v>99</v>
      </c>
      <c r="G369" s="40"/>
      <c r="H369" s="48"/>
      <c r="I369" s="35"/>
      <c r="J369" s="27"/>
    </row>
    <row r="370" spans="1:10" ht="24.9" hidden="1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627</v>
      </c>
      <c r="F370" s="34" t="s">
        <v>127</v>
      </c>
      <c r="G370" s="40"/>
      <c r="H370" s="48"/>
      <c r="I370" s="35" t="s">
        <v>579</v>
      </c>
      <c r="J370" s="27"/>
    </row>
    <row r="371" spans="1:10" ht="24.9" hidden="1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629</v>
      </c>
      <c r="F371" s="34" t="s">
        <v>127</v>
      </c>
      <c r="G371" s="40"/>
      <c r="H371" s="48"/>
      <c r="I371" s="35" t="s">
        <v>579</v>
      </c>
      <c r="J371" s="27"/>
    </row>
    <row r="372" spans="1:10" ht="24.9" hidden="1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630</v>
      </c>
      <c r="F372" s="34" t="s">
        <v>127</v>
      </c>
      <c r="G372" s="40"/>
      <c r="H372" s="48"/>
      <c r="I372" s="35" t="s">
        <v>579</v>
      </c>
      <c r="J372" s="27"/>
    </row>
    <row r="373" spans="1:10" ht="24.9" hidden="1" customHeight="1" x14ac:dyDescent="0.3">
      <c r="A373" s="32" t="s">
        <v>599</v>
      </c>
      <c r="B373" s="33" t="s">
        <v>624</v>
      </c>
      <c r="C373" s="33" t="s">
        <v>551</v>
      </c>
      <c r="D373" s="33" t="s">
        <v>625</v>
      </c>
      <c r="E373" s="33" t="s">
        <v>631</v>
      </c>
      <c r="F373" s="34" t="s">
        <v>127</v>
      </c>
      <c r="G373" s="40"/>
      <c r="H373" s="48"/>
      <c r="I373" s="35" t="s">
        <v>579</v>
      </c>
      <c r="J373" s="27"/>
    </row>
    <row r="374" spans="1:10" ht="24.9" hidden="1" customHeight="1" x14ac:dyDescent="0.3">
      <c r="A374" s="32" t="s">
        <v>599</v>
      </c>
      <c r="B374" s="33" t="s">
        <v>624</v>
      </c>
      <c r="C374" s="33" t="s">
        <v>551</v>
      </c>
      <c r="D374" s="33" t="s">
        <v>625</v>
      </c>
      <c r="E374" s="33" t="s">
        <v>791</v>
      </c>
      <c r="F374" s="34" t="s">
        <v>127</v>
      </c>
      <c r="G374" s="40"/>
      <c r="H374" s="48"/>
      <c r="I374" s="35" t="s">
        <v>579</v>
      </c>
      <c r="J374" s="27"/>
    </row>
    <row r="375" spans="1:10" ht="24.9" hidden="1" customHeight="1" x14ac:dyDescent="0.3">
      <c r="A375" s="32" t="s">
        <v>599</v>
      </c>
      <c r="B375" s="33" t="s">
        <v>640</v>
      </c>
      <c r="C375" s="33" t="s">
        <v>551</v>
      </c>
      <c r="D375" s="33" t="s">
        <v>641</v>
      </c>
      <c r="E375" s="33" t="s">
        <v>642</v>
      </c>
      <c r="F375" s="34" t="s">
        <v>99</v>
      </c>
      <c r="G375" s="40"/>
      <c r="H375" s="48"/>
      <c r="I375" s="35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789</v>
      </c>
      <c r="F376" s="34" t="s">
        <v>99</v>
      </c>
      <c r="G376" s="40"/>
      <c r="H376" s="51" t="s">
        <v>612</v>
      </c>
      <c r="I376" s="35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617</v>
      </c>
      <c r="F377" s="34" t="s">
        <v>99</v>
      </c>
      <c r="G377" s="40"/>
      <c r="H377" s="48"/>
      <c r="I377" s="35"/>
      <c r="J377" s="27"/>
    </row>
    <row r="378" spans="1:10" ht="24.9" hidden="1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618</v>
      </c>
      <c r="F378" s="34" t="s">
        <v>99</v>
      </c>
      <c r="G378" s="40"/>
      <c r="H378" s="48"/>
      <c r="I378" s="35"/>
      <c r="J378" s="27"/>
    </row>
    <row r="379" spans="1:10" ht="24.9" hidden="1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619</v>
      </c>
      <c r="F379" s="34" t="s">
        <v>99</v>
      </c>
      <c r="G379" s="40"/>
      <c r="H379" s="48"/>
      <c r="I379" s="35"/>
      <c r="J379" s="27"/>
    </row>
    <row r="380" spans="1:10" ht="24.9" hidden="1" customHeight="1" x14ac:dyDescent="0.3">
      <c r="A380" s="32" t="s">
        <v>599</v>
      </c>
      <c r="B380" s="33" t="s">
        <v>611</v>
      </c>
      <c r="C380" s="33" t="s">
        <v>551</v>
      </c>
      <c r="D380" s="33" t="s">
        <v>601</v>
      </c>
      <c r="E380" s="33" t="s">
        <v>602</v>
      </c>
      <c r="F380" s="34" t="s">
        <v>673</v>
      </c>
      <c r="G380" s="40"/>
      <c r="H380" s="51" t="s">
        <v>603</v>
      </c>
      <c r="I380" s="35" t="s">
        <v>604</v>
      </c>
      <c r="J380" s="27"/>
    </row>
    <row r="381" spans="1:10" ht="24.9" hidden="1" customHeight="1" x14ac:dyDescent="0.3">
      <c r="A381" s="32" t="s">
        <v>599</v>
      </c>
      <c r="B381" s="33" t="s">
        <v>611</v>
      </c>
      <c r="C381" s="33" t="s">
        <v>551</v>
      </c>
      <c r="D381" s="33" t="s">
        <v>601</v>
      </c>
      <c r="E381" s="33" t="s">
        <v>793</v>
      </c>
      <c r="F381" s="34" t="s">
        <v>673</v>
      </c>
      <c r="G381" s="40"/>
      <c r="H381" s="51" t="s">
        <v>227</v>
      </c>
      <c r="I381" s="35" t="s">
        <v>649</v>
      </c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626</v>
      </c>
      <c r="F382" s="34" t="s">
        <v>99</v>
      </c>
      <c r="G382" s="40"/>
      <c r="H382" s="48"/>
      <c r="I382" s="35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790</v>
      </c>
      <c r="F383" s="34" t="s">
        <v>99</v>
      </c>
      <c r="G383" s="40"/>
      <c r="H383" s="48"/>
      <c r="I383" s="35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628</v>
      </c>
      <c r="F384" s="34" t="s">
        <v>99</v>
      </c>
      <c r="G384" s="40"/>
      <c r="H384" s="48"/>
      <c r="I384" s="35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632</v>
      </c>
      <c r="F385" s="34" t="s">
        <v>99</v>
      </c>
      <c r="G385" s="40"/>
      <c r="H385" s="48"/>
      <c r="I385" s="35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792</v>
      </c>
      <c r="F386" s="34" t="s">
        <v>99</v>
      </c>
      <c r="G386" s="40"/>
      <c r="H386" s="48"/>
      <c r="I386" s="35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588</v>
      </c>
      <c r="F387" s="34" t="s">
        <v>99</v>
      </c>
      <c r="G387" s="40"/>
      <c r="H387" s="48"/>
      <c r="I387" s="35"/>
      <c r="J387" s="27"/>
    </row>
    <row r="388" spans="1:10" ht="24.9" hidden="1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633</v>
      </c>
      <c r="F388" s="34" t="s">
        <v>99</v>
      </c>
      <c r="G388" s="40"/>
      <c r="H388" s="48"/>
      <c r="I388" s="35"/>
      <c r="J388" s="27"/>
    </row>
    <row r="389" spans="1:10" ht="24.9" hidden="1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634</v>
      </c>
      <c r="F389" s="34" t="s">
        <v>99</v>
      </c>
      <c r="G389" s="40"/>
      <c r="H389" s="48"/>
      <c r="I389" s="35"/>
      <c r="J389" s="27"/>
    </row>
    <row r="390" spans="1:10" ht="24.9" hidden="1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627</v>
      </c>
      <c r="F390" s="34" t="s">
        <v>127</v>
      </c>
      <c r="G390" s="40"/>
      <c r="H390" s="48"/>
      <c r="I390" s="35" t="s">
        <v>579</v>
      </c>
      <c r="J390" s="27"/>
    </row>
    <row r="391" spans="1:10" ht="24.9" hidden="1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629</v>
      </c>
      <c r="F391" s="34" t="s">
        <v>127</v>
      </c>
      <c r="G391" s="40"/>
      <c r="H391" s="48"/>
      <c r="I391" s="35" t="s">
        <v>579</v>
      </c>
      <c r="J391" s="27"/>
    </row>
    <row r="392" spans="1:10" ht="24.9" hidden="1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630</v>
      </c>
      <c r="F392" s="34" t="s">
        <v>127</v>
      </c>
      <c r="G392" s="40"/>
      <c r="H392" s="53"/>
      <c r="I392" s="35" t="s">
        <v>579</v>
      </c>
      <c r="J392" s="27"/>
    </row>
    <row r="393" spans="1:10" ht="24.9" hidden="1" customHeight="1" x14ac:dyDescent="0.3">
      <c r="A393" s="32" t="s">
        <v>599</v>
      </c>
      <c r="B393" s="33" t="s">
        <v>635</v>
      </c>
      <c r="C393" s="33" t="s">
        <v>554</v>
      </c>
      <c r="D393" s="33" t="s">
        <v>625</v>
      </c>
      <c r="E393" s="33" t="s">
        <v>631</v>
      </c>
      <c r="F393" s="34" t="s">
        <v>127</v>
      </c>
      <c r="G393" s="40"/>
      <c r="H393" s="53"/>
      <c r="I393" s="35" t="s">
        <v>579</v>
      </c>
      <c r="J393" s="27"/>
    </row>
    <row r="394" spans="1:10" ht="24.9" hidden="1" customHeight="1" x14ac:dyDescent="0.3">
      <c r="A394" s="32" t="s">
        <v>599</v>
      </c>
      <c r="B394" s="33" t="s">
        <v>635</v>
      </c>
      <c r="C394" s="33" t="s">
        <v>554</v>
      </c>
      <c r="D394" s="33" t="s">
        <v>625</v>
      </c>
      <c r="E394" s="33" t="s">
        <v>791</v>
      </c>
      <c r="F394" s="34" t="s">
        <v>127</v>
      </c>
      <c r="G394" s="40"/>
      <c r="H394" s="53"/>
      <c r="I394" s="35" t="s">
        <v>579</v>
      </c>
      <c r="J394" s="27"/>
    </row>
    <row r="395" spans="1:10" ht="24.9" hidden="1" customHeight="1" x14ac:dyDescent="0.3">
      <c r="A395" s="32" t="s">
        <v>599</v>
      </c>
      <c r="B395" s="33" t="s">
        <v>643</v>
      </c>
      <c r="C395" s="33" t="s">
        <v>554</v>
      </c>
      <c r="D395" s="33" t="s">
        <v>641</v>
      </c>
      <c r="E395" s="33" t="s">
        <v>642</v>
      </c>
      <c r="F395" s="34" t="s">
        <v>99</v>
      </c>
      <c r="G395" s="40"/>
      <c r="H395" s="53"/>
      <c r="I395" s="35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789</v>
      </c>
      <c r="F396" s="34" t="s">
        <v>99</v>
      </c>
      <c r="G396" s="40"/>
      <c r="H396" s="40" t="s">
        <v>612</v>
      </c>
      <c r="I396" s="35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617</v>
      </c>
      <c r="F397" s="34" t="s">
        <v>99</v>
      </c>
      <c r="G397" s="40"/>
      <c r="H397" s="48"/>
      <c r="I397" s="35"/>
      <c r="J397" s="27"/>
    </row>
    <row r="398" spans="1:10" ht="24.9" hidden="1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618</v>
      </c>
      <c r="F398" s="34" t="s">
        <v>99</v>
      </c>
      <c r="G398" s="40"/>
      <c r="H398" s="48"/>
      <c r="I398" s="35"/>
      <c r="J398" s="27"/>
    </row>
    <row r="399" spans="1:10" ht="24.9" hidden="1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619</v>
      </c>
      <c r="F399" s="34" t="s">
        <v>99</v>
      </c>
      <c r="G399" s="40"/>
      <c r="H399" s="48"/>
      <c r="I399" s="35"/>
      <c r="J399" s="27"/>
    </row>
    <row r="400" spans="1:10" ht="24.9" hidden="1" customHeight="1" x14ac:dyDescent="0.3">
      <c r="A400" s="32" t="s">
        <v>599</v>
      </c>
      <c r="B400" s="33" t="s">
        <v>613</v>
      </c>
      <c r="C400" s="33" t="s">
        <v>554</v>
      </c>
      <c r="D400" s="33" t="s">
        <v>601</v>
      </c>
      <c r="E400" s="33" t="s">
        <v>602</v>
      </c>
      <c r="F400" s="34" t="s">
        <v>673</v>
      </c>
      <c r="G400" s="40"/>
      <c r="H400" s="51" t="s">
        <v>603</v>
      </c>
      <c r="I400" s="35" t="s">
        <v>604</v>
      </c>
      <c r="J400" s="27"/>
    </row>
    <row r="401" spans="1:10" ht="24.9" hidden="1" customHeight="1" x14ac:dyDescent="0.3">
      <c r="A401" s="32" t="s">
        <v>599</v>
      </c>
      <c r="B401" s="33" t="s">
        <v>613</v>
      </c>
      <c r="C401" s="33" t="s">
        <v>554</v>
      </c>
      <c r="D401" s="33" t="s">
        <v>601</v>
      </c>
      <c r="E401" s="33" t="s">
        <v>793</v>
      </c>
      <c r="F401" s="34" t="s">
        <v>673</v>
      </c>
      <c r="G401" s="40"/>
      <c r="H401" s="51" t="s">
        <v>227</v>
      </c>
      <c r="I401" s="35" t="s">
        <v>649</v>
      </c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626</v>
      </c>
      <c r="F402" s="34" t="s">
        <v>99</v>
      </c>
      <c r="G402" s="40"/>
      <c r="H402" s="48"/>
      <c r="I402" s="35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790</v>
      </c>
      <c r="F403" s="34" t="s">
        <v>99</v>
      </c>
      <c r="G403" s="40"/>
      <c r="H403" s="48"/>
      <c r="I403" s="35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628</v>
      </c>
      <c r="F404" s="34" t="s">
        <v>99</v>
      </c>
      <c r="G404" s="40"/>
      <c r="H404" s="53"/>
      <c r="I404" s="35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632</v>
      </c>
      <c r="F405" s="34" t="s">
        <v>99</v>
      </c>
      <c r="G405" s="40"/>
      <c r="H405" s="48"/>
      <c r="I405" s="35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792</v>
      </c>
      <c r="F406" s="34" t="s">
        <v>99</v>
      </c>
      <c r="G406" s="40"/>
      <c r="H406" s="53"/>
      <c r="I406" s="35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588</v>
      </c>
      <c r="F407" s="34" t="s">
        <v>99</v>
      </c>
      <c r="G407" s="40"/>
      <c r="H407" s="53"/>
      <c r="I407" s="35"/>
      <c r="J407" s="27"/>
    </row>
    <row r="408" spans="1:10" ht="24.9" hidden="1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633</v>
      </c>
      <c r="F408" s="34" t="s">
        <v>99</v>
      </c>
      <c r="G408" s="40"/>
      <c r="H408" s="53"/>
      <c r="I408" s="35"/>
      <c r="J408" s="27"/>
    </row>
    <row r="409" spans="1:10" ht="24.9" hidden="1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634</v>
      </c>
      <c r="F409" s="34" t="s">
        <v>99</v>
      </c>
      <c r="G409" s="40"/>
      <c r="H409" s="53"/>
      <c r="I409" s="35"/>
      <c r="J409" s="27"/>
    </row>
    <row r="410" spans="1:10" ht="24.9" hidden="1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627</v>
      </c>
      <c r="F410" s="34" t="s">
        <v>127</v>
      </c>
      <c r="G410" s="40"/>
      <c r="H410" s="53"/>
      <c r="I410" s="35" t="s">
        <v>579</v>
      </c>
      <c r="J410" s="27"/>
    </row>
    <row r="411" spans="1:10" ht="24.9" hidden="1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629</v>
      </c>
      <c r="F411" s="34" t="s">
        <v>127</v>
      </c>
      <c r="G411" s="40"/>
      <c r="H411" s="53"/>
      <c r="I411" s="35" t="s">
        <v>579</v>
      </c>
      <c r="J411" s="27"/>
    </row>
    <row r="412" spans="1:10" ht="24.9" hidden="1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630</v>
      </c>
      <c r="F412" s="34" t="s">
        <v>127</v>
      </c>
      <c r="G412" s="40"/>
      <c r="H412" s="48"/>
      <c r="I412" s="35" t="s">
        <v>579</v>
      </c>
      <c r="J412" s="27"/>
    </row>
    <row r="413" spans="1:10" ht="24.9" hidden="1" customHeight="1" x14ac:dyDescent="0.3">
      <c r="A413" s="32" t="s">
        <v>599</v>
      </c>
      <c r="B413" s="33" t="s">
        <v>636</v>
      </c>
      <c r="C413" s="33" t="s">
        <v>556</v>
      </c>
      <c r="D413" s="33" t="s">
        <v>625</v>
      </c>
      <c r="E413" s="33" t="s">
        <v>631</v>
      </c>
      <c r="F413" s="34" t="s">
        <v>127</v>
      </c>
      <c r="G413" s="40"/>
      <c r="H413" s="48"/>
      <c r="I413" s="35" t="s">
        <v>579</v>
      </c>
      <c r="J413" s="27"/>
    </row>
    <row r="414" spans="1:10" ht="24.9" hidden="1" customHeight="1" x14ac:dyDescent="0.3">
      <c r="A414" s="32" t="s">
        <v>599</v>
      </c>
      <c r="B414" s="33" t="s">
        <v>636</v>
      </c>
      <c r="C414" s="33" t="s">
        <v>556</v>
      </c>
      <c r="D414" s="33" t="s">
        <v>625</v>
      </c>
      <c r="E414" s="33" t="s">
        <v>791</v>
      </c>
      <c r="F414" s="34" t="s">
        <v>127</v>
      </c>
      <c r="G414" s="40"/>
      <c r="H414" s="48"/>
      <c r="I414" s="35" t="s">
        <v>579</v>
      </c>
      <c r="J414" s="27"/>
    </row>
    <row r="415" spans="1:10" ht="24.9" hidden="1" customHeight="1" x14ac:dyDescent="0.3">
      <c r="A415" s="32" t="s">
        <v>599</v>
      </c>
      <c r="B415" s="33" t="s">
        <v>644</v>
      </c>
      <c r="C415" s="33" t="s">
        <v>556</v>
      </c>
      <c r="D415" s="33" t="s">
        <v>641</v>
      </c>
      <c r="E415" s="33" t="s">
        <v>642</v>
      </c>
      <c r="F415" s="34" t="s">
        <v>99</v>
      </c>
      <c r="G415" s="40"/>
      <c r="H415" s="48"/>
      <c r="I415" s="35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789</v>
      </c>
      <c r="F416" s="34" t="s">
        <v>99</v>
      </c>
      <c r="G416" s="40"/>
      <c r="H416" s="51" t="s">
        <v>543</v>
      </c>
      <c r="I416" s="35"/>
      <c r="J416" s="27"/>
    </row>
    <row r="417" spans="1:10" ht="24.9" hidden="1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617</v>
      </c>
      <c r="F417" s="34" t="s">
        <v>99</v>
      </c>
      <c r="G417" s="40"/>
      <c r="H417" s="53"/>
      <c r="I417" s="35"/>
      <c r="J417" s="27"/>
    </row>
    <row r="418" spans="1:10" ht="24.9" hidden="1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619</v>
      </c>
      <c r="F418" s="34" t="s">
        <v>99</v>
      </c>
      <c r="G418" s="40"/>
      <c r="H418" s="48"/>
      <c r="I418" s="35"/>
      <c r="J418" s="27"/>
    </row>
    <row r="419" spans="1:10" ht="24.9" hidden="1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602</v>
      </c>
      <c r="F419" s="34" t="s">
        <v>673</v>
      </c>
      <c r="G419" s="40"/>
      <c r="H419" s="51" t="s">
        <v>603</v>
      </c>
      <c r="I419" s="35" t="s">
        <v>604</v>
      </c>
      <c r="J419" s="27"/>
    </row>
    <row r="420" spans="1:10" ht="24.9" hidden="1" customHeight="1" x14ac:dyDescent="0.3">
      <c r="A420" s="32" t="s">
        <v>599</v>
      </c>
      <c r="B420" s="33" t="s">
        <v>600</v>
      </c>
      <c r="C420" s="33" t="s">
        <v>556</v>
      </c>
      <c r="D420" s="33" t="s">
        <v>601</v>
      </c>
      <c r="E420" s="33" t="s">
        <v>605</v>
      </c>
      <c r="F420" s="34" t="s">
        <v>673</v>
      </c>
      <c r="G420" s="40"/>
      <c r="H420" s="51" t="s">
        <v>300</v>
      </c>
      <c r="I420" s="35" t="s">
        <v>606</v>
      </c>
      <c r="J420" s="27"/>
    </row>
    <row r="421" spans="1:10" ht="24.9" hidden="1" customHeight="1" x14ac:dyDescent="0.3">
      <c r="A421" s="32" t="s">
        <v>599</v>
      </c>
      <c r="B421" s="33" t="s">
        <v>600</v>
      </c>
      <c r="C421" s="33" t="s">
        <v>556</v>
      </c>
      <c r="D421" s="33" t="s">
        <v>601</v>
      </c>
      <c r="E421" s="33" t="s">
        <v>793</v>
      </c>
      <c r="F421" s="34" t="s">
        <v>673</v>
      </c>
      <c r="G421" s="40"/>
      <c r="H421" s="51" t="s">
        <v>227</v>
      </c>
      <c r="I421" s="35" t="s">
        <v>649</v>
      </c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626</v>
      </c>
      <c r="F422" s="34" t="s">
        <v>99</v>
      </c>
      <c r="G422" s="40"/>
      <c r="H422" s="48"/>
      <c r="I422" s="35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790</v>
      </c>
      <c r="F423" s="34" t="s">
        <v>99</v>
      </c>
      <c r="G423" s="40"/>
      <c r="H423" s="48"/>
      <c r="I423" s="35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628</v>
      </c>
      <c r="F424" s="34" t="s">
        <v>99</v>
      </c>
      <c r="G424" s="40"/>
      <c r="H424" s="53"/>
      <c r="I424" s="35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632</v>
      </c>
      <c r="F425" s="34" t="s">
        <v>99</v>
      </c>
      <c r="G425" s="40"/>
      <c r="H425" s="53"/>
      <c r="I425" s="35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792</v>
      </c>
      <c r="F426" s="34" t="s">
        <v>99</v>
      </c>
      <c r="G426" s="40"/>
      <c r="H426" s="53"/>
      <c r="I426" s="35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588</v>
      </c>
      <c r="F427" s="34" t="s">
        <v>99</v>
      </c>
      <c r="G427" s="40"/>
      <c r="H427" s="53"/>
      <c r="I427" s="35"/>
      <c r="J427" s="27"/>
    </row>
    <row r="428" spans="1:10" ht="24.9" hidden="1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633</v>
      </c>
      <c r="F428" s="34" t="s">
        <v>99</v>
      </c>
      <c r="G428" s="40"/>
      <c r="H428" s="53"/>
      <c r="I428" s="35"/>
      <c r="J428" s="27"/>
    </row>
    <row r="429" spans="1:10" ht="24.9" hidden="1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634</v>
      </c>
      <c r="F429" s="34" t="s">
        <v>99</v>
      </c>
      <c r="G429" s="40"/>
      <c r="H429" s="53"/>
      <c r="I429" s="35"/>
      <c r="J429" s="27"/>
    </row>
    <row r="430" spans="1:10" ht="24.9" hidden="1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627</v>
      </c>
      <c r="F430" s="34" t="s">
        <v>127</v>
      </c>
      <c r="G430" s="40"/>
      <c r="H430" s="53"/>
      <c r="I430" s="35" t="s">
        <v>579</v>
      </c>
      <c r="J430" s="27"/>
    </row>
    <row r="431" spans="1:10" ht="24.9" hidden="1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629</v>
      </c>
      <c r="F431" s="34" t="s">
        <v>127</v>
      </c>
      <c r="G431" s="40"/>
      <c r="H431" s="53"/>
      <c r="I431" s="35" t="s">
        <v>579</v>
      </c>
      <c r="J431" s="27"/>
    </row>
    <row r="432" spans="1:10" ht="24.9" hidden="1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630</v>
      </c>
      <c r="F432" s="34" t="s">
        <v>127</v>
      </c>
      <c r="G432" s="40"/>
      <c r="H432" s="53"/>
      <c r="I432" s="35" t="s">
        <v>579</v>
      </c>
      <c r="J432" s="27"/>
    </row>
    <row r="433" spans="1:10" ht="24.9" hidden="1" customHeight="1" x14ac:dyDescent="0.3">
      <c r="A433" s="32" t="s">
        <v>599</v>
      </c>
      <c r="B433" s="33" t="s">
        <v>637</v>
      </c>
      <c r="C433" s="33" t="s">
        <v>558</v>
      </c>
      <c r="D433" s="33" t="s">
        <v>625</v>
      </c>
      <c r="E433" s="33" t="s">
        <v>631</v>
      </c>
      <c r="F433" s="34" t="s">
        <v>127</v>
      </c>
      <c r="G433" s="40"/>
      <c r="H433" s="53"/>
      <c r="I433" s="35" t="s">
        <v>579</v>
      </c>
      <c r="J433" s="27"/>
    </row>
    <row r="434" spans="1:10" ht="24.9" hidden="1" customHeight="1" x14ac:dyDescent="0.3">
      <c r="A434" s="32" t="s">
        <v>599</v>
      </c>
      <c r="B434" s="33" t="s">
        <v>637</v>
      </c>
      <c r="C434" s="33" t="s">
        <v>558</v>
      </c>
      <c r="D434" s="33" t="s">
        <v>625</v>
      </c>
      <c r="E434" s="33" t="s">
        <v>791</v>
      </c>
      <c r="F434" s="34" t="s">
        <v>127</v>
      </c>
      <c r="G434" s="40"/>
      <c r="H434" s="53"/>
      <c r="I434" s="35" t="s">
        <v>579</v>
      </c>
      <c r="J434" s="27"/>
    </row>
    <row r="435" spans="1:10" ht="24.9" hidden="1" customHeight="1" x14ac:dyDescent="0.3">
      <c r="A435" s="32" t="s">
        <v>599</v>
      </c>
      <c r="B435" s="33" t="s">
        <v>645</v>
      </c>
      <c r="C435" s="33" t="s">
        <v>558</v>
      </c>
      <c r="D435" s="33" t="s">
        <v>641</v>
      </c>
      <c r="E435" s="33" t="s">
        <v>642</v>
      </c>
      <c r="F435" s="34" t="s">
        <v>99</v>
      </c>
      <c r="G435" s="40"/>
      <c r="H435" s="53"/>
      <c r="I435" s="35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789</v>
      </c>
      <c r="F436" s="34" t="s">
        <v>99</v>
      </c>
      <c r="G436" s="40"/>
      <c r="H436" s="40" t="s">
        <v>543</v>
      </c>
      <c r="I436" s="35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617</v>
      </c>
      <c r="F437" s="34" t="s">
        <v>99</v>
      </c>
      <c r="G437" s="40"/>
      <c r="H437" s="53"/>
      <c r="I437" s="35"/>
      <c r="J437" s="27"/>
    </row>
    <row r="438" spans="1:10" ht="24.9" hidden="1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618</v>
      </c>
      <c r="F438" s="34" t="s">
        <v>99</v>
      </c>
      <c r="G438" s="40"/>
      <c r="H438" s="53"/>
      <c r="I438" s="35"/>
      <c r="J438" s="27"/>
    </row>
    <row r="439" spans="1:10" ht="24.9" hidden="1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619</v>
      </c>
      <c r="F439" s="34" t="s">
        <v>99</v>
      </c>
      <c r="G439" s="40"/>
      <c r="H439" s="53"/>
      <c r="I439" s="35"/>
      <c r="J439" s="27"/>
    </row>
    <row r="440" spans="1:10" ht="24.9" hidden="1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602</v>
      </c>
      <c r="F440" s="34" t="s">
        <v>673</v>
      </c>
      <c r="G440" s="40"/>
      <c r="H440" s="40" t="s">
        <v>603</v>
      </c>
      <c r="I440" s="35" t="s">
        <v>604</v>
      </c>
      <c r="J440" s="27"/>
    </row>
    <row r="441" spans="1:10" ht="24.9" hidden="1" customHeight="1" x14ac:dyDescent="0.3">
      <c r="A441" s="32" t="s">
        <v>599</v>
      </c>
      <c r="B441" s="33" t="s">
        <v>607</v>
      </c>
      <c r="C441" s="33" t="s">
        <v>558</v>
      </c>
      <c r="D441" s="33" t="s">
        <v>601</v>
      </c>
      <c r="E441" s="33" t="s">
        <v>605</v>
      </c>
      <c r="F441" s="34" t="s">
        <v>673</v>
      </c>
      <c r="G441" s="40"/>
      <c r="H441" s="40" t="s">
        <v>300</v>
      </c>
      <c r="I441" s="35" t="s">
        <v>606</v>
      </c>
      <c r="J441" s="27"/>
    </row>
    <row r="442" spans="1:10" ht="24.9" hidden="1" customHeight="1" x14ac:dyDescent="0.3">
      <c r="A442" s="32" t="s">
        <v>599</v>
      </c>
      <c r="B442" s="33" t="s">
        <v>607</v>
      </c>
      <c r="C442" s="33" t="s">
        <v>558</v>
      </c>
      <c r="D442" s="33" t="s">
        <v>601</v>
      </c>
      <c r="E442" s="33" t="s">
        <v>793</v>
      </c>
      <c r="F442" s="34" t="s">
        <v>673</v>
      </c>
      <c r="G442" s="40"/>
      <c r="H442" s="40" t="s">
        <v>227</v>
      </c>
      <c r="I442" s="35" t="s">
        <v>649</v>
      </c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626</v>
      </c>
      <c r="F443" s="34" t="s">
        <v>99</v>
      </c>
      <c r="G443" s="40"/>
      <c r="H443" s="53"/>
      <c r="I443" s="35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790</v>
      </c>
      <c r="F444" s="34" t="s">
        <v>99</v>
      </c>
      <c r="G444" s="40"/>
      <c r="H444" s="40"/>
      <c r="I444" s="35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628</v>
      </c>
      <c r="F445" s="34" t="s">
        <v>99</v>
      </c>
      <c r="G445" s="40"/>
      <c r="H445" s="40"/>
      <c r="I445" s="35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632</v>
      </c>
      <c r="F446" s="34" t="s">
        <v>99</v>
      </c>
      <c r="G446" s="40"/>
      <c r="H446" s="53"/>
      <c r="I446" s="35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792</v>
      </c>
      <c r="F447" s="34" t="s">
        <v>99</v>
      </c>
      <c r="G447" s="40"/>
      <c r="H447" s="53"/>
      <c r="I447" s="35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588</v>
      </c>
      <c r="F448" s="34" t="s">
        <v>99</v>
      </c>
      <c r="G448" s="40"/>
      <c r="H448" s="53"/>
      <c r="I448" s="35"/>
      <c r="J448" s="27"/>
    </row>
    <row r="449" spans="1:10" ht="24.9" hidden="1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633</v>
      </c>
      <c r="F449" s="34" t="s">
        <v>99</v>
      </c>
      <c r="G449" s="40"/>
      <c r="H449" s="53"/>
      <c r="I449" s="35"/>
      <c r="J449" s="27"/>
    </row>
    <row r="450" spans="1:10" ht="24.9" hidden="1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634</v>
      </c>
      <c r="F450" s="34" t="s">
        <v>99</v>
      </c>
      <c r="G450" s="40"/>
      <c r="H450" s="40"/>
      <c r="I450" s="35"/>
      <c r="J450" s="27"/>
    </row>
    <row r="451" spans="1:10" ht="24.9" hidden="1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627</v>
      </c>
      <c r="F451" s="34" t="s">
        <v>127</v>
      </c>
      <c r="G451" s="40"/>
      <c r="H451" s="40"/>
      <c r="I451" s="35" t="s">
        <v>579</v>
      </c>
      <c r="J451" s="27"/>
    </row>
    <row r="452" spans="1:10" ht="24.9" hidden="1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629</v>
      </c>
      <c r="F452" s="34" t="s">
        <v>127</v>
      </c>
      <c r="G452" s="40"/>
      <c r="H452" s="40"/>
      <c r="I452" s="35" t="s">
        <v>579</v>
      </c>
      <c r="J452" s="27"/>
    </row>
    <row r="453" spans="1:10" ht="24.9" hidden="1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617</v>
      </c>
      <c r="F453" s="34" t="s">
        <v>127</v>
      </c>
      <c r="G453" s="40"/>
      <c r="H453" s="40"/>
      <c r="I453" s="35" t="s">
        <v>579</v>
      </c>
      <c r="J453" s="27"/>
    </row>
    <row r="454" spans="1:10" ht="24.9" hidden="1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630</v>
      </c>
      <c r="F454" s="34" t="s">
        <v>127</v>
      </c>
      <c r="G454" s="40"/>
      <c r="H454" s="53"/>
      <c r="I454" s="35" t="s">
        <v>579</v>
      </c>
      <c r="J454" s="27"/>
    </row>
    <row r="455" spans="1:10" ht="24.9" hidden="1" customHeight="1" x14ac:dyDescent="0.3">
      <c r="A455" s="32" t="s">
        <v>599</v>
      </c>
      <c r="B455" s="33" t="s">
        <v>638</v>
      </c>
      <c r="C455" s="33" t="s">
        <v>560</v>
      </c>
      <c r="D455" s="33" t="s">
        <v>625</v>
      </c>
      <c r="E455" s="33" t="s">
        <v>631</v>
      </c>
      <c r="F455" s="34" t="s">
        <v>127</v>
      </c>
      <c r="G455" s="40"/>
      <c r="H455" s="53"/>
      <c r="I455" s="35" t="s">
        <v>579</v>
      </c>
      <c r="J455" s="27"/>
    </row>
    <row r="456" spans="1:10" ht="24.9" hidden="1" customHeight="1" x14ac:dyDescent="0.3">
      <c r="A456" s="32" t="s">
        <v>599</v>
      </c>
      <c r="B456" s="33" t="s">
        <v>638</v>
      </c>
      <c r="C456" s="33" t="s">
        <v>560</v>
      </c>
      <c r="D456" s="33" t="s">
        <v>625</v>
      </c>
      <c r="E456" s="33" t="s">
        <v>791</v>
      </c>
      <c r="F456" s="34" t="s">
        <v>127</v>
      </c>
      <c r="G456" s="40"/>
      <c r="H456" s="53"/>
      <c r="I456" s="35" t="s">
        <v>579</v>
      </c>
      <c r="J456" s="27"/>
    </row>
    <row r="457" spans="1:10" ht="24.9" hidden="1" customHeight="1" x14ac:dyDescent="0.3">
      <c r="A457" s="32" t="s">
        <v>599</v>
      </c>
      <c r="B457" s="33" t="s">
        <v>646</v>
      </c>
      <c r="C457" s="33" t="s">
        <v>560</v>
      </c>
      <c r="D457" s="33" t="s">
        <v>641</v>
      </c>
      <c r="E457" s="33" t="s">
        <v>642</v>
      </c>
      <c r="F457" s="34" t="s">
        <v>99</v>
      </c>
      <c r="G457" s="40"/>
      <c r="H457" s="53"/>
      <c r="I457" s="35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789</v>
      </c>
      <c r="F458" s="34" t="s">
        <v>99</v>
      </c>
      <c r="G458" s="40"/>
      <c r="H458" s="40" t="s">
        <v>543</v>
      </c>
      <c r="I458" s="35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617</v>
      </c>
      <c r="F459" s="34" t="s">
        <v>99</v>
      </c>
      <c r="G459" s="40"/>
      <c r="H459" s="53"/>
      <c r="I459" s="35"/>
      <c r="J459" s="27"/>
    </row>
    <row r="460" spans="1:10" ht="24.9" hidden="1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618</v>
      </c>
      <c r="F460" s="34" t="s">
        <v>99</v>
      </c>
      <c r="G460" s="40"/>
      <c r="H460" s="53"/>
      <c r="I460" s="35"/>
      <c r="J460" s="27"/>
    </row>
    <row r="461" spans="1:10" ht="24.9" hidden="1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619</v>
      </c>
      <c r="F461" s="34" t="s">
        <v>99</v>
      </c>
      <c r="G461" s="40"/>
      <c r="H461" s="53"/>
      <c r="I461" s="35"/>
      <c r="J461" s="27"/>
    </row>
    <row r="462" spans="1:10" ht="24.9" hidden="1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602</v>
      </c>
      <c r="F462" s="34" t="s">
        <v>673</v>
      </c>
      <c r="G462" s="40"/>
      <c r="H462" s="40" t="s">
        <v>603</v>
      </c>
      <c r="I462" s="35" t="s">
        <v>604</v>
      </c>
      <c r="J462" s="27"/>
    </row>
    <row r="463" spans="1:10" ht="24.9" hidden="1" customHeight="1" x14ac:dyDescent="0.3">
      <c r="A463" s="32" t="s">
        <v>599</v>
      </c>
      <c r="B463" s="33" t="s">
        <v>608</v>
      </c>
      <c r="C463" s="33" t="s">
        <v>560</v>
      </c>
      <c r="D463" s="33" t="s">
        <v>601</v>
      </c>
      <c r="E463" s="33" t="s">
        <v>605</v>
      </c>
      <c r="F463" s="34" t="s">
        <v>673</v>
      </c>
      <c r="G463" s="40"/>
      <c r="H463" s="40" t="s">
        <v>300</v>
      </c>
      <c r="I463" s="35" t="s">
        <v>606</v>
      </c>
      <c r="J463" s="27"/>
    </row>
    <row r="464" spans="1:10" ht="24.9" hidden="1" customHeight="1" x14ac:dyDescent="0.3">
      <c r="A464" s="32" t="s">
        <v>599</v>
      </c>
      <c r="B464" s="33" t="s">
        <v>608</v>
      </c>
      <c r="C464" s="33" t="s">
        <v>560</v>
      </c>
      <c r="D464" s="33" t="s">
        <v>601</v>
      </c>
      <c r="E464" s="33" t="s">
        <v>793</v>
      </c>
      <c r="F464" s="34" t="s">
        <v>673</v>
      </c>
      <c r="G464" s="40"/>
      <c r="H464" s="40" t="s">
        <v>227</v>
      </c>
      <c r="I464" s="35" t="s">
        <v>649</v>
      </c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626</v>
      </c>
      <c r="F465" s="34" t="s">
        <v>99</v>
      </c>
      <c r="G465" s="40"/>
      <c r="H465" s="53"/>
      <c r="I465" s="35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790</v>
      </c>
      <c r="F466" s="34" t="s">
        <v>99</v>
      </c>
      <c r="G466" s="40"/>
      <c r="H466" s="40"/>
      <c r="I466" s="35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628</v>
      </c>
      <c r="F467" s="34" t="s">
        <v>99</v>
      </c>
      <c r="G467" s="40"/>
      <c r="H467" s="40"/>
      <c r="I467" s="3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632</v>
      </c>
      <c r="F468" s="34" t="s">
        <v>99</v>
      </c>
      <c r="G468" s="40"/>
      <c r="H468" s="53"/>
      <c r="I468" s="35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792</v>
      </c>
      <c r="F469" s="34" t="s">
        <v>99</v>
      </c>
      <c r="G469" s="40"/>
      <c r="H469" s="53"/>
      <c r="I469" s="55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588</v>
      </c>
      <c r="F470" s="34" t="s">
        <v>99</v>
      </c>
      <c r="G470" s="40"/>
      <c r="H470" s="53"/>
      <c r="I470" s="35"/>
      <c r="J470" s="27"/>
    </row>
    <row r="471" spans="1:10" ht="24.9" hidden="1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633</v>
      </c>
      <c r="F471" s="34" t="s">
        <v>99</v>
      </c>
      <c r="G471" s="40"/>
      <c r="H471" s="53"/>
      <c r="I471" s="35"/>
      <c r="J471" s="27"/>
    </row>
    <row r="472" spans="1:10" ht="24.9" hidden="1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634</v>
      </c>
      <c r="F472" s="34" t="s">
        <v>99</v>
      </c>
      <c r="G472" s="40"/>
      <c r="H472" s="40"/>
      <c r="I472" s="35"/>
      <c r="J472" s="27"/>
    </row>
    <row r="473" spans="1:10" ht="24.9" hidden="1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627</v>
      </c>
      <c r="F473" s="34" t="s">
        <v>127</v>
      </c>
      <c r="G473" s="40"/>
      <c r="H473" s="40"/>
      <c r="I473" s="35" t="s">
        <v>579</v>
      </c>
      <c r="J473" s="27"/>
    </row>
    <row r="474" spans="1:10" ht="24.9" hidden="1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629</v>
      </c>
      <c r="F474" s="34" t="s">
        <v>127</v>
      </c>
      <c r="G474" s="40"/>
      <c r="H474" s="40"/>
      <c r="I474" s="35" t="s">
        <v>579</v>
      </c>
      <c r="J474" s="27"/>
    </row>
    <row r="475" spans="1:10" ht="24.9" hidden="1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630</v>
      </c>
      <c r="F475" s="34" t="s">
        <v>127</v>
      </c>
      <c r="G475" s="40"/>
      <c r="H475" s="40"/>
      <c r="I475" s="35" t="s">
        <v>579</v>
      </c>
      <c r="J475" s="27"/>
    </row>
    <row r="476" spans="1:10" ht="24.9" hidden="1" customHeight="1" x14ac:dyDescent="0.3">
      <c r="A476" s="32" t="s">
        <v>599</v>
      </c>
      <c r="B476" s="33" t="s">
        <v>639</v>
      </c>
      <c r="C476" s="33" t="s">
        <v>548</v>
      </c>
      <c r="D476" s="33" t="s">
        <v>625</v>
      </c>
      <c r="E476" s="33" t="s">
        <v>631</v>
      </c>
      <c r="F476" s="34" t="s">
        <v>127</v>
      </c>
      <c r="G476" s="40"/>
      <c r="H476" s="40"/>
      <c r="I476" s="35" t="s">
        <v>579</v>
      </c>
      <c r="J476" s="27"/>
    </row>
    <row r="477" spans="1:10" ht="24.9" hidden="1" customHeight="1" x14ac:dyDescent="0.3">
      <c r="A477" s="32" t="s">
        <v>599</v>
      </c>
      <c r="B477" s="33" t="s">
        <v>639</v>
      </c>
      <c r="C477" s="33" t="s">
        <v>548</v>
      </c>
      <c r="D477" s="33" t="s">
        <v>625</v>
      </c>
      <c r="E477" s="33" t="s">
        <v>791</v>
      </c>
      <c r="F477" s="34" t="s">
        <v>127</v>
      </c>
      <c r="G477" s="40"/>
      <c r="H477" s="53"/>
      <c r="I477" s="35" t="s">
        <v>579</v>
      </c>
      <c r="J477" s="27"/>
    </row>
    <row r="478" spans="1:10" ht="24.9" hidden="1" customHeight="1" x14ac:dyDescent="0.3">
      <c r="A478" s="32" t="s">
        <v>599</v>
      </c>
      <c r="B478" s="33" t="s">
        <v>647</v>
      </c>
      <c r="C478" s="33" t="s">
        <v>548</v>
      </c>
      <c r="D478" s="33" t="s">
        <v>641</v>
      </c>
      <c r="E478" s="33" t="s">
        <v>642</v>
      </c>
      <c r="F478" s="34" t="s">
        <v>99</v>
      </c>
      <c r="G478" s="40"/>
      <c r="H478" s="53"/>
      <c r="I478" s="35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789</v>
      </c>
      <c r="F479" s="34" t="s">
        <v>99</v>
      </c>
      <c r="G479" s="40"/>
      <c r="H479" s="40" t="s">
        <v>543</v>
      </c>
      <c r="I479" s="35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601</v>
      </c>
      <c r="E480" s="33" t="s">
        <v>617</v>
      </c>
      <c r="F480" s="34" t="s">
        <v>99</v>
      </c>
      <c r="G480" s="40"/>
      <c r="H480" s="53"/>
      <c r="I480" s="35"/>
      <c r="J480" s="27"/>
    </row>
    <row r="481" spans="1:10" ht="24.9" hidden="1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618</v>
      </c>
      <c r="F481" s="34" t="s">
        <v>99</v>
      </c>
      <c r="G481" s="40"/>
      <c r="H481" s="53"/>
      <c r="I481" s="35"/>
      <c r="J481" s="27"/>
    </row>
    <row r="482" spans="1:10" ht="24.9" hidden="1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619</v>
      </c>
      <c r="F482" s="34" t="s">
        <v>99</v>
      </c>
      <c r="G482" s="40"/>
      <c r="H482" s="53"/>
      <c r="I482" s="35"/>
      <c r="J482" s="27"/>
    </row>
    <row r="483" spans="1:10" ht="24.9" hidden="1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602</v>
      </c>
      <c r="F483" s="34" t="s">
        <v>673</v>
      </c>
      <c r="G483" s="40"/>
      <c r="H483" s="40" t="s">
        <v>603</v>
      </c>
      <c r="I483" s="35" t="s">
        <v>604</v>
      </c>
      <c r="J483" s="27"/>
    </row>
    <row r="484" spans="1:10" ht="24.9" hidden="1" customHeight="1" x14ac:dyDescent="0.3">
      <c r="A484" s="32" t="s">
        <v>599</v>
      </c>
      <c r="B484" s="33" t="s">
        <v>609</v>
      </c>
      <c r="C484" s="33" t="s">
        <v>548</v>
      </c>
      <c r="D484" s="33" t="s">
        <v>610</v>
      </c>
      <c r="E484" s="33" t="s">
        <v>605</v>
      </c>
      <c r="F484" s="34" t="s">
        <v>673</v>
      </c>
      <c r="G484" s="40"/>
      <c r="H484" s="40" t="s">
        <v>300</v>
      </c>
      <c r="I484" s="35" t="s">
        <v>606</v>
      </c>
      <c r="J484" s="27"/>
    </row>
    <row r="485" spans="1:10" ht="24.9" hidden="1" customHeight="1" x14ac:dyDescent="0.3">
      <c r="A485" s="32" t="s">
        <v>599</v>
      </c>
      <c r="B485" s="33" t="s">
        <v>609</v>
      </c>
      <c r="C485" s="33" t="s">
        <v>548</v>
      </c>
      <c r="D485" s="33" t="s">
        <v>610</v>
      </c>
      <c r="E485" s="33" t="s">
        <v>793</v>
      </c>
      <c r="F485" s="34" t="s">
        <v>673</v>
      </c>
      <c r="G485" s="40"/>
      <c r="H485" s="40" t="s">
        <v>227</v>
      </c>
      <c r="I485" s="35" t="s">
        <v>649</v>
      </c>
      <c r="J485" s="27"/>
    </row>
    <row r="486" spans="1:10" ht="24.9" hidden="1" customHeight="1" x14ac:dyDescent="0.3">
      <c r="A486" s="32" t="s">
        <v>599</v>
      </c>
      <c r="B486" s="33" t="s">
        <v>614</v>
      </c>
      <c r="C486" s="33" t="s">
        <v>615</v>
      </c>
      <c r="D486" s="33" t="s">
        <v>848</v>
      </c>
      <c r="E486" s="33" t="s">
        <v>243</v>
      </c>
      <c r="F486" s="34" t="s">
        <v>127</v>
      </c>
      <c r="G486" s="40"/>
      <c r="H486" s="53"/>
      <c r="I486" s="35" t="s">
        <v>205</v>
      </c>
      <c r="J486" s="27"/>
    </row>
    <row r="487" spans="1:10" ht="24.9" hidden="1" customHeight="1" x14ac:dyDescent="0.3">
      <c r="A487" s="32" t="s">
        <v>599</v>
      </c>
      <c r="B487" s="33" t="s">
        <v>620</v>
      </c>
      <c r="C487" s="33" t="s">
        <v>615</v>
      </c>
      <c r="D487" s="33" t="s">
        <v>849</v>
      </c>
      <c r="E487" s="33" t="s">
        <v>622</v>
      </c>
      <c r="F487" s="34" t="s">
        <v>127</v>
      </c>
      <c r="G487" s="40"/>
      <c r="H487" s="53"/>
      <c r="I487" s="35"/>
      <c r="J487" s="27"/>
    </row>
    <row r="488" spans="1:10" ht="24.9" hidden="1" customHeight="1" x14ac:dyDescent="0.3">
      <c r="A488" s="32" t="s">
        <v>599</v>
      </c>
      <c r="B488" s="33" t="s">
        <v>620</v>
      </c>
      <c r="C488" s="33" t="s">
        <v>615</v>
      </c>
      <c r="D488" s="33" t="s">
        <v>849</v>
      </c>
      <c r="E488" s="33" t="s">
        <v>623</v>
      </c>
      <c r="F488" s="34" t="s">
        <v>127</v>
      </c>
      <c r="G488" s="40"/>
      <c r="H488" s="53"/>
      <c r="I488" s="35"/>
      <c r="J488" s="27"/>
    </row>
    <row r="489" spans="1:10" ht="24.9" hidden="1" customHeight="1" x14ac:dyDescent="0.3">
      <c r="A489" s="32" t="s">
        <v>599</v>
      </c>
      <c r="B489" s="33" t="s">
        <v>847</v>
      </c>
      <c r="C489" s="33" t="s">
        <v>615</v>
      </c>
      <c r="D489" s="33" t="s">
        <v>616</v>
      </c>
      <c r="E489" s="33" t="s">
        <v>243</v>
      </c>
      <c r="F489" s="34" t="s">
        <v>127</v>
      </c>
      <c r="G489" s="40"/>
      <c r="H489" s="53"/>
      <c r="I489" s="35" t="s">
        <v>205</v>
      </c>
      <c r="J489" s="27"/>
    </row>
    <row r="490" spans="1:10" ht="24.9" hidden="1" customHeight="1" x14ac:dyDescent="0.3">
      <c r="A490" s="32" t="s">
        <v>599</v>
      </c>
      <c r="B490" s="33" t="s">
        <v>620</v>
      </c>
      <c r="C490" s="33" t="s">
        <v>615</v>
      </c>
      <c r="D490" s="33" t="s">
        <v>621</v>
      </c>
      <c r="E490" s="33" t="s">
        <v>622</v>
      </c>
      <c r="F490" s="34" t="s">
        <v>127</v>
      </c>
      <c r="G490" s="40"/>
      <c r="H490" s="53"/>
      <c r="I490" s="35"/>
      <c r="J490" s="27"/>
    </row>
    <row r="491" spans="1:10" ht="24.9" hidden="1" customHeight="1" x14ac:dyDescent="0.3">
      <c r="A491" s="32" t="s">
        <v>599</v>
      </c>
      <c r="B491" s="33" t="s">
        <v>620</v>
      </c>
      <c r="C491" s="33" t="s">
        <v>615</v>
      </c>
      <c r="D491" s="33" t="s">
        <v>621</v>
      </c>
      <c r="E491" s="33" t="s">
        <v>623</v>
      </c>
      <c r="F491" s="34" t="s">
        <v>127</v>
      </c>
      <c r="G491" s="40"/>
      <c r="H491" s="53"/>
      <c r="I491" s="35"/>
      <c r="J491" s="27"/>
    </row>
    <row r="492" spans="1:10" ht="24.9" hidden="1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173</v>
      </c>
      <c r="F492" s="34" t="s">
        <v>127</v>
      </c>
      <c r="G492" s="40"/>
      <c r="H492" s="40"/>
      <c r="I492" s="35"/>
      <c r="J492" s="27"/>
    </row>
    <row r="493" spans="1:10" ht="24.9" hidden="1" customHeight="1" x14ac:dyDescent="0.3">
      <c r="A493" s="32" t="s">
        <v>650</v>
      </c>
      <c r="B493" s="33" t="s">
        <v>651</v>
      </c>
      <c r="C493" s="33" t="s">
        <v>652</v>
      </c>
      <c r="D493" s="33" t="s">
        <v>653</v>
      </c>
      <c r="E493" s="33" t="s">
        <v>794</v>
      </c>
      <c r="F493" s="34" t="s">
        <v>127</v>
      </c>
      <c r="G493" s="40"/>
      <c r="H493" s="40"/>
      <c r="I493" s="35"/>
      <c r="J493" s="27"/>
    </row>
    <row r="494" spans="1:10" ht="24.9" hidden="1" customHeight="1" x14ac:dyDescent="0.3">
      <c r="A494" s="32" t="s">
        <v>650</v>
      </c>
      <c r="B494" s="33" t="s">
        <v>651</v>
      </c>
      <c r="C494" s="33" t="s">
        <v>652</v>
      </c>
      <c r="D494" s="33" t="s">
        <v>653</v>
      </c>
      <c r="E494" s="33" t="s">
        <v>183</v>
      </c>
      <c r="F494" s="34" t="s">
        <v>127</v>
      </c>
      <c r="G494" s="40"/>
      <c r="H494" s="40"/>
      <c r="I494" s="35"/>
      <c r="J494" s="27"/>
    </row>
    <row r="495" spans="1:10" ht="24.9" hidden="1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173</v>
      </c>
      <c r="F495" s="34" t="s">
        <v>127</v>
      </c>
      <c r="G495" s="40"/>
      <c r="H495" s="40"/>
      <c r="I495" s="35"/>
      <c r="J495" s="27"/>
    </row>
    <row r="496" spans="1:10" ht="24.9" hidden="1" customHeight="1" x14ac:dyDescent="0.3">
      <c r="A496" s="32" t="s">
        <v>650</v>
      </c>
      <c r="B496" s="33" t="s">
        <v>654</v>
      </c>
      <c r="C496" s="33" t="s">
        <v>652</v>
      </c>
      <c r="D496" s="33" t="s">
        <v>655</v>
      </c>
      <c r="E496" s="33" t="s">
        <v>794</v>
      </c>
      <c r="F496" s="34" t="s">
        <v>127</v>
      </c>
      <c r="G496" s="40"/>
      <c r="H496" s="40"/>
      <c r="I496" s="35"/>
      <c r="J496" s="27"/>
    </row>
    <row r="497" spans="1:10" ht="24.9" hidden="1" customHeight="1" x14ac:dyDescent="0.3">
      <c r="A497" s="32" t="s">
        <v>650</v>
      </c>
      <c r="B497" s="33" t="s">
        <v>654</v>
      </c>
      <c r="C497" s="33" t="s">
        <v>652</v>
      </c>
      <c r="D497" s="33" t="s">
        <v>655</v>
      </c>
      <c r="E497" s="33" t="s">
        <v>183</v>
      </c>
      <c r="F497" s="34" t="s">
        <v>127</v>
      </c>
      <c r="G497" s="40"/>
      <c r="H497" s="40"/>
      <c r="I497" s="35"/>
      <c r="J497" s="27"/>
    </row>
    <row r="498" spans="1:10" ht="24.9" hidden="1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173</v>
      </c>
      <c r="F498" s="34" t="s">
        <v>127</v>
      </c>
      <c r="G498" s="40"/>
      <c r="H498" s="40"/>
      <c r="I498" s="35"/>
      <c r="J498" s="27"/>
    </row>
    <row r="499" spans="1:10" ht="24.9" hidden="1" customHeight="1" x14ac:dyDescent="0.3">
      <c r="A499" s="32" t="s">
        <v>650</v>
      </c>
      <c r="B499" s="33" t="s">
        <v>656</v>
      </c>
      <c r="C499" s="33" t="s">
        <v>652</v>
      </c>
      <c r="D499" s="33" t="s">
        <v>657</v>
      </c>
      <c r="E499" s="33" t="s">
        <v>794</v>
      </c>
      <c r="F499" s="34" t="s">
        <v>127</v>
      </c>
      <c r="G499" s="40"/>
      <c r="H499" s="40"/>
      <c r="I499" s="35"/>
      <c r="J499" s="27"/>
    </row>
    <row r="500" spans="1:10" ht="24.9" hidden="1" customHeight="1" x14ac:dyDescent="0.3">
      <c r="A500" s="32" t="s">
        <v>650</v>
      </c>
      <c r="B500" s="33" t="s">
        <v>656</v>
      </c>
      <c r="C500" s="33" t="s">
        <v>652</v>
      </c>
      <c r="D500" s="33" t="s">
        <v>657</v>
      </c>
      <c r="E500" s="33" t="s">
        <v>183</v>
      </c>
      <c r="F500" s="34" t="s">
        <v>127</v>
      </c>
      <c r="G500" s="40"/>
      <c r="H500" s="40"/>
      <c r="I500" s="35"/>
      <c r="J500" s="27"/>
    </row>
    <row r="501" spans="1:10" ht="24.9" hidden="1" customHeight="1" x14ac:dyDescent="0.3">
      <c r="A501" s="32" t="s">
        <v>650</v>
      </c>
      <c r="B501" s="33" t="s">
        <v>659</v>
      </c>
      <c r="C501" s="33" t="s">
        <v>652</v>
      </c>
      <c r="D501" s="33" t="s">
        <v>185</v>
      </c>
      <c r="E501" s="33" t="s">
        <v>160</v>
      </c>
      <c r="F501" s="34" t="s">
        <v>127</v>
      </c>
      <c r="G501" s="40"/>
      <c r="H501" s="51"/>
      <c r="I501" s="35"/>
      <c r="J501" s="27"/>
    </row>
    <row r="502" spans="1:10" ht="24.9" hidden="1" customHeight="1" x14ac:dyDescent="0.3">
      <c r="A502" s="32" t="s">
        <v>650</v>
      </c>
      <c r="B502" s="33" t="s">
        <v>659</v>
      </c>
      <c r="C502" s="33" t="s">
        <v>652</v>
      </c>
      <c r="D502" s="33" t="s">
        <v>185</v>
      </c>
      <c r="E502" s="33" t="s">
        <v>183</v>
      </c>
      <c r="F502" s="34" t="s">
        <v>127</v>
      </c>
      <c r="G502" s="40"/>
      <c r="H502" s="51"/>
      <c r="I502" s="35"/>
      <c r="J502" s="27"/>
    </row>
    <row r="503" spans="1:10" ht="24.9" hidden="1" customHeight="1" x14ac:dyDescent="0.3">
      <c r="A503" s="32" t="s">
        <v>650</v>
      </c>
      <c r="B503" s="33" t="s">
        <v>658</v>
      </c>
      <c r="C503" s="33" t="s">
        <v>652</v>
      </c>
      <c r="D503" s="33" t="s">
        <v>189</v>
      </c>
      <c r="E503" s="33" t="s">
        <v>160</v>
      </c>
      <c r="F503" s="34" t="s">
        <v>127</v>
      </c>
      <c r="G503" s="40"/>
      <c r="H503" s="51"/>
      <c r="I503" s="35"/>
      <c r="J503" s="27"/>
    </row>
    <row r="504" spans="1:10" ht="24.9" hidden="1" customHeight="1" x14ac:dyDescent="0.3">
      <c r="A504" s="32" t="s">
        <v>650</v>
      </c>
      <c r="B504" s="33" t="s">
        <v>658</v>
      </c>
      <c r="C504" s="33" t="s">
        <v>652</v>
      </c>
      <c r="D504" s="33" t="s">
        <v>189</v>
      </c>
      <c r="E504" s="33" t="s">
        <v>183</v>
      </c>
      <c r="F504" s="34" t="s">
        <v>127</v>
      </c>
      <c r="G504" s="40"/>
      <c r="H504" s="51"/>
      <c r="I504" s="35"/>
      <c r="J504" s="27"/>
    </row>
    <row r="505" spans="1:10" ht="24.9" hidden="1" customHeight="1" x14ac:dyDescent="0.3">
      <c r="A505" s="32" t="s">
        <v>650</v>
      </c>
      <c r="B505" s="33" t="s">
        <v>660</v>
      </c>
      <c r="C505" s="33" t="s">
        <v>652</v>
      </c>
      <c r="D505" s="33" t="s">
        <v>187</v>
      </c>
      <c r="E505" s="33" t="s">
        <v>160</v>
      </c>
      <c r="F505" s="34" t="s">
        <v>127</v>
      </c>
      <c r="G505" s="40"/>
      <c r="H505" s="51"/>
      <c r="I505" s="35"/>
      <c r="J505" s="27"/>
    </row>
    <row r="506" spans="1:10" ht="24.9" hidden="1" customHeight="1" x14ac:dyDescent="0.3">
      <c r="A506" s="32" t="s">
        <v>650</v>
      </c>
      <c r="B506" s="33" t="s">
        <v>660</v>
      </c>
      <c r="C506" s="33" t="s">
        <v>652</v>
      </c>
      <c r="D506" s="33" t="s">
        <v>187</v>
      </c>
      <c r="E506" s="33" t="s">
        <v>183</v>
      </c>
      <c r="F506" s="34" t="s">
        <v>127</v>
      </c>
      <c r="G506" s="40"/>
      <c r="H506" s="51"/>
      <c r="I506" s="35"/>
      <c r="J506" s="27"/>
    </row>
    <row r="507" spans="1:10" ht="24.9" hidden="1" customHeight="1" x14ac:dyDescent="0.3">
      <c r="A507" s="32" t="s">
        <v>661</v>
      </c>
      <c r="B507" s="33" t="s">
        <v>662</v>
      </c>
      <c r="C507" s="33" t="s">
        <v>370</v>
      </c>
      <c r="D507" s="33" t="s">
        <v>663</v>
      </c>
      <c r="E507" s="33" t="s">
        <v>780</v>
      </c>
      <c r="F507" s="34" t="s">
        <v>127</v>
      </c>
      <c r="G507" s="40"/>
      <c r="H507" s="40"/>
      <c r="I507" s="35"/>
      <c r="J507" s="27"/>
    </row>
    <row r="508" spans="1:10" ht="24.9" hidden="1" customHeight="1" x14ac:dyDescent="0.3">
      <c r="A508" s="32" t="s">
        <v>661</v>
      </c>
      <c r="B508" s="33" t="s">
        <v>664</v>
      </c>
      <c r="C508" s="33" t="s">
        <v>665</v>
      </c>
      <c r="D508" s="33" t="s">
        <v>804</v>
      </c>
      <c r="E508" s="33" t="s">
        <v>666</v>
      </c>
      <c r="F508" s="34" t="s">
        <v>99</v>
      </c>
      <c r="G508" s="40"/>
      <c r="H508" s="40"/>
      <c r="I508" s="35"/>
      <c r="J508" s="27"/>
    </row>
    <row r="509" spans="1:10" ht="24.9" hidden="1" customHeight="1" x14ac:dyDescent="0.3">
      <c r="A509" s="32" t="s">
        <v>661</v>
      </c>
      <c r="B509" s="33" t="s">
        <v>664</v>
      </c>
      <c r="C509" s="33" t="s">
        <v>665</v>
      </c>
      <c r="D509" s="33" t="s">
        <v>804</v>
      </c>
      <c r="E509" s="33" t="s">
        <v>795</v>
      </c>
      <c r="F509" s="34" t="s">
        <v>127</v>
      </c>
      <c r="G509" s="40"/>
      <c r="H509" s="40"/>
      <c r="I509" s="35"/>
      <c r="J509" s="27"/>
    </row>
    <row r="510" spans="1:10" ht="24.9" hidden="1" customHeight="1" x14ac:dyDescent="0.3">
      <c r="A510" s="32" t="s">
        <v>661</v>
      </c>
      <c r="B510" s="33" t="s">
        <v>668</v>
      </c>
      <c r="C510" s="33" t="s">
        <v>665</v>
      </c>
      <c r="D510" s="33" t="s">
        <v>805</v>
      </c>
      <c r="E510" s="33" t="s">
        <v>666</v>
      </c>
      <c r="F510" s="34" t="s">
        <v>99</v>
      </c>
      <c r="G510" s="40"/>
      <c r="H510" s="40"/>
      <c r="I510" s="35" t="s">
        <v>579</v>
      </c>
      <c r="J510" s="27"/>
    </row>
    <row r="511" spans="1:10" ht="24.9" hidden="1" customHeight="1" x14ac:dyDescent="0.3">
      <c r="A511" s="32" t="s">
        <v>661</v>
      </c>
      <c r="B511" s="33" t="s">
        <v>668</v>
      </c>
      <c r="C511" s="33" t="s">
        <v>665</v>
      </c>
      <c r="D511" s="33" t="s">
        <v>805</v>
      </c>
      <c r="E511" s="33" t="s">
        <v>795</v>
      </c>
      <c r="F511" s="34" t="s">
        <v>127</v>
      </c>
      <c r="G511" s="40"/>
      <c r="H511" s="40"/>
      <c r="I511" s="35" t="s">
        <v>579</v>
      </c>
      <c r="J511" s="27"/>
    </row>
    <row r="512" spans="1:10" ht="24.9" hidden="1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671</v>
      </c>
      <c r="F512" s="34" t="s">
        <v>127</v>
      </c>
      <c r="G512" s="40"/>
      <c r="H512" s="40"/>
      <c r="I512" s="35" t="s">
        <v>579</v>
      </c>
      <c r="J512" s="27"/>
    </row>
    <row r="513" spans="1:10" ht="24.9" hidden="1" customHeight="1" x14ac:dyDescent="0.3">
      <c r="A513" s="32" t="s">
        <v>661</v>
      </c>
      <c r="B513" s="33" t="s">
        <v>669</v>
      </c>
      <c r="C513" s="33" t="s">
        <v>551</v>
      </c>
      <c r="D513" s="33" t="s">
        <v>670</v>
      </c>
      <c r="E513" s="33" t="s">
        <v>796</v>
      </c>
      <c r="F513" s="34" t="s">
        <v>127</v>
      </c>
      <c r="G513" s="40"/>
      <c r="H513" s="40"/>
      <c r="I513" s="35" t="s">
        <v>579</v>
      </c>
      <c r="J513" s="27"/>
    </row>
    <row r="514" spans="1:10" ht="24.9" hidden="1" customHeight="1" x14ac:dyDescent="0.3">
      <c r="A514" s="32" t="s">
        <v>661</v>
      </c>
      <c r="B514" s="33" t="s">
        <v>669</v>
      </c>
      <c r="C514" s="33" t="s">
        <v>551</v>
      </c>
      <c r="D514" s="33" t="s">
        <v>670</v>
      </c>
      <c r="E514" s="33" t="s">
        <v>674</v>
      </c>
      <c r="F514" s="34" t="s">
        <v>127</v>
      </c>
      <c r="G514" s="40"/>
      <c r="H514" s="40"/>
      <c r="I514" s="35" t="s">
        <v>579</v>
      </c>
      <c r="J514" s="27"/>
    </row>
    <row r="515" spans="1:10" ht="24.9" hidden="1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671</v>
      </c>
      <c r="F515" s="34" t="s">
        <v>127</v>
      </c>
      <c r="G515" s="40"/>
      <c r="H515" s="40"/>
      <c r="I515" s="35" t="s">
        <v>579</v>
      </c>
      <c r="J515" s="27"/>
    </row>
    <row r="516" spans="1:10" ht="24.9" hidden="1" customHeight="1" x14ac:dyDescent="0.3">
      <c r="A516" s="32" t="s">
        <v>661</v>
      </c>
      <c r="B516" s="33" t="s">
        <v>675</v>
      </c>
      <c r="C516" s="33" t="s">
        <v>554</v>
      </c>
      <c r="D516" s="33" t="s">
        <v>670</v>
      </c>
      <c r="E516" s="33" t="s">
        <v>796</v>
      </c>
      <c r="F516" s="34" t="s">
        <v>127</v>
      </c>
      <c r="G516" s="40"/>
      <c r="H516" s="40"/>
      <c r="I516" s="35" t="s">
        <v>579</v>
      </c>
      <c r="J516" s="27"/>
    </row>
    <row r="517" spans="1:10" ht="24.9" hidden="1" customHeight="1" x14ac:dyDescent="0.3">
      <c r="A517" s="32" t="s">
        <v>661</v>
      </c>
      <c r="B517" s="33" t="s">
        <v>675</v>
      </c>
      <c r="C517" s="33" t="s">
        <v>554</v>
      </c>
      <c r="D517" s="33" t="s">
        <v>670</v>
      </c>
      <c r="E517" s="33" t="s">
        <v>674</v>
      </c>
      <c r="F517" s="34" t="s">
        <v>127</v>
      </c>
      <c r="G517" s="40"/>
      <c r="H517" s="40"/>
      <c r="I517" s="35" t="s">
        <v>579</v>
      </c>
      <c r="J517" s="27"/>
    </row>
    <row r="518" spans="1:10" ht="24.9" hidden="1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671</v>
      </c>
      <c r="F518" s="34" t="s">
        <v>673</v>
      </c>
      <c r="G518" s="40"/>
      <c r="H518" s="40"/>
      <c r="I518" s="114" t="s">
        <v>120</v>
      </c>
      <c r="J518" s="27"/>
    </row>
    <row r="519" spans="1:10" ht="24.9" hidden="1" customHeight="1" x14ac:dyDescent="0.3">
      <c r="A519" s="32" t="s">
        <v>661</v>
      </c>
      <c r="B519" s="33" t="s">
        <v>676</v>
      </c>
      <c r="C519" s="33" t="s">
        <v>556</v>
      </c>
      <c r="D519" s="33" t="s">
        <v>670</v>
      </c>
      <c r="E519" s="33" t="s">
        <v>796</v>
      </c>
      <c r="F519" s="34" t="s">
        <v>673</v>
      </c>
      <c r="G519" s="40"/>
      <c r="H519" s="40"/>
      <c r="I519" s="114" t="s">
        <v>120</v>
      </c>
      <c r="J519" s="27"/>
    </row>
    <row r="520" spans="1:10" ht="24.9" hidden="1" customHeight="1" x14ac:dyDescent="0.3">
      <c r="A520" s="32" t="s">
        <v>661</v>
      </c>
      <c r="B520" s="33" t="s">
        <v>676</v>
      </c>
      <c r="C520" s="33" t="s">
        <v>556</v>
      </c>
      <c r="D520" s="33" t="s">
        <v>670</v>
      </c>
      <c r="E520" s="33" t="s">
        <v>674</v>
      </c>
      <c r="F520" s="34" t="s">
        <v>673</v>
      </c>
      <c r="G520" s="40"/>
      <c r="H520" s="40"/>
      <c r="I520" s="114" t="s">
        <v>120</v>
      </c>
      <c r="J520" s="27"/>
    </row>
    <row r="521" spans="1:10" ht="24.9" hidden="1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671</v>
      </c>
      <c r="F521" s="34" t="s">
        <v>673</v>
      </c>
      <c r="G521" s="40"/>
      <c r="H521" s="40"/>
      <c r="I521" s="114" t="s">
        <v>120</v>
      </c>
      <c r="J521" s="27"/>
    </row>
    <row r="522" spans="1:10" ht="24.9" hidden="1" customHeight="1" x14ac:dyDescent="0.3">
      <c r="A522" s="32" t="s">
        <v>661</v>
      </c>
      <c r="B522" s="33" t="s">
        <v>677</v>
      </c>
      <c r="C522" s="33" t="s">
        <v>558</v>
      </c>
      <c r="D522" s="33" t="s">
        <v>670</v>
      </c>
      <c r="E522" s="33" t="s">
        <v>796</v>
      </c>
      <c r="F522" s="34" t="s">
        <v>673</v>
      </c>
      <c r="G522" s="40"/>
      <c r="H522" s="40"/>
      <c r="I522" s="114" t="s">
        <v>120</v>
      </c>
      <c r="J522" s="27"/>
    </row>
    <row r="523" spans="1:10" ht="24.9" hidden="1" customHeight="1" x14ac:dyDescent="0.3">
      <c r="A523" s="32" t="s">
        <v>661</v>
      </c>
      <c r="B523" s="33" t="s">
        <v>677</v>
      </c>
      <c r="C523" s="33" t="s">
        <v>558</v>
      </c>
      <c r="D523" s="33" t="s">
        <v>670</v>
      </c>
      <c r="E523" s="33" t="s">
        <v>674</v>
      </c>
      <c r="F523" s="34" t="s">
        <v>673</v>
      </c>
      <c r="G523" s="40"/>
      <c r="H523" s="40"/>
      <c r="I523" s="114" t="s">
        <v>120</v>
      </c>
      <c r="J523" s="27"/>
    </row>
    <row r="524" spans="1:10" ht="24.9" hidden="1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671</v>
      </c>
      <c r="F524" s="34" t="s">
        <v>673</v>
      </c>
      <c r="G524" s="40"/>
      <c r="H524" s="40"/>
      <c r="I524" s="114" t="s">
        <v>120</v>
      </c>
      <c r="J524" s="27"/>
    </row>
    <row r="525" spans="1:10" ht="24.9" hidden="1" customHeight="1" x14ac:dyDescent="0.3">
      <c r="A525" s="32" t="s">
        <v>661</v>
      </c>
      <c r="B525" s="33" t="s">
        <v>678</v>
      </c>
      <c r="C525" s="33" t="s">
        <v>560</v>
      </c>
      <c r="D525" s="33" t="s">
        <v>670</v>
      </c>
      <c r="E525" s="33" t="s">
        <v>796</v>
      </c>
      <c r="F525" s="34" t="s">
        <v>673</v>
      </c>
      <c r="G525" s="40"/>
      <c r="H525" s="40"/>
      <c r="I525" s="114" t="s">
        <v>120</v>
      </c>
      <c r="J525" s="27"/>
    </row>
    <row r="526" spans="1:10" ht="24.9" hidden="1" customHeight="1" x14ac:dyDescent="0.3">
      <c r="A526" s="32" t="s">
        <v>661</v>
      </c>
      <c r="B526" s="33" t="s">
        <v>678</v>
      </c>
      <c r="C526" s="33" t="s">
        <v>560</v>
      </c>
      <c r="D526" s="33" t="s">
        <v>670</v>
      </c>
      <c r="E526" s="33" t="s">
        <v>674</v>
      </c>
      <c r="F526" s="34" t="s">
        <v>673</v>
      </c>
      <c r="G526" s="40"/>
      <c r="H526" s="40"/>
      <c r="I526" s="114" t="s">
        <v>120</v>
      </c>
      <c r="J526" s="27"/>
    </row>
    <row r="527" spans="1:10" ht="24.9" hidden="1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671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661</v>
      </c>
      <c r="B528" s="33" t="s">
        <v>679</v>
      </c>
      <c r="C528" s="33" t="s">
        <v>548</v>
      </c>
      <c r="D528" s="33" t="s">
        <v>670</v>
      </c>
      <c r="E528" s="33" t="s">
        <v>796</v>
      </c>
      <c r="F528" s="34" t="s">
        <v>673</v>
      </c>
      <c r="G528" s="40"/>
      <c r="H528" s="40"/>
      <c r="I528" s="114" t="s">
        <v>120</v>
      </c>
      <c r="J528" s="27"/>
    </row>
    <row r="529" spans="1:10" ht="24.9" hidden="1" customHeight="1" x14ac:dyDescent="0.3">
      <c r="A529" s="32" t="s">
        <v>661</v>
      </c>
      <c r="B529" s="33" t="s">
        <v>679</v>
      </c>
      <c r="C529" s="33" t="s">
        <v>548</v>
      </c>
      <c r="D529" s="33" t="s">
        <v>670</v>
      </c>
      <c r="E529" s="33" t="s">
        <v>674</v>
      </c>
      <c r="F529" s="34" t="s">
        <v>673</v>
      </c>
      <c r="G529" s="40"/>
      <c r="H529" s="40"/>
      <c r="I529" s="114" t="s">
        <v>120</v>
      </c>
      <c r="J529" s="27"/>
    </row>
    <row r="530" spans="1:10" ht="24.9" hidden="1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765</v>
      </c>
      <c r="F530" s="34" t="s">
        <v>99</v>
      </c>
      <c r="G530" s="40"/>
      <c r="H530" s="40" t="s">
        <v>543</v>
      </c>
      <c r="I530" s="35"/>
      <c r="J530" s="27"/>
    </row>
    <row r="531" spans="1:10" ht="24.9" hidden="1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225</v>
      </c>
      <c r="F531" s="34" t="s">
        <v>673</v>
      </c>
      <c r="G531" s="40"/>
      <c r="H531" s="40" t="s">
        <v>227</v>
      </c>
      <c r="I531" s="35" t="s">
        <v>226</v>
      </c>
      <c r="J531" s="27"/>
    </row>
    <row r="532" spans="1:10" ht="24.9" hidden="1" customHeight="1" x14ac:dyDescent="0.3">
      <c r="A532" s="32" t="s">
        <v>680</v>
      </c>
      <c r="B532" s="33" t="s">
        <v>702</v>
      </c>
      <c r="C532" s="33" t="s">
        <v>703</v>
      </c>
      <c r="D532" s="33" t="s">
        <v>704</v>
      </c>
      <c r="E532" s="33" t="s">
        <v>764</v>
      </c>
      <c r="F532" s="34" t="s">
        <v>167</v>
      </c>
      <c r="G532" s="40"/>
      <c r="H532" s="40"/>
      <c r="I532" s="35"/>
      <c r="J532" s="27"/>
    </row>
    <row r="533" spans="1:10" ht="24.9" hidden="1" customHeight="1" x14ac:dyDescent="0.3">
      <c r="A533" s="32" t="s">
        <v>680</v>
      </c>
      <c r="B533" s="33" t="s">
        <v>702</v>
      </c>
      <c r="C533" s="33" t="s">
        <v>703</v>
      </c>
      <c r="D533" s="33" t="s">
        <v>704</v>
      </c>
      <c r="E533" s="33" t="s">
        <v>195</v>
      </c>
      <c r="F533" s="34" t="s">
        <v>167</v>
      </c>
      <c r="G533" s="40"/>
      <c r="H533" s="51"/>
      <c r="I533" s="35"/>
      <c r="J533" s="27"/>
    </row>
    <row r="534" spans="1:10" ht="24.9" hidden="1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692</v>
      </c>
      <c r="F534" s="34" t="s">
        <v>673</v>
      </c>
      <c r="G534" s="40"/>
      <c r="H534" s="40" t="s">
        <v>837</v>
      </c>
      <c r="I534" s="35" t="s">
        <v>693</v>
      </c>
      <c r="J534" s="27"/>
    </row>
    <row r="535" spans="1:10" ht="24.9" hidden="1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694</v>
      </c>
      <c r="F535" s="34" t="s">
        <v>673</v>
      </c>
      <c r="G535" s="40"/>
      <c r="H535" s="40" t="s">
        <v>837</v>
      </c>
      <c r="I535" s="35" t="s">
        <v>695</v>
      </c>
      <c r="J535" s="27"/>
    </row>
    <row r="536" spans="1:10" ht="24.9" hidden="1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714</v>
      </c>
      <c r="F536" s="34" t="s">
        <v>127</v>
      </c>
      <c r="G536" s="40"/>
      <c r="H536" s="40"/>
      <c r="I536" s="35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691</v>
      </c>
      <c r="E537" s="33" t="s">
        <v>715</v>
      </c>
      <c r="F537" s="34" t="s">
        <v>127</v>
      </c>
      <c r="G537" s="40"/>
      <c r="H537" s="40"/>
      <c r="I537" s="35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691</v>
      </c>
      <c r="E538" s="33" t="s">
        <v>716</v>
      </c>
      <c r="F538" s="34" t="s">
        <v>127</v>
      </c>
      <c r="G538" s="40"/>
      <c r="H538" s="40"/>
      <c r="I538" s="35"/>
      <c r="J538" s="27"/>
    </row>
    <row r="539" spans="1:10" ht="24.9" hidden="1" customHeight="1" x14ac:dyDescent="0.3">
      <c r="A539" s="32" t="s">
        <v>680</v>
      </c>
      <c r="B539" s="33" t="s">
        <v>689</v>
      </c>
      <c r="C539" s="33" t="s">
        <v>690</v>
      </c>
      <c r="D539" s="33" t="s">
        <v>699</v>
      </c>
      <c r="E539" s="33" t="s">
        <v>700</v>
      </c>
      <c r="F539" s="34" t="s">
        <v>95</v>
      </c>
      <c r="G539" s="40"/>
      <c r="H539" s="40"/>
      <c r="I539" s="114"/>
      <c r="J539" s="27"/>
    </row>
    <row r="540" spans="1:10" ht="24.9" hidden="1" customHeight="1" x14ac:dyDescent="0.3">
      <c r="A540" s="32" t="s">
        <v>680</v>
      </c>
      <c r="B540" s="33" t="s">
        <v>689</v>
      </c>
      <c r="C540" s="33" t="s">
        <v>690</v>
      </c>
      <c r="D540" s="33" t="s">
        <v>699</v>
      </c>
      <c r="E540" s="33" t="s">
        <v>701</v>
      </c>
      <c r="F540" s="34" t="s">
        <v>95</v>
      </c>
      <c r="G540" s="40"/>
      <c r="H540" s="40"/>
      <c r="I540" s="114"/>
      <c r="J540" s="27"/>
    </row>
    <row r="541" spans="1:10" ht="24.9" hidden="1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229</v>
      </c>
      <c r="F541" s="34" t="s">
        <v>673</v>
      </c>
      <c r="G541" s="40"/>
      <c r="H541" s="40" t="s">
        <v>837</v>
      </c>
      <c r="I541" s="35" t="s">
        <v>684</v>
      </c>
      <c r="J541" s="42"/>
    </row>
    <row r="542" spans="1:10" ht="24.9" hidden="1" customHeight="1" x14ac:dyDescent="0.3">
      <c r="A542" s="32" t="s">
        <v>680</v>
      </c>
      <c r="B542" s="33" t="s">
        <v>681</v>
      </c>
      <c r="C542" s="33" t="s">
        <v>682</v>
      </c>
      <c r="D542" s="33" t="s">
        <v>683</v>
      </c>
      <c r="E542" s="33" t="s">
        <v>713</v>
      </c>
      <c r="F542" s="34" t="s">
        <v>127</v>
      </c>
      <c r="G542" s="40"/>
      <c r="H542" s="40"/>
      <c r="I542" s="35"/>
      <c r="J542" s="27"/>
    </row>
    <row r="543" spans="1:10" ht="24.9" hidden="1" customHeight="1" x14ac:dyDescent="0.3">
      <c r="A543" s="32" t="s">
        <v>680</v>
      </c>
      <c r="B543" s="33" t="s">
        <v>681</v>
      </c>
      <c r="C543" s="33" t="s">
        <v>682</v>
      </c>
      <c r="D543" s="33" t="s">
        <v>683</v>
      </c>
      <c r="E543" s="33" t="s">
        <v>221</v>
      </c>
      <c r="F543" s="34" t="s">
        <v>127</v>
      </c>
      <c r="G543" s="40"/>
      <c r="H543" s="40"/>
      <c r="I543" s="35"/>
      <c r="J543" s="42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706</v>
      </c>
      <c r="E544" s="33" t="s">
        <v>213</v>
      </c>
      <c r="F544" s="34" t="s">
        <v>99</v>
      </c>
      <c r="G544" s="40"/>
      <c r="H544" s="51"/>
      <c r="I544" s="35"/>
      <c r="J544" s="27"/>
    </row>
    <row r="545" spans="1:10" ht="24.9" hidden="1" customHeight="1" x14ac:dyDescent="0.3">
      <c r="A545" s="32" t="s">
        <v>680</v>
      </c>
      <c r="B545" s="33" t="s">
        <v>705</v>
      </c>
      <c r="C545" s="33" t="s">
        <v>703</v>
      </c>
      <c r="D545" s="33" t="s">
        <v>706</v>
      </c>
      <c r="E545" s="33" t="s">
        <v>707</v>
      </c>
      <c r="F545" s="34" t="s">
        <v>99</v>
      </c>
      <c r="G545" s="40"/>
      <c r="H545" s="40"/>
      <c r="I545" s="35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160</v>
      </c>
      <c r="F546" s="34" t="s">
        <v>99</v>
      </c>
      <c r="G546" s="40"/>
      <c r="H546" s="40"/>
      <c r="I546" s="35"/>
      <c r="J546" s="27"/>
    </row>
    <row r="547" spans="1:10" ht="24.9" hidden="1" customHeight="1" x14ac:dyDescent="0.3">
      <c r="A547" s="32" t="s">
        <v>680</v>
      </c>
      <c r="B547" s="33" t="s">
        <v>705</v>
      </c>
      <c r="C547" s="33" t="s">
        <v>703</v>
      </c>
      <c r="D547" s="33" t="s">
        <v>708</v>
      </c>
      <c r="E547" s="33" t="s">
        <v>797</v>
      </c>
      <c r="F547" s="34" t="s">
        <v>127</v>
      </c>
      <c r="G547" s="40"/>
      <c r="H547" s="40"/>
      <c r="I547" s="35"/>
      <c r="J547" s="27"/>
    </row>
    <row r="548" spans="1:10" ht="24.9" hidden="1" customHeight="1" x14ac:dyDescent="0.3">
      <c r="A548" s="32" t="s">
        <v>680</v>
      </c>
      <c r="B548" s="33" t="s">
        <v>705</v>
      </c>
      <c r="C548" s="33" t="s">
        <v>703</v>
      </c>
      <c r="D548" s="33" t="s">
        <v>708</v>
      </c>
      <c r="E548" s="33" t="s">
        <v>217</v>
      </c>
      <c r="F548" s="34"/>
      <c r="G548" s="29"/>
      <c r="H548" s="29"/>
      <c r="I548" s="25"/>
      <c r="J548" s="27"/>
    </row>
    <row r="549" spans="1:10" ht="24.9" hidden="1" customHeight="1" x14ac:dyDescent="0.3">
      <c r="A549" s="32" t="s">
        <v>680</v>
      </c>
      <c r="B549" s="33" t="s">
        <v>705</v>
      </c>
      <c r="C549" s="33" t="s">
        <v>703</v>
      </c>
      <c r="D549" s="33" t="s">
        <v>846</v>
      </c>
      <c r="E549" s="33" t="s">
        <v>823</v>
      </c>
      <c r="F549" s="34" t="s">
        <v>673</v>
      </c>
      <c r="G549" s="40"/>
      <c r="H549" s="40"/>
      <c r="I549" s="35"/>
      <c r="J549" s="27"/>
    </row>
    <row r="550" spans="1:10" ht="24.9" hidden="1" customHeight="1" x14ac:dyDescent="0.3">
      <c r="A550" s="32" t="s">
        <v>680</v>
      </c>
      <c r="B550" s="33" t="s">
        <v>709</v>
      </c>
      <c r="C550" s="33" t="s">
        <v>686</v>
      </c>
      <c r="D550" s="33" t="s">
        <v>710</v>
      </c>
      <c r="E550" s="33" t="s">
        <v>712</v>
      </c>
      <c r="F550" s="34" t="s">
        <v>127</v>
      </c>
      <c r="G550" s="40"/>
      <c r="H550" s="40"/>
      <c r="I550" s="35"/>
      <c r="J550" s="27"/>
    </row>
    <row r="551" spans="1:10" ht="24.9" hidden="1" customHeight="1" x14ac:dyDescent="0.3">
      <c r="A551" s="32" t="s">
        <v>680</v>
      </c>
      <c r="B551" s="33" t="s">
        <v>813</v>
      </c>
      <c r="C551" s="33" t="s">
        <v>686</v>
      </c>
      <c r="D551" s="33" t="s">
        <v>822</v>
      </c>
      <c r="E551" s="33" t="s">
        <v>737</v>
      </c>
      <c r="F551" s="34" t="s">
        <v>673</v>
      </c>
      <c r="G551" s="50"/>
      <c r="H551" s="40" t="s">
        <v>837</v>
      </c>
      <c r="I551" s="35" t="s">
        <v>838</v>
      </c>
      <c r="J551" s="27"/>
    </row>
    <row r="552" spans="1:10" ht="24.9" hidden="1" customHeight="1" x14ac:dyDescent="0.3">
      <c r="A552" s="32" t="s">
        <v>680</v>
      </c>
      <c r="B552" s="33" t="s">
        <v>814</v>
      </c>
      <c r="C552" s="33" t="s">
        <v>686</v>
      </c>
      <c r="D552" s="33" t="s">
        <v>825</v>
      </c>
      <c r="E552" s="33" t="s">
        <v>823</v>
      </c>
      <c r="F552" s="34" t="s">
        <v>673</v>
      </c>
      <c r="G552" s="40"/>
      <c r="H552" s="40" t="s">
        <v>837</v>
      </c>
      <c r="I552" s="35" t="s">
        <v>839</v>
      </c>
      <c r="J552" s="27"/>
    </row>
    <row r="553" spans="1:10" ht="24.9" hidden="1" customHeight="1" x14ac:dyDescent="0.3">
      <c r="A553" s="32" t="s">
        <v>680</v>
      </c>
      <c r="B553" s="33" t="s">
        <v>815</v>
      </c>
      <c r="C553" s="33" t="s">
        <v>686</v>
      </c>
      <c r="D553" s="33" t="s">
        <v>826</v>
      </c>
      <c r="E553" s="33" t="s">
        <v>823</v>
      </c>
      <c r="F553" s="34" t="s">
        <v>673</v>
      </c>
      <c r="G553" s="40"/>
      <c r="H553" s="40" t="s">
        <v>837</v>
      </c>
      <c r="I553" s="35" t="s">
        <v>840</v>
      </c>
      <c r="J553" s="27"/>
    </row>
    <row r="554" spans="1:10" ht="24.9" hidden="1" customHeight="1" x14ac:dyDescent="0.3">
      <c r="A554" s="32" t="s">
        <v>680</v>
      </c>
      <c r="B554" s="33" t="s">
        <v>816</v>
      </c>
      <c r="C554" s="33" t="s">
        <v>686</v>
      </c>
      <c r="D554" s="33" t="s">
        <v>827</v>
      </c>
      <c r="E554" s="33" t="s">
        <v>823</v>
      </c>
      <c r="F554" s="34" t="s">
        <v>673</v>
      </c>
      <c r="G554" s="40"/>
      <c r="H554" s="40" t="s">
        <v>837</v>
      </c>
      <c r="I554" s="35" t="s">
        <v>841</v>
      </c>
      <c r="J554" s="27"/>
    </row>
    <row r="555" spans="1:10" ht="24.9" hidden="1" customHeight="1" x14ac:dyDescent="0.3">
      <c r="A555" s="32" t="s">
        <v>680</v>
      </c>
      <c r="B555" s="33" t="s">
        <v>817</v>
      </c>
      <c r="C555" s="33" t="s">
        <v>686</v>
      </c>
      <c r="D555" s="33" t="s">
        <v>828</v>
      </c>
      <c r="E555" s="33" t="s">
        <v>823</v>
      </c>
      <c r="F555" s="34" t="s">
        <v>673</v>
      </c>
      <c r="G555" s="40"/>
      <c r="H555" s="40" t="s">
        <v>837</v>
      </c>
      <c r="I555" s="35" t="s">
        <v>840</v>
      </c>
      <c r="J555" s="27"/>
    </row>
    <row r="556" spans="1:10" ht="24.9" hidden="1" customHeight="1" x14ac:dyDescent="0.3">
      <c r="A556" s="32" t="s">
        <v>680</v>
      </c>
      <c r="B556" s="33" t="s">
        <v>817</v>
      </c>
      <c r="C556" s="33" t="s">
        <v>686</v>
      </c>
      <c r="D556" s="33" t="s">
        <v>829</v>
      </c>
      <c r="E556" s="33" t="s">
        <v>823</v>
      </c>
      <c r="F556" s="34" t="s">
        <v>673</v>
      </c>
      <c r="G556" s="40"/>
      <c r="H556" s="40" t="s">
        <v>837</v>
      </c>
      <c r="I556" s="35" t="s">
        <v>840</v>
      </c>
      <c r="J556" s="27"/>
    </row>
    <row r="557" spans="1:10" ht="24.9" hidden="1" customHeight="1" x14ac:dyDescent="0.3">
      <c r="A557" s="32" t="s">
        <v>680</v>
      </c>
      <c r="B557" s="33" t="s">
        <v>818</v>
      </c>
      <c r="C557" s="33" t="s">
        <v>686</v>
      </c>
      <c r="D557" s="33" t="s">
        <v>830</v>
      </c>
      <c r="E557" s="33" t="s">
        <v>823</v>
      </c>
      <c r="F557" s="34" t="s">
        <v>673</v>
      </c>
      <c r="G557" s="40"/>
      <c r="H557" s="40" t="s">
        <v>837</v>
      </c>
      <c r="I557" s="35" t="s">
        <v>840</v>
      </c>
      <c r="J557" s="27"/>
    </row>
    <row r="558" spans="1:10" ht="24.9" hidden="1" customHeight="1" x14ac:dyDescent="0.3">
      <c r="A558" s="32" t="s">
        <v>680</v>
      </c>
      <c r="B558" s="33" t="s">
        <v>819</v>
      </c>
      <c r="C558" s="33" t="s">
        <v>686</v>
      </c>
      <c r="D558" s="33" t="s">
        <v>831</v>
      </c>
      <c r="E558" s="33" t="s">
        <v>823</v>
      </c>
      <c r="F558" s="34" t="s">
        <v>673</v>
      </c>
      <c r="G558" s="40"/>
      <c r="H558" s="40" t="s">
        <v>837</v>
      </c>
      <c r="I558" s="35" t="s">
        <v>841</v>
      </c>
      <c r="J558" s="27"/>
    </row>
    <row r="559" spans="1:10" ht="24.9" hidden="1" customHeight="1" x14ac:dyDescent="0.3">
      <c r="A559" s="32" t="s">
        <v>680</v>
      </c>
      <c r="B559" s="33" t="s">
        <v>820</v>
      </c>
      <c r="C559" s="33" t="s">
        <v>686</v>
      </c>
      <c r="D559" s="33" t="s">
        <v>832</v>
      </c>
      <c r="E559" s="33" t="s">
        <v>823</v>
      </c>
      <c r="F559" s="34" t="s">
        <v>673</v>
      </c>
      <c r="G559" s="40"/>
      <c r="H559" s="40" t="s">
        <v>837</v>
      </c>
      <c r="I559" s="35" t="s">
        <v>840</v>
      </c>
      <c r="J559" s="27"/>
    </row>
    <row r="560" spans="1:10" ht="24.9" hidden="1" customHeight="1" x14ac:dyDescent="0.3">
      <c r="A560" s="32" t="s">
        <v>680</v>
      </c>
      <c r="B560" s="33" t="s">
        <v>820</v>
      </c>
      <c r="C560" s="90" t="s">
        <v>686</v>
      </c>
      <c r="D560" s="33" t="s">
        <v>832</v>
      </c>
      <c r="E560" s="33" t="s">
        <v>824</v>
      </c>
      <c r="F560" s="34" t="s">
        <v>673</v>
      </c>
      <c r="G560" s="40"/>
      <c r="H560" s="40" t="s">
        <v>837</v>
      </c>
      <c r="I560" s="35" t="s">
        <v>842</v>
      </c>
      <c r="J560" s="27"/>
    </row>
    <row r="561" spans="1:10" ht="24.9" hidden="1" customHeight="1" x14ac:dyDescent="0.3">
      <c r="A561" s="32" t="s">
        <v>680</v>
      </c>
      <c r="B561" s="33" t="s">
        <v>821</v>
      </c>
      <c r="C561" s="90" t="s">
        <v>686</v>
      </c>
      <c r="D561" s="33" t="s">
        <v>833</v>
      </c>
      <c r="E561" s="33" t="s">
        <v>823</v>
      </c>
      <c r="F561" s="34" t="s">
        <v>673</v>
      </c>
      <c r="G561" s="40"/>
      <c r="H561" s="40" t="s">
        <v>837</v>
      </c>
      <c r="I561" s="35" t="s">
        <v>840</v>
      </c>
      <c r="J561" s="27"/>
    </row>
    <row r="562" spans="1:10" ht="24.9" hidden="1" customHeight="1" x14ac:dyDescent="0.3">
      <c r="A562" s="32" t="s">
        <v>680</v>
      </c>
      <c r="B562" s="33" t="s">
        <v>821</v>
      </c>
      <c r="C562" s="90" t="s">
        <v>686</v>
      </c>
      <c r="D562" s="33" t="s">
        <v>834</v>
      </c>
      <c r="E562" s="33" t="s">
        <v>824</v>
      </c>
      <c r="F562" s="34" t="s">
        <v>673</v>
      </c>
      <c r="G562" s="40"/>
      <c r="H562" s="40" t="s">
        <v>837</v>
      </c>
      <c r="I562" s="35" t="s">
        <v>842</v>
      </c>
      <c r="J562" s="27"/>
    </row>
    <row r="563" spans="1:10" ht="24.9" hidden="1" customHeight="1" x14ac:dyDescent="0.3">
      <c r="A563" s="32" t="s">
        <v>680</v>
      </c>
      <c r="B563" s="33" t="s">
        <v>821</v>
      </c>
      <c r="C563" s="90" t="s">
        <v>686</v>
      </c>
      <c r="D563" s="33" t="s">
        <v>835</v>
      </c>
      <c r="E563" s="33" t="s">
        <v>824</v>
      </c>
      <c r="F563" s="34" t="s">
        <v>673</v>
      </c>
      <c r="G563" s="40"/>
      <c r="H563" s="40" t="s">
        <v>837</v>
      </c>
      <c r="I563" s="35" t="s">
        <v>842</v>
      </c>
      <c r="J563" s="27"/>
    </row>
    <row r="564" spans="1:10" ht="24.9" hidden="1" customHeight="1" x14ac:dyDescent="0.3">
      <c r="A564" s="32" t="s">
        <v>680</v>
      </c>
      <c r="B564" s="33" t="s">
        <v>821</v>
      </c>
      <c r="C564" s="90" t="s">
        <v>686</v>
      </c>
      <c r="D564" s="33" t="s">
        <v>836</v>
      </c>
      <c r="E564" s="33" t="s">
        <v>823</v>
      </c>
      <c r="F564" s="34" t="s">
        <v>673</v>
      </c>
      <c r="G564" s="40"/>
      <c r="H564" s="40" t="s">
        <v>837</v>
      </c>
      <c r="I564" s="35" t="s">
        <v>842</v>
      </c>
      <c r="J564" s="27"/>
    </row>
    <row r="565" spans="1:10" ht="24.9" hidden="1" customHeight="1" x14ac:dyDescent="0.3">
      <c r="A565" s="32" t="s">
        <v>680</v>
      </c>
      <c r="B565" s="33" t="s">
        <v>709</v>
      </c>
      <c r="C565" s="90" t="s">
        <v>686</v>
      </c>
      <c r="D565" s="33" t="s">
        <v>710</v>
      </c>
      <c r="E565" s="33" t="s">
        <v>711</v>
      </c>
      <c r="F565" s="34" t="s">
        <v>167</v>
      </c>
      <c r="G565" s="40"/>
      <c r="H565" s="40"/>
      <c r="I565" s="35"/>
      <c r="J565" s="27"/>
    </row>
    <row r="566" spans="1:10" ht="24.9" hidden="1" customHeight="1" x14ac:dyDescent="0.3">
      <c r="A566" s="32" t="s">
        <v>680</v>
      </c>
      <c r="B566" s="33" t="s">
        <v>685</v>
      </c>
      <c r="C566" s="33" t="s">
        <v>686</v>
      </c>
      <c r="D566" s="33" t="s">
        <v>687</v>
      </c>
      <c r="E566" s="33" t="s">
        <v>712</v>
      </c>
      <c r="F566" s="34" t="s">
        <v>127</v>
      </c>
      <c r="G566" s="40"/>
      <c r="H566" s="40"/>
      <c r="I566" s="35"/>
      <c r="J566" s="27"/>
    </row>
    <row r="567" spans="1:10" ht="24.9" hidden="1" customHeight="1" x14ac:dyDescent="0.3">
      <c r="A567" s="32" t="s">
        <v>680</v>
      </c>
      <c r="B567" s="33" t="s">
        <v>685</v>
      </c>
      <c r="C567" s="33" t="s">
        <v>686</v>
      </c>
      <c r="D567" s="33" t="s">
        <v>687</v>
      </c>
      <c r="E567" s="33" t="s">
        <v>711</v>
      </c>
      <c r="F567" s="34" t="s">
        <v>167</v>
      </c>
      <c r="G567" s="40"/>
      <c r="H567" s="40"/>
      <c r="I567" s="35"/>
      <c r="J567" s="27"/>
    </row>
    <row r="568" spans="1:10" ht="24.9" hidden="1" customHeight="1" x14ac:dyDescent="0.3">
      <c r="A568" s="32" t="s">
        <v>680</v>
      </c>
      <c r="B568" s="33" t="s">
        <v>696</v>
      </c>
      <c r="C568" s="33" t="s">
        <v>686</v>
      </c>
      <c r="D568" s="33" t="s">
        <v>697</v>
      </c>
      <c r="E568" s="33" t="s">
        <v>717</v>
      </c>
      <c r="F568" s="34" t="s">
        <v>127</v>
      </c>
      <c r="G568" s="40"/>
      <c r="H568" s="40"/>
      <c r="I568" s="35"/>
      <c r="J568" s="27"/>
    </row>
    <row r="569" spans="1:10" ht="24.9" hidden="1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130</v>
      </c>
      <c r="F569" s="34" t="s">
        <v>99</v>
      </c>
      <c r="G569" s="40"/>
      <c r="H569" s="40"/>
      <c r="I569" s="35"/>
      <c r="J569" s="27"/>
    </row>
    <row r="570" spans="1:10" ht="24.9" hidden="1" customHeight="1" x14ac:dyDescent="0.3">
      <c r="A570" s="32" t="s">
        <v>718</v>
      </c>
      <c r="B570" s="33" t="s">
        <v>724</v>
      </c>
      <c r="C570" s="33" t="s">
        <v>725</v>
      </c>
      <c r="D570" s="33" t="s">
        <v>726</v>
      </c>
      <c r="E570" s="33" t="s">
        <v>748</v>
      </c>
      <c r="F570" s="34" t="s">
        <v>99</v>
      </c>
      <c r="G570" s="40"/>
      <c r="H570" s="40"/>
      <c r="I570" s="35"/>
      <c r="J570" s="27"/>
    </row>
    <row r="571" spans="1:10" ht="24.9" hidden="1" customHeight="1" x14ac:dyDescent="0.3">
      <c r="A571" s="32" t="s">
        <v>718</v>
      </c>
      <c r="B571" s="33" t="s">
        <v>724</v>
      </c>
      <c r="C571" s="33" t="s">
        <v>725</v>
      </c>
      <c r="D571" s="33" t="s">
        <v>726</v>
      </c>
      <c r="E571" s="33" t="s">
        <v>727</v>
      </c>
      <c r="F571" s="34" t="s">
        <v>673</v>
      </c>
      <c r="G571" s="40"/>
      <c r="H571" s="40" t="s">
        <v>168</v>
      </c>
      <c r="I571" s="35" t="s">
        <v>169</v>
      </c>
      <c r="J571" s="27"/>
    </row>
    <row r="572" spans="1:10" ht="24.9" hidden="1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694</v>
      </c>
      <c r="F572" s="34" t="s">
        <v>673</v>
      </c>
      <c r="G572" s="40"/>
      <c r="H572" s="40" t="s">
        <v>168</v>
      </c>
      <c r="I572" s="35" t="s">
        <v>695</v>
      </c>
      <c r="J572" s="27"/>
    </row>
    <row r="573" spans="1:10" ht="24.9" hidden="1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692</v>
      </c>
      <c r="F573" s="34" t="s">
        <v>673</v>
      </c>
      <c r="G573" s="40"/>
      <c r="H573" s="40" t="s">
        <v>378</v>
      </c>
      <c r="I573" s="35" t="s">
        <v>693</v>
      </c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714</v>
      </c>
      <c r="F574" s="34" t="s">
        <v>127</v>
      </c>
      <c r="G574" s="40"/>
      <c r="H574" s="40"/>
      <c r="I574" s="35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747</v>
      </c>
      <c r="F575" s="34" t="s">
        <v>127</v>
      </c>
      <c r="G575" s="40"/>
      <c r="H575" s="40"/>
      <c r="I575" s="35"/>
      <c r="J575" s="27"/>
    </row>
    <row r="576" spans="1:10" ht="24.9" hidden="1" customHeight="1" x14ac:dyDescent="0.3">
      <c r="A576" s="32" t="s">
        <v>718</v>
      </c>
      <c r="B576" s="33" t="s">
        <v>719</v>
      </c>
      <c r="C576" s="33" t="s">
        <v>720</v>
      </c>
      <c r="D576" s="33" t="s">
        <v>721</v>
      </c>
      <c r="E576" s="33" t="s">
        <v>700</v>
      </c>
      <c r="F576" s="34" t="s">
        <v>95</v>
      </c>
      <c r="G576" s="40"/>
      <c r="H576" s="40"/>
      <c r="I576" s="114"/>
      <c r="J576" s="27"/>
    </row>
    <row r="577" spans="1:10" ht="24.9" hidden="1" customHeight="1" x14ac:dyDescent="0.3">
      <c r="A577" s="32" t="s">
        <v>718</v>
      </c>
      <c r="B577" s="33" t="s">
        <v>719</v>
      </c>
      <c r="C577" s="33" t="s">
        <v>720</v>
      </c>
      <c r="D577" s="33" t="s">
        <v>721</v>
      </c>
      <c r="E577" s="33" t="s">
        <v>701</v>
      </c>
      <c r="F577" s="34" t="s">
        <v>95</v>
      </c>
      <c r="G577" s="40"/>
      <c r="H577" s="40"/>
      <c r="I577" s="114"/>
      <c r="J577" s="27"/>
    </row>
    <row r="578" spans="1:10" ht="24.9" hidden="1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130</v>
      </c>
      <c r="F578" s="34" t="s">
        <v>127</v>
      </c>
      <c r="G578" s="40"/>
      <c r="H578" s="40"/>
      <c r="I578" s="35"/>
      <c r="J578" s="27"/>
    </row>
    <row r="579" spans="1:10" ht="24.9" hidden="1" customHeight="1" x14ac:dyDescent="0.3">
      <c r="A579" s="32" t="s">
        <v>718</v>
      </c>
      <c r="B579" s="33" t="s">
        <v>735</v>
      </c>
      <c r="C579" s="33" t="s">
        <v>720</v>
      </c>
      <c r="D579" s="33" t="s">
        <v>736</v>
      </c>
      <c r="E579" s="33" t="s">
        <v>799</v>
      </c>
      <c r="F579" s="34" t="s">
        <v>127</v>
      </c>
      <c r="G579" s="40"/>
      <c r="H579" s="40"/>
      <c r="I579" s="35"/>
      <c r="J579" s="27"/>
    </row>
    <row r="580" spans="1:10" ht="24.9" hidden="1" customHeight="1" x14ac:dyDescent="0.3">
      <c r="A580" s="32" t="s">
        <v>718</v>
      </c>
      <c r="B580" s="33" t="s">
        <v>735</v>
      </c>
      <c r="C580" s="33" t="s">
        <v>720</v>
      </c>
      <c r="D580" s="33" t="s">
        <v>736</v>
      </c>
      <c r="E580" s="33" t="s">
        <v>737</v>
      </c>
      <c r="F580" s="34" t="s">
        <v>673</v>
      </c>
      <c r="G580" s="40"/>
      <c r="H580" s="40" t="s">
        <v>378</v>
      </c>
      <c r="I580" s="35" t="s">
        <v>738</v>
      </c>
      <c r="J580" s="27"/>
    </row>
    <row r="581" spans="1:10" ht="24.9" hidden="1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694</v>
      </c>
      <c r="F581" s="34" t="s">
        <v>673</v>
      </c>
      <c r="G581" s="40"/>
      <c r="H581" s="40" t="s">
        <v>168</v>
      </c>
      <c r="I581" s="35" t="s">
        <v>695</v>
      </c>
      <c r="J581" s="27"/>
    </row>
    <row r="582" spans="1:10" ht="24.9" hidden="1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692</v>
      </c>
      <c r="F582" s="34" t="s">
        <v>673</v>
      </c>
      <c r="G582" s="40"/>
      <c r="H582" s="40" t="s">
        <v>378</v>
      </c>
      <c r="I582" s="35" t="s">
        <v>693</v>
      </c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714</v>
      </c>
      <c r="F583" s="34" t="s">
        <v>127</v>
      </c>
      <c r="G583" s="40"/>
      <c r="H583" s="40"/>
      <c r="I583" s="35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747</v>
      </c>
      <c r="F584" s="34" t="s">
        <v>127</v>
      </c>
      <c r="G584" s="40"/>
      <c r="H584" s="40"/>
      <c r="I584" s="35"/>
      <c r="J584" s="27"/>
    </row>
    <row r="585" spans="1:10" ht="24.9" hidden="1" customHeight="1" x14ac:dyDescent="0.3">
      <c r="A585" s="32" t="s">
        <v>718</v>
      </c>
      <c r="B585" s="33" t="s">
        <v>722</v>
      </c>
      <c r="C585" s="33" t="s">
        <v>720</v>
      </c>
      <c r="D585" s="33" t="s">
        <v>723</v>
      </c>
      <c r="E585" s="33" t="s">
        <v>700</v>
      </c>
      <c r="F585" s="34" t="s">
        <v>95</v>
      </c>
      <c r="G585" s="40"/>
      <c r="H585" s="40"/>
      <c r="I585" s="114"/>
      <c r="J585" s="27"/>
    </row>
    <row r="586" spans="1:10" ht="24.9" hidden="1" customHeight="1" x14ac:dyDescent="0.3">
      <c r="A586" s="32" t="s">
        <v>718</v>
      </c>
      <c r="B586" s="33" t="s">
        <v>722</v>
      </c>
      <c r="C586" s="33" t="s">
        <v>720</v>
      </c>
      <c r="D586" s="33" t="s">
        <v>723</v>
      </c>
      <c r="E586" s="33" t="s">
        <v>701</v>
      </c>
      <c r="F586" s="34" t="s">
        <v>95</v>
      </c>
      <c r="G586" s="40"/>
      <c r="H586" s="40"/>
      <c r="I586" s="114"/>
      <c r="J586" s="27"/>
    </row>
    <row r="587" spans="1:10" ht="24.9" hidden="1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130</v>
      </c>
      <c r="F587" s="34" t="s">
        <v>127</v>
      </c>
      <c r="G587" s="40"/>
      <c r="H587" s="40"/>
      <c r="I587" s="35"/>
      <c r="J587" s="27"/>
    </row>
    <row r="588" spans="1:10" ht="24.9" hidden="1" customHeight="1" x14ac:dyDescent="0.3">
      <c r="A588" s="32" t="s">
        <v>718</v>
      </c>
      <c r="B588" s="33" t="s">
        <v>739</v>
      </c>
      <c r="C588" s="33" t="s">
        <v>720</v>
      </c>
      <c r="D588" s="33" t="s">
        <v>740</v>
      </c>
      <c r="E588" s="33" t="s">
        <v>799</v>
      </c>
      <c r="F588" s="34" t="s">
        <v>127</v>
      </c>
      <c r="G588" s="40"/>
      <c r="H588" s="40"/>
      <c r="I588" s="35"/>
      <c r="J588" s="27"/>
    </row>
    <row r="589" spans="1:10" ht="24.9" hidden="1" customHeight="1" x14ac:dyDescent="0.3">
      <c r="A589" s="32" t="s">
        <v>718</v>
      </c>
      <c r="B589" s="33" t="s">
        <v>739</v>
      </c>
      <c r="C589" s="33" t="s">
        <v>720</v>
      </c>
      <c r="D589" s="33" t="s">
        <v>740</v>
      </c>
      <c r="E589" s="33" t="s">
        <v>737</v>
      </c>
      <c r="F589" s="34" t="s">
        <v>673</v>
      </c>
      <c r="G589" s="40"/>
      <c r="H589" s="40" t="s">
        <v>378</v>
      </c>
      <c r="I589" s="35" t="s">
        <v>738</v>
      </c>
      <c r="J589" s="27"/>
    </row>
    <row r="590" spans="1:10" ht="24.9" hidden="1" customHeight="1" x14ac:dyDescent="0.3">
      <c r="A590" s="32" t="s">
        <v>718</v>
      </c>
      <c r="B590" s="33" t="s">
        <v>757</v>
      </c>
      <c r="C590" s="33" t="s">
        <v>725</v>
      </c>
      <c r="D590" s="33" t="s">
        <v>754</v>
      </c>
      <c r="E590" s="33" t="s">
        <v>775</v>
      </c>
      <c r="F590" s="34" t="s">
        <v>167</v>
      </c>
      <c r="G590" s="40"/>
      <c r="H590" s="40"/>
      <c r="I590" s="35"/>
      <c r="J590" s="27"/>
    </row>
    <row r="591" spans="1:10" ht="24.9" hidden="1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731</v>
      </c>
      <c r="F591" s="34" t="s">
        <v>673</v>
      </c>
      <c r="G591" s="40"/>
      <c r="H591" s="40" t="s">
        <v>378</v>
      </c>
      <c r="I591" s="35" t="s">
        <v>732</v>
      </c>
      <c r="J591" s="27"/>
    </row>
    <row r="592" spans="1:10" ht="24.9" hidden="1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711</v>
      </c>
      <c r="F592" s="34" t="s">
        <v>127</v>
      </c>
      <c r="G592" s="40"/>
      <c r="H592" s="40"/>
      <c r="I592" s="35"/>
      <c r="J592" s="27"/>
    </row>
    <row r="593" spans="1:10" ht="24.9" hidden="1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130</v>
      </c>
      <c r="F593" s="34" t="s">
        <v>167</v>
      </c>
      <c r="G593" s="40"/>
      <c r="H593" s="40"/>
      <c r="I593" s="35"/>
      <c r="J593" s="27"/>
    </row>
    <row r="594" spans="1:10" ht="24.9" hidden="1" customHeight="1" x14ac:dyDescent="0.3">
      <c r="A594" s="32" t="s">
        <v>718</v>
      </c>
      <c r="B594" s="33" t="s">
        <v>728</v>
      </c>
      <c r="C594" s="33" t="s">
        <v>729</v>
      </c>
      <c r="D594" s="33" t="s">
        <v>730</v>
      </c>
      <c r="E594" s="33" t="s">
        <v>746</v>
      </c>
      <c r="F594" s="34" t="s">
        <v>167</v>
      </c>
      <c r="G594" s="40"/>
      <c r="H594" s="40"/>
      <c r="I594" s="35"/>
      <c r="J594" s="27"/>
    </row>
    <row r="595" spans="1:10" ht="24.9" hidden="1" customHeight="1" x14ac:dyDescent="0.3">
      <c r="A595" s="32" t="s">
        <v>718</v>
      </c>
      <c r="B595" s="33" t="s">
        <v>728</v>
      </c>
      <c r="C595" s="33" t="s">
        <v>729</v>
      </c>
      <c r="D595" s="33" t="s">
        <v>730</v>
      </c>
      <c r="E595" s="33" t="s">
        <v>798</v>
      </c>
      <c r="F595" s="34" t="s">
        <v>167</v>
      </c>
      <c r="G595" s="40"/>
      <c r="H595" s="40"/>
      <c r="I595" s="35"/>
      <c r="J595" s="27"/>
    </row>
    <row r="596" spans="1:10" ht="24.9" hidden="1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130</v>
      </c>
      <c r="F596" s="34" t="s">
        <v>127</v>
      </c>
      <c r="G596" s="40"/>
      <c r="H596" s="40"/>
      <c r="I596" s="35"/>
      <c r="J596" s="27"/>
    </row>
    <row r="597" spans="1:10" ht="24.9" hidden="1" customHeight="1" x14ac:dyDescent="0.3">
      <c r="A597" s="32" t="s">
        <v>718</v>
      </c>
      <c r="B597" s="33" t="s">
        <v>741</v>
      </c>
      <c r="C597" s="33" t="s">
        <v>720</v>
      </c>
      <c r="D597" s="33" t="s">
        <v>742</v>
      </c>
      <c r="E597" s="33" t="s">
        <v>711</v>
      </c>
      <c r="F597" s="34" t="s">
        <v>127</v>
      </c>
      <c r="G597" s="40"/>
      <c r="H597" s="40"/>
      <c r="I597" s="35"/>
      <c r="J597" s="27"/>
    </row>
    <row r="598" spans="1:10" ht="24.9" hidden="1" customHeight="1" x14ac:dyDescent="0.3">
      <c r="A598" s="32" t="s">
        <v>718</v>
      </c>
      <c r="B598" s="33" t="s">
        <v>741</v>
      </c>
      <c r="C598" s="33" t="s">
        <v>720</v>
      </c>
      <c r="D598" s="33" t="s">
        <v>742</v>
      </c>
      <c r="E598" s="33" t="s">
        <v>737</v>
      </c>
      <c r="F598" s="34" t="s">
        <v>673</v>
      </c>
      <c r="G598" s="40"/>
      <c r="H598" s="40" t="s">
        <v>378</v>
      </c>
      <c r="I598" s="35" t="s">
        <v>743</v>
      </c>
      <c r="J598" s="27"/>
    </row>
    <row r="599" spans="1:10" ht="24.9" hidden="1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731</v>
      </c>
      <c r="F599" s="34" t="s">
        <v>673</v>
      </c>
      <c r="G599" s="40"/>
      <c r="H599" s="40" t="s">
        <v>378</v>
      </c>
      <c r="I599" s="35" t="s">
        <v>732</v>
      </c>
      <c r="J599" s="27"/>
    </row>
    <row r="600" spans="1:10" ht="24.9" hidden="1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711</v>
      </c>
      <c r="F600" s="34" t="s">
        <v>127</v>
      </c>
      <c r="G600" s="40"/>
      <c r="H600" s="40"/>
      <c r="I600" s="35"/>
      <c r="J600" s="27"/>
    </row>
    <row r="601" spans="1:10" ht="24.9" hidden="1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746</v>
      </c>
      <c r="F601" s="34" t="s">
        <v>127</v>
      </c>
      <c r="G601" s="40"/>
      <c r="H601" s="40"/>
      <c r="I601" s="35"/>
      <c r="J601" s="27"/>
    </row>
    <row r="602" spans="1:10" ht="24.9" hidden="1" customHeight="1" x14ac:dyDescent="0.3">
      <c r="A602" s="32" t="s">
        <v>718</v>
      </c>
      <c r="B602" s="33" t="s">
        <v>733</v>
      </c>
      <c r="C602" s="33" t="s">
        <v>729</v>
      </c>
      <c r="D602" s="33" t="s">
        <v>734</v>
      </c>
      <c r="E602" s="33" t="s">
        <v>130</v>
      </c>
      <c r="F602" s="34" t="s">
        <v>167</v>
      </c>
      <c r="G602" s="40"/>
      <c r="H602" s="40"/>
      <c r="I602" s="35"/>
      <c r="J602" s="27"/>
    </row>
    <row r="603" spans="1:10" ht="24.9" hidden="1" customHeight="1" x14ac:dyDescent="0.3">
      <c r="A603" s="32" t="s">
        <v>718</v>
      </c>
      <c r="B603" s="33" t="s">
        <v>733</v>
      </c>
      <c r="C603" s="33" t="s">
        <v>729</v>
      </c>
      <c r="D603" s="33" t="s">
        <v>734</v>
      </c>
      <c r="E603" s="33" t="s">
        <v>798</v>
      </c>
      <c r="F603" s="34" t="s">
        <v>167</v>
      </c>
      <c r="G603" s="40"/>
      <c r="H603" s="40"/>
      <c r="I603" s="35"/>
      <c r="J603" s="27"/>
    </row>
    <row r="604" spans="1:10" ht="24.9" hidden="1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130</v>
      </c>
      <c r="F604" s="34" t="s">
        <v>127</v>
      </c>
      <c r="G604" s="40"/>
      <c r="H604" s="40"/>
      <c r="I604" s="35"/>
      <c r="J604" s="27"/>
    </row>
    <row r="605" spans="1:10" ht="24.9" hidden="1" customHeight="1" x14ac:dyDescent="0.3">
      <c r="A605" s="32" t="s">
        <v>718</v>
      </c>
      <c r="B605" s="33" t="s">
        <v>744</v>
      </c>
      <c r="C605" s="33" t="s">
        <v>720</v>
      </c>
      <c r="D605" s="33" t="s">
        <v>745</v>
      </c>
      <c r="E605" s="33" t="s">
        <v>711</v>
      </c>
      <c r="F605" s="34" t="s">
        <v>127</v>
      </c>
      <c r="G605" s="40"/>
      <c r="H605" s="40"/>
      <c r="I605" s="35"/>
      <c r="J605" s="27"/>
    </row>
    <row r="606" spans="1:10" ht="24.9" hidden="1" customHeight="1" x14ac:dyDescent="0.3">
      <c r="A606" s="32" t="s">
        <v>718</v>
      </c>
      <c r="B606" s="33" t="s">
        <v>744</v>
      </c>
      <c r="C606" s="33" t="s">
        <v>720</v>
      </c>
      <c r="D606" s="33" t="s">
        <v>745</v>
      </c>
      <c r="E606" s="33" t="s">
        <v>737</v>
      </c>
      <c r="F606" s="34" t="s">
        <v>673</v>
      </c>
      <c r="G606" s="40"/>
      <c r="H606" s="40" t="s">
        <v>378</v>
      </c>
      <c r="I606" s="35" t="s">
        <v>743</v>
      </c>
      <c r="J606" s="27"/>
    </row>
    <row r="607" spans="1:10" ht="24.9" hidden="1" customHeight="1" x14ac:dyDescent="0.3">
      <c r="A607" s="32" t="s">
        <v>718</v>
      </c>
      <c r="B607" s="33" t="s">
        <v>749</v>
      </c>
      <c r="C607" s="33" t="s">
        <v>720</v>
      </c>
      <c r="D607" s="33" t="s">
        <v>750</v>
      </c>
      <c r="E607" s="33" t="s">
        <v>751</v>
      </c>
      <c r="F607" s="34" t="s">
        <v>127</v>
      </c>
      <c r="G607" s="40"/>
      <c r="H607" s="40"/>
      <c r="I607" s="35"/>
      <c r="J607" s="27"/>
    </row>
    <row r="608" spans="1:10" ht="24.9" hidden="1" customHeight="1" x14ac:dyDescent="0.3">
      <c r="A608" s="32" t="s">
        <v>718</v>
      </c>
      <c r="B608" s="33" t="s">
        <v>749</v>
      </c>
      <c r="C608" s="33" t="s">
        <v>720</v>
      </c>
      <c r="D608" s="33" t="s">
        <v>750</v>
      </c>
      <c r="E608" s="33" t="s">
        <v>752</v>
      </c>
      <c r="F608" s="34" t="s">
        <v>127</v>
      </c>
      <c r="G608" s="40"/>
      <c r="H608" s="40"/>
      <c r="I608" s="35"/>
      <c r="J608" s="27"/>
    </row>
    <row r="609" spans="1:10" ht="24.9" hidden="1" customHeight="1" x14ac:dyDescent="0.3">
      <c r="A609" s="32" t="s">
        <v>718</v>
      </c>
      <c r="B609" s="33" t="s">
        <v>753</v>
      </c>
      <c r="C609" s="33" t="s">
        <v>725</v>
      </c>
      <c r="D609" s="33" t="s">
        <v>754</v>
      </c>
      <c r="E609" s="33" t="s">
        <v>756</v>
      </c>
      <c r="F609" s="34" t="s">
        <v>127</v>
      </c>
      <c r="G609" s="40"/>
      <c r="H609" s="40"/>
      <c r="I609" s="35"/>
      <c r="J609" s="27"/>
    </row>
    <row r="610" spans="1:10" ht="24.9" hidden="1" customHeight="1" x14ac:dyDescent="0.3">
      <c r="A610" s="32" t="s">
        <v>718</v>
      </c>
      <c r="B610" s="33" t="s">
        <v>753</v>
      </c>
      <c r="C610" s="33" t="s">
        <v>725</v>
      </c>
      <c r="D610" s="33" t="s">
        <v>754</v>
      </c>
      <c r="E610" s="33" t="s">
        <v>755</v>
      </c>
      <c r="F610" s="34" t="s">
        <v>167</v>
      </c>
      <c r="G610" s="40"/>
      <c r="H610" s="40"/>
      <c r="I610" s="35"/>
      <c r="J610" s="27"/>
    </row>
    <row r="611" spans="1:10" ht="15.75" hidden="1" customHeight="1" x14ac:dyDescent="0.3">
      <c r="A611" s="32"/>
      <c r="B611" s="33"/>
      <c r="C611" s="33"/>
      <c r="D611" s="33"/>
      <c r="E611" s="33"/>
      <c r="F611" s="34"/>
      <c r="G611" s="40"/>
      <c r="H611" s="40"/>
      <c r="I611" s="35"/>
      <c r="J611" s="27"/>
    </row>
  </sheetData>
  <autoFilter ref="A4:GF611" xr:uid="{00000000-0001-0000-0000-000000000000}">
    <filterColumn colId="5">
      <filters>
        <filter val="JAN, FEV, MAR, ABR, MAI, JUN, JUL, AGO, SET, OUT, NOV, DEZ"/>
      </filters>
    </filterColumn>
    <sortState xmlns:xlrd2="http://schemas.microsoft.com/office/spreadsheetml/2017/richdata2" ref="A6:GF94">
      <sortCondition ref="A4:A611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5FEA-702C-435D-B312-9BB4B4B23357}">
  <sheetPr filterMode="1">
    <pageSetUpPr fitToPage="1"/>
  </sheetPr>
  <dimension ref="A1:GF609"/>
  <sheetViews>
    <sheetView showGridLines="0" zoomScale="90" zoomScaleNormal="90" workbookViewId="0">
      <pane xSplit="6" ySplit="4" topLeftCell="G594" activePane="bottomRight" state="frozen"/>
      <selection pane="topRight" activeCell="I1" sqref="I1"/>
      <selection pane="bottomLeft" activeCell="A4" sqref="A4"/>
      <selection pane="bottomRight" activeCell="D614" sqref="D614"/>
    </sheetView>
  </sheetViews>
  <sheetFormatPr defaultColWidth="14.44140625" defaultRowHeight="15" customHeight="1" x14ac:dyDescent="0.3"/>
  <cols>
    <col min="1" max="1" width="7.6640625" customWidth="1"/>
    <col min="2" max="2" width="10.88671875" customWidth="1"/>
    <col min="3" max="3" width="16.5546875" bestFit="1" customWidth="1"/>
    <col min="4" max="4" width="69.33203125" bestFit="1" customWidth="1"/>
    <col min="5" max="5" width="46.88671875" bestFit="1" customWidth="1"/>
    <col min="6" max="6" width="12" customWidth="1"/>
    <col min="7" max="7" width="6.88671875" hidden="1" customWidth="1"/>
    <col min="8" max="8" width="26.5546875" customWidth="1"/>
    <col min="9" max="9" width="31.88671875" style="117" customWidth="1"/>
    <col min="10" max="10" width="15.6640625" customWidth="1"/>
  </cols>
  <sheetData>
    <row r="1" spans="1:10" ht="24.9" customHeight="1" x14ac:dyDescent="0.3">
      <c r="I1" s="151" t="s">
        <v>13</v>
      </c>
      <c r="J1" s="151"/>
    </row>
    <row r="2" spans="1:10" ht="24.9" customHeight="1" x14ac:dyDescent="0.3">
      <c r="A2" s="1"/>
      <c r="B2" s="2"/>
      <c r="C2" s="2"/>
      <c r="D2" s="2"/>
      <c r="E2" s="2"/>
      <c r="F2" s="3"/>
      <c r="G2" s="6"/>
      <c r="H2" s="135"/>
      <c r="I2" s="151"/>
      <c r="J2" s="151"/>
    </row>
    <row r="3" spans="1:10" ht="24.9" customHeight="1" x14ac:dyDescent="0.3">
      <c r="A3" s="6"/>
      <c r="B3" s="10"/>
      <c r="C3" s="10"/>
      <c r="D3" s="10"/>
      <c r="E3" s="10"/>
      <c r="F3" s="2"/>
      <c r="G3" s="6"/>
      <c r="H3" s="136"/>
      <c r="I3" s="152"/>
      <c r="J3" s="152"/>
    </row>
    <row r="4" spans="1:10" ht="51" customHeight="1" x14ac:dyDescent="0.3">
      <c r="A4" s="110" t="s">
        <v>67</v>
      </c>
      <c r="B4" s="110" t="s">
        <v>68</v>
      </c>
      <c r="C4" s="110" t="s">
        <v>69</v>
      </c>
      <c r="D4" s="110" t="s">
        <v>70</v>
      </c>
      <c r="E4" s="110" t="s">
        <v>71</v>
      </c>
      <c r="F4" s="110" t="s">
        <v>73</v>
      </c>
      <c r="G4" s="18" t="s">
        <v>78</v>
      </c>
      <c r="H4" s="110" t="s">
        <v>79</v>
      </c>
      <c r="I4" s="113" t="s">
        <v>75</v>
      </c>
      <c r="J4" s="111" t="s">
        <v>76</v>
      </c>
    </row>
    <row r="5" spans="1:10" ht="24.9" hidden="1" customHeight="1" x14ac:dyDescent="0.3">
      <c r="A5" s="59">
        <v>10</v>
      </c>
      <c r="B5" s="61" t="s">
        <v>97</v>
      </c>
      <c r="C5" s="61" t="s">
        <v>98</v>
      </c>
      <c r="D5" s="61" t="s">
        <v>98</v>
      </c>
      <c r="E5" s="61" t="s">
        <v>760</v>
      </c>
      <c r="F5" s="63" t="s">
        <v>99</v>
      </c>
      <c r="G5" s="29"/>
      <c r="H5" s="70"/>
      <c r="I5" s="123"/>
      <c r="J5" s="27"/>
    </row>
    <row r="6" spans="1:10" ht="24.9" customHeight="1" x14ac:dyDescent="0.3">
      <c r="A6" s="32">
        <v>20</v>
      </c>
      <c r="B6" s="33" t="s">
        <v>114</v>
      </c>
      <c r="C6" s="33" t="s">
        <v>115</v>
      </c>
      <c r="D6" s="33" t="s">
        <v>116</v>
      </c>
      <c r="E6" s="33" t="s">
        <v>117</v>
      </c>
      <c r="F6" s="34" t="s">
        <v>119</v>
      </c>
      <c r="G6" s="37"/>
      <c r="H6" s="37"/>
      <c r="I6" s="114" t="s">
        <v>120</v>
      </c>
      <c r="J6" s="38"/>
    </row>
    <row r="7" spans="1:10" ht="24.9" hidden="1" customHeight="1" x14ac:dyDescent="0.3">
      <c r="A7" s="32">
        <v>20</v>
      </c>
      <c r="B7" s="33" t="s">
        <v>112</v>
      </c>
      <c r="C7" s="33" t="s">
        <v>102</v>
      </c>
      <c r="D7" s="33" t="s">
        <v>113</v>
      </c>
      <c r="E7" s="33"/>
      <c r="F7" s="34" t="s">
        <v>99</v>
      </c>
      <c r="G7" s="40"/>
      <c r="H7" s="40"/>
      <c r="I7" s="114"/>
      <c r="J7" s="27"/>
    </row>
    <row r="8" spans="1:10" ht="24.9" hidden="1" customHeight="1" x14ac:dyDescent="0.3">
      <c r="A8" s="32">
        <v>20</v>
      </c>
      <c r="B8" s="33" t="s">
        <v>101</v>
      </c>
      <c r="C8" s="33" t="s">
        <v>102</v>
      </c>
      <c r="D8" s="33" t="s">
        <v>103</v>
      </c>
      <c r="E8" s="33" t="s">
        <v>104</v>
      </c>
      <c r="F8" s="34" t="s">
        <v>99</v>
      </c>
      <c r="G8" s="40"/>
      <c r="H8" s="40"/>
      <c r="I8" s="114"/>
      <c r="J8" s="27"/>
    </row>
    <row r="9" spans="1:10" ht="24.9" hidden="1" customHeight="1" x14ac:dyDescent="0.3">
      <c r="A9" s="32">
        <v>20</v>
      </c>
      <c r="B9" s="33" t="s">
        <v>110</v>
      </c>
      <c r="C9" s="33" t="s">
        <v>102</v>
      </c>
      <c r="D9" s="33" t="s">
        <v>111</v>
      </c>
      <c r="E9" s="33" t="s">
        <v>104</v>
      </c>
      <c r="F9" s="34" t="s">
        <v>99</v>
      </c>
      <c r="G9" s="40"/>
      <c r="H9" s="40"/>
      <c r="I9" s="114"/>
      <c r="J9" s="27"/>
    </row>
    <row r="10" spans="1:10" ht="24.9" hidden="1" customHeight="1" x14ac:dyDescent="0.3">
      <c r="A10" s="32">
        <v>20</v>
      </c>
      <c r="B10" s="33" t="s">
        <v>106</v>
      </c>
      <c r="C10" s="33" t="s">
        <v>107</v>
      </c>
      <c r="D10" s="33" t="s">
        <v>108</v>
      </c>
      <c r="E10" s="33" t="s">
        <v>109</v>
      </c>
      <c r="F10" s="34" t="s">
        <v>99</v>
      </c>
      <c r="G10" s="40"/>
      <c r="H10" s="40"/>
      <c r="I10" s="114"/>
      <c r="J10" s="27"/>
    </row>
    <row r="11" spans="1:10" ht="24.9" customHeight="1" x14ac:dyDescent="0.3">
      <c r="A11" s="32">
        <v>30</v>
      </c>
      <c r="B11" s="33" t="s">
        <v>133</v>
      </c>
      <c r="C11" s="33" t="s">
        <v>122</v>
      </c>
      <c r="D11" s="33" t="s">
        <v>134</v>
      </c>
      <c r="E11" s="33" t="s">
        <v>130</v>
      </c>
      <c r="F11" s="34" t="s">
        <v>119</v>
      </c>
      <c r="G11" s="40"/>
      <c r="H11" s="40"/>
      <c r="I11" s="114"/>
      <c r="J11" s="27"/>
    </row>
    <row r="12" spans="1:10" ht="24.9" customHeight="1" x14ac:dyDescent="0.3">
      <c r="A12" s="32">
        <v>30</v>
      </c>
      <c r="B12" s="33" t="s">
        <v>135</v>
      </c>
      <c r="C12" s="33" t="s">
        <v>122</v>
      </c>
      <c r="D12" s="33" t="s">
        <v>136</v>
      </c>
      <c r="E12" s="33" t="s">
        <v>130</v>
      </c>
      <c r="F12" s="34" t="s">
        <v>119</v>
      </c>
      <c r="G12" s="40"/>
      <c r="H12" s="40"/>
      <c r="I12" s="114"/>
      <c r="J12" s="27"/>
    </row>
    <row r="13" spans="1:10" ht="24.9" customHeight="1" x14ac:dyDescent="0.3">
      <c r="A13" s="32">
        <v>30</v>
      </c>
      <c r="B13" s="33" t="s">
        <v>124</v>
      </c>
      <c r="C13" s="33" t="s">
        <v>122</v>
      </c>
      <c r="D13" s="33" t="s">
        <v>125</v>
      </c>
      <c r="E13" s="33" t="s">
        <v>761</v>
      </c>
      <c r="F13" s="34" t="s">
        <v>119</v>
      </c>
      <c r="G13" s="40"/>
      <c r="H13" s="40"/>
      <c r="I13" s="114"/>
      <c r="J13" s="27"/>
    </row>
    <row r="14" spans="1:10" ht="24.9" hidden="1" customHeight="1" x14ac:dyDescent="0.3">
      <c r="A14" s="32">
        <v>30</v>
      </c>
      <c r="B14" s="33" t="s">
        <v>124</v>
      </c>
      <c r="C14" s="33" t="s">
        <v>122</v>
      </c>
      <c r="D14" s="33" t="s">
        <v>125</v>
      </c>
      <c r="E14" s="33" t="s">
        <v>126</v>
      </c>
      <c r="F14" s="34" t="s">
        <v>99</v>
      </c>
      <c r="G14" s="40"/>
      <c r="H14" s="40"/>
      <c r="I14" s="114"/>
      <c r="J14" s="27"/>
    </row>
    <row r="15" spans="1:10" ht="24.9" customHeight="1" x14ac:dyDescent="0.3">
      <c r="A15" s="32">
        <v>30</v>
      </c>
      <c r="B15" s="33" t="s">
        <v>128</v>
      </c>
      <c r="C15" s="33" t="s">
        <v>122</v>
      </c>
      <c r="D15" s="33" t="s">
        <v>129</v>
      </c>
      <c r="E15" s="33" t="s">
        <v>130</v>
      </c>
      <c r="F15" s="34" t="s">
        <v>119</v>
      </c>
      <c r="G15" s="40"/>
      <c r="H15" s="40"/>
      <c r="I15" s="114"/>
      <c r="J15" s="27"/>
    </row>
    <row r="16" spans="1:10" ht="24.9" hidden="1" customHeight="1" x14ac:dyDescent="0.3">
      <c r="A16" s="32">
        <v>30</v>
      </c>
      <c r="B16" s="33" t="s">
        <v>128</v>
      </c>
      <c r="C16" s="33" t="s">
        <v>122</v>
      </c>
      <c r="D16" s="33" t="s">
        <v>129</v>
      </c>
      <c r="E16" s="33" t="s">
        <v>131</v>
      </c>
      <c r="F16" s="34" t="s">
        <v>99</v>
      </c>
      <c r="G16" s="40"/>
      <c r="H16" s="40"/>
      <c r="I16" s="114"/>
      <c r="J16" s="27"/>
    </row>
    <row r="17" spans="1:10" ht="24.9" customHeight="1" x14ac:dyDescent="0.3">
      <c r="A17" s="32">
        <v>30</v>
      </c>
      <c r="B17" s="33" t="s">
        <v>121</v>
      </c>
      <c r="C17" s="33" t="s">
        <v>122</v>
      </c>
      <c r="D17" s="33" t="s">
        <v>123</v>
      </c>
      <c r="E17" s="33" t="s">
        <v>117</v>
      </c>
      <c r="F17" s="34" t="s">
        <v>119</v>
      </c>
      <c r="G17" s="40"/>
      <c r="H17" s="40"/>
      <c r="I17" s="114"/>
      <c r="J17" s="27"/>
    </row>
    <row r="18" spans="1:10" ht="24.9" hidden="1" customHeight="1" x14ac:dyDescent="0.3">
      <c r="A18" s="32">
        <v>31</v>
      </c>
      <c r="B18" s="33" t="s">
        <v>137</v>
      </c>
      <c r="C18" s="33" t="s">
        <v>138</v>
      </c>
      <c r="D18" s="33" t="s">
        <v>139</v>
      </c>
      <c r="E18" s="33" t="s">
        <v>140</v>
      </c>
      <c r="F18" s="34" t="s">
        <v>99</v>
      </c>
      <c r="G18" s="40"/>
      <c r="H18" s="40"/>
      <c r="I18" s="114" t="s">
        <v>762</v>
      </c>
      <c r="J18" s="27"/>
    </row>
    <row r="19" spans="1:10" ht="24.9" hidden="1" customHeight="1" x14ac:dyDescent="0.3">
      <c r="A19" s="32">
        <v>31</v>
      </c>
      <c r="B19" s="33" t="s">
        <v>137</v>
      </c>
      <c r="C19" s="33" t="s">
        <v>138</v>
      </c>
      <c r="D19" s="33" t="s">
        <v>139</v>
      </c>
      <c r="E19" s="33" t="s">
        <v>142</v>
      </c>
      <c r="F19" s="34" t="s">
        <v>99</v>
      </c>
      <c r="G19" s="40"/>
      <c r="H19" s="40"/>
      <c r="I19" s="114" t="s">
        <v>762</v>
      </c>
      <c r="J19" s="27"/>
    </row>
    <row r="20" spans="1:10" ht="24.9" hidden="1" customHeight="1" x14ac:dyDescent="0.3">
      <c r="A20" s="32">
        <v>31</v>
      </c>
      <c r="B20" s="33" t="s">
        <v>137</v>
      </c>
      <c r="C20" s="33" t="s">
        <v>138</v>
      </c>
      <c r="D20" s="33" t="s">
        <v>139</v>
      </c>
      <c r="E20" s="33" t="s">
        <v>143</v>
      </c>
      <c r="F20" s="34" t="s">
        <v>99</v>
      </c>
      <c r="G20" s="40"/>
      <c r="H20" s="40"/>
      <c r="I20" s="114" t="s">
        <v>762</v>
      </c>
      <c r="J20" s="27"/>
    </row>
    <row r="21" spans="1:10" ht="24.9" hidden="1" customHeight="1" x14ac:dyDescent="0.3">
      <c r="A21" s="32">
        <v>40</v>
      </c>
      <c r="B21" s="33" t="s">
        <v>144</v>
      </c>
      <c r="C21" s="33" t="s">
        <v>145</v>
      </c>
      <c r="D21" s="33" t="s">
        <v>146</v>
      </c>
      <c r="E21" s="33" t="s">
        <v>130</v>
      </c>
      <c r="F21" s="34" t="s">
        <v>99</v>
      </c>
      <c r="G21" s="40"/>
      <c r="H21" s="40"/>
      <c r="I21" s="114"/>
      <c r="J21" s="27"/>
    </row>
    <row r="22" spans="1:10" ht="24.9" hidden="1" customHeight="1" x14ac:dyDescent="0.3">
      <c r="A22" s="32">
        <v>40</v>
      </c>
      <c r="B22" s="33" t="s">
        <v>147</v>
      </c>
      <c r="C22" s="33" t="s">
        <v>107</v>
      </c>
      <c r="D22" s="33" t="s">
        <v>108</v>
      </c>
      <c r="E22" s="33" t="s">
        <v>130</v>
      </c>
      <c r="F22" s="34" t="s">
        <v>99</v>
      </c>
      <c r="G22" s="40"/>
      <c r="H22" s="40"/>
      <c r="I22" s="114"/>
      <c r="J22" s="27"/>
    </row>
    <row r="23" spans="1:10" ht="24.9" hidden="1" customHeight="1" x14ac:dyDescent="0.3">
      <c r="A23" s="32">
        <v>40</v>
      </c>
      <c r="B23" s="33" t="s">
        <v>148</v>
      </c>
      <c r="C23" s="33" t="s">
        <v>149</v>
      </c>
      <c r="D23" s="33" t="s">
        <v>150</v>
      </c>
      <c r="E23" s="33" t="s">
        <v>130</v>
      </c>
      <c r="F23" s="34" t="s">
        <v>99</v>
      </c>
      <c r="G23" s="40"/>
      <c r="H23" s="40"/>
      <c r="I23" s="114"/>
      <c r="J23" s="27"/>
    </row>
    <row r="24" spans="1:10" ht="24.9" hidden="1" customHeight="1" x14ac:dyDescent="0.3">
      <c r="A24" s="32">
        <v>40</v>
      </c>
      <c r="B24" s="33" t="s">
        <v>151</v>
      </c>
      <c r="C24" s="33" t="s">
        <v>152</v>
      </c>
      <c r="D24" s="33" t="s">
        <v>153</v>
      </c>
      <c r="E24" s="33" t="s">
        <v>130</v>
      </c>
      <c r="F24" s="34" t="s">
        <v>99</v>
      </c>
      <c r="G24" s="40"/>
      <c r="H24" s="40"/>
      <c r="I24" s="114"/>
      <c r="J24" s="27"/>
    </row>
    <row r="25" spans="1:10" ht="24.9" hidden="1" customHeight="1" x14ac:dyDescent="0.3">
      <c r="A25" s="32">
        <v>50</v>
      </c>
      <c r="B25" s="33" t="s">
        <v>154</v>
      </c>
      <c r="C25" s="33" t="s">
        <v>155</v>
      </c>
      <c r="D25" s="33" t="s">
        <v>156</v>
      </c>
      <c r="E25" s="33" t="s">
        <v>763</v>
      </c>
      <c r="F25" s="34" t="s">
        <v>99</v>
      </c>
      <c r="G25" s="40"/>
      <c r="H25" s="40"/>
      <c r="I25" s="114"/>
      <c r="J25" s="27"/>
    </row>
    <row r="26" spans="1:10" ht="24.9" hidden="1" customHeight="1" x14ac:dyDescent="0.3">
      <c r="A26" s="32">
        <v>50</v>
      </c>
      <c r="B26" s="33" t="s">
        <v>161</v>
      </c>
      <c r="C26" s="33" t="s">
        <v>158</v>
      </c>
      <c r="D26" s="33" t="s">
        <v>158</v>
      </c>
      <c r="E26" s="33" t="s">
        <v>130</v>
      </c>
      <c r="F26" s="34" t="s">
        <v>99</v>
      </c>
      <c r="G26" s="40"/>
      <c r="H26" s="40"/>
      <c r="I26" s="114"/>
      <c r="J26" s="27"/>
    </row>
    <row r="27" spans="1:10" ht="24.9" customHeight="1" x14ac:dyDescent="0.3">
      <c r="A27" s="32">
        <v>50</v>
      </c>
      <c r="B27" s="33" t="s">
        <v>161</v>
      </c>
      <c r="C27" s="33" t="s">
        <v>158</v>
      </c>
      <c r="D27" s="33" t="s">
        <v>158</v>
      </c>
      <c r="E27" s="33" t="s">
        <v>162</v>
      </c>
      <c r="F27" s="34" t="s">
        <v>127</v>
      </c>
      <c r="G27" s="40"/>
      <c r="H27" s="40"/>
      <c r="I27" s="114"/>
      <c r="J27" s="27"/>
    </row>
    <row r="28" spans="1:10" ht="24.9" customHeight="1" x14ac:dyDescent="0.3">
      <c r="A28" s="32">
        <v>50</v>
      </c>
      <c r="B28" s="33" t="s">
        <v>161</v>
      </c>
      <c r="C28" s="33" t="s">
        <v>158</v>
      </c>
      <c r="D28" s="33" t="s">
        <v>158</v>
      </c>
      <c r="E28" s="33" t="s">
        <v>166</v>
      </c>
      <c r="F28" s="34" t="s">
        <v>673</v>
      </c>
      <c r="G28" s="40"/>
      <c r="H28" s="40" t="s">
        <v>168</v>
      </c>
      <c r="I28" s="114" t="s">
        <v>169</v>
      </c>
      <c r="J28" s="27"/>
    </row>
    <row r="29" spans="1:10" ht="24.9" hidden="1" customHeight="1" x14ac:dyDescent="0.3">
      <c r="A29" s="32">
        <v>50</v>
      </c>
      <c r="B29" s="33" t="s">
        <v>163</v>
      </c>
      <c r="C29" s="33" t="s">
        <v>158</v>
      </c>
      <c r="D29" s="33" t="s">
        <v>164</v>
      </c>
      <c r="E29" s="33" t="s">
        <v>165</v>
      </c>
      <c r="F29" s="34" t="s">
        <v>99</v>
      </c>
      <c r="G29" s="40"/>
      <c r="H29" s="40"/>
      <c r="I29" s="114"/>
      <c r="J29" s="27"/>
    </row>
    <row r="30" spans="1:10" ht="24.9" hidden="1" customHeight="1" x14ac:dyDescent="0.3">
      <c r="A30" s="32">
        <v>50</v>
      </c>
      <c r="B30" s="33" t="s">
        <v>157</v>
      </c>
      <c r="C30" s="33" t="s">
        <v>158</v>
      </c>
      <c r="D30" s="33" t="s">
        <v>159</v>
      </c>
      <c r="E30" s="33" t="s">
        <v>160</v>
      </c>
      <c r="F30" s="34" t="s">
        <v>99</v>
      </c>
      <c r="G30" s="40"/>
      <c r="H30" s="40"/>
      <c r="I30" s="114"/>
      <c r="J30" s="27"/>
    </row>
    <row r="31" spans="1:10" ht="24.9" customHeight="1" x14ac:dyDescent="0.3">
      <c r="A31" s="32">
        <v>60</v>
      </c>
      <c r="B31" s="33" t="s">
        <v>190</v>
      </c>
      <c r="C31" s="33" t="s">
        <v>171</v>
      </c>
      <c r="D31" s="33" t="s">
        <v>191</v>
      </c>
      <c r="E31" s="33" t="s">
        <v>173</v>
      </c>
      <c r="F31" s="34" t="s">
        <v>127</v>
      </c>
      <c r="G31" s="40"/>
      <c r="H31" s="40"/>
      <c r="I31" s="114"/>
      <c r="J31" s="27"/>
    </row>
    <row r="32" spans="1:10" ht="24.9" customHeight="1" x14ac:dyDescent="0.3">
      <c r="A32" s="32">
        <v>60</v>
      </c>
      <c r="B32" s="33" t="s">
        <v>170</v>
      </c>
      <c r="C32" s="33" t="s">
        <v>171</v>
      </c>
      <c r="D32" s="33" t="s">
        <v>172</v>
      </c>
      <c r="E32" s="33" t="s">
        <v>173</v>
      </c>
      <c r="F32" s="34" t="s">
        <v>127</v>
      </c>
      <c r="G32" s="40"/>
      <c r="H32" s="40"/>
      <c r="I32" s="114"/>
      <c r="J32" s="27"/>
    </row>
    <row r="33" spans="1:10" ht="24.9" customHeight="1" x14ac:dyDescent="0.3">
      <c r="A33" s="32">
        <v>60</v>
      </c>
      <c r="B33" s="33" t="s">
        <v>179</v>
      </c>
      <c r="C33" s="33" t="s">
        <v>171</v>
      </c>
      <c r="D33" s="33" t="s">
        <v>180</v>
      </c>
      <c r="E33" s="33" t="s">
        <v>173</v>
      </c>
      <c r="F33" s="34" t="s">
        <v>127</v>
      </c>
      <c r="G33" s="40"/>
      <c r="H33" s="40"/>
      <c r="I33" s="114"/>
      <c r="J33" s="27"/>
    </row>
    <row r="34" spans="1:10" ht="24.9" customHeight="1" x14ac:dyDescent="0.3">
      <c r="A34" s="32">
        <v>60</v>
      </c>
      <c r="B34" s="33" t="s">
        <v>184</v>
      </c>
      <c r="C34" s="33" t="s">
        <v>171</v>
      </c>
      <c r="D34" s="33" t="s">
        <v>185</v>
      </c>
      <c r="E34" s="33" t="s">
        <v>173</v>
      </c>
      <c r="F34" s="34" t="s">
        <v>127</v>
      </c>
      <c r="G34" s="40"/>
      <c r="H34" s="40"/>
      <c r="I34" s="114"/>
      <c r="J34" s="27"/>
    </row>
    <row r="35" spans="1:10" ht="24.9" customHeight="1" x14ac:dyDescent="0.3">
      <c r="A35" s="32">
        <v>60</v>
      </c>
      <c r="B35" s="33" t="s">
        <v>184</v>
      </c>
      <c r="C35" s="33" t="s">
        <v>171</v>
      </c>
      <c r="D35" s="33" t="s">
        <v>185</v>
      </c>
      <c r="E35" s="33" t="s">
        <v>183</v>
      </c>
      <c r="F35" s="34" t="s">
        <v>127</v>
      </c>
      <c r="G35" s="40"/>
      <c r="H35" s="40"/>
      <c r="I35" s="114"/>
      <c r="J35" s="27"/>
    </row>
    <row r="36" spans="1:10" ht="24.9" customHeight="1" x14ac:dyDescent="0.3">
      <c r="A36" s="32">
        <v>60</v>
      </c>
      <c r="B36" s="33" t="s">
        <v>174</v>
      </c>
      <c r="C36" s="33" t="s">
        <v>171</v>
      </c>
      <c r="D36" s="33" t="s">
        <v>175</v>
      </c>
      <c r="E36" s="33" t="s">
        <v>130</v>
      </c>
      <c r="F36" s="34" t="s">
        <v>127</v>
      </c>
      <c r="G36" s="40"/>
      <c r="H36" s="40"/>
      <c r="I36" s="114"/>
      <c r="J36" s="27"/>
    </row>
    <row r="37" spans="1:10" ht="24.9" customHeight="1" x14ac:dyDescent="0.3">
      <c r="A37" s="32">
        <v>60</v>
      </c>
      <c r="B37" s="33" t="s">
        <v>181</v>
      </c>
      <c r="C37" s="33" t="s">
        <v>171</v>
      </c>
      <c r="D37" s="33" t="s">
        <v>182</v>
      </c>
      <c r="E37" s="33" t="s">
        <v>173</v>
      </c>
      <c r="F37" s="34" t="s">
        <v>127</v>
      </c>
      <c r="G37" s="40"/>
      <c r="H37" s="40"/>
      <c r="I37" s="114"/>
      <c r="J37" s="27"/>
    </row>
    <row r="38" spans="1:10" ht="24.9" customHeight="1" x14ac:dyDescent="0.3">
      <c r="A38" s="32">
        <v>60</v>
      </c>
      <c r="B38" s="33" t="s">
        <v>181</v>
      </c>
      <c r="C38" s="33" t="s">
        <v>171</v>
      </c>
      <c r="D38" s="33" t="s">
        <v>182</v>
      </c>
      <c r="E38" s="33" t="s">
        <v>183</v>
      </c>
      <c r="F38" s="34" t="s">
        <v>127</v>
      </c>
      <c r="G38" s="40"/>
      <c r="H38" s="40"/>
      <c r="I38" s="114"/>
      <c r="J38" s="27"/>
    </row>
    <row r="39" spans="1:10" ht="24.9" customHeight="1" x14ac:dyDescent="0.3">
      <c r="A39" s="32">
        <v>60</v>
      </c>
      <c r="B39" s="33" t="s">
        <v>176</v>
      </c>
      <c r="C39" s="33" t="s">
        <v>171</v>
      </c>
      <c r="D39" s="33" t="s">
        <v>175</v>
      </c>
      <c r="E39" s="33" t="s">
        <v>173</v>
      </c>
      <c r="F39" s="34" t="s">
        <v>127</v>
      </c>
      <c r="G39" s="40"/>
      <c r="H39" s="40"/>
      <c r="I39" s="114"/>
      <c r="J39" s="27"/>
    </row>
    <row r="40" spans="1:10" ht="24.9" customHeight="1" x14ac:dyDescent="0.3">
      <c r="A40" s="32">
        <v>60</v>
      </c>
      <c r="B40" s="33" t="s">
        <v>186</v>
      </c>
      <c r="C40" s="33" t="s">
        <v>171</v>
      </c>
      <c r="D40" s="33" t="s">
        <v>187</v>
      </c>
      <c r="E40" s="33" t="s">
        <v>173</v>
      </c>
      <c r="F40" s="34" t="s">
        <v>127</v>
      </c>
      <c r="G40" s="40"/>
      <c r="H40" s="40"/>
      <c r="I40" s="114"/>
      <c r="J40" s="27"/>
    </row>
    <row r="41" spans="1:10" ht="24.9" customHeight="1" x14ac:dyDescent="0.3">
      <c r="A41" s="32">
        <v>60</v>
      </c>
      <c r="B41" s="33" t="s">
        <v>186</v>
      </c>
      <c r="C41" s="33" t="s">
        <v>171</v>
      </c>
      <c r="D41" s="33" t="s">
        <v>187</v>
      </c>
      <c r="E41" s="33" t="s">
        <v>183</v>
      </c>
      <c r="F41" s="34" t="s">
        <v>127</v>
      </c>
      <c r="G41" s="40"/>
      <c r="H41" s="40"/>
      <c r="I41" s="114"/>
      <c r="J41" s="27"/>
    </row>
    <row r="42" spans="1:10" ht="24.9" customHeight="1" x14ac:dyDescent="0.3">
      <c r="A42" s="32">
        <v>60</v>
      </c>
      <c r="B42" s="33" t="s">
        <v>177</v>
      </c>
      <c r="C42" s="33" t="s">
        <v>171</v>
      </c>
      <c r="D42" s="33" t="s">
        <v>175</v>
      </c>
      <c r="E42" s="33" t="s">
        <v>173</v>
      </c>
      <c r="F42" s="34" t="s">
        <v>127</v>
      </c>
      <c r="G42" s="40"/>
      <c r="H42" s="40"/>
      <c r="I42" s="114"/>
      <c r="J42" s="27"/>
    </row>
    <row r="43" spans="1:10" ht="24.9" customHeight="1" x14ac:dyDescent="0.3">
      <c r="A43" s="32">
        <v>60</v>
      </c>
      <c r="B43" s="33" t="s">
        <v>188</v>
      </c>
      <c r="C43" s="33" t="s">
        <v>171</v>
      </c>
      <c r="D43" s="33" t="s">
        <v>189</v>
      </c>
      <c r="E43" s="33" t="s">
        <v>173</v>
      </c>
      <c r="F43" s="34" t="s">
        <v>127</v>
      </c>
      <c r="G43" s="40"/>
      <c r="H43" s="40"/>
      <c r="I43" s="114"/>
      <c r="J43" s="27"/>
    </row>
    <row r="44" spans="1:10" ht="24.9" customHeight="1" x14ac:dyDescent="0.3">
      <c r="A44" s="32">
        <v>60</v>
      </c>
      <c r="B44" s="33" t="s">
        <v>188</v>
      </c>
      <c r="C44" s="33" t="s">
        <v>171</v>
      </c>
      <c r="D44" s="33" t="s">
        <v>189</v>
      </c>
      <c r="E44" s="33" t="s">
        <v>183</v>
      </c>
      <c r="F44" s="34" t="s">
        <v>127</v>
      </c>
      <c r="G44" s="40"/>
      <c r="H44" s="40"/>
      <c r="I44" s="114"/>
      <c r="J44" s="27"/>
    </row>
    <row r="45" spans="1:10" ht="24.9" customHeight="1" x14ac:dyDescent="0.3">
      <c r="A45" s="32">
        <v>60</v>
      </c>
      <c r="B45" s="33" t="s">
        <v>178</v>
      </c>
      <c r="C45" s="33" t="s">
        <v>171</v>
      </c>
      <c r="D45" s="33" t="s">
        <v>175</v>
      </c>
      <c r="E45" s="33" t="s">
        <v>173</v>
      </c>
      <c r="F45" s="34" t="s">
        <v>127</v>
      </c>
      <c r="G45" s="40"/>
      <c r="H45" s="40"/>
      <c r="I45" s="114"/>
      <c r="J45" s="27"/>
    </row>
    <row r="46" spans="1:10" ht="24.9" customHeight="1" x14ac:dyDescent="0.3">
      <c r="A46" s="32">
        <v>80</v>
      </c>
      <c r="B46" s="33" t="s">
        <v>197</v>
      </c>
      <c r="C46" s="33" t="s">
        <v>198</v>
      </c>
      <c r="D46" s="33" t="s">
        <v>199</v>
      </c>
      <c r="E46" s="33" t="s">
        <v>764</v>
      </c>
      <c r="F46" s="34" t="s">
        <v>167</v>
      </c>
      <c r="G46" s="40"/>
      <c r="H46" s="40"/>
      <c r="I46" s="114"/>
      <c r="J46" s="27"/>
    </row>
    <row r="47" spans="1:10" ht="24.9" customHeight="1" x14ac:dyDescent="0.3">
      <c r="A47" s="32">
        <v>80</v>
      </c>
      <c r="B47" s="33" t="s">
        <v>197</v>
      </c>
      <c r="C47" s="33" t="s">
        <v>198</v>
      </c>
      <c r="D47" s="33" t="s">
        <v>199</v>
      </c>
      <c r="E47" s="33" t="s">
        <v>195</v>
      </c>
      <c r="F47" s="34" t="s">
        <v>167</v>
      </c>
      <c r="G47" s="40"/>
      <c r="H47" s="40"/>
      <c r="I47" s="114"/>
      <c r="J47" s="27"/>
    </row>
    <row r="48" spans="1:10" ht="24.9" hidden="1" customHeight="1" x14ac:dyDescent="0.3">
      <c r="A48" s="32">
        <v>80</v>
      </c>
      <c r="B48" s="33" t="s">
        <v>197</v>
      </c>
      <c r="C48" s="33" t="s">
        <v>198</v>
      </c>
      <c r="D48" s="33" t="s">
        <v>199</v>
      </c>
      <c r="E48" s="33" t="s">
        <v>765</v>
      </c>
      <c r="F48" s="34" t="s">
        <v>99</v>
      </c>
      <c r="G48" s="40"/>
      <c r="H48" s="40" t="s">
        <v>543</v>
      </c>
      <c r="I48" s="114"/>
      <c r="J48" s="27"/>
    </row>
    <row r="49" spans="1:10" ht="24.9" customHeight="1" x14ac:dyDescent="0.3">
      <c r="A49" s="32">
        <v>80</v>
      </c>
      <c r="B49" s="33" t="s">
        <v>197</v>
      </c>
      <c r="C49" s="33" t="s">
        <v>198</v>
      </c>
      <c r="D49" s="33" t="s">
        <v>199</v>
      </c>
      <c r="E49" s="33" t="s">
        <v>225</v>
      </c>
      <c r="F49" s="34" t="s">
        <v>673</v>
      </c>
      <c r="G49" s="40"/>
      <c r="H49" s="40" t="s">
        <v>227</v>
      </c>
      <c r="I49" s="114" t="s">
        <v>226</v>
      </c>
      <c r="J49" s="27"/>
    </row>
    <row r="50" spans="1:10" ht="24.9" customHeight="1" x14ac:dyDescent="0.3">
      <c r="A50" s="32">
        <v>80</v>
      </c>
      <c r="B50" s="33" t="s">
        <v>202</v>
      </c>
      <c r="C50" s="33" t="s">
        <v>198</v>
      </c>
      <c r="D50" s="33" t="s">
        <v>203</v>
      </c>
      <c r="E50" s="33" t="s">
        <v>160</v>
      </c>
      <c r="F50" s="34" t="s">
        <v>127</v>
      </c>
      <c r="G50" s="40"/>
      <c r="H50" s="40"/>
      <c r="I50" s="114"/>
      <c r="J50" s="27"/>
    </row>
    <row r="51" spans="1:10" ht="24.9" customHeight="1" x14ac:dyDescent="0.3">
      <c r="A51" s="32">
        <v>80</v>
      </c>
      <c r="B51" s="33" t="s">
        <v>208</v>
      </c>
      <c r="C51" s="33" t="s">
        <v>193</v>
      </c>
      <c r="D51" s="33" t="s">
        <v>209</v>
      </c>
      <c r="E51" s="33" t="s">
        <v>210</v>
      </c>
      <c r="F51" s="34" t="s">
        <v>127</v>
      </c>
      <c r="G51" s="40"/>
      <c r="H51" s="40"/>
      <c r="I51" s="114"/>
      <c r="J51" s="27"/>
    </row>
    <row r="52" spans="1:10" ht="24.9" hidden="1" customHeight="1" x14ac:dyDescent="0.3">
      <c r="A52" s="32">
        <v>80</v>
      </c>
      <c r="B52" s="33" t="s">
        <v>215</v>
      </c>
      <c r="C52" s="33" t="s">
        <v>198</v>
      </c>
      <c r="D52" s="33" t="s">
        <v>216</v>
      </c>
      <c r="E52" s="33" t="s">
        <v>217</v>
      </c>
      <c r="F52" s="34"/>
      <c r="G52" s="40"/>
      <c r="H52" s="40"/>
      <c r="I52" s="35"/>
      <c r="J52" s="27"/>
    </row>
    <row r="53" spans="1:10" ht="24.9" customHeight="1" x14ac:dyDescent="0.3">
      <c r="A53" s="32">
        <v>80</v>
      </c>
      <c r="B53" s="33" t="s">
        <v>211</v>
      </c>
      <c r="C53" s="33" t="s">
        <v>193</v>
      </c>
      <c r="D53" s="33" t="s">
        <v>212</v>
      </c>
      <c r="E53" s="33" t="s">
        <v>213</v>
      </c>
      <c r="F53" s="34" t="s">
        <v>127</v>
      </c>
      <c r="G53" s="40"/>
      <c r="H53" s="40"/>
      <c r="I53" s="114"/>
      <c r="J53" s="27"/>
    </row>
    <row r="54" spans="1:10" ht="24.9" customHeight="1" x14ac:dyDescent="0.3">
      <c r="A54" s="32">
        <v>80</v>
      </c>
      <c r="B54" s="33" t="s">
        <v>211</v>
      </c>
      <c r="C54" s="33" t="s">
        <v>193</v>
      </c>
      <c r="D54" s="33" t="s">
        <v>212</v>
      </c>
      <c r="E54" s="33" t="s">
        <v>214</v>
      </c>
      <c r="F54" s="34" t="s">
        <v>127</v>
      </c>
      <c r="G54" s="40"/>
      <c r="H54" s="40"/>
      <c r="I54" s="114"/>
      <c r="J54" s="27"/>
    </row>
    <row r="55" spans="1:10" ht="24.9" customHeight="1" x14ac:dyDescent="0.3">
      <c r="A55" s="32">
        <v>80</v>
      </c>
      <c r="B55" s="33" t="s">
        <v>211</v>
      </c>
      <c r="C55" s="33" t="s">
        <v>193</v>
      </c>
      <c r="D55" s="33" t="s">
        <v>212</v>
      </c>
      <c r="E55" s="33" t="s">
        <v>160</v>
      </c>
      <c r="F55" s="34" t="s">
        <v>127</v>
      </c>
      <c r="G55" s="40"/>
      <c r="H55" s="40"/>
      <c r="I55" s="114"/>
      <c r="J55" s="27"/>
    </row>
    <row r="56" spans="1:10" ht="24.9" customHeight="1" x14ac:dyDescent="0.3">
      <c r="A56" s="32">
        <v>80</v>
      </c>
      <c r="B56" s="33" t="s">
        <v>192</v>
      </c>
      <c r="C56" s="33" t="s">
        <v>193</v>
      </c>
      <c r="D56" s="33" t="s">
        <v>194</v>
      </c>
      <c r="E56" s="33" t="s">
        <v>764</v>
      </c>
      <c r="F56" s="34" t="s">
        <v>167</v>
      </c>
      <c r="G56" s="40"/>
      <c r="H56" s="40"/>
      <c r="I56" s="114"/>
      <c r="J56" s="27"/>
    </row>
    <row r="57" spans="1:10" ht="24.9" customHeight="1" x14ac:dyDescent="0.3">
      <c r="A57" s="32">
        <v>80</v>
      </c>
      <c r="B57" s="33" t="s">
        <v>192</v>
      </c>
      <c r="C57" s="33" t="s">
        <v>193</v>
      </c>
      <c r="D57" s="33" t="s">
        <v>194</v>
      </c>
      <c r="E57" s="33" t="s">
        <v>195</v>
      </c>
      <c r="F57" s="34" t="s">
        <v>167</v>
      </c>
      <c r="G57" s="40"/>
      <c r="H57" s="40"/>
      <c r="I57" s="114"/>
      <c r="J57" s="27"/>
    </row>
    <row r="58" spans="1:10" ht="24.9" hidden="1" customHeight="1" x14ac:dyDescent="0.3">
      <c r="A58" s="32">
        <v>80</v>
      </c>
      <c r="B58" s="33" t="s">
        <v>192</v>
      </c>
      <c r="C58" s="33" t="s">
        <v>193</v>
      </c>
      <c r="D58" s="33" t="s">
        <v>194</v>
      </c>
      <c r="E58" s="33" t="s">
        <v>765</v>
      </c>
      <c r="F58" s="34" t="s">
        <v>99</v>
      </c>
      <c r="G58" s="40"/>
      <c r="H58" s="40" t="s">
        <v>543</v>
      </c>
      <c r="I58" s="114"/>
      <c r="J58" s="27"/>
    </row>
    <row r="59" spans="1:10" ht="24.9" customHeight="1" x14ac:dyDescent="0.3">
      <c r="A59" s="32">
        <v>80</v>
      </c>
      <c r="B59" s="33" t="s">
        <v>192</v>
      </c>
      <c r="C59" s="33" t="s">
        <v>193</v>
      </c>
      <c r="D59" s="33" t="s">
        <v>194</v>
      </c>
      <c r="E59" s="33" t="s">
        <v>225</v>
      </c>
      <c r="F59" s="34" t="s">
        <v>673</v>
      </c>
      <c r="G59" s="40"/>
      <c r="H59" s="40" t="s">
        <v>227</v>
      </c>
      <c r="I59" s="114" t="s">
        <v>226</v>
      </c>
      <c r="J59" s="27"/>
    </row>
    <row r="60" spans="1:10" ht="24.9" customHeight="1" x14ac:dyDescent="0.3">
      <c r="A60" s="32">
        <v>80</v>
      </c>
      <c r="B60" s="33" t="s">
        <v>206</v>
      </c>
      <c r="C60" s="33" t="s">
        <v>193</v>
      </c>
      <c r="D60" s="33" t="s">
        <v>207</v>
      </c>
      <c r="E60" s="33" t="s">
        <v>768</v>
      </c>
      <c r="F60" s="34" t="s">
        <v>127</v>
      </c>
      <c r="G60" s="40"/>
      <c r="H60" s="40"/>
      <c r="I60" s="114"/>
      <c r="J60" s="27"/>
    </row>
    <row r="61" spans="1:10" ht="24.9" hidden="1" customHeight="1" x14ac:dyDescent="0.3">
      <c r="A61" s="32">
        <v>80</v>
      </c>
      <c r="B61" s="33" t="s">
        <v>200</v>
      </c>
      <c r="C61" s="33" t="s">
        <v>193</v>
      </c>
      <c r="D61" s="33" t="s">
        <v>201</v>
      </c>
      <c r="E61" s="33" t="s">
        <v>767</v>
      </c>
      <c r="F61" s="34" t="s">
        <v>99</v>
      </c>
      <c r="G61" s="40"/>
      <c r="H61" s="40"/>
      <c r="I61" s="114"/>
      <c r="J61" s="27"/>
    </row>
    <row r="62" spans="1:10" ht="24.9" customHeight="1" x14ac:dyDescent="0.3">
      <c r="A62" s="32">
        <v>80</v>
      </c>
      <c r="B62" s="33" t="s">
        <v>200</v>
      </c>
      <c r="C62" s="33" t="s">
        <v>193</v>
      </c>
      <c r="D62" s="33" t="s">
        <v>201</v>
      </c>
      <c r="E62" s="33" t="s">
        <v>173</v>
      </c>
      <c r="F62" s="34" t="s">
        <v>127</v>
      </c>
      <c r="G62" s="40"/>
      <c r="H62" s="40"/>
      <c r="I62" s="114"/>
      <c r="J62" s="27"/>
    </row>
    <row r="63" spans="1:10" ht="24.9" customHeight="1" x14ac:dyDescent="0.3">
      <c r="A63" s="32">
        <v>80</v>
      </c>
      <c r="B63" s="33" t="s">
        <v>200</v>
      </c>
      <c r="C63" s="33" t="s">
        <v>193</v>
      </c>
      <c r="D63" s="33" t="s">
        <v>201</v>
      </c>
      <c r="E63" s="33" t="s">
        <v>766</v>
      </c>
      <c r="F63" s="34" t="s">
        <v>127</v>
      </c>
      <c r="G63" s="40"/>
      <c r="H63" s="40"/>
      <c r="I63" s="114"/>
      <c r="J63" s="27"/>
    </row>
    <row r="64" spans="1:10" ht="24.9" customHeight="1" x14ac:dyDescent="0.3">
      <c r="A64" s="32">
        <v>80</v>
      </c>
      <c r="B64" s="33" t="s">
        <v>218</v>
      </c>
      <c r="C64" s="33" t="s">
        <v>219</v>
      </c>
      <c r="D64" s="33" t="s">
        <v>220</v>
      </c>
      <c r="E64" s="33" t="s">
        <v>221</v>
      </c>
      <c r="F64" s="34" t="s">
        <v>127</v>
      </c>
      <c r="G64" s="40"/>
      <c r="H64" s="40"/>
      <c r="I64" s="114"/>
      <c r="J64" s="27"/>
    </row>
    <row r="65" spans="1:10" ht="24.9" customHeight="1" x14ac:dyDescent="0.3">
      <c r="A65" s="32">
        <v>80</v>
      </c>
      <c r="B65" s="33" t="s">
        <v>218</v>
      </c>
      <c r="C65" s="33" t="s">
        <v>219</v>
      </c>
      <c r="D65" s="33" t="s">
        <v>228</v>
      </c>
      <c r="E65" s="33" t="s">
        <v>229</v>
      </c>
      <c r="F65" s="34" t="s">
        <v>673</v>
      </c>
      <c r="G65" s="40"/>
      <c r="H65" s="40" t="s">
        <v>227</v>
      </c>
      <c r="I65" s="114" t="s">
        <v>230</v>
      </c>
      <c r="J65" s="27"/>
    </row>
    <row r="66" spans="1:10" ht="24.9" customHeight="1" x14ac:dyDescent="0.3">
      <c r="A66" s="32">
        <v>92</v>
      </c>
      <c r="B66" s="33" t="s">
        <v>264</v>
      </c>
      <c r="C66" s="33" t="s">
        <v>265</v>
      </c>
      <c r="D66" s="33" t="s">
        <v>758</v>
      </c>
      <c r="E66" s="33" t="s">
        <v>130</v>
      </c>
      <c r="F66" s="34" t="s">
        <v>119</v>
      </c>
      <c r="G66" s="40"/>
      <c r="H66" s="40"/>
      <c r="I66" s="114" t="s">
        <v>266</v>
      </c>
      <c r="J66" s="27"/>
    </row>
    <row r="67" spans="1:10" ht="24.9" hidden="1" customHeight="1" x14ac:dyDescent="0.3">
      <c r="A67" s="32">
        <v>90</v>
      </c>
      <c r="B67" s="33" t="s">
        <v>246</v>
      </c>
      <c r="C67" s="33" t="s">
        <v>236</v>
      </c>
      <c r="D67" s="33" t="s">
        <v>247</v>
      </c>
      <c r="E67" s="33" t="s">
        <v>243</v>
      </c>
      <c r="F67" s="34" t="s">
        <v>99</v>
      </c>
      <c r="G67" s="40"/>
      <c r="H67" s="40"/>
      <c r="I67" s="114" t="s">
        <v>248</v>
      </c>
      <c r="J67" s="27"/>
    </row>
    <row r="68" spans="1:10" ht="24.9" hidden="1" customHeight="1" x14ac:dyDescent="0.3">
      <c r="A68" s="32">
        <v>90</v>
      </c>
      <c r="B68" s="33" t="s">
        <v>246</v>
      </c>
      <c r="C68" s="33" t="s">
        <v>236</v>
      </c>
      <c r="D68" s="33" t="s">
        <v>247</v>
      </c>
      <c r="E68" s="33" t="s">
        <v>245</v>
      </c>
      <c r="F68" s="34" t="s">
        <v>99</v>
      </c>
      <c r="G68" s="40"/>
      <c r="H68" s="40"/>
      <c r="I68" s="114" t="s">
        <v>248</v>
      </c>
      <c r="J68" s="27"/>
    </row>
    <row r="69" spans="1:10" ht="24.9" hidden="1" customHeight="1" x14ac:dyDescent="0.3">
      <c r="A69" s="32">
        <v>90</v>
      </c>
      <c r="B69" s="33" t="s">
        <v>246</v>
      </c>
      <c r="C69" s="33" t="s">
        <v>236</v>
      </c>
      <c r="D69" s="33" t="s">
        <v>247</v>
      </c>
      <c r="E69" s="33" t="s">
        <v>769</v>
      </c>
      <c r="F69" s="34" t="s">
        <v>99</v>
      </c>
      <c r="G69" s="40"/>
      <c r="H69" s="40"/>
      <c r="I69" s="114" t="s">
        <v>248</v>
      </c>
      <c r="J69" s="27"/>
    </row>
    <row r="70" spans="1:10" ht="24.9" hidden="1" customHeight="1" x14ac:dyDescent="0.3">
      <c r="A70" s="32">
        <v>90</v>
      </c>
      <c r="B70" s="33" t="s">
        <v>246</v>
      </c>
      <c r="C70" s="33" t="s">
        <v>236</v>
      </c>
      <c r="D70" s="33" t="s">
        <v>247</v>
      </c>
      <c r="E70" s="33" t="s">
        <v>770</v>
      </c>
      <c r="F70" s="34" t="s">
        <v>99</v>
      </c>
      <c r="G70" s="40"/>
      <c r="H70" s="40"/>
      <c r="I70" s="114" t="s">
        <v>248</v>
      </c>
      <c r="J70" s="27"/>
    </row>
    <row r="71" spans="1:10" ht="24.9" hidden="1" customHeight="1" x14ac:dyDescent="0.3">
      <c r="A71" s="32">
        <v>90</v>
      </c>
      <c r="B71" s="33" t="s">
        <v>246</v>
      </c>
      <c r="C71" s="33" t="s">
        <v>236</v>
      </c>
      <c r="D71" s="33" t="s">
        <v>247</v>
      </c>
      <c r="E71" s="33" t="s">
        <v>771</v>
      </c>
      <c r="F71" s="34" t="s">
        <v>99</v>
      </c>
      <c r="G71" s="40"/>
      <c r="H71" s="40"/>
      <c r="I71" s="114" t="s">
        <v>248</v>
      </c>
      <c r="J71" s="27"/>
    </row>
    <row r="72" spans="1:10" ht="24.9" hidden="1" customHeight="1" x14ac:dyDescent="0.3">
      <c r="A72" s="32">
        <v>90</v>
      </c>
      <c r="B72" s="33" t="s">
        <v>246</v>
      </c>
      <c r="C72" s="33" t="s">
        <v>236</v>
      </c>
      <c r="D72" s="33" t="s">
        <v>247</v>
      </c>
      <c r="E72" s="33" t="s">
        <v>772</v>
      </c>
      <c r="F72" s="34" t="s">
        <v>99</v>
      </c>
      <c r="G72" s="40"/>
      <c r="H72" s="40"/>
      <c r="I72" s="114"/>
      <c r="J72" s="27"/>
    </row>
    <row r="73" spans="1:10" ht="24.9" hidden="1" customHeight="1" x14ac:dyDescent="0.3">
      <c r="A73" s="32">
        <v>90</v>
      </c>
      <c r="B73" s="33" t="s">
        <v>246</v>
      </c>
      <c r="C73" s="33" t="s">
        <v>236</v>
      </c>
      <c r="D73" s="33" t="s">
        <v>247</v>
      </c>
      <c r="E73" s="33" t="s">
        <v>773</v>
      </c>
      <c r="F73" s="34" t="s">
        <v>99</v>
      </c>
      <c r="G73" s="40"/>
      <c r="H73" s="40"/>
      <c r="I73" s="114" t="s">
        <v>248</v>
      </c>
      <c r="J73" s="27"/>
    </row>
    <row r="74" spans="1:10" ht="24.9" customHeight="1" x14ac:dyDescent="0.3">
      <c r="A74" s="32">
        <v>92</v>
      </c>
      <c r="B74" s="33" t="s">
        <v>267</v>
      </c>
      <c r="C74" s="33" t="s">
        <v>265</v>
      </c>
      <c r="D74" s="33" t="s">
        <v>268</v>
      </c>
      <c r="E74" s="33" t="s">
        <v>130</v>
      </c>
      <c r="F74" s="34" t="s">
        <v>119</v>
      </c>
      <c r="G74" s="40"/>
      <c r="H74" s="40"/>
      <c r="I74" s="114" t="s">
        <v>266</v>
      </c>
      <c r="J74" s="27"/>
    </row>
    <row r="75" spans="1:10" ht="24.9" customHeight="1" x14ac:dyDescent="0.3">
      <c r="A75" s="32">
        <v>92</v>
      </c>
      <c r="B75" s="33" t="s">
        <v>269</v>
      </c>
      <c r="C75" s="33" t="s">
        <v>265</v>
      </c>
      <c r="D75" s="33" t="s">
        <v>270</v>
      </c>
      <c r="E75" s="33" t="s">
        <v>271</v>
      </c>
      <c r="F75" s="34" t="s">
        <v>119</v>
      </c>
      <c r="G75" s="40"/>
      <c r="H75" s="40"/>
      <c r="I75" s="114"/>
      <c r="J75" s="27"/>
    </row>
    <row r="76" spans="1:10" ht="24.9" customHeight="1" x14ac:dyDescent="0.3">
      <c r="A76" s="32">
        <v>110</v>
      </c>
      <c r="B76" s="33" t="s">
        <v>349</v>
      </c>
      <c r="C76" s="33" t="s">
        <v>317</v>
      </c>
      <c r="D76" s="33" t="s">
        <v>116</v>
      </c>
      <c r="E76" s="33" t="s">
        <v>117</v>
      </c>
      <c r="F76" s="34" t="s">
        <v>119</v>
      </c>
      <c r="G76" s="40"/>
      <c r="H76" s="40"/>
      <c r="I76" s="114" t="s">
        <v>120</v>
      </c>
      <c r="J76" s="27"/>
    </row>
    <row r="77" spans="1:10" ht="24.9" customHeight="1" x14ac:dyDescent="0.3">
      <c r="A77" s="32">
        <v>110</v>
      </c>
      <c r="B77" s="33" t="s">
        <v>350</v>
      </c>
      <c r="C77" s="33" t="s">
        <v>317</v>
      </c>
      <c r="D77" s="33" t="s">
        <v>351</v>
      </c>
      <c r="E77" s="33" t="s">
        <v>117</v>
      </c>
      <c r="F77" s="34" t="s">
        <v>119</v>
      </c>
      <c r="G77" s="40"/>
      <c r="H77" s="40"/>
      <c r="I77" s="114" t="s">
        <v>120</v>
      </c>
      <c r="J77" s="27"/>
    </row>
    <row r="78" spans="1:10" ht="24.9" customHeight="1" x14ac:dyDescent="0.3">
      <c r="A78" s="32">
        <v>120</v>
      </c>
      <c r="B78" s="33" t="s">
        <v>361</v>
      </c>
      <c r="C78" s="33" t="s">
        <v>362</v>
      </c>
      <c r="D78" s="33" t="s">
        <v>362</v>
      </c>
      <c r="E78" s="33" t="s">
        <v>363</v>
      </c>
      <c r="F78" s="34" t="s">
        <v>119</v>
      </c>
      <c r="G78" s="40"/>
      <c r="H78" s="40"/>
      <c r="I78" s="114" t="s">
        <v>364</v>
      </c>
      <c r="J78" s="27"/>
    </row>
    <row r="79" spans="1:10" ht="24.9" customHeight="1" x14ac:dyDescent="0.3">
      <c r="A79" s="32">
        <v>90</v>
      </c>
      <c r="B79" s="33" t="s">
        <v>249</v>
      </c>
      <c r="C79" s="33" t="s">
        <v>236</v>
      </c>
      <c r="D79" s="33" t="s">
        <v>250</v>
      </c>
      <c r="E79" s="33" t="s">
        <v>774</v>
      </c>
      <c r="F79" s="34" t="s">
        <v>167</v>
      </c>
      <c r="G79" s="40"/>
      <c r="H79" s="40"/>
      <c r="I79" s="114" t="s">
        <v>248</v>
      </c>
      <c r="J79" s="27"/>
    </row>
    <row r="80" spans="1:10" ht="24.9" hidden="1" customHeight="1" x14ac:dyDescent="0.3">
      <c r="A80" s="32">
        <v>90</v>
      </c>
      <c r="B80" s="33" t="s">
        <v>249</v>
      </c>
      <c r="C80" s="33" t="s">
        <v>236</v>
      </c>
      <c r="D80" s="33" t="s">
        <v>250</v>
      </c>
      <c r="E80" s="33" t="s">
        <v>251</v>
      </c>
      <c r="F80" s="34" t="s">
        <v>99</v>
      </c>
      <c r="G80" s="40"/>
      <c r="H80" s="40"/>
      <c r="I80" s="114" t="s">
        <v>248</v>
      </c>
      <c r="J80" s="27"/>
    </row>
    <row r="81" spans="1:10" ht="24.9" customHeight="1" x14ac:dyDescent="0.3">
      <c r="A81" s="32">
        <v>140</v>
      </c>
      <c r="B81" s="33" t="s">
        <v>475</v>
      </c>
      <c r="C81" s="33" t="s">
        <v>473</v>
      </c>
      <c r="D81" s="33" t="s">
        <v>476</v>
      </c>
      <c r="E81" s="33" t="s">
        <v>240</v>
      </c>
      <c r="F81" s="34" t="s">
        <v>119</v>
      </c>
      <c r="G81" s="40"/>
      <c r="H81" s="40"/>
      <c r="I81" s="114"/>
      <c r="J81" s="27"/>
    </row>
    <row r="82" spans="1:10" ht="24.9" hidden="1" customHeight="1" x14ac:dyDescent="0.3">
      <c r="A82" s="32">
        <v>90</v>
      </c>
      <c r="B82" s="33" t="s">
        <v>253</v>
      </c>
      <c r="C82" s="33" t="s">
        <v>236</v>
      </c>
      <c r="D82" s="33" t="s">
        <v>254</v>
      </c>
      <c r="E82" s="33" t="s">
        <v>243</v>
      </c>
      <c r="F82" s="34" t="s">
        <v>99</v>
      </c>
      <c r="G82" s="40"/>
      <c r="H82" s="40"/>
      <c r="I82" s="114" t="s">
        <v>248</v>
      </c>
      <c r="J82" s="27"/>
    </row>
    <row r="83" spans="1:10" ht="24.9" hidden="1" customHeight="1" x14ac:dyDescent="0.3">
      <c r="A83" s="32">
        <v>90</v>
      </c>
      <c r="B83" s="33" t="s">
        <v>253</v>
      </c>
      <c r="C83" s="33" t="s">
        <v>236</v>
      </c>
      <c r="D83" s="33" t="s">
        <v>254</v>
      </c>
      <c r="E83" s="33" t="s">
        <v>772</v>
      </c>
      <c r="F83" s="34" t="s">
        <v>99</v>
      </c>
      <c r="G83" s="40"/>
      <c r="H83" s="40"/>
      <c r="I83" s="114"/>
      <c r="J83" s="27"/>
    </row>
    <row r="84" spans="1:10" ht="24.9" customHeight="1" x14ac:dyDescent="0.3">
      <c r="A84" s="32">
        <v>140</v>
      </c>
      <c r="B84" s="33" t="s">
        <v>475</v>
      </c>
      <c r="C84" s="33" t="s">
        <v>473</v>
      </c>
      <c r="D84" s="33" t="s">
        <v>476</v>
      </c>
      <c r="E84" s="33" t="s">
        <v>477</v>
      </c>
      <c r="F84" s="34" t="s">
        <v>119</v>
      </c>
      <c r="G84" s="40"/>
      <c r="H84" s="40"/>
      <c r="I84" s="114" t="s">
        <v>120</v>
      </c>
      <c r="J84" s="27"/>
    </row>
    <row r="85" spans="1:10" ht="24.9" hidden="1" customHeight="1" x14ac:dyDescent="0.3">
      <c r="A85" s="32">
        <v>90</v>
      </c>
      <c r="B85" s="33" t="s">
        <v>241</v>
      </c>
      <c r="C85" s="33" t="s">
        <v>232</v>
      </c>
      <c r="D85" s="33" t="s">
        <v>242</v>
      </c>
      <c r="E85" s="33" t="s">
        <v>243</v>
      </c>
      <c r="F85" s="34" t="s">
        <v>99</v>
      </c>
      <c r="G85" s="40"/>
      <c r="H85" s="40"/>
      <c r="I85" s="114" t="s">
        <v>244</v>
      </c>
      <c r="J85" s="27"/>
    </row>
    <row r="86" spans="1:10" ht="24.9" hidden="1" customHeight="1" x14ac:dyDescent="0.3">
      <c r="A86" s="32">
        <v>90</v>
      </c>
      <c r="B86" s="33" t="s">
        <v>241</v>
      </c>
      <c r="C86" s="33" t="s">
        <v>232</v>
      </c>
      <c r="D86" s="33" t="s">
        <v>242</v>
      </c>
      <c r="E86" s="33" t="s">
        <v>160</v>
      </c>
      <c r="F86" s="34" t="s">
        <v>99</v>
      </c>
      <c r="G86" s="40"/>
      <c r="H86" s="40"/>
      <c r="I86" s="114" t="s">
        <v>244</v>
      </c>
      <c r="J86" s="27"/>
    </row>
    <row r="87" spans="1:10" ht="24.9" hidden="1" customHeight="1" x14ac:dyDescent="0.3">
      <c r="A87" s="32">
        <v>90</v>
      </c>
      <c r="B87" s="33" t="s">
        <v>241</v>
      </c>
      <c r="C87" s="33" t="s">
        <v>232</v>
      </c>
      <c r="D87" s="33" t="s">
        <v>242</v>
      </c>
      <c r="E87" s="33" t="s">
        <v>245</v>
      </c>
      <c r="F87" s="34" t="s">
        <v>99</v>
      </c>
      <c r="G87" s="40"/>
      <c r="H87" s="40"/>
      <c r="I87" s="114" t="s">
        <v>244</v>
      </c>
      <c r="J87" s="27"/>
    </row>
    <row r="88" spans="1:10" ht="24.9" customHeight="1" x14ac:dyDescent="0.3">
      <c r="A88" s="32">
        <v>90</v>
      </c>
      <c r="B88" s="33" t="s">
        <v>231</v>
      </c>
      <c r="C88" s="33" t="s">
        <v>232</v>
      </c>
      <c r="D88" s="33" t="s">
        <v>233</v>
      </c>
      <c r="E88" s="33" t="s">
        <v>225</v>
      </c>
      <c r="F88" s="34" t="s">
        <v>673</v>
      </c>
      <c r="G88" s="40"/>
      <c r="H88" s="51" t="s">
        <v>850</v>
      </c>
      <c r="I88" s="114" t="s">
        <v>234</v>
      </c>
      <c r="J88" s="27"/>
    </row>
    <row r="89" spans="1:10" ht="24.9" customHeight="1" x14ac:dyDescent="0.3">
      <c r="A89" s="32">
        <v>140</v>
      </c>
      <c r="B89" s="33" t="s">
        <v>480</v>
      </c>
      <c r="C89" s="33" t="s">
        <v>473</v>
      </c>
      <c r="D89" s="33" t="s">
        <v>481</v>
      </c>
      <c r="E89" s="33" t="s">
        <v>240</v>
      </c>
      <c r="F89" s="34" t="s">
        <v>119</v>
      </c>
      <c r="G89" s="40"/>
      <c r="H89" s="40"/>
      <c r="I89" s="114"/>
      <c r="J89" s="27"/>
    </row>
    <row r="90" spans="1:10" ht="24.9" customHeight="1" x14ac:dyDescent="0.3">
      <c r="A90" s="32">
        <v>140</v>
      </c>
      <c r="B90" s="33" t="s">
        <v>480</v>
      </c>
      <c r="C90" s="33" t="s">
        <v>473</v>
      </c>
      <c r="D90" s="33" t="s">
        <v>481</v>
      </c>
      <c r="E90" s="33" t="s">
        <v>477</v>
      </c>
      <c r="F90" s="34" t="s">
        <v>119</v>
      </c>
      <c r="G90" s="40"/>
      <c r="H90" s="40"/>
      <c r="I90" s="114" t="s">
        <v>120</v>
      </c>
      <c r="J90" s="27"/>
    </row>
    <row r="91" spans="1:10" ht="24.9" hidden="1" customHeight="1" x14ac:dyDescent="0.3">
      <c r="A91" s="32">
        <v>90</v>
      </c>
      <c r="B91" s="33" t="s">
        <v>252</v>
      </c>
      <c r="C91" s="33" t="s">
        <v>232</v>
      </c>
      <c r="D91" s="33" t="s">
        <v>250</v>
      </c>
      <c r="E91" s="33" t="s">
        <v>251</v>
      </c>
      <c r="F91" s="34" t="s">
        <v>99</v>
      </c>
      <c r="G91" s="40"/>
      <c r="H91" s="51"/>
      <c r="I91" s="114" t="s">
        <v>244</v>
      </c>
      <c r="J91" s="27"/>
    </row>
    <row r="92" spans="1:10" ht="24.9" customHeight="1" x14ac:dyDescent="0.3">
      <c r="A92" s="32" t="s">
        <v>546</v>
      </c>
      <c r="B92" s="33" t="s">
        <v>561</v>
      </c>
      <c r="C92" s="33" t="s">
        <v>562</v>
      </c>
      <c r="D92" s="33" t="s">
        <v>563</v>
      </c>
      <c r="E92" s="33" t="s">
        <v>173</v>
      </c>
      <c r="F92" s="34" t="s">
        <v>119</v>
      </c>
      <c r="G92" s="40"/>
      <c r="H92" s="53"/>
      <c r="I92" s="114"/>
      <c r="J92" s="27"/>
    </row>
    <row r="93" spans="1:10" ht="24.9" hidden="1" customHeight="1" x14ac:dyDescent="0.3">
      <c r="A93" s="32">
        <v>90</v>
      </c>
      <c r="B93" s="33" t="s">
        <v>845</v>
      </c>
      <c r="C93" s="33" t="s">
        <v>232</v>
      </c>
      <c r="D93" s="33" t="s">
        <v>254</v>
      </c>
      <c r="E93" s="33" t="s">
        <v>243</v>
      </c>
      <c r="F93" s="34" t="s">
        <v>99</v>
      </c>
      <c r="G93" s="40"/>
      <c r="H93" s="40"/>
      <c r="I93" s="114"/>
      <c r="J93" s="27"/>
    </row>
    <row r="94" spans="1:10" ht="24.9" customHeight="1" x14ac:dyDescent="0.3">
      <c r="A94" s="32" t="s">
        <v>546</v>
      </c>
      <c r="B94" s="33" t="s">
        <v>561</v>
      </c>
      <c r="C94" s="33" t="s">
        <v>562</v>
      </c>
      <c r="D94" s="33" t="s">
        <v>563</v>
      </c>
      <c r="E94" s="33" t="s">
        <v>580</v>
      </c>
      <c r="F94" s="34" t="s">
        <v>119</v>
      </c>
      <c r="G94" s="40"/>
      <c r="H94" s="53"/>
      <c r="I94" s="114"/>
      <c r="J94" s="27"/>
    </row>
    <row r="95" spans="1:10" ht="24.9" hidden="1" customHeight="1" x14ac:dyDescent="0.3">
      <c r="A95" s="32">
        <v>92</v>
      </c>
      <c r="B95" s="33" t="s">
        <v>264</v>
      </c>
      <c r="C95" s="33" t="s">
        <v>265</v>
      </c>
      <c r="D95" s="33" t="s">
        <v>278</v>
      </c>
      <c r="E95" s="33" t="s">
        <v>279</v>
      </c>
      <c r="F95" s="34"/>
      <c r="G95" s="40"/>
      <c r="H95" s="40"/>
      <c r="I95" s="35" t="s">
        <v>244</v>
      </c>
      <c r="J95" s="27"/>
    </row>
    <row r="96" spans="1:10" ht="24.9" hidden="1" customHeight="1" x14ac:dyDescent="0.3">
      <c r="A96" s="32">
        <v>90</v>
      </c>
      <c r="B96" s="33" t="s">
        <v>255</v>
      </c>
      <c r="C96" s="33" t="s">
        <v>232</v>
      </c>
      <c r="D96" s="33" t="s">
        <v>256</v>
      </c>
      <c r="E96" s="33" t="s">
        <v>173</v>
      </c>
      <c r="F96" s="34" t="s">
        <v>95</v>
      </c>
      <c r="G96" s="40"/>
      <c r="H96" s="40"/>
      <c r="I96" s="114"/>
      <c r="J96" s="27"/>
    </row>
    <row r="97" spans="1:10" ht="24.9" hidden="1" customHeight="1" x14ac:dyDescent="0.3">
      <c r="A97" s="32">
        <v>92</v>
      </c>
      <c r="B97" s="33" t="s">
        <v>267</v>
      </c>
      <c r="C97" s="33" t="s">
        <v>265</v>
      </c>
      <c r="D97" s="33" t="s">
        <v>280</v>
      </c>
      <c r="E97" s="33" t="s">
        <v>279</v>
      </c>
      <c r="F97" s="34"/>
      <c r="G97" s="40"/>
      <c r="H97" s="40"/>
      <c r="I97" s="35" t="s">
        <v>244</v>
      </c>
      <c r="J97" s="27"/>
    </row>
    <row r="98" spans="1:10" ht="24.9" hidden="1" customHeight="1" x14ac:dyDescent="0.3">
      <c r="A98" s="32">
        <v>92</v>
      </c>
      <c r="B98" s="33" t="s">
        <v>272</v>
      </c>
      <c r="C98" s="33" t="s">
        <v>265</v>
      </c>
      <c r="D98" s="33" t="s">
        <v>273</v>
      </c>
      <c r="E98" s="33" t="s">
        <v>160</v>
      </c>
      <c r="F98" s="34" t="s">
        <v>99</v>
      </c>
      <c r="G98" s="40"/>
      <c r="H98" s="40"/>
      <c r="I98" s="114"/>
      <c r="J98" s="27"/>
    </row>
    <row r="99" spans="1:10" ht="24.9" customHeight="1" x14ac:dyDescent="0.3">
      <c r="A99" s="32">
        <v>92</v>
      </c>
      <c r="B99" s="33" t="s">
        <v>272</v>
      </c>
      <c r="C99" s="33" t="s">
        <v>265</v>
      </c>
      <c r="D99" s="33" t="s">
        <v>273</v>
      </c>
      <c r="E99" s="33" t="s">
        <v>130</v>
      </c>
      <c r="F99" s="34" t="s">
        <v>127</v>
      </c>
      <c r="G99" s="40"/>
      <c r="H99" s="40"/>
      <c r="I99" s="114"/>
      <c r="J99" s="27"/>
    </row>
    <row r="100" spans="1:10" ht="24.9" customHeight="1" x14ac:dyDescent="0.3">
      <c r="A100" s="32">
        <v>92</v>
      </c>
      <c r="B100" s="33" t="s">
        <v>272</v>
      </c>
      <c r="C100" s="33" t="s">
        <v>265</v>
      </c>
      <c r="D100" s="33" t="s">
        <v>273</v>
      </c>
      <c r="E100" s="33" t="s">
        <v>772</v>
      </c>
      <c r="F100" s="34" t="s">
        <v>283</v>
      </c>
      <c r="G100" s="40"/>
      <c r="H100" s="40"/>
      <c r="I100" s="114"/>
      <c r="J100" s="27"/>
    </row>
    <row r="101" spans="1:10" ht="24.9" customHeight="1" x14ac:dyDescent="0.3">
      <c r="A101" s="32">
        <v>92</v>
      </c>
      <c r="B101" s="33" t="s">
        <v>272</v>
      </c>
      <c r="C101" s="33" t="s">
        <v>265</v>
      </c>
      <c r="D101" s="33" t="s">
        <v>273</v>
      </c>
      <c r="E101" s="33" t="s">
        <v>771</v>
      </c>
      <c r="F101" s="34" t="s">
        <v>283</v>
      </c>
      <c r="G101" s="40"/>
      <c r="H101" s="40"/>
      <c r="I101" s="114"/>
      <c r="J101" s="27"/>
    </row>
    <row r="102" spans="1:10" ht="24.9" hidden="1" customHeight="1" x14ac:dyDescent="0.3">
      <c r="A102" s="32">
        <v>92</v>
      </c>
      <c r="B102" s="33" t="s">
        <v>274</v>
      </c>
      <c r="C102" s="33" t="s">
        <v>265</v>
      </c>
      <c r="D102" s="33" t="s">
        <v>275</v>
      </c>
      <c r="E102" s="33" t="s">
        <v>160</v>
      </c>
      <c r="F102" s="34" t="s">
        <v>99</v>
      </c>
      <c r="G102" s="40"/>
      <c r="H102" s="40"/>
      <c r="I102" s="114"/>
      <c r="J102" s="27"/>
    </row>
    <row r="103" spans="1:10" ht="24.9" customHeight="1" x14ac:dyDescent="0.3">
      <c r="A103" s="32">
        <v>92</v>
      </c>
      <c r="B103" s="33" t="s">
        <v>274</v>
      </c>
      <c r="C103" s="33" t="s">
        <v>265</v>
      </c>
      <c r="D103" s="33" t="s">
        <v>275</v>
      </c>
      <c r="E103" s="33" t="s">
        <v>130</v>
      </c>
      <c r="F103" s="34" t="s">
        <v>127</v>
      </c>
      <c r="G103" s="40"/>
      <c r="H103" s="51"/>
      <c r="I103" s="114"/>
      <c r="J103" s="27"/>
    </row>
    <row r="104" spans="1:10" ht="24.9" customHeight="1" x14ac:dyDescent="0.3">
      <c r="A104" s="32">
        <v>92</v>
      </c>
      <c r="B104" s="33" t="s">
        <v>274</v>
      </c>
      <c r="C104" s="33" t="s">
        <v>265</v>
      </c>
      <c r="D104" s="33" t="s">
        <v>275</v>
      </c>
      <c r="E104" s="33" t="s">
        <v>772</v>
      </c>
      <c r="F104" s="34" t="s">
        <v>283</v>
      </c>
      <c r="G104" s="40"/>
      <c r="H104" s="40"/>
      <c r="I104" s="114"/>
      <c r="J104" s="27"/>
    </row>
    <row r="105" spans="1:10" ht="24.9" customHeight="1" x14ac:dyDescent="0.3">
      <c r="A105" s="32">
        <v>92</v>
      </c>
      <c r="B105" s="33" t="s">
        <v>274</v>
      </c>
      <c r="C105" s="33" t="s">
        <v>265</v>
      </c>
      <c r="D105" s="33" t="s">
        <v>275</v>
      </c>
      <c r="E105" s="33" t="s">
        <v>771</v>
      </c>
      <c r="F105" s="34" t="s">
        <v>283</v>
      </c>
      <c r="G105" s="40"/>
      <c r="H105" s="40"/>
      <c r="I105" s="114"/>
      <c r="J105" s="27"/>
    </row>
    <row r="106" spans="1:10" ht="24.9" hidden="1" customHeight="1" x14ac:dyDescent="0.3">
      <c r="A106" s="32">
        <v>92</v>
      </c>
      <c r="B106" s="33" t="s">
        <v>276</v>
      </c>
      <c r="C106" s="33" t="s">
        <v>265</v>
      </c>
      <c r="D106" s="33" t="s">
        <v>277</v>
      </c>
      <c r="E106" s="33" t="s">
        <v>160</v>
      </c>
      <c r="F106" s="34" t="s">
        <v>99</v>
      </c>
      <c r="G106" s="40"/>
      <c r="H106" s="40"/>
      <c r="I106" s="114"/>
      <c r="J106" s="27"/>
    </row>
    <row r="107" spans="1:10" ht="24.9" customHeight="1" x14ac:dyDescent="0.3">
      <c r="A107" s="32">
        <v>92</v>
      </c>
      <c r="B107" s="33" t="s">
        <v>276</v>
      </c>
      <c r="C107" s="33" t="s">
        <v>265</v>
      </c>
      <c r="D107" s="33" t="s">
        <v>277</v>
      </c>
      <c r="E107" s="33" t="s">
        <v>130</v>
      </c>
      <c r="F107" s="34" t="s">
        <v>127</v>
      </c>
      <c r="G107" s="40"/>
      <c r="H107" s="51"/>
      <c r="I107" s="114"/>
      <c r="J107" s="27"/>
    </row>
    <row r="108" spans="1:10" ht="24.9" customHeight="1" x14ac:dyDescent="0.3">
      <c r="A108" s="32">
        <v>92</v>
      </c>
      <c r="B108" s="33" t="s">
        <v>276</v>
      </c>
      <c r="C108" s="33" t="s">
        <v>265</v>
      </c>
      <c r="D108" s="33" t="s">
        <v>277</v>
      </c>
      <c r="E108" s="33" t="s">
        <v>772</v>
      </c>
      <c r="F108" s="34" t="s">
        <v>283</v>
      </c>
      <c r="G108" s="40"/>
      <c r="H108" s="40"/>
      <c r="I108" s="114"/>
      <c r="J108" s="27"/>
    </row>
    <row r="109" spans="1:10" ht="24.9" customHeight="1" x14ac:dyDescent="0.3">
      <c r="A109" s="32">
        <v>92</v>
      </c>
      <c r="B109" s="33" t="s">
        <v>276</v>
      </c>
      <c r="C109" s="33" t="s">
        <v>265</v>
      </c>
      <c r="D109" s="33" t="s">
        <v>277</v>
      </c>
      <c r="E109" s="33" t="s">
        <v>771</v>
      </c>
      <c r="F109" s="34" t="s">
        <v>283</v>
      </c>
      <c r="G109" s="40"/>
      <c r="H109" s="40"/>
      <c r="I109" s="114"/>
      <c r="J109" s="27"/>
    </row>
    <row r="110" spans="1:10" ht="24.9" hidden="1" customHeight="1" x14ac:dyDescent="0.3">
      <c r="A110" s="32">
        <v>90</v>
      </c>
      <c r="B110" s="33" t="s">
        <v>246</v>
      </c>
      <c r="C110" s="33" t="s">
        <v>236</v>
      </c>
      <c r="D110" s="33" t="s">
        <v>247</v>
      </c>
      <c r="E110" s="33" t="s">
        <v>257</v>
      </c>
      <c r="F110" s="34" t="s">
        <v>95</v>
      </c>
      <c r="G110" s="40"/>
      <c r="H110" s="40"/>
      <c r="I110" s="114"/>
      <c r="J110" s="27"/>
    </row>
    <row r="111" spans="1:10" ht="24.9" hidden="1" customHeight="1" x14ac:dyDescent="0.3">
      <c r="A111" s="32">
        <v>92</v>
      </c>
      <c r="B111" s="33" t="s">
        <v>281</v>
      </c>
      <c r="C111" s="33" t="s">
        <v>265</v>
      </c>
      <c r="D111" s="43" t="s">
        <v>282</v>
      </c>
      <c r="E111" s="33" t="s">
        <v>279</v>
      </c>
      <c r="F111" s="34"/>
      <c r="G111" s="40"/>
      <c r="H111" s="40"/>
      <c r="I111" s="35"/>
      <c r="J111" s="27"/>
    </row>
    <row r="112" spans="1:10" ht="24.9" hidden="1" customHeight="1" x14ac:dyDescent="0.3">
      <c r="A112" s="32">
        <v>90</v>
      </c>
      <c r="B112" s="33" t="s">
        <v>246</v>
      </c>
      <c r="C112" s="33" t="s">
        <v>236</v>
      </c>
      <c r="D112" s="33" t="s">
        <v>247</v>
      </c>
      <c r="E112" s="33" t="s">
        <v>258</v>
      </c>
      <c r="F112" s="34" t="s">
        <v>95</v>
      </c>
      <c r="G112" s="40"/>
      <c r="H112" s="40"/>
      <c r="I112" s="114"/>
      <c r="J112" s="27"/>
    </row>
    <row r="113" spans="1:188" ht="24.9" hidden="1" customHeight="1" x14ac:dyDescent="0.3">
      <c r="A113" s="32">
        <v>90</v>
      </c>
      <c r="B113" s="33" t="s">
        <v>246</v>
      </c>
      <c r="C113" s="33" t="s">
        <v>236</v>
      </c>
      <c r="D113" s="33" t="s">
        <v>247</v>
      </c>
      <c r="E113" s="33" t="s">
        <v>259</v>
      </c>
      <c r="F113" s="34" t="s">
        <v>95</v>
      </c>
      <c r="G113" s="40"/>
      <c r="H113" s="40"/>
      <c r="I113" s="114"/>
      <c r="J113" s="27"/>
    </row>
    <row r="114" spans="1:188" ht="24.9" hidden="1" customHeight="1" x14ac:dyDescent="0.3">
      <c r="A114" s="32">
        <v>100</v>
      </c>
      <c r="B114" s="33" t="s">
        <v>287</v>
      </c>
      <c r="C114" s="33" t="s">
        <v>285</v>
      </c>
      <c r="D114" s="33" t="s">
        <v>288</v>
      </c>
      <c r="E114" s="33" t="s">
        <v>289</v>
      </c>
      <c r="F114" s="91" t="s">
        <v>99</v>
      </c>
      <c r="G114" s="50"/>
      <c r="H114" s="50"/>
      <c r="I114" s="116"/>
      <c r="J114" s="27"/>
    </row>
    <row r="115" spans="1:188" ht="24.9" hidden="1" customHeight="1" x14ac:dyDescent="0.3">
      <c r="A115" s="86">
        <v>100</v>
      </c>
      <c r="B115" s="88" t="s">
        <v>800</v>
      </c>
      <c r="C115" s="88" t="s">
        <v>285</v>
      </c>
      <c r="D115" s="33" t="s">
        <v>801</v>
      </c>
      <c r="E115" s="88" t="s">
        <v>806</v>
      </c>
      <c r="F115" s="91" t="s">
        <v>99</v>
      </c>
      <c r="G115" s="101"/>
      <c r="H115" s="101"/>
      <c r="I115" s="116"/>
      <c r="J115" s="72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</row>
    <row r="116" spans="1:188" ht="24.9" hidden="1" customHeight="1" x14ac:dyDescent="0.3">
      <c r="A116" s="86">
        <v>100</v>
      </c>
      <c r="B116" s="88" t="s">
        <v>800</v>
      </c>
      <c r="C116" s="88" t="s">
        <v>285</v>
      </c>
      <c r="D116" s="33" t="s">
        <v>801</v>
      </c>
      <c r="E116" s="88" t="s">
        <v>807</v>
      </c>
      <c r="F116" s="92" t="s">
        <v>99</v>
      </c>
      <c r="G116" s="72"/>
      <c r="H116" s="72"/>
      <c r="I116" s="124"/>
      <c r="J116" s="72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</row>
    <row r="117" spans="1:188" ht="24.9" hidden="1" customHeight="1" x14ac:dyDescent="0.3">
      <c r="A117" s="87">
        <v>100</v>
      </c>
      <c r="B117" s="89" t="s">
        <v>802</v>
      </c>
      <c r="C117" s="89" t="s">
        <v>285</v>
      </c>
      <c r="D117" s="33" t="s">
        <v>803</v>
      </c>
      <c r="E117" s="89" t="s">
        <v>806</v>
      </c>
      <c r="F117" s="92" t="s">
        <v>99</v>
      </c>
      <c r="G117" s="99"/>
      <c r="H117" s="99"/>
      <c r="I117" s="125"/>
      <c r="J117" s="9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</row>
    <row r="118" spans="1:188" ht="24.9" hidden="1" customHeight="1" x14ac:dyDescent="0.3">
      <c r="A118" s="87">
        <v>100</v>
      </c>
      <c r="B118" s="89" t="s">
        <v>802</v>
      </c>
      <c r="C118" s="89" t="s">
        <v>285</v>
      </c>
      <c r="D118" s="33" t="s">
        <v>803</v>
      </c>
      <c r="E118" s="89" t="s">
        <v>807</v>
      </c>
      <c r="F118" s="92" t="s">
        <v>99</v>
      </c>
      <c r="G118" s="99"/>
      <c r="H118" s="99"/>
      <c r="I118" s="125"/>
      <c r="J118" s="9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</row>
    <row r="119" spans="1:188" ht="24.9" customHeight="1" x14ac:dyDescent="0.3">
      <c r="A119" s="58">
        <v>100</v>
      </c>
      <c r="B119" s="60" t="s">
        <v>844</v>
      </c>
      <c r="C119" s="60" t="s">
        <v>285</v>
      </c>
      <c r="D119" s="33" t="s">
        <v>843</v>
      </c>
      <c r="E119" s="60" t="s">
        <v>298</v>
      </c>
      <c r="F119" s="62" t="s">
        <v>673</v>
      </c>
      <c r="G119" s="69"/>
      <c r="H119" s="51" t="s">
        <v>300</v>
      </c>
      <c r="I119" s="126" t="s">
        <v>301</v>
      </c>
      <c r="J119" s="68"/>
    </row>
    <row r="120" spans="1:188" ht="24.9" customHeight="1" x14ac:dyDescent="0.3">
      <c r="A120" s="58">
        <v>100</v>
      </c>
      <c r="B120" s="60" t="s">
        <v>284</v>
      </c>
      <c r="C120" s="60" t="s">
        <v>285</v>
      </c>
      <c r="D120" s="33" t="s">
        <v>286</v>
      </c>
      <c r="E120" s="60" t="s">
        <v>775</v>
      </c>
      <c r="F120" s="62" t="s">
        <v>167</v>
      </c>
      <c r="G120" s="69"/>
      <c r="H120" s="69"/>
      <c r="I120" s="126"/>
      <c r="J120" s="68"/>
    </row>
    <row r="121" spans="1:188" ht="24.9" hidden="1" customHeight="1" x14ac:dyDescent="0.3">
      <c r="A121" s="32">
        <v>90</v>
      </c>
      <c r="B121" s="33" t="s">
        <v>235</v>
      </c>
      <c r="C121" s="33" t="s">
        <v>236</v>
      </c>
      <c r="D121" s="33" t="s">
        <v>237</v>
      </c>
      <c r="E121" s="33" t="s">
        <v>130</v>
      </c>
      <c r="F121" s="34" t="s">
        <v>95</v>
      </c>
      <c r="G121" s="40"/>
      <c r="H121" s="40"/>
      <c r="I121" s="114"/>
      <c r="J121" s="27"/>
    </row>
    <row r="122" spans="1:188" ht="24.9" customHeight="1" x14ac:dyDescent="0.3">
      <c r="A122" s="32">
        <v>101</v>
      </c>
      <c r="B122" s="33" t="s">
        <v>294</v>
      </c>
      <c r="C122" s="33" t="s">
        <v>285</v>
      </c>
      <c r="D122" s="33" t="s">
        <v>295</v>
      </c>
      <c r="E122" s="33" t="s">
        <v>296</v>
      </c>
      <c r="F122" s="34" t="s">
        <v>127</v>
      </c>
      <c r="G122" s="40"/>
      <c r="H122" s="40"/>
      <c r="I122" s="114"/>
      <c r="J122" s="27"/>
    </row>
    <row r="123" spans="1:188" ht="24.9" customHeight="1" x14ac:dyDescent="0.3">
      <c r="A123" s="32">
        <v>101</v>
      </c>
      <c r="B123" s="33" t="s">
        <v>297</v>
      </c>
      <c r="C123" s="33" t="s">
        <v>285</v>
      </c>
      <c r="D123" s="33" t="s">
        <v>295</v>
      </c>
      <c r="E123" s="33" t="s">
        <v>298</v>
      </c>
      <c r="F123" s="34" t="s">
        <v>673</v>
      </c>
      <c r="G123" s="40"/>
      <c r="H123" s="51" t="s">
        <v>300</v>
      </c>
      <c r="I123" s="114" t="s">
        <v>301</v>
      </c>
      <c r="J123" s="27"/>
    </row>
    <row r="124" spans="1:188" ht="24.9" customHeight="1" x14ac:dyDescent="0.3">
      <c r="A124" s="32">
        <v>101</v>
      </c>
      <c r="B124" s="33" t="s">
        <v>309</v>
      </c>
      <c r="C124" s="33" t="s">
        <v>285</v>
      </c>
      <c r="D124" s="33" t="s">
        <v>295</v>
      </c>
      <c r="E124" s="33" t="s">
        <v>298</v>
      </c>
      <c r="F124" s="34" t="s">
        <v>673</v>
      </c>
      <c r="G124" s="40"/>
      <c r="H124" s="40" t="s">
        <v>300</v>
      </c>
      <c r="I124" s="114" t="s">
        <v>301</v>
      </c>
      <c r="J124" s="27"/>
    </row>
    <row r="125" spans="1:188" ht="24.9" customHeight="1" x14ac:dyDescent="0.3">
      <c r="A125" s="32">
        <v>101</v>
      </c>
      <c r="B125" s="33" t="s">
        <v>302</v>
      </c>
      <c r="C125" s="33" t="s">
        <v>285</v>
      </c>
      <c r="D125" s="33" t="s">
        <v>295</v>
      </c>
      <c r="E125" s="33" t="s">
        <v>777</v>
      </c>
      <c r="F125" s="34" t="s">
        <v>127</v>
      </c>
      <c r="G125" s="40"/>
      <c r="H125" s="40"/>
      <c r="I125" s="114"/>
      <c r="J125" s="27"/>
    </row>
    <row r="126" spans="1:188" ht="24.9" hidden="1" customHeight="1" x14ac:dyDescent="0.3">
      <c r="A126" s="32">
        <v>90</v>
      </c>
      <c r="B126" s="33" t="s">
        <v>238</v>
      </c>
      <c r="C126" s="33" t="s">
        <v>236</v>
      </c>
      <c r="D126" s="33" t="s">
        <v>239</v>
      </c>
      <c r="E126" s="33" t="s">
        <v>130</v>
      </c>
      <c r="F126" s="34" t="s">
        <v>95</v>
      </c>
      <c r="G126" s="40"/>
      <c r="H126" s="40"/>
      <c r="I126" s="114"/>
      <c r="J126" s="27"/>
    </row>
    <row r="127" spans="1:188" ht="24.9" customHeight="1" x14ac:dyDescent="0.3">
      <c r="A127" s="32">
        <v>101</v>
      </c>
      <c r="B127" s="33" t="s">
        <v>303</v>
      </c>
      <c r="C127" s="33" t="s">
        <v>285</v>
      </c>
      <c r="D127" s="33" t="s">
        <v>304</v>
      </c>
      <c r="E127" s="33" t="s">
        <v>305</v>
      </c>
      <c r="F127" s="34" t="s">
        <v>127</v>
      </c>
      <c r="G127" s="40"/>
      <c r="H127" s="40"/>
      <c r="I127" s="114"/>
      <c r="J127" s="27"/>
    </row>
    <row r="128" spans="1:188" ht="24.9" customHeight="1" x14ac:dyDescent="0.3">
      <c r="A128" s="32">
        <v>102</v>
      </c>
      <c r="B128" s="33" t="s">
        <v>310</v>
      </c>
      <c r="C128" s="33" t="s">
        <v>285</v>
      </c>
      <c r="D128" s="33" t="s">
        <v>311</v>
      </c>
      <c r="E128" s="33" t="s">
        <v>779</v>
      </c>
      <c r="F128" s="34" t="s">
        <v>673</v>
      </c>
      <c r="G128" s="40"/>
      <c r="H128" s="40" t="s">
        <v>300</v>
      </c>
      <c r="I128" s="114" t="s">
        <v>314</v>
      </c>
      <c r="J128" s="27"/>
    </row>
    <row r="129" spans="1:10" ht="24.9" hidden="1" customHeight="1" x14ac:dyDescent="0.3">
      <c r="A129" s="32">
        <v>90</v>
      </c>
      <c r="B129" s="33" t="s">
        <v>249</v>
      </c>
      <c r="C129" s="33" t="s">
        <v>236</v>
      </c>
      <c r="D129" s="33" t="s">
        <v>250</v>
      </c>
      <c r="E129" s="33" t="s">
        <v>130</v>
      </c>
      <c r="F129" s="34" t="s">
        <v>95</v>
      </c>
      <c r="G129" s="40"/>
      <c r="H129" s="40"/>
      <c r="I129" s="114" t="s">
        <v>244</v>
      </c>
      <c r="J129" s="27"/>
    </row>
    <row r="130" spans="1:10" ht="24.9" hidden="1" customHeight="1" x14ac:dyDescent="0.3">
      <c r="A130" s="32">
        <v>110</v>
      </c>
      <c r="B130" s="33" t="s">
        <v>328</v>
      </c>
      <c r="C130" s="33" t="s">
        <v>317</v>
      </c>
      <c r="D130" s="33" t="s">
        <v>329</v>
      </c>
      <c r="E130" s="33" t="s">
        <v>319</v>
      </c>
      <c r="F130" s="34" t="s">
        <v>99</v>
      </c>
      <c r="G130" s="40"/>
      <c r="H130" s="40"/>
      <c r="I130" s="114"/>
      <c r="J130" s="27"/>
    </row>
    <row r="131" spans="1:10" ht="24.9" hidden="1" customHeight="1" x14ac:dyDescent="0.3">
      <c r="A131" s="32">
        <v>110</v>
      </c>
      <c r="B131" s="33" t="s">
        <v>326</v>
      </c>
      <c r="C131" s="33" t="s">
        <v>317</v>
      </c>
      <c r="D131" s="33" t="s">
        <v>327</v>
      </c>
      <c r="E131" s="33" t="s">
        <v>319</v>
      </c>
      <c r="F131" s="34" t="s">
        <v>99</v>
      </c>
      <c r="G131" s="40"/>
      <c r="H131" s="40"/>
      <c r="I131" s="114"/>
      <c r="J131" s="27"/>
    </row>
    <row r="132" spans="1:10" ht="24.9" hidden="1" customHeight="1" x14ac:dyDescent="0.3">
      <c r="A132" s="32">
        <v>90</v>
      </c>
      <c r="B132" s="33" t="s">
        <v>253</v>
      </c>
      <c r="C132" s="33" t="s">
        <v>236</v>
      </c>
      <c r="D132" s="33" t="s">
        <v>254</v>
      </c>
      <c r="E132" s="33" t="s">
        <v>130</v>
      </c>
      <c r="F132" s="34" t="s">
        <v>95</v>
      </c>
      <c r="G132" s="40"/>
      <c r="H132" s="40"/>
      <c r="I132" s="114"/>
      <c r="J132" s="27"/>
    </row>
    <row r="133" spans="1:10" ht="24.9" hidden="1" customHeight="1" x14ac:dyDescent="0.3">
      <c r="A133" s="32">
        <v>90</v>
      </c>
      <c r="B133" s="33" t="s">
        <v>231</v>
      </c>
      <c r="C133" s="33" t="s">
        <v>232</v>
      </c>
      <c r="D133" s="33" t="s">
        <v>233</v>
      </c>
      <c r="E133" s="33" t="s">
        <v>240</v>
      </c>
      <c r="F133" s="34" t="s">
        <v>95</v>
      </c>
      <c r="G133" s="40"/>
      <c r="H133" s="40"/>
      <c r="I133" s="114"/>
      <c r="J133" s="27"/>
    </row>
    <row r="134" spans="1:10" ht="24.9" hidden="1" customHeight="1" x14ac:dyDescent="0.3">
      <c r="A134" s="32">
        <v>110</v>
      </c>
      <c r="B134" s="33" t="s">
        <v>316</v>
      </c>
      <c r="C134" s="33" t="s">
        <v>317</v>
      </c>
      <c r="D134" s="33" t="s">
        <v>318</v>
      </c>
      <c r="E134" s="33" t="s">
        <v>319</v>
      </c>
      <c r="F134" s="34" t="s">
        <v>99</v>
      </c>
      <c r="G134" s="40"/>
      <c r="H134" s="40"/>
      <c r="I134" s="114"/>
      <c r="J134" s="27"/>
    </row>
    <row r="135" spans="1:10" ht="24.9" hidden="1" customHeight="1" x14ac:dyDescent="0.3">
      <c r="A135" s="32">
        <v>110</v>
      </c>
      <c r="B135" s="33" t="s">
        <v>320</v>
      </c>
      <c r="C135" s="33" t="s">
        <v>317</v>
      </c>
      <c r="D135" s="33" t="s">
        <v>321</v>
      </c>
      <c r="E135" s="33" t="s">
        <v>319</v>
      </c>
      <c r="F135" s="34" t="s">
        <v>99</v>
      </c>
      <c r="G135" s="40"/>
      <c r="H135" s="51"/>
      <c r="I135" s="114"/>
      <c r="J135" s="27"/>
    </row>
    <row r="136" spans="1:10" ht="24.9" hidden="1" customHeight="1" x14ac:dyDescent="0.3">
      <c r="A136" s="32">
        <v>110</v>
      </c>
      <c r="B136" s="33" t="s">
        <v>322</v>
      </c>
      <c r="C136" s="33" t="s">
        <v>317</v>
      </c>
      <c r="D136" s="33" t="s">
        <v>323</v>
      </c>
      <c r="E136" s="33" t="s">
        <v>319</v>
      </c>
      <c r="F136" s="34" t="s">
        <v>99</v>
      </c>
      <c r="G136" s="40"/>
      <c r="H136" s="40"/>
      <c r="I136" s="114"/>
      <c r="J136" s="27"/>
    </row>
    <row r="137" spans="1:10" ht="24.9" hidden="1" customHeight="1" x14ac:dyDescent="0.3">
      <c r="A137" s="32">
        <v>110</v>
      </c>
      <c r="B137" s="33" t="s">
        <v>324</v>
      </c>
      <c r="C137" s="33" t="s">
        <v>317</v>
      </c>
      <c r="D137" s="33" t="s">
        <v>325</v>
      </c>
      <c r="E137" s="33" t="s">
        <v>319</v>
      </c>
      <c r="F137" s="34" t="s">
        <v>99</v>
      </c>
      <c r="G137" s="40"/>
      <c r="H137" s="40"/>
      <c r="I137" s="114"/>
      <c r="J137" s="27"/>
    </row>
    <row r="138" spans="1:10" ht="24.9" customHeight="1" x14ac:dyDescent="0.3">
      <c r="A138" s="32">
        <v>110</v>
      </c>
      <c r="B138" s="33" t="s">
        <v>333</v>
      </c>
      <c r="C138" s="33" t="s">
        <v>317</v>
      </c>
      <c r="D138" s="33" t="s">
        <v>334</v>
      </c>
      <c r="E138" s="33" t="s">
        <v>775</v>
      </c>
      <c r="F138" s="34" t="s">
        <v>167</v>
      </c>
      <c r="G138" s="40"/>
      <c r="H138" s="40"/>
      <c r="I138" s="114"/>
      <c r="J138" s="27"/>
    </row>
    <row r="139" spans="1:10" ht="24.9" hidden="1" customHeight="1" x14ac:dyDescent="0.3">
      <c r="A139" s="32">
        <v>110</v>
      </c>
      <c r="B139" s="33" t="s">
        <v>333</v>
      </c>
      <c r="C139" s="33" t="s">
        <v>317</v>
      </c>
      <c r="D139" s="33" t="s">
        <v>334</v>
      </c>
      <c r="E139" s="33" t="s">
        <v>332</v>
      </c>
      <c r="F139" s="34" t="s">
        <v>99</v>
      </c>
      <c r="G139" s="40"/>
      <c r="H139" s="51"/>
      <c r="I139" s="114"/>
      <c r="J139" s="27"/>
    </row>
    <row r="140" spans="1:10" ht="24.9" hidden="1" customHeight="1" x14ac:dyDescent="0.3">
      <c r="A140" s="32">
        <v>110</v>
      </c>
      <c r="B140" s="33" t="s">
        <v>333</v>
      </c>
      <c r="C140" s="33" t="s">
        <v>317</v>
      </c>
      <c r="D140" s="33" t="s">
        <v>334</v>
      </c>
      <c r="E140" s="33" t="s">
        <v>165</v>
      </c>
      <c r="F140" s="34" t="s">
        <v>99</v>
      </c>
      <c r="G140" s="40"/>
      <c r="H140" s="40"/>
      <c r="I140" s="114"/>
      <c r="J140" s="27"/>
    </row>
    <row r="141" spans="1:10" ht="24.9" customHeight="1" x14ac:dyDescent="0.3">
      <c r="A141" s="32">
        <v>110</v>
      </c>
      <c r="B141" s="33" t="s">
        <v>335</v>
      </c>
      <c r="C141" s="33" t="s">
        <v>317</v>
      </c>
      <c r="D141" s="33" t="s">
        <v>336</v>
      </c>
      <c r="E141" s="33" t="s">
        <v>775</v>
      </c>
      <c r="F141" s="34" t="s">
        <v>167</v>
      </c>
      <c r="G141" s="40"/>
      <c r="H141" s="40"/>
      <c r="I141" s="114"/>
      <c r="J141" s="27"/>
    </row>
    <row r="142" spans="1:10" ht="24.9" customHeight="1" x14ac:dyDescent="0.3">
      <c r="A142" s="32">
        <v>110</v>
      </c>
      <c r="B142" s="33" t="s">
        <v>343</v>
      </c>
      <c r="C142" s="33" t="s">
        <v>317</v>
      </c>
      <c r="D142" s="33" t="s">
        <v>344</v>
      </c>
      <c r="E142" s="33" t="s">
        <v>775</v>
      </c>
      <c r="F142" s="34" t="s">
        <v>167</v>
      </c>
      <c r="G142" s="40"/>
      <c r="H142" s="40"/>
      <c r="I142" s="114"/>
      <c r="J142" s="27"/>
    </row>
    <row r="143" spans="1:10" ht="24.9" hidden="1" customHeight="1" x14ac:dyDescent="0.3">
      <c r="A143" s="32">
        <v>110</v>
      </c>
      <c r="B143" s="33" t="s">
        <v>343</v>
      </c>
      <c r="C143" s="33" t="s">
        <v>317</v>
      </c>
      <c r="D143" s="33" t="s">
        <v>344</v>
      </c>
      <c r="E143" s="33" t="s">
        <v>332</v>
      </c>
      <c r="F143" s="34" t="s">
        <v>99</v>
      </c>
      <c r="G143" s="40"/>
      <c r="H143" s="40"/>
      <c r="I143" s="114"/>
      <c r="J143" s="27"/>
    </row>
    <row r="144" spans="1:10" ht="24.9" hidden="1" customHeight="1" x14ac:dyDescent="0.3">
      <c r="A144" s="32">
        <v>110</v>
      </c>
      <c r="B144" s="33" t="s">
        <v>343</v>
      </c>
      <c r="C144" s="33" t="s">
        <v>317</v>
      </c>
      <c r="D144" s="33" t="s">
        <v>344</v>
      </c>
      <c r="E144" s="33" t="s">
        <v>165</v>
      </c>
      <c r="F144" s="34" t="s">
        <v>99</v>
      </c>
      <c r="G144" s="40"/>
      <c r="H144" s="40"/>
      <c r="I144" s="114"/>
      <c r="J144" s="27"/>
    </row>
    <row r="145" spans="1:10" ht="24.9" customHeight="1" x14ac:dyDescent="0.3">
      <c r="A145" s="32">
        <v>110</v>
      </c>
      <c r="B145" s="33" t="s">
        <v>337</v>
      </c>
      <c r="C145" s="33" t="s">
        <v>317</v>
      </c>
      <c r="D145" s="33" t="s">
        <v>338</v>
      </c>
      <c r="E145" s="33" t="s">
        <v>775</v>
      </c>
      <c r="F145" s="34" t="s">
        <v>167</v>
      </c>
      <c r="G145" s="40"/>
      <c r="H145" s="40"/>
      <c r="I145" s="114"/>
      <c r="J145" s="27"/>
    </row>
    <row r="146" spans="1:10" ht="24.9" customHeight="1" x14ac:dyDescent="0.3">
      <c r="A146" s="32">
        <v>110</v>
      </c>
      <c r="B146" s="33" t="s">
        <v>339</v>
      </c>
      <c r="C146" s="33" t="s">
        <v>317</v>
      </c>
      <c r="D146" s="33" t="s">
        <v>340</v>
      </c>
      <c r="E146" s="33" t="s">
        <v>775</v>
      </c>
      <c r="F146" s="34" t="s">
        <v>167</v>
      </c>
      <c r="G146" s="40"/>
      <c r="H146" s="40"/>
      <c r="I146" s="114"/>
      <c r="J146" s="27"/>
    </row>
    <row r="147" spans="1:10" ht="24.9" customHeight="1" x14ac:dyDescent="0.3">
      <c r="A147" s="32">
        <v>110</v>
      </c>
      <c r="B147" s="33" t="s">
        <v>341</v>
      </c>
      <c r="C147" s="33" t="s">
        <v>317</v>
      </c>
      <c r="D147" s="33" t="s">
        <v>342</v>
      </c>
      <c r="E147" s="33" t="s">
        <v>775</v>
      </c>
      <c r="F147" s="34" t="s">
        <v>167</v>
      </c>
      <c r="G147" s="40"/>
      <c r="H147" s="40"/>
      <c r="I147" s="114"/>
      <c r="J147" s="27"/>
    </row>
    <row r="148" spans="1:10" ht="24.9" customHeight="1" x14ac:dyDescent="0.3">
      <c r="A148" s="32">
        <v>110</v>
      </c>
      <c r="B148" s="33" t="s">
        <v>345</v>
      </c>
      <c r="C148" s="33" t="s">
        <v>317</v>
      </c>
      <c r="D148" s="33" t="s">
        <v>346</v>
      </c>
      <c r="E148" s="33" t="s">
        <v>775</v>
      </c>
      <c r="F148" s="34" t="s">
        <v>167</v>
      </c>
      <c r="G148" s="40"/>
      <c r="H148" s="40"/>
      <c r="I148" s="114"/>
      <c r="J148" s="27"/>
    </row>
    <row r="149" spans="1:10" ht="24.9" hidden="1" customHeight="1" x14ac:dyDescent="0.3">
      <c r="A149" s="32">
        <v>110</v>
      </c>
      <c r="B149" s="33" t="s">
        <v>345</v>
      </c>
      <c r="C149" s="33" t="s">
        <v>317</v>
      </c>
      <c r="D149" s="33" t="s">
        <v>346</v>
      </c>
      <c r="E149" s="33" t="s">
        <v>332</v>
      </c>
      <c r="F149" s="34" t="s">
        <v>99</v>
      </c>
      <c r="G149" s="40"/>
      <c r="H149" s="40"/>
      <c r="I149" s="114"/>
      <c r="J149" s="27"/>
    </row>
    <row r="150" spans="1:10" ht="24.9" hidden="1" customHeight="1" x14ac:dyDescent="0.3">
      <c r="A150" s="32">
        <v>110</v>
      </c>
      <c r="B150" s="33" t="s">
        <v>345</v>
      </c>
      <c r="C150" s="33" t="s">
        <v>317</v>
      </c>
      <c r="D150" s="33" t="s">
        <v>346</v>
      </c>
      <c r="E150" s="33" t="s">
        <v>165</v>
      </c>
      <c r="F150" s="34" t="s">
        <v>99</v>
      </c>
      <c r="G150" s="40"/>
      <c r="H150" s="40"/>
      <c r="I150" s="114"/>
      <c r="J150" s="27"/>
    </row>
    <row r="151" spans="1:10" ht="24.9" customHeight="1" x14ac:dyDescent="0.3">
      <c r="A151" s="32">
        <v>110</v>
      </c>
      <c r="B151" s="33" t="s">
        <v>347</v>
      </c>
      <c r="C151" s="33" t="s">
        <v>317</v>
      </c>
      <c r="D151" s="33" t="s">
        <v>348</v>
      </c>
      <c r="E151" s="33" t="s">
        <v>775</v>
      </c>
      <c r="F151" s="34" t="s">
        <v>167</v>
      </c>
      <c r="G151" s="40"/>
      <c r="H151" s="40"/>
      <c r="I151" s="114"/>
      <c r="J151" s="27"/>
    </row>
    <row r="152" spans="1:10" ht="24.9" hidden="1" customHeight="1" x14ac:dyDescent="0.3">
      <c r="A152" s="32">
        <v>110</v>
      </c>
      <c r="B152" s="33" t="s">
        <v>347</v>
      </c>
      <c r="C152" s="33" t="s">
        <v>317</v>
      </c>
      <c r="D152" s="33" t="s">
        <v>348</v>
      </c>
      <c r="E152" s="33" t="s">
        <v>332</v>
      </c>
      <c r="F152" s="34" t="s">
        <v>99</v>
      </c>
      <c r="G152" s="40"/>
      <c r="H152" s="40"/>
      <c r="I152" s="114"/>
      <c r="J152" s="27"/>
    </row>
    <row r="153" spans="1:10" ht="24.9" hidden="1" customHeight="1" x14ac:dyDescent="0.3">
      <c r="A153" s="32">
        <v>110</v>
      </c>
      <c r="B153" s="33" t="s">
        <v>347</v>
      </c>
      <c r="C153" s="33" t="s">
        <v>317</v>
      </c>
      <c r="D153" s="33" t="s">
        <v>348</v>
      </c>
      <c r="E153" s="33" t="s">
        <v>165</v>
      </c>
      <c r="F153" s="34" t="s">
        <v>99</v>
      </c>
      <c r="G153" s="40"/>
      <c r="H153" s="40"/>
      <c r="I153" s="114"/>
      <c r="J153" s="27"/>
    </row>
    <row r="154" spans="1:10" ht="24.9" hidden="1" customHeight="1" x14ac:dyDescent="0.3">
      <c r="A154" s="32">
        <v>110</v>
      </c>
      <c r="B154" s="33" t="s">
        <v>330</v>
      </c>
      <c r="C154" s="33" t="s">
        <v>317</v>
      </c>
      <c r="D154" s="33" t="s">
        <v>331</v>
      </c>
      <c r="E154" s="33" t="s">
        <v>332</v>
      </c>
      <c r="F154" s="34" t="s">
        <v>99</v>
      </c>
      <c r="G154" s="40"/>
      <c r="H154" s="40"/>
      <c r="I154" s="114"/>
      <c r="J154" s="27"/>
    </row>
    <row r="155" spans="1:10" ht="24.9" hidden="1" customHeight="1" x14ac:dyDescent="0.3">
      <c r="A155" s="32">
        <v>110</v>
      </c>
      <c r="B155" s="33" t="s">
        <v>330</v>
      </c>
      <c r="C155" s="33" t="s">
        <v>317</v>
      </c>
      <c r="D155" s="33" t="s">
        <v>331</v>
      </c>
      <c r="E155" s="33" t="s">
        <v>165</v>
      </c>
      <c r="F155" s="34" t="s">
        <v>99</v>
      </c>
      <c r="G155" s="40"/>
      <c r="H155" s="40"/>
      <c r="I155" s="114"/>
      <c r="J155" s="27"/>
    </row>
    <row r="156" spans="1:10" ht="24.9" hidden="1" customHeight="1" x14ac:dyDescent="0.3">
      <c r="A156" s="32">
        <v>110</v>
      </c>
      <c r="B156" s="33" t="s">
        <v>315</v>
      </c>
      <c r="C156" s="33" t="s">
        <v>107</v>
      </c>
      <c r="D156" s="33" t="s">
        <v>108</v>
      </c>
      <c r="E156" s="33" t="s">
        <v>130</v>
      </c>
      <c r="F156" s="34" t="s">
        <v>99</v>
      </c>
      <c r="G156" s="40"/>
      <c r="H156" s="40"/>
      <c r="I156" s="114"/>
      <c r="J156" s="27"/>
    </row>
    <row r="157" spans="1:10" ht="24.9" customHeight="1" x14ac:dyDescent="0.3">
      <c r="A157" s="32">
        <v>120</v>
      </c>
      <c r="B157" s="33" t="s">
        <v>359</v>
      </c>
      <c r="C157" s="33" t="s">
        <v>353</v>
      </c>
      <c r="D157" s="33" t="s">
        <v>256</v>
      </c>
      <c r="E157" s="33" t="s">
        <v>160</v>
      </c>
      <c r="F157" s="34" t="s">
        <v>127</v>
      </c>
      <c r="G157" s="40"/>
      <c r="H157" s="40"/>
      <c r="I157" s="114"/>
      <c r="J157" s="27"/>
    </row>
    <row r="158" spans="1:10" ht="24.9" customHeight="1" x14ac:dyDescent="0.3">
      <c r="A158" s="32">
        <v>120</v>
      </c>
      <c r="B158" s="33" t="s">
        <v>360</v>
      </c>
      <c r="C158" s="33" t="s">
        <v>353</v>
      </c>
      <c r="D158" s="33" t="s">
        <v>180</v>
      </c>
      <c r="E158" s="33" t="s">
        <v>160</v>
      </c>
      <c r="F158" s="34" t="s">
        <v>127</v>
      </c>
      <c r="G158" s="40"/>
      <c r="H158" s="40"/>
      <c r="I158" s="114"/>
      <c r="J158" s="27"/>
    </row>
    <row r="159" spans="1:10" ht="24.9" customHeight="1" x14ac:dyDescent="0.3">
      <c r="A159" s="32">
        <v>120</v>
      </c>
      <c r="B159" s="33" t="s">
        <v>352</v>
      </c>
      <c r="C159" s="33" t="s">
        <v>353</v>
      </c>
      <c r="D159" s="33" t="s">
        <v>354</v>
      </c>
      <c r="E159" s="33" t="s">
        <v>160</v>
      </c>
      <c r="F159" s="34" t="s">
        <v>127</v>
      </c>
      <c r="G159" s="40"/>
      <c r="H159" s="40"/>
      <c r="I159" s="114"/>
      <c r="J159" s="27"/>
    </row>
    <row r="160" spans="1:10" ht="24.9" customHeight="1" x14ac:dyDescent="0.3">
      <c r="A160" s="32">
        <v>120</v>
      </c>
      <c r="B160" s="33" t="s">
        <v>355</v>
      </c>
      <c r="C160" s="33" t="s">
        <v>353</v>
      </c>
      <c r="D160" s="33" t="s">
        <v>356</v>
      </c>
      <c r="E160" s="33" t="s">
        <v>160</v>
      </c>
      <c r="F160" s="34" t="s">
        <v>127</v>
      </c>
      <c r="G160" s="40"/>
      <c r="H160" s="40"/>
      <c r="I160" s="114"/>
      <c r="J160" s="27"/>
    </row>
    <row r="161" spans="1:10" ht="24.9" customHeight="1" x14ac:dyDescent="0.3">
      <c r="A161" s="32">
        <v>120</v>
      </c>
      <c r="B161" s="33" t="s">
        <v>357</v>
      </c>
      <c r="C161" s="33" t="s">
        <v>353</v>
      </c>
      <c r="D161" s="33" t="s">
        <v>358</v>
      </c>
      <c r="E161" s="33" t="s">
        <v>160</v>
      </c>
      <c r="F161" s="34" t="s">
        <v>127</v>
      </c>
      <c r="G161" s="40"/>
      <c r="H161" s="40"/>
      <c r="I161" s="114"/>
      <c r="J161" s="27"/>
    </row>
    <row r="162" spans="1:10" ht="24.9" hidden="1" customHeight="1" x14ac:dyDescent="0.3">
      <c r="A162" s="32">
        <v>90</v>
      </c>
      <c r="B162" s="33" t="s">
        <v>260</v>
      </c>
      <c r="C162" s="33" t="s">
        <v>232</v>
      </c>
      <c r="D162" s="33" t="s">
        <v>261</v>
      </c>
      <c r="E162" s="33" t="s">
        <v>130</v>
      </c>
      <c r="F162" s="34" t="s">
        <v>95</v>
      </c>
      <c r="G162" s="40"/>
      <c r="H162" s="40"/>
      <c r="I162" s="115"/>
      <c r="J162" s="27"/>
    </row>
    <row r="163" spans="1:10" ht="24.9" customHeight="1" x14ac:dyDescent="0.3">
      <c r="A163" s="32">
        <v>130</v>
      </c>
      <c r="B163" s="33" t="s">
        <v>369</v>
      </c>
      <c r="C163" s="33" t="s">
        <v>370</v>
      </c>
      <c r="D163" s="33" t="s">
        <v>371</v>
      </c>
      <c r="E163" s="33" t="s">
        <v>373</v>
      </c>
      <c r="F163" s="34" t="s">
        <v>673</v>
      </c>
      <c r="G163" s="40"/>
      <c r="H163" s="40" t="s">
        <v>300</v>
      </c>
      <c r="I163" s="114" t="s">
        <v>374</v>
      </c>
      <c r="J163" s="27"/>
    </row>
    <row r="164" spans="1:10" ht="24.9" customHeight="1" x14ac:dyDescent="0.3">
      <c r="A164" s="32">
        <v>130</v>
      </c>
      <c r="B164" s="33" t="s">
        <v>369</v>
      </c>
      <c r="C164" s="33" t="s">
        <v>370</v>
      </c>
      <c r="D164" s="33" t="s">
        <v>371</v>
      </c>
      <c r="E164" s="33" t="s">
        <v>782</v>
      </c>
      <c r="F164" s="34" t="s">
        <v>673</v>
      </c>
      <c r="G164" s="40"/>
      <c r="H164" s="40" t="s">
        <v>300</v>
      </c>
      <c r="I164" s="114" t="s">
        <v>377</v>
      </c>
      <c r="J164" s="27"/>
    </row>
    <row r="165" spans="1:10" ht="24.9" customHeight="1" x14ac:dyDescent="0.3">
      <c r="A165" s="32">
        <v>130</v>
      </c>
      <c r="B165" s="33" t="s">
        <v>369</v>
      </c>
      <c r="C165" s="33" t="s">
        <v>370</v>
      </c>
      <c r="D165" s="33" t="s">
        <v>371</v>
      </c>
      <c r="E165" s="33" t="s">
        <v>130</v>
      </c>
      <c r="F165" s="34" t="s">
        <v>127</v>
      </c>
      <c r="G165" s="40"/>
      <c r="H165" s="40"/>
      <c r="I165" s="114"/>
      <c r="J165" s="27"/>
    </row>
    <row r="166" spans="1:10" ht="24.9" customHeight="1" x14ac:dyDescent="0.3">
      <c r="A166" s="32">
        <v>130</v>
      </c>
      <c r="B166" s="33" t="s">
        <v>369</v>
      </c>
      <c r="C166" s="33" t="s">
        <v>370</v>
      </c>
      <c r="D166" s="33" t="s">
        <v>371</v>
      </c>
      <c r="E166" s="33" t="s">
        <v>780</v>
      </c>
      <c r="F166" s="34" t="s">
        <v>127</v>
      </c>
      <c r="G166" s="40"/>
      <c r="H166" s="40"/>
      <c r="I166" s="114"/>
      <c r="J166" s="27"/>
    </row>
    <row r="167" spans="1:10" ht="24.9" customHeight="1" x14ac:dyDescent="0.3">
      <c r="A167" s="32">
        <v>130</v>
      </c>
      <c r="B167" s="33" t="s">
        <v>369</v>
      </c>
      <c r="C167" s="33" t="s">
        <v>370</v>
      </c>
      <c r="D167" s="33" t="s">
        <v>371</v>
      </c>
      <c r="E167" s="33" t="s">
        <v>781</v>
      </c>
      <c r="F167" s="34" t="s">
        <v>127</v>
      </c>
      <c r="G167" s="40"/>
      <c r="H167" s="40"/>
      <c r="I167" s="114"/>
      <c r="J167" s="27"/>
    </row>
    <row r="168" spans="1:10" ht="24.9" customHeight="1" x14ac:dyDescent="0.3">
      <c r="A168" s="32">
        <v>130</v>
      </c>
      <c r="B168" s="33" t="s">
        <v>369</v>
      </c>
      <c r="C168" s="33" t="s">
        <v>370</v>
      </c>
      <c r="D168" s="33" t="s">
        <v>371</v>
      </c>
      <c r="E168" s="33" t="s">
        <v>372</v>
      </c>
      <c r="F168" s="34" t="s">
        <v>127</v>
      </c>
      <c r="G168" s="40"/>
      <c r="H168" s="40"/>
      <c r="I168" s="114"/>
      <c r="J168" s="27"/>
    </row>
    <row r="169" spans="1:10" ht="24.9" customHeight="1" x14ac:dyDescent="0.3">
      <c r="A169" s="32">
        <v>130</v>
      </c>
      <c r="B169" s="33" t="s">
        <v>375</v>
      </c>
      <c r="C169" s="33"/>
      <c r="D169" s="33" t="s">
        <v>376</v>
      </c>
      <c r="E169" s="33" t="s">
        <v>775</v>
      </c>
      <c r="F169" s="34" t="s">
        <v>167</v>
      </c>
      <c r="G169" s="40"/>
      <c r="H169" s="40"/>
      <c r="I169" s="114"/>
      <c r="J169" s="27"/>
    </row>
    <row r="170" spans="1:10" ht="24.9" hidden="1" customHeight="1" x14ac:dyDescent="0.3">
      <c r="A170" s="32">
        <v>130</v>
      </c>
      <c r="B170" s="33" t="s">
        <v>365</v>
      </c>
      <c r="C170" s="33" t="s">
        <v>155</v>
      </c>
      <c r="D170" s="33" t="s">
        <v>366</v>
      </c>
      <c r="E170" s="33" t="s">
        <v>763</v>
      </c>
      <c r="F170" s="34" t="s">
        <v>99</v>
      </c>
      <c r="G170" s="40"/>
      <c r="H170" s="40"/>
      <c r="I170" s="114"/>
      <c r="J170" s="27"/>
    </row>
    <row r="171" spans="1:10" ht="24.9" hidden="1" customHeight="1" x14ac:dyDescent="0.3">
      <c r="A171" s="32">
        <v>130</v>
      </c>
      <c r="B171" s="33" t="s">
        <v>367</v>
      </c>
      <c r="C171" s="33" t="s">
        <v>155</v>
      </c>
      <c r="D171" s="33" t="s">
        <v>368</v>
      </c>
      <c r="E171" s="33" t="s">
        <v>763</v>
      </c>
      <c r="F171" s="34" t="s">
        <v>99</v>
      </c>
      <c r="G171" s="40"/>
      <c r="H171" s="40"/>
      <c r="I171" s="114"/>
      <c r="J171" s="27"/>
    </row>
    <row r="172" spans="1:10" ht="24.9" customHeight="1" x14ac:dyDescent="0.3">
      <c r="A172" s="32">
        <v>136</v>
      </c>
      <c r="B172" s="33" t="s">
        <v>382</v>
      </c>
      <c r="C172" s="33" t="s">
        <v>380</v>
      </c>
      <c r="D172" s="33" t="s">
        <v>380</v>
      </c>
      <c r="E172" s="33" t="s">
        <v>383</v>
      </c>
      <c r="F172" s="34" t="s">
        <v>127</v>
      </c>
      <c r="G172" s="40"/>
      <c r="H172" s="40"/>
      <c r="I172" s="114"/>
      <c r="J172" s="27"/>
    </row>
    <row r="173" spans="1:10" ht="24.9" hidden="1" customHeight="1" x14ac:dyDescent="0.3">
      <c r="A173" s="32">
        <v>136</v>
      </c>
      <c r="B173" s="33" t="s">
        <v>382</v>
      </c>
      <c r="C173" s="33" t="s">
        <v>380</v>
      </c>
      <c r="D173" s="33" t="s">
        <v>380</v>
      </c>
      <c r="E173" s="57" t="s">
        <v>217</v>
      </c>
      <c r="F173" s="34"/>
      <c r="G173" s="40"/>
      <c r="H173" s="40"/>
      <c r="I173" s="35"/>
      <c r="J173" s="27"/>
    </row>
    <row r="174" spans="1:10" ht="24.9" customHeight="1" x14ac:dyDescent="0.3">
      <c r="A174" s="32">
        <v>136</v>
      </c>
      <c r="B174" s="33" t="s">
        <v>379</v>
      </c>
      <c r="C174" s="33" t="s">
        <v>380</v>
      </c>
      <c r="D174" s="33" t="s">
        <v>381</v>
      </c>
      <c r="E174" s="33" t="s">
        <v>130</v>
      </c>
      <c r="F174" s="34" t="s">
        <v>127</v>
      </c>
      <c r="G174" s="40"/>
      <c r="H174" s="40"/>
      <c r="I174" s="114"/>
      <c r="J174" s="27"/>
    </row>
    <row r="175" spans="1:10" ht="24.9" customHeight="1" x14ac:dyDescent="0.3">
      <c r="A175" s="32">
        <v>136</v>
      </c>
      <c r="B175" s="33" t="s">
        <v>384</v>
      </c>
      <c r="C175" s="33" t="s">
        <v>380</v>
      </c>
      <c r="D175" s="33" t="s">
        <v>385</v>
      </c>
      <c r="E175" s="33" t="s">
        <v>130</v>
      </c>
      <c r="F175" s="34" t="s">
        <v>127</v>
      </c>
      <c r="G175" s="40"/>
      <c r="H175" s="40"/>
      <c r="I175" s="114"/>
      <c r="J175" s="27"/>
    </row>
    <row r="176" spans="1:10" ht="24.9" customHeight="1" x14ac:dyDescent="0.3">
      <c r="A176" s="32">
        <v>136</v>
      </c>
      <c r="B176" s="33" t="s">
        <v>386</v>
      </c>
      <c r="C176" s="33" t="s">
        <v>380</v>
      </c>
      <c r="D176" s="33" t="s">
        <v>387</v>
      </c>
      <c r="E176" s="33" t="s">
        <v>130</v>
      </c>
      <c r="F176" s="34" t="s">
        <v>127</v>
      </c>
      <c r="G176" s="40"/>
      <c r="H176" s="40"/>
      <c r="I176" s="114"/>
      <c r="J176" s="27"/>
    </row>
    <row r="177" spans="1:10" ht="24.9" customHeight="1" x14ac:dyDescent="0.3">
      <c r="A177" s="32">
        <v>136</v>
      </c>
      <c r="B177" s="33" t="s">
        <v>388</v>
      </c>
      <c r="C177" s="33" t="s">
        <v>380</v>
      </c>
      <c r="D177" s="33" t="s">
        <v>389</v>
      </c>
      <c r="E177" s="33" t="s">
        <v>390</v>
      </c>
      <c r="F177" s="34" t="s">
        <v>127</v>
      </c>
      <c r="G177" s="40"/>
      <c r="H177" s="40"/>
      <c r="I177" s="114"/>
      <c r="J177" s="27"/>
    </row>
    <row r="178" spans="1:10" ht="24.9" customHeight="1" x14ac:dyDescent="0.3">
      <c r="A178" s="32">
        <v>140</v>
      </c>
      <c r="B178" s="33" t="s">
        <v>404</v>
      </c>
      <c r="C178" s="33" t="s">
        <v>398</v>
      </c>
      <c r="D178" s="33" t="s">
        <v>405</v>
      </c>
      <c r="E178" s="33" t="s">
        <v>173</v>
      </c>
      <c r="F178" s="34" t="s">
        <v>127</v>
      </c>
      <c r="G178" s="40"/>
      <c r="H178" s="40"/>
      <c r="I178" s="114"/>
      <c r="J178" s="27"/>
    </row>
    <row r="179" spans="1:10" ht="24.9" customHeight="1" x14ac:dyDescent="0.3">
      <c r="A179" s="32">
        <v>140</v>
      </c>
      <c r="B179" s="33" t="s">
        <v>416</v>
      </c>
      <c r="C179" s="33" t="s">
        <v>392</v>
      </c>
      <c r="D179" s="33" t="s">
        <v>417</v>
      </c>
      <c r="E179" s="33" t="s">
        <v>783</v>
      </c>
      <c r="F179" s="34" t="s">
        <v>127</v>
      </c>
      <c r="G179" s="40"/>
      <c r="H179" s="40"/>
      <c r="I179" s="114"/>
      <c r="J179" s="27"/>
    </row>
    <row r="180" spans="1:10" ht="24.9" customHeight="1" x14ac:dyDescent="0.3">
      <c r="A180" s="32">
        <v>140</v>
      </c>
      <c r="B180" s="33" t="s">
        <v>422</v>
      </c>
      <c r="C180" s="33" t="s">
        <v>392</v>
      </c>
      <c r="D180" s="33" t="s">
        <v>423</v>
      </c>
      <c r="E180" s="33" t="s">
        <v>783</v>
      </c>
      <c r="F180" s="34" t="s">
        <v>127</v>
      </c>
      <c r="G180" s="40"/>
      <c r="H180" s="40"/>
      <c r="I180" s="114"/>
      <c r="J180" s="27"/>
    </row>
    <row r="181" spans="1:10" ht="24.9" customHeight="1" x14ac:dyDescent="0.3">
      <c r="A181" s="32">
        <v>140</v>
      </c>
      <c r="B181" s="33" t="s">
        <v>458</v>
      </c>
      <c r="C181" s="33" t="s">
        <v>448</v>
      </c>
      <c r="D181" s="33" t="s">
        <v>459</v>
      </c>
      <c r="E181" s="33" t="s">
        <v>783</v>
      </c>
      <c r="F181" s="34" t="s">
        <v>127</v>
      </c>
      <c r="G181" s="40"/>
      <c r="H181" s="40"/>
      <c r="I181" s="114"/>
      <c r="J181" s="27"/>
    </row>
    <row r="182" spans="1:10" ht="24.9" customHeight="1" x14ac:dyDescent="0.3">
      <c r="A182" s="32">
        <v>140</v>
      </c>
      <c r="B182" s="33" t="s">
        <v>499</v>
      </c>
      <c r="C182" s="33" t="s">
        <v>495</v>
      </c>
      <c r="D182" s="33" t="s">
        <v>500</v>
      </c>
      <c r="E182" s="33" t="s">
        <v>783</v>
      </c>
      <c r="F182" s="34" t="s">
        <v>127</v>
      </c>
      <c r="G182" s="40"/>
      <c r="H182" s="40"/>
      <c r="I182" s="114"/>
      <c r="J182" s="27"/>
    </row>
    <row r="183" spans="1:10" ht="24.9" customHeight="1" x14ac:dyDescent="0.3">
      <c r="A183" s="32">
        <v>140</v>
      </c>
      <c r="B183" s="33" t="s">
        <v>441</v>
      </c>
      <c r="C183" s="52" t="s">
        <v>437</v>
      </c>
      <c r="D183" s="33" t="s">
        <v>442</v>
      </c>
      <c r="E183" s="33" t="s">
        <v>783</v>
      </c>
      <c r="F183" s="34" t="s">
        <v>127</v>
      </c>
      <c r="G183" s="40"/>
      <c r="H183" s="40"/>
      <c r="I183" s="114"/>
      <c r="J183" s="27"/>
    </row>
    <row r="184" spans="1:10" ht="24.9" hidden="1" customHeight="1" x14ac:dyDescent="0.3">
      <c r="A184" s="32">
        <v>90</v>
      </c>
      <c r="B184" s="33" t="s">
        <v>252</v>
      </c>
      <c r="C184" s="33" t="s">
        <v>232</v>
      </c>
      <c r="D184" s="33" t="s">
        <v>250</v>
      </c>
      <c r="E184" s="33" t="s">
        <v>130</v>
      </c>
      <c r="F184" s="34" t="s">
        <v>95</v>
      </c>
      <c r="G184" s="40"/>
      <c r="H184" s="40"/>
      <c r="I184" s="114"/>
      <c r="J184" s="27"/>
    </row>
    <row r="185" spans="1:10" ht="24.9" hidden="1" customHeight="1" x14ac:dyDescent="0.3">
      <c r="A185" s="32">
        <v>100</v>
      </c>
      <c r="B185" s="33" t="s">
        <v>290</v>
      </c>
      <c r="C185" s="33" t="s">
        <v>285</v>
      </c>
      <c r="D185" s="33" t="s">
        <v>291</v>
      </c>
      <c r="E185" s="33" t="s">
        <v>292</v>
      </c>
      <c r="F185" s="34" t="s">
        <v>95</v>
      </c>
      <c r="G185" s="40"/>
      <c r="H185" s="40"/>
      <c r="I185" s="114"/>
      <c r="J185" s="27"/>
    </row>
    <row r="186" spans="1:10" ht="24.9" hidden="1" customHeight="1" x14ac:dyDescent="0.3">
      <c r="A186" s="32">
        <v>100</v>
      </c>
      <c r="B186" s="33" t="s">
        <v>293</v>
      </c>
      <c r="C186" s="33" t="s">
        <v>285</v>
      </c>
      <c r="D186" s="33" t="s">
        <v>288</v>
      </c>
      <c r="E186" s="33" t="s">
        <v>776</v>
      </c>
      <c r="F186" s="34" t="s">
        <v>95</v>
      </c>
      <c r="G186" s="40"/>
      <c r="H186" s="40"/>
      <c r="I186" s="114"/>
      <c r="J186" s="27"/>
    </row>
    <row r="187" spans="1:10" ht="24.9" hidden="1" customHeight="1" x14ac:dyDescent="0.3">
      <c r="A187" s="32">
        <v>101</v>
      </c>
      <c r="B187" s="33" t="s">
        <v>306</v>
      </c>
      <c r="C187" s="33" t="s">
        <v>285</v>
      </c>
      <c r="D187" s="33" t="s">
        <v>295</v>
      </c>
      <c r="E187" s="33" t="s">
        <v>307</v>
      </c>
      <c r="F187" s="34" t="s">
        <v>95</v>
      </c>
      <c r="G187" s="40"/>
      <c r="H187" s="40"/>
      <c r="I187" s="114"/>
      <c r="J187" s="27"/>
    </row>
    <row r="188" spans="1:10" ht="24.9" hidden="1" customHeight="1" x14ac:dyDescent="0.3">
      <c r="A188" s="32">
        <v>101</v>
      </c>
      <c r="B188" s="33" t="s">
        <v>308</v>
      </c>
      <c r="C188" s="33" t="s">
        <v>285</v>
      </c>
      <c r="D188" s="33" t="s">
        <v>304</v>
      </c>
      <c r="E188" s="33" t="s">
        <v>778</v>
      </c>
      <c r="F188" s="34" t="s">
        <v>95</v>
      </c>
      <c r="G188" s="40"/>
      <c r="H188" s="40"/>
      <c r="I188" s="114"/>
      <c r="J188" s="27"/>
    </row>
    <row r="189" spans="1:10" ht="24.9" hidden="1" customHeight="1" x14ac:dyDescent="0.3">
      <c r="A189" s="32">
        <v>102</v>
      </c>
      <c r="B189" s="33" t="s">
        <v>310</v>
      </c>
      <c r="C189" s="33" t="s">
        <v>285</v>
      </c>
      <c r="D189" s="33" t="s">
        <v>311</v>
      </c>
      <c r="E189" s="33" t="s">
        <v>312</v>
      </c>
      <c r="F189" s="34" t="s">
        <v>95</v>
      </c>
      <c r="G189" s="40"/>
      <c r="H189" s="40"/>
      <c r="I189" s="114"/>
      <c r="J189" s="27"/>
    </row>
    <row r="190" spans="1:10" ht="24.9" hidden="1" customHeight="1" x14ac:dyDescent="0.3">
      <c r="A190" s="32">
        <v>140</v>
      </c>
      <c r="B190" s="33" t="s">
        <v>406</v>
      </c>
      <c r="C190" s="33" t="s">
        <v>398</v>
      </c>
      <c r="D190" s="33" t="s">
        <v>407</v>
      </c>
      <c r="E190" s="33" t="s">
        <v>240</v>
      </c>
      <c r="F190" s="34" t="s">
        <v>95</v>
      </c>
      <c r="G190" s="40"/>
      <c r="H190" s="40"/>
      <c r="I190" s="114"/>
      <c r="J190" s="27"/>
    </row>
    <row r="191" spans="1:10" ht="24.9" hidden="1" customHeight="1" x14ac:dyDescent="0.3">
      <c r="A191" s="32">
        <v>140</v>
      </c>
      <c r="B191" s="33" t="s">
        <v>492</v>
      </c>
      <c r="C191" s="33" t="s">
        <v>473</v>
      </c>
      <c r="D191" s="33" t="s">
        <v>493</v>
      </c>
      <c r="E191" s="33" t="s">
        <v>240</v>
      </c>
      <c r="F191" s="34" t="s">
        <v>95</v>
      </c>
      <c r="G191" s="40"/>
      <c r="H191" s="40"/>
      <c r="I191" s="114"/>
      <c r="J191" s="27"/>
    </row>
    <row r="192" spans="1:10" ht="24.9" hidden="1" customHeight="1" x14ac:dyDescent="0.3">
      <c r="A192" s="32">
        <v>140</v>
      </c>
      <c r="B192" s="33" t="s">
        <v>460</v>
      </c>
      <c r="C192" s="33" t="s">
        <v>448</v>
      </c>
      <c r="D192" s="33" t="s">
        <v>461</v>
      </c>
      <c r="E192" s="33" t="s">
        <v>240</v>
      </c>
      <c r="F192" s="34" t="s">
        <v>95</v>
      </c>
      <c r="G192" s="40"/>
      <c r="H192" s="40"/>
      <c r="I192" s="114"/>
      <c r="J192" s="27"/>
    </row>
    <row r="193" spans="1:10" ht="24.9" hidden="1" customHeight="1" x14ac:dyDescent="0.3">
      <c r="A193" s="32">
        <v>140</v>
      </c>
      <c r="B193" s="33" t="s">
        <v>501</v>
      </c>
      <c r="C193" s="33" t="s">
        <v>495</v>
      </c>
      <c r="D193" s="33" t="s">
        <v>502</v>
      </c>
      <c r="E193" s="33" t="s">
        <v>240</v>
      </c>
      <c r="F193" s="34" t="s">
        <v>95</v>
      </c>
      <c r="G193" s="40"/>
      <c r="H193" s="40"/>
      <c r="I193" s="114"/>
      <c r="J193" s="27"/>
    </row>
    <row r="194" spans="1:10" ht="24.9" hidden="1" customHeight="1" x14ac:dyDescent="0.3">
      <c r="A194" s="32">
        <v>140</v>
      </c>
      <c r="B194" s="33" t="s">
        <v>462</v>
      </c>
      <c r="C194" s="33" t="s">
        <v>448</v>
      </c>
      <c r="D194" s="33" t="s">
        <v>463</v>
      </c>
      <c r="E194" s="33" t="s">
        <v>240</v>
      </c>
      <c r="F194" s="34" t="s">
        <v>95</v>
      </c>
      <c r="G194" s="40"/>
      <c r="H194" s="51"/>
      <c r="I194" s="114"/>
      <c r="J194" s="27"/>
    </row>
    <row r="195" spans="1:10" ht="24.9" hidden="1" customHeight="1" x14ac:dyDescent="0.3">
      <c r="A195" s="32">
        <v>140</v>
      </c>
      <c r="B195" s="33" t="s">
        <v>503</v>
      </c>
      <c r="C195" s="33" t="s">
        <v>495</v>
      </c>
      <c r="D195" s="33" t="s">
        <v>504</v>
      </c>
      <c r="E195" s="33" t="s">
        <v>240</v>
      </c>
      <c r="F195" s="34" t="s">
        <v>95</v>
      </c>
      <c r="G195" s="40"/>
      <c r="H195" s="51"/>
      <c r="I195" s="114"/>
      <c r="J195" s="27"/>
    </row>
    <row r="196" spans="1:10" ht="24.9" hidden="1" customHeight="1" x14ac:dyDescent="0.3">
      <c r="A196" s="32">
        <v>140</v>
      </c>
      <c r="B196" s="33" t="s">
        <v>464</v>
      </c>
      <c r="C196" s="33" t="s">
        <v>448</v>
      </c>
      <c r="D196" s="33" t="s">
        <v>465</v>
      </c>
      <c r="E196" s="33" t="s">
        <v>240</v>
      </c>
      <c r="F196" s="34" t="s">
        <v>95</v>
      </c>
      <c r="G196" s="40"/>
      <c r="H196" s="51"/>
      <c r="I196" s="114"/>
      <c r="J196" s="27"/>
    </row>
    <row r="197" spans="1:10" ht="24.9" hidden="1" customHeight="1" x14ac:dyDescent="0.3">
      <c r="A197" s="32">
        <v>140</v>
      </c>
      <c r="B197" s="33" t="s">
        <v>482</v>
      </c>
      <c r="C197" s="33" t="s">
        <v>473</v>
      </c>
      <c r="D197" s="33" t="s">
        <v>483</v>
      </c>
      <c r="E197" s="33" t="s">
        <v>240</v>
      </c>
      <c r="F197" s="34" t="s">
        <v>95</v>
      </c>
      <c r="G197" s="40"/>
      <c r="H197" s="40"/>
      <c r="I197" s="114"/>
      <c r="J197" s="27"/>
    </row>
    <row r="198" spans="1:10" ht="24.9" hidden="1" customHeight="1" x14ac:dyDescent="0.3">
      <c r="A198" s="32">
        <v>140</v>
      </c>
      <c r="B198" s="33" t="s">
        <v>484</v>
      </c>
      <c r="C198" s="33" t="s">
        <v>473</v>
      </c>
      <c r="D198" s="33" t="s">
        <v>485</v>
      </c>
      <c r="E198" s="33" t="s">
        <v>240</v>
      </c>
      <c r="F198" s="34" t="s">
        <v>95</v>
      </c>
      <c r="G198" s="40"/>
      <c r="H198" s="51"/>
      <c r="I198" s="114"/>
      <c r="J198" s="27"/>
    </row>
    <row r="199" spans="1:10" ht="24.9" hidden="1" customHeight="1" x14ac:dyDescent="0.3">
      <c r="A199" s="32">
        <v>140</v>
      </c>
      <c r="B199" s="33" t="s">
        <v>486</v>
      </c>
      <c r="C199" s="33" t="s">
        <v>473</v>
      </c>
      <c r="D199" s="33" t="s">
        <v>487</v>
      </c>
      <c r="E199" s="33" t="s">
        <v>240</v>
      </c>
      <c r="F199" s="34" t="s">
        <v>95</v>
      </c>
      <c r="G199" s="40"/>
      <c r="H199" s="51"/>
      <c r="I199" s="114"/>
      <c r="J199" s="27"/>
    </row>
    <row r="200" spans="1:10" ht="24.9" hidden="1" customHeight="1" x14ac:dyDescent="0.3">
      <c r="A200" s="32">
        <v>140</v>
      </c>
      <c r="B200" s="33" t="s">
        <v>466</v>
      </c>
      <c r="C200" s="33" t="s">
        <v>448</v>
      </c>
      <c r="D200" s="33" t="s">
        <v>467</v>
      </c>
      <c r="E200" s="33" t="s">
        <v>240</v>
      </c>
      <c r="F200" s="34" t="s">
        <v>95</v>
      </c>
      <c r="G200" s="40"/>
      <c r="H200" s="51"/>
      <c r="I200" s="114"/>
      <c r="J200" s="27"/>
    </row>
    <row r="201" spans="1:10" ht="24.9" hidden="1" customHeight="1" x14ac:dyDescent="0.3">
      <c r="A201" s="32">
        <v>140</v>
      </c>
      <c r="B201" s="33" t="s">
        <v>505</v>
      </c>
      <c r="C201" s="33" t="s">
        <v>495</v>
      </c>
      <c r="D201" s="33" t="s">
        <v>506</v>
      </c>
      <c r="E201" s="33" t="s">
        <v>240</v>
      </c>
      <c r="F201" s="34" t="s">
        <v>95</v>
      </c>
      <c r="G201" s="40"/>
      <c r="H201" s="40"/>
      <c r="I201" s="114"/>
      <c r="J201" s="27"/>
    </row>
    <row r="202" spans="1:10" ht="24.9" hidden="1" customHeight="1" x14ac:dyDescent="0.3">
      <c r="A202" s="32">
        <v>140</v>
      </c>
      <c r="B202" s="33" t="s">
        <v>475</v>
      </c>
      <c r="C202" s="33" t="s">
        <v>473</v>
      </c>
      <c r="D202" s="33" t="s">
        <v>853</v>
      </c>
      <c r="E202" s="33" t="s">
        <v>478</v>
      </c>
      <c r="F202" s="33"/>
      <c r="G202" s="40"/>
      <c r="H202" s="51"/>
      <c r="I202" s="35"/>
      <c r="J202" s="27"/>
    </row>
    <row r="203" spans="1:10" ht="24.9" hidden="1" customHeight="1" x14ac:dyDescent="0.3">
      <c r="A203" s="32">
        <v>140</v>
      </c>
      <c r="B203" s="33" t="s">
        <v>445</v>
      </c>
      <c r="C203" s="52" t="s">
        <v>437</v>
      </c>
      <c r="D203" s="33" t="s">
        <v>446</v>
      </c>
      <c r="E203" s="33" t="s">
        <v>240</v>
      </c>
      <c r="F203" s="34" t="s">
        <v>95</v>
      </c>
      <c r="G203" s="40"/>
      <c r="H203" s="51"/>
      <c r="I203" s="114"/>
      <c r="J203" s="27"/>
    </row>
    <row r="204" spans="1:10" ht="24.9" hidden="1" customHeight="1" x14ac:dyDescent="0.3">
      <c r="A204" s="32">
        <v>140</v>
      </c>
      <c r="B204" s="33" t="s">
        <v>488</v>
      </c>
      <c r="C204" s="33" t="s">
        <v>473</v>
      </c>
      <c r="D204" s="33" t="s">
        <v>489</v>
      </c>
      <c r="E204" s="33" t="s">
        <v>240</v>
      </c>
      <c r="F204" s="34" t="s">
        <v>95</v>
      </c>
      <c r="G204" s="40"/>
      <c r="H204" s="51"/>
      <c r="I204" s="114"/>
      <c r="J204" s="27"/>
    </row>
    <row r="205" spans="1:10" ht="24.9" hidden="1" customHeight="1" x14ac:dyDescent="0.3">
      <c r="A205" s="32">
        <v>140</v>
      </c>
      <c r="B205" s="33" t="s">
        <v>480</v>
      </c>
      <c r="C205" s="33" t="s">
        <v>473</v>
      </c>
      <c r="D205" s="33" t="s">
        <v>854</v>
      </c>
      <c r="E205" s="33" t="s">
        <v>478</v>
      </c>
      <c r="F205" s="33"/>
      <c r="G205" s="40"/>
      <c r="H205" s="40"/>
      <c r="I205" s="35"/>
      <c r="J205" s="27"/>
    </row>
    <row r="206" spans="1:10" ht="24.9" hidden="1" customHeight="1" x14ac:dyDescent="0.3">
      <c r="A206" s="32">
        <v>140</v>
      </c>
      <c r="B206" s="33" t="s">
        <v>490</v>
      </c>
      <c r="C206" s="33" t="s">
        <v>473</v>
      </c>
      <c r="D206" s="33" t="s">
        <v>491</v>
      </c>
      <c r="E206" s="33" t="s">
        <v>240</v>
      </c>
      <c r="F206" s="34" t="s">
        <v>95</v>
      </c>
      <c r="G206" s="40"/>
      <c r="H206" s="51"/>
      <c r="I206" s="114"/>
      <c r="J206" s="27"/>
    </row>
    <row r="207" spans="1:10" ht="24.9" hidden="1" customHeight="1" x14ac:dyDescent="0.3">
      <c r="A207" s="32">
        <v>140</v>
      </c>
      <c r="B207" s="33" t="s">
        <v>430</v>
      </c>
      <c r="C207" s="33" t="s">
        <v>425</v>
      </c>
      <c r="D207" s="33" t="s">
        <v>431</v>
      </c>
      <c r="E207" s="33" t="s">
        <v>240</v>
      </c>
      <c r="F207" s="34" t="s">
        <v>95</v>
      </c>
      <c r="G207" s="40"/>
      <c r="H207" s="51"/>
      <c r="I207" s="114"/>
      <c r="J207" s="27"/>
    </row>
    <row r="208" spans="1:10" ht="24.9" hidden="1" customHeight="1" x14ac:dyDescent="0.3">
      <c r="A208" s="32">
        <v>140</v>
      </c>
      <c r="B208" s="33" t="s">
        <v>515</v>
      </c>
      <c r="C208" s="33" t="s">
        <v>516</v>
      </c>
      <c r="D208" s="33" t="s">
        <v>518</v>
      </c>
      <c r="E208" s="33" t="s">
        <v>767</v>
      </c>
      <c r="F208" s="34" t="s">
        <v>99</v>
      </c>
      <c r="G208" s="40"/>
      <c r="H208" s="51"/>
      <c r="I208" s="114"/>
      <c r="J208" s="27"/>
    </row>
    <row r="209" spans="1:10" ht="24.9" customHeight="1" x14ac:dyDescent="0.3">
      <c r="A209" s="32">
        <v>140</v>
      </c>
      <c r="B209" s="33" t="s">
        <v>515</v>
      </c>
      <c r="C209" s="33" t="s">
        <v>516</v>
      </c>
      <c r="D209" s="33" t="s">
        <v>518</v>
      </c>
      <c r="E209" s="33" t="s">
        <v>173</v>
      </c>
      <c r="F209" s="34" t="s">
        <v>127</v>
      </c>
      <c r="G209" s="40"/>
      <c r="H209" s="40"/>
      <c r="I209" s="114"/>
      <c r="J209" s="27"/>
    </row>
    <row r="210" spans="1:10" ht="24.9" customHeight="1" x14ac:dyDescent="0.3">
      <c r="A210" s="32">
        <v>140</v>
      </c>
      <c r="B210" s="33" t="s">
        <v>515</v>
      </c>
      <c r="C210" s="33" t="s">
        <v>516</v>
      </c>
      <c r="D210" s="33" t="s">
        <v>518</v>
      </c>
      <c r="E210" s="33" t="s">
        <v>766</v>
      </c>
      <c r="F210" s="34" t="s">
        <v>127</v>
      </c>
      <c r="G210" s="40"/>
      <c r="H210" s="51"/>
      <c r="I210" s="114"/>
      <c r="J210" s="27"/>
    </row>
    <row r="211" spans="1:10" ht="24.9" hidden="1" customHeight="1" x14ac:dyDescent="0.3">
      <c r="A211" s="32">
        <v>140</v>
      </c>
      <c r="B211" s="33" t="s">
        <v>427</v>
      </c>
      <c r="C211" s="33" t="s">
        <v>425</v>
      </c>
      <c r="D211" s="33" t="s">
        <v>428</v>
      </c>
      <c r="E211" s="33" t="s">
        <v>240</v>
      </c>
      <c r="F211" s="34" t="s">
        <v>95</v>
      </c>
      <c r="G211" s="40"/>
      <c r="H211" s="51"/>
      <c r="I211" s="114"/>
      <c r="J211" s="27"/>
    </row>
    <row r="212" spans="1:10" ht="24.9" customHeight="1" x14ac:dyDescent="0.3">
      <c r="A212" s="32">
        <v>140</v>
      </c>
      <c r="B212" s="33" t="s">
        <v>452</v>
      </c>
      <c r="C212" s="33" t="s">
        <v>448</v>
      </c>
      <c r="D212" s="33" t="s">
        <v>453</v>
      </c>
      <c r="E212" s="33" t="s">
        <v>783</v>
      </c>
      <c r="F212" s="34" t="s">
        <v>127</v>
      </c>
      <c r="G212" s="40"/>
      <c r="H212" s="51"/>
      <c r="I212" s="114"/>
      <c r="J212" s="27"/>
    </row>
    <row r="213" spans="1:10" ht="24.9" customHeight="1" x14ac:dyDescent="0.3">
      <c r="A213" s="32">
        <v>140</v>
      </c>
      <c r="B213" s="33" t="s">
        <v>394</v>
      </c>
      <c r="C213" s="33" t="s">
        <v>395</v>
      </c>
      <c r="D213" s="33" t="s">
        <v>396</v>
      </c>
      <c r="E213" s="33" t="s">
        <v>775</v>
      </c>
      <c r="F213" s="34" t="s">
        <v>167</v>
      </c>
      <c r="G213" s="40"/>
      <c r="H213" s="40"/>
      <c r="I213" s="114"/>
      <c r="J213" s="27"/>
    </row>
    <row r="214" spans="1:10" ht="24.9" hidden="1" customHeight="1" x14ac:dyDescent="0.3">
      <c r="A214" s="32">
        <v>140</v>
      </c>
      <c r="B214" s="33" t="s">
        <v>394</v>
      </c>
      <c r="C214" s="33" t="s">
        <v>395</v>
      </c>
      <c r="D214" s="33" t="s">
        <v>396</v>
      </c>
      <c r="E214" s="33" t="s">
        <v>332</v>
      </c>
      <c r="F214" s="34" t="s">
        <v>99</v>
      </c>
      <c r="G214" s="40"/>
      <c r="H214" s="51"/>
      <c r="I214" s="114"/>
      <c r="J214" s="27"/>
    </row>
    <row r="215" spans="1:10" ht="24.9" hidden="1" customHeight="1" x14ac:dyDescent="0.3">
      <c r="A215" s="32">
        <v>140</v>
      </c>
      <c r="B215" s="33" t="s">
        <v>394</v>
      </c>
      <c r="C215" s="33" t="s">
        <v>395</v>
      </c>
      <c r="D215" s="33" t="s">
        <v>396</v>
      </c>
      <c r="E215" s="33" t="s">
        <v>165</v>
      </c>
      <c r="F215" s="34" t="s">
        <v>99</v>
      </c>
      <c r="G215" s="40"/>
      <c r="H215" s="51"/>
      <c r="I215" s="114"/>
      <c r="J215" s="27"/>
    </row>
    <row r="216" spans="1:10" ht="24.9" hidden="1" customHeight="1" x14ac:dyDescent="0.3">
      <c r="A216" s="32">
        <v>140</v>
      </c>
      <c r="B216" s="33" t="s">
        <v>427</v>
      </c>
      <c r="C216" s="33" t="s">
        <v>425</v>
      </c>
      <c r="D216" s="33" t="s">
        <v>429</v>
      </c>
      <c r="E216" s="33" t="s">
        <v>240</v>
      </c>
      <c r="F216" s="34" t="s">
        <v>95</v>
      </c>
      <c r="G216" s="40"/>
      <c r="H216" s="51"/>
      <c r="I216" s="114"/>
      <c r="J216" s="27"/>
    </row>
    <row r="217" spans="1:10" ht="24.9" hidden="1" customHeight="1" x14ac:dyDescent="0.3">
      <c r="A217" s="32">
        <v>140</v>
      </c>
      <c r="B217" s="33" t="s">
        <v>515</v>
      </c>
      <c r="C217" s="33" t="s">
        <v>516</v>
      </c>
      <c r="D217" s="33" t="s">
        <v>517</v>
      </c>
      <c r="E217" s="33" t="s">
        <v>240</v>
      </c>
      <c r="F217" s="34" t="s">
        <v>95</v>
      </c>
      <c r="G217" s="40"/>
      <c r="H217" s="40"/>
      <c r="I217" s="114"/>
      <c r="J217" s="27"/>
    </row>
    <row r="218" spans="1:10" ht="24.9" hidden="1" customHeight="1" x14ac:dyDescent="0.3">
      <c r="A218" s="32">
        <v>140</v>
      </c>
      <c r="B218" s="33" t="s">
        <v>424</v>
      </c>
      <c r="C218" s="33" t="s">
        <v>425</v>
      </c>
      <c r="D218" s="33" t="s">
        <v>426</v>
      </c>
      <c r="E218" s="33" t="s">
        <v>240</v>
      </c>
      <c r="F218" s="34" t="s">
        <v>95</v>
      </c>
      <c r="G218" s="40"/>
      <c r="H218" s="51"/>
      <c r="I218" s="114"/>
      <c r="J218" s="27"/>
    </row>
    <row r="219" spans="1:10" ht="24.9" hidden="1" customHeight="1" x14ac:dyDescent="0.3">
      <c r="A219" s="32">
        <v>140</v>
      </c>
      <c r="B219" s="33" t="s">
        <v>410</v>
      </c>
      <c r="C219" s="33" t="s">
        <v>392</v>
      </c>
      <c r="D219" s="33" t="s">
        <v>411</v>
      </c>
      <c r="E219" s="33" t="s">
        <v>240</v>
      </c>
      <c r="F219" s="34" t="s">
        <v>95</v>
      </c>
      <c r="G219" s="40"/>
      <c r="H219" s="51"/>
      <c r="I219" s="114"/>
      <c r="J219" s="27"/>
    </row>
    <row r="220" spans="1:10" ht="24.9" hidden="1" customHeight="1" x14ac:dyDescent="0.3">
      <c r="A220" s="32">
        <v>140</v>
      </c>
      <c r="B220" s="33" t="s">
        <v>412</v>
      </c>
      <c r="C220" s="33" t="s">
        <v>392</v>
      </c>
      <c r="D220" s="33" t="s">
        <v>413</v>
      </c>
      <c r="E220" s="33" t="s">
        <v>240</v>
      </c>
      <c r="F220" s="34" t="s">
        <v>95</v>
      </c>
      <c r="G220" s="40"/>
      <c r="H220" s="51"/>
      <c r="I220" s="114"/>
      <c r="J220" s="27"/>
    </row>
    <row r="221" spans="1:10" ht="24.9" hidden="1" customHeight="1" x14ac:dyDescent="0.3">
      <c r="A221" s="32">
        <v>140</v>
      </c>
      <c r="B221" s="33" t="s">
        <v>391</v>
      </c>
      <c r="C221" s="33" t="s">
        <v>392</v>
      </c>
      <c r="D221" s="33" t="s">
        <v>393</v>
      </c>
      <c r="E221" s="33" t="s">
        <v>240</v>
      </c>
      <c r="F221" s="34" t="s">
        <v>95</v>
      </c>
      <c r="G221" s="50"/>
      <c r="H221" s="50"/>
      <c r="I221" s="116"/>
      <c r="J221" s="27"/>
    </row>
    <row r="222" spans="1:10" ht="24.9" hidden="1" customHeight="1" x14ac:dyDescent="0.3">
      <c r="A222" s="32">
        <v>140</v>
      </c>
      <c r="B222" s="33" t="s">
        <v>418</v>
      </c>
      <c r="C222" s="33" t="s">
        <v>392</v>
      </c>
      <c r="D222" s="33" t="s">
        <v>419</v>
      </c>
      <c r="E222" s="33" t="s">
        <v>240</v>
      </c>
      <c r="F222" s="34" t="s">
        <v>95</v>
      </c>
      <c r="G222" s="40"/>
      <c r="H222" s="51"/>
      <c r="I222" s="114"/>
      <c r="J222" s="27"/>
    </row>
    <row r="223" spans="1:10" ht="24.9" hidden="1" customHeight="1" x14ac:dyDescent="0.3">
      <c r="A223" s="32">
        <v>140</v>
      </c>
      <c r="B223" s="33" t="s">
        <v>450</v>
      </c>
      <c r="C223" s="33" t="s">
        <v>448</v>
      </c>
      <c r="D223" s="33" t="s">
        <v>451</v>
      </c>
      <c r="E223" s="33" t="s">
        <v>240</v>
      </c>
      <c r="F223" s="34" t="s">
        <v>95</v>
      </c>
      <c r="G223" s="40"/>
      <c r="H223" s="51"/>
      <c r="I223" s="114"/>
      <c r="J223" s="27"/>
    </row>
    <row r="224" spans="1:10" ht="24.9" hidden="1" customHeight="1" x14ac:dyDescent="0.3">
      <c r="A224" s="32">
        <v>140</v>
      </c>
      <c r="B224" s="33" t="s">
        <v>470</v>
      </c>
      <c r="C224" s="33" t="s">
        <v>448</v>
      </c>
      <c r="D224" s="33" t="s">
        <v>471</v>
      </c>
      <c r="E224" s="33" t="s">
        <v>240</v>
      </c>
      <c r="F224" s="34" t="s">
        <v>95</v>
      </c>
      <c r="G224" s="40"/>
      <c r="H224" s="51"/>
      <c r="I224" s="114"/>
      <c r="J224" s="27"/>
    </row>
    <row r="225" spans="1:10" ht="24.9" hidden="1" customHeight="1" x14ac:dyDescent="0.3">
      <c r="A225" s="32">
        <v>140</v>
      </c>
      <c r="B225" s="33" t="s">
        <v>454</v>
      </c>
      <c r="C225" s="33" t="s">
        <v>448</v>
      </c>
      <c r="D225" s="33" t="s">
        <v>455</v>
      </c>
      <c r="E225" s="33" t="s">
        <v>240</v>
      </c>
      <c r="F225" s="34" t="s">
        <v>95</v>
      </c>
      <c r="G225" s="40"/>
      <c r="H225" s="51"/>
      <c r="I225" s="114"/>
      <c r="J225" s="27"/>
    </row>
    <row r="226" spans="1:10" ht="24.9" hidden="1" customHeight="1" x14ac:dyDescent="0.3">
      <c r="A226" s="32">
        <v>140</v>
      </c>
      <c r="B226" s="33" t="s">
        <v>494</v>
      </c>
      <c r="C226" s="33" t="s">
        <v>495</v>
      </c>
      <c r="D226" s="33" t="s">
        <v>496</v>
      </c>
      <c r="E226" s="33" t="s">
        <v>240</v>
      </c>
      <c r="F226" s="34" t="s">
        <v>95</v>
      </c>
      <c r="G226" s="40"/>
      <c r="H226" s="51"/>
      <c r="I226" s="114"/>
      <c r="J226" s="27"/>
    </row>
    <row r="227" spans="1:10" ht="24.9" hidden="1" customHeight="1" x14ac:dyDescent="0.3">
      <c r="A227" s="32">
        <v>140</v>
      </c>
      <c r="B227" s="33" t="s">
        <v>513</v>
      </c>
      <c r="C227" s="33" t="s">
        <v>495</v>
      </c>
      <c r="D227" s="33" t="s">
        <v>514</v>
      </c>
      <c r="E227" s="33" t="s">
        <v>240</v>
      </c>
      <c r="F227" s="34" t="s">
        <v>95</v>
      </c>
      <c r="G227" s="40"/>
      <c r="H227" s="40"/>
      <c r="I227" s="114"/>
      <c r="J227" s="27"/>
    </row>
    <row r="228" spans="1:10" ht="24.9" hidden="1" customHeight="1" x14ac:dyDescent="0.3">
      <c r="A228" s="32">
        <v>140</v>
      </c>
      <c r="B228" s="33" t="s">
        <v>436</v>
      </c>
      <c r="C228" s="52" t="s">
        <v>437</v>
      </c>
      <c r="D228" s="33" t="s">
        <v>438</v>
      </c>
      <c r="E228" s="33" t="s">
        <v>240</v>
      </c>
      <c r="F228" s="34" t="s">
        <v>95</v>
      </c>
      <c r="G228" s="40"/>
      <c r="H228" s="40"/>
      <c r="I228" s="114"/>
      <c r="J228" s="27"/>
    </row>
    <row r="229" spans="1:10" ht="24.9" customHeight="1" x14ac:dyDescent="0.3">
      <c r="A229" s="32">
        <v>140</v>
      </c>
      <c r="B229" s="33" t="s">
        <v>432</v>
      </c>
      <c r="C229" s="33" t="s">
        <v>425</v>
      </c>
      <c r="D229" s="33" t="s">
        <v>433</v>
      </c>
      <c r="E229" s="33" t="s">
        <v>783</v>
      </c>
      <c r="F229" s="34" t="s">
        <v>127</v>
      </c>
      <c r="G229" s="40"/>
      <c r="H229" s="40"/>
      <c r="I229" s="114"/>
      <c r="J229" s="27"/>
    </row>
    <row r="230" spans="1:10" ht="24.9" customHeight="1" x14ac:dyDescent="0.3">
      <c r="A230" s="32">
        <v>140</v>
      </c>
      <c r="B230" s="33" t="s">
        <v>456</v>
      </c>
      <c r="C230" s="33" t="s">
        <v>448</v>
      </c>
      <c r="D230" s="33" t="s">
        <v>457</v>
      </c>
      <c r="E230" s="33" t="s">
        <v>783</v>
      </c>
      <c r="F230" s="34" t="s">
        <v>127</v>
      </c>
      <c r="G230" s="40"/>
      <c r="H230" s="51"/>
      <c r="I230" s="114"/>
      <c r="J230" s="27"/>
    </row>
    <row r="231" spans="1:10" ht="24.9" customHeight="1" x14ac:dyDescent="0.3">
      <c r="A231" s="32">
        <v>140</v>
      </c>
      <c r="B231" s="33" t="s">
        <v>497</v>
      </c>
      <c r="C231" s="33" t="s">
        <v>495</v>
      </c>
      <c r="D231" s="33" t="s">
        <v>498</v>
      </c>
      <c r="E231" s="33" t="s">
        <v>783</v>
      </c>
      <c r="F231" s="34" t="s">
        <v>127</v>
      </c>
      <c r="G231" s="40"/>
      <c r="H231" s="51"/>
      <c r="I231" s="114"/>
      <c r="J231" s="27"/>
    </row>
    <row r="232" spans="1:10" ht="24.9" customHeight="1" x14ac:dyDescent="0.3">
      <c r="A232" s="32">
        <v>140</v>
      </c>
      <c r="B232" s="33" t="s">
        <v>397</v>
      </c>
      <c r="C232" s="33" t="s">
        <v>398</v>
      </c>
      <c r="D232" s="33" t="s">
        <v>399</v>
      </c>
      <c r="E232" s="33" t="s">
        <v>173</v>
      </c>
      <c r="F232" s="34" t="s">
        <v>127</v>
      </c>
      <c r="G232" s="40"/>
      <c r="H232" s="40"/>
      <c r="I232" s="114"/>
      <c r="J232" s="27"/>
    </row>
    <row r="233" spans="1:10" ht="24.9" customHeight="1" x14ac:dyDescent="0.3">
      <c r="A233" s="32">
        <v>140</v>
      </c>
      <c r="B233" s="33" t="s">
        <v>397</v>
      </c>
      <c r="C233" s="33" t="s">
        <v>398</v>
      </c>
      <c r="D233" s="33" t="s">
        <v>399</v>
      </c>
      <c r="E233" s="33" t="s">
        <v>183</v>
      </c>
      <c r="F233" s="34" t="s">
        <v>127</v>
      </c>
      <c r="G233" s="40"/>
      <c r="H233" s="40"/>
      <c r="I233" s="114"/>
      <c r="J233" s="27"/>
    </row>
    <row r="234" spans="1:10" ht="24.9" customHeight="1" x14ac:dyDescent="0.3">
      <c r="A234" s="32">
        <v>140</v>
      </c>
      <c r="B234" s="33" t="s">
        <v>408</v>
      </c>
      <c r="C234" s="33" t="s">
        <v>392</v>
      </c>
      <c r="D234" s="33" t="s">
        <v>409</v>
      </c>
      <c r="E234" s="33" t="s">
        <v>173</v>
      </c>
      <c r="F234" s="34" t="s">
        <v>127</v>
      </c>
      <c r="G234" s="40"/>
      <c r="H234" s="40"/>
      <c r="I234" s="114"/>
      <c r="J234" s="27"/>
    </row>
    <row r="235" spans="1:10" ht="24.9" customHeight="1" x14ac:dyDescent="0.3">
      <c r="A235" s="32">
        <v>140</v>
      </c>
      <c r="B235" s="33" t="s">
        <v>408</v>
      </c>
      <c r="C235" s="33" t="s">
        <v>392</v>
      </c>
      <c r="D235" s="33" t="s">
        <v>409</v>
      </c>
      <c r="E235" s="33" t="s">
        <v>183</v>
      </c>
      <c r="F235" s="34" t="s">
        <v>127</v>
      </c>
      <c r="G235" s="40"/>
      <c r="H235" s="51"/>
      <c r="I235" s="114"/>
      <c r="J235" s="27"/>
    </row>
    <row r="236" spans="1:10" ht="24.9" customHeight="1" x14ac:dyDescent="0.3">
      <c r="A236" s="32">
        <v>140</v>
      </c>
      <c r="B236" s="33" t="s">
        <v>414</v>
      </c>
      <c r="C236" s="33" t="s">
        <v>392</v>
      </c>
      <c r="D236" s="33" t="s">
        <v>415</v>
      </c>
      <c r="E236" s="33" t="s">
        <v>173</v>
      </c>
      <c r="F236" s="34" t="s">
        <v>127</v>
      </c>
      <c r="G236" s="40"/>
      <c r="H236" s="51"/>
      <c r="I236" s="114"/>
      <c r="J236" s="27"/>
    </row>
    <row r="237" spans="1:10" ht="24.9" customHeight="1" x14ac:dyDescent="0.3">
      <c r="A237" s="32">
        <v>140</v>
      </c>
      <c r="B237" s="33" t="s">
        <v>414</v>
      </c>
      <c r="C237" s="33" t="s">
        <v>392</v>
      </c>
      <c r="D237" s="33" t="s">
        <v>415</v>
      </c>
      <c r="E237" s="33" t="s">
        <v>183</v>
      </c>
      <c r="F237" s="34" t="s">
        <v>127</v>
      </c>
      <c r="G237" s="40"/>
      <c r="H237" s="40"/>
      <c r="I237" s="114"/>
      <c r="J237" s="27"/>
    </row>
    <row r="238" spans="1:10" ht="24.9" customHeight="1" x14ac:dyDescent="0.3">
      <c r="A238" s="32">
        <v>140</v>
      </c>
      <c r="B238" s="33" t="s">
        <v>420</v>
      </c>
      <c r="C238" s="33" t="s">
        <v>392</v>
      </c>
      <c r="D238" s="33" t="s">
        <v>421</v>
      </c>
      <c r="E238" s="33" t="s">
        <v>173</v>
      </c>
      <c r="F238" s="34" t="s">
        <v>127</v>
      </c>
      <c r="G238" s="40"/>
      <c r="H238" s="40"/>
      <c r="I238" s="114"/>
      <c r="J238" s="27"/>
    </row>
    <row r="239" spans="1:10" ht="24.9" customHeight="1" x14ac:dyDescent="0.3">
      <c r="A239" s="32">
        <v>140</v>
      </c>
      <c r="B239" s="33" t="s">
        <v>420</v>
      </c>
      <c r="C239" s="33" t="s">
        <v>392</v>
      </c>
      <c r="D239" s="33" t="s">
        <v>421</v>
      </c>
      <c r="E239" s="33" t="s">
        <v>183</v>
      </c>
      <c r="F239" s="34" t="s">
        <v>127</v>
      </c>
      <c r="G239" s="40"/>
      <c r="H239" s="40"/>
      <c r="I239" s="114"/>
      <c r="J239" s="27"/>
    </row>
    <row r="240" spans="1:10" ht="24.9" customHeight="1" x14ac:dyDescent="0.3">
      <c r="A240" s="32">
        <v>140</v>
      </c>
      <c r="B240" s="33" t="s">
        <v>400</v>
      </c>
      <c r="C240" s="33" t="s">
        <v>398</v>
      </c>
      <c r="D240" s="33" t="s">
        <v>401</v>
      </c>
      <c r="E240" s="33" t="s">
        <v>173</v>
      </c>
      <c r="F240" s="34" t="s">
        <v>127</v>
      </c>
      <c r="G240" s="40"/>
      <c r="H240" s="51"/>
      <c r="I240" s="114"/>
      <c r="J240" s="27"/>
    </row>
    <row r="241" spans="1:10" ht="24.9" customHeight="1" x14ac:dyDescent="0.3">
      <c r="A241" s="32">
        <v>140</v>
      </c>
      <c r="B241" s="33" t="s">
        <v>400</v>
      </c>
      <c r="C241" s="33" t="s">
        <v>398</v>
      </c>
      <c r="D241" s="33" t="s">
        <v>401</v>
      </c>
      <c r="E241" s="33" t="s">
        <v>183</v>
      </c>
      <c r="F241" s="34" t="s">
        <v>127</v>
      </c>
      <c r="G241" s="40"/>
      <c r="H241" s="51"/>
      <c r="I241" s="114"/>
      <c r="J241" s="27"/>
    </row>
    <row r="242" spans="1:10" ht="24.9" customHeight="1" x14ac:dyDescent="0.3">
      <c r="A242" s="32">
        <v>140</v>
      </c>
      <c r="B242" s="33" t="s">
        <v>434</v>
      </c>
      <c r="C242" s="33" t="s">
        <v>425</v>
      </c>
      <c r="D242" s="33" t="s">
        <v>435</v>
      </c>
      <c r="E242" s="33" t="s">
        <v>173</v>
      </c>
      <c r="F242" s="34" t="s">
        <v>127</v>
      </c>
      <c r="G242" s="40"/>
      <c r="H242" s="40"/>
      <c r="I242" s="114"/>
      <c r="J242" s="27"/>
    </row>
    <row r="243" spans="1:10" ht="24.9" customHeight="1" x14ac:dyDescent="0.3">
      <c r="A243" s="32">
        <v>140</v>
      </c>
      <c r="B243" s="33" t="s">
        <v>434</v>
      </c>
      <c r="C243" s="33" t="s">
        <v>425</v>
      </c>
      <c r="D243" s="33" t="s">
        <v>435</v>
      </c>
      <c r="E243" s="33" t="s">
        <v>183</v>
      </c>
      <c r="F243" s="34" t="s">
        <v>127</v>
      </c>
      <c r="G243" s="40"/>
      <c r="H243" s="40"/>
      <c r="I243" s="114"/>
      <c r="J243" s="27"/>
    </row>
    <row r="244" spans="1:10" ht="24.9" customHeight="1" x14ac:dyDescent="0.3">
      <c r="A244" s="32">
        <v>140</v>
      </c>
      <c r="B244" s="33" t="s">
        <v>468</v>
      </c>
      <c r="C244" s="33" t="s">
        <v>448</v>
      </c>
      <c r="D244" s="33" t="s">
        <v>469</v>
      </c>
      <c r="E244" s="33" t="s">
        <v>173</v>
      </c>
      <c r="F244" s="34" t="s">
        <v>127</v>
      </c>
      <c r="G244" s="40"/>
      <c r="H244" s="40"/>
      <c r="I244" s="114"/>
      <c r="J244" s="27"/>
    </row>
    <row r="245" spans="1:10" ht="24.9" customHeight="1" x14ac:dyDescent="0.3">
      <c r="A245" s="32">
        <v>140</v>
      </c>
      <c r="B245" s="33" t="s">
        <v>468</v>
      </c>
      <c r="C245" s="33" t="s">
        <v>448</v>
      </c>
      <c r="D245" s="33" t="s">
        <v>469</v>
      </c>
      <c r="E245" s="33" t="s">
        <v>183</v>
      </c>
      <c r="F245" s="34" t="s">
        <v>127</v>
      </c>
      <c r="G245" s="40"/>
      <c r="H245" s="51"/>
      <c r="I245" s="114"/>
      <c r="J245" s="27"/>
    </row>
    <row r="246" spans="1:10" ht="24.9" customHeight="1" x14ac:dyDescent="0.3">
      <c r="A246" s="32">
        <v>140</v>
      </c>
      <c r="B246" s="33" t="s">
        <v>402</v>
      </c>
      <c r="C246" s="33" t="s">
        <v>398</v>
      </c>
      <c r="D246" s="33" t="s">
        <v>403</v>
      </c>
      <c r="E246" s="33" t="s">
        <v>173</v>
      </c>
      <c r="F246" s="34" t="s">
        <v>127</v>
      </c>
      <c r="G246" s="40"/>
      <c r="H246" s="51"/>
      <c r="I246" s="114"/>
      <c r="J246" s="27"/>
    </row>
    <row r="247" spans="1:10" ht="24.9" customHeight="1" x14ac:dyDescent="0.3">
      <c r="A247" s="32">
        <v>140</v>
      </c>
      <c r="B247" s="33" t="s">
        <v>402</v>
      </c>
      <c r="C247" s="33" t="s">
        <v>398</v>
      </c>
      <c r="D247" s="33" t="s">
        <v>403</v>
      </c>
      <c r="E247" s="33" t="s">
        <v>183</v>
      </c>
      <c r="F247" s="34" t="s">
        <v>127</v>
      </c>
      <c r="G247" s="40"/>
      <c r="H247" s="40"/>
      <c r="I247" s="114"/>
      <c r="J247" s="27"/>
    </row>
    <row r="248" spans="1:10" ht="24.9" customHeight="1" x14ac:dyDescent="0.3">
      <c r="A248" s="32">
        <v>140</v>
      </c>
      <c r="B248" s="33" t="s">
        <v>472</v>
      </c>
      <c r="C248" s="33" t="s">
        <v>473</v>
      </c>
      <c r="D248" s="33" t="s">
        <v>474</v>
      </c>
      <c r="E248" s="33" t="s">
        <v>173</v>
      </c>
      <c r="F248" s="34" t="s">
        <v>127</v>
      </c>
      <c r="G248" s="40"/>
      <c r="H248" s="40"/>
      <c r="I248" s="114"/>
      <c r="J248" s="27"/>
    </row>
    <row r="249" spans="1:10" ht="24.9" customHeight="1" x14ac:dyDescent="0.3">
      <c r="A249" s="32">
        <v>140</v>
      </c>
      <c r="B249" s="33" t="s">
        <v>472</v>
      </c>
      <c r="C249" s="33" t="s">
        <v>473</v>
      </c>
      <c r="D249" s="33" t="s">
        <v>474</v>
      </c>
      <c r="E249" s="33" t="s">
        <v>183</v>
      </c>
      <c r="F249" s="34" t="s">
        <v>127</v>
      </c>
      <c r="G249" s="40"/>
      <c r="H249" s="51"/>
      <c r="I249" s="114"/>
      <c r="J249" s="27"/>
    </row>
    <row r="250" spans="1:10" ht="24.9" customHeight="1" x14ac:dyDescent="0.3">
      <c r="A250" s="32">
        <v>140</v>
      </c>
      <c r="B250" s="33" t="s">
        <v>511</v>
      </c>
      <c r="C250" s="33" t="s">
        <v>495</v>
      </c>
      <c r="D250" s="33" t="s">
        <v>512</v>
      </c>
      <c r="E250" s="33" t="s">
        <v>173</v>
      </c>
      <c r="F250" s="34" t="s">
        <v>127</v>
      </c>
      <c r="G250" s="40"/>
      <c r="H250" s="51"/>
      <c r="I250" s="114"/>
      <c r="J250" s="27"/>
    </row>
    <row r="251" spans="1:10" ht="24.9" customHeight="1" x14ac:dyDescent="0.3">
      <c r="A251" s="32">
        <v>140</v>
      </c>
      <c r="B251" s="33" t="s">
        <v>511</v>
      </c>
      <c r="C251" s="33" t="s">
        <v>495</v>
      </c>
      <c r="D251" s="33" t="s">
        <v>512</v>
      </c>
      <c r="E251" s="33" t="s">
        <v>183</v>
      </c>
      <c r="F251" s="34" t="s">
        <v>127</v>
      </c>
      <c r="G251" s="40"/>
      <c r="H251" s="40"/>
      <c r="I251" s="114"/>
      <c r="J251" s="27"/>
    </row>
    <row r="252" spans="1:10" ht="24.9" customHeight="1" x14ac:dyDescent="0.3">
      <c r="A252" s="32">
        <v>140</v>
      </c>
      <c r="B252" s="33" t="s">
        <v>447</v>
      </c>
      <c r="C252" s="33" t="s">
        <v>448</v>
      </c>
      <c r="D252" s="33" t="s">
        <v>449</v>
      </c>
      <c r="E252" s="33" t="s">
        <v>173</v>
      </c>
      <c r="F252" s="34" t="s">
        <v>127</v>
      </c>
      <c r="G252" s="40"/>
      <c r="H252" s="40"/>
      <c r="I252" s="114"/>
      <c r="J252" s="27"/>
    </row>
    <row r="253" spans="1:10" ht="24.9" customHeight="1" x14ac:dyDescent="0.3">
      <c r="A253" s="32">
        <v>140</v>
      </c>
      <c r="B253" s="33" t="s">
        <v>447</v>
      </c>
      <c r="C253" s="33" t="s">
        <v>448</v>
      </c>
      <c r="D253" s="33" t="s">
        <v>449</v>
      </c>
      <c r="E253" s="33" t="s">
        <v>183</v>
      </c>
      <c r="F253" s="34" t="s">
        <v>127</v>
      </c>
      <c r="G253" s="40"/>
      <c r="H253" s="51"/>
      <c r="I253" s="114"/>
      <c r="J253" s="27"/>
    </row>
    <row r="254" spans="1:10" ht="24.9" customHeight="1" x14ac:dyDescent="0.3">
      <c r="A254" s="32">
        <v>140</v>
      </c>
      <c r="B254" s="33" t="s">
        <v>507</v>
      </c>
      <c r="C254" s="33" t="s">
        <v>495</v>
      </c>
      <c r="D254" s="33" t="s">
        <v>508</v>
      </c>
      <c r="E254" s="33" t="s">
        <v>173</v>
      </c>
      <c r="F254" s="34" t="s">
        <v>127</v>
      </c>
      <c r="G254" s="40"/>
      <c r="H254" s="51"/>
      <c r="I254" s="114"/>
      <c r="J254" s="27"/>
    </row>
    <row r="255" spans="1:10" ht="24.9" customHeight="1" x14ac:dyDescent="0.3">
      <c r="A255" s="32">
        <v>140</v>
      </c>
      <c r="B255" s="33" t="s">
        <v>507</v>
      </c>
      <c r="C255" s="33" t="s">
        <v>495</v>
      </c>
      <c r="D255" s="33" t="s">
        <v>508</v>
      </c>
      <c r="E255" s="33" t="s">
        <v>183</v>
      </c>
      <c r="F255" s="34" t="s">
        <v>127</v>
      </c>
      <c r="G255" s="40"/>
      <c r="H255" s="51"/>
      <c r="I255" s="114"/>
      <c r="J255" s="27"/>
    </row>
    <row r="256" spans="1:10" ht="24.9" customHeight="1" x14ac:dyDescent="0.3">
      <c r="A256" s="32">
        <v>140</v>
      </c>
      <c r="B256" s="33" t="s">
        <v>439</v>
      </c>
      <c r="C256" s="52" t="s">
        <v>437</v>
      </c>
      <c r="D256" s="33" t="s">
        <v>440</v>
      </c>
      <c r="E256" s="33" t="s">
        <v>173</v>
      </c>
      <c r="F256" s="34" t="s">
        <v>127</v>
      </c>
      <c r="G256" s="40"/>
      <c r="H256" s="40"/>
      <c r="I256" s="114"/>
      <c r="J256" s="27"/>
    </row>
    <row r="257" spans="1:10" ht="24.9" customHeight="1" x14ac:dyDescent="0.3">
      <c r="A257" s="32">
        <v>140</v>
      </c>
      <c r="B257" s="33" t="s">
        <v>439</v>
      </c>
      <c r="C257" s="52" t="s">
        <v>437</v>
      </c>
      <c r="D257" s="33" t="s">
        <v>440</v>
      </c>
      <c r="E257" s="33" t="s">
        <v>183</v>
      </c>
      <c r="F257" s="34" t="s">
        <v>127</v>
      </c>
      <c r="G257" s="40"/>
      <c r="H257" s="51"/>
      <c r="I257" s="114"/>
      <c r="J257" s="27"/>
    </row>
    <row r="258" spans="1:10" ht="24.9" hidden="1" customHeight="1" x14ac:dyDescent="0.3">
      <c r="A258" s="32">
        <v>140</v>
      </c>
      <c r="B258" s="33" t="s">
        <v>509</v>
      </c>
      <c r="C258" s="33" t="s">
        <v>495</v>
      </c>
      <c r="D258" s="33" t="s">
        <v>510</v>
      </c>
      <c r="E258" s="33" t="s">
        <v>240</v>
      </c>
      <c r="F258" s="34" t="s">
        <v>95</v>
      </c>
      <c r="G258" s="40"/>
      <c r="H258" s="51"/>
      <c r="I258" s="114"/>
      <c r="J258" s="27"/>
    </row>
    <row r="259" spans="1:10" ht="24.9" customHeight="1" x14ac:dyDescent="0.3">
      <c r="A259" s="32">
        <v>140</v>
      </c>
      <c r="B259" s="33" t="s">
        <v>443</v>
      </c>
      <c r="C259" s="52" t="s">
        <v>437</v>
      </c>
      <c r="D259" s="33" t="s">
        <v>444</v>
      </c>
      <c r="E259" s="33" t="s">
        <v>173</v>
      </c>
      <c r="F259" s="34" t="s">
        <v>127</v>
      </c>
      <c r="G259" s="40"/>
      <c r="H259" s="51"/>
      <c r="I259" s="114"/>
      <c r="J259" s="27"/>
    </row>
    <row r="260" spans="1:10" ht="24.9" customHeight="1" x14ac:dyDescent="0.3">
      <c r="A260" s="32">
        <v>140</v>
      </c>
      <c r="B260" s="33" t="s">
        <v>443</v>
      </c>
      <c r="C260" s="52" t="s">
        <v>437</v>
      </c>
      <c r="D260" s="33" t="s">
        <v>444</v>
      </c>
      <c r="E260" s="33" t="s">
        <v>183</v>
      </c>
      <c r="F260" s="34" t="s">
        <v>127</v>
      </c>
      <c r="G260" s="40"/>
      <c r="H260" s="51"/>
      <c r="I260" s="114"/>
      <c r="J260" s="27"/>
    </row>
    <row r="261" spans="1:10" ht="24.9" customHeight="1" x14ac:dyDescent="0.3">
      <c r="A261" s="32" t="s">
        <v>522</v>
      </c>
      <c r="B261" s="33" t="s">
        <v>534</v>
      </c>
      <c r="C261" s="33" t="s">
        <v>527</v>
      </c>
      <c r="D261" s="33" t="s">
        <v>535</v>
      </c>
      <c r="E261" s="33" t="s">
        <v>243</v>
      </c>
      <c r="F261" s="34" t="s">
        <v>127</v>
      </c>
      <c r="G261" s="40"/>
      <c r="H261" s="51"/>
      <c r="I261" s="114"/>
      <c r="J261" s="27"/>
    </row>
    <row r="262" spans="1:10" ht="24.9" customHeight="1" x14ac:dyDescent="0.3">
      <c r="A262" s="32" t="s">
        <v>522</v>
      </c>
      <c r="B262" s="33" t="s">
        <v>526</v>
      </c>
      <c r="C262" s="33" t="s">
        <v>527</v>
      </c>
      <c r="D262" s="33" t="s">
        <v>528</v>
      </c>
      <c r="E262" s="33" t="s">
        <v>785</v>
      </c>
      <c r="F262" s="34" t="s">
        <v>127</v>
      </c>
      <c r="G262" s="40"/>
      <c r="H262" s="51"/>
      <c r="I262" s="114"/>
      <c r="J262" s="27"/>
    </row>
    <row r="263" spans="1:10" ht="24.9" customHeight="1" x14ac:dyDescent="0.3">
      <c r="A263" s="32" t="s">
        <v>522</v>
      </c>
      <c r="B263" s="33" t="s">
        <v>526</v>
      </c>
      <c r="C263" s="33" t="s">
        <v>527</v>
      </c>
      <c r="D263" s="33" t="s">
        <v>528</v>
      </c>
      <c r="E263" s="33" t="s">
        <v>225</v>
      </c>
      <c r="F263" s="34" t="s">
        <v>673</v>
      </c>
      <c r="G263" s="40"/>
      <c r="H263" s="51" t="s">
        <v>543</v>
      </c>
      <c r="I263" s="114" t="s">
        <v>786</v>
      </c>
      <c r="J263" s="27"/>
    </row>
    <row r="264" spans="1:10" ht="24.9" customHeight="1" x14ac:dyDescent="0.3">
      <c r="A264" s="32" t="s">
        <v>522</v>
      </c>
      <c r="B264" s="33" t="s">
        <v>530</v>
      </c>
      <c r="C264" s="33" t="s">
        <v>527</v>
      </c>
      <c r="D264" s="33" t="s">
        <v>531</v>
      </c>
      <c r="E264" s="33" t="s">
        <v>785</v>
      </c>
      <c r="F264" s="34" t="s">
        <v>127</v>
      </c>
      <c r="G264" s="40"/>
      <c r="H264" s="51"/>
      <c r="I264" s="114"/>
      <c r="J264" s="27"/>
    </row>
    <row r="265" spans="1:10" ht="24.9" customHeight="1" x14ac:dyDescent="0.3">
      <c r="A265" s="32" t="s">
        <v>522</v>
      </c>
      <c r="B265" s="33" t="s">
        <v>530</v>
      </c>
      <c r="C265" s="33" t="s">
        <v>527</v>
      </c>
      <c r="D265" s="33" t="s">
        <v>531</v>
      </c>
      <c r="E265" s="33" t="s">
        <v>225</v>
      </c>
      <c r="F265" s="34" t="s">
        <v>673</v>
      </c>
      <c r="G265" s="40"/>
      <c r="H265" s="51" t="s">
        <v>543</v>
      </c>
      <c r="I265" s="114" t="s">
        <v>786</v>
      </c>
      <c r="J265" s="27"/>
    </row>
    <row r="266" spans="1:10" ht="24.9" customHeight="1" x14ac:dyDescent="0.3">
      <c r="A266" s="32" t="s">
        <v>522</v>
      </c>
      <c r="B266" s="33" t="s">
        <v>540</v>
      </c>
      <c r="C266" s="33" t="s">
        <v>524</v>
      </c>
      <c r="D266" s="33" t="s">
        <v>541</v>
      </c>
      <c r="E266" s="33" t="s">
        <v>542</v>
      </c>
      <c r="F266" s="34" t="s">
        <v>127</v>
      </c>
      <c r="G266" s="40"/>
      <c r="H266" s="51"/>
      <c r="I266" s="114"/>
      <c r="J266" s="27"/>
    </row>
    <row r="267" spans="1:10" ht="24.9" customHeight="1" x14ac:dyDescent="0.3">
      <c r="A267" s="32" t="s">
        <v>522</v>
      </c>
      <c r="B267" s="33" t="s">
        <v>523</v>
      </c>
      <c r="C267" s="33" t="s">
        <v>524</v>
      </c>
      <c r="D267" s="33" t="s">
        <v>525</v>
      </c>
      <c r="E267" s="33" t="s">
        <v>784</v>
      </c>
      <c r="F267" s="34" t="s">
        <v>127</v>
      </c>
      <c r="G267" s="40"/>
      <c r="H267" s="51"/>
      <c r="I267" s="114"/>
      <c r="J267" s="27"/>
    </row>
    <row r="268" spans="1:10" ht="24.9" customHeight="1" x14ac:dyDescent="0.3">
      <c r="A268" s="32" t="s">
        <v>522</v>
      </c>
      <c r="B268" s="33" t="s">
        <v>523</v>
      </c>
      <c r="C268" s="33" t="s">
        <v>524</v>
      </c>
      <c r="D268" s="33" t="s">
        <v>525</v>
      </c>
      <c r="E268" s="33" t="s">
        <v>533</v>
      </c>
      <c r="F268" s="34" t="s">
        <v>127</v>
      </c>
      <c r="G268" s="40"/>
      <c r="H268" s="51"/>
      <c r="I268" s="114"/>
      <c r="J268" s="27"/>
    </row>
    <row r="269" spans="1:10" ht="24.9" customHeight="1" x14ac:dyDescent="0.3">
      <c r="A269" s="32" t="s">
        <v>522</v>
      </c>
      <c r="B269" s="33" t="s">
        <v>523</v>
      </c>
      <c r="C269" s="33" t="s">
        <v>524</v>
      </c>
      <c r="D269" s="33" t="s">
        <v>525</v>
      </c>
      <c r="E269" s="33" t="s">
        <v>544</v>
      </c>
      <c r="F269" s="34" t="s">
        <v>673</v>
      </c>
      <c r="G269" s="40"/>
      <c r="H269" s="51" t="s">
        <v>378</v>
      </c>
      <c r="I269" s="114" t="s">
        <v>545</v>
      </c>
      <c r="J269" s="27"/>
    </row>
    <row r="270" spans="1:10" ht="24.9" customHeight="1" x14ac:dyDescent="0.3">
      <c r="A270" s="32" t="s">
        <v>522</v>
      </c>
      <c r="B270" s="33" t="s">
        <v>536</v>
      </c>
      <c r="C270" s="33" t="s">
        <v>527</v>
      </c>
      <c r="D270" s="33" t="s">
        <v>537</v>
      </c>
      <c r="E270" s="33" t="s">
        <v>243</v>
      </c>
      <c r="F270" s="34" t="s">
        <v>127</v>
      </c>
      <c r="G270" s="40"/>
      <c r="H270" s="51"/>
      <c r="I270" s="114"/>
      <c r="J270" s="27"/>
    </row>
    <row r="271" spans="1:10" ht="24.9" customHeight="1" x14ac:dyDescent="0.3">
      <c r="A271" s="32" t="s">
        <v>522</v>
      </c>
      <c r="B271" s="33" t="s">
        <v>529</v>
      </c>
      <c r="C271" s="33" t="s">
        <v>527</v>
      </c>
      <c r="D271" s="33" t="s">
        <v>528</v>
      </c>
      <c r="E271" s="33" t="s">
        <v>785</v>
      </c>
      <c r="F271" s="34" t="s">
        <v>127</v>
      </c>
      <c r="G271" s="40"/>
      <c r="H271" s="51"/>
      <c r="I271" s="114"/>
      <c r="J271" s="27"/>
    </row>
    <row r="272" spans="1:10" ht="24.9" customHeight="1" x14ac:dyDescent="0.3">
      <c r="A272" s="32" t="s">
        <v>522</v>
      </c>
      <c r="B272" s="33" t="s">
        <v>529</v>
      </c>
      <c r="C272" s="33" t="s">
        <v>527</v>
      </c>
      <c r="D272" s="33" t="s">
        <v>528</v>
      </c>
      <c r="E272" s="33" t="s">
        <v>225</v>
      </c>
      <c r="F272" s="34" t="s">
        <v>673</v>
      </c>
      <c r="G272" s="40"/>
      <c r="H272" s="51" t="s">
        <v>543</v>
      </c>
      <c r="I272" s="114" t="s">
        <v>786</v>
      </c>
      <c r="J272" s="27"/>
    </row>
    <row r="273" spans="1:10" ht="24.9" customHeight="1" x14ac:dyDescent="0.3">
      <c r="A273" s="32" t="s">
        <v>522</v>
      </c>
      <c r="B273" s="33" t="s">
        <v>538</v>
      </c>
      <c r="C273" s="33" t="s">
        <v>527</v>
      </c>
      <c r="D273" s="33" t="s">
        <v>539</v>
      </c>
      <c r="E273" s="33" t="s">
        <v>243</v>
      </c>
      <c r="F273" s="34" t="s">
        <v>127</v>
      </c>
      <c r="G273" s="40"/>
      <c r="H273" s="51"/>
      <c r="I273" s="114"/>
      <c r="J273" s="27"/>
    </row>
    <row r="274" spans="1:10" ht="24.9" customHeight="1" x14ac:dyDescent="0.3">
      <c r="A274" s="32" t="s">
        <v>522</v>
      </c>
      <c r="B274" s="33" t="s">
        <v>532</v>
      </c>
      <c r="C274" s="33" t="s">
        <v>527</v>
      </c>
      <c r="D274" s="33" t="s">
        <v>528</v>
      </c>
      <c r="E274" s="33" t="s">
        <v>785</v>
      </c>
      <c r="F274" s="34" t="s">
        <v>127</v>
      </c>
      <c r="G274" s="40"/>
      <c r="H274" s="51"/>
      <c r="I274" s="114"/>
      <c r="J274" s="27"/>
    </row>
    <row r="275" spans="1:10" ht="24.9" customHeight="1" x14ac:dyDescent="0.3">
      <c r="A275" s="32" t="s">
        <v>522</v>
      </c>
      <c r="B275" s="33" t="s">
        <v>532</v>
      </c>
      <c r="C275" s="33" t="s">
        <v>527</v>
      </c>
      <c r="D275" s="33" t="s">
        <v>528</v>
      </c>
      <c r="E275" s="33" t="s">
        <v>225</v>
      </c>
      <c r="F275" s="34" t="s">
        <v>673</v>
      </c>
      <c r="G275" s="40"/>
      <c r="H275" s="51" t="s">
        <v>543</v>
      </c>
      <c r="I275" s="114" t="s">
        <v>786</v>
      </c>
      <c r="J275" s="27"/>
    </row>
    <row r="276" spans="1:10" ht="24.9" customHeight="1" x14ac:dyDescent="0.3">
      <c r="A276" s="32" t="s">
        <v>546</v>
      </c>
      <c r="B276" s="33" t="s">
        <v>582</v>
      </c>
      <c r="C276" s="33" t="s">
        <v>562</v>
      </c>
      <c r="D276" s="33" t="s">
        <v>583</v>
      </c>
      <c r="E276" s="33" t="s">
        <v>160</v>
      </c>
      <c r="F276" s="34" t="s">
        <v>127</v>
      </c>
      <c r="G276" s="40"/>
      <c r="H276" s="48"/>
      <c r="I276" s="114"/>
      <c r="J276" s="27"/>
    </row>
    <row r="277" spans="1:10" ht="24.9" customHeight="1" x14ac:dyDescent="0.3">
      <c r="A277" s="32" t="s">
        <v>546</v>
      </c>
      <c r="B277" s="33" t="s">
        <v>561</v>
      </c>
      <c r="C277" s="33" t="s">
        <v>562</v>
      </c>
      <c r="D277" s="33" t="s">
        <v>563</v>
      </c>
      <c r="E277" s="33" t="s">
        <v>225</v>
      </c>
      <c r="F277" s="34" t="s">
        <v>673</v>
      </c>
      <c r="G277" s="40"/>
      <c r="H277" s="51" t="s">
        <v>850</v>
      </c>
      <c r="I277" s="114" t="s">
        <v>234</v>
      </c>
      <c r="J277" s="27"/>
    </row>
    <row r="278" spans="1:10" ht="24.9" customHeight="1" x14ac:dyDescent="0.3">
      <c r="A278" s="32" t="s">
        <v>546</v>
      </c>
      <c r="B278" s="33" t="s">
        <v>561</v>
      </c>
      <c r="C278" s="33" t="s">
        <v>562</v>
      </c>
      <c r="D278" s="33" t="s">
        <v>563</v>
      </c>
      <c r="E278" s="33" t="s">
        <v>581</v>
      </c>
      <c r="F278" s="34" t="s">
        <v>127</v>
      </c>
      <c r="G278" s="40"/>
      <c r="H278" s="48"/>
      <c r="I278" s="114"/>
      <c r="J278" s="27"/>
    </row>
    <row r="279" spans="1:10" ht="24.9" hidden="1" customHeight="1" x14ac:dyDescent="0.3">
      <c r="A279" s="32">
        <v>140</v>
      </c>
      <c r="B279" s="33" t="s">
        <v>520</v>
      </c>
      <c r="C279" s="33" t="s">
        <v>516</v>
      </c>
      <c r="D279" s="33" t="s">
        <v>521</v>
      </c>
      <c r="E279" s="33" t="s">
        <v>240</v>
      </c>
      <c r="F279" s="34" t="s">
        <v>95</v>
      </c>
      <c r="G279" s="40"/>
      <c r="H279" s="40"/>
      <c r="I279" s="114"/>
      <c r="J279" s="27"/>
    </row>
    <row r="280" spans="1:10" ht="24.9" hidden="1" customHeight="1" x14ac:dyDescent="0.3">
      <c r="A280" s="32">
        <v>140</v>
      </c>
      <c r="B280" s="33" t="s">
        <v>439</v>
      </c>
      <c r="C280" s="33" t="s">
        <v>516</v>
      </c>
      <c r="D280" s="33" t="s">
        <v>519</v>
      </c>
      <c r="E280" s="33" t="s">
        <v>240</v>
      </c>
      <c r="F280" s="34" t="s">
        <v>95</v>
      </c>
      <c r="G280" s="40"/>
      <c r="H280" s="40"/>
      <c r="I280" s="114"/>
      <c r="J280" s="27"/>
    </row>
    <row r="281" spans="1:10" ht="24.9" customHeight="1" x14ac:dyDescent="0.3">
      <c r="A281" s="32" t="s">
        <v>546</v>
      </c>
      <c r="B281" s="33" t="s">
        <v>596</v>
      </c>
      <c r="C281" s="33" t="s">
        <v>548</v>
      </c>
      <c r="D281" s="33" t="s">
        <v>597</v>
      </c>
      <c r="E281" s="33" t="s">
        <v>598</v>
      </c>
      <c r="F281" s="34" t="s">
        <v>127</v>
      </c>
      <c r="G281" s="40"/>
      <c r="H281" s="53"/>
      <c r="I281" s="114"/>
      <c r="J281" s="27"/>
    </row>
    <row r="282" spans="1:10" ht="24.9" hidden="1" customHeight="1" x14ac:dyDescent="0.3">
      <c r="A282" s="32" t="s">
        <v>546</v>
      </c>
      <c r="B282" s="33" t="s">
        <v>584</v>
      </c>
      <c r="C282" s="33" t="s">
        <v>551</v>
      </c>
      <c r="D282" s="33" t="s">
        <v>585</v>
      </c>
      <c r="E282" s="33" t="s">
        <v>586</v>
      </c>
      <c r="F282" s="34" t="s">
        <v>99</v>
      </c>
      <c r="G282" s="40"/>
      <c r="H282" s="53"/>
      <c r="I282" s="114"/>
      <c r="J282" s="27"/>
    </row>
    <row r="283" spans="1:10" ht="24.9" hidden="1" customHeight="1" x14ac:dyDescent="0.3">
      <c r="A283" s="32" t="s">
        <v>546</v>
      </c>
      <c r="B283" s="33" t="s">
        <v>584</v>
      </c>
      <c r="C283" s="33" t="s">
        <v>551</v>
      </c>
      <c r="D283" s="33" t="s">
        <v>585</v>
      </c>
      <c r="E283" s="33" t="s">
        <v>788</v>
      </c>
      <c r="F283" s="34" t="s">
        <v>99</v>
      </c>
      <c r="G283" s="40"/>
      <c r="H283" s="53"/>
      <c r="I283" s="114"/>
      <c r="J283" s="27"/>
    </row>
    <row r="284" spans="1:10" ht="24.9" hidden="1" customHeight="1" x14ac:dyDescent="0.3">
      <c r="A284" s="32" t="s">
        <v>546</v>
      </c>
      <c r="B284" s="33" t="s">
        <v>584</v>
      </c>
      <c r="C284" s="33" t="s">
        <v>551</v>
      </c>
      <c r="D284" s="33" t="s">
        <v>585</v>
      </c>
      <c r="E284" s="33" t="s">
        <v>588</v>
      </c>
      <c r="F284" s="34" t="s">
        <v>99</v>
      </c>
      <c r="G284" s="40"/>
      <c r="H284" s="53"/>
      <c r="I284" s="114"/>
      <c r="J284" s="27"/>
    </row>
    <row r="285" spans="1:10" ht="24.9" customHeight="1" x14ac:dyDescent="0.3">
      <c r="A285" s="32" t="s">
        <v>546</v>
      </c>
      <c r="B285" s="33" t="s">
        <v>584</v>
      </c>
      <c r="C285" s="33" t="s">
        <v>551</v>
      </c>
      <c r="D285" s="33" t="s">
        <v>585</v>
      </c>
      <c r="E285" s="33" t="s">
        <v>587</v>
      </c>
      <c r="F285" s="34" t="s">
        <v>127</v>
      </c>
      <c r="G285" s="40"/>
      <c r="H285" s="53"/>
      <c r="I285" s="114"/>
      <c r="J285" s="27"/>
    </row>
    <row r="286" spans="1:10" ht="24.9" customHeight="1" x14ac:dyDescent="0.3">
      <c r="A286" s="32" t="s">
        <v>546</v>
      </c>
      <c r="B286" s="33" t="s">
        <v>550</v>
      </c>
      <c r="C286" s="33" t="s">
        <v>551</v>
      </c>
      <c r="D286" s="33" t="s">
        <v>552</v>
      </c>
      <c r="E286" s="33" t="s">
        <v>225</v>
      </c>
      <c r="F286" s="34" t="s">
        <v>673</v>
      </c>
      <c r="G286" s="40"/>
      <c r="H286" s="51" t="s">
        <v>850</v>
      </c>
      <c r="I286" s="114" t="s">
        <v>234</v>
      </c>
      <c r="J286" s="27"/>
    </row>
    <row r="287" spans="1:10" ht="24.9" customHeight="1" x14ac:dyDescent="0.3">
      <c r="A287" s="32" t="s">
        <v>546</v>
      </c>
      <c r="B287" s="33" t="s">
        <v>550</v>
      </c>
      <c r="C287" s="33" t="s">
        <v>551</v>
      </c>
      <c r="D287" s="33" t="s">
        <v>552</v>
      </c>
      <c r="E287" s="33" t="s">
        <v>577</v>
      </c>
      <c r="F287" s="34" t="s">
        <v>167</v>
      </c>
      <c r="G287" s="40"/>
      <c r="H287" s="48"/>
      <c r="I287" s="114"/>
      <c r="J287" s="27"/>
    </row>
    <row r="288" spans="1:10" ht="24.9" customHeight="1" x14ac:dyDescent="0.3">
      <c r="A288" s="32" t="s">
        <v>546</v>
      </c>
      <c r="B288" s="33" t="s">
        <v>550</v>
      </c>
      <c r="C288" s="33" t="s">
        <v>551</v>
      </c>
      <c r="D288" s="33" t="s">
        <v>552</v>
      </c>
      <c r="E288" s="33" t="s">
        <v>578</v>
      </c>
      <c r="F288" s="34" t="s">
        <v>127</v>
      </c>
      <c r="G288" s="40"/>
      <c r="H288" s="48"/>
      <c r="I288" s="114"/>
      <c r="J288" s="27"/>
    </row>
    <row r="289" spans="1:10" ht="24.9" hidden="1" customHeight="1" x14ac:dyDescent="0.3">
      <c r="A289" s="32" t="s">
        <v>546</v>
      </c>
      <c r="B289" s="33" t="s">
        <v>591</v>
      </c>
      <c r="C289" s="33" t="s">
        <v>554</v>
      </c>
      <c r="D289" s="33" t="s">
        <v>585</v>
      </c>
      <c r="E289" s="33" t="s">
        <v>586</v>
      </c>
      <c r="F289" s="34" t="s">
        <v>99</v>
      </c>
      <c r="G289" s="40"/>
      <c r="H289" s="48"/>
      <c r="I289" s="114"/>
      <c r="J289" s="27"/>
    </row>
    <row r="290" spans="1:10" ht="24.9" hidden="1" customHeight="1" x14ac:dyDescent="0.3">
      <c r="A290" s="32" t="s">
        <v>546</v>
      </c>
      <c r="B290" s="33" t="s">
        <v>591</v>
      </c>
      <c r="C290" s="33" t="s">
        <v>554</v>
      </c>
      <c r="D290" s="33" t="s">
        <v>585</v>
      </c>
      <c r="E290" s="33" t="s">
        <v>788</v>
      </c>
      <c r="F290" s="34" t="s">
        <v>99</v>
      </c>
      <c r="G290" s="40"/>
      <c r="H290" s="48"/>
      <c r="I290" s="114"/>
      <c r="J290" s="27"/>
    </row>
    <row r="291" spans="1:10" ht="24.9" hidden="1" customHeight="1" x14ac:dyDescent="0.3">
      <c r="A291" s="32" t="s">
        <v>546</v>
      </c>
      <c r="B291" s="33" t="s">
        <v>591</v>
      </c>
      <c r="C291" s="33" t="s">
        <v>554</v>
      </c>
      <c r="D291" s="33" t="s">
        <v>585</v>
      </c>
      <c r="E291" s="33" t="s">
        <v>588</v>
      </c>
      <c r="F291" s="34" t="s">
        <v>99</v>
      </c>
      <c r="G291" s="40"/>
      <c r="H291" s="48"/>
      <c r="I291" s="114"/>
      <c r="J291" s="27"/>
    </row>
    <row r="292" spans="1:10" ht="24.9" customHeight="1" x14ac:dyDescent="0.3">
      <c r="A292" s="32" t="s">
        <v>546</v>
      </c>
      <c r="B292" s="33" t="s">
        <v>591</v>
      </c>
      <c r="C292" s="33" t="s">
        <v>554</v>
      </c>
      <c r="D292" s="33" t="s">
        <v>585</v>
      </c>
      <c r="E292" s="33" t="s">
        <v>587</v>
      </c>
      <c r="F292" s="34" t="s">
        <v>127</v>
      </c>
      <c r="G292" s="40"/>
      <c r="H292" s="48"/>
      <c r="I292" s="114"/>
      <c r="J292" s="27"/>
    </row>
    <row r="293" spans="1:10" ht="24.9" customHeight="1" x14ac:dyDescent="0.3">
      <c r="A293" s="32" t="s">
        <v>546</v>
      </c>
      <c r="B293" s="33" t="s">
        <v>553</v>
      </c>
      <c r="C293" s="33" t="s">
        <v>554</v>
      </c>
      <c r="D293" s="33" t="s">
        <v>552</v>
      </c>
      <c r="E293" s="33" t="s">
        <v>225</v>
      </c>
      <c r="F293" s="34" t="s">
        <v>673</v>
      </c>
      <c r="G293" s="40"/>
      <c r="H293" s="51" t="s">
        <v>850</v>
      </c>
      <c r="I293" s="114" t="s">
        <v>234</v>
      </c>
      <c r="J293" s="27"/>
    </row>
    <row r="294" spans="1:10" ht="24.9" customHeight="1" x14ac:dyDescent="0.3">
      <c r="A294" s="32" t="s">
        <v>546</v>
      </c>
      <c r="B294" s="33" t="s">
        <v>553</v>
      </c>
      <c r="C294" s="33" t="s">
        <v>554</v>
      </c>
      <c r="D294" s="33" t="s">
        <v>552</v>
      </c>
      <c r="E294" s="33" t="s">
        <v>577</v>
      </c>
      <c r="F294" s="34" t="s">
        <v>167</v>
      </c>
      <c r="G294" s="40"/>
      <c r="H294" s="53"/>
      <c r="I294" s="114"/>
      <c r="J294" s="27"/>
    </row>
    <row r="295" spans="1:10" ht="24.9" customHeight="1" x14ac:dyDescent="0.3">
      <c r="A295" s="32" t="s">
        <v>546</v>
      </c>
      <c r="B295" s="33" t="s">
        <v>553</v>
      </c>
      <c r="C295" s="33" t="s">
        <v>554</v>
      </c>
      <c r="D295" s="33" t="s">
        <v>552</v>
      </c>
      <c r="E295" s="33" t="s">
        <v>578</v>
      </c>
      <c r="F295" s="34" t="s">
        <v>127</v>
      </c>
      <c r="G295" s="40"/>
      <c r="H295" s="48"/>
      <c r="I295" s="114"/>
      <c r="J295" s="27"/>
    </row>
    <row r="296" spans="1:10" ht="24.9" hidden="1" customHeight="1" x14ac:dyDescent="0.3">
      <c r="A296" s="32" t="s">
        <v>546</v>
      </c>
      <c r="B296" s="33" t="s">
        <v>592</v>
      </c>
      <c r="C296" s="33" t="s">
        <v>556</v>
      </c>
      <c r="D296" s="33" t="s">
        <v>585</v>
      </c>
      <c r="E296" s="33" t="s">
        <v>586</v>
      </c>
      <c r="F296" s="34" t="s">
        <v>99</v>
      </c>
      <c r="G296" s="40"/>
      <c r="H296" s="48"/>
      <c r="I296" s="114"/>
      <c r="J296" s="27"/>
    </row>
    <row r="297" spans="1:10" ht="24.9" hidden="1" customHeight="1" x14ac:dyDescent="0.3">
      <c r="A297" s="32" t="s">
        <v>546</v>
      </c>
      <c r="B297" s="33" t="s">
        <v>592</v>
      </c>
      <c r="C297" s="33" t="s">
        <v>556</v>
      </c>
      <c r="D297" s="33" t="s">
        <v>585</v>
      </c>
      <c r="E297" s="33" t="s">
        <v>788</v>
      </c>
      <c r="F297" s="34" t="s">
        <v>99</v>
      </c>
      <c r="G297" s="40"/>
      <c r="H297" s="48"/>
      <c r="I297" s="114"/>
      <c r="J297" s="27"/>
    </row>
    <row r="298" spans="1:10" ht="24.9" hidden="1" customHeight="1" x14ac:dyDescent="0.3">
      <c r="A298" s="32" t="s">
        <v>546</v>
      </c>
      <c r="B298" s="33" t="s">
        <v>592</v>
      </c>
      <c r="C298" s="33" t="s">
        <v>556</v>
      </c>
      <c r="D298" s="33" t="s">
        <v>585</v>
      </c>
      <c r="E298" s="33" t="s">
        <v>588</v>
      </c>
      <c r="F298" s="34" t="s">
        <v>99</v>
      </c>
      <c r="G298" s="40"/>
      <c r="H298" s="53"/>
      <c r="I298" s="114"/>
      <c r="J298" s="27"/>
    </row>
    <row r="299" spans="1:10" ht="24.9" customHeight="1" x14ac:dyDescent="0.3">
      <c r="A299" s="32" t="s">
        <v>546</v>
      </c>
      <c r="B299" s="33" t="s">
        <v>592</v>
      </c>
      <c r="C299" s="33" t="s">
        <v>556</v>
      </c>
      <c r="D299" s="33" t="s">
        <v>585</v>
      </c>
      <c r="E299" s="33" t="s">
        <v>587</v>
      </c>
      <c r="F299" s="34" t="s">
        <v>127</v>
      </c>
      <c r="G299" s="40"/>
      <c r="H299" s="53"/>
      <c r="I299" s="114"/>
      <c r="J299" s="27"/>
    </row>
    <row r="300" spans="1:10" ht="24.9" customHeight="1" x14ac:dyDescent="0.3">
      <c r="A300" s="32" t="s">
        <v>546</v>
      </c>
      <c r="B300" s="33" t="s">
        <v>592</v>
      </c>
      <c r="C300" s="33" t="s">
        <v>556</v>
      </c>
      <c r="D300" s="33" t="s">
        <v>585</v>
      </c>
      <c r="E300" s="33" t="s">
        <v>590</v>
      </c>
      <c r="F300" s="34" t="s">
        <v>127</v>
      </c>
      <c r="G300" s="40"/>
      <c r="H300" s="48"/>
      <c r="I300" s="114"/>
      <c r="J300" s="27"/>
    </row>
    <row r="301" spans="1:10" ht="24.9" customHeight="1" x14ac:dyDescent="0.3">
      <c r="A301" s="32" t="s">
        <v>546</v>
      </c>
      <c r="B301" s="33" t="s">
        <v>555</v>
      </c>
      <c r="C301" s="33" t="s">
        <v>556</v>
      </c>
      <c r="D301" s="33" t="s">
        <v>552</v>
      </c>
      <c r="E301" s="33" t="s">
        <v>225</v>
      </c>
      <c r="F301" s="34" t="s">
        <v>673</v>
      </c>
      <c r="G301" s="40"/>
      <c r="H301" s="51" t="s">
        <v>850</v>
      </c>
      <c r="I301" s="114" t="s">
        <v>234</v>
      </c>
      <c r="J301" s="27"/>
    </row>
    <row r="302" spans="1:10" ht="24.9" customHeight="1" x14ac:dyDescent="0.3">
      <c r="A302" s="32" t="s">
        <v>546</v>
      </c>
      <c r="B302" s="33" t="s">
        <v>555</v>
      </c>
      <c r="C302" s="33" t="s">
        <v>556</v>
      </c>
      <c r="D302" s="33" t="s">
        <v>552</v>
      </c>
      <c r="E302" s="33" t="s">
        <v>577</v>
      </c>
      <c r="F302" s="34" t="s">
        <v>167</v>
      </c>
      <c r="G302" s="40"/>
      <c r="H302" s="53"/>
      <c r="I302" s="114"/>
      <c r="J302" s="27"/>
    </row>
    <row r="303" spans="1:10" ht="24.9" customHeight="1" x14ac:dyDescent="0.3">
      <c r="A303" s="32" t="s">
        <v>546</v>
      </c>
      <c r="B303" s="33" t="s">
        <v>555</v>
      </c>
      <c r="C303" s="33" t="s">
        <v>556</v>
      </c>
      <c r="D303" s="33" t="s">
        <v>552</v>
      </c>
      <c r="E303" s="33" t="s">
        <v>578</v>
      </c>
      <c r="F303" s="34" t="s">
        <v>127</v>
      </c>
      <c r="G303" s="40"/>
      <c r="H303" s="53"/>
      <c r="I303" s="114"/>
      <c r="J303" s="27"/>
    </row>
    <row r="304" spans="1:10" ht="24.9" customHeight="1" x14ac:dyDescent="0.3">
      <c r="A304" s="32" t="s">
        <v>546</v>
      </c>
      <c r="B304" s="33" t="s">
        <v>567</v>
      </c>
      <c r="C304" s="33" t="s">
        <v>556</v>
      </c>
      <c r="D304" s="33" t="s">
        <v>568</v>
      </c>
      <c r="E304" s="33" t="s">
        <v>764</v>
      </c>
      <c r="F304" s="34" t="s">
        <v>167</v>
      </c>
      <c r="G304" s="40"/>
      <c r="H304" s="48"/>
      <c r="I304" s="114"/>
      <c r="J304" s="27"/>
    </row>
    <row r="305" spans="1:10" ht="24.9" hidden="1" customHeight="1" x14ac:dyDescent="0.3">
      <c r="A305" s="32" t="s">
        <v>546</v>
      </c>
      <c r="B305" s="33" t="s">
        <v>567</v>
      </c>
      <c r="C305" s="33" t="s">
        <v>556</v>
      </c>
      <c r="D305" s="33" t="s">
        <v>568</v>
      </c>
      <c r="E305" s="33" t="s">
        <v>787</v>
      </c>
      <c r="F305" s="34" t="s">
        <v>99</v>
      </c>
      <c r="G305" s="40"/>
      <c r="H305" s="51" t="s">
        <v>543</v>
      </c>
      <c r="I305" s="114"/>
      <c r="J305" s="27"/>
    </row>
    <row r="306" spans="1:10" ht="24.9" customHeight="1" x14ac:dyDescent="0.3">
      <c r="A306" s="32" t="s">
        <v>546</v>
      </c>
      <c r="B306" s="33" t="s">
        <v>567</v>
      </c>
      <c r="C306" s="33" t="s">
        <v>556</v>
      </c>
      <c r="D306" s="33" t="s">
        <v>568</v>
      </c>
      <c r="E306" s="33" t="s">
        <v>566</v>
      </c>
      <c r="F306" s="34" t="s">
        <v>127</v>
      </c>
      <c r="G306" s="40"/>
      <c r="H306" s="48"/>
      <c r="I306" s="114"/>
      <c r="J306" s="27"/>
    </row>
    <row r="307" spans="1:10" ht="24.9" customHeight="1" x14ac:dyDescent="0.3">
      <c r="A307" s="32" t="s">
        <v>546</v>
      </c>
      <c r="B307" s="33" t="s">
        <v>567</v>
      </c>
      <c r="C307" s="33" t="s">
        <v>556</v>
      </c>
      <c r="D307" s="33" t="s">
        <v>568</v>
      </c>
      <c r="E307" s="33" t="s">
        <v>225</v>
      </c>
      <c r="F307" s="34" t="s">
        <v>673</v>
      </c>
      <c r="G307" s="40"/>
      <c r="H307" s="40" t="s">
        <v>227</v>
      </c>
      <c r="I307" s="114" t="s">
        <v>226</v>
      </c>
      <c r="J307" s="27"/>
    </row>
    <row r="308" spans="1:10" ht="24.9" customHeight="1" x14ac:dyDescent="0.3">
      <c r="A308" s="32" t="s">
        <v>546</v>
      </c>
      <c r="B308" s="33" t="s">
        <v>573</v>
      </c>
      <c r="C308" s="33" t="s">
        <v>556</v>
      </c>
      <c r="D308" s="33" t="s">
        <v>574</v>
      </c>
      <c r="E308" s="33" t="s">
        <v>764</v>
      </c>
      <c r="F308" s="34" t="s">
        <v>167</v>
      </c>
      <c r="G308" s="40"/>
      <c r="H308" s="53"/>
      <c r="I308" s="114"/>
      <c r="J308" s="27"/>
    </row>
    <row r="309" spans="1:10" ht="24.9" hidden="1" customHeight="1" x14ac:dyDescent="0.3">
      <c r="A309" s="32" t="s">
        <v>546</v>
      </c>
      <c r="B309" s="33" t="s">
        <v>573</v>
      </c>
      <c r="C309" s="33" t="s">
        <v>556</v>
      </c>
      <c r="D309" s="33" t="s">
        <v>574</v>
      </c>
      <c r="E309" s="33" t="s">
        <v>787</v>
      </c>
      <c r="F309" s="34" t="s">
        <v>99</v>
      </c>
      <c r="G309" s="40"/>
      <c r="H309" s="51" t="s">
        <v>543</v>
      </c>
      <c r="I309" s="114"/>
      <c r="J309" s="27"/>
    </row>
    <row r="310" spans="1:10" ht="24.9" customHeight="1" x14ac:dyDescent="0.3">
      <c r="A310" s="32" t="s">
        <v>546</v>
      </c>
      <c r="B310" s="33" t="s">
        <v>573</v>
      </c>
      <c r="C310" s="33" t="s">
        <v>556</v>
      </c>
      <c r="D310" s="33" t="s">
        <v>574</v>
      </c>
      <c r="E310" s="33" t="s">
        <v>566</v>
      </c>
      <c r="F310" s="34" t="s">
        <v>127</v>
      </c>
      <c r="G310" s="40"/>
      <c r="H310" s="48"/>
      <c r="I310" s="114"/>
      <c r="J310" s="27"/>
    </row>
    <row r="311" spans="1:10" ht="24.9" customHeight="1" x14ac:dyDescent="0.3">
      <c r="A311" s="32" t="s">
        <v>546</v>
      </c>
      <c r="B311" s="33" t="s">
        <v>573</v>
      </c>
      <c r="C311" s="33" t="s">
        <v>556</v>
      </c>
      <c r="D311" s="33" t="s">
        <v>574</v>
      </c>
      <c r="E311" s="33" t="s">
        <v>225</v>
      </c>
      <c r="F311" s="34" t="s">
        <v>673</v>
      </c>
      <c r="G311" s="40"/>
      <c r="H311" s="51" t="s">
        <v>227</v>
      </c>
      <c r="I311" s="114" t="s">
        <v>226</v>
      </c>
      <c r="J311" s="27"/>
    </row>
    <row r="312" spans="1:10" ht="24.9" hidden="1" customHeight="1" x14ac:dyDescent="0.3">
      <c r="A312" s="32" t="s">
        <v>546</v>
      </c>
      <c r="B312" s="33" t="s">
        <v>593</v>
      </c>
      <c r="C312" s="33" t="s">
        <v>558</v>
      </c>
      <c r="D312" s="33" t="s">
        <v>585</v>
      </c>
      <c r="E312" s="33" t="s">
        <v>586</v>
      </c>
      <c r="F312" s="34" t="s">
        <v>99</v>
      </c>
      <c r="G312" s="40"/>
      <c r="H312" s="53"/>
      <c r="I312" s="114"/>
      <c r="J312" s="27"/>
    </row>
    <row r="313" spans="1:10" ht="24.9" hidden="1" customHeight="1" x14ac:dyDescent="0.3">
      <c r="A313" s="32" t="s">
        <v>546</v>
      </c>
      <c r="B313" s="33" t="s">
        <v>593</v>
      </c>
      <c r="C313" s="33" t="s">
        <v>558</v>
      </c>
      <c r="D313" s="33" t="s">
        <v>585</v>
      </c>
      <c r="E313" s="33" t="s">
        <v>788</v>
      </c>
      <c r="F313" s="34" t="s">
        <v>99</v>
      </c>
      <c r="G313" s="40"/>
      <c r="H313" s="53"/>
      <c r="I313" s="114"/>
      <c r="J313" s="27"/>
    </row>
    <row r="314" spans="1:10" ht="24.9" hidden="1" customHeight="1" x14ac:dyDescent="0.3">
      <c r="A314" s="32" t="s">
        <v>546</v>
      </c>
      <c r="B314" s="33" t="s">
        <v>593</v>
      </c>
      <c r="C314" s="33" t="s">
        <v>558</v>
      </c>
      <c r="D314" s="33" t="s">
        <v>585</v>
      </c>
      <c r="E314" s="33" t="s">
        <v>588</v>
      </c>
      <c r="F314" s="34" t="s">
        <v>99</v>
      </c>
      <c r="G314" s="40"/>
      <c r="H314" s="48"/>
      <c r="I314" s="114"/>
      <c r="J314" s="27"/>
    </row>
    <row r="315" spans="1:10" ht="24.9" customHeight="1" x14ac:dyDescent="0.3">
      <c r="A315" s="32" t="s">
        <v>546</v>
      </c>
      <c r="B315" s="33" t="s">
        <v>593</v>
      </c>
      <c r="C315" s="33" t="s">
        <v>558</v>
      </c>
      <c r="D315" s="33" t="s">
        <v>585</v>
      </c>
      <c r="E315" s="33" t="s">
        <v>587</v>
      </c>
      <c r="F315" s="34" t="s">
        <v>127</v>
      </c>
      <c r="G315" s="40"/>
      <c r="H315" s="48"/>
      <c r="I315" s="114"/>
      <c r="J315" s="27"/>
    </row>
    <row r="316" spans="1:10" ht="24.9" customHeight="1" x14ac:dyDescent="0.3">
      <c r="A316" s="32" t="s">
        <v>546</v>
      </c>
      <c r="B316" s="33" t="s">
        <v>593</v>
      </c>
      <c r="C316" s="33" t="s">
        <v>558</v>
      </c>
      <c r="D316" s="33" t="s">
        <v>585</v>
      </c>
      <c r="E316" s="33" t="s">
        <v>590</v>
      </c>
      <c r="F316" s="34" t="s">
        <v>127</v>
      </c>
      <c r="G316" s="40"/>
      <c r="H316" s="48"/>
      <c r="I316" s="114"/>
      <c r="J316" s="27"/>
    </row>
    <row r="317" spans="1:10" ht="24.9" customHeight="1" x14ac:dyDescent="0.3">
      <c r="A317" s="32" t="s">
        <v>546</v>
      </c>
      <c r="B317" s="33" t="s">
        <v>557</v>
      </c>
      <c r="C317" s="33" t="s">
        <v>558</v>
      </c>
      <c r="D317" s="33" t="s">
        <v>552</v>
      </c>
      <c r="E317" s="33" t="s">
        <v>225</v>
      </c>
      <c r="F317" s="34" t="s">
        <v>673</v>
      </c>
      <c r="G317" s="40"/>
      <c r="H317" s="51" t="s">
        <v>850</v>
      </c>
      <c r="I317" s="114" t="s">
        <v>234</v>
      </c>
      <c r="J317" s="27"/>
    </row>
    <row r="318" spans="1:10" ht="24.9" customHeight="1" x14ac:dyDescent="0.3">
      <c r="A318" s="32" t="s">
        <v>546</v>
      </c>
      <c r="B318" s="33" t="s">
        <v>557</v>
      </c>
      <c r="C318" s="33" t="s">
        <v>558</v>
      </c>
      <c r="D318" s="33" t="s">
        <v>552</v>
      </c>
      <c r="E318" s="33" t="s">
        <v>577</v>
      </c>
      <c r="F318" s="34" t="s">
        <v>167</v>
      </c>
      <c r="G318" s="40"/>
      <c r="H318" s="53"/>
      <c r="I318" s="114"/>
      <c r="J318" s="27"/>
    </row>
    <row r="319" spans="1:10" ht="24.9" customHeight="1" x14ac:dyDescent="0.3">
      <c r="A319" s="32" t="s">
        <v>546</v>
      </c>
      <c r="B319" s="33" t="s">
        <v>557</v>
      </c>
      <c r="C319" s="33" t="s">
        <v>558</v>
      </c>
      <c r="D319" s="33" t="s">
        <v>552</v>
      </c>
      <c r="E319" s="33" t="s">
        <v>578</v>
      </c>
      <c r="F319" s="34" t="s">
        <v>127</v>
      </c>
      <c r="G319" s="40"/>
      <c r="H319" s="48"/>
      <c r="I319" s="114"/>
      <c r="J319" s="27"/>
    </row>
    <row r="320" spans="1:10" ht="24.9" customHeight="1" x14ac:dyDescent="0.3">
      <c r="A320" s="32" t="s">
        <v>546</v>
      </c>
      <c r="B320" s="33" t="s">
        <v>569</v>
      </c>
      <c r="C320" s="33" t="s">
        <v>558</v>
      </c>
      <c r="D320" s="33" t="s">
        <v>568</v>
      </c>
      <c r="E320" s="33" t="s">
        <v>764</v>
      </c>
      <c r="F320" s="34" t="s">
        <v>167</v>
      </c>
      <c r="G320" s="40"/>
      <c r="H320" s="48"/>
      <c r="I320" s="114"/>
      <c r="J320" s="27"/>
    </row>
    <row r="321" spans="1:10" ht="24.9" hidden="1" customHeight="1" x14ac:dyDescent="0.3">
      <c r="A321" s="32" t="s">
        <v>546</v>
      </c>
      <c r="B321" s="33" t="s">
        <v>569</v>
      </c>
      <c r="C321" s="33" t="s">
        <v>558</v>
      </c>
      <c r="D321" s="33" t="s">
        <v>568</v>
      </c>
      <c r="E321" s="33" t="s">
        <v>787</v>
      </c>
      <c r="F321" s="34" t="s">
        <v>99</v>
      </c>
      <c r="G321" s="40"/>
      <c r="H321" s="51" t="s">
        <v>543</v>
      </c>
      <c r="I321" s="114"/>
      <c r="J321" s="27"/>
    </row>
    <row r="322" spans="1:10" ht="24.9" customHeight="1" x14ac:dyDescent="0.3">
      <c r="A322" s="32" t="s">
        <v>546</v>
      </c>
      <c r="B322" s="33" t="s">
        <v>569</v>
      </c>
      <c r="C322" s="33" t="s">
        <v>558</v>
      </c>
      <c r="D322" s="33" t="s">
        <v>568</v>
      </c>
      <c r="E322" s="33" t="s">
        <v>566</v>
      </c>
      <c r="F322" s="34" t="s">
        <v>127</v>
      </c>
      <c r="G322" s="40"/>
      <c r="H322" s="48"/>
      <c r="I322" s="114"/>
      <c r="J322" s="27"/>
    </row>
    <row r="323" spans="1:10" ht="24.9" customHeight="1" x14ac:dyDescent="0.3">
      <c r="A323" s="32" t="s">
        <v>546</v>
      </c>
      <c r="B323" s="33" t="s">
        <v>569</v>
      </c>
      <c r="C323" s="33" t="s">
        <v>558</v>
      </c>
      <c r="D323" s="33" t="s">
        <v>568</v>
      </c>
      <c r="E323" s="33" t="s">
        <v>225</v>
      </c>
      <c r="F323" s="34" t="s">
        <v>673</v>
      </c>
      <c r="G323" s="40"/>
      <c r="H323" s="51" t="s">
        <v>227</v>
      </c>
      <c r="I323" s="114" t="s">
        <v>226</v>
      </c>
      <c r="J323" s="27"/>
    </row>
    <row r="324" spans="1:10" ht="24.9" customHeight="1" x14ac:dyDescent="0.3">
      <c r="A324" s="32" t="s">
        <v>546</v>
      </c>
      <c r="B324" s="33" t="s">
        <v>575</v>
      </c>
      <c r="C324" s="33" t="s">
        <v>558</v>
      </c>
      <c r="D324" s="33" t="s">
        <v>574</v>
      </c>
      <c r="E324" s="33" t="s">
        <v>764</v>
      </c>
      <c r="F324" s="34" t="s">
        <v>167</v>
      </c>
      <c r="G324" s="40"/>
      <c r="H324" s="48"/>
      <c r="I324" s="114"/>
      <c r="J324" s="27"/>
    </row>
    <row r="325" spans="1:10" ht="24.9" hidden="1" customHeight="1" x14ac:dyDescent="0.3">
      <c r="A325" s="32" t="s">
        <v>546</v>
      </c>
      <c r="B325" s="33" t="s">
        <v>575</v>
      </c>
      <c r="C325" s="33" t="s">
        <v>558</v>
      </c>
      <c r="D325" s="33" t="s">
        <v>574</v>
      </c>
      <c r="E325" s="33" t="s">
        <v>787</v>
      </c>
      <c r="F325" s="34" t="s">
        <v>99</v>
      </c>
      <c r="G325" s="40"/>
      <c r="H325" s="51" t="s">
        <v>543</v>
      </c>
      <c r="I325" s="114"/>
      <c r="J325" s="27"/>
    </row>
    <row r="326" spans="1:10" ht="24.9" customHeight="1" x14ac:dyDescent="0.3">
      <c r="A326" s="32" t="s">
        <v>546</v>
      </c>
      <c r="B326" s="33" t="s">
        <v>575</v>
      </c>
      <c r="C326" s="33" t="s">
        <v>558</v>
      </c>
      <c r="D326" s="33" t="s">
        <v>574</v>
      </c>
      <c r="E326" s="33" t="s">
        <v>566</v>
      </c>
      <c r="F326" s="34" t="s">
        <v>127</v>
      </c>
      <c r="G326" s="40"/>
      <c r="H326" s="48"/>
      <c r="I326" s="114"/>
      <c r="J326" s="27"/>
    </row>
    <row r="327" spans="1:10" ht="24.9" customHeight="1" x14ac:dyDescent="0.3">
      <c r="A327" s="32" t="s">
        <v>546</v>
      </c>
      <c r="B327" s="33" t="s">
        <v>575</v>
      </c>
      <c r="C327" s="33" t="s">
        <v>558</v>
      </c>
      <c r="D327" s="33" t="s">
        <v>574</v>
      </c>
      <c r="E327" s="33" t="s">
        <v>225</v>
      </c>
      <c r="F327" s="34" t="s">
        <v>673</v>
      </c>
      <c r="G327" s="40"/>
      <c r="H327" s="51" t="s">
        <v>227</v>
      </c>
      <c r="I327" s="114" t="s">
        <v>226</v>
      </c>
      <c r="J327" s="27"/>
    </row>
    <row r="328" spans="1:10" ht="24.9" hidden="1" customHeight="1" x14ac:dyDescent="0.3">
      <c r="A328" s="32" t="s">
        <v>546</v>
      </c>
      <c r="B328" s="33" t="s">
        <v>594</v>
      </c>
      <c r="C328" s="33" t="s">
        <v>560</v>
      </c>
      <c r="D328" s="33" t="s">
        <v>585</v>
      </c>
      <c r="E328" s="33" t="s">
        <v>586</v>
      </c>
      <c r="F328" s="34" t="s">
        <v>99</v>
      </c>
      <c r="G328" s="40"/>
      <c r="H328" s="48"/>
      <c r="I328" s="114"/>
      <c r="J328" s="27"/>
    </row>
    <row r="329" spans="1:10" ht="24.9" hidden="1" customHeight="1" x14ac:dyDescent="0.3">
      <c r="A329" s="32" t="s">
        <v>546</v>
      </c>
      <c r="B329" s="33" t="s">
        <v>594</v>
      </c>
      <c r="C329" s="33" t="s">
        <v>560</v>
      </c>
      <c r="D329" s="33" t="s">
        <v>585</v>
      </c>
      <c r="E329" s="33" t="s">
        <v>788</v>
      </c>
      <c r="F329" s="34" t="s">
        <v>99</v>
      </c>
      <c r="G329" s="40"/>
      <c r="H329" s="48"/>
      <c r="I329" s="114"/>
      <c r="J329" s="27"/>
    </row>
    <row r="330" spans="1:10" ht="24.9" hidden="1" customHeight="1" x14ac:dyDescent="0.3">
      <c r="A330" s="32" t="s">
        <v>546</v>
      </c>
      <c r="B330" s="33" t="s">
        <v>594</v>
      </c>
      <c r="C330" s="33" t="s">
        <v>560</v>
      </c>
      <c r="D330" s="33" t="s">
        <v>585</v>
      </c>
      <c r="E330" s="33" t="s">
        <v>588</v>
      </c>
      <c r="F330" s="34" t="s">
        <v>99</v>
      </c>
      <c r="G330" s="40"/>
      <c r="H330" s="48"/>
      <c r="I330" s="114"/>
      <c r="J330" s="27"/>
    </row>
    <row r="331" spans="1:10" ht="24.9" customHeight="1" x14ac:dyDescent="0.3">
      <c r="A331" s="32" t="s">
        <v>546</v>
      </c>
      <c r="B331" s="33" t="s">
        <v>594</v>
      </c>
      <c r="C331" s="33" t="s">
        <v>560</v>
      </c>
      <c r="D331" s="33" t="s">
        <v>585</v>
      </c>
      <c r="E331" s="33" t="s">
        <v>587</v>
      </c>
      <c r="F331" s="34" t="s">
        <v>127</v>
      </c>
      <c r="G331" s="40"/>
      <c r="H331" s="48"/>
      <c r="I331" s="114"/>
      <c r="J331" s="27"/>
    </row>
    <row r="332" spans="1:10" ht="24.9" customHeight="1" x14ac:dyDescent="0.3">
      <c r="A332" s="32" t="s">
        <v>546</v>
      </c>
      <c r="B332" s="33" t="s">
        <v>594</v>
      </c>
      <c r="C332" s="33" t="s">
        <v>560</v>
      </c>
      <c r="D332" s="33" t="s">
        <v>585</v>
      </c>
      <c r="E332" s="33" t="s">
        <v>590</v>
      </c>
      <c r="F332" s="34" t="s">
        <v>127</v>
      </c>
      <c r="G332" s="40"/>
      <c r="H332" s="48"/>
      <c r="I332" s="114"/>
      <c r="J332" s="27"/>
    </row>
    <row r="333" spans="1:10" ht="24.9" customHeight="1" x14ac:dyDescent="0.3">
      <c r="A333" s="32" t="s">
        <v>546</v>
      </c>
      <c r="B333" s="33" t="s">
        <v>559</v>
      </c>
      <c r="C333" s="33" t="s">
        <v>560</v>
      </c>
      <c r="D333" s="33" t="s">
        <v>552</v>
      </c>
      <c r="E333" s="33" t="s">
        <v>225</v>
      </c>
      <c r="F333" s="34" t="s">
        <v>673</v>
      </c>
      <c r="G333" s="40"/>
      <c r="H333" s="51" t="s">
        <v>850</v>
      </c>
      <c r="I333" s="114" t="s">
        <v>234</v>
      </c>
      <c r="J333" s="27"/>
    </row>
    <row r="334" spans="1:10" ht="24.9" customHeight="1" x14ac:dyDescent="0.3">
      <c r="A334" s="32" t="s">
        <v>546</v>
      </c>
      <c r="B334" s="33" t="s">
        <v>559</v>
      </c>
      <c r="C334" s="33" t="s">
        <v>560</v>
      </c>
      <c r="D334" s="33" t="s">
        <v>552</v>
      </c>
      <c r="E334" s="33" t="s">
        <v>577</v>
      </c>
      <c r="F334" s="34" t="s">
        <v>167</v>
      </c>
      <c r="G334" s="40"/>
      <c r="H334" s="48"/>
      <c r="I334" s="114"/>
      <c r="J334" s="27"/>
    </row>
    <row r="335" spans="1:10" ht="24.9" customHeight="1" x14ac:dyDescent="0.3">
      <c r="A335" s="32" t="s">
        <v>546</v>
      </c>
      <c r="B335" s="33" t="s">
        <v>559</v>
      </c>
      <c r="C335" s="33" t="s">
        <v>560</v>
      </c>
      <c r="D335" s="33" t="s">
        <v>552</v>
      </c>
      <c r="E335" s="33" t="s">
        <v>578</v>
      </c>
      <c r="F335" s="34" t="s">
        <v>127</v>
      </c>
      <c r="G335" s="40"/>
      <c r="H335" s="48"/>
      <c r="I335" s="114"/>
      <c r="J335" s="27"/>
    </row>
    <row r="336" spans="1:10" ht="24.9" customHeight="1" x14ac:dyDescent="0.3">
      <c r="A336" s="32" t="s">
        <v>546</v>
      </c>
      <c r="B336" s="33" t="s">
        <v>570</v>
      </c>
      <c r="C336" s="33" t="s">
        <v>560</v>
      </c>
      <c r="D336" s="33" t="s">
        <v>568</v>
      </c>
      <c r="E336" s="33" t="s">
        <v>764</v>
      </c>
      <c r="F336" s="34" t="s">
        <v>167</v>
      </c>
      <c r="G336" s="51"/>
      <c r="H336" s="48"/>
      <c r="I336" s="114"/>
      <c r="J336" s="27"/>
    </row>
    <row r="337" spans="1:10" ht="24.9" hidden="1" customHeight="1" x14ac:dyDescent="0.3">
      <c r="A337" s="32" t="s">
        <v>546</v>
      </c>
      <c r="B337" s="33" t="s">
        <v>570</v>
      </c>
      <c r="C337" s="33" t="s">
        <v>560</v>
      </c>
      <c r="D337" s="33" t="s">
        <v>568</v>
      </c>
      <c r="E337" s="33" t="s">
        <v>787</v>
      </c>
      <c r="F337" s="34" t="s">
        <v>99</v>
      </c>
      <c r="G337" s="40"/>
      <c r="H337" s="51" t="s">
        <v>543</v>
      </c>
      <c r="I337" s="114"/>
      <c r="J337" s="27"/>
    </row>
    <row r="338" spans="1:10" ht="24.9" customHeight="1" x14ac:dyDescent="0.3">
      <c r="A338" s="32" t="s">
        <v>546</v>
      </c>
      <c r="B338" s="33" t="s">
        <v>570</v>
      </c>
      <c r="C338" s="33" t="s">
        <v>560</v>
      </c>
      <c r="D338" s="33" t="s">
        <v>568</v>
      </c>
      <c r="E338" s="33" t="s">
        <v>566</v>
      </c>
      <c r="F338" s="34" t="s">
        <v>127</v>
      </c>
      <c r="G338" s="29"/>
      <c r="H338" s="48"/>
      <c r="I338" s="114"/>
      <c r="J338" s="27"/>
    </row>
    <row r="339" spans="1:10" ht="24.9" customHeight="1" x14ac:dyDescent="0.3">
      <c r="A339" s="32" t="s">
        <v>546</v>
      </c>
      <c r="B339" s="33" t="s">
        <v>570</v>
      </c>
      <c r="C339" s="33" t="s">
        <v>560</v>
      </c>
      <c r="D339" s="33" t="s">
        <v>568</v>
      </c>
      <c r="E339" s="33" t="s">
        <v>225</v>
      </c>
      <c r="F339" s="34" t="s">
        <v>673</v>
      </c>
      <c r="G339" s="51"/>
      <c r="H339" s="51" t="s">
        <v>227</v>
      </c>
      <c r="I339" s="114" t="s">
        <v>226</v>
      </c>
      <c r="J339" s="27"/>
    </row>
    <row r="340" spans="1:10" ht="24.9" customHeight="1" x14ac:dyDescent="0.3">
      <c r="A340" s="32" t="s">
        <v>546</v>
      </c>
      <c r="B340" s="33" t="s">
        <v>576</v>
      </c>
      <c r="C340" s="33" t="s">
        <v>560</v>
      </c>
      <c r="D340" s="33" t="s">
        <v>574</v>
      </c>
      <c r="E340" s="33" t="s">
        <v>764</v>
      </c>
      <c r="F340" s="34" t="s">
        <v>167</v>
      </c>
      <c r="G340" s="51"/>
      <c r="H340" s="48"/>
      <c r="I340" s="114"/>
      <c r="J340" s="27"/>
    </row>
    <row r="341" spans="1:10" ht="24.9" hidden="1" customHeight="1" x14ac:dyDescent="0.3">
      <c r="A341" s="32" t="s">
        <v>546</v>
      </c>
      <c r="B341" s="33" t="s">
        <v>576</v>
      </c>
      <c r="C341" s="33" t="s">
        <v>560</v>
      </c>
      <c r="D341" s="33" t="s">
        <v>574</v>
      </c>
      <c r="E341" s="33" t="s">
        <v>787</v>
      </c>
      <c r="F341" s="34" t="s">
        <v>99</v>
      </c>
      <c r="G341" s="51"/>
      <c r="H341" s="51" t="s">
        <v>543</v>
      </c>
      <c r="I341" s="114"/>
      <c r="J341" s="27"/>
    </row>
    <row r="342" spans="1:10" ht="24.9" customHeight="1" x14ac:dyDescent="0.3">
      <c r="A342" s="32" t="s">
        <v>546</v>
      </c>
      <c r="B342" s="33" t="s">
        <v>576</v>
      </c>
      <c r="C342" s="33" t="s">
        <v>560</v>
      </c>
      <c r="D342" s="33" t="s">
        <v>574</v>
      </c>
      <c r="E342" s="33" t="s">
        <v>566</v>
      </c>
      <c r="F342" s="34" t="s">
        <v>127</v>
      </c>
      <c r="G342" s="51"/>
      <c r="H342" s="48"/>
      <c r="I342" s="114"/>
      <c r="J342" s="27"/>
    </row>
    <row r="343" spans="1:10" ht="24.9" customHeight="1" x14ac:dyDescent="0.3">
      <c r="A343" s="32" t="s">
        <v>546</v>
      </c>
      <c r="B343" s="33" t="s">
        <v>576</v>
      </c>
      <c r="C343" s="33" t="s">
        <v>560</v>
      </c>
      <c r="D343" s="33" t="s">
        <v>574</v>
      </c>
      <c r="E343" s="33" t="s">
        <v>225</v>
      </c>
      <c r="F343" s="34" t="s">
        <v>673</v>
      </c>
      <c r="G343" s="51"/>
      <c r="H343" s="51" t="s">
        <v>227</v>
      </c>
      <c r="I343" s="114" t="s">
        <v>226</v>
      </c>
      <c r="J343" s="27"/>
    </row>
    <row r="344" spans="1:10" ht="24.9" hidden="1" customHeight="1" x14ac:dyDescent="0.3">
      <c r="A344" s="32" t="s">
        <v>546</v>
      </c>
      <c r="B344" s="33" t="s">
        <v>595</v>
      </c>
      <c r="C344" s="33" t="s">
        <v>548</v>
      </c>
      <c r="D344" s="33" t="s">
        <v>585</v>
      </c>
      <c r="E344" s="33" t="s">
        <v>586</v>
      </c>
      <c r="F344" s="34" t="s">
        <v>99</v>
      </c>
      <c r="G344" s="51"/>
      <c r="H344" s="48"/>
      <c r="I344" s="114"/>
      <c r="J344" s="27"/>
    </row>
    <row r="345" spans="1:10" ht="24.9" hidden="1" customHeight="1" x14ac:dyDescent="0.3">
      <c r="A345" s="32" t="s">
        <v>546</v>
      </c>
      <c r="B345" s="33" t="s">
        <v>595</v>
      </c>
      <c r="C345" s="33" t="s">
        <v>548</v>
      </c>
      <c r="D345" s="33" t="s">
        <v>585</v>
      </c>
      <c r="E345" s="33" t="s">
        <v>788</v>
      </c>
      <c r="F345" s="34" t="s">
        <v>99</v>
      </c>
      <c r="G345" s="51"/>
      <c r="H345" s="48"/>
      <c r="I345" s="114"/>
      <c r="J345" s="27"/>
    </row>
    <row r="346" spans="1:10" ht="24.9" hidden="1" customHeight="1" x14ac:dyDescent="0.3">
      <c r="A346" s="32" t="s">
        <v>546</v>
      </c>
      <c r="B346" s="33" t="s">
        <v>595</v>
      </c>
      <c r="C346" s="33" t="s">
        <v>548</v>
      </c>
      <c r="D346" s="33" t="s">
        <v>585</v>
      </c>
      <c r="E346" s="33" t="s">
        <v>588</v>
      </c>
      <c r="F346" s="34" t="s">
        <v>99</v>
      </c>
      <c r="G346" s="51"/>
      <c r="H346" s="48"/>
      <c r="I346" s="114"/>
      <c r="J346" s="27"/>
    </row>
    <row r="347" spans="1:10" ht="24.9" customHeight="1" x14ac:dyDescent="0.3">
      <c r="A347" s="32" t="s">
        <v>546</v>
      </c>
      <c r="B347" s="33" t="s">
        <v>595</v>
      </c>
      <c r="C347" s="33" t="s">
        <v>548</v>
      </c>
      <c r="D347" s="33" t="s">
        <v>585</v>
      </c>
      <c r="E347" s="33" t="s">
        <v>587</v>
      </c>
      <c r="F347" s="34" t="s">
        <v>127</v>
      </c>
      <c r="G347" s="51"/>
      <c r="H347" s="48"/>
      <c r="I347" s="114"/>
      <c r="J347" s="27"/>
    </row>
    <row r="348" spans="1:10" ht="24.9" customHeight="1" x14ac:dyDescent="0.3">
      <c r="A348" s="32" t="s">
        <v>546</v>
      </c>
      <c r="B348" s="33" t="s">
        <v>595</v>
      </c>
      <c r="C348" s="33" t="s">
        <v>548</v>
      </c>
      <c r="D348" s="33" t="s">
        <v>585</v>
      </c>
      <c r="E348" s="33" t="s">
        <v>590</v>
      </c>
      <c r="F348" s="34" t="s">
        <v>127</v>
      </c>
      <c r="G348" s="51"/>
      <c r="H348" s="48"/>
      <c r="I348" s="114"/>
      <c r="J348" s="27"/>
    </row>
    <row r="349" spans="1:10" ht="24.9" customHeight="1" x14ac:dyDescent="0.3">
      <c r="A349" s="32" t="s">
        <v>546</v>
      </c>
      <c r="B349" s="33" t="s">
        <v>547</v>
      </c>
      <c r="C349" s="33" t="s">
        <v>548</v>
      </c>
      <c r="D349" s="33" t="s">
        <v>549</v>
      </c>
      <c r="E349" s="33" t="s">
        <v>225</v>
      </c>
      <c r="F349" s="34" t="s">
        <v>673</v>
      </c>
      <c r="G349" s="51"/>
      <c r="H349" s="51" t="s">
        <v>850</v>
      </c>
      <c r="I349" s="114" t="s">
        <v>234</v>
      </c>
      <c r="J349" s="27"/>
    </row>
    <row r="350" spans="1:10" ht="24.9" customHeight="1" x14ac:dyDescent="0.3">
      <c r="A350" s="32" t="s">
        <v>546</v>
      </c>
      <c r="B350" s="33" t="s">
        <v>547</v>
      </c>
      <c r="C350" s="33" t="s">
        <v>548</v>
      </c>
      <c r="D350" s="33" t="s">
        <v>549</v>
      </c>
      <c r="E350" s="33" t="s">
        <v>577</v>
      </c>
      <c r="F350" s="34" t="s">
        <v>167</v>
      </c>
      <c r="G350" s="51"/>
      <c r="H350" s="48"/>
      <c r="I350" s="114"/>
      <c r="J350" s="27"/>
    </row>
    <row r="351" spans="1:10" ht="24.9" customHeight="1" x14ac:dyDescent="0.3">
      <c r="A351" s="32" t="s">
        <v>546</v>
      </c>
      <c r="B351" s="33" t="s">
        <v>547</v>
      </c>
      <c r="C351" s="33" t="s">
        <v>548</v>
      </c>
      <c r="D351" s="33" t="s">
        <v>549</v>
      </c>
      <c r="E351" s="33" t="s">
        <v>578</v>
      </c>
      <c r="F351" s="34" t="s">
        <v>127</v>
      </c>
      <c r="G351" s="51"/>
      <c r="H351" s="48"/>
      <c r="I351" s="114"/>
      <c r="J351" s="27"/>
    </row>
    <row r="352" spans="1:10" ht="24.9" customHeight="1" x14ac:dyDescent="0.3">
      <c r="A352" s="32" t="s">
        <v>546</v>
      </c>
      <c r="B352" s="33" t="s">
        <v>564</v>
      </c>
      <c r="C352" s="33" t="s">
        <v>548</v>
      </c>
      <c r="D352" s="33" t="s">
        <v>565</v>
      </c>
      <c r="E352" s="33" t="s">
        <v>764</v>
      </c>
      <c r="F352" s="34" t="s">
        <v>167</v>
      </c>
      <c r="G352" s="40"/>
      <c r="H352" s="48"/>
      <c r="I352" s="114"/>
      <c r="J352" s="27"/>
    </row>
    <row r="353" spans="1:10" ht="24.9" hidden="1" customHeight="1" x14ac:dyDescent="0.3">
      <c r="A353" s="32" t="s">
        <v>546</v>
      </c>
      <c r="B353" s="33" t="s">
        <v>564</v>
      </c>
      <c r="C353" s="33" t="s">
        <v>548</v>
      </c>
      <c r="D353" s="33" t="s">
        <v>565</v>
      </c>
      <c r="E353" s="33" t="s">
        <v>787</v>
      </c>
      <c r="F353" s="34" t="s">
        <v>99</v>
      </c>
      <c r="G353" s="40"/>
      <c r="H353" s="51" t="s">
        <v>543</v>
      </c>
      <c r="I353" s="114"/>
      <c r="J353" s="27"/>
    </row>
    <row r="354" spans="1:10" ht="24.9" customHeight="1" x14ac:dyDescent="0.3">
      <c r="A354" s="32" t="s">
        <v>546</v>
      </c>
      <c r="B354" s="33" t="s">
        <v>564</v>
      </c>
      <c r="C354" s="33" t="s">
        <v>548</v>
      </c>
      <c r="D354" s="33" t="s">
        <v>565</v>
      </c>
      <c r="E354" s="33" t="s">
        <v>566</v>
      </c>
      <c r="F354" s="34" t="s">
        <v>127</v>
      </c>
      <c r="G354" s="40"/>
      <c r="H354" s="48"/>
      <c r="I354" s="114"/>
      <c r="J354" s="27"/>
    </row>
    <row r="355" spans="1:10" ht="24.9" customHeight="1" x14ac:dyDescent="0.3">
      <c r="A355" s="32" t="s">
        <v>546</v>
      </c>
      <c r="B355" s="33" t="s">
        <v>564</v>
      </c>
      <c r="C355" s="33" t="s">
        <v>548</v>
      </c>
      <c r="D355" s="33" t="s">
        <v>565</v>
      </c>
      <c r="E355" s="33" t="s">
        <v>225</v>
      </c>
      <c r="F355" s="34" t="s">
        <v>673</v>
      </c>
      <c r="G355" s="40"/>
      <c r="H355" s="51" t="s">
        <v>227</v>
      </c>
      <c r="I355" s="114" t="s">
        <v>226</v>
      </c>
      <c r="J355" s="27"/>
    </row>
    <row r="356" spans="1:10" ht="24.9" customHeight="1" x14ac:dyDescent="0.3">
      <c r="A356" s="32" t="s">
        <v>546</v>
      </c>
      <c r="B356" s="33" t="s">
        <v>571</v>
      </c>
      <c r="C356" s="33" t="s">
        <v>548</v>
      </c>
      <c r="D356" s="33" t="s">
        <v>572</v>
      </c>
      <c r="E356" s="33" t="s">
        <v>764</v>
      </c>
      <c r="F356" s="34" t="s">
        <v>167</v>
      </c>
      <c r="G356" s="40"/>
      <c r="H356" s="48"/>
      <c r="I356" s="114"/>
      <c r="J356" s="27"/>
    </row>
    <row r="357" spans="1:10" ht="24.9" hidden="1" customHeight="1" x14ac:dyDescent="0.3">
      <c r="A357" s="32" t="s">
        <v>546</v>
      </c>
      <c r="B357" s="33" t="s">
        <v>571</v>
      </c>
      <c r="C357" s="33" t="s">
        <v>548</v>
      </c>
      <c r="D357" s="33" t="s">
        <v>572</v>
      </c>
      <c r="E357" s="33" t="s">
        <v>787</v>
      </c>
      <c r="F357" s="34" t="s">
        <v>99</v>
      </c>
      <c r="G357" s="40"/>
      <c r="H357" s="51" t="s">
        <v>543</v>
      </c>
      <c r="I357" s="114"/>
      <c r="J357" s="27"/>
    </row>
    <row r="358" spans="1:10" ht="24.9" customHeight="1" x14ac:dyDescent="0.3">
      <c r="A358" s="32" t="s">
        <v>546</v>
      </c>
      <c r="B358" s="33" t="s">
        <v>571</v>
      </c>
      <c r="C358" s="33" t="s">
        <v>548</v>
      </c>
      <c r="D358" s="33" t="s">
        <v>572</v>
      </c>
      <c r="E358" s="33" t="s">
        <v>566</v>
      </c>
      <c r="F358" s="34" t="s">
        <v>127</v>
      </c>
      <c r="G358" s="40"/>
      <c r="H358" s="48"/>
      <c r="I358" s="114"/>
      <c r="J358" s="27"/>
    </row>
    <row r="359" spans="1:10" ht="24.9" customHeight="1" x14ac:dyDescent="0.3">
      <c r="A359" s="32" t="s">
        <v>546</v>
      </c>
      <c r="B359" s="33" t="s">
        <v>571</v>
      </c>
      <c r="C359" s="33" t="s">
        <v>548</v>
      </c>
      <c r="D359" s="33" t="s">
        <v>572</v>
      </c>
      <c r="E359" s="33" t="s">
        <v>225</v>
      </c>
      <c r="F359" s="34" t="s">
        <v>673</v>
      </c>
      <c r="G359" s="40"/>
      <c r="H359" s="51" t="s">
        <v>227</v>
      </c>
      <c r="I359" s="114" t="s">
        <v>226</v>
      </c>
      <c r="J359" s="27"/>
    </row>
    <row r="360" spans="1:10" ht="24.9" hidden="1" customHeight="1" x14ac:dyDescent="0.3">
      <c r="A360" s="32" t="s">
        <v>599</v>
      </c>
      <c r="B360" s="33" t="s">
        <v>624</v>
      </c>
      <c r="C360" s="33" t="s">
        <v>551</v>
      </c>
      <c r="D360" s="33" t="s">
        <v>625</v>
      </c>
      <c r="E360" s="33" t="s">
        <v>626</v>
      </c>
      <c r="F360" s="34" t="s">
        <v>99</v>
      </c>
      <c r="G360" s="40"/>
      <c r="H360" s="48"/>
      <c r="I360" s="114"/>
      <c r="J360" s="27"/>
    </row>
    <row r="361" spans="1:10" ht="24.9" hidden="1" customHeight="1" x14ac:dyDescent="0.3">
      <c r="A361" s="32" t="s">
        <v>599</v>
      </c>
      <c r="B361" s="33" t="s">
        <v>624</v>
      </c>
      <c r="C361" s="33" t="s">
        <v>551</v>
      </c>
      <c r="D361" s="33" t="s">
        <v>625</v>
      </c>
      <c r="E361" s="33" t="s">
        <v>790</v>
      </c>
      <c r="F361" s="34" t="s">
        <v>99</v>
      </c>
      <c r="G361" s="40"/>
      <c r="H361" s="48"/>
      <c r="I361" s="114"/>
      <c r="J361" s="27"/>
    </row>
    <row r="362" spans="1:10" ht="24.9" hidden="1" customHeight="1" x14ac:dyDescent="0.3">
      <c r="A362" s="32" t="s">
        <v>599</v>
      </c>
      <c r="B362" s="33" t="s">
        <v>624</v>
      </c>
      <c r="C362" s="33" t="s">
        <v>551</v>
      </c>
      <c r="D362" s="33" t="s">
        <v>625</v>
      </c>
      <c r="E362" s="33" t="s">
        <v>628</v>
      </c>
      <c r="F362" s="34" t="s">
        <v>99</v>
      </c>
      <c r="G362" s="40"/>
      <c r="H362" s="48"/>
      <c r="I362" s="114"/>
      <c r="J362" s="27"/>
    </row>
    <row r="363" spans="1:10" ht="24.9" hidden="1" customHeight="1" x14ac:dyDescent="0.3">
      <c r="A363" s="32" t="s">
        <v>599</v>
      </c>
      <c r="B363" s="33" t="s">
        <v>624</v>
      </c>
      <c r="C363" s="33" t="s">
        <v>551</v>
      </c>
      <c r="D363" s="33" t="s">
        <v>625</v>
      </c>
      <c r="E363" s="33" t="s">
        <v>632</v>
      </c>
      <c r="F363" s="34" t="s">
        <v>99</v>
      </c>
      <c r="G363" s="40"/>
      <c r="H363" s="48"/>
      <c r="I363" s="114"/>
      <c r="J363" s="27"/>
    </row>
    <row r="364" spans="1:10" ht="24.9" hidden="1" customHeight="1" x14ac:dyDescent="0.3">
      <c r="A364" s="32" t="s">
        <v>599</v>
      </c>
      <c r="B364" s="33" t="s">
        <v>624</v>
      </c>
      <c r="C364" s="33" t="s">
        <v>551</v>
      </c>
      <c r="D364" s="33" t="s">
        <v>625</v>
      </c>
      <c r="E364" s="33" t="s">
        <v>792</v>
      </c>
      <c r="F364" s="34" t="s">
        <v>99</v>
      </c>
      <c r="G364" s="40"/>
      <c r="H364" s="48"/>
      <c r="I364" s="114"/>
      <c r="J364" s="27"/>
    </row>
    <row r="365" spans="1:10" ht="24.9" hidden="1" customHeight="1" x14ac:dyDescent="0.3">
      <c r="A365" s="32" t="s">
        <v>599</v>
      </c>
      <c r="B365" s="33" t="s">
        <v>624</v>
      </c>
      <c r="C365" s="33" t="s">
        <v>551</v>
      </c>
      <c r="D365" s="33" t="s">
        <v>625</v>
      </c>
      <c r="E365" s="33" t="s">
        <v>588</v>
      </c>
      <c r="F365" s="34" t="s">
        <v>99</v>
      </c>
      <c r="G365" s="40"/>
      <c r="H365" s="48"/>
      <c r="I365" s="114"/>
      <c r="J365" s="27"/>
    </row>
    <row r="366" spans="1:10" ht="24.9" hidden="1" customHeight="1" x14ac:dyDescent="0.3">
      <c r="A366" s="32" t="s">
        <v>599</v>
      </c>
      <c r="B366" s="33" t="s">
        <v>624</v>
      </c>
      <c r="C366" s="33" t="s">
        <v>551</v>
      </c>
      <c r="D366" s="33" t="s">
        <v>625</v>
      </c>
      <c r="E366" s="33" t="s">
        <v>633</v>
      </c>
      <c r="F366" s="34" t="s">
        <v>99</v>
      </c>
      <c r="G366" s="40"/>
      <c r="H366" s="48"/>
      <c r="I366" s="114"/>
      <c r="J366" s="27"/>
    </row>
    <row r="367" spans="1:10" ht="24.9" hidden="1" customHeight="1" x14ac:dyDescent="0.3">
      <c r="A367" s="32" t="s">
        <v>599</v>
      </c>
      <c r="B367" s="33" t="s">
        <v>624</v>
      </c>
      <c r="C367" s="33" t="s">
        <v>551</v>
      </c>
      <c r="D367" s="33" t="s">
        <v>625</v>
      </c>
      <c r="E367" s="33" t="s">
        <v>634</v>
      </c>
      <c r="F367" s="34" t="s">
        <v>99</v>
      </c>
      <c r="G367" s="40"/>
      <c r="H367" s="48"/>
      <c r="I367" s="114"/>
      <c r="J367" s="27"/>
    </row>
    <row r="368" spans="1:10" ht="24.9" customHeight="1" x14ac:dyDescent="0.3">
      <c r="A368" s="32" t="s">
        <v>599</v>
      </c>
      <c r="B368" s="33" t="s">
        <v>624</v>
      </c>
      <c r="C368" s="33" t="s">
        <v>551</v>
      </c>
      <c r="D368" s="33" t="s">
        <v>625</v>
      </c>
      <c r="E368" s="33" t="s">
        <v>627</v>
      </c>
      <c r="F368" s="34" t="s">
        <v>127</v>
      </c>
      <c r="G368" s="40"/>
      <c r="H368" s="48"/>
      <c r="I368" s="114"/>
      <c r="J368" s="27"/>
    </row>
    <row r="369" spans="1:10" ht="24.9" customHeight="1" x14ac:dyDescent="0.3">
      <c r="A369" s="32" t="s">
        <v>599</v>
      </c>
      <c r="B369" s="33" t="s">
        <v>624</v>
      </c>
      <c r="C369" s="33" t="s">
        <v>551</v>
      </c>
      <c r="D369" s="33" t="s">
        <v>625</v>
      </c>
      <c r="E369" s="33" t="s">
        <v>629</v>
      </c>
      <c r="F369" s="34" t="s">
        <v>127</v>
      </c>
      <c r="G369" s="40"/>
      <c r="H369" s="48"/>
      <c r="I369" s="114"/>
      <c r="J369" s="27"/>
    </row>
    <row r="370" spans="1:10" ht="24.9" customHeight="1" x14ac:dyDescent="0.3">
      <c r="A370" s="32" t="s">
        <v>599</v>
      </c>
      <c r="B370" s="33" t="s">
        <v>624</v>
      </c>
      <c r="C370" s="33" t="s">
        <v>551</v>
      </c>
      <c r="D370" s="33" t="s">
        <v>625</v>
      </c>
      <c r="E370" s="33" t="s">
        <v>630</v>
      </c>
      <c r="F370" s="34" t="s">
        <v>127</v>
      </c>
      <c r="G370" s="40"/>
      <c r="H370" s="48"/>
      <c r="I370" s="114"/>
      <c r="J370" s="27"/>
    </row>
    <row r="371" spans="1:10" ht="24.9" customHeight="1" x14ac:dyDescent="0.3">
      <c r="A371" s="32" t="s">
        <v>599</v>
      </c>
      <c r="B371" s="33" t="s">
        <v>624</v>
      </c>
      <c r="C371" s="33" t="s">
        <v>551</v>
      </c>
      <c r="D371" s="33" t="s">
        <v>625</v>
      </c>
      <c r="E371" s="33" t="s">
        <v>631</v>
      </c>
      <c r="F371" s="34" t="s">
        <v>127</v>
      </c>
      <c r="G371" s="40"/>
      <c r="H371" s="48"/>
      <c r="I371" s="114"/>
      <c r="J371" s="27"/>
    </row>
    <row r="372" spans="1:10" ht="24.9" customHeight="1" x14ac:dyDescent="0.3">
      <c r="A372" s="32" t="s">
        <v>599</v>
      </c>
      <c r="B372" s="33" t="s">
        <v>624</v>
      </c>
      <c r="C372" s="33" t="s">
        <v>551</v>
      </c>
      <c r="D372" s="33" t="s">
        <v>625</v>
      </c>
      <c r="E372" s="33" t="s">
        <v>791</v>
      </c>
      <c r="F372" s="34" t="s">
        <v>127</v>
      </c>
      <c r="G372" s="40"/>
      <c r="H372" s="48"/>
      <c r="I372" s="114"/>
      <c r="J372" s="27"/>
    </row>
    <row r="373" spans="1:10" ht="24.9" hidden="1" customHeight="1" x14ac:dyDescent="0.3">
      <c r="A373" s="32" t="s">
        <v>599</v>
      </c>
      <c r="B373" s="33" t="s">
        <v>640</v>
      </c>
      <c r="C373" s="33" t="s">
        <v>551</v>
      </c>
      <c r="D373" s="33" t="s">
        <v>641</v>
      </c>
      <c r="E373" s="33" t="s">
        <v>642</v>
      </c>
      <c r="F373" s="34" t="s">
        <v>99</v>
      </c>
      <c r="G373" s="40"/>
      <c r="H373" s="48"/>
      <c r="I373" s="114"/>
      <c r="J373" s="27"/>
    </row>
    <row r="374" spans="1:10" ht="24.9" hidden="1" customHeight="1" x14ac:dyDescent="0.3">
      <c r="A374" s="32" t="s">
        <v>599</v>
      </c>
      <c r="B374" s="33" t="s">
        <v>611</v>
      </c>
      <c r="C374" s="33" t="s">
        <v>551</v>
      </c>
      <c r="D374" s="33" t="s">
        <v>601</v>
      </c>
      <c r="E374" s="33" t="s">
        <v>789</v>
      </c>
      <c r="F374" s="34" t="s">
        <v>99</v>
      </c>
      <c r="G374" s="40"/>
      <c r="H374" s="51" t="s">
        <v>612</v>
      </c>
      <c r="I374" s="114"/>
      <c r="J374" s="27"/>
    </row>
    <row r="375" spans="1:10" ht="24.9" hidden="1" customHeight="1" x14ac:dyDescent="0.3">
      <c r="A375" s="32" t="s">
        <v>599</v>
      </c>
      <c r="B375" s="33" t="s">
        <v>611</v>
      </c>
      <c r="C375" s="33" t="s">
        <v>551</v>
      </c>
      <c r="D375" s="33" t="s">
        <v>601</v>
      </c>
      <c r="E375" s="33" t="s">
        <v>617</v>
      </c>
      <c r="F375" s="34" t="s">
        <v>99</v>
      </c>
      <c r="G375" s="40"/>
      <c r="H375" s="48"/>
      <c r="I375" s="114"/>
      <c r="J375" s="27"/>
    </row>
    <row r="376" spans="1:10" ht="24.9" hidden="1" customHeight="1" x14ac:dyDescent="0.3">
      <c r="A376" s="32" t="s">
        <v>599</v>
      </c>
      <c r="B376" s="33" t="s">
        <v>611</v>
      </c>
      <c r="C376" s="33" t="s">
        <v>551</v>
      </c>
      <c r="D376" s="33" t="s">
        <v>601</v>
      </c>
      <c r="E376" s="33" t="s">
        <v>618</v>
      </c>
      <c r="F376" s="34" t="s">
        <v>99</v>
      </c>
      <c r="G376" s="40"/>
      <c r="H376" s="48"/>
      <c r="I376" s="114"/>
      <c r="J376" s="27"/>
    </row>
    <row r="377" spans="1:10" ht="24.9" hidden="1" customHeight="1" x14ac:dyDescent="0.3">
      <c r="A377" s="32" t="s">
        <v>599</v>
      </c>
      <c r="B377" s="33" t="s">
        <v>611</v>
      </c>
      <c r="C377" s="33" t="s">
        <v>551</v>
      </c>
      <c r="D377" s="33" t="s">
        <v>601</v>
      </c>
      <c r="E377" s="33" t="s">
        <v>619</v>
      </c>
      <c r="F377" s="34" t="s">
        <v>99</v>
      </c>
      <c r="G377" s="40"/>
      <c r="H377" s="48"/>
      <c r="I377" s="114"/>
      <c r="J377" s="27"/>
    </row>
    <row r="378" spans="1:10" ht="24.9" customHeight="1" x14ac:dyDescent="0.3">
      <c r="A378" s="32" t="s">
        <v>599</v>
      </c>
      <c r="B378" s="33" t="s">
        <v>611</v>
      </c>
      <c r="C378" s="33" t="s">
        <v>551</v>
      </c>
      <c r="D378" s="33" t="s">
        <v>601</v>
      </c>
      <c r="E378" s="33" t="s">
        <v>602</v>
      </c>
      <c r="F378" s="34" t="s">
        <v>673</v>
      </c>
      <c r="G378" s="40"/>
      <c r="H378" s="51" t="s">
        <v>603</v>
      </c>
      <c r="I378" s="114" t="s">
        <v>604</v>
      </c>
      <c r="J378" s="27"/>
    </row>
    <row r="379" spans="1:10" ht="24.9" customHeight="1" x14ac:dyDescent="0.3">
      <c r="A379" s="32" t="s">
        <v>599</v>
      </c>
      <c r="B379" s="33" t="s">
        <v>611</v>
      </c>
      <c r="C379" s="33" t="s">
        <v>551</v>
      </c>
      <c r="D379" s="33" t="s">
        <v>601</v>
      </c>
      <c r="E379" s="33" t="s">
        <v>793</v>
      </c>
      <c r="F379" s="34" t="s">
        <v>673</v>
      </c>
      <c r="G379" s="40"/>
      <c r="H379" s="51" t="s">
        <v>227</v>
      </c>
      <c r="I379" s="114" t="s">
        <v>649</v>
      </c>
      <c r="J379" s="27"/>
    </row>
    <row r="380" spans="1:10" ht="24.9" hidden="1" customHeight="1" x14ac:dyDescent="0.3">
      <c r="A380" s="32" t="s">
        <v>599</v>
      </c>
      <c r="B380" s="33" t="s">
        <v>635</v>
      </c>
      <c r="C380" s="33" t="s">
        <v>554</v>
      </c>
      <c r="D380" s="33" t="s">
        <v>625</v>
      </c>
      <c r="E380" s="33" t="s">
        <v>626</v>
      </c>
      <c r="F380" s="34" t="s">
        <v>99</v>
      </c>
      <c r="G380" s="40"/>
      <c r="H380" s="48"/>
      <c r="I380" s="114"/>
      <c r="J380" s="27"/>
    </row>
    <row r="381" spans="1:10" ht="24.9" hidden="1" customHeight="1" x14ac:dyDescent="0.3">
      <c r="A381" s="32" t="s">
        <v>599</v>
      </c>
      <c r="B381" s="33" t="s">
        <v>635</v>
      </c>
      <c r="C381" s="33" t="s">
        <v>554</v>
      </c>
      <c r="D381" s="33" t="s">
        <v>625</v>
      </c>
      <c r="E381" s="33" t="s">
        <v>790</v>
      </c>
      <c r="F381" s="34" t="s">
        <v>99</v>
      </c>
      <c r="G381" s="40"/>
      <c r="H381" s="48"/>
      <c r="I381" s="114"/>
      <c r="J381" s="27"/>
    </row>
    <row r="382" spans="1:10" ht="24.9" hidden="1" customHeight="1" x14ac:dyDescent="0.3">
      <c r="A382" s="32" t="s">
        <v>599</v>
      </c>
      <c r="B382" s="33" t="s">
        <v>635</v>
      </c>
      <c r="C382" s="33" t="s">
        <v>554</v>
      </c>
      <c r="D382" s="33" t="s">
        <v>625</v>
      </c>
      <c r="E382" s="33" t="s">
        <v>628</v>
      </c>
      <c r="F382" s="34" t="s">
        <v>99</v>
      </c>
      <c r="G382" s="40"/>
      <c r="H382" s="48"/>
      <c r="I382" s="114"/>
      <c r="J382" s="27"/>
    </row>
    <row r="383" spans="1:10" ht="24.9" hidden="1" customHeight="1" x14ac:dyDescent="0.3">
      <c r="A383" s="32" t="s">
        <v>599</v>
      </c>
      <c r="B383" s="33" t="s">
        <v>635</v>
      </c>
      <c r="C383" s="33" t="s">
        <v>554</v>
      </c>
      <c r="D383" s="33" t="s">
        <v>625</v>
      </c>
      <c r="E383" s="33" t="s">
        <v>632</v>
      </c>
      <c r="F383" s="34" t="s">
        <v>99</v>
      </c>
      <c r="G383" s="40"/>
      <c r="H383" s="48"/>
      <c r="I383" s="114"/>
      <c r="J383" s="27"/>
    </row>
    <row r="384" spans="1:10" ht="24.9" hidden="1" customHeight="1" x14ac:dyDescent="0.3">
      <c r="A384" s="32" t="s">
        <v>599</v>
      </c>
      <c r="B384" s="33" t="s">
        <v>635</v>
      </c>
      <c r="C384" s="33" t="s">
        <v>554</v>
      </c>
      <c r="D384" s="33" t="s">
        <v>625</v>
      </c>
      <c r="E384" s="33" t="s">
        <v>792</v>
      </c>
      <c r="F384" s="34" t="s">
        <v>99</v>
      </c>
      <c r="G384" s="40"/>
      <c r="H384" s="48"/>
      <c r="I384" s="114"/>
      <c r="J384" s="27"/>
    </row>
    <row r="385" spans="1:10" ht="24.9" hidden="1" customHeight="1" x14ac:dyDescent="0.3">
      <c r="A385" s="32" t="s">
        <v>599</v>
      </c>
      <c r="B385" s="33" t="s">
        <v>635</v>
      </c>
      <c r="C385" s="33" t="s">
        <v>554</v>
      </c>
      <c r="D385" s="33" t="s">
        <v>625</v>
      </c>
      <c r="E385" s="33" t="s">
        <v>588</v>
      </c>
      <c r="F385" s="34" t="s">
        <v>99</v>
      </c>
      <c r="G385" s="40"/>
      <c r="H385" s="48"/>
      <c r="I385" s="114"/>
      <c r="J385" s="27"/>
    </row>
    <row r="386" spans="1:10" ht="24.9" hidden="1" customHeight="1" x14ac:dyDescent="0.3">
      <c r="A386" s="32" t="s">
        <v>599</v>
      </c>
      <c r="B386" s="33" t="s">
        <v>635</v>
      </c>
      <c r="C386" s="33" t="s">
        <v>554</v>
      </c>
      <c r="D386" s="33" t="s">
        <v>625</v>
      </c>
      <c r="E386" s="33" t="s">
        <v>633</v>
      </c>
      <c r="F386" s="34" t="s">
        <v>99</v>
      </c>
      <c r="G386" s="40"/>
      <c r="H386" s="48"/>
      <c r="I386" s="114"/>
      <c r="J386" s="27"/>
    </row>
    <row r="387" spans="1:10" ht="24.9" hidden="1" customHeight="1" x14ac:dyDescent="0.3">
      <c r="A387" s="32" t="s">
        <v>599</v>
      </c>
      <c r="B387" s="33" t="s">
        <v>635</v>
      </c>
      <c r="C387" s="33" t="s">
        <v>554</v>
      </c>
      <c r="D387" s="33" t="s">
        <v>625</v>
      </c>
      <c r="E387" s="33" t="s">
        <v>634</v>
      </c>
      <c r="F387" s="34" t="s">
        <v>99</v>
      </c>
      <c r="G387" s="40"/>
      <c r="H387" s="48"/>
      <c r="I387" s="114"/>
      <c r="J387" s="27"/>
    </row>
    <row r="388" spans="1:10" ht="24.9" customHeight="1" x14ac:dyDescent="0.3">
      <c r="A388" s="32" t="s">
        <v>599</v>
      </c>
      <c r="B388" s="33" t="s">
        <v>635</v>
      </c>
      <c r="C388" s="33" t="s">
        <v>554</v>
      </c>
      <c r="D388" s="33" t="s">
        <v>625</v>
      </c>
      <c r="E388" s="33" t="s">
        <v>627</v>
      </c>
      <c r="F388" s="34" t="s">
        <v>127</v>
      </c>
      <c r="G388" s="40"/>
      <c r="H388" s="48"/>
      <c r="I388" s="114"/>
      <c r="J388" s="27"/>
    </row>
    <row r="389" spans="1:10" ht="24.9" customHeight="1" x14ac:dyDescent="0.3">
      <c r="A389" s="32" t="s">
        <v>599</v>
      </c>
      <c r="B389" s="33" t="s">
        <v>635</v>
      </c>
      <c r="C389" s="33" t="s">
        <v>554</v>
      </c>
      <c r="D389" s="33" t="s">
        <v>625</v>
      </c>
      <c r="E389" s="33" t="s">
        <v>629</v>
      </c>
      <c r="F389" s="34" t="s">
        <v>127</v>
      </c>
      <c r="G389" s="40"/>
      <c r="H389" s="48"/>
      <c r="I389" s="114"/>
      <c r="J389" s="27"/>
    </row>
    <row r="390" spans="1:10" ht="24.9" customHeight="1" x14ac:dyDescent="0.3">
      <c r="A390" s="32" t="s">
        <v>599</v>
      </c>
      <c r="B390" s="33" t="s">
        <v>635</v>
      </c>
      <c r="C390" s="33" t="s">
        <v>554</v>
      </c>
      <c r="D390" s="33" t="s">
        <v>625</v>
      </c>
      <c r="E390" s="33" t="s">
        <v>630</v>
      </c>
      <c r="F390" s="34" t="s">
        <v>127</v>
      </c>
      <c r="G390" s="40"/>
      <c r="H390" s="53"/>
      <c r="I390" s="114"/>
      <c r="J390" s="27"/>
    </row>
    <row r="391" spans="1:10" ht="24.9" customHeight="1" x14ac:dyDescent="0.3">
      <c r="A391" s="32" t="s">
        <v>599</v>
      </c>
      <c r="B391" s="33" t="s">
        <v>635</v>
      </c>
      <c r="C391" s="33" t="s">
        <v>554</v>
      </c>
      <c r="D391" s="33" t="s">
        <v>625</v>
      </c>
      <c r="E391" s="33" t="s">
        <v>631</v>
      </c>
      <c r="F391" s="34" t="s">
        <v>127</v>
      </c>
      <c r="G391" s="40"/>
      <c r="H391" s="53"/>
      <c r="I391" s="114"/>
      <c r="J391" s="27"/>
    </row>
    <row r="392" spans="1:10" ht="24.9" customHeight="1" x14ac:dyDescent="0.3">
      <c r="A392" s="32" t="s">
        <v>599</v>
      </c>
      <c r="B392" s="33" t="s">
        <v>635</v>
      </c>
      <c r="C392" s="33" t="s">
        <v>554</v>
      </c>
      <c r="D392" s="33" t="s">
        <v>625</v>
      </c>
      <c r="E392" s="33" t="s">
        <v>791</v>
      </c>
      <c r="F392" s="34" t="s">
        <v>127</v>
      </c>
      <c r="G392" s="40"/>
      <c r="H392" s="53"/>
      <c r="I392" s="114"/>
      <c r="J392" s="27"/>
    </row>
    <row r="393" spans="1:10" ht="24.9" hidden="1" customHeight="1" x14ac:dyDescent="0.3">
      <c r="A393" s="32" t="s">
        <v>599</v>
      </c>
      <c r="B393" s="33" t="s">
        <v>643</v>
      </c>
      <c r="C393" s="33" t="s">
        <v>554</v>
      </c>
      <c r="D393" s="33" t="s">
        <v>641</v>
      </c>
      <c r="E393" s="33" t="s">
        <v>642</v>
      </c>
      <c r="F393" s="34" t="s">
        <v>99</v>
      </c>
      <c r="G393" s="40"/>
      <c r="H393" s="53"/>
      <c r="I393" s="114"/>
      <c r="J393" s="27"/>
    </row>
    <row r="394" spans="1:10" ht="24.9" hidden="1" customHeight="1" x14ac:dyDescent="0.3">
      <c r="A394" s="32" t="s">
        <v>599</v>
      </c>
      <c r="B394" s="33" t="s">
        <v>613</v>
      </c>
      <c r="C394" s="33" t="s">
        <v>554</v>
      </c>
      <c r="D394" s="33" t="s">
        <v>601</v>
      </c>
      <c r="E394" s="33" t="s">
        <v>789</v>
      </c>
      <c r="F394" s="34" t="s">
        <v>99</v>
      </c>
      <c r="G394" s="40"/>
      <c r="H394" s="40" t="s">
        <v>612</v>
      </c>
      <c r="I394" s="114"/>
      <c r="J394" s="27"/>
    </row>
    <row r="395" spans="1:10" ht="24.9" hidden="1" customHeight="1" x14ac:dyDescent="0.3">
      <c r="A395" s="32" t="s">
        <v>599</v>
      </c>
      <c r="B395" s="33" t="s">
        <v>613</v>
      </c>
      <c r="C395" s="33" t="s">
        <v>554</v>
      </c>
      <c r="D395" s="33" t="s">
        <v>601</v>
      </c>
      <c r="E395" s="33" t="s">
        <v>617</v>
      </c>
      <c r="F395" s="34" t="s">
        <v>99</v>
      </c>
      <c r="G395" s="40"/>
      <c r="H395" s="48"/>
      <c r="I395" s="114"/>
      <c r="J395" s="27"/>
    </row>
    <row r="396" spans="1:10" ht="24.9" hidden="1" customHeight="1" x14ac:dyDescent="0.3">
      <c r="A396" s="32" t="s">
        <v>599</v>
      </c>
      <c r="B396" s="33" t="s">
        <v>613</v>
      </c>
      <c r="C396" s="33" t="s">
        <v>554</v>
      </c>
      <c r="D396" s="33" t="s">
        <v>601</v>
      </c>
      <c r="E396" s="33" t="s">
        <v>618</v>
      </c>
      <c r="F396" s="34" t="s">
        <v>99</v>
      </c>
      <c r="G396" s="40"/>
      <c r="H396" s="48"/>
      <c r="I396" s="114"/>
      <c r="J396" s="27"/>
    </row>
    <row r="397" spans="1:10" ht="24.9" hidden="1" customHeight="1" x14ac:dyDescent="0.3">
      <c r="A397" s="32" t="s">
        <v>599</v>
      </c>
      <c r="B397" s="33" t="s">
        <v>613</v>
      </c>
      <c r="C397" s="33" t="s">
        <v>554</v>
      </c>
      <c r="D397" s="33" t="s">
        <v>601</v>
      </c>
      <c r="E397" s="33" t="s">
        <v>619</v>
      </c>
      <c r="F397" s="34" t="s">
        <v>99</v>
      </c>
      <c r="G397" s="40"/>
      <c r="H397" s="48"/>
      <c r="I397" s="114"/>
      <c r="J397" s="27"/>
    </row>
    <row r="398" spans="1:10" ht="24.9" customHeight="1" x14ac:dyDescent="0.3">
      <c r="A398" s="32" t="s">
        <v>599</v>
      </c>
      <c r="B398" s="33" t="s">
        <v>613</v>
      </c>
      <c r="C398" s="33" t="s">
        <v>554</v>
      </c>
      <c r="D398" s="33" t="s">
        <v>601</v>
      </c>
      <c r="E398" s="33" t="s">
        <v>602</v>
      </c>
      <c r="F398" s="34" t="s">
        <v>673</v>
      </c>
      <c r="G398" s="40"/>
      <c r="H398" s="51" t="s">
        <v>603</v>
      </c>
      <c r="I398" s="114" t="s">
        <v>604</v>
      </c>
      <c r="J398" s="27"/>
    </row>
    <row r="399" spans="1:10" ht="24.9" customHeight="1" x14ac:dyDescent="0.3">
      <c r="A399" s="32" t="s">
        <v>599</v>
      </c>
      <c r="B399" s="33" t="s">
        <v>613</v>
      </c>
      <c r="C399" s="33" t="s">
        <v>554</v>
      </c>
      <c r="D399" s="33" t="s">
        <v>601</v>
      </c>
      <c r="E399" s="33" t="s">
        <v>793</v>
      </c>
      <c r="F399" s="34" t="s">
        <v>673</v>
      </c>
      <c r="G399" s="40"/>
      <c r="H399" s="51" t="s">
        <v>227</v>
      </c>
      <c r="I399" s="114" t="s">
        <v>649</v>
      </c>
      <c r="J399" s="27"/>
    </row>
    <row r="400" spans="1:10" ht="24.9" hidden="1" customHeight="1" x14ac:dyDescent="0.3">
      <c r="A400" s="32" t="s">
        <v>599</v>
      </c>
      <c r="B400" s="33" t="s">
        <v>636</v>
      </c>
      <c r="C400" s="33" t="s">
        <v>556</v>
      </c>
      <c r="D400" s="33" t="s">
        <v>625</v>
      </c>
      <c r="E400" s="33" t="s">
        <v>626</v>
      </c>
      <c r="F400" s="34" t="s">
        <v>99</v>
      </c>
      <c r="G400" s="40"/>
      <c r="H400" s="48"/>
      <c r="I400" s="114"/>
      <c r="J400" s="27"/>
    </row>
    <row r="401" spans="1:10" ht="24.9" hidden="1" customHeight="1" x14ac:dyDescent="0.3">
      <c r="A401" s="32" t="s">
        <v>599</v>
      </c>
      <c r="B401" s="33" t="s">
        <v>636</v>
      </c>
      <c r="C401" s="33" t="s">
        <v>556</v>
      </c>
      <c r="D401" s="33" t="s">
        <v>625</v>
      </c>
      <c r="E401" s="33" t="s">
        <v>790</v>
      </c>
      <c r="F401" s="34" t="s">
        <v>99</v>
      </c>
      <c r="G401" s="40"/>
      <c r="H401" s="48"/>
      <c r="I401" s="114"/>
      <c r="J401" s="27"/>
    </row>
    <row r="402" spans="1:10" ht="24.9" hidden="1" customHeight="1" x14ac:dyDescent="0.3">
      <c r="A402" s="32" t="s">
        <v>599</v>
      </c>
      <c r="B402" s="33" t="s">
        <v>636</v>
      </c>
      <c r="C402" s="33" t="s">
        <v>556</v>
      </c>
      <c r="D402" s="33" t="s">
        <v>625</v>
      </c>
      <c r="E402" s="33" t="s">
        <v>628</v>
      </c>
      <c r="F402" s="34" t="s">
        <v>99</v>
      </c>
      <c r="G402" s="40"/>
      <c r="H402" s="53"/>
      <c r="I402" s="114"/>
      <c r="J402" s="27"/>
    </row>
    <row r="403" spans="1:10" ht="24.9" hidden="1" customHeight="1" x14ac:dyDescent="0.3">
      <c r="A403" s="32" t="s">
        <v>599</v>
      </c>
      <c r="B403" s="33" t="s">
        <v>636</v>
      </c>
      <c r="C403" s="33" t="s">
        <v>556</v>
      </c>
      <c r="D403" s="33" t="s">
        <v>625</v>
      </c>
      <c r="E403" s="33" t="s">
        <v>632</v>
      </c>
      <c r="F403" s="34" t="s">
        <v>99</v>
      </c>
      <c r="G403" s="40"/>
      <c r="H403" s="48"/>
      <c r="I403" s="114"/>
      <c r="J403" s="27"/>
    </row>
    <row r="404" spans="1:10" ht="24.9" hidden="1" customHeight="1" x14ac:dyDescent="0.3">
      <c r="A404" s="32" t="s">
        <v>599</v>
      </c>
      <c r="B404" s="33" t="s">
        <v>636</v>
      </c>
      <c r="C404" s="33" t="s">
        <v>556</v>
      </c>
      <c r="D404" s="33" t="s">
        <v>625</v>
      </c>
      <c r="E404" s="33" t="s">
        <v>792</v>
      </c>
      <c r="F404" s="34" t="s">
        <v>99</v>
      </c>
      <c r="G404" s="40"/>
      <c r="H404" s="53"/>
      <c r="I404" s="114"/>
      <c r="J404" s="27"/>
    </row>
    <row r="405" spans="1:10" ht="24.9" hidden="1" customHeight="1" x14ac:dyDescent="0.3">
      <c r="A405" s="32" t="s">
        <v>599</v>
      </c>
      <c r="B405" s="33" t="s">
        <v>636</v>
      </c>
      <c r="C405" s="33" t="s">
        <v>556</v>
      </c>
      <c r="D405" s="33" t="s">
        <v>625</v>
      </c>
      <c r="E405" s="33" t="s">
        <v>588</v>
      </c>
      <c r="F405" s="34" t="s">
        <v>99</v>
      </c>
      <c r="G405" s="40"/>
      <c r="H405" s="53"/>
      <c r="I405" s="114"/>
      <c r="J405" s="27"/>
    </row>
    <row r="406" spans="1:10" ht="24.9" hidden="1" customHeight="1" x14ac:dyDescent="0.3">
      <c r="A406" s="32" t="s">
        <v>599</v>
      </c>
      <c r="B406" s="33" t="s">
        <v>636</v>
      </c>
      <c r="C406" s="33" t="s">
        <v>556</v>
      </c>
      <c r="D406" s="33" t="s">
        <v>625</v>
      </c>
      <c r="E406" s="33" t="s">
        <v>633</v>
      </c>
      <c r="F406" s="34" t="s">
        <v>99</v>
      </c>
      <c r="G406" s="40"/>
      <c r="H406" s="53"/>
      <c r="I406" s="114"/>
      <c r="J406" s="27"/>
    </row>
    <row r="407" spans="1:10" ht="24.9" hidden="1" customHeight="1" x14ac:dyDescent="0.3">
      <c r="A407" s="32" t="s">
        <v>599</v>
      </c>
      <c r="B407" s="33" t="s">
        <v>636</v>
      </c>
      <c r="C407" s="33" t="s">
        <v>556</v>
      </c>
      <c r="D407" s="33" t="s">
        <v>625</v>
      </c>
      <c r="E407" s="33" t="s">
        <v>634</v>
      </c>
      <c r="F407" s="34" t="s">
        <v>99</v>
      </c>
      <c r="G407" s="40"/>
      <c r="H407" s="53"/>
      <c r="I407" s="114"/>
      <c r="J407" s="27"/>
    </row>
    <row r="408" spans="1:10" ht="24.9" customHeight="1" x14ac:dyDescent="0.3">
      <c r="A408" s="32" t="s">
        <v>599</v>
      </c>
      <c r="B408" s="33" t="s">
        <v>636</v>
      </c>
      <c r="C408" s="33" t="s">
        <v>556</v>
      </c>
      <c r="D408" s="33" t="s">
        <v>625</v>
      </c>
      <c r="E408" s="33" t="s">
        <v>627</v>
      </c>
      <c r="F408" s="34" t="s">
        <v>127</v>
      </c>
      <c r="G408" s="40"/>
      <c r="H408" s="53"/>
      <c r="I408" s="114"/>
      <c r="J408" s="27"/>
    </row>
    <row r="409" spans="1:10" ht="24.9" customHeight="1" x14ac:dyDescent="0.3">
      <c r="A409" s="32" t="s">
        <v>599</v>
      </c>
      <c r="B409" s="33" t="s">
        <v>636</v>
      </c>
      <c r="C409" s="33" t="s">
        <v>556</v>
      </c>
      <c r="D409" s="33" t="s">
        <v>625</v>
      </c>
      <c r="E409" s="33" t="s">
        <v>629</v>
      </c>
      <c r="F409" s="34" t="s">
        <v>127</v>
      </c>
      <c r="G409" s="40"/>
      <c r="H409" s="53"/>
      <c r="I409" s="114"/>
      <c r="J409" s="27"/>
    </row>
    <row r="410" spans="1:10" ht="24.9" customHeight="1" x14ac:dyDescent="0.3">
      <c r="A410" s="32" t="s">
        <v>599</v>
      </c>
      <c r="B410" s="33" t="s">
        <v>636</v>
      </c>
      <c r="C410" s="33" t="s">
        <v>556</v>
      </c>
      <c r="D410" s="33" t="s">
        <v>625</v>
      </c>
      <c r="E410" s="33" t="s">
        <v>630</v>
      </c>
      <c r="F410" s="34" t="s">
        <v>127</v>
      </c>
      <c r="G410" s="40"/>
      <c r="H410" s="48"/>
      <c r="I410" s="114"/>
      <c r="J410" s="27"/>
    </row>
    <row r="411" spans="1:10" ht="24.9" customHeight="1" x14ac:dyDescent="0.3">
      <c r="A411" s="32" t="s">
        <v>599</v>
      </c>
      <c r="B411" s="33" t="s">
        <v>636</v>
      </c>
      <c r="C411" s="33" t="s">
        <v>556</v>
      </c>
      <c r="D411" s="33" t="s">
        <v>625</v>
      </c>
      <c r="E411" s="33" t="s">
        <v>631</v>
      </c>
      <c r="F411" s="34" t="s">
        <v>127</v>
      </c>
      <c r="G411" s="40"/>
      <c r="H411" s="48"/>
      <c r="I411" s="114"/>
      <c r="J411" s="27"/>
    </row>
    <row r="412" spans="1:10" ht="24.9" customHeight="1" x14ac:dyDescent="0.3">
      <c r="A412" s="32" t="s">
        <v>599</v>
      </c>
      <c r="B412" s="33" t="s">
        <v>636</v>
      </c>
      <c r="C412" s="33" t="s">
        <v>556</v>
      </c>
      <c r="D412" s="33" t="s">
        <v>625</v>
      </c>
      <c r="E412" s="33" t="s">
        <v>791</v>
      </c>
      <c r="F412" s="34" t="s">
        <v>127</v>
      </c>
      <c r="G412" s="40"/>
      <c r="H412" s="48"/>
      <c r="I412" s="114"/>
      <c r="J412" s="27"/>
    </row>
    <row r="413" spans="1:10" ht="24.9" hidden="1" customHeight="1" x14ac:dyDescent="0.3">
      <c r="A413" s="32" t="s">
        <v>599</v>
      </c>
      <c r="B413" s="33" t="s">
        <v>644</v>
      </c>
      <c r="C413" s="33" t="s">
        <v>556</v>
      </c>
      <c r="D413" s="33" t="s">
        <v>641</v>
      </c>
      <c r="E413" s="33" t="s">
        <v>642</v>
      </c>
      <c r="F413" s="34" t="s">
        <v>99</v>
      </c>
      <c r="G413" s="40"/>
      <c r="H413" s="48"/>
      <c r="I413" s="114"/>
      <c r="J413" s="27"/>
    </row>
    <row r="414" spans="1:10" ht="24.9" hidden="1" customHeight="1" x14ac:dyDescent="0.3">
      <c r="A414" s="32" t="s">
        <v>599</v>
      </c>
      <c r="B414" s="33" t="s">
        <v>600</v>
      </c>
      <c r="C414" s="33" t="s">
        <v>556</v>
      </c>
      <c r="D414" s="33" t="s">
        <v>601</v>
      </c>
      <c r="E414" s="33" t="s">
        <v>789</v>
      </c>
      <c r="F414" s="34" t="s">
        <v>99</v>
      </c>
      <c r="G414" s="40"/>
      <c r="H414" s="51" t="s">
        <v>543</v>
      </c>
      <c r="I414" s="114"/>
      <c r="J414" s="27"/>
    </row>
    <row r="415" spans="1:10" ht="24.9" hidden="1" customHeight="1" x14ac:dyDescent="0.3">
      <c r="A415" s="32" t="s">
        <v>599</v>
      </c>
      <c r="B415" s="33" t="s">
        <v>600</v>
      </c>
      <c r="C415" s="33" t="s">
        <v>556</v>
      </c>
      <c r="D415" s="33" t="s">
        <v>601</v>
      </c>
      <c r="E415" s="33" t="s">
        <v>617</v>
      </c>
      <c r="F415" s="34" t="s">
        <v>99</v>
      </c>
      <c r="G415" s="40"/>
      <c r="H415" s="53"/>
      <c r="I415" s="114"/>
      <c r="J415" s="27"/>
    </row>
    <row r="416" spans="1:10" ht="24.9" hidden="1" customHeight="1" x14ac:dyDescent="0.3">
      <c r="A416" s="32" t="s">
        <v>599</v>
      </c>
      <c r="B416" s="33" t="s">
        <v>600</v>
      </c>
      <c r="C416" s="33" t="s">
        <v>556</v>
      </c>
      <c r="D416" s="33" t="s">
        <v>601</v>
      </c>
      <c r="E416" s="33" t="s">
        <v>619</v>
      </c>
      <c r="F416" s="34" t="s">
        <v>99</v>
      </c>
      <c r="G416" s="40"/>
      <c r="H416" s="48"/>
      <c r="I416" s="114"/>
      <c r="J416" s="27"/>
    </row>
    <row r="417" spans="1:10" ht="24.9" customHeight="1" x14ac:dyDescent="0.3">
      <c r="A417" s="32" t="s">
        <v>599</v>
      </c>
      <c r="B417" s="33" t="s">
        <v>600</v>
      </c>
      <c r="C417" s="33" t="s">
        <v>556</v>
      </c>
      <c r="D417" s="33" t="s">
        <v>601</v>
      </c>
      <c r="E417" s="33" t="s">
        <v>602</v>
      </c>
      <c r="F417" s="34" t="s">
        <v>673</v>
      </c>
      <c r="G417" s="40"/>
      <c r="H417" s="51" t="s">
        <v>603</v>
      </c>
      <c r="I417" s="114" t="s">
        <v>604</v>
      </c>
      <c r="J417" s="27"/>
    </row>
    <row r="418" spans="1:10" ht="24.9" customHeight="1" x14ac:dyDescent="0.3">
      <c r="A418" s="32" t="s">
        <v>599</v>
      </c>
      <c r="B418" s="33" t="s">
        <v>600</v>
      </c>
      <c r="C418" s="33" t="s">
        <v>556</v>
      </c>
      <c r="D418" s="33" t="s">
        <v>601</v>
      </c>
      <c r="E418" s="33" t="s">
        <v>605</v>
      </c>
      <c r="F418" s="34" t="s">
        <v>673</v>
      </c>
      <c r="G418" s="40"/>
      <c r="H418" s="51" t="s">
        <v>300</v>
      </c>
      <c r="I418" s="114" t="s">
        <v>606</v>
      </c>
      <c r="J418" s="27"/>
    </row>
    <row r="419" spans="1:10" ht="24.9" customHeight="1" x14ac:dyDescent="0.3">
      <c r="A419" s="32" t="s">
        <v>599</v>
      </c>
      <c r="B419" s="33" t="s">
        <v>600</v>
      </c>
      <c r="C419" s="33" t="s">
        <v>556</v>
      </c>
      <c r="D419" s="33" t="s">
        <v>601</v>
      </c>
      <c r="E419" s="33" t="s">
        <v>793</v>
      </c>
      <c r="F419" s="34" t="s">
        <v>673</v>
      </c>
      <c r="G419" s="40"/>
      <c r="H419" s="51" t="s">
        <v>227</v>
      </c>
      <c r="I419" s="114" t="s">
        <v>649</v>
      </c>
      <c r="J419" s="27"/>
    </row>
    <row r="420" spans="1:10" ht="24.9" hidden="1" customHeight="1" x14ac:dyDescent="0.3">
      <c r="A420" s="32" t="s">
        <v>599</v>
      </c>
      <c r="B420" s="33" t="s">
        <v>637</v>
      </c>
      <c r="C420" s="33" t="s">
        <v>558</v>
      </c>
      <c r="D420" s="33" t="s">
        <v>625</v>
      </c>
      <c r="E420" s="33" t="s">
        <v>626</v>
      </c>
      <c r="F420" s="34" t="s">
        <v>99</v>
      </c>
      <c r="G420" s="40"/>
      <c r="H420" s="48"/>
      <c r="I420" s="114"/>
      <c r="J420" s="27"/>
    </row>
    <row r="421" spans="1:10" ht="24.9" hidden="1" customHeight="1" x14ac:dyDescent="0.3">
      <c r="A421" s="32" t="s">
        <v>599</v>
      </c>
      <c r="B421" s="33" t="s">
        <v>637</v>
      </c>
      <c r="C421" s="33" t="s">
        <v>558</v>
      </c>
      <c r="D421" s="33" t="s">
        <v>625</v>
      </c>
      <c r="E421" s="33" t="s">
        <v>790</v>
      </c>
      <c r="F421" s="34" t="s">
        <v>99</v>
      </c>
      <c r="G421" s="40"/>
      <c r="H421" s="48"/>
      <c r="I421" s="114"/>
      <c r="J421" s="27"/>
    </row>
    <row r="422" spans="1:10" ht="24.9" hidden="1" customHeight="1" x14ac:dyDescent="0.3">
      <c r="A422" s="32" t="s">
        <v>599</v>
      </c>
      <c r="B422" s="33" t="s">
        <v>637</v>
      </c>
      <c r="C422" s="33" t="s">
        <v>558</v>
      </c>
      <c r="D422" s="33" t="s">
        <v>625</v>
      </c>
      <c r="E422" s="33" t="s">
        <v>628</v>
      </c>
      <c r="F422" s="34" t="s">
        <v>99</v>
      </c>
      <c r="G422" s="40"/>
      <c r="H422" s="53"/>
      <c r="I422" s="114"/>
      <c r="J422" s="27"/>
    </row>
    <row r="423" spans="1:10" ht="24.9" hidden="1" customHeight="1" x14ac:dyDescent="0.3">
      <c r="A423" s="32" t="s">
        <v>599</v>
      </c>
      <c r="B423" s="33" t="s">
        <v>637</v>
      </c>
      <c r="C423" s="33" t="s">
        <v>558</v>
      </c>
      <c r="D423" s="33" t="s">
        <v>625</v>
      </c>
      <c r="E423" s="33" t="s">
        <v>632</v>
      </c>
      <c r="F423" s="34" t="s">
        <v>99</v>
      </c>
      <c r="G423" s="40"/>
      <c r="H423" s="53"/>
      <c r="I423" s="114"/>
      <c r="J423" s="27"/>
    </row>
    <row r="424" spans="1:10" ht="24.9" hidden="1" customHeight="1" x14ac:dyDescent="0.3">
      <c r="A424" s="32" t="s">
        <v>599</v>
      </c>
      <c r="B424" s="33" t="s">
        <v>637</v>
      </c>
      <c r="C424" s="33" t="s">
        <v>558</v>
      </c>
      <c r="D424" s="33" t="s">
        <v>625</v>
      </c>
      <c r="E424" s="33" t="s">
        <v>792</v>
      </c>
      <c r="F424" s="34" t="s">
        <v>99</v>
      </c>
      <c r="G424" s="40"/>
      <c r="H424" s="53"/>
      <c r="I424" s="114"/>
      <c r="J424" s="27"/>
    </row>
    <row r="425" spans="1:10" ht="24.9" hidden="1" customHeight="1" x14ac:dyDescent="0.3">
      <c r="A425" s="32" t="s">
        <v>599</v>
      </c>
      <c r="B425" s="33" t="s">
        <v>637</v>
      </c>
      <c r="C425" s="33" t="s">
        <v>558</v>
      </c>
      <c r="D425" s="33" t="s">
        <v>625</v>
      </c>
      <c r="E425" s="33" t="s">
        <v>588</v>
      </c>
      <c r="F425" s="34" t="s">
        <v>99</v>
      </c>
      <c r="G425" s="40"/>
      <c r="H425" s="53"/>
      <c r="I425" s="114"/>
      <c r="J425" s="27"/>
    </row>
    <row r="426" spans="1:10" ht="24.9" hidden="1" customHeight="1" x14ac:dyDescent="0.3">
      <c r="A426" s="32" t="s">
        <v>599</v>
      </c>
      <c r="B426" s="33" t="s">
        <v>637</v>
      </c>
      <c r="C426" s="33" t="s">
        <v>558</v>
      </c>
      <c r="D426" s="33" t="s">
        <v>625</v>
      </c>
      <c r="E426" s="33" t="s">
        <v>633</v>
      </c>
      <c r="F426" s="34" t="s">
        <v>99</v>
      </c>
      <c r="G426" s="40"/>
      <c r="H426" s="53"/>
      <c r="I426" s="114"/>
      <c r="J426" s="27"/>
    </row>
    <row r="427" spans="1:10" ht="24.9" hidden="1" customHeight="1" x14ac:dyDescent="0.3">
      <c r="A427" s="32" t="s">
        <v>599</v>
      </c>
      <c r="B427" s="33" t="s">
        <v>637</v>
      </c>
      <c r="C427" s="33" t="s">
        <v>558</v>
      </c>
      <c r="D427" s="33" t="s">
        <v>625</v>
      </c>
      <c r="E427" s="33" t="s">
        <v>634</v>
      </c>
      <c r="F427" s="34" t="s">
        <v>99</v>
      </c>
      <c r="G427" s="40"/>
      <c r="H427" s="53"/>
      <c r="I427" s="114"/>
      <c r="J427" s="27"/>
    </row>
    <row r="428" spans="1:10" ht="24.9" customHeight="1" x14ac:dyDescent="0.3">
      <c r="A428" s="32" t="s">
        <v>599</v>
      </c>
      <c r="B428" s="33" t="s">
        <v>637</v>
      </c>
      <c r="C428" s="33" t="s">
        <v>558</v>
      </c>
      <c r="D428" s="33" t="s">
        <v>625</v>
      </c>
      <c r="E428" s="33" t="s">
        <v>627</v>
      </c>
      <c r="F428" s="34" t="s">
        <v>127</v>
      </c>
      <c r="G428" s="40"/>
      <c r="H428" s="53"/>
      <c r="I428" s="114"/>
      <c r="J428" s="27"/>
    </row>
    <row r="429" spans="1:10" ht="24.9" customHeight="1" x14ac:dyDescent="0.3">
      <c r="A429" s="32" t="s">
        <v>599</v>
      </c>
      <c r="B429" s="33" t="s">
        <v>637</v>
      </c>
      <c r="C429" s="33" t="s">
        <v>558</v>
      </c>
      <c r="D429" s="33" t="s">
        <v>625</v>
      </c>
      <c r="E429" s="33" t="s">
        <v>629</v>
      </c>
      <c r="F429" s="34" t="s">
        <v>127</v>
      </c>
      <c r="G429" s="40"/>
      <c r="H429" s="53"/>
      <c r="I429" s="114"/>
      <c r="J429" s="27"/>
    </row>
    <row r="430" spans="1:10" ht="24.9" customHeight="1" x14ac:dyDescent="0.3">
      <c r="A430" s="32" t="s">
        <v>599</v>
      </c>
      <c r="B430" s="33" t="s">
        <v>637</v>
      </c>
      <c r="C430" s="33" t="s">
        <v>558</v>
      </c>
      <c r="D430" s="33" t="s">
        <v>625</v>
      </c>
      <c r="E430" s="33" t="s">
        <v>630</v>
      </c>
      <c r="F430" s="34" t="s">
        <v>127</v>
      </c>
      <c r="G430" s="40"/>
      <c r="H430" s="53"/>
      <c r="I430" s="114"/>
      <c r="J430" s="27"/>
    </row>
    <row r="431" spans="1:10" ht="24.9" customHeight="1" x14ac:dyDescent="0.3">
      <c r="A431" s="32" t="s">
        <v>599</v>
      </c>
      <c r="B431" s="33" t="s">
        <v>637</v>
      </c>
      <c r="C431" s="33" t="s">
        <v>558</v>
      </c>
      <c r="D431" s="33" t="s">
        <v>625</v>
      </c>
      <c r="E431" s="33" t="s">
        <v>631</v>
      </c>
      <c r="F431" s="34" t="s">
        <v>127</v>
      </c>
      <c r="G431" s="40"/>
      <c r="H431" s="53"/>
      <c r="I431" s="114"/>
      <c r="J431" s="27"/>
    </row>
    <row r="432" spans="1:10" ht="24.9" customHeight="1" x14ac:dyDescent="0.3">
      <c r="A432" s="32" t="s">
        <v>599</v>
      </c>
      <c r="B432" s="33" t="s">
        <v>637</v>
      </c>
      <c r="C432" s="33" t="s">
        <v>558</v>
      </c>
      <c r="D432" s="33" t="s">
        <v>625</v>
      </c>
      <c r="E432" s="33" t="s">
        <v>791</v>
      </c>
      <c r="F432" s="34" t="s">
        <v>127</v>
      </c>
      <c r="G432" s="40"/>
      <c r="H432" s="53"/>
      <c r="I432" s="114"/>
      <c r="J432" s="27"/>
    </row>
    <row r="433" spans="1:10" ht="24.9" hidden="1" customHeight="1" x14ac:dyDescent="0.3">
      <c r="A433" s="32" t="s">
        <v>599</v>
      </c>
      <c r="B433" s="33" t="s">
        <v>645</v>
      </c>
      <c r="C433" s="33" t="s">
        <v>558</v>
      </c>
      <c r="D433" s="33" t="s">
        <v>641</v>
      </c>
      <c r="E433" s="33" t="s">
        <v>642</v>
      </c>
      <c r="F433" s="34" t="s">
        <v>99</v>
      </c>
      <c r="G433" s="40"/>
      <c r="H433" s="53"/>
      <c r="I433" s="114"/>
      <c r="J433" s="27"/>
    </row>
    <row r="434" spans="1:10" ht="24.9" hidden="1" customHeight="1" x14ac:dyDescent="0.3">
      <c r="A434" s="32" t="s">
        <v>599</v>
      </c>
      <c r="B434" s="33" t="s">
        <v>607</v>
      </c>
      <c r="C434" s="33" t="s">
        <v>558</v>
      </c>
      <c r="D434" s="33" t="s">
        <v>601</v>
      </c>
      <c r="E434" s="33" t="s">
        <v>789</v>
      </c>
      <c r="F434" s="34" t="s">
        <v>99</v>
      </c>
      <c r="G434" s="40"/>
      <c r="H434" s="40" t="s">
        <v>543</v>
      </c>
      <c r="I434" s="114"/>
      <c r="J434" s="27"/>
    </row>
    <row r="435" spans="1:10" ht="24.9" hidden="1" customHeight="1" x14ac:dyDescent="0.3">
      <c r="A435" s="32" t="s">
        <v>599</v>
      </c>
      <c r="B435" s="33" t="s">
        <v>607</v>
      </c>
      <c r="C435" s="33" t="s">
        <v>558</v>
      </c>
      <c r="D435" s="33" t="s">
        <v>601</v>
      </c>
      <c r="E435" s="33" t="s">
        <v>617</v>
      </c>
      <c r="F435" s="34" t="s">
        <v>99</v>
      </c>
      <c r="G435" s="40"/>
      <c r="H435" s="53"/>
      <c r="I435" s="114"/>
      <c r="J435" s="27"/>
    </row>
    <row r="436" spans="1:10" ht="24.9" hidden="1" customHeight="1" x14ac:dyDescent="0.3">
      <c r="A436" s="32" t="s">
        <v>599</v>
      </c>
      <c r="B436" s="33" t="s">
        <v>607</v>
      </c>
      <c r="C436" s="33" t="s">
        <v>558</v>
      </c>
      <c r="D436" s="33" t="s">
        <v>601</v>
      </c>
      <c r="E436" s="33" t="s">
        <v>618</v>
      </c>
      <c r="F436" s="34" t="s">
        <v>99</v>
      </c>
      <c r="G436" s="40"/>
      <c r="H436" s="53"/>
      <c r="I436" s="114"/>
      <c r="J436" s="27"/>
    </row>
    <row r="437" spans="1:10" ht="24.9" hidden="1" customHeight="1" x14ac:dyDescent="0.3">
      <c r="A437" s="32" t="s">
        <v>599</v>
      </c>
      <c r="B437" s="33" t="s">
        <v>607</v>
      </c>
      <c r="C437" s="33" t="s">
        <v>558</v>
      </c>
      <c r="D437" s="33" t="s">
        <v>601</v>
      </c>
      <c r="E437" s="33" t="s">
        <v>619</v>
      </c>
      <c r="F437" s="34" t="s">
        <v>99</v>
      </c>
      <c r="G437" s="40"/>
      <c r="H437" s="53"/>
      <c r="I437" s="114"/>
      <c r="J437" s="27"/>
    </row>
    <row r="438" spans="1:10" ht="24.9" customHeight="1" x14ac:dyDescent="0.3">
      <c r="A438" s="32" t="s">
        <v>599</v>
      </c>
      <c r="B438" s="33" t="s">
        <v>607</v>
      </c>
      <c r="C438" s="33" t="s">
        <v>558</v>
      </c>
      <c r="D438" s="33" t="s">
        <v>601</v>
      </c>
      <c r="E438" s="33" t="s">
        <v>602</v>
      </c>
      <c r="F438" s="34" t="s">
        <v>673</v>
      </c>
      <c r="G438" s="40"/>
      <c r="H438" s="40" t="s">
        <v>603</v>
      </c>
      <c r="I438" s="114" t="s">
        <v>604</v>
      </c>
      <c r="J438" s="27"/>
    </row>
    <row r="439" spans="1:10" ht="24.9" customHeight="1" x14ac:dyDescent="0.3">
      <c r="A439" s="32" t="s">
        <v>599</v>
      </c>
      <c r="B439" s="33" t="s">
        <v>607</v>
      </c>
      <c r="C439" s="33" t="s">
        <v>558</v>
      </c>
      <c r="D439" s="33" t="s">
        <v>601</v>
      </c>
      <c r="E439" s="33" t="s">
        <v>605</v>
      </c>
      <c r="F439" s="34" t="s">
        <v>673</v>
      </c>
      <c r="G439" s="40"/>
      <c r="H439" s="40" t="s">
        <v>300</v>
      </c>
      <c r="I439" s="114" t="s">
        <v>606</v>
      </c>
      <c r="J439" s="27"/>
    </row>
    <row r="440" spans="1:10" ht="24.9" customHeight="1" x14ac:dyDescent="0.3">
      <c r="A440" s="32" t="s">
        <v>599</v>
      </c>
      <c r="B440" s="33" t="s">
        <v>607</v>
      </c>
      <c r="C440" s="33" t="s">
        <v>558</v>
      </c>
      <c r="D440" s="33" t="s">
        <v>601</v>
      </c>
      <c r="E440" s="33" t="s">
        <v>793</v>
      </c>
      <c r="F440" s="34" t="s">
        <v>673</v>
      </c>
      <c r="G440" s="40"/>
      <c r="H440" s="40" t="s">
        <v>227</v>
      </c>
      <c r="I440" s="114" t="s">
        <v>649</v>
      </c>
      <c r="J440" s="27"/>
    </row>
    <row r="441" spans="1:10" ht="24.9" hidden="1" customHeight="1" x14ac:dyDescent="0.3">
      <c r="A441" s="32" t="s">
        <v>599</v>
      </c>
      <c r="B441" s="33" t="s">
        <v>638</v>
      </c>
      <c r="C441" s="33" t="s">
        <v>560</v>
      </c>
      <c r="D441" s="33" t="s">
        <v>625</v>
      </c>
      <c r="E441" s="33" t="s">
        <v>626</v>
      </c>
      <c r="F441" s="34" t="s">
        <v>99</v>
      </c>
      <c r="G441" s="40"/>
      <c r="H441" s="53"/>
      <c r="I441" s="114"/>
      <c r="J441" s="27"/>
    </row>
    <row r="442" spans="1:10" ht="24.9" hidden="1" customHeight="1" x14ac:dyDescent="0.3">
      <c r="A442" s="32" t="s">
        <v>599</v>
      </c>
      <c r="B442" s="33" t="s">
        <v>638</v>
      </c>
      <c r="C442" s="33" t="s">
        <v>560</v>
      </c>
      <c r="D442" s="33" t="s">
        <v>625</v>
      </c>
      <c r="E442" s="33" t="s">
        <v>790</v>
      </c>
      <c r="F442" s="34" t="s">
        <v>99</v>
      </c>
      <c r="G442" s="40"/>
      <c r="H442" s="40"/>
      <c r="I442" s="114"/>
      <c r="J442" s="27"/>
    </row>
    <row r="443" spans="1:10" ht="24.9" hidden="1" customHeight="1" x14ac:dyDescent="0.3">
      <c r="A443" s="32" t="s">
        <v>599</v>
      </c>
      <c r="B443" s="33" t="s">
        <v>638</v>
      </c>
      <c r="C443" s="33" t="s">
        <v>560</v>
      </c>
      <c r="D443" s="33" t="s">
        <v>625</v>
      </c>
      <c r="E443" s="33" t="s">
        <v>628</v>
      </c>
      <c r="F443" s="34" t="s">
        <v>99</v>
      </c>
      <c r="G443" s="40"/>
      <c r="H443" s="40"/>
      <c r="I443" s="114"/>
      <c r="J443" s="27"/>
    </row>
    <row r="444" spans="1:10" ht="24.9" hidden="1" customHeight="1" x14ac:dyDescent="0.3">
      <c r="A444" s="32" t="s">
        <v>599</v>
      </c>
      <c r="B444" s="33" t="s">
        <v>638</v>
      </c>
      <c r="C444" s="33" t="s">
        <v>560</v>
      </c>
      <c r="D444" s="33" t="s">
        <v>625</v>
      </c>
      <c r="E444" s="33" t="s">
        <v>632</v>
      </c>
      <c r="F444" s="34" t="s">
        <v>99</v>
      </c>
      <c r="G444" s="40"/>
      <c r="H444" s="53"/>
      <c r="I444" s="114"/>
      <c r="J444" s="27"/>
    </row>
    <row r="445" spans="1:10" ht="24.9" hidden="1" customHeight="1" x14ac:dyDescent="0.3">
      <c r="A445" s="32" t="s">
        <v>599</v>
      </c>
      <c r="B445" s="33" t="s">
        <v>638</v>
      </c>
      <c r="C445" s="33" t="s">
        <v>560</v>
      </c>
      <c r="D445" s="33" t="s">
        <v>625</v>
      </c>
      <c r="E445" s="33" t="s">
        <v>792</v>
      </c>
      <c r="F445" s="34" t="s">
        <v>99</v>
      </c>
      <c r="G445" s="40"/>
      <c r="H445" s="53"/>
      <c r="I445" s="114"/>
      <c r="J445" s="27"/>
    </row>
    <row r="446" spans="1:10" ht="24.9" hidden="1" customHeight="1" x14ac:dyDescent="0.3">
      <c r="A446" s="32" t="s">
        <v>599</v>
      </c>
      <c r="B446" s="33" t="s">
        <v>638</v>
      </c>
      <c r="C446" s="33" t="s">
        <v>560</v>
      </c>
      <c r="D446" s="33" t="s">
        <v>625</v>
      </c>
      <c r="E446" s="33" t="s">
        <v>588</v>
      </c>
      <c r="F446" s="34" t="s">
        <v>99</v>
      </c>
      <c r="G446" s="40"/>
      <c r="H446" s="53"/>
      <c r="I446" s="114"/>
      <c r="J446" s="27"/>
    </row>
    <row r="447" spans="1:10" ht="24.9" hidden="1" customHeight="1" x14ac:dyDescent="0.3">
      <c r="A447" s="32" t="s">
        <v>599</v>
      </c>
      <c r="B447" s="33" t="s">
        <v>638</v>
      </c>
      <c r="C447" s="33" t="s">
        <v>560</v>
      </c>
      <c r="D447" s="33" t="s">
        <v>625</v>
      </c>
      <c r="E447" s="33" t="s">
        <v>633</v>
      </c>
      <c r="F447" s="34" t="s">
        <v>99</v>
      </c>
      <c r="G447" s="40"/>
      <c r="H447" s="53"/>
      <c r="I447" s="114"/>
      <c r="J447" s="27"/>
    </row>
    <row r="448" spans="1:10" ht="24.9" hidden="1" customHeight="1" x14ac:dyDescent="0.3">
      <c r="A448" s="32" t="s">
        <v>599</v>
      </c>
      <c r="B448" s="33" t="s">
        <v>638</v>
      </c>
      <c r="C448" s="33" t="s">
        <v>560</v>
      </c>
      <c r="D448" s="33" t="s">
        <v>625</v>
      </c>
      <c r="E448" s="33" t="s">
        <v>634</v>
      </c>
      <c r="F448" s="34" t="s">
        <v>99</v>
      </c>
      <c r="G448" s="40"/>
      <c r="H448" s="40"/>
      <c r="I448" s="114"/>
      <c r="J448" s="27"/>
    </row>
    <row r="449" spans="1:10" ht="24.9" customHeight="1" x14ac:dyDescent="0.3">
      <c r="A449" s="32" t="s">
        <v>599</v>
      </c>
      <c r="B449" s="33" t="s">
        <v>638</v>
      </c>
      <c r="C449" s="33" t="s">
        <v>560</v>
      </c>
      <c r="D449" s="33" t="s">
        <v>625</v>
      </c>
      <c r="E449" s="33" t="s">
        <v>627</v>
      </c>
      <c r="F449" s="34" t="s">
        <v>127</v>
      </c>
      <c r="G449" s="40"/>
      <c r="H449" s="40"/>
      <c r="I449" s="114"/>
      <c r="J449" s="27"/>
    </row>
    <row r="450" spans="1:10" ht="24.9" customHeight="1" x14ac:dyDescent="0.3">
      <c r="A450" s="32" t="s">
        <v>599</v>
      </c>
      <c r="B450" s="33" t="s">
        <v>638</v>
      </c>
      <c r="C450" s="33" t="s">
        <v>560</v>
      </c>
      <c r="D450" s="33" t="s">
        <v>625</v>
      </c>
      <c r="E450" s="33" t="s">
        <v>629</v>
      </c>
      <c r="F450" s="34" t="s">
        <v>127</v>
      </c>
      <c r="G450" s="40"/>
      <c r="H450" s="40"/>
      <c r="I450" s="114"/>
      <c r="J450" s="27"/>
    </row>
    <row r="451" spans="1:10" ht="24.9" customHeight="1" x14ac:dyDescent="0.3">
      <c r="A451" s="32" t="s">
        <v>599</v>
      </c>
      <c r="B451" s="33" t="s">
        <v>638</v>
      </c>
      <c r="C451" s="33" t="s">
        <v>560</v>
      </c>
      <c r="D451" s="33" t="s">
        <v>625</v>
      </c>
      <c r="E451" s="33" t="s">
        <v>617</v>
      </c>
      <c r="F451" s="34" t="s">
        <v>127</v>
      </c>
      <c r="G451" s="40"/>
      <c r="H451" s="40"/>
      <c r="I451" s="114"/>
      <c r="J451" s="27"/>
    </row>
    <row r="452" spans="1:10" ht="24.9" customHeight="1" x14ac:dyDescent="0.3">
      <c r="A452" s="32" t="s">
        <v>599</v>
      </c>
      <c r="B452" s="33" t="s">
        <v>638</v>
      </c>
      <c r="C452" s="33" t="s">
        <v>560</v>
      </c>
      <c r="D452" s="33" t="s">
        <v>625</v>
      </c>
      <c r="E452" s="33" t="s">
        <v>630</v>
      </c>
      <c r="F452" s="34" t="s">
        <v>127</v>
      </c>
      <c r="G452" s="40"/>
      <c r="H452" s="53"/>
      <c r="I452" s="114"/>
      <c r="J452" s="27"/>
    </row>
    <row r="453" spans="1:10" ht="24.9" customHeight="1" x14ac:dyDescent="0.3">
      <c r="A453" s="32" t="s">
        <v>599</v>
      </c>
      <c r="B453" s="33" t="s">
        <v>638</v>
      </c>
      <c r="C453" s="33" t="s">
        <v>560</v>
      </c>
      <c r="D453" s="33" t="s">
        <v>625</v>
      </c>
      <c r="E453" s="33" t="s">
        <v>631</v>
      </c>
      <c r="F453" s="34" t="s">
        <v>127</v>
      </c>
      <c r="G453" s="40"/>
      <c r="H453" s="53"/>
      <c r="I453" s="114"/>
      <c r="J453" s="27"/>
    </row>
    <row r="454" spans="1:10" ht="24.9" customHeight="1" x14ac:dyDescent="0.3">
      <c r="A454" s="32" t="s">
        <v>599</v>
      </c>
      <c r="B454" s="33" t="s">
        <v>638</v>
      </c>
      <c r="C454" s="33" t="s">
        <v>560</v>
      </c>
      <c r="D454" s="33" t="s">
        <v>625</v>
      </c>
      <c r="E454" s="33" t="s">
        <v>791</v>
      </c>
      <c r="F454" s="34" t="s">
        <v>127</v>
      </c>
      <c r="G454" s="40"/>
      <c r="H454" s="53"/>
      <c r="I454" s="114"/>
      <c r="J454" s="27"/>
    </row>
    <row r="455" spans="1:10" ht="24.9" hidden="1" customHeight="1" x14ac:dyDescent="0.3">
      <c r="A455" s="32" t="s">
        <v>599</v>
      </c>
      <c r="B455" s="33" t="s">
        <v>646</v>
      </c>
      <c r="C455" s="33" t="s">
        <v>560</v>
      </c>
      <c r="D455" s="33" t="s">
        <v>641</v>
      </c>
      <c r="E455" s="33" t="s">
        <v>642</v>
      </c>
      <c r="F455" s="34" t="s">
        <v>99</v>
      </c>
      <c r="G455" s="40"/>
      <c r="H455" s="53"/>
      <c r="I455" s="114"/>
      <c r="J455" s="27"/>
    </row>
    <row r="456" spans="1:10" ht="24.9" hidden="1" customHeight="1" x14ac:dyDescent="0.3">
      <c r="A456" s="32" t="s">
        <v>599</v>
      </c>
      <c r="B456" s="33" t="s">
        <v>608</v>
      </c>
      <c r="C456" s="33" t="s">
        <v>560</v>
      </c>
      <c r="D456" s="33" t="s">
        <v>601</v>
      </c>
      <c r="E456" s="33" t="s">
        <v>789</v>
      </c>
      <c r="F456" s="34" t="s">
        <v>99</v>
      </c>
      <c r="G456" s="40"/>
      <c r="H456" s="40" t="s">
        <v>543</v>
      </c>
      <c r="I456" s="114"/>
      <c r="J456" s="27"/>
    </row>
    <row r="457" spans="1:10" ht="24.9" hidden="1" customHeight="1" x14ac:dyDescent="0.3">
      <c r="A457" s="32" t="s">
        <v>599</v>
      </c>
      <c r="B457" s="33" t="s">
        <v>608</v>
      </c>
      <c r="C457" s="33" t="s">
        <v>560</v>
      </c>
      <c r="D457" s="33" t="s">
        <v>601</v>
      </c>
      <c r="E457" s="33" t="s">
        <v>617</v>
      </c>
      <c r="F457" s="34" t="s">
        <v>99</v>
      </c>
      <c r="G457" s="40"/>
      <c r="H457" s="53"/>
      <c r="I457" s="114"/>
      <c r="J457" s="27"/>
    </row>
    <row r="458" spans="1:10" ht="24.9" hidden="1" customHeight="1" x14ac:dyDescent="0.3">
      <c r="A458" s="32" t="s">
        <v>599</v>
      </c>
      <c r="B458" s="33" t="s">
        <v>608</v>
      </c>
      <c r="C458" s="33" t="s">
        <v>560</v>
      </c>
      <c r="D458" s="33" t="s">
        <v>601</v>
      </c>
      <c r="E458" s="33" t="s">
        <v>618</v>
      </c>
      <c r="F458" s="34" t="s">
        <v>99</v>
      </c>
      <c r="G458" s="40"/>
      <c r="H458" s="53"/>
      <c r="I458" s="114"/>
      <c r="J458" s="27"/>
    </row>
    <row r="459" spans="1:10" ht="24.9" hidden="1" customHeight="1" x14ac:dyDescent="0.3">
      <c r="A459" s="32" t="s">
        <v>599</v>
      </c>
      <c r="B459" s="33" t="s">
        <v>608</v>
      </c>
      <c r="C459" s="33" t="s">
        <v>560</v>
      </c>
      <c r="D459" s="33" t="s">
        <v>601</v>
      </c>
      <c r="E459" s="33" t="s">
        <v>619</v>
      </c>
      <c r="F459" s="34" t="s">
        <v>99</v>
      </c>
      <c r="G459" s="40"/>
      <c r="H459" s="53"/>
      <c r="I459" s="114"/>
      <c r="J459" s="27"/>
    </row>
    <row r="460" spans="1:10" ht="24.9" customHeight="1" x14ac:dyDescent="0.3">
      <c r="A460" s="32" t="s">
        <v>599</v>
      </c>
      <c r="B460" s="33" t="s">
        <v>608</v>
      </c>
      <c r="C460" s="33" t="s">
        <v>560</v>
      </c>
      <c r="D460" s="33" t="s">
        <v>601</v>
      </c>
      <c r="E460" s="33" t="s">
        <v>602</v>
      </c>
      <c r="F460" s="34" t="s">
        <v>673</v>
      </c>
      <c r="G460" s="40"/>
      <c r="H460" s="40" t="s">
        <v>603</v>
      </c>
      <c r="I460" s="114" t="s">
        <v>604</v>
      </c>
      <c r="J460" s="27"/>
    </row>
    <row r="461" spans="1:10" ht="24.9" customHeight="1" x14ac:dyDescent="0.3">
      <c r="A461" s="32" t="s">
        <v>599</v>
      </c>
      <c r="B461" s="33" t="s">
        <v>608</v>
      </c>
      <c r="C461" s="33" t="s">
        <v>560</v>
      </c>
      <c r="D461" s="33" t="s">
        <v>601</v>
      </c>
      <c r="E461" s="33" t="s">
        <v>605</v>
      </c>
      <c r="F461" s="34" t="s">
        <v>673</v>
      </c>
      <c r="G461" s="40"/>
      <c r="H461" s="40" t="s">
        <v>300</v>
      </c>
      <c r="I461" s="114" t="s">
        <v>606</v>
      </c>
      <c r="J461" s="27"/>
    </row>
    <row r="462" spans="1:10" ht="24.9" customHeight="1" x14ac:dyDescent="0.3">
      <c r="A462" s="32" t="s">
        <v>599</v>
      </c>
      <c r="B462" s="33" t="s">
        <v>608</v>
      </c>
      <c r="C462" s="33" t="s">
        <v>560</v>
      </c>
      <c r="D462" s="33" t="s">
        <v>601</v>
      </c>
      <c r="E462" s="33" t="s">
        <v>793</v>
      </c>
      <c r="F462" s="34" t="s">
        <v>673</v>
      </c>
      <c r="G462" s="40"/>
      <c r="H462" s="40" t="s">
        <v>227</v>
      </c>
      <c r="I462" s="114" t="s">
        <v>649</v>
      </c>
      <c r="J462" s="27"/>
    </row>
    <row r="463" spans="1:10" ht="24.9" hidden="1" customHeight="1" x14ac:dyDescent="0.3">
      <c r="A463" s="32" t="s">
        <v>599</v>
      </c>
      <c r="B463" s="33" t="s">
        <v>639</v>
      </c>
      <c r="C463" s="33" t="s">
        <v>548</v>
      </c>
      <c r="D463" s="33" t="s">
        <v>625</v>
      </c>
      <c r="E463" s="33" t="s">
        <v>626</v>
      </c>
      <c r="F463" s="34" t="s">
        <v>99</v>
      </c>
      <c r="G463" s="40"/>
      <c r="H463" s="53"/>
      <c r="I463" s="114"/>
      <c r="J463" s="27"/>
    </row>
    <row r="464" spans="1:10" ht="24.9" hidden="1" customHeight="1" x14ac:dyDescent="0.3">
      <c r="A464" s="32" t="s">
        <v>599</v>
      </c>
      <c r="B464" s="33" t="s">
        <v>639</v>
      </c>
      <c r="C464" s="33" t="s">
        <v>548</v>
      </c>
      <c r="D464" s="33" t="s">
        <v>625</v>
      </c>
      <c r="E464" s="33" t="s">
        <v>790</v>
      </c>
      <c r="F464" s="34" t="s">
        <v>99</v>
      </c>
      <c r="G464" s="40"/>
      <c r="H464" s="40"/>
      <c r="I464" s="114"/>
      <c r="J464" s="27"/>
    </row>
    <row r="465" spans="1:10" ht="24.9" hidden="1" customHeight="1" x14ac:dyDescent="0.3">
      <c r="A465" s="32" t="s">
        <v>599</v>
      </c>
      <c r="B465" s="33" t="s">
        <v>639</v>
      </c>
      <c r="C465" s="33" t="s">
        <v>548</v>
      </c>
      <c r="D465" s="33" t="s">
        <v>625</v>
      </c>
      <c r="E465" s="33" t="s">
        <v>628</v>
      </c>
      <c r="F465" s="34" t="s">
        <v>99</v>
      </c>
      <c r="G465" s="40"/>
      <c r="H465" s="40"/>
      <c r="I465" s="114"/>
      <c r="J465" s="27"/>
    </row>
    <row r="466" spans="1:10" ht="24.9" hidden="1" customHeight="1" x14ac:dyDescent="0.3">
      <c r="A466" s="32" t="s">
        <v>599</v>
      </c>
      <c r="B466" s="33" t="s">
        <v>639</v>
      </c>
      <c r="C466" s="33" t="s">
        <v>548</v>
      </c>
      <c r="D466" s="33" t="s">
        <v>625</v>
      </c>
      <c r="E466" s="33" t="s">
        <v>632</v>
      </c>
      <c r="F466" s="34" t="s">
        <v>99</v>
      </c>
      <c r="G466" s="40"/>
      <c r="H466" s="53"/>
      <c r="I466" s="114"/>
      <c r="J466" s="27"/>
    </row>
    <row r="467" spans="1:10" ht="24.9" hidden="1" customHeight="1" x14ac:dyDescent="0.3">
      <c r="A467" s="32" t="s">
        <v>599</v>
      </c>
      <c r="B467" s="33" t="s">
        <v>639</v>
      </c>
      <c r="C467" s="33" t="s">
        <v>548</v>
      </c>
      <c r="D467" s="33" t="s">
        <v>625</v>
      </c>
      <c r="E467" s="33" t="s">
        <v>792</v>
      </c>
      <c r="F467" s="34" t="s">
        <v>99</v>
      </c>
      <c r="G467" s="40"/>
      <c r="H467" s="53"/>
      <c r="I467" s="115"/>
      <c r="J467" s="27"/>
    </row>
    <row r="468" spans="1:10" ht="24.9" hidden="1" customHeight="1" x14ac:dyDescent="0.3">
      <c r="A468" s="32" t="s">
        <v>599</v>
      </c>
      <c r="B468" s="33" t="s">
        <v>639</v>
      </c>
      <c r="C468" s="33" t="s">
        <v>548</v>
      </c>
      <c r="D468" s="33" t="s">
        <v>625</v>
      </c>
      <c r="E468" s="33" t="s">
        <v>588</v>
      </c>
      <c r="F468" s="34" t="s">
        <v>99</v>
      </c>
      <c r="G468" s="40"/>
      <c r="H468" s="53"/>
      <c r="I468" s="114"/>
      <c r="J468" s="27"/>
    </row>
    <row r="469" spans="1:10" ht="24.9" hidden="1" customHeight="1" x14ac:dyDescent="0.3">
      <c r="A469" s="32" t="s">
        <v>599</v>
      </c>
      <c r="B469" s="33" t="s">
        <v>639</v>
      </c>
      <c r="C469" s="33" t="s">
        <v>548</v>
      </c>
      <c r="D469" s="33" t="s">
        <v>625</v>
      </c>
      <c r="E469" s="33" t="s">
        <v>633</v>
      </c>
      <c r="F469" s="34" t="s">
        <v>99</v>
      </c>
      <c r="G469" s="40"/>
      <c r="H469" s="53"/>
      <c r="I469" s="114"/>
      <c r="J469" s="27"/>
    </row>
    <row r="470" spans="1:10" ht="24.9" hidden="1" customHeight="1" x14ac:dyDescent="0.3">
      <c r="A470" s="32" t="s">
        <v>599</v>
      </c>
      <c r="B470" s="33" t="s">
        <v>639</v>
      </c>
      <c r="C470" s="33" t="s">
        <v>548</v>
      </c>
      <c r="D470" s="33" t="s">
        <v>625</v>
      </c>
      <c r="E470" s="33" t="s">
        <v>634</v>
      </c>
      <c r="F470" s="34" t="s">
        <v>99</v>
      </c>
      <c r="G470" s="40"/>
      <c r="H470" s="40"/>
      <c r="I470" s="114"/>
      <c r="J470" s="27"/>
    </row>
    <row r="471" spans="1:10" ht="24.9" customHeight="1" x14ac:dyDescent="0.3">
      <c r="A471" s="32" t="s">
        <v>599</v>
      </c>
      <c r="B471" s="33" t="s">
        <v>639</v>
      </c>
      <c r="C471" s="33" t="s">
        <v>548</v>
      </c>
      <c r="D471" s="33" t="s">
        <v>625</v>
      </c>
      <c r="E471" s="33" t="s">
        <v>627</v>
      </c>
      <c r="F471" s="34" t="s">
        <v>127</v>
      </c>
      <c r="G471" s="40"/>
      <c r="H471" s="40"/>
      <c r="I471" s="114"/>
      <c r="J471" s="27"/>
    </row>
    <row r="472" spans="1:10" ht="24.9" customHeight="1" x14ac:dyDescent="0.3">
      <c r="A472" s="32" t="s">
        <v>599</v>
      </c>
      <c r="B472" s="33" t="s">
        <v>639</v>
      </c>
      <c r="C472" s="33" t="s">
        <v>548</v>
      </c>
      <c r="D472" s="33" t="s">
        <v>625</v>
      </c>
      <c r="E472" s="33" t="s">
        <v>629</v>
      </c>
      <c r="F472" s="34" t="s">
        <v>127</v>
      </c>
      <c r="G472" s="40"/>
      <c r="H472" s="40"/>
      <c r="I472" s="114"/>
      <c r="J472" s="27"/>
    </row>
    <row r="473" spans="1:10" ht="24.9" customHeight="1" x14ac:dyDescent="0.3">
      <c r="A473" s="32" t="s">
        <v>599</v>
      </c>
      <c r="B473" s="33" t="s">
        <v>639</v>
      </c>
      <c r="C473" s="33" t="s">
        <v>548</v>
      </c>
      <c r="D473" s="33" t="s">
        <v>625</v>
      </c>
      <c r="E473" s="33" t="s">
        <v>630</v>
      </c>
      <c r="F473" s="34" t="s">
        <v>127</v>
      </c>
      <c r="G473" s="40"/>
      <c r="H473" s="40"/>
      <c r="I473" s="114"/>
      <c r="J473" s="27"/>
    </row>
    <row r="474" spans="1:10" ht="24.9" customHeight="1" x14ac:dyDescent="0.3">
      <c r="A474" s="32" t="s">
        <v>599</v>
      </c>
      <c r="B474" s="33" t="s">
        <v>639</v>
      </c>
      <c r="C474" s="33" t="s">
        <v>548</v>
      </c>
      <c r="D474" s="33" t="s">
        <v>625</v>
      </c>
      <c r="E474" s="33" t="s">
        <v>631</v>
      </c>
      <c r="F474" s="34" t="s">
        <v>127</v>
      </c>
      <c r="G474" s="40"/>
      <c r="H474" s="40"/>
      <c r="I474" s="114"/>
      <c r="J474" s="27"/>
    </row>
    <row r="475" spans="1:10" ht="24.9" customHeight="1" x14ac:dyDescent="0.3">
      <c r="A475" s="32" t="s">
        <v>599</v>
      </c>
      <c r="B475" s="33" t="s">
        <v>639</v>
      </c>
      <c r="C475" s="33" t="s">
        <v>548</v>
      </c>
      <c r="D475" s="33" t="s">
        <v>625</v>
      </c>
      <c r="E475" s="33" t="s">
        <v>791</v>
      </c>
      <c r="F475" s="34" t="s">
        <v>127</v>
      </c>
      <c r="G475" s="40"/>
      <c r="H475" s="53"/>
      <c r="I475" s="114"/>
      <c r="J475" s="27"/>
    </row>
    <row r="476" spans="1:10" ht="24.9" hidden="1" customHeight="1" x14ac:dyDescent="0.3">
      <c r="A476" s="32" t="s">
        <v>599</v>
      </c>
      <c r="B476" s="33" t="s">
        <v>647</v>
      </c>
      <c r="C476" s="33" t="s">
        <v>548</v>
      </c>
      <c r="D476" s="33" t="s">
        <v>641</v>
      </c>
      <c r="E476" s="33" t="s">
        <v>642</v>
      </c>
      <c r="F476" s="34" t="s">
        <v>99</v>
      </c>
      <c r="G476" s="40"/>
      <c r="H476" s="53"/>
      <c r="I476" s="114"/>
      <c r="J476" s="27"/>
    </row>
    <row r="477" spans="1:10" ht="24.9" hidden="1" customHeight="1" x14ac:dyDescent="0.3">
      <c r="A477" s="32" t="s">
        <v>599</v>
      </c>
      <c r="B477" s="33" t="s">
        <v>609</v>
      </c>
      <c r="C477" s="33" t="s">
        <v>548</v>
      </c>
      <c r="D477" s="33" t="s">
        <v>610</v>
      </c>
      <c r="E477" s="33" t="s">
        <v>789</v>
      </c>
      <c r="F477" s="34" t="s">
        <v>99</v>
      </c>
      <c r="G477" s="40"/>
      <c r="H477" s="40" t="s">
        <v>543</v>
      </c>
      <c r="I477" s="114"/>
      <c r="J477" s="27"/>
    </row>
    <row r="478" spans="1:10" ht="24.9" hidden="1" customHeight="1" x14ac:dyDescent="0.3">
      <c r="A478" s="32" t="s">
        <v>599</v>
      </c>
      <c r="B478" s="33" t="s">
        <v>609</v>
      </c>
      <c r="C478" s="33" t="s">
        <v>548</v>
      </c>
      <c r="D478" s="33" t="s">
        <v>601</v>
      </c>
      <c r="E478" s="33" t="s">
        <v>617</v>
      </c>
      <c r="F478" s="34" t="s">
        <v>99</v>
      </c>
      <c r="G478" s="40"/>
      <c r="H478" s="53"/>
      <c r="I478" s="114"/>
      <c r="J478" s="27"/>
    </row>
    <row r="479" spans="1:10" ht="24.9" hidden="1" customHeight="1" x14ac:dyDescent="0.3">
      <c r="A479" s="32" t="s">
        <v>599</v>
      </c>
      <c r="B479" s="33" t="s">
        <v>609</v>
      </c>
      <c r="C479" s="33" t="s">
        <v>548</v>
      </c>
      <c r="D479" s="33" t="s">
        <v>610</v>
      </c>
      <c r="E479" s="33" t="s">
        <v>618</v>
      </c>
      <c r="F479" s="34" t="s">
        <v>99</v>
      </c>
      <c r="G479" s="40"/>
      <c r="H479" s="53"/>
      <c r="I479" s="114"/>
      <c r="J479" s="27"/>
    </row>
    <row r="480" spans="1:10" ht="24.9" hidden="1" customHeight="1" x14ac:dyDescent="0.3">
      <c r="A480" s="32" t="s">
        <v>599</v>
      </c>
      <c r="B480" s="33" t="s">
        <v>609</v>
      </c>
      <c r="C480" s="33" t="s">
        <v>548</v>
      </c>
      <c r="D480" s="33" t="s">
        <v>610</v>
      </c>
      <c r="E480" s="33" t="s">
        <v>619</v>
      </c>
      <c r="F480" s="34" t="s">
        <v>99</v>
      </c>
      <c r="G480" s="40"/>
      <c r="H480" s="53"/>
      <c r="I480" s="114"/>
      <c r="J480" s="27"/>
    </row>
    <row r="481" spans="1:10" ht="24.9" customHeight="1" x14ac:dyDescent="0.3">
      <c r="A481" s="32" t="s">
        <v>599</v>
      </c>
      <c r="B481" s="33" t="s">
        <v>609</v>
      </c>
      <c r="C481" s="33" t="s">
        <v>548</v>
      </c>
      <c r="D481" s="33" t="s">
        <v>610</v>
      </c>
      <c r="E481" s="33" t="s">
        <v>602</v>
      </c>
      <c r="F481" s="34" t="s">
        <v>673</v>
      </c>
      <c r="G481" s="40"/>
      <c r="H481" s="40" t="s">
        <v>603</v>
      </c>
      <c r="I481" s="114" t="s">
        <v>604</v>
      </c>
      <c r="J481" s="27"/>
    </row>
    <row r="482" spans="1:10" ht="24.9" customHeight="1" x14ac:dyDescent="0.3">
      <c r="A482" s="32" t="s">
        <v>599</v>
      </c>
      <c r="B482" s="33" t="s">
        <v>609</v>
      </c>
      <c r="C482" s="33" t="s">
        <v>548</v>
      </c>
      <c r="D482" s="33" t="s">
        <v>610</v>
      </c>
      <c r="E482" s="33" t="s">
        <v>605</v>
      </c>
      <c r="F482" s="34" t="s">
        <v>673</v>
      </c>
      <c r="G482" s="40"/>
      <c r="H482" s="40" t="s">
        <v>300</v>
      </c>
      <c r="I482" s="114" t="s">
        <v>606</v>
      </c>
      <c r="J482" s="27"/>
    </row>
    <row r="483" spans="1:10" ht="24.9" customHeight="1" x14ac:dyDescent="0.3">
      <c r="A483" s="32" t="s">
        <v>599</v>
      </c>
      <c r="B483" s="33" t="s">
        <v>609</v>
      </c>
      <c r="C483" s="33" t="s">
        <v>548</v>
      </c>
      <c r="D483" s="33" t="s">
        <v>610</v>
      </c>
      <c r="E483" s="33" t="s">
        <v>793</v>
      </c>
      <c r="F483" s="34" t="s">
        <v>673</v>
      </c>
      <c r="G483" s="40"/>
      <c r="H483" s="40" t="s">
        <v>227</v>
      </c>
      <c r="I483" s="114" t="s">
        <v>649</v>
      </c>
      <c r="J483" s="27"/>
    </row>
    <row r="484" spans="1:10" ht="24.9" customHeight="1" x14ac:dyDescent="0.3">
      <c r="A484" s="32" t="s">
        <v>599</v>
      </c>
      <c r="B484" s="33" t="s">
        <v>614</v>
      </c>
      <c r="C484" s="33" t="s">
        <v>615</v>
      </c>
      <c r="D484" s="33" t="s">
        <v>848</v>
      </c>
      <c r="E484" s="33" t="s">
        <v>243</v>
      </c>
      <c r="F484" s="34" t="s">
        <v>127</v>
      </c>
      <c r="G484" s="40"/>
      <c r="H484" s="53"/>
      <c r="I484" s="114"/>
      <c r="J484" s="27"/>
    </row>
    <row r="485" spans="1:10" ht="24.9" customHeight="1" x14ac:dyDescent="0.3">
      <c r="A485" s="32" t="s">
        <v>599</v>
      </c>
      <c r="B485" s="33" t="s">
        <v>620</v>
      </c>
      <c r="C485" s="33" t="s">
        <v>615</v>
      </c>
      <c r="D485" s="33" t="s">
        <v>849</v>
      </c>
      <c r="E485" s="33" t="s">
        <v>622</v>
      </c>
      <c r="F485" s="34" t="s">
        <v>127</v>
      </c>
      <c r="G485" s="40"/>
      <c r="H485" s="53"/>
      <c r="I485" s="114"/>
      <c r="J485" s="27"/>
    </row>
    <row r="486" spans="1:10" ht="24.9" customHeight="1" x14ac:dyDescent="0.3">
      <c r="A486" s="32" t="s">
        <v>599</v>
      </c>
      <c r="B486" s="33" t="s">
        <v>620</v>
      </c>
      <c r="C486" s="33" t="s">
        <v>615</v>
      </c>
      <c r="D486" s="33" t="s">
        <v>849</v>
      </c>
      <c r="E486" s="33" t="s">
        <v>623</v>
      </c>
      <c r="F486" s="34" t="s">
        <v>127</v>
      </c>
      <c r="G486" s="40"/>
      <c r="H486" s="53"/>
      <c r="I486" s="114"/>
      <c r="J486" s="27"/>
    </row>
    <row r="487" spans="1:10" ht="24.9" customHeight="1" x14ac:dyDescent="0.3">
      <c r="A487" s="32" t="s">
        <v>599</v>
      </c>
      <c r="B487" s="33" t="s">
        <v>847</v>
      </c>
      <c r="C487" s="33" t="s">
        <v>615</v>
      </c>
      <c r="D487" s="33" t="s">
        <v>616</v>
      </c>
      <c r="E487" s="33" t="s">
        <v>243</v>
      </c>
      <c r="F487" s="34" t="s">
        <v>127</v>
      </c>
      <c r="G487" s="40"/>
      <c r="H487" s="53"/>
      <c r="I487" s="114"/>
      <c r="J487" s="27"/>
    </row>
    <row r="488" spans="1:10" ht="24.9" customHeight="1" x14ac:dyDescent="0.3">
      <c r="A488" s="32" t="s">
        <v>599</v>
      </c>
      <c r="B488" s="33" t="s">
        <v>620</v>
      </c>
      <c r="C488" s="33" t="s">
        <v>615</v>
      </c>
      <c r="D488" s="33" t="s">
        <v>621</v>
      </c>
      <c r="E488" s="33" t="s">
        <v>622</v>
      </c>
      <c r="F488" s="34" t="s">
        <v>127</v>
      </c>
      <c r="G488" s="40"/>
      <c r="H488" s="53"/>
      <c r="I488" s="114"/>
      <c r="J488" s="27"/>
    </row>
    <row r="489" spans="1:10" ht="24.9" customHeight="1" x14ac:dyDescent="0.3">
      <c r="A489" s="32" t="s">
        <v>599</v>
      </c>
      <c r="B489" s="33" t="s">
        <v>620</v>
      </c>
      <c r="C489" s="33" t="s">
        <v>615</v>
      </c>
      <c r="D489" s="33" t="s">
        <v>621</v>
      </c>
      <c r="E489" s="33" t="s">
        <v>623</v>
      </c>
      <c r="F489" s="34" t="s">
        <v>127</v>
      </c>
      <c r="G489" s="40"/>
      <c r="H489" s="53"/>
      <c r="I489" s="114"/>
      <c r="J489" s="27"/>
    </row>
    <row r="490" spans="1:10" ht="24.9" customHeight="1" x14ac:dyDescent="0.3">
      <c r="A490" s="32" t="s">
        <v>650</v>
      </c>
      <c r="B490" s="33" t="s">
        <v>651</v>
      </c>
      <c r="C490" s="33" t="s">
        <v>652</v>
      </c>
      <c r="D490" s="33" t="s">
        <v>653</v>
      </c>
      <c r="E490" s="33" t="s">
        <v>173</v>
      </c>
      <c r="F490" s="34" t="s">
        <v>127</v>
      </c>
      <c r="G490" s="40"/>
      <c r="H490" s="40"/>
      <c r="I490" s="114"/>
      <c r="J490" s="27"/>
    </row>
    <row r="491" spans="1:10" ht="24.9" customHeight="1" x14ac:dyDescent="0.3">
      <c r="A491" s="32" t="s">
        <v>650</v>
      </c>
      <c r="B491" s="33" t="s">
        <v>651</v>
      </c>
      <c r="C491" s="33" t="s">
        <v>652</v>
      </c>
      <c r="D491" s="33" t="s">
        <v>653</v>
      </c>
      <c r="E491" s="33" t="s">
        <v>794</v>
      </c>
      <c r="F491" s="34" t="s">
        <v>127</v>
      </c>
      <c r="G491" s="40"/>
      <c r="H491" s="40"/>
      <c r="I491" s="114"/>
      <c r="J491" s="27"/>
    </row>
    <row r="492" spans="1:10" ht="24.9" customHeight="1" x14ac:dyDescent="0.3">
      <c r="A492" s="32" t="s">
        <v>650</v>
      </c>
      <c r="B492" s="33" t="s">
        <v>651</v>
      </c>
      <c r="C492" s="33" t="s">
        <v>652</v>
      </c>
      <c r="D492" s="33" t="s">
        <v>653</v>
      </c>
      <c r="E492" s="33" t="s">
        <v>183</v>
      </c>
      <c r="F492" s="34" t="s">
        <v>127</v>
      </c>
      <c r="G492" s="40"/>
      <c r="H492" s="40"/>
      <c r="I492" s="114"/>
      <c r="J492" s="27"/>
    </row>
    <row r="493" spans="1:10" ht="24.9" customHeight="1" x14ac:dyDescent="0.3">
      <c r="A493" s="32" t="s">
        <v>650</v>
      </c>
      <c r="B493" s="33" t="s">
        <v>654</v>
      </c>
      <c r="C493" s="33" t="s">
        <v>652</v>
      </c>
      <c r="D493" s="33" t="s">
        <v>655</v>
      </c>
      <c r="E493" s="33" t="s">
        <v>173</v>
      </c>
      <c r="F493" s="34" t="s">
        <v>127</v>
      </c>
      <c r="G493" s="40"/>
      <c r="H493" s="40"/>
      <c r="I493" s="114"/>
      <c r="J493" s="27"/>
    </row>
    <row r="494" spans="1:10" ht="24.9" customHeight="1" x14ac:dyDescent="0.3">
      <c r="A494" s="32" t="s">
        <v>650</v>
      </c>
      <c r="B494" s="33" t="s">
        <v>654</v>
      </c>
      <c r="C494" s="33" t="s">
        <v>652</v>
      </c>
      <c r="D494" s="33" t="s">
        <v>655</v>
      </c>
      <c r="E494" s="33" t="s">
        <v>794</v>
      </c>
      <c r="F494" s="34" t="s">
        <v>127</v>
      </c>
      <c r="G494" s="40"/>
      <c r="H494" s="40"/>
      <c r="I494" s="114"/>
      <c r="J494" s="27"/>
    </row>
    <row r="495" spans="1:10" ht="24.9" customHeight="1" x14ac:dyDescent="0.3">
      <c r="A495" s="32" t="s">
        <v>650</v>
      </c>
      <c r="B495" s="33" t="s">
        <v>654</v>
      </c>
      <c r="C495" s="33" t="s">
        <v>652</v>
      </c>
      <c r="D495" s="33" t="s">
        <v>655</v>
      </c>
      <c r="E495" s="33" t="s">
        <v>183</v>
      </c>
      <c r="F495" s="34" t="s">
        <v>127</v>
      </c>
      <c r="G495" s="40"/>
      <c r="H495" s="40"/>
      <c r="I495" s="114"/>
      <c r="J495" s="27"/>
    </row>
    <row r="496" spans="1:10" ht="24.9" customHeight="1" x14ac:dyDescent="0.3">
      <c r="A496" s="32" t="s">
        <v>650</v>
      </c>
      <c r="B496" s="33" t="s">
        <v>656</v>
      </c>
      <c r="C496" s="33" t="s">
        <v>652</v>
      </c>
      <c r="D496" s="33" t="s">
        <v>657</v>
      </c>
      <c r="E496" s="33" t="s">
        <v>173</v>
      </c>
      <c r="F496" s="34" t="s">
        <v>127</v>
      </c>
      <c r="G496" s="40"/>
      <c r="H496" s="40"/>
      <c r="I496" s="114"/>
      <c r="J496" s="27"/>
    </row>
    <row r="497" spans="1:10" ht="24.9" customHeight="1" x14ac:dyDescent="0.3">
      <c r="A497" s="32" t="s">
        <v>650</v>
      </c>
      <c r="B497" s="33" t="s">
        <v>656</v>
      </c>
      <c r="C497" s="33" t="s">
        <v>652</v>
      </c>
      <c r="D497" s="33" t="s">
        <v>657</v>
      </c>
      <c r="E497" s="33" t="s">
        <v>794</v>
      </c>
      <c r="F497" s="34" t="s">
        <v>127</v>
      </c>
      <c r="G497" s="40"/>
      <c r="H497" s="40"/>
      <c r="I497" s="114"/>
      <c r="J497" s="27"/>
    </row>
    <row r="498" spans="1:10" ht="24.9" customHeight="1" x14ac:dyDescent="0.3">
      <c r="A498" s="32" t="s">
        <v>650</v>
      </c>
      <c r="B498" s="33" t="s">
        <v>656</v>
      </c>
      <c r="C498" s="33" t="s">
        <v>652</v>
      </c>
      <c r="D498" s="33" t="s">
        <v>657</v>
      </c>
      <c r="E498" s="33" t="s">
        <v>183</v>
      </c>
      <c r="F498" s="34" t="s">
        <v>127</v>
      </c>
      <c r="G498" s="40"/>
      <c r="H498" s="40"/>
      <c r="I498" s="114"/>
      <c r="J498" s="27"/>
    </row>
    <row r="499" spans="1:10" ht="24.9" customHeight="1" x14ac:dyDescent="0.3">
      <c r="A499" s="32" t="s">
        <v>650</v>
      </c>
      <c r="B499" s="33" t="s">
        <v>659</v>
      </c>
      <c r="C499" s="33" t="s">
        <v>652</v>
      </c>
      <c r="D499" s="33" t="s">
        <v>185</v>
      </c>
      <c r="E499" s="33" t="s">
        <v>160</v>
      </c>
      <c r="F499" s="34" t="s">
        <v>127</v>
      </c>
      <c r="G499" s="40"/>
      <c r="H499" s="51"/>
      <c r="I499" s="114"/>
      <c r="J499" s="27"/>
    </row>
    <row r="500" spans="1:10" ht="24.9" customHeight="1" x14ac:dyDescent="0.3">
      <c r="A500" s="32" t="s">
        <v>650</v>
      </c>
      <c r="B500" s="33" t="s">
        <v>659</v>
      </c>
      <c r="C500" s="33" t="s">
        <v>652</v>
      </c>
      <c r="D500" s="33" t="s">
        <v>185</v>
      </c>
      <c r="E500" s="33" t="s">
        <v>183</v>
      </c>
      <c r="F500" s="34" t="s">
        <v>127</v>
      </c>
      <c r="G500" s="40"/>
      <c r="H500" s="51"/>
      <c r="I500" s="114"/>
      <c r="J500" s="27"/>
    </row>
    <row r="501" spans="1:10" ht="24.9" customHeight="1" x14ac:dyDescent="0.3">
      <c r="A501" s="32" t="s">
        <v>650</v>
      </c>
      <c r="B501" s="33" t="s">
        <v>658</v>
      </c>
      <c r="C501" s="33" t="s">
        <v>652</v>
      </c>
      <c r="D501" s="33" t="s">
        <v>189</v>
      </c>
      <c r="E501" s="33" t="s">
        <v>160</v>
      </c>
      <c r="F501" s="34" t="s">
        <v>127</v>
      </c>
      <c r="G501" s="40"/>
      <c r="H501" s="51"/>
      <c r="I501" s="114"/>
      <c r="J501" s="27"/>
    </row>
    <row r="502" spans="1:10" ht="24.9" customHeight="1" x14ac:dyDescent="0.3">
      <c r="A502" s="32" t="s">
        <v>650</v>
      </c>
      <c r="B502" s="33" t="s">
        <v>658</v>
      </c>
      <c r="C502" s="33" t="s">
        <v>652</v>
      </c>
      <c r="D502" s="33" t="s">
        <v>189</v>
      </c>
      <c r="E502" s="33" t="s">
        <v>183</v>
      </c>
      <c r="F502" s="34" t="s">
        <v>127</v>
      </c>
      <c r="G502" s="40"/>
      <c r="H502" s="51"/>
      <c r="I502" s="114"/>
      <c r="J502" s="27"/>
    </row>
    <row r="503" spans="1:10" ht="24.9" customHeight="1" x14ac:dyDescent="0.3">
      <c r="A503" s="32" t="s">
        <v>650</v>
      </c>
      <c r="B503" s="33" t="s">
        <v>660</v>
      </c>
      <c r="C503" s="33" t="s">
        <v>652</v>
      </c>
      <c r="D503" s="33" t="s">
        <v>187</v>
      </c>
      <c r="E503" s="33" t="s">
        <v>160</v>
      </c>
      <c r="F503" s="34" t="s">
        <v>127</v>
      </c>
      <c r="G503" s="40"/>
      <c r="H503" s="51"/>
      <c r="I503" s="114"/>
      <c r="J503" s="27"/>
    </row>
    <row r="504" spans="1:10" ht="24.9" customHeight="1" x14ac:dyDescent="0.3">
      <c r="A504" s="32" t="s">
        <v>650</v>
      </c>
      <c r="B504" s="33" t="s">
        <v>660</v>
      </c>
      <c r="C504" s="33" t="s">
        <v>652</v>
      </c>
      <c r="D504" s="33" t="s">
        <v>187</v>
      </c>
      <c r="E504" s="33" t="s">
        <v>183</v>
      </c>
      <c r="F504" s="34" t="s">
        <v>127</v>
      </c>
      <c r="G504" s="40"/>
      <c r="H504" s="51"/>
      <c r="I504" s="114"/>
      <c r="J504" s="27"/>
    </row>
    <row r="505" spans="1:10" ht="24.9" customHeight="1" x14ac:dyDescent="0.3">
      <c r="A505" s="32" t="s">
        <v>661</v>
      </c>
      <c r="B505" s="33" t="s">
        <v>662</v>
      </c>
      <c r="C505" s="33" t="s">
        <v>370</v>
      </c>
      <c r="D505" s="33" t="s">
        <v>663</v>
      </c>
      <c r="E505" s="33" t="s">
        <v>780</v>
      </c>
      <c r="F505" s="34" t="s">
        <v>127</v>
      </c>
      <c r="G505" s="40"/>
      <c r="H505" s="40"/>
      <c r="I505" s="114"/>
      <c r="J505" s="27"/>
    </row>
    <row r="506" spans="1:10" ht="24.9" hidden="1" customHeight="1" x14ac:dyDescent="0.3">
      <c r="A506" s="32" t="s">
        <v>661</v>
      </c>
      <c r="B506" s="33" t="s">
        <v>664</v>
      </c>
      <c r="C506" s="33" t="s">
        <v>665</v>
      </c>
      <c r="D506" s="33" t="s">
        <v>804</v>
      </c>
      <c r="E506" s="33" t="s">
        <v>666</v>
      </c>
      <c r="F506" s="34" t="s">
        <v>99</v>
      </c>
      <c r="G506" s="40"/>
      <c r="H506" s="40"/>
      <c r="I506" s="114"/>
      <c r="J506" s="27"/>
    </row>
    <row r="507" spans="1:10" ht="24.9" customHeight="1" x14ac:dyDescent="0.3">
      <c r="A507" s="32" t="s">
        <v>661</v>
      </c>
      <c r="B507" s="33" t="s">
        <v>664</v>
      </c>
      <c r="C507" s="33" t="s">
        <v>665</v>
      </c>
      <c r="D507" s="33" t="s">
        <v>804</v>
      </c>
      <c r="E507" s="33" t="s">
        <v>795</v>
      </c>
      <c r="F507" s="34" t="s">
        <v>127</v>
      </c>
      <c r="G507" s="40"/>
      <c r="H507" s="40"/>
      <c r="I507" s="114"/>
      <c r="J507" s="27"/>
    </row>
    <row r="508" spans="1:10" ht="24.9" hidden="1" customHeight="1" x14ac:dyDescent="0.3">
      <c r="A508" s="32" t="s">
        <v>661</v>
      </c>
      <c r="B508" s="33" t="s">
        <v>668</v>
      </c>
      <c r="C508" s="33" t="s">
        <v>665</v>
      </c>
      <c r="D508" s="33" t="s">
        <v>805</v>
      </c>
      <c r="E508" s="33" t="s">
        <v>666</v>
      </c>
      <c r="F508" s="34" t="s">
        <v>99</v>
      </c>
      <c r="G508" s="40"/>
      <c r="H508" s="40"/>
      <c r="I508" s="114"/>
      <c r="J508" s="27"/>
    </row>
    <row r="509" spans="1:10" ht="24.9" customHeight="1" x14ac:dyDescent="0.3">
      <c r="A509" s="32" t="s">
        <v>661</v>
      </c>
      <c r="B509" s="33" t="s">
        <v>668</v>
      </c>
      <c r="C509" s="33" t="s">
        <v>665</v>
      </c>
      <c r="D509" s="33" t="s">
        <v>805</v>
      </c>
      <c r="E509" s="33" t="s">
        <v>795</v>
      </c>
      <c r="F509" s="34" t="s">
        <v>127</v>
      </c>
      <c r="G509" s="40"/>
      <c r="H509" s="40"/>
      <c r="I509" s="114"/>
      <c r="J509" s="27"/>
    </row>
    <row r="510" spans="1:10" ht="24.9" customHeight="1" x14ac:dyDescent="0.3">
      <c r="A510" s="32" t="s">
        <v>661</v>
      </c>
      <c r="B510" s="33" t="s">
        <v>669</v>
      </c>
      <c r="C510" s="33" t="s">
        <v>551</v>
      </c>
      <c r="D510" s="33" t="s">
        <v>670</v>
      </c>
      <c r="E510" s="33" t="s">
        <v>671</v>
      </c>
      <c r="F510" s="34" t="s">
        <v>127</v>
      </c>
      <c r="G510" s="40"/>
      <c r="H510" s="40"/>
      <c r="I510" s="114"/>
      <c r="J510" s="27"/>
    </row>
    <row r="511" spans="1:10" ht="24.9" customHeight="1" x14ac:dyDescent="0.3">
      <c r="A511" s="32" t="s">
        <v>661</v>
      </c>
      <c r="B511" s="33" t="s">
        <v>669</v>
      </c>
      <c r="C511" s="33" t="s">
        <v>551</v>
      </c>
      <c r="D511" s="33" t="s">
        <v>670</v>
      </c>
      <c r="E511" s="33" t="s">
        <v>796</v>
      </c>
      <c r="F511" s="34" t="s">
        <v>127</v>
      </c>
      <c r="G511" s="40"/>
      <c r="H511" s="40"/>
      <c r="I511" s="114"/>
      <c r="J511" s="27"/>
    </row>
    <row r="512" spans="1:10" ht="24.9" customHeight="1" x14ac:dyDescent="0.3">
      <c r="A512" s="32" t="s">
        <v>661</v>
      </c>
      <c r="B512" s="33" t="s">
        <v>669</v>
      </c>
      <c r="C512" s="33" t="s">
        <v>551</v>
      </c>
      <c r="D512" s="33" t="s">
        <v>670</v>
      </c>
      <c r="E512" s="33" t="s">
        <v>674</v>
      </c>
      <c r="F512" s="34" t="s">
        <v>127</v>
      </c>
      <c r="G512" s="40"/>
      <c r="H512" s="40"/>
      <c r="I512" s="114"/>
      <c r="J512" s="27"/>
    </row>
    <row r="513" spans="1:10" ht="24.9" customHeight="1" x14ac:dyDescent="0.3">
      <c r="A513" s="32" t="s">
        <v>661</v>
      </c>
      <c r="B513" s="33" t="s">
        <v>675</v>
      </c>
      <c r="C513" s="33" t="s">
        <v>554</v>
      </c>
      <c r="D513" s="33" t="s">
        <v>670</v>
      </c>
      <c r="E513" s="33" t="s">
        <v>671</v>
      </c>
      <c r="F513" s="34" t="s">
        <v>127</v>
      </c>
      <c r="G513" s="40"/>
      <c r="H513" s="40"/>
      <c r="I513" s="114"/>
      <c r="J513" s="27"/>
    </row>
    <row r="514" spans="1:10" ht="24.9" customHeight="1" x14ac:dyDescent="0.3">
      <c r="A514" s="32" t="s">
        <v>661</v>
      </c>
      <c r="B514" s="33" t="s">
        <v>675</v>
      </c>
      <c r="C514" s="33" t="s">
        <v>554</v>
      </c>
      <c r="D514" s="33" t="s">
        <v>670</v>
      </c>
      <c r="E514" s="33" t="s">
        <v>796</v>
      </c>
      <c r="F514" s="34" t="s">
        <v>127</v>
      </c>
      <c r="G514" s="40"/>
      <c r="H514" s="40"/>
      <c r="I514" s="114"/>
      <c r="J514" s="27"/>
    </row>
    <row r="515" spans="1:10" ht="24.9" customHeight="1" x14ac:dyDescent="0.3">
      <c r="A515" s="32" t="s">
        <v>661</v>
      </c>
      <c r="B515" s="33" t="s">
        <v>675</v>
      </c>
      <c r="C515" s="33" t="s">
        <v>554</v>
      </c>
      <c r="D515" s="33" t="s">
        <v>670</v>
      </c>
      <c r="E515" s="33" t="s">
        <v>674</v>
      </c>
      <c r="F515" s="34" t="s">
        <v>127</v>
      </c>
      <c r="G515" s="40"/>
      <c r="H515" s="40"/>
      <c r="I515" s="114"/>
      <c r="J515" s="27"/>
    </row>
    <row r="516" spans="1:10" ht="24.9" customHeight="1" x14ac:dyDescent="0.3">
      <c r="A516" s="32" t="s">
        <v>661</v>
      </c>
      <c r="B516" s="33" t="s">
        <v>676</v>
      </c>
      <c r="C516" s="33" t="s">
        <v>556</v>
      </c>
      <c r="D516" s="33" t="s">
        <v>670</v>
      </c>
      <c r="E516" s="33" t="s">
        <v>671</v>
      </c>
      <c r="F516" s="34" t="s">
        <v>673</v>
      </c>
      <c r="G516" s="40"/>
      <c r="H516" s="40"/>
      <c r="I516" s="114" t="s">
        <v>120</v>
      </c>
      <c r="J516" s="27"/>
    </row>
    <row r="517" spans="1:10" ht="24.9" customHeight="1" x14ac:dyDescent="0.3">
      <c r="A517" s="32" t="s">
        <v>661</v>
      </c>
      <c r="B517" s="33" t="s">
        <v>676</v>
      </c>
      <c r="C517" s="33" t="s">
        <v>556</v>
      </c>
      <c r="D517" s="33" t="s">
        <v>670</v>
      </c>
      <c r="E517" s="33" t="s">
        <v>796</v>
      </c>
      <c r="F517" s="34" t="s">
        <v>673</v>
      </c>
      <c r="G517" s="40"/>
      <c r="H517" s="40"/>
      <c r="I517" s="114" t="s">
        <v>120</v>
      </c>
      <c r="J517" s="27"/>
    </row>
    <row r="518" spans="1:10" ht="24.9" customHeight="1" x14ac:dyDescent="0.3">
      <c r="A518" s="32" t="s">
        <v>661</v>
      </c>
      <c r="B518" s="33" t="s">
        <v>676</v>
      </c>
      <c r="C518" s="33" t="s">
        <v>556</v>
      </c>
      <c r="D518" s="33" t="s">
        <v>670</v>
      </c>
      <c r="E518" s="33" t="s">
        <v>674</v>
      </c>
      <c r="F518" s="34" t="s">
        <v>673</v>
      </c>
      <c r="G518" s="40"/>
      <c r="H518" s="40"/>
      <c r="I518" s="114" t="s">
        <v>120</v>
      </c>
      <c r="J518" s="27"/>
    </row>
    <row r="519" spans="1:10" ht="24.9" customHeight="1" x14ac:dyDescent="0.3">
      <c r="A519" s="32" t="s">
        <v>661</v>
      </c>
      <c r="B519" s="33" t="s">
        <v>677</v>
      </c>
      <c r="C519" s="33" t="s">
        <v>558</v>
      </c>
      <c r="D519" s="33" t="s">
        <v>670</v>
      </c>
      <c r="E519" s="33" t="s">
        <v>671</v>
      </c>
      <c r="F519" s="34" t="s">
        <v>673</v>
      </c>
      <c r="G519" s="40"/>
      <c r="H519" s="40"/>
      <c r="I519" s="114" t="s">
        <v>120</v>
      </c>
      <c r="J519" s="27"/>
    </row>
    <row r="520" spans="1:10" ht="24.9" customHeight="1" x14ac:dyDescent="0.3">
      <c r="A520" s="32" t="s">
        <v>661</v>
      </c>
      <c r="B520" s="33" t="s">
        <v>677</v>
      </c>
      <c r="C520" s="33" t="s">
        <v>558</v>
      </c>
      <c r="D520" s="33" t="s">
        <v>670</v>
      </c>
      <c r="E520" s="33" t="s">
        <v>796</v>
      </c>
      <c r="F520" s="34" t="s">
        <v>673</v>
      </c>
      <c r="G520" s="40"/>
      <c r="H520" s="40"/>
      <c r="I520" s="114" t="s">
        <v>120</v>
      </c>
      <c r="J520" s="27"/>
    </row>
    <row r="521" spans="1:10" ht="24.9" customHeight="1" x14ac:dyDescent="0.3">
      <c r="A521" s="32" t="s">
        <v>661</v>
      </c>
      <c r="B521" s="33" t="s">
        <v>677</v>
      </c>
      <c r="C521" s="33" t="s">
        <v>558</v>
      </c>
      <c r="D521" s="33" t="s">
        <v>670</v>
      </c>
      <c r="E521" s="33" t="s">
        <v>674</v>
      </c>
      <c r="F521" s="34" t="s">
        <v>673</v>
      </c>
      <c r="G521" s="40"/>
      <c r="H521" s="40"/>
      <c r="I521" s="114" t="s">
        <v>120</v>
      </c>
      <c r="J521" s="27"/>
    </row>
    <row r="522" spans="1:10" ht="24.9" customHeight="1" x14ac:dyDescent="0.3">
      <c r="A522" s="32" t="s">
        <v>661</v>
      </c>
      <c r="B522" s="33" t="s">
        <v>678</v>
      </c>
      <c r="C522" s="33" t="s">
        <v>560</v>
      </c>
      <c r="D522" s="33" t="s">
        <v>670</v>
      </c>
      <c r="E522" s="33" t="s">
        <v>671</v>
      </c>
      <c r="F522" s="34" t="s">
        <v>673</v>
      </c>
      <c r="G522" s="40"/>
      <c r="H522" s="40"/>
      <c r="I522" s="114" t="s">
        <v>120</v>
      </c>
      <c r="J522" s="27"/>
    </row>
    <row r="523" spans="1:10" ht="24.9" customHeight="1" x14ac:dyDescent="0.3">
      <c r="A523" s="32" t="s">
        <v>661</v>
      </c>
      <c r="B523" s="33" t="s">
        <v>678</v>
      </c>
      <c r="C523" s="33" t="s">
        <v>560</v>
      </c>
      <c r="D523" s="33" t="s">
        <v>670</v>
      </c>
      <c r="E523" s="33" t="s">
        <v>796</v>
      </c>
      <c r="F523" s="34" t="s">
        <v>673</v>
      </c>
      <c r="G523" s="40"/>
      <c r="H523" s="40"/>
      <c r="I523" s="114" t="s">
        <v>120</v>
      </c>
      <c r="J523" s="27"/>
    </row>
    <row r="524" spans="1:10" ht="24.9" customHeight="1" x14ac:dyDescent="0.3">
      <c r="A524" s="32" t="s">
        <v>661</v>
      </c>
      <c r="B524" s="33" t="s">
        <v>678</v>
      </c>
      <c r="C524" s="33" t="s">
        <v>560</v>
      </c>
      <c r="D524" s="33" t="s">
        <v>670</v>
      </c>
      <c r="E524" s="33" t="s">
        <v>674</v>
      </c>
      <c r="F524" s="34" t="s">
        <v>673</v>
      </c>
      <c r="G524" s="40"/>
      <c r="H524" s="40"/>
      <c r="I524" s="114" t="s">
        <v>120</v>
      </c>
      <c r="J524" s="27"/>
    </row>
    <row r="525" spans="1:10" ht="24.9" customHeight="1" x14ac:dyDescent="0.3">
      <c r="A525" s="32" t="s">
        <v>661</v>
      </c>
      <c r="B525" s="33" t="s">
        <v>679</v>
      </c>
      <c r="C525" s="33" t="s">
        <v>548</v>
      </c>
      <c r="D525" s="33" t="s">
        <v>670</v>
      </c>
      <c r="E525" s="33" t="s">
        <v>671</v>
      </c>
      <c r="F525" s="34" t="s">
        <v>673</v>
      </c>
      <c r="G525" s="40"/>
      <c r="H525" s="40"/>
      <c r="I525" s="114" t="s">
        <v>120</v>
      </c>
      <c r="J525" s="27"/>
    </row>
    <row r="526" spans="1:10" ht="24.9" customHeight="1" x14ac:dyDescent="0.3">
      <c r="A526" s="32" t="s">
        <v>661</v>
      </c>
      <c r="B526" s="33" t="s">
        <v>679</v>
      </c>
      <c r="C526" s="33" t="s">
        <v>548</v>
      </c>
      <c r="D526" s="33" t="s">
        <v>670</v>
      </c>
      <c r="E526" s="33" t="s">
        <v>796</v>
      </c>
      <c r="F526" s="34" t="s">
        <v>673</v>
      </c>
      <c r="G526" s="40"/>
      <c r="H526" s="40"/>
      <c r="I526" s="114" t="s">
        <v>120</v>
      </c>
      <c r="J526" s="27"/>
    </row>
    <row r="527" spans="1:10" ht="24.9" customHeight="1" x14ac:dyDescent="0.3">
      <c r="A527" s="32" t="s">
        <v>661</v>
      </c>
      <c r="B527" s="33" t="s">
        <v>679</v>
      </c>
      <c r="C527" s="33" t="s">
        <v>548</v>
      </c>
      <c r="D527" s="33" t="s">
        <v>670</v>
      </c>
      <c r="E527" s="33" t="s">
        <v>674</v>
      </c>
      <c r="F527" s="34" t="s">
        <v>673</v>
      </c>
      <c r="G527" s="40"/>
      <c r="H527" s="40"/>
      <c r="I527" s="114" t="s">
        <v>120</v>
      </c>
      <c r="J527" s="27"/>
    </row>
    <row r="528" spans="1:10" ht="24.9" hidden="1" customHeight="1" x14ac:dyDescent="0.3">
      <c r="A528" s="32" t="s">
        <v>680</v>
      </c>
      <c r="B528" s="33" t="s">
        <v>702</v>
      </c>
      <c r="C528" s="33" t="s">
        <v>703</v>
      </c>
      <c r="D528" s="33" t="s">
        <v>704</v>
      </c>
      <c r="E528" s="33" t="s">
        <v>765</v>
      </c>
      <c r="F528" s="34" t="s">
        <v>99</v>
      </c>
      <c r="G528" s="40"/>
      <c r="H528" s="40" t="s">
        <v>543</v>
      </c>
      <c r="I528" s="114"/>
      <c r="J528" s="27"/>
    </row>
    <row r="529" spans="1:10" ht="24.9" customHeight="1" x14ac:dyDescent="0.3">
      <c r="A529" s="32" t="s">
        <v>680</v>
      </c>
      <c r="B529" s="33" t="s">
        <v>702</v>
      </c>
      <c r="C529" s="33" t="s">
        <v>703</v>
      </c>
      <c r="D529" s="33" t="s">
        <v>704</v>
      </c>
      <c r="E529" s="33" t="s">
        <v>225</v>
      </c>
      <c r="F529" s="34" t="s">
        <v>673</v>
      </c>
      <c r="G529" s="40"/>
      <c r="H529" s="40" t="s">
        <v>227</v>
      </c>
      <c r="I529" s="114" t="s">
        <v>226</v>
      </c>
      <c r="J529" s="27"/>
    </row>
    <row r="530" spans="1:10" ht="24.9" customHeight="1" x14ac:dyDescent="0.3">
      <c r="A530" s="32" t="s">
        <v>680</v>
      </c>
      <c r="B530" s="33" t="s">
        <v>702</v>
      </c>
      <c r="C530" s="33" t="s">
        <v>703</v>
      </c>
      <c r="D530" s="33" t="s">
        <v>704</v>
      </c>
      <c r="E530" s="33" t="s">
        <v>764</v>
      </c>
      <c r="F530" s="34" t="s">
        <v>167</v>
      </c>
      <c r="G530" s="40"/>
      <c r="H530" s="40"/>
      <c r="I530" s="114"/>
      <c r="J530" s="27"/>
    </row>
    <row r="531" spans="1:10" ht="24.9" customHeight="1" x14ac:dyDescent="0.3">
      <c r="A531" s="32" t="s">
        <v>680</v>
      </c>
      <c r="B531" s="33" t="s">
        <v>702</v>
      </c>
      <c r="C531" s="33" t="s">
        <v>703</v>
      </c>
      <c r="D531" s="33" t="s">
        <v>704</v>
      </c>
      <c r="E531" s="33" t="s">
        <v>195</v>
      </c>
      <c r="F531" s="34" t="s">
        <v>167</v>
      </c>
      <c r="G531" s="40"/>
      <c r="H531" s="51"/>
      <c r="I531" s="114"/>
      <c r="J531" s="27"/>
    </row>
    <row r="532" spans="1:10" ht="24.9" customHeight="1" x14ac:dyDescent="0.3">
      <c r="A532" s="32" t="s">
        <v>680</v>
      </c>
      <c r="B532" s="33" t="s">
        <v>689</v>
      </c>
      <c r="C532" s="33" t="s">
        <v>690</v>
      </c>
      <c r="D532" s="33" t="s">
        <v>691</v>
      </c>
      <c r="E532" s="33" t="s">
        <v>692</v>
      </c>
      <c r="F532" s="34" t="s">
        <v>673</v>
      </c>
      <c r="G532" s="40"/>
      <c r="H532" s="40" t="s">
        <v>837</v>
      </c>
      <c r="I532" s="114" t="s">
        <v>693</v>
      </c>
      <c r="J532" s="27"/>
    </row>
    <row r="533" spans="1:10" ht="24.9" customHeight="1" x14ac:dyDescent="0.3">
      <c r="A533" s="32" t="s">
        <v>680</v>
      </c>
      <c r="B533" s="33" t="s">
        <v>689</v>
      </c>
      <c r="C533" s="33" t="s">
        <v>690</v>
      </c>
      <c r="D533" s="33" t="s">
        <v>691</v>
      </c>
      <c r="E533" s="33" t="s">
        <v>694</v>
      </c>
      <c r="F533" s="34" t="s">
        <v>673</v>
      </c>
      <c r="G533" s="40"/>
      <c r="H533" s="40" t="s">
        <v>837</v>
      </c>
      <c r="I533" s="114" t="s">
        <v>695</v>
      </c>
      <c r="J533" s="27"/>
    </row>
    <row r="534" spans="1:10" ht="24.9" customHeight="1" x14ac:dyDescent="0.3">
      <c r="A534" s="32" t="s">
        <v>680</v>
      </c>
      <c r="B534" s="33" t="s">
        <v>689</v>
      </c>
      <c r="C534" s="33" t="s">
        <v>690</v>
      </c>
      <c r="D534" s="33" t="s">
        <v>691</v>
      </c>
      <c r="E534" s="33" t="s">
        <v>714</v>
      </c>
      <c r="F534" s="34" t="s">
        <v>127</v>
      </c>
      <c r="G534" s="40"/>
      <c r="H534" s="40"/>
      <c r="I534" s="114"/>
      <c r="J534" s="27"/>
    </row>
    <row r="535" spans="1:10" ht="24.9" customHeight="1" x14ac:dyDescent="0.3">
      <c r="A535" s="32" t="s">
        <v>680</v>
      </c>
      <c r="B535" s="33" t="s">
        <v>689</v>
      </c>
      <c r="C535" s="33" t="s">
        <v>690</v>
      </c>
      <c r="D535" s="33" t="s">
        <v>691</v>
      </c>
      <c r="E535" s="33" t="s">
        <v>715</v>
      </c>
      <c r="F535" s="34" t="s">
        <v>127</v>
      </c>
      <c r="G535" s="40"/>
      <c r="H535" s="40"/>
      <c r="I535" s="114"/>
      <c r="J535" s="27"/>
    </row>
    <row r="536" spans="1:10" ht="24.9" customHeight="1" x14ac:dyDescent="0.3">
      <c r="A536" s="32" t="s">
        <v>680</v>
      </c>
      <c r="B536" s="33" t="s">
        <v>689</v>
      </c>
      <c r="C536" s="33" t="s">
        <v>690</v>
      </c>
      <c r="D536" s="33" t="s">
        <v>691</v>
      </c>
      <c r="E536" s="33" t="s">
        <v>716</v>
      </c>
      <c r="F536" s="34" t="s">
        <v>127</v>
      </c>
      <c r="G536" s="40"/>
      <c r="H536" s="40"/>
      <c r="I536" s="114"/>
      <c r="J536" s="27"/>
    </row>
    <row r="537" spans="1:10" ht="24.9" hidden="1" customHeight="1" x14ac:dyDescent="0.3">
      <c r="A537" s="32" t="s">
        <v>680</v>
      </c>
      <c r="B537" s="33" t="s">
        <v>689</v>
      </c>
      <c r="C537" s="33" t="s">
        <v>690</v>
      </c>
      <c r="D537" s="33" t="s">
        <v>699</v>
      </c>
      <c r="E537" s="33" t="s">
        <v>700</v>
      </c>
      <c r="F537" s="34" t="s">
        <v>95</v>
      </c>
      <c r="G537" s="40"/>
      <c r="H537" s="40"/>
      <c r="I537" s="114"/>
      <c r="J537" s="27"/>
    </row>
    <row r="538" spans="1:10" ht="24.9" hidden="1" customHeight="1" x14ac:dyDescent="0.3">
      <c r="A538" s="32" t="s">
        <v>680</v>
      </c>
      <c r="B538" s="33" t="s">
        <v>689</v>
      </c>
      <c r="C538" s="33" t="s">
        <v>690</v>
      </c>
      <c r="D538" s="33" t="s">
        <v>699</v>
      </c>
      <c r="E538" s="33" t="s">
        <v>701</v>
      </c>
      <c r="F538" s="34" t="s">
        <v>95</v>
      </c>
      <c r="G538" s="40"/>
      <c r="H538" s="40"/>
      <c r="I538" s="114"/>
      <c r="J538" s="27"/>
    </row>
    <row r="539" spans="1:10" ht="24.9" customHeight="1" x14ac:dyDescent="0.3">
      <c r="A539" s="32" t="s">
        <v>680</v>
      </c>
      <c r="B539" s="33" t="s">
        <v>681</v>
      </c>
      <c r="C539" s="33" t="s">
        <v>682</v>
      </c>
      <c r="D539" s="33" t="s">
        <v>683</v>
      </c>
      <c r="E539" s="33" t="s">
        <v>229</v>
      </c>
      <c r="F539" s="34" t="s">
        <v>673</v>
      </c>
      <c r="G539" s="40"/>
      <c r="H539" s="40" t="s">
        <v>837</v>
      </c>
      <c r="I539" s="114" t="s">
        <v>684</v>
      </c>
      <c r="J539" s="42"/>
    </row>
    <row r="540" spans="1:10" ht="24.9" customHeight="1" x14ac:dyDescent="0.3">
      <c r="A540" s="32" t="s">
        <v>680</v>
      </c>
      <c r="B540" s="33" t="s">
        <v>681</v>
      </c>
      <c r="C540" s="33" t="s">
        <v>682</v>
      </c>
      <c r="D540" s="33" t="s">
        <v>683</v>
      </c>
      <c r="E540" s="33" t="s">
        <v>713</v>
      </c>
      <c r="F540" s="34" t="s">
        <v>127</v>
      </c>
      <c r="G540" s="40"/>
      <c r="H540" s="40"/>
      <c r="I540" s="114"/>
      <c r="J540" s="27"/>
    </row>
    <row r="541" spans="1:10" ht="24.9" customHeight="1" x14ac:dyDescent="0.3">
      <c r="A541" s="32" t="s">
        <v>680</v>
      </c>
      <c r="B541" s="33" t="s">
        <v>681</v>
      </c>
      <c r="C541" s="33" t="s">
        <v>682</v>
      </c>
      <c r="D541" s="33" t="s">
        <v>683</v>
      </c>
      <c r="E541" s="33" t="s">
        <v>221</v>
      </c>
      <c r="F541" s="34" t="s">
        <v>127</v>
      </c>
      <c r="G541" s="40"/>
      <c r="H541" s="40"/>
      <c r="I541" s="114"/>
      <c r="J541" s="42"/>
    </row>
    <row r="542" spans="1:10" ht="24.9" hidden="1" customHeight="1" x14ac:dyDescent="0.3">
      <c r="A542" s="32" t="s">
        <v>680</v>
      </c>
      <c r="B542" s="33" t="s">
        <v>705</v>
      </c>
      <c r="C542" s="33" t="s">
        <v>703</v>
      </c>
      <c r="D542" s="33" t="s">
        <v>706</v>
      </c>
      <c r="E542" s="33" t="s">
        <v>213</v>
      </c>
      <c r="F542" s="34" t="s">
        <v>99</v>
      </c>
      <c r="G542" s="40"/>
      <c r="H542" s="51"/>
      <c r="I542" s="114"/>
      <c r="J542" s="27"/>
    </row>
    <row r="543" spans="1:10" ht="24.9" hidden="1" customHeight="1" x14ac:dyDescent="0.3">
      <c r="A543" s="32" t="s">
        <v>680</v>
      </c>
      <c r="B543" s="33" t="s">
        <v>705</v>
      </c>
      <c r="C543" s="33" t="s">
        <v>703</v>
      </c>
      <c r="D543" s="33" t="s">
        <v>706</v>
      </c>
      <c r="E543" s="33" t="s">
        <v>707</v>
      </c>
      <c r="F543" s="34" t="s">
        <v>99</v>
      </c>
      <c r="G543" s="40"/>
      <c r="H543" s="40"/>
      <c r="I543" s="114"/>
      <c r="J543" s="27"/>
    </row>
    <row r="544" spans="1:10" ht="24.9" hidden="1" customHeight="1" x14ac:dyDescent="0.3">
      <c r="A544" s="32" t="s">
        <v>680</v>
      </c>
      <c r="B544" s="33" t="s">
        <v>705</v>
      </c>
      <c r="C544" s="33" t="s">
        <v>703</v>
      </c>
      <c r="D544" s="33" t="s">
        <v>708</v>
      </c>
      <c r="E544" s="33" t="s">
        <v>160</v>
      </c>
      <c r="F544" s="34" t="s">
        <v>99</v>
      </c>
      <c r="G544" s="40"/>
      <c r="H544" s="40"/>
      <c r="I544" s="114"/>
      <c r="J544" s="27"/>
    </row>
    <row r="545" spans="1:10" ht="24.9" customHeight="1" x14ac:dyDescent="0.3">
      <c r="A545" s="32" t="s">
        <v>680</v>
      </c>
      <c r="B545" s="33" t="s">
        <v>705</v>
      </c>
      <c r="C545" s="33" t="s">
        <v>703</v>
      </c>
      <c r="D545" s="33" t="s">
        <v>708</v>
      </c>
      <c r="E545" s="33" t="s">
        <v>797</v>
      </c>
      <c r="F545" s="34" t="s">
        <v>127</v>
      </c>
      <c r="G545" s="40"/>
      <c r="H545" s="40"/>
      <c r="I545" s="114"/>
      <c r="J545" s="27"/>
    </row>
    <row r="546" spans="1:10" ht="24.9" hidden="1" customHeight="1" x14ac:dyDescent="0.3">
      <c r="A546" s="32" t="s">
        <v>680</v>
      </c>
      <c r="B546" s="33" t="s">
        <v>705</v>
      </c>
      <c r="C546" s="33" t="s">
        <v>703</v>
      </c>
      <c r="D546" s="33" t="s">
        <v>708</v>
      </c>
      <c r="E546" s="33" t="s">
        <v>217</v>
      </c>
      <c r="F546" s="34"/>
      <c r="G546" s="29"/>
      <c r="H546" s="29"/>
      <c r="I546" s="25"/>
      <c r="J546" s="27"/>
    </row>
    <row r="547" spans="1:10" ht="24.9" customHeight="1" x14ac:dyDescent="0.3">
      <c r="A547" s="32" t="s">
        <v>680</v>
      </c>
      <c r="B547" s="33" t="s">
        <v>705</v>
      </c>
      <c r="C547" s="33" t="s">
        <v>703</v>
      </c>
      <c r="D547" s="33" t="s">
        <v>846</v>
      </c>
      <c r="E547" s="33" t="s">
        <v>823</v>
      </c>
      <c r="F547" s="34" t="s">
        <v>673</v>
      </c>
      <c r="G547" s="40"/>
      <c r="H547" s="40"/>
      <c r="I547" s="114"/>
      <c r="J547" s="27"/>
    </row>
    <row r="548" spans="1:10" ht="24.9" customHeight="1" x14ac:dyDescent="0.3">
      <c r="A548" s="32" t="s">
        <v>680</v>
      </c>
      <c r="B548" s="33" t="s">
        <v>709</v>
      </c>
      <c r="C548" s="33" t="s">
        <v>686</v>
      </c>
      <c r="D548" s="33" t="s">
        <v>710</v>
      </c>
      <c r="E548" s="33" t="s">
        <v>712</v>
      </c>
      <c r="F548" s="34" t="s">
        <v>127</v>
      </c>
      <c r="G548" s="40"/>
      <c r="H548" s="40"/>
      <c r="I548" s="114"/>
      <c r="J548" s="27"/>
    </row>
    <row r="549" spans="1:10" ht="24.9" customHeight="1" x14ac:dyDescent="0.3">
      <c r="A549" s="32" t="s">
        <v>680</v>
      </c>
      <c r="B549" s="33" t="s">
        <v>813</v>
      </c>
      <c r="C549" s="33" t="s">
        <v>686</v>
      </c>
      <c r="D549" s="33" t="s">
        <v>822</v>
      </c>
      <c r="E549" s="33" t="s">
        <v>737</v>
      </c>
      <c r="F549" s="34" t="s">
        <v>673</v>
      </c>
      <c r="G549" s="50"/>
      <c r="H549" s="40" t="s">
        <v>837</v>
      </c>
      <c r="I549" s="114" t="s">
        <v>838</v>
      </c>
      <c r="J549" s="27"/>
    </row>
    <row r="550" spans="1:10" ht="24.9" customHeight="1" x14ac:dyDescent="0.3">
      <c r="A550" s="32" t="s">
        <v>680</v>
      </c>
      <c r="B550" s="33" t="s">
        <v>814</v>
      </c>
      <c r="C550" s="33" t="s">
        <v>686</v>
      </c>
      <c r="D550" s="33" t="s">
        <v>825</v>
      </c>
      <c r="E550" s="33" t="s">
        <v>823</v>
      </c>
      <c r="F550" s="34" t="s">
        <v>673</v>
      </c>
      <c r="G550" s="40"/>
      <c r="H550" s="40" t="s">
        <v>837</v>
      </c>
      <c r="I550" s="114" t="s">
        <v>839</v>
      </c>
      <c r="J550" s="27"/>
    </row>
    <row r="551" spans="1:10" ht="24.9" customHeight="1" x14ac:dyDescent="0.3">
      <c r="A551" s="32" t="s">
        <v>680</v>
      </c>
      <c r="B551" s="33" t="s">
        <v>815</v>
      </c>
      <c r="C551" s="33" t="s">
        <v>686</v>
      </c>
      <c r="D551" s="33" t="s">
        <v>826</v>
      </c>
      <c r="E551" s="33" t="s">
        <v>823</v>
      </c>
      <c r="F551" s="34" t="s">
        <v>673</v>
      </c>
      <c r="G551" s="40"/>
      <c r="H551" s="40" t="s">
        <v>837</v>
      </c>
      <c r="I551" s="114" t="s">
        <v>840</v>
      </c>
      <c r="J551" s="27"/>
    </row>
    <row r="552" spans="1:10" ht="24.9" customHeight="1" x14ac:dyDescent="0.3">
      <c r="A552" s="32" t="s">
        <v>680</v>
      </c>
      <c r="B552" s="33" t="s">
        <v>816</v>
      </c>
      <c r="C552" s="33" t="s">
        <v>686</v>
      </c>
      <c r="D552" s="33" t="s">
        <v>827</v>
      </c>
      <c r="E552" s="33" t="s">
        <v>823</v>
      </c>
      <c r="F552" s="34" t="s">
        <v>673</v>
      </c>
      <c r="G552" s="40"/>
      <c r="H552" s="40" t="s">
        <v>837</v>
      </c>
      <c r="I552" s="114" t="s">
        <v>841</v>
      </c>
      <c r="J552" s="27"/>
    </row>
    <row r="553" spans="1:10" ht="24.9" customHeight="1" x14ac:dyDescent="0.3">
      <c r="A553" s="32" t="s">
        <v>680</v>
      </c>
      <c r="B553" s="33" t="s">
        <v>817</v>
      </c>
      <c r="C553" s="33" t="s">
        <v>686</v>
      </c>
      <c r="D553" s="33" t="s">
        <v>828</v>
      </c>
      <c r="E553" s="33" t="s">
        <v>823</v>
      </c>
      <c r="F553" s="34" t="s">
        <v>673</v>
      </c>
      <c r="G553" s="40"/>
      <c r="H553" s="40" t="s">
        <v>837</v>
      </c>
      <c r="I553" s="114" t="s">
        <v>840</v>
      </c>
      <c r="J553" s="27"/>
    </row>
    <row r="554" spans="1:10" ht="24.9" customHeight="1" x14ac:dyDescent="0.3">
      <c r="A554" s="32" t="s">
        <v>680</v>
      </c>
      <c r="B554" s="33" t="s">
        <v>817</v>
      </c>
      <c r="C554" s="33" t="s">
        <v>686</v>
      </c>
      <c r="D554" s="33" t="s">
        <v>829</v>
      </c>
      <c r="E554" s="33" t="s">
        <v>823</v>
      </c>
      <c r="F554" s="34" t="s">
        <v>673</v>
      </c>
      <c r="G554" s="40"/>
      <c r="H554" s="40" t="s">
        <v>837</v>
      </c>
      <c r="I554" s="114" t="s">
        <v>840</v>
      </c>
      <c r="J554" s="27"/>
    </row>
    <row r="555" spans="1:10" ht="24.9" customHeight="1" x14ac:dyDescent="0.3">
      <c r="A555" s="32" t="s">
        <v>680</v>
      </c>
      <c r="B555" s="33" t="s">
        <v>818</v>
      </c>
      <c r="C555" s="33" t="s">
        <v>686</v>
      </c>
      <c r="D555" s="33" t="s">
        <v>830</v>
      </c>
      <c r="E555" s="33" t="s">
        <v>823</v>
      </c>
      <c r="F555" s="34" t="s">
        <v>673</v>
      </c>
      <c r="G555" s="40"/>
      <c r="H555" s="40" t="s">
        <v>837</v>
      </c>
      <c r="I555" s="114" t="s">
        <v>840</v>
      </c>
      <c r="J555" s="27"/>
    </row>
    <row r="556" spans="1:10" ht="24.9" customHeight="1" x14ac:dyDescent="0.3">
      <c r="A556" s="32" t="s">
        <v>680</v>
      </c>
      <c r="B556" s="33" t="s">
        <v>819</v>
      </c>
      <c r="C556" s="33" t="s">
        <v>686</v>
      </c>
      <c r="D556" s="33" t="s">
        <v>831</v>
      </c>
      <c r="E556" s="33" t="s">
        <v>823</v>
      </c>
      <c r="F556" s="34" t="s">
        <v>673</v>
      </c>
      <c r="G556" s="40"/>
      <c r="H556" s="40" t="s">
        <v>837</v>
      </c>
      <c r="I556" s="114" t="s">
        <v>841</v>
      </c>
      <c r="J556" s="27"/>
    </row>
    <row r="557" spans="1:10" ht="24.9" customHeight="1" x14ac:dyDescent="0.3">
      <c r="A557" s="32" t="s">
        <v>680</v>
      </c>
      <c r="B557" s="33" t="s">
        <v>820</v>
      </c>
      <c r="C557" s="33" t="s">
        <v>686</v>
      </c>
      <c r="D557" s="33" t="s">
        <v>832</v>
      </c>
      <c r="E557" s="33" t="s">
        <v>823</v>
      </c>
      <c r="F557" s="34" t="s">
        <v>673</v>
      </c>
      <c r="G557" s="40"/>
      <c r="H557" s="40" t="s">
        <v>837</v>
      </c>
      <c r="I557" s="114" t="s">
        <v>840</v>
      </c>
      <c r="J557" s="27"/>
    </row>
    <row r="558" spans="1:10" ht="24.9" customHeight="1" x14ac:dyDescent="0.3">
      <c r="A558" s="32" t="s">
        <v>680</v>
      </c>
      <c r="B558" s="33" t="s">
        <v>820</v>
      </c>
      <c r="C558" s="90" t="s">
        <v>686</v>
      </c>
      <c r="D558" s="33" t="s">
        <v>832</v>
      </c>
      <c r="E558" s="33" t="s">
        <v>824</v>
      </c>
      <c r="F558" s="34" t="s">
        <v>673</v>
      </c>
      <c r="G558" s="40"/>
      <c r="H558" s="40" t="s">
        <v>837</v>
      </c>
      <c r="I558" s="114" t="s">
        <v>842</v>
      </c>
      <c r="J558" s="27"/>
    </row>
    <row r="559" spans="1:10" ht="24.9" customHeight="1" x14ac:dyDescent="0.3">
      <c r="A559" s="32" t="s">
        <v>680</v>
      </c>
      <c r="B559" s="33" t="s">
        <v>821</v>
      </c>
      <c r="C559" s="90" t="s">
        <v>686</v>
      </c>
      <c r="D559" s="33" t="s">
        <v>833</v>
      </c>
      <c r="E559" s="33" t="s">
        <v>823</v>
      </c>
      <c r="F559" s="34" t="s">
        <v>673</v>
      </c>
      <c r="G559" s="40"/>
      <c r="H559" s="40" t="s">
        <v>837</v>
      </c>
      <c r="I559" s="114" t="s">
        <v>840</v>
      </c>
      <c r="J559" s="27"/>
    </row>
    <row r="560" spans="1:10" ht="24.9" customHeight="1" x14ac:dyDescent="0.3">
      <c r="A560" s="32" t="s">
        <v>680</v>
      </c>
      <c r="B560" s="33" t="s">
        <v>821</v>
      </c>
      <c r="C560" s="90" t="s">
        <v>686</v>
      </c>
      <c r="D560" s="33" t="s">
        <v>834</v>
      </c>
      <c r="E560" s="33" t="s">
        <v>824</v>
      </c>
      <c r="F560" s="34" t="s">
        <v>673</v>
      </c>
      <c r="G560" s="40"/>
      <c r="H560" s="40" t="s">
        <v>837</v>
      </c>
      <c r="I560" s="114" t="s">
        <v>842</v>
      </c>
      <c r="J560" s="27"/>
    </row>
    <row r="561" spans="1:10" ht="24.9" customHeight="1" x14ac:dyDescent="0.3">
      <c r="A561" s="32" t="s">
        <v>680</v>
      </c>
      <c r="B561" s="33" t="s">
        <v>821</v>
      </c>
      <c r="C561" s="90" t="s">
        <v>686</v>
      </c>
      <c r="D561" s="33" t="s">
        <v>835</v>
      </c>
      <c r="E561" s="33" t="s">
        <v>824</v>
      </c>
      <c r="F561" s="34" t="s">
        <v>673</v>
      </c>
      <c r="G561" s="40"/>
      <c r="H561" s="40" t="s">
        <v>837</v>
      </c>
      <c r="I561" s="114" t="s">
        <v>842</v>
      </c>
      <c r="J561" s="27"/>
    </row>
    <row r="562" spans="1:10" ht="24.9" customHeight="1" x14ac:dyDescent="0.3">
      <c r="A562" s="32" t="s">
        <v>680</v>
      </c>
      <c r="B562" s="33" t="s">
        <v>821</v>
      </c>
      <c r="C562" s="90" t="s">
        <v>686</v>
      </c>
      <c r="D562" s="33" t="s">
        <v>836</v>
      </c>
      <c r="E562" s="33" t="s">
        <v>823</v>
      </c>
      <c r="F562" s="34" t="s">
        <v>673</v>
      </c>
      <c r="G562" s="40"/>
      <c r="H562" s="40" t="s">
        <v>837</v>
      </c>
      <c r="I562" s="114" t="s">
        <v>842</v>
      </c>
      <c r="J562" s="27"/>
    </row>
    <row r="563" spans="1:10" ht="24.9" customHeight="1" x14ac:dyDescent="0.3">
      <c r="A563" s="32" t="s">
        <v>680</v>
      </c>
      <c r="B563" s="33" t="s">
        <v>709</v>
      </c>
      <c r="C563" s="90" t="s">
        <v>686</v>
      </c>
      <c r="D563" s="33" t="s">
        <v>710</v>
      </c>
      <c r="E563" s="33" t="s">
        <v>711</v>
      </c>
      <c r="F563" s="34" t="s">
        <v>167</v>
      </c>
      <c r="G563" s="40"/>
      <c r="H563" s="40"/>
      <c r="I563" s="114"/>
      <c r="J563" s="27"/>
    </row>
    <row r="564" spans="1:10" ht="24.9" customHeight="1" x14ac:dyDescent="0.3">
      <c r="A564" s="32" t="s">
        <v>680</v>
      </c>
      <c r="B564" s="33" t="s">
        <v>685</v>
      </c>
      <c r="C564" s="33" t="s">
        <v>686</v>
      </c>
      <c r="D564" s="33" t="s">
        <v>687</v>
      </c>
      <c r="E564" s="33" t="s">
        <v>712</v>
      </c>
      <c r="F564" s="34" t="s">
        <v>127</v>
      </c>
      <c r="G564" s="40"/>
      <c r="H564" s="40"/>
      <c r="I564" s="114"/>
      <c r="J564" s="27"/>
    </row>
    <row r="565" spans="1:10" ht="24.9" customHeight="1" x14ac:dyDescent="0.3">
      <c r="A565" s="32" t="s">
        <v>680</v>
      </c>
      <c r="B565" s="33" t="s">
        <v>685</v>
      </c>
      <c r="C565" s="33" t="s">
        <v>686</v>
      </c>
      <c r="D565" s="33" t="s">
        <v>687</v>
      </c>
      <c r="E565" s="33" t="s">
        <v>711</v>
      </c>
      <c r="F565" s="34" t="s">
        <v>167</v>
      </c>
      <c r="G565" s="40"/>
      <c r="H565" s="40"/>
      <c r="I565" s="114"/>
      <c r="J565" s="27"/>
    </row>
    <row r="566" spans="1:10" ht="24.9" customHeight="1" x14ac:dyDescent="0.3">
      <c r="A566" s="32" t="s">
        <v>680</v>
      </c>
      <c r="B566" s="33" t="s">
        <v>696</v>
      </c>
      <c r="C566" s="33" t="s">
        <v>686</v>
      </c>
      <c r="D566" s="33" t="s">
        <v>697</v>
      </c>
      <c r="E566" s="33" t="s">
        <v>717</v>
      </c>
      <c r="F566" s="34" t="s">
        <v>127</v>
      </c>
      <c r="G566" s="40"/>
      <c r="H566" s="40"/>
      <c r="I566" s="114"/>
      <c r="J566" s="27"/>
    </row>
    <row r="567" spans="1:10" ht="24.9" hidden="1" customHeight="1" x14ac:dyDescent="0.3">
      <c r="A567" s="32" t="s">
        <v>718</v>
      </c>
      <c r="B567" s="33" t="s">
        <v>724</v>
      </c>
      <c r="C567" s="33" t="s">
        <v>725</v>
      </c>
      <c r="D567" s="33" t="s">
        <v>726</v>
      </c>
      <c r="E567" s="33" t="s">
        <v>130</v>
      </c>
      <c r="F567" s="34" t="s">
        <v>99</v>
      </c>
      <c r="G567" s="40"/>
      <c r="H567" s="40"/>
      <c r="I567" s="114"/>
      <c r="J567" s="27"/>
    </row>
    <row r="568" spans="1:10" ht="24.9" hidden="1" customHeight="1" x14ac:dyDescent="0.3">
      <c r="A568" s="32" t="s">
        <v>718</v>
      </c>
      <c r="B568" s="33" t="s">
        <v>724</v>
      </c>
      <c r="C568" s="33" t="s">
        <v>725</v>
      </c>
      <c r="D568" s="33" t="s">
        <v>726</v>
      </c>
      <c r="E568" s="33" t="s">
        <v>748</v>
      </c>
      <c r="F568" s="34" t="s">
        <v>99</v>
      </c>
      <c r="G568" s="40"/>
      <c r="H568" s="40"/>
      <c r="I568" s="114"/>
      <c r="J568" s="27"/>
    </row>
    <row r="569" spans="1:10" ht="24.9" customHeight="1" x14ac:dyDescent="0.3">
      <c r="A569" s="32" t="s">
        <v>718</v>
      </c>
      <c r="B569" s="33" t="s">
        <v>724</v>
      </c>
      <c r="C569" s="33" t="s">
        <v>725</v>
      </c>
      <c r="D569" s="33" t="s">
        <v>726</v>
      </c>
      <c r="E569" s="33" t="s">
        <v>727</v>
      </c>
      <c r="F569" s="34" t="s">
        <v>673</v>
      </c>
      <c r="G569" s="40"/>
      <c r="H569" s="40" t="s">
        <v>168</v>
      </c>
      <c r="I569" s="114" t="s">
        <v>169</v>
      </c>
      <c r="J569" s="27"/>
    </row>
    <row r="570" spans="1:10" ht="24.9" customHeight="1" x14ac:dyDescent="0.3">
      <c r="A570" s="32" t="s">
        <v>718</v>
      </c>
      <c r="B570" s="33" t="s">
        <v>719</v>
      </c>
      <c r="C570" s="33" t="s">
        <v>720</v>
      </c>
      <c r="D570" s="33" t="s">
        <v>721</v>
      </c>
      <c r="E570" s="33" t="s">
        <v>694</v>
      </c>
      <c r="F570" s="34" t="s">
        <v>673</v>
      </c>
      <c r="G570" s="40"/>
      <c r="H570" s="40" t="s">
        <v>168</v>
      </c>
      <c r="I570" s="114" t="s">
        <v>695</v>
      </c>
      <c r="J570" s="27"/>
    </row>
    <row r="571" spans="1:10" ht="24.9" customHeight="1" x14ac:dyDescent="0.3">
      <c r="A571" s="32" t="s">
        <v>718</v>
      </c>
      <c r="B571" s="33" t="s">
        <v>719</v>
      </c>
      <c r="C571" s="33" t="s">
        <v>720</v>
      </c>
      <c r="D571" s="33" t="s">
        <v>721</v>
      </c>
      <c r="E571" s="33" t="s">
        <v>692</v>
      </c>
      <c r="F571" s="34" t="s">
        <v>673</v>
      </c>
      <c r="G571" s="40"/>
      <c r="H571" s="40" t="s">
        <v>378</v>
      </c>
      <c r="I571" s="114" t="s">
        <v>693</v>
      </c>
      <c r="J571" s="27"/>
    </row>
    <row r="572" spans="1:10" ht="24.9" customHeight="1" x14ac:dyDescent="0.3">
      <c r="A572" s="32" t="s">
        <v>718</v>
      </c>
      <c r="B572" s="33" t="s">
        <v>719</v>
      </c>
      <c r="C572" s="33" t="s">
        <v>720</v>
      </c>
      <c r="D572" s="33" t="s">
        <v>721</v>
      </c>
      <c r="E572" s="33" t="s">
        <v>714</v>
      </c>
      <c r="F572" s="34" t="s">
        <v>127</v>
      </c>
      <c r="G572" s="40"/>
      <c r="H572" s="40"/>
      <c r="I572" s="114"/>
      <c r="J572" s="27"/>
    </row>
    <row r="573" spans="1:10" ht="24.9" customHeight="1" x14ac:dyDescent="0.3">
      <c r="A573" s="32" t="s">
        <v>718</v>
      </c>
      <c r="B573" s="33" t="s">
        <v>719</v>
      </c>
      <c r="C573" s="33" t="s">
        <v>720</v>
      </c>
      <c r="D573" s="33" t="s">
        <v>721</v>
      </c>
      <c r="E573" s="33" t="s">
        <v>747</v>
      </c>
      <c r="F573" s="34" t="s">
        <v>127</v>
      </c>
      <c r="G573" s="40"/>
      <c r="H573" s="40"/>
      <c r="I573" s="114"/>
      <c r="J573" s="27"/>
    </row>
    <row r="574" spans="1:10" ht="24.9" hidden="1" customHeight="1" x14ac:dyDescent="0.3">
      <c r="A574" s="32" t="s">
        <v>718</v>
      </c>
      <c r="B574" s="33" t="s">
        <v>719</v>
      </c>
      <c r="C574" s="33" t="s">
        <v>720</v>
      </c>
      <c r="D574" s="33" t="s">
        <v>721</v>
      </c>
      <c r="E574" s="33" t="s">
        <v>700</v>
      </c>
      <c r="F574" s="34" t="s">
        <v>95</v>
      </c>
      <c r="G574" s="40"/>
      <c r="H574" s="40"/>
      <c r="I574" s="114"/>
      <c r="J574" s="27"/>
    </row>
    <row r="575" spans="1:10" ht="24.9" hidden="1" customHeight="1" x14ac:dyDescent="0.3">
      <c r="A575" s="32" t="s">
        <v>718</v>
      </c>
      <c r="B575" s="33" t="s">
        <v>719</v>
      </c>
      <c r="C575" s="33" t="s">
        <v>720</v>
      </c>
      <c r="D575" s="33" t="s">
        <v>721</v>
      </c>
      <c r="E575" s="33" t="s">
        <v>701</v>
      </c>
      <c r="F575" s="34" t="s">
        <v>95</v>
      </c>
      <c r="G575" s="40"/>
      <c r="H575" s="40"/>
      <c r="I575" s="114"/>
      <c r="J575" s="27"/>
    </row>
    <row r="576" spans="1:10" ht="24.9" customHeight="1" x14ac:dyDescent="0.3">
      <c r="A576" s="32" t="s">
        <v>718</v>
      </c>
      <c r="B576" s="33" t="s">
        <v>735</v>
      </c>
      <c r="C576" s="33" t="s">
        <v>720</v>
      </c>
      <c r="D576" s="33" t="s">
        <v>736</v>
      </c>
      <c r="E576" s="33" t="s">
        <v>130</v>
      </c>
      <c r="F576" s="34" t="s">
        <v>127</v>
      </c>
      <c r="G576" s="40"/>
      <c r="H576" s="40"/>
      <c r="I576" s="114"/>
      <c r="J576" s="27"/>
    </row>
    <row r="577" spans="1:10" ht="24.9" customHeight="1" x14ac:dyDescent="0.3">
      <c r="A577" s="32" t="s">
        <v>718</v>
      </c>
      <c r="B577" s="33" t="s">
        <v>735</v>
      </c>
      <c r="C577" s="33" t="s">
        <v>720</v>
      </c>
      <c r="D577" s="33" t="s">
        <v>736</v>
      </c>
      <c r="E577" s="33" t="s">
        <v>799</v>
      </c>
      <c r="F577" s="34" t="s">
        <v>127</v>
      </c>
      <c r="G577" s="40"/>
      <c r="H577" s="40"/>
      <c r="I577" s="114"/>
      <c r="J577" s="27"/>
    </row>
    <row r="578" spans="1:10" ht="24.9" customHeight="1" x14ac:dyDescent="0.3">
      <c r="A578" s="32" t="s">
        <v>718</v>
      </c>
      <c r="B578" s="33" t="s">
        <v>735</v>
      </c>
      <c r="C578" s="33" t="s">
        <v>720</v>
      </c>
      <c r="D578" s="33" t="s">
        <v>736</v>
      </c>
      <c r="E578" s="33" t="s">
        <v>737</v>
      </c>
      <c r="F578" s="34" t="s">
        <v>673</v>
      </c>
      <c r="G578" s="40"/>
      <c r="H578" s="40" t="s">
        <v>378</v>
      </c>
      <c r="I578" s="114" t="s">
        <v>738</v>
      </c>
      <c r="J578" s="27"/>
    </row>
    <row r="579" spans="1:10" ht="24.9" customHeight="1" x14ac:dyDescent="0.3">
      <c r="A579" s="32" t="s">
        <v>718</v>
      </c>
      <c r="B579" s="33" t="s">
        <v>722</v>
      </c>
      <c r="C579" s="33" t="s">
        <v>720</v>
      </c>
      <c r="D579" s="33" t="s">
        <v>723</v>
      </c>
      <c r="E579" s="33" t="s">
        <v>694</v>
      </c>
      <c r="F579" s="34" t="s">
        <v>673</v>
      </c>
      <c r="G579" s="40"/>
      <c r="H579" s="40" t="s">
        <v>168</v>
      </c>
      <c r="I579" s="114" t="s">
        <v>695</v>
      </c>
      <c r="J579" s="27"/>
    </row>
    <row r="580" spans="1:10" ht="24.9" customHeight="1" x14ac:dyDescent="0.3">
      <c r="A580" s="32" t="s">
        <v>718</v>
      </c>
      <c r="B580" s="33" t="s">
        <v>722</v>
      </c>
      <c r="C580" s="33" t="s">
        <v>720</v>
      </c>
      <c r="D580" s="33" t="s">
        <v>723</v>
      </c>
      <c r="E580" s="33" t="s">
        <v>692</v>
      </c>
      <c r="F580" s="34" t="s">
        <v>673</v>
      </c>
      <c r="G580" s="40"/>
      <c r="H580" s="40" t="s">
        <v>378</v>
      </c>
      <c r="I580" s="114" t="s">
        <v>693</v>
      </c>
      <c r="J580" s="27"/>
    </row>
    <row r="581" spans="1:10" ht="24.9" customHeight="1" x14ac:dyDescent="0.3">
      <c r="A581" s="32" t="s">
        <v>718</v>
      </c>
      <c r="B581" s="33" t="s">
        <v>722</v>
      </c>
      <c r="C581" s="33" t="s">
        <v>720</v>
      </c>
      <c r="D581" s="33" t="s">
        <v>723</v>
      </c>
      <c r="E581" s="33" t="s">
        <v>714</v>
      </c>
      <c r="F581" s="34" t="s">
        <v>127</v>
      </c>
      <c r="G581" s="40"/>
      <c r="H581" s="40"/>
      <c r="I581" s="114"/>
      <c r="J581" s="27"/>
    </row>
    <row r="582" spans="1:10" ht="24.9" customHeight="1" x14ac:dyDescent="0.3">
      <c r="A582" s="32" t="s">
        <v>718</v>
      </c>
      <c r="B582" s="33" t="s">
        <v>722</v>
      </c>
      <c r="C582" s="33" t="s">
        <v>720</v>
      </c>
      <c r="D582" s="33" t="s">
        <v>723</v>
      </c>
      <c r="E582" s="33" t="s">
        <v>747</v>
      </c>
      <c r="F582" s="34" t="s">
        <v>127</v>
      </c>
      <c r="G582" s="40"/>
      <c r="H582" s="40"/>
      <c r="I582" s="114"/>
      <c r="J582" s="27"/>
    </row>
    <row r="583" spans="1:10" ht="24.9" hidden="1" customHeight="1" x14ac:dyDescent="0.3">
      <c r="A583" s="32" t="s">
        <v>718</v>
      </c>
      <c r="B583" s="33" t="s">
        <v>722</v>
      </c>
      <c r="C583" s="33" t="s">
        <v>720</v>
      </c>
      <c r="D583" s="33" t="s">
        <v>723</v>
      </c>
      <c r="E583" s="33" t="s">
        <v>700</v>
      </c>
      <c r="F583" s="34" t="s">
        <v>95</v>
      </c>
      <c r="G583" s="40"/>
      <c r="H583" s="40"/>
      <c r="I583" s="114"/>
      <c r="J583" s="27"/>
    </row>
    <row r="584" spans="1:10" ht="24.9" hidden="1" customHeight="1" x14ac:dyDescent="0.3">
      <c r="A584" s="32" t="s">
        <v>718</v>
      </c>
      <c r="B584" s="33" t="s">
        <v>722</v>
      </c>
      <c r="C584" s="33" t="s">
        <v>720</v>
      </c>
      <c r="D584" s="33" t="s">
        <v>723</v>
      </c>
      <c r="E584" s="33" t="s">
        <v>701</v>
      </c>
      <c r="F584" s="34" t="s">
        <v>95</v>
      </c>
      <c r="G584" s="40"/>
      <c r="H584" s="40"/>
      <c r="I584" s="114"/>
      <c r="J584" s="27"/>
    </row>
    <row r="585" spans="1:10" ht="24.9" customHeight="1" x14ac:dyDescent="0.3">
      <c r="A585" s="32" t="s">
        <v>718</v>
      </c>
      <c r="B585" s="33" t="s">
        <v>739</v>
      </c>
      <c r="C585" s="33" t="s">
        <v>720</v>
      </c>
      <c r="D585" s="33" t="s">
        <v>740</v>
      </c>
      <c r="E585" s="33" t="s">
        <v>130</v>
      </c>
      <c r="F585" s="34" t="s">
        <v>127</v>
      </c>
      <c r="G585" s="40"/>
      <c r="H585" s="40"/>
      <c r="I585" s="114"/>
      <c r="J585" s="27"/>
    </row>
    <row r="586" spans="1:10" ht="24.9" customHeight="1" x14ac:dyDescent="0.3">
      <c r="A586" s="32" t="s">
        <v>718</v>
      </c>
      <c r="B586" s="33" t="s">
        <v>739</v>
      </c>
      <c r="C586" s="33" t="s">
        <v>720</v>
      </c>
      <c r="D586" s="33" t="s">
        <v>740</v>
      </c>
      <c r="E586" s="33" t="s">
        <v>799</v>
      </c>
      <c r="F586" s="34" t="s">
        <v>127</v>
      </c>
      <c r="G586" s="40"/>
      <c r="H586" s="40"/>
      <c r="I586" s="114"/>
      <c r="J586" s="27"/>
    </row>
    <row r="587" spans="1:10" ht="24.9" customHeight="1" x14ac:dyDescent="0.3">
      <c r="A587" s="32" t="s">
        <v>718</v>
      </c>
      <c r="B587" s="33" t="s">
        <v>739</v>
      </c>
      <c r="C587" s="33" t="s">
        <v>720</v>
      </c>
      <c r="D587" s="33" t="s">
        <v>740</v>
      </c>
      <c r="E587" s="33" t="s">
        <v>737</v>
      </c>
      <c r="F587" s="34" t="s">
        <v>673</v>
      </c>
      <c r="G587" s="40"/>
      <c r="H587" s="40" t="s">
        <v>378</v>
      </c>
      <c r="I587" s="114" t="s">
        <v>738</v>
      </c>
      <c r="J587" s="27"/>
    </row>
    <row r="588" spans="1:10" ht="24.9" customHeight="1" x14ac:dyDescent="0.3">
      <c r="A588" s="32" t="s">
        <v>718</v>
      </c>
      <c r="B588" s="33" t="s">
        <v>757</v>
      </c>
      <c r="C588" s="33" t="s">
        <v>725</v>
      </c>
      <c r="D588" s="33" t="s">
        <v>754</v>
      </c>
      <c r="E588" s="33" t="s">
        <v>775</v>
      </c>
      <c r="F588" s="34" t="s">
        <v>167</v>
      </c>
      <c r="G588" s="40"/>
      <c r="H588" s="40"/>
      <c r="I588" s="114"/>
      <c r="J588" s="27"/>
    </row>
    <row r="589" spans="1:10" ht="24.9" customHeight="1" x14ac:dyDescent="0.3">
      <c r="A589" s="32" t="s">
        <v>718</v>
      </c>
      <c r="B589" s="33" t="s">
        <v>728</v>
      </c>
      <c r="C589" s="33" t="s">
        <v>729</v>
      </c>
      <c r="D589" s="33" t="s">
        <v>730</v>
      </c>
      <c r="E589" s="33" t="s">
        <v>731</v>
      </c>
      <c r="F589" s="34" t="s">
        <v>673</v>
      </c>
      <c r="G589" s="40"/>
      <c r="H589" s="40" t="s">
        <v>378</v>
      </c>
      <c r="I589" s="114" t="s">
        <v>732</v>
      </c>
      <c r="J589" s="27"/>
    </row>
    <row r="590" spans="1:10" ht="24.9" customHeight="1" x14ac:dyDescent="0.3">
      <c r="A590" s="32" t="s">
        <v>718</v>
      </c>
      <c r="B590" s="33" t="s">
        <v>728</v>
      </c>
      <c r="C590" s="33" t="s">
        <v>729</v>
      </c>
      <c r="D590" s="33" t="s">
        <v>730</v>
      </c>
      <c r="E590" s="33" t="s">
        <v>711</v>
      </c>
      <c r="F590" s="34" t="s">
        <v>127</v>
      </c>
      <c r="G590" s="40"/>
      <c r="H590" s="40"/>
      <c r="I590" s="114"/>
      <c r="J590" s="27"/>
    </row>
    <row r="591" spans="1:10" ht="24.9" customHeight="1" x14ac:dyDescent="0.3">
      <c r="A591" s="32" t="s">
        <v>718</v>
      </c>
      <c r="B591" s="33" t="s">
        <v>728</v>
      </c>
      <c r="C591" s="33" t="s">
        <v>729</v>
      </c>
      <c r="D591" s="33" t="s">
        <v>730</v>
      </c>
      <c r="E591" s="33" t="s">
        <v>130</v>
      </c>
      <c r="F591" s="34" t="s">
        <v>167</v>
      </c>
      <c r="G591" s="40"/>
      <c r="H591" s="40"/>
      <c r="I591" s="114"/>
      <c r="J591" s="27"/>
    </row>
    <row r="592" spans="1:10" ht="24.9" customHeight="1" x14ac:dyDescent="0.3">
      <c r="A592" s="32" t="s">
        <v>718</v>
      </c>
      <c r="B592" s="33" t="s">
        <v>728</v>
      </c>
      <c r="C592" s="33" t="s">
        <v>729</v>
      </c>
      <c r="D592" s="33" t="s">
        <v>730</v>
      </c>
      <c r="E592" s="33" t="s">
        <v>746</v>
      </c>
      <c r="F592" s="34" t="s">
        <v>167</v>
      </c>
      <c r="G592" s="40"/>
      <c r="H592" s="40"/>
      <c r="I592" s="114"/>
      <c r="J592" s="27"/>
    </row>
    <row r="593" spans="1:10" ht="24.9" customHeight="1" x14ac:dyDescent="0.3">
      <c r="A593" s="32" t="s">
        <v>718</v>
      </c>
      <c r="B593" s="33" t="s">
        <v>728</v>
      </c>
      <c r="C593" s="33" t="s">
        <v>729</v>
      </c>
      <c r="D593" s="33" t="s">
        <v>730</v>
      </c>
      <c r="E593" s="33" t="s">
        <v>798</v>
      </c>
      <c r="F593" s="34" t="s">
        <v>167</v>
      </c>
      <c r="G593" s="40"/>
      <c r="H593" s="40"/>
      <c r="I593" s="114"/>
      <c r="J593" s="27"/>
    </row>
    <row r="594" spans="1:10" ht="24.9" customHeight="1" x14ac:dyDescent="0.3">
      <c r="A594" s="32" t="s">
        <v>718</v>
      </c>
      <c r="B594" s="33" t="s">
        <v>741</v>
      </c>
      <c r="C594" s="33" t="s">
        <v>720</v>
      </c>
      <c r="D594" s="33" t="s">
        <v>742</v>
      </c>
      <c r="E594" s="33" t="s">
        <v>130</v>
      </c>
      <c r="F594" s="34" t="s">
        <v>127</v>
      </c>
      <c r="G594" s="40"/>
      <c r="H594" s="40"/>
      <c r="I594" s="114"/>
      <c r="J594" s="27"/>
    </row>
    <row r="595" spans="1:10" ht="24.9" customHeight="1" x14ac:dyDescent="0.3">
      <c r="A595" s="32" t="s">
        <v>718</v>
      </c>
      <c r="B595" s="33" t="s">
        <v>741</v>
      </c>
      <c r="C595" s="33" t="s">
        <v>720</v>
      </c>
      <c r="D595" s="33" t="s">
        <v>742</v>
      </c>
      <c r="E595" s="33" t="s">
        <v>711</v>
      </c>
      <c r="F595" s="34" t="s">
        <v>127</v>
      </c>
      <c r="G595" s="40"/>
      <c r="H595" s="40"/>
      <c r="I595" s="114"/>
      <c r="J595" s="27"/>
    </row>
    <row r="596" spans="1:10" ht="24.9" customHeight="1" x14ac:dyDescent="0.3">
      <c r="A596" s="32" t="s">
        <v>718</v>
      </c>
      <c r="B596" s="33" t="s">
        <v>741</v>
      </c>
      <c r="C596" s="33" t="s">
        <v>720</v>
      </c>
      <c r="D596" s="33" t="s">
        <v>742</v>
      </c>
      <c r="E596" s="33" t="s">
        <v>737</v>
      </c>
      <c r="F596" s="34" t="s">
        <v>673</v>
      </c>
      <c r="G596" s="40"/>
      <c r="H596" s="40" t="s">
        <v>378</v>
      </c>
      <c r="I596" s="114" t="s">
        <v>743</v>
      </c>
      <c r="J596" s="27"/>
    </row>
    <row r="597" spans="1:10" ht="24.9" customHeight="1" x14ac:dyDescent="0.3">
      <c r="A597" s="32" t="s">
        <v>718</v>
      </c>
      <c r="B597" s="33" t="s">
        <v>733</v>
      </c>
      <c r="C597" s="33" t="s">
        <v>729</v>
      </c>
      <c r="D597" s="33" t="s">
        <v>734</v>
      </c>
      <c r="E597" s="33" t="s">
        <v>731</v>
      </c>
      <c r="F597" s="34" t="s">
        <v>673</v>
      </c>
      <c r="G597" s="40"/>
      <c r="H597" s="40" t="s">
        <v>378</v>
      </c>
      <c r="I597" s="114" t="s">
        <v>732</v>
      </c>
      <c r="J597" s="27"/>
    </row>
    <row r="598" spans="1:10" ht="24.9" customHeight="1" x14ac:dyDescent="0.3">
      <c r="A598" s="32" t="s">
        <v>718</v>
      </c>
      <c r="B598" s="33" t="s">
        <v>733</v>
      </c>
      <c r="C598" s="33" t="s">
        <v>729</v>
      </c>
      <c r="D598" s="33" t="s">
        <v>734</v>
      </c>
      <c r="E598" s="33" t="s">
        <v>711</v>
      </c>
      <c r="F598" s="34" t="s">
        <v>127</v>
      </c>
      <c r="G598" s="40"/>
      <c r="H598" s="40"/>
      <c r="I598" s="114"/>
      <c r="J598" s="27"/>
    </row>
    <row r="599" spans="1:10" ht="24.9" customHeight="1" x14ac:dyDescent="0.3">
      <c r="A599" s="32" t="s">
        <v>718</v>
      </c>
      <c r="B599" s="33" t="s">
        <v>733</v>
      </c>
      <c r="C599" s="33" t="s">
        <v>729</v>
      </c>
      <c r="D599" s="33" t="s">
        <v>734</v>
      </c>
      <c r="E599" s="33" t="s">
        <v>746</v>
      </c>
      <c r="F599" s="34" t="s">
        <v>127</v>
      </c>
      <c r="G599" s="40"/>
      <c r="H599" s="40"/>
      <c r="I599" s="114"/>
      <c r="J599" s="27"/>
    </row>
    <row r="600" spans="1:10" ht="24.9" customHeight="1" x14ac:dyDescent="0.3">
      <c r="A600" s="32" t="s">
        <v>718</v>
      </c>
      <c r="B600" s="33" t="s">
        <v>733</v>
      </c>
      <c r="C600" s="33" t="s">
        <v>729</v>
      </c>
      <c r="D600" s="33" t="s">
        <v>734</v>
      </c>
      <c r="E600" s="33" t="s">
        <v>130</v>
      </c>
      <c r="F600" s="34" t="s">
        <v>167</v>
      </c>
      <c r="G600" s="40"/>
      <c r="H600" s="40"/>
      <c r="I600" s="114"/>
      <c r="J600" s="27"/>
    </row>
    <row r="601" spans="1:10" ht="24.9" customHeight="1" x14ac:dyDescent="0.3">
      <c r="A601" s="32" t="s">
        <v>718</v>
      </c>
      <c r="B601" s="33" t="s">
        <v>733</v>
      </c>
      <c r="C601" s="33" t="s">
        <v>729</v>
      </c>
      <c r="D601" s="33" t="s">
        <v>734</v>
      </c>
      <c r="E601" s="33" t="s">
        <v>798</v>
      </c>
      <c r="F601" s="34" t="s">
        <v>167</v>
      </c>
      <c r="G601" s="40"/>
      <c r="H601" s="40"/>
      <c r="I601" s="114"/>
      <c r="J601" s="27"/>
    </row>
    <row r="602" spans="1:10" ht="24.9" customHeight="1" x14ac:dyDescent="0.3">
      <c r="A602" s="32" t="s">
        <v>718</v>
      </c>
      <c r="B602" s="33" t="s">
        <v>744</v>
      </c>
      <c r="C602" s="33" t="s">
        <v>720</v>
      </c>
      <c r="D602" s="33" t="s">
        <v>745</v>
      </c>
      <c r="E602" s="33" t="s">
        <v>130</v>
      </c>
      <c r="F602" s="34" t="s">
        <v>127</v>
      </c>
      <c r="G602" s="40"/>
      <c r="H602" s="40"/>
      <c r="I602" s="114"/>
      <c r="J602" s="27"/>
    </row>
    <row r="603" spans="1:10" ht="24.9" customHeight="1" x14ac:dyDescent="0.3">
      <c r="A603" s="32" t="s">
        <v>718</v>
      </c>
      <c r="B603" s="33" t="s">
        <v>744</v>
      </c>
      <c r="C603" s="33" t="s">
        <v>720</v>
      </c>
      <c r="D603" s="33" t="s">
        <v>745</v>
      </c>
      <c r="E603" s="33" t="s">
        <v>711</v>
      </c>
      <c r="F603" s="34" t="s">
        <v>127</v>
      </c>
      <c r="G603" s="40"/>
      <c r="H603" s="40"/>
      <c r="I603" s="114"/>
      <c r="J603" s="27"/>
    </row>
    <row r="604" spans="1:10" ht="24.9" customHeight="1" x14ac:dyDescent="0.3">
      <c r="A604" s="32" t="s">
        <v>718</v>
      </c>
      <c r="B604" s="33" t="s">
        <v>744</v>
      </c>
      <c r="C604" s="33" t="s">
        <v>720</v>
      </c>
      <c r="D604" s="33" t="s">
        <v>745</v>
      </c>
      <c r="E604" s="33" t="s">
        <v>737</v>
      </c>
      <c r="F604" s="34" t="s">
        <v>673</v>
      </c>
      <c r="G604" s="40"/>
      <c r="H604" s="40" t="s">
        <v>378</v>
      </c>
      <c r="I604" s="114" t="s">
        <v>743</v>
      </c>
      <c r="J604" s="27"/>
    </row>
    <row r="605" spans="1:10" ht="24.9" customHeight="1" x14ac:dyDescent="0.3">
      <c r="A605" s="32" t="s">
        <v>718</v>
      </c>
      <c r="B605" s="33" t="s">
        <v>749</v>
      </c>
      <c r="C605" s="33" t="s">
        <v>720</v>
      </c>
      <c r="D605" s="33" t="s">
        <v>750</v>
      </c>
      <c r="E605" s="33" t="s">
        <v>751</v>
      </c>
      <c r="F605" s="34" t="s">
        <v>127</v>
      </c>
      <c r="G605" s="40"/>
      <c r="H605" s="40"/>
      <c r="I605" s="114"/>
      <c r="J605" s="27"/>
    </row>
    <row r="606" spans="1:10" ht="24.9" customHeight="1" x14ac:dyDescent="0.3">
      <c r="A606" s="32" t="s">
        <v>718</v>
      </c>
      <c r="B606" s="33" t="s">
        <v>749</v>
      </c>
      <c r="C606" s="33" t="s">
        <v>720</v>
      </c>
      <c r="D606" s="33" t="s">
        <v>750</v>
      </c>
      <c r="E606" s="33" t="s">
        <v>752</v>
      </c>
      <c r="F606" s="34" t="s">
        <v>127</v>
      </c>
      <c r="G606" s="40"/>
      <c r="H606" s="40"/>
      <c r="I606" s="114"/>
      <c r="J606" s="27"/>
    </row>
    <row r="607" spans="1:10" ht="24.9" customHeight="1" x14ac:dyDescent="0.3">
      <c r="A607" s="32" t="s">
        <v>718</v>
      </c>
      <c r="B607" s="33" t="s">
        <v>753</v>
      </c>
      <c r="C607" s="33" t="s">
        <v>725</v>
      </c>
      <c r="D607" s="33" t="s">
        <v>754</v>
      </c>
      <c r="E607" s="33" t="s">
        <v>756</v>
      </c>
      <c r="F607" s="34" t="s">
        <v>127</v>
      </c>
      <c r="G607" s="40"/>
      <c r="H607" s="40"/>
      <c r="I607" s="114"/>
      <c r="J607" s="27"/>
    </row>
    <row r="608" spans="1:10" ht="24.9" customHeight="1" x14ac:dyDescent="0.3">
      <c r="A608" s="32" t="s">
        <v>718</v>
      </c>
      <c r="B608" s="33" t="s">
        <v>753</v>
      </c>
      <c r="C608" s="33" t="s">
        <v>725</v>
      </c>
      <c r="D608" s="33" t="s">
        <v>754</v>
      </c>
      <c r="E608" s="33" t="s">
        <v>755</v>
      </c>
      <c r="F608" s="34" t="s">
        <v>167</v>
      </c>
      <c r="G608" s="40"/>
      <c r="H608" s="40"/>
      <c r="I608" s="114"/>
      <c r="J608" s="27"/>
    </row>
    <row r="609" spans="1:10" ht="15.75" hidden="1" customHeight="1" x14ac:dyDescent="0.3">
      <c r="A609" s="32"/>
      <c r="B609" s="33"/>
      <c r="C609" s="33"/>
      <c r="D609" s="33"/>
      <c r="E609" s="33"/>
      <c r="F609" s="34"/>
      <c r="G609" s="40"/>
      <c r="H609" s="40"/>
      <c r="I609" s="35"/>
      <c r="J609" s="27"/>
    </row>
  </sheetData>
  <autoFilter ref="A4:GF609" xr:uid="{00000000-0001-0000-0000-000000000000}">
    <filterColumn colId="5">
      <filters>
        <filter val="ABR, AGO, DEZ"/>
        <filter val="AGO, DEZ"/>
        <filter val="DEZ"/>
        <filter val="JAN, FEV, MAR, ABR, MAI, JUN, JUL, AGO, SET, OUT, NOV, DEZ"/>
        <filter val="MAR, JUN, SET, DEZ"/>
      </filters>
    </filterColumn>
    <sortState xmlns:xlrd2="http://schemas.microsoft.com/office/spreadsheetml/2017/richdata2" ref="A6:GF94">
      <sortCondition ref="A4:A609"/>
    </sortState>
  </autoFilter>
  <mergeCells count="2">
    <mergeCell ref="I1:J3"/>
    <mergeCell ref="H2:H3"/>
  </mergeCells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&amp;L&amp;F&amp;CDATA VERIFICAÇÃO:                                                                                                                                                          ASSINATURA:&amp;RPágina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60</vt:i4>
      </vt:variant>
    </vt:vector>
  </HeadingPairs>
  <TitlesOfParts>
    <vt:vector size="75" baseType="lpstr">
      <vt:lpstr>PM</vt:lpstr>
      <vt:lpstr>PM (2)</vt:lpstr>
      <vt:lpstr>SEMANAL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ABR!_Hlk184289024</vt:lpstr>
      <vt:lpstr>AGO!_Hlk184289024</vt:lpstr>
      <vt:lpstr>DEZ!_Hlk184289024</vt:lpstr>
      <vt:lpstr>FEV!_Hlk184289024</vt:lpstr>
      <vt:lpstr>JAN!_Hlk184289024</vt:lpstr>
      <vt:lpstr>JUL!_Hlk184289024</vt:lpstr>
      <vt:lpstr>JUN!_Hlk184289024</vt:lpstr>
      <vt:lpstr>MAI!_Hlk184289024</vt:lpstr>
      <vt:lpstr>MAR!_Hlk184289024</vt:lpstr>
      <vt:lpstr>NOV!_Hlk184289024</vt:lpstr>
      <vt:lpstr>OUT!_Hlk184289024</vt:lpstr>
      <vt:lpstr>PM!_Hlk184289024</vt:lpstr>
      <vt:lpstr>'PM (2)'!_Hlk184289024</vt:lpstr>
      <vt:lpstr>SEMANAL!_Hlk184289024</vt:lpstr>
      <vt:lpstr>SET!_Hlk184289024</vt:lpstr>
      <vt:lpstr>ABR!_Hlk184289454</vt:lpstr>
      <vt:lpstr>AGO!_Hlk184289454</vt:lpstr>
      <vt:lpstr>DEZ!_Hlk184289454</vt:lpstr>
      <vt:lpstr>FEV!_Hlk184289454</vt:lpstr>
      <vt:lpstr>JAN!_Hlk184289454</vt:lpstr>
      <vt:lpstr>JUL!_Hlk184289454</vt:lpstr>
      <vt:lpstr>JUN!_Hlk184289454</vt:lpstr>
      <vt:lpstr>MAI!_Hlk184289454</vt:lpstr>
      <vt:lpstr>MAR!_Hlk184289454</vt:lpstr>
      <vt:lpstr>NOV!_Hlk184289454</vt:lpstr>
      <vt:lpstr>OUT!_Hlk184289454</vt:lpstr>
      <vt:lpstr>PM!_Hlk184289454</vt:lpstr>
      <vt:lpstr>'PM (2)'!_Hlk184289454</vt:lpstr>
      <vt:lpstr>SEMANAL!_Hlk184289454</vt:lpstr>
      <vt:lpstr>SET!_Hlk184289454</vt:lpstr>
      <vt:lpstr>ABR!Área_de_Impressão</vt:lpstr>
      <vt:lpstr>AGO!Área_de_Impressão</vt:lpstr>
      <vt:lpstr>DEZ!Área_de_Impressão</vt:lpstr>
      <vt:lpstr>FEV!Área_de_Impressão</vt:lpstr>
      <vt:lpstr>JAN!Área_de_Impressão</vt:lpstr>
      <vt:lpstr>JUL!Área_de_Impressão</vt:lpstr>
      <vt:lpstr>JUN!Área_de_Impressão</vt:lpstr>
      <vt:lpstr>MAI!Área_de_Impressão</vt:lpstr>
      <vt:lpstr>MAR!Área_de_Impressão</vt:lpstr>
      <vt:lpstr>NOV!Área_de_Impressão</vt:lpstr>
      <vt:lpstr>OUT!Área_de_Impressão</vt:lpstr>
      <vt:lpstr>PM!Área_de_Impressão</vt:lpstr>
      <vt:lpstr>'PM (2)'!Área_de_Impressão</vt:lpstr>
      <vt:lpstr>SEMANAL!Área_de_Impressão</vt:lpstr>
      <vt:lpstr>SET!Área_de_Impressão</vt:lpstr>
      <vt:lpstr>ABR!Títulos_de_Impressão</vt:lpstr>
      <vt:lpstr>AGO!Títulos_de_Impressão</vt:lpstr>
      <vt:lpstr>DEZ!Títulos_de_Impressão</vt:lpstr>
      <vt:lpstr>FEV!Títulos_de_Impressão</vt:lpstr>
      <vt:lpstr>JAN!Títulos_de_Impressão</vt:lpstr>
      <vt:lpstr>JUL!Títulos_de_Impressão</vt:lpstr>
      <vt:lpstr>JUN!Títulos_de_Impressão</vt:lpstr>
      <vt:lpstr>MAI!Títulos_de_Impressão</vt:lpstr>
      <vt:lpstr>MAR!Títulos_de_Impressão</vt:lpstr>
      <vt:lpstr>NOV!Títulos_de_Impressão</vt:lpstr>
      <vt:lpstr>OUT!Títulos_de_Impressão</vt:lpstr>
      <vt:lpstr>PM!Títulos_de_Impressão</vt:lpstr>
      <vt:lpstr>'PM (2)'!Títulos_de_Impressão</vt:lpstr>
      <vt:lpstr>SEMANAL!Títulos_de_Impressão</vt:lpstr>
      <vt:lpstr>SET!Títulos_de_Impressão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GVeloso</dc:creator>
  <cp:lastModifiedBy>Rui Garrido</cp:lastModifiedBy>
  <cp:lastPrinted>2026-03-05T12:53:45Z</cp:lastPrinted>
  <dcterms:created xsi:type="dcterms:W3CDTF">2010-03-07T23:12:59Z</dcterms:created>
  <dcterms:modified xsi:type="dcterms:W3CDTF">2026-03-19T09:41:54Z</dcterms:modified>
</cp:coreProperties>
</file>